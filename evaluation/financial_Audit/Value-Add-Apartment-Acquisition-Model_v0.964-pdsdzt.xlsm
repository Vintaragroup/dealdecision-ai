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Rebeca Lopez\Desktop\"/>
    </mc:Choice>
  </mc:AlternateContent>
  <xr:revisionPtr revIDLastSave="0" documentId="13_ncr:1_{4B0769CB-C149-4634-980F-FB62FF3B93D9}" xr6:coauthVersionLast="47" xr6:coauthVersionMax="47" xr10:uidLastSave="{00000000-0000-0000-0000-000000000000}"/>
  <bookViews>
    <workbookView xWindow="-108" yWindow="-108" windowWidth="23256" windowHeight="12456" xr2:uid="{3AF05F50-C2A7-4BB7-865E-EE9CDFE2C2B4}"/>
  </bookViews>
  <sheets>
    <sheet name="Version" sheetId="3" r:id="rId1"/>
    <sheet name="Summary" sheetId="1" r:id="rId2"/>
    <sheet name="Annual Cash Flow" sheetId="4" state="hidden" r:id="rId3"/>
    <sheet name="Underwriting" sheetId="2" r:id="rId4"/>
    <sheet name="Detail Expenses" sheetId="5" state="hidden" r:id="rId5"/>
  </sheets>
  <definedNames>
    <definedName name="Analysis_Period">Underwriting!$K$19</definedName>
    <definedName name="GP_CatchUp?">Underwriting!$A$242</definedName>
    <definedName name="GP_Only?">Underwriting!$G$62</definedName>
    <definedName name="Items_Acquisition_Costs">Underwriting!$EZ$28</definedName>
    <definedName name="Items_Hard_Costs">Underwriting!$EZ$35</definedName>
    <definedName name="Items_Other_Income">Underwriting!$EZ$125</definedName>
    <definedName name="Items_Soft_Costs">Underwriting!$EZ$43</definedName>
    <definedName name="Items_Unit_Type">Underwriting!$EZ$113</definedName>
    <definedName name="Nav_Controllable_Expenses">'Detail Expenses'!$B$9:$N$104</definedName>
    <definedName name="Nav_Description">Underwriting!$B$6:$K$18</definedName>
    <definedName name="Nav_Fixed_Expenses">'Detail Expenses'!$B$105:$N$136</definedName>
    <definedName name="Nav_Investment_CF">Underwriting!$B$20:$K$95</definedName>
    <definedName name="Nav_Operating_CF">Underwriting!$B$101:$K$162</definedName>
    <definedName name="Nav_Returns">Underwriting!$B$213:$K$234</definedName>
    <definedName name="Nav_Reversion_CF">Underwriting!$B$163:$K$210</definedName>
    <definedName name="Nav_Subsequent_Financing">Underwriting!$A$86:$A$95</definedName>
    <definedName name="Nav_Waterfall">Underwriting!$B$235:$K$256</definedName>
    <definedName name="OpEx_1">Underwriting!$G$136</definedName>
    <definedName name="OpEx_1_Det">'Detail Expenses'!$F$33</definedName>
    <definedName name="OpEx_10">Underwriting!$I$136</definedName>
    <definedName name="OpEx_10_Det">'Detail Expenses'!$M$33</definedName>
    <definedName name="OpEx_2">Underwriting!$G$137</definedName>
    <definedName name="OpEx_2_Det">'Detail Expenses'!$F$50</definedName>
    <definedName name="OpEx_20">Underwriting!$I$137</definedName>
    <definedName name="OpEx_20_Det">'Detail Expenses'!$M$50</definedName>
    <definedName name="OpEx_3">Underwriting!$G$138</definedName>
    <definedName name="OpEx_3_Det">'Detail Expenses'!$F$64</definedName>
    <definedName name="OpEx_30">Underwriting!$I$138</definedName>
    <definedName name="OpEx_30_Det">'Detail Expenses'!$M$64</definedName>
    <definedName name="OpEx_4">Underwriting!$G$139</definedName>
    <definedName name="OpEx_4_Det">'Detail Expenses'!$F$73</definedName>
    <definedName name="OpEx_40">Underwriting!$I$139</definedName>
    <definedName name="OpEx_40_Det">'Detail Expenses'!$M$73</definedName>
    <definedName name="OpEx_5">Underwriting!$G$140</definedName>
    <definedName name="OpEx_5_Det">'Detail Expenses'!$F$88</definedName>
    <definedName name="OpEx_50">Underwriting!$I$140</definedName>
    <definedName name="OpEx_50_Det">'Detail Expenses'!$M$88</definedName>
    <definedName name="OpEx_6">Underwriting!$G$141</definedName>
    <definedName name="OpEx_6_Det">'Detail Expenses'!$F$96</definedName>
    <definedName name="OpEx_60">Underwriting!$I$141</definedName>
    <definedName name="OpEx_60_Det">'Detail Expenses'!$M$96</definedName>
    <definedName name="OpEx_7">Underwriting!$G$142</definedName>
    <definedName name="OpEx_7_Det">'Detail Expenses'!$F$101</definedName>
    <definedName name="OpEx_70">Underwriting!$I$142</definedName>
    <definedName name="OpEx_70_Det">'Detail Expenses'!$M$101</definedName>
    <definedName name="OpEx_Ins">Underwriting!$G$144</definedName>
    <definedName name="OpEx_Ins_Det">'Detail Expenses'!$F$116</definedName>
    <definedName name="OpEx_Ins0">Underwriting!$I$144</definedName>
    <definedName name="OpEx_Ins0_Det">'Detail Expenses'!$M$116</definedName>
    <definedName name="OpEx_Tax">Underwriting!$G$145</definedName>
    <definedName name="OpEx_Tax_Det">'Detail Expenses'!$F$131</definedName>
    <definedName name="OpEx_Tax0">Underwriting!$I$145</definedName>
    <definedName name="OpEx_Tax0_Det">'Detail Expenses'!$M$131</definedName>
    <definedName name="OpEx_Underwriting_Type">Underwriting!$A$135</definedName>
    <definedName name="Per_Unit_Measure">Underwriting!$E$261</definedName>
    <definedName name="Per_Unit_Type">Underwriting!$D$265</definedName>
    <definedName name="_xlnm.Print_Area" localSheetId="2">'Annual Cash Flow'!$B$2:$R$60</definedName>
    <definedName name="_xlnm.Print_Area" localSheetId="1">Summary!$B$2:$P$75</definedName>
    <definedName name="Project_Cost_Total">Underwriting!$K$49</definedName>
    <definedName name="Range_CFAF">OFFSET(Underwriting!$T$162,0,0,1,Analysis_Period)</definedName>
    <definedName name="Range_Months">OFFSET(Underwriting!$T$19,0,0,1,Analysis_Period)</definedName>
    <definedName name="Range_NOI">OFFSET(Underwriting!$T$148,0,0,1,Analysis_Period)</definedName>
    <definedName name="REFI?">Underwriting!$B$85</definedName>
    <definedName name="Rel_Acquisition_Costs">Underwriting!$A$28</definedName>
    <definedName name="Rel_Hard_Costs">Underwriting!$A$35</definedName>
    <definedName name="Rel_Other_Income">Underwriting!$A$130</definedName>
    <definedName name="Rel_Other_Income2">Underwriting!$A$181</definedName>
    <definedName name="Rel_Soft_Costs">Underwriting!$A$44</definedName>
    <definedName name="Rel_Unit_Type">Underwriting!$A$120</definedName>
    <definedName name="Stabilization_Month">Underwriting!$EY$108</definedName>
    <definedName name="Toggle_Annual_Report">Summary!$A$35</definedName>
    <definedName name="Toggle_Refi_Sell">Underwriting!$A$84</definedName>
    <definedName name="Unit_Measure">Underwriting!$C$261</definedName>
    <definedName name="Unit_Measure_Land">Underwriting!$D$261</definedName>
    <definedName name="Unit_Type">Underwriting!$C$265</definedName>
    <definedName name="Unit_Type_Plural">Underwriting!$E$265</definedName>
    <definedName name="Units">Underwriting!$K$13</definedName>
    <definedName name="Units_SF">Underwriting!$K$14</definedName>
    <definedName name="Units_SF_M2">'Detail Expenses'!$G$9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3" i="3" l="1"/>
  <c r="K43" i="2" l="1"/>
  <c r="K25" i="2"/>
  <c r="EJ75" i="2" l="1"/>
  <c r="EK75" i="2" s="1"/>
  <c r="EL75" i="2" s="1"/>
  <c r="EM75" i="2" s="1"/>
  <c r="EN75" i="2" s="1"/>
  <c r="EO75" i="2" s="1"/>
  <c r="EP75" i="2" s="1"/>
  <c r="EQ75" i="2" s="1"/>
  <c r="ER75" i="2" s="1"/>
  <c r="ES75" i="2" s="1"/>
  <c r="ET75" i="2" s="1"/>
  <c r="EU75" i="2" s="1"/>
  <c r="E22" i="1"/>
  <c r="P20" i="1"/>
  <c r="O20" i="1"/>
  <c r="O19" i="1"/>
  <c r="I52" i="2"/>
  <c r="I61" i="2" s="1"/>
  <c r="I66" i="2" s="1"/>
  <c r="D269" i="2"/>
  <c r="D268" i="2"/>
  <c r="D267" i="2"/>
  <c r="D266" i="2"/>
  <c r="C261" i="2"/>
  <c r="G14" i="2" s="1"/>
  <c r="E269" i="2"/>
  <c r="E268" i="2"/>
  <c r="E267" i="2"/>
  <c r="E266" i="2"/>
  <c r="C265" i="2"/>
  <c r="D168" i="2"/>
  <c r="K57" i="2"/>
  <c r="F47" i="2"/>
  <c r="E47" i="2"/>
  <c r="D265" i="2" l="1"/>
  <c r="B123" i="2"/>
  <c r="F10" i="5"/>
  <c r="B23" i="1"/>
  <c r="B21" i="1"/>
  <c r="D113" i="2"/>
  <c r="F113" i="2"/>
  <c r="H113" i="2" s="1"/>
  <c r="G10" i="5"/>
  <c r="N10" i="5" s="1"/>
  <c r="B8" i="1"/>
  <c r="R104" i="2"/>
  <c r="B16" i="2"/>
  <c r="G113" i="2"/>
  <c r="I113" i="2" s="1"/>
  <c r="B113" i="2"/>
  <c r="J22" i="2"/>
  <c r="E265" i="2"/>
  <c r="B14" i="2"/>
  <c r="D261" i="2"/>
  <c r="B11" i="2" s="1"/>
  <c r="E11" i="2"/>
  <c r="B2" i="1"/>
  <c r="H139" i="2" l="1"/>
  <c r="H126" i="2"/>
  <c r="H138" i="2"/>
  <c r="H123" i="2"/>
  <c r="B19" i="1"/>
  <c r="H137" i="2"/>
  <c r="F129" i="2"/>
  <c r="B7" i="1"/>
  <c r="H136" i="2"/>
  <c r="F128" i="2"/>
  <c r="F144" i="2"/>
  <c r="F126" i="2"/>
  <c r="H129" i="2"/>
  <c r="H128" i="2"/>
  <c r="F142" i="2"/>
  <c r="F123" i="2"/>
  <c r="F139" i="2"/>
  <c r="H145" i="2"/>
  <c r="F136" i="2"/>
  <c r="H142" i="2"/>
  <c r="H141" i="2"/>
  <c r="H127" i="2"/>
  <c r="F127" i="2"/>
  <c r="F141" i="2"/>
  <c r="H140" i="2"/>
  <c r="F145" i="2"/>
  <c r="H150" i="2"/>
  <c r="F140" i="2"/>
  <c r="F150" i="2"/>
  <c r="H144" i="2"/>
  <c r="F138" i="2"/>
  <c r="F137" i="2"/>
  <c r="F35" i="5"/>
  <c r="F52" i="5" s="1"/>
  <c r="F66" i="5" s="1"/>
  <c r="F75" i="5" s="1"/>
  <c r="F90" i="5" s="1"/>
  <c r="F98" i="5" s="1"/>
  <c r="F106" i="5" s="1"/>
  <c r="F110" i="5" s="1"/>
  <c r="F125" i="5" s="1"/>
  <c r="M10" i="5"/>
  <c r="M35" i="5" s="1"/>
  <c r="M52" i="5" s="1"/>
  <c r="M66" i="5" s="1"/>
  <c r="M75" i="5" s="1"/>
  <c r="M90" i="5" s="1"/>
  <c r="M98" i="5" s="1"/>
  <c r="M106" i="5" s="1"/>
  <c r="M110" i="5" s="1"/>
  <c r="M125" i="5" s="1"/>
  <c r="J52" i="2"/>
  <c r="J61" i="2" s="1"/>
  <c r="J66" i="2" s="1"/>
  <c r="E29" i="1"/>
  <c r="J29" i="1" s="1"/>
  <c r="B9" i="1"/>
  <c r="G13" i="2"/>
  <c r="R108" i="2"/>
  <c r="C113" i="2"/>
  <c r="EU89" i="2"/>
  <c r="ET89" i="2"/>
  <c r="ES89" i="2"/>
  <c r="ER89" i="2"/>
  <c r="EQ89" i="2"/>
  <c r="EP89" i="2"/>
  <c r="EO89" i="2"/>
  <c r="EN89" i="2"/>
  <c r="EM89" i="2"/>
  <c r="EL89" i="2"/>
  <c r="EK89" i="2"/>
  <c r="EJ89" i="2"/>
  <c r="EI89" i="2"/>
  <c r="EH89" i="2"/>
  <c r="EG89" i="2"/>
  <c r="EF89" i="2"/>
  <c r="EE89" i="2"/>
  <c r="ED89" i="2"/>
  <c r="EC89" i="2"/>
  <c r="EB89" i="2"/>
  <c r="EA89" i="2"/>
  <c r="DZ89" i="2"/>
  <c r="DY89" i="2"/>
  <c r="DX89" i="2"/>
  <c r="DW89" i="2"/>
  <c r="DV89" i="2"/>
  <c r="DU89" i="2"/>
  <c r="DT89" i="2"/>
  <c r="DS89" i="2"/>
  <c r="DR89" i="2"/>
  <c r="DQ89" i="2"/>
  <c r="DP89" i="2"/>
  <c r="DO89" i="2"/>
  <c r="DN89" i="2"/>
  <c r="DM89" i="2"/>
  <c r="DL89" i="2"/>
  <c r="DK89" i="2"/>
  <c r="DJ89" i="2"/>
  <c r="DI89" i="2"/>
  <c r="DH89" i="2"/>
  <c r="DG89" i="2"/>
  <c r="DF89" i="2"/>
  <c r="DE89" i="2"/>
  <c r="DD89" i="2"/>
  <c r="DC89" i="2"/>
  <c r="DB89" i="2"/>
  <c r="DA89" i="2"/>
  <c r="CZ89" i="2"/>
  <c r="CY89" i="2"/>
  <c r="CX89" i="2"/>
  <c r="CW89" i="2"/>
  <c r="CV89" i="2"/>
  <c r="CU89" i="2"/>
  <c r="CT89" i="2"/>
  <c r="CS89" i="2"/>
  <c r="CR89" i="2"/>
  <c r="CQ89" i="2"/>
  <c r="CP89" i="2"/>
  <c r="CO89" i="2"/>
  <c r="CN89" i="2"/>
  <c r="CM89" i="2"/>
  <c r="CL89" i="2"/>
  <c r="CK89" i="2"/>
  <c r="CJ89" i="2"/>
  <c r="CI89" i="2"/>
  <c r="CH89" i="2"/>
  <c r="CG89" i="2"/>
  <c r="CF89" i="2"/>
  <c r="CE89" i="2"/>
  <c r="CD89" i="2"/>
  <c r="CC89" i="2"/>
  <c r="CB89" i="2"/>
  <c r="CA89" i="2"/>
  <c r="BZ89" i="2"/>
  <c r="BY89" i="2"/>
  <c r="BX89" i="2"/>
  <c r="BW89" i="2"/>
  <c r="BV89" i="2"/>
  <c r="BU89" i="2"/>
  <c r="BT89" i="2"/>
  <c r="BS89" i="2"/>
  <c r="BR89" i="2"/>
  <c r="BQ89" i="2"/>
  <c r="BP89" i="2"/>
  <c r="BO89" i="2"/>
  <c r="BN89" i="2"/>
  <c r="BM89" i="2"/>
  <c r="BL89" i="2"/>
  <c r="BK89" i="2"/>
  <c r="BJ89" i="2"/>
  <c r="BI89" i="2"/>
  <c r="BH89" i="2"/>
  <c r="BG89" i="2"/>
  <c r="BF89" i="2"/>
  <c r="BE89" i="2"/>
  <c r="BD89" i="2"/>
  <c r="BC89" i="2"/>
  <c r="BB89" i="2"/>
  <c r="BA89" i="2"/>
  <c r="AZ89" i="2"/>
  <c r="AY89" i="2"/>
  <c r="AX89" i="2"/>
  <c r="AW89" i="2"/>
  <c r="AV89" i="2"/>
  <c r="AU89" i="2"/>
  <c r="AT89" i="2"/>
  <c r="AS89" i="2"/>
  <c r="AR89" i="2"/>
  <c r="AQ89" i="2"/>
  <c r="AP89" i="2"/>
  <c r="AO89" i="2"/>
  <c r="AN89" i="2"/>
  <c r="AM89" i="2"/>
  <c r="AL89" i="2"/>
  <c r="AK89" i="2"/>
  <c r="AJ89" i="2"/>
  <c r="AI89" i="2"/>
  <c r="AH89" i="2"/>
  <c r="AG89" i="2"/>
  <c r="AF89" i="2"/>
  <c r="AE89" i="2"/>
  <c r="AD89" i="2"/>
  <c r="AC89" i="2"/>
  <c r="AB89" i="2"/>
  <c r="AA89" i="2"/>
  <c r="Z89" i="2"/>
  <c r="Y89" i="2"/>
  <c r="X89" i="2"/>
  <c r="W89" i="2"/>
  <c r="V89" i="2"/>
  <c r="U89" i="2"/>
  <c r="T89" i="2"/>
  <c r="S89" i="2"/>
  <c r="EU88" i="2"/>
  <c r="ET88" i="2"/>
  <c r="ES88" i="2"/>
  <c r="ER88" i="2"/>
  <c r="EQ88" i="2"/>
  <c r="EP88" i="2"/>
  <c r="EO88" i="2"/>
  <c r="EN88" i="2"/>
  <c r="EM88" i="2"/>
  <c r="EL88" i="2"/>
  <c r="EK88" i="2"/>
  <c r="EJ88" i="2"/>
  <c r="EI88" i="2"/>
  <c r="EH88" i="2"/>
  <c r="EG88" i="2"/>
  <c r="EF88" i="2"/>
  <c r="EE88" i="2"/>
  <c r="ED88" i="2"/>
  <c r="EC88" i="2"/>
  <c r="EB88" i="2"/>
  <c r="EA88" i="2"/>
  <c r="DZ88" i="2"/>
  <c r="DY88" i="2"/>
  <c r="DX88" i="2"/>
  <c r="DW88" i="2"/>
  <c r="DV88" i="2"/>
  <c r="DU88" i="2"/>
  <c r="DT88" i="2"/>
  <c r="DS88" i="2"/>
  <c r="DR88" i="2"/>
  <c r="DQ88" i="2"/>
  <c r="DP88" i="2"/>
  <c r="DO88" i="2"/>
  <c r="DN88" i="2"/>
  <c r="DM88" i="2"/>
  <c r="DL88" i="2"/>
  <c r="DK88" i="2"/>
  <c r="DJ88" i="2"/>
  <c r="DI88" i="2"/>
  <c r="DH88" i="2"/>
  <c r="DG88" i="2"/>
  <c r="DF88" i="2"/>
  <c r="DE88" i="2"/>
  <c r="DD88" i="2"/>
  <c r="DC88" i="2"/>
  <c r="DB88" i="2"/>
  <c r="DA88" i="2"/>
  <c r="CZ88" i="2"/>
  <c r="CY88" i="2"/>
  <c r="CX88" i="2"/>
  <c r="CW88" i="2"/>
  <c r="CV88" i="2"/>
  <c r="CU88" i="2"/>
  <c r="CT88" i="2"/>
  <c r="CS88" i="2"/>
  <c r="CR88" i="2"/>
  <c r="CQ88" i="2"/>
  <c r="CP88" i="2"/>
  <c r="CO88" i="2"/>
  <c r="CN88" i="2"/>
  <c r="CM88" i="2"/>
  <c r="CL88" i="2"/>
  <c r="CK88" i="2"/>
  <c r="CJ88" i="2"/>
  <c r="CI88" i="2"/>
  <c r="CH88" i="2"/>
  <c r="CG88" i="2"/>
  <c r="CF88" i="2"/>
  <c r="CE88" i="2"/>
  <c r="CD88" i="2"/>
  <c r="CC88" i="2"/>
  <c r="CB88" i="2"/>
  <c r="CA88" i="2"/>
  <c r="BZ88" i="2"/>
  <c r="BY88" i="2"/>
  <c r="BX88" i="2"/>
  <c r="BW88" i="2"/>
  <c r="BV88" i="2"/>
  <c r="BU88" i="2"/>
  <c r="BT88" i="2"/>
  <c r="BS88" i="2"/>
  <c r="BR88" i="2"/>
  <c r="BQ88" i="2"/>
  <c r="BP88" i="2"/>
  <c r="BO88" i="2"/>
  <c r="BN88" i="2"/>
  <c r="BM88" i="2"/>
  <c r="BL88" i="2"/>
  <c r="BK88" i="2"/>
  <c r="BJ88" i="2"/>
  <c r="BI88" i="2"/>
  <c r="BH88" i="2"/>
  <c r="BG88" i="2"/>
  <c r="BF88" i="2"/>
  <c r="BE88" i="2"/>
  <c r="BD88" i="2"/>
  <c r="BC88" i="2"/>
  <c r="BB88" i="2"/>
  <c r="BA88" i="2"/>
  <c r="AZ88" i="2"/>
  <c r="AY88" i="2"/>
  <c r="AX88" i="2"/>
  <c r="AW88" i="2"/>
  <c r="AV88" i="2"/>
  <c r="AU88" i="2"/>
  <c r="AT88" i="2"/>
  <c r="AS88" i="2"/>
  <c r="AR88" i="2"/>
  <c r="AQ88" i="2"/>
  <c r="AP88" i="2"/>
  <c r="AO88" i="2"/>
  <c r="AN88" i="2"/>
  <c r="AM88" i="2"/>
  <c r="AL88" i="2"/>
  <c r="AK88" i="2"/>
  <c r="AJ88" i="2"/>
  <c r="AI88" i="2"/>
  <c r="AH88" i="2"/>
  <c r="AG88" i="2"/>
  <c r="AF88" i="2"/>
  <c r="AE88" i="2"/>
  <c r="AD88" i="2"/>
  <c r="AC88" i="2"/>
  <c r="AB88" i="2"/>
  <c r="AA88" i="2"/>
  <c r="Z88" i="2"/>
  <c r="Y88" i="2"/>
  <c r="X88" i="2"/>
  <c r="W88" i="2"/>
  <c r="V88" i="2"/>
  <c r="U88" i="2"/>
  <c r="T88" i="2"/>
  <c r="S88" i="2"/>
  <c r="EU87" i="2"/>
  <c r="ET87" i="2"/>
  <c r="ES87" i="2"/>
  <c r="ER87" i="2"/>
  <c r="EQ87" i="2"/>
  <c r="EP87" i="2"/>
  <c r="EO87" i="2"/>
  <c r="EN87" i="2"/>
  <c r="EM87" i="2"/>
  <c r="EL87" i="2"/>
  <c r="EK87" i="2"/>
  <c r="EJ87" i="2"/>
  <c r="EI87" i="2"/>
  <c r="EH87" i="2"/>
  <c r="EG87" i="2"/>
  <c r="EF87" i="2"/>
  <c r="EE87" i="2"/>
  <c r="ED87" i="2"/>
  <c r="EC87" i="2"/>
  <c r="EB87" i="2"/>
  <c r="EA87" i="2"/>
  <c r="DZ87" i="2"/>
  <c r="DY87" i="2"/>
  <c r="DX87" i="2"/>
  <c r="DW87" i="2"/>
  <c r="DV87" i="2"/>
  <c r="DU87" i="2"/>
  <c r="DT87" i="2"/>
  <c r="DS87" i="2"/>
  <c r="DR87" i="2"/>
  <c r="DQ87" i="2"/>
  <c r="DP87" i="2"/>
  <c r="DO87" i="2"/>
  <c r="DN87" i="2"/>
  <c r="DM87" i="2"/>
  <c r="DL87" i="2"/>
  <c r="DK87" i="2"/>
  <c r="DJ87" i="2"/>
  <c r="DI87" i="2"/>
  <c r="DH87" i="2"/>
  <c r="DG87" i="2"/>
  <c r="DF87" i="2"/>
  <c r="DE87" i="2"/>
  <c r="DD87" i="2"/>
  <c r="DC87" i="2"/>
  <c r="DB87" i="2"/>
  <c r="DA87" i="2"/>
  <c r="CZ87" i="2"/>
  <c r="CY87" i="2"/>
  <c r="CX87" i="2"/>
  <c r="CW87" i="2"/>
  <c r="CV87" i="2"/>
  <c r="CU87" i="2"/>
  <c r="CT87" i="2"/>
  <c r="CS87" i="2"/>
  <c r="CR87" i="2"/>
  <c r="CQ87" i="2"/>
  <c r="CP87" i="2"/>
  <c r="CO87" i="2"/>
  <c r="CN87" i="2"/>
  <c r="CM87" i="2"/>
  <c r="CL87" i="2"/>
  <c r="CK87" i="2"/>
  <c r="CJ87" i="2"/>
  <c r="CI87" i="2"/>
  <c r="CH87" i="2"/>
  <c r="CG87" i="2"/>
  <c r="CF87" i="2"/>
  <c r="CE87" i="2"/>
  <c r="CD87" i="2"/>
  <c r="CC87" i="2"/>
  <c r="CB87" i="2"/>
  <c r="CA87" i="2"/>
  <c r="BZ87" i="2"/>
  <c r="BY87" i="2"/>
  <c r="BX87" i="2"/>
  <c r="BW87" i="2"/>
  <c r="BV87" i="2"/>
  <c r="BU87" i="2"/>
  <c r="BT87" i="2"/>
  <c r="BS87" i="2"/>
  <c r="BR87" i="2"/>
  <c r="BQ87" i="2"/>
  <c r="BP87" i="2"/>
  <c r="BO87" i="2"/>
  <c r="BN87" i="2"/>
  <c r="BM87" i="2"/>
  <c r="BL87" i="2"/>
  <c r="BK87" i="2"/>
  <c r="BJ87" i="2"/>
  <c r="BI87" i="2"/>
  <c r="BH87" i="2"/>
  <c r="BG87" i="2"/>
  <c r="BF87" i="2"/>
  <c r="BE87" i="2"/>
  <c r="BD87" i="2"/>
  <c r="BC87" i="2"/>
  <c r="BB87" i="2"/>
  <c r="BA87" i="2"/>
  <c r="AZ87" i="2"/>
  <c r="AY87" i="2"/>
  <c r="AX87" i="2"/>
  <c r="AW87" i="2"/>
  <c r="AV87" i="2"/>
  <c r="AU87" i="2"/>
  <c r="AT87" i="2"/>
  <c r="AS87" i="2"/>
  <c r="AR87" i="2"/>
  <c r="AQ87" i="2"/>
  <c r="AP87" i="2"/>
  <c r="AO87" i="2"/>
  <c r="AN87" i="2"/>
  <c r="AM87" i="2"/>
  <c r="AL87" i="2"/>
  <c r="AK87" i="2"/>
  <c r="AJ87" i="2"/>
  <c r="AI87" i="2"/>
  <c r="AH87" i="2"/>
  <c r="AG87" i="2"/>
  <c r="AF87" i="2"/>
  <c r="AE87" i="2"/>
  <c r="AD87" i="2"/>
  <c r="AC87" i="2"/>
  <c r="AB87" i="2"/>
  <c r="AA87" i="2"/>
  <c r="Z87" i="2"/>
  <c r="Y87" i="2"/>
  <c r="X87" i="2"/>
  <c r="W87" i="2"/>
  <c r="V87" i="2"/>
  <c r="U87" i="2"/>
  <c r="T87" i="2"/>
  <c r="R87" i="2"/>
  <c r="S87" i="2"/>
  <c r="EU77" i="2"/>
  <c r="ET77" i="2"/>
  <c r="ES77" i="2"/>
  <c r="ER77" i="2"/>
  <c r="EQ77" i="2"/>
  <c r="EP77" i="2"/>
  <c r="EO77" i="2"/>
  <c r="EN77" i="2"/>
  <c r="EM77" i="2"/>
  <c r="EL77" i="2"/>
  <c r="EK77" i="2"/>
  <c r="EJ77" i="2"/>
  <c r="EI77" i="2"/>
  <c r="EH77" i="2"/>
  <c r="EG77" i="2"/>
  <c r="EF77" i="2"/>
  <c r="EE77" i="2"/>
  <c r="ED77" i="2"/>
  <c r="EC77" i="2"/>
  <c r="EB77" i="2"/>
  <c r="EA77" i="2"/>
  <c r="DZ77" i="2"/>
  <c r="DY77" i="2"/>
  <c r="DX77" i="2"/>
  <c r="DW77" i="2"/>
  <c r="DV77" i="2"/>
  <c r="DU77" i="2"/>
  <c r="DT77" i="2"/>
  <c r="DS77" i="2"/>
  <c r="DR77" i="2"/>
  <c r="DQ77" i="2"/>
  <c r="DP77" i="2"/>
  <c r="DO77" i="2"/>
  <c r="DN77" i="2"/>
  <c r="DM77" i="2"/>
  <c r="DL77" i="2"/>
  <c r="DK77" i="2"/>
  <c r="DJ77" i="2"/>
  <c r="DI77" i="2"/>
  <c r="DH77" i="2"/>
  <c r="DG77" i="2"/>
  <c r="DF77" i="2"/>
  <c r="DE77" i="2"/>
  <c r="DD77" i="2"/>
  <c r="DC77" i="2"/>
  <c r="DB77" i="2"/>
  <c r="DA77" i="2"/>
  <c r="CZ77" i="2"/>
  <c r="CY77" i="2"/>
  <c r="CX77" i="2"/>
  <c r="CW77" i="2"/>
  <c r="CV77" i="2"/>
  <c r="CU77" i="2"/>
  <c r="CT77" i="2"/>
  <c r="CS77" i="2"/>
  <c r="CR77" i="2"/>
  <c r="CQ77" i="2"/>
  <c r="CP77" i="2"/>
  <c r="CO77" i="2"/>
  <c r="CN77" i="2"/>
  <c r="CM77" i="2"/>
  <c r="CL77" i="2"/>
  <c r="CK77" i="2"/>
  <c r="CJ77" i="2"/>
  <c r="CI77" i="2"/>
  <c r="CH77" i="2"/>
  <c r="CG77" i="2"/>
  <c r="CF77" i="2"/>
  <c r="CE77" i="2"/>
  <c r="CD77" i="2"/>
  <c r="CC77" i="2"/>
  <c r="CB77" i="2"/>
  <c r="CA77" i="2"/>
  <c r="BZ77" i="2"/>
  <c r="BY77" i="2"/>
  <c r="BX77" i="2"/>
  <c r="BW77" i="2"/>
  <c r="BV77" i="2"/>
  <c r="BU77" i="2"/>
  <c r="BT77" i="2"/>
  <c r="BS77" i="2"/>
  <c r="BR77" i="2"/>
  <c r="BQ77" i="2"/>
  <c r="BP77" i="2"/>
  <c r="BO77" i="2"/>
  <c r="BN77" i="2"/>
  <c r="BM77" i="2"/>
  <c r="BL77" i="2"/>
  <c r="BK77" i="2"/>
  <c r="BJ77" i="2"/>
  <c r="BI77" i="2"/>
  <c r="BH77" i="2"/>
  <c r="BG77" i="2"/>
  <c r="BF77" i="2"/>
  <c r="BE77" i="2"/>
  <c r="BD77" i="2"/>
  <c r="BC77" i="2"/>
  <c r="BB77" i="2"/>
  <c r="BA77" i="2"/>
  <c r="AZ77" i="2"/>
  <c r="AY77" i="2"/>
  <c r="AX77" i="2"/>
  <c r="AW77" i="2"/>
  <c r="AV77" i="2"/>
  <c r="AU77" i="2"/>
  <c r="AT77" i="2"/>
  <c r="AS77" i="2"/>
  <c r="AR77" i="2"/>
  <c r="AQ77" i="2"/>
  <c r="AP77" i="2"/>
  <c r="AO77" i="2"/>
  <c r="AN77" i="2"/>
  <c r="AM77" i="2"/>
  <c r="AL77" i="2"/>
  <c r="AK77" i="2"/>
  <c r="AJ77" i="2"/>
  <c r="AI77" i="2"/>
  <c r="AH77" i="2"/>
  <c r="AG77" i="2"/>
  <c r="AF77" i="2"/>
  <c r="AE77" i="2"/>
  <c r="AD77" i="2"/>
  <c r="AC77" i="2"/>
  <c r="AB77" i="2"/>
  <c r="AA77" i="2"/>
  <c r="Z77" i="2"/>
  <c r="Y77" i="2"/>
  <c r="X77" i="2"/>
  <c r="W77" i="2"/>
  <c r="V77" i="2"/>
  <c r="U77" i="2"/>
  <c r="T77" i="2"/>
  <c r="S77" i="2"/>
  <c r="EU76" i="2"/>
  <c r="ET76" i="2"/>
  <c r="ES76" i="2"/>
  <c r="ER76" i="2"/>
  <c r="EQ76" i="2"/>
  <c r="EP76" i="2"/>
  <c r="EO76" i="2"/>
  <c r="EN76" i="2"/>
  <c r="EM76" i="2"/>
  <c r="EL76" i="2"/>
  <c r="EK76" i="2"/>
  <c r="EJ76" i="2"/>
  <c r="EI76" i="2"/>
  <c r="EH76" i="2"/>
  <c r="EG76" i="2"/>
  <c r="EF76" i="2"/>
  <c r="EE76" i="2"/>
  <c r="ED76" i="2"/>
  <c r="EC76" i="2"/>
  <c r="EB76" i="2"/>
  <c r="EA76" i="2"/>
  <c r="DZ76" i="2"/>
  <c r="DY76" i="2"/>
  <c r="DX76" i="2"/>
  <c r="DW76" i="2"/>
  <c r="DV76" i="2"/>
  <c r="DU76" i="2"/>
  <c r="DT76" i="2"/>
  <c r="DS76" i="2"/>
  <c r="DR76" i="2"/>
  <c r="DQ76" i="2"/>
  <c r="DP76" i="2"/>
  <c r="DO76" i="2"/>
  <c r="DN76" i="2"/>
  <c r="DM76" i="2"/>
  <c r="DL76" i="2"/>
  <c r="DK76" i="2"/>
  <c r="DJ76" i="2"/>
  <c r="DI76" i="2"/>
  <c r="DH76" i="2"/>
  <c r="DG76" i="2"/>
  <c r="DF76" i="2"/>
  <c r="DE76" i="2"/>
  <c r="DD76" i="2"/>
  <c r="DC76" i="2"/>
  <c r="DB76" i="2"/>
  <c r="DA76" i="2"/>
  <c r="CZ76" i="2"/>
  <c r="CY76" i="2"/>
  <c r="CX76" i="2"/>
  <c r="CW76" i="2"/>
  <c r="CV76" i="2"/>
  <c r="CU76" i="2"/>
  <c r="CT76" i="2"/>
  <c r="CS76" i="2"/>
  <c r="CR76" i="2"/>
  <c r="CQ76" i="2"/>
  <c r="CP76" i="2"/>
  <c r="CO76" i="2"/>
  <c r="CN76" i="2"/>
  <c r="CM76" i="2"/>
  <c r="CL76" i="2"/>
  <c r="CK76" i="2"/>
  <c r="CJ76" i="2"/>
  <c r="CI76" i="2"/>
  <c r="CH76" i="2"/>
  <c r="CG76" i="2"/>
  <c r="CF76" i="2"/>
  <c r="CE76" i="2"/>
  <c r="CD76" i="2"/>
  <c r="CC76" i="2"/>
  <c r="CB76" i="2"/>
  <c r="CA76" i="2"/>
  <c r="BZ76" i="2"/>
  <c r="BY76" i="2"/>
  <c r="BX76" i="2"/>
  <c r="BW76" i="2"/>
  <c r="BV76" i="2"/>
  <c r="BU76" i="2"/>
  <c r="BT76" i="2"/>
  <c r="BS76" i="2"/>
  <c r="BR76" i="2"/>
  <c r="BQ76" i="2"/>
  <c r="BP76" i="2"/>
  <c r="BO76" i="2"/>
  <c r="BN76" i="2"/>
  <c r="BM76" i="2"/>
  <c r="BL76" i="2"/>
  <c r="BK76" i="2"/>
  <c r="BJ76" i="2"/>
  <c r="BI76" i="2"/>
  <c r="BH76" i="2"/>
  <c r="BG76" i="2"/>
  <c r="BF76" i="2"/>
  <c r="BE76" i="2"/>
  <c r="BD76" i="2"/>
  <c r="BC76" i="2"/>
  <c r="BB76" i="2"/>
  <c r="BA76" i="2"/>
  <c r="AZ76" i="2"/>
  <c r="AY76" i="2"/>
  <c r="AX76" i="2"/>
  <c r="AW76" i="2"/>
  <c r="AV76" i="2"/>
  <c r="AU76" i="2"/>
  <c r="AT76" i="2"/>
  <c r="AS76" i="2"/>
  <c r="AR76" i="2"/>
  <c r="AQ76" i="2"/>
  <c r="AP76" i="2"/>
  <c r="AO76" i="2"/>
  <c r="AN76" i="2"/>
  <c r="AM76" i="2"/>
  <c r="AL76" i="2"/>
  <c r="AK76" i="2"/>
  <c r="AJ76" i="2"/>
  <c r="AI76" i="2"/>
  <c r="AH76" i="2"/>
  <c r="AG76" i="2"/>
  <c r="AF76" i="2"/>
  <c r="AE76" i="2"/>
  <c r="AD76" i="2"/>
  <c r="AC76" i="2"/>
  <c r="AB76" i="2"/>
  <c r="AA76" i="2"/>
  <c r="Z76" i="2"/>
  <c r="Y76" i="2"/>
  <c r="X76" i="2"/>
  <c r="W76" i="2"/>
  <c r="V76" i="2"/>
  <c r="U76" i="2"/>
  <c r="T76" i="2"/>
  <c r="S76" i="2"/>
  <c r="S205" i="2"/>
  <c r="R206" i="2"/>
  <c r="R208" i="2"/>
  <c r="R209" i="2"/>
  <c r="S2" i="2"/>
  <c r="S18" i="2"/>
  <c r="T19" i="2"/>
  <c r="U19" i="2" s="1"/>
  <c r="U4" i="2" s="1"/>
  <c r="T4" i="2" l="1"/>
  <c r="U18" i="2"/>
  <c r="U2" i="2" s="1"/>
  <c r="V19" i="2"/>
  <c r="V4" i="2" s="1"/>
  <c r="T18" i="2"/>
  <c r="T2" i="2" s="1"/>
  <c r="I118" i="2"/>
  <c r="I117" i="2"/>
  <c r="I116" i="2"/>
  <c r="I115" i="2"/>
  <c r="I114" i="2"/>
  <c r="V18" i="2" l="1"/>
  <c r="V2" i="2" s="1"/>
  <c r="W19" i="2"/>
  <c r="W4" i="2" s="1"/>
  <c r="K106" i="2"/>
  <c r="X19" i="2" l="1"/>
  <c r="W18" i="2"/>
  <c r="W2" i="2" s="1"/>
  <c r="K19" i="2"/>
  <c r="FC199" i="2"/>
  <c r="EX202" i="2"/>
  <c r="EX201" i="2"/>
  <c r="EY202" i="2"/>
  <c r="EY201" i="2"/>
  <c r="FA200" i="2"/>
  <c r="FA199" i="2"/>
  <c r="EY200" i="2"/>
  <c r="EY199" i="2"/>
  <c r="FC200" i="2" s="1"/>
  <c r="F76" i="2" l="1"/>
  <c r="G76" i="2" s="1"/>
  <c r="G47" i="2"/>
  <c r="S222" i="2"/>
  <c r="X18" i="2"/>
  <c r="X2" i="2" s="1"/>
  <c r="X4" i="2"/>
  <c r="S4" i="2"/>
  <c r="PR119" i="2"/>
  <c r="PR118" i="2"/>
  <c r="PR117" i="2"/>
  <c r="PR116" i="2"/>
  <c r="PR115" i="2"/>
  <c r="PR114" i="2"/>
  <c r="PT113" i="2"/>
  <c r="PT112" i="2" s="1"/>
  <c r="PS112" i="2"/>
  <c r="F77" i="2" l="1"/>
  <c r="G77" i="2" s="1"/>
  <c r="PU113" i="2"/>
  <c r="PV113" i="2" s="1"/>
  <c r="PU112" i="2" l="1"/>
  <c r="PW113" i="2"/>
  <c r="PV112" i="2"/>
  <c r="PW112" i="2" l="1"/>
  <c r="PX113" i="2"/>
  <c r="P33" i="5"/>
  <c r="U13" i="5"/>
  <c r="U14" i="5" s="1"/>
  <c r="T13" i="5"/>
  <c r="T14" i="5" s="1"/>
  <c r="S13" i="5"/>
  <c r="S14" i="5" s="1"/>
  <c r="R13" i="5"/>
  <c r="Q13" i="5"/>
  <c r="Q14" i="5" s="1"/>
  <c r="P30" i="5"/>
  <c r="P29" i="5"/>
  <c r="P28" i="5"/>
  <c r="P27" i="5"/>
  <c r="P26" i="5"/>
  <c r="P25" i="5"/>
  <c r="P24" i="5"/>
  <c r="P23" i="5"/>
  <c r="P22" i="5"/>
  <c r="P21" i="5"/>
  <c r="P20" i="5"/>
  <c r="P18" i="5"/>
  <c r="P17" i="5"/>
  <c r="P16" i="5"/>
  <c r="P15" i="5"/>
  <c r="P14" i="5"/>
  <c r="P13" i="5"/>
  <c r="P12" i="5"/>
  <c r="P10" i="5"/>
  <c r="P11" i="5"/>
  <c r="W9" i="5"/>
  <c r="V9" i="5"/>
  <c r="U9" i="5"/>
  <c r="S9" i="5" s="1"/>
  <c r="R9" i="5" s="1"/>
  <c r="Q9" i="5" s="1"/>
  <c r="M107" i="5"/>
  <c r="F107" i="5"/>
  <c r="L17" i="5"/>
  <c r="L24" i="5"/>
  <c r="L31" i="5"/>
  <c r="B2" i="5"/>
  <c r="I135" i="5"/>
  <c r="I133" i="5"/>
  <c r="I131" i="5"/>
  <c r="I130" i="5"/>
  <c r="I129" i="5"/>
  <c r="I128" i="5"/>
  <c r="I127" i="5"/>
  <c r="I126" i="5"/>
  <c r="I125" i="5"/>
  <c r="I123" i="5"/>
  <c r="I122" i="5"/>
  <c r="I121" i="5"/>
  <c r="I120" i="5"/>
  <c r="I119" i="5"/>
  <c r="I118" i="5"/>
  <c r="I116" i="5"/>
  <c r="I115" i="5"/>
  <c r="I114" i="5"/>
  <c r="I113" i="5"/>
  <c r="I112" i="5"/>
  <c r="I111" i="5"/>
  <c r="I110" i="5"/>
  <c r="I108" i="5"/>
  <c r="I107" i="5"/>
  <c r="I106" i="5"/>
  <c r="I103" i="5"/>
  <c r="I101" i="5"/>
  <c r="I100" i="5"/>
  <c r="I99" i="5"/>
  <c r="I98" i="5"/>
  <c r="I96" i="5"/>
  <c r="I95" i="5"/>
  <c r="I94" i="5"/>
  <c r="I93" i="5"/>
  <c r="I92" i="5"/>
  <c r="I91" i="5"/>
  <c r="I90" i="5"/>
  <c r="I88" i="5"/>
  <c r="I87" i="5"/>
  <c r="I86" i="5"/>
  <c r="I85" i="5"/>
  <c r="I84" i="5"/>
  <c r="I83" i="5"/>
  <c r="I82" i="5"/>
  <c r="I81" i="5"/>
  <c r="I80" i="5"/>
  <c r="I79" i="5"/>
  <c r="I78" i="5"/>
  <c r="I77" i="5"/>
  <c r="I76" i="5"/>
  <c r="I75" i="5"/>
  <c r="I73" i="5"/>
  <c r="I72" i="5"/>
  <c r="I71" i="5"/>
  <c r="I70" i="5"/>
  <c r="I69" i="5"/>
  <c r="I68" i="5"/>
  <c r="I67" i="5"/>
  <c r="I66" i="5"/>
  <c r="I64" i="5"/>
  <c r="I63" i="5"/>
  <c r="I62" i="5"/>
  <c r="I61" i="5"/>
  <c r="I60" i="5"/>
  <c r="I59" i="5"/>
  <c r="I58" i="5"/>
  <c r="I57" i="5"/>
  <c r="I56" i="5"/>
  <c r="I55" i="5"/>
  <c r="I54" i="5"/>
  <c r="I53" i="5"/>
  <c r="I52" i="5"/>
  <c r="I50" i="5"/>
  <c r="I49" i="5"/>
  <c r="I48" i="5"/>
  <c r="I47" i="5"/>
  <c r="I46" i="5"/>
  <c r="I45" i="5"/>
  <c r="I44" i="5"/>
  <c r="I43" i="5"/>
  <c r="I42" i="5"/>
  <c r="I41" i="5"/>
  <c r="I40" i="5"/>
  <c r="I39" i="5"/>
  <c r="I38" i="5"/>
  <c r="I37" i="5"/>
  <c r="I36" i="5"/>
  <c r="I35" i="5"/>
  <c r="I33" i="5"/>
  <c r="I31" i="5"/>
  <c r="I30" i="5"/>
  <c r="I29" i="5"/>
  <c r="I28" i="5"/>
  <c r="I27" i="5"/>
  <c r="I26" i="5"/>
  <c r="I25" i="5"/>
  <c r="I24" i="5"/>
  <c r="I23" i="5"/>
  <c r="I22" i="5"/>
  <c r="I21" i="5"/>
  <c r="I20" i="5"/>
  <c r="I19" i="5"/>
  <c r="I18" i="5"/>
  <c r="I17" i="5"/>
  <c r="I16" i="5"/>
  <c r="I15" i="5"/>
  <c r="I14" i="5"/>
  <c r="I13" i="5"/>
  <c r="I12" i="5"/>
  <c r="I11" i="5"/>
  <c r="I10" i="5"/>
  <c r="L116" i="5"/>
  <c r="M101" i="5"/>
  <c r="L96" i="5"/>
  <c r="L88" i="5"/>
  <c r="L73" i="5"/>
  <c r="L64" i="5"/>
  <c r="K47" i="5"/>
  <c r="J47" i="5"/>
  <c r="L46" i="5"/>
  <c r="L45" i="5"/>
  <c r="L44" i="5"/>
  <c r="L43" i="5"/>
  <c r="L42" i="5"/>
  <c r="L41" i="5"/>
  <c r="L40" i="5"/>
  <c r="L39" i="5"/>
  <c r="L38" i="5"/>
  <c r="L37" i="5"/>
  <c r="L36" i="5"/>
  <c r="N35" i="5"/>
  <c r="N52" i="5" s="1"/>
  <c r="E17" i="5"/>
  <c r="E24" i="5"/>
  <c r="E31" i="5"/>
  <c r="E36" i="5"/>
  <c r="E37" i="5"/>
  <c r="E38" i="5"/>
  <c r="E39" i="5"/>
  <c r="E40" i="5"/>
  <c r="E41" i="5"/>
  <c r="E42" i="5"/>
  <c r="E43" i="5"/>
  <c r="E44" i="5"/>
  <c r="E45" i="5"/>
  <c r="E46" i="5"/>
  <c r="C47" i="5"/>
  <c r="D47" i="5"/>
  <c r="E64" i="5"/>
  <c r="E73" i="5"/>
  <c r="E88" i="5"/>
  <c r="E96" i="5"/>
  <c r="F101" i="5"/>
  <c r="E116" i="5"/>
  <c r="N66" i="5" l="1"/>
  <c r="N75" i="5" s="1"/>
  <c r="N90" i="5" s="1"/>
  <c r="N98" i="5" s="1"/>
  <c r="N106" i="5" s="1"/>
  <c r="N110" i="5" s="1"/>
  <c r="N125" i="5" s="1"/>
  <c r="E33" i="5"/>
  <c r="PY113" i="2"/>
  <c r="PX112" i="2"/>
  <c r="R14" i="5"/>
  <c r="R15" i="5" s="1"/>
  <c r="T15" i="5"/>
  <c r="Q15" i="5"/>
  <c r="S15" i="5"/>
  <c r="U15" i="5"/>
  <c r="L47" i="5"/>
  <c r="L48" i="5" s="1"/>
  <c r="T9" i="5"/>
  <c r="L33" i="5"/>
  <c r="G35" i="5"/>
  <c r="G52" i="5" s="1"/>
  <c r="E47" i="5"/>
  <c r="G66" i="5" l="1"/>
  <c r="G75" i="5" s="1"/>
  <c r="G90" i="5" s="1"/>
  <c r="G98" i="5" s="1"/>
  <c r="G106" i="5" s="1"/>
  <c r="G110" i="5" s="1"/>
  <c r="G125" i="5" s="1"/>
  <c r="PY112" i="2"/>
  <c r="PZ113" i="2"/>
  <c r="R16" i="5"/>
  <c r="R17" i="5"/>
  <c r="U16" i="5"/>
  <c r="U18" i="5" s="1"/>
  <c r="U17" i="5"/>
  <c r="S16" i="5"/>
  <c r="S17" i="5"/>
  <c r="Q17" i="5"/>
  <c r="Q16" i="5"/>
  <c r="Q18" i="5" s="1"/>
  <c r="Q27" i="5" s="1"/>
  <c r="T16" i="5"/>
  <c r="T17" i="5"/>
  <c r="E48" i="5"/>
  <c r="S18" i="5" l="1"/>
  <c r="T18" i="5"/>
  <c r="R18" i="5"/>
  <c r="PZ112" i="2"/>
  <c r="QA113" i="2"/>
  <c r="T27" i="5"/>
  <c r="S27" i="5"/>
  <c r="R27" i="5"/>
  <c r="U27" i="5"/>
  <c r="QB113" i="2" l="1"/>
  <c r="QA112" i="2"/>
  <c r="EZ41" i="2"/>
  <c r="FA41" i="2" s="1"/>
  <c r="EW41" i="2"/>
  <c r="EZ33" i="2"/>
  <c r="FA33" i="2" s="1"/>
  <c r="EW33" i="2"/>
  <c r="EZ26" i="2"/>
  <c r="FA26" i="2" s="1"/>
  <c r="EW26" i="2"/>
  <c r="QB112" i="2" l="1"/>
  <c r="QC113" i="2"/>
  <c r="EZ43" i="2"/>
  <c r="EZ35" i="2"/>
  <c r="EZ28" i="2"/>
  <c r="QD113" i="2" l="1"/>
  <c r="QC112" i="2"/>
  <c r="KN112" i="2"/>
  <c r="KN134" i="2" s="1"/>
  <c r="FD112" i="2"/>
  <c r="FD134" i="2" s="1"/>
  <c r="QE113" i="2" l="1"/>
  <c r="QD112" i="2"/>
  <c r="KN124" i="2"/>
  <c r="FD124" i="2"/>
  <c r="G6" i="4"/>
  <c r="QE112" i="2" l="1"/>
  <c r="QF113" i="2"/>
  <c r="I133" i="2"/>
  <c r="FC144" i="2"/>
  <c r="FD144" i="2" s="1"/>
  <c r="F22" i="1" l="1"/>
  <c r="QG113" i="2"/>
  <c r="QF112" i="2"/>
  <c r="G62" i="2"/>
  <c r="F62" i="2" s="1"/>
  <c r="QG112" i="2" l="1"/>
  <c r="QH113" i="2"/>
  <c r="J237" i="2"/>
  <c r="QH112" i="2" l="1"/>
  <c r="QI113" i="2"/>
  <c r="A242" i="2"/>
  <c r="F241" i="2"/>
  <c r="J233" i="2"/>
  <c r="QJ113" i="2" l="1"/>
  <c r="QI112" i="2"/>
  <c r="I2" i="2"/>
  <c r="QJ112" i="2" l="1"/>
  <c r="QK113" i="2"/>
  <c r="L20" i="1"/>
  <c r="L19" i="1"/>
  <c r="O25" i="1"/>
  <c r="B33" i="1"/>
  <c r="B32" i="1"/>
  <c r="B31" i="1"/>
  <c r="B30" i="1"/>
  <c r="QL113" i="2" l="1"/>
  <c r="QK112" i="2"/>
  <c r="K18" i="1"/>
  <c r="J18" i="1"/>
  <c r="I18" i="1"/>
  <c r="E14" i="1"/>
  <c r="E12" i="1"/>
  <c r="E11" i="1"/>
  <c r="E10" i="1"/>
  <c r="E9" i="1"/>
  <c r="D9" i="1" s="1"/>
  <c r="QM113" i="2" l="1"/>
  <c r="QL112" i="2"/>
  <c r="E5" i="1"/>
  <c r="P3" i="1"/>
  <c r="R3" i="4" s="1"/>
  <c r="QM112" i="2" l="1"/>
  <c r="QN113" i="2"/>
  <c r="P2" i="1"/>
  <c r="R2" i="4" s="1"/>
  <c r="B3" i="1"/>
  <c r="B3" i="4" s="1"/>
  <c r="B2" i="4"/>
  <c r="QO113" i="2" l="1"/>
  <c r="QN112" i="2"/>
  <c r="FD253" i="2"/>
  <c r="FE253" i="2" s="1"/>
  <c r="FF253" i="2" s="1"/>
  <c r="FG253" i="2" s="1"/>
  <c r="FH253" i="2" s="1"/>
  <c r="FI253" i="2" s="1"/>
  <c r="FJ253" i="2" s="1"/>
  <c r="FK253" i="2" s="1"/>
  <c r="FL253" i="2" s="1"/>
  <c r="FM253" i="2" s="1"/>
  <c r="FN253" i="2" s="1"/>
  <c r="FO253" i="2" s="1"/>
  <c r="FP253" i="2" s="1"/>
  <c r="FQ253" i="2" s="1"/>
  <c r="FR253" i="2" s="1"/>
  <c r="FS253" i="2" s="1"/>
  <c r="FT253" i="2" s="1"/>
  <c r="FU253" i="2" s="1"/>
  <c r="FV253" i="2" s="1"/>
  <c r="FW253" i="2" s="1"/>
  <c r="FX253" i="2" s="1"/>
  <c r="FY253" i="2" s="1"/>
  <c r="FZ253" i="2" s="1"/>
  <c r="GA253" i="2" s="1"/>
  <c r="GB253" i="2" s="1"/>
  <c r="GC253" i="2" s="1"/>
  <c r="GD253" i="2" s="1"/>
  <c r="GE253" i="2" s="1"/>
  <c r="GF253" i="2" s="1"/>
  <c r="GG253" i="2" s="1"/>
  <c r="GH253" i="2" s="1"/>
  <c r="GI253" i="2" s="1"/>
  <c r="GJ253" i="2" s="1"/>
  <c r="GK253" i="2" s="1"/>
  <c r="GL253" i="2" s="1"/>
  <c r="GM253" i="2" s="1"/>
  <c r="GN253" i="2" s="1"/>
  <c r="GO253" i="2" s="1"/>
  <c r="GP253" i="2" s="1"/>
  <c r="GQ253" i="2" s="1"/>
  <c r="GR253" i="2" s="1"/>
  <c r="GS253" i="2" s="1"/>
  <c r="GT253" i="2" s="1"/>
  <c r="GU253" i="2" s="1"/>
  <c r="GV253" i="2" s="1"/>
  <c r="GW253" i="2" s="1"/>
  <c r="GX253" i="2" s="1"/>
  <c r="GY253" i="2" s="1"/>
  <c r="GZ253" i="2" s="1"/>
  <c r="HA253" i="2" s="1"/>
  <c r="HB253" i="2" s="1"/>
  <c r="HC253" i="2" s="1"/>
  <c r="HD253" i="2" s="1"/>
  <c r="HE253" i="2" s="1"/>
  <c r="HF253" i="2" s="1"/>
  <c r="HG253" i="2" s="1"/>
  <c r="HH253" i="2" s="1"/>
  <c r="HI253" i="2" s="1"/>
  <c r="HJ253" i="2" s="1"/>
  <c r="HK253" i="2" s="1"/>
  <c r="HL253" i="2" s="1"/>
  <c r="HM253" i="2" s="1"/>
  <c r="HN253" i="2" s="1"/>
  <c r="HO253" i="2" s="1"/>
  <c r="HP253" i="2" s="1"/>
  <c r="HQ253" i="2" s="1"/>
  <c r="HR253" i="2" s="1"/>
  <c r="HS253" i="2" s="1"/>
  <c r="HT253" i="2" s="1"/>
  <c r="HU253" i="2" s="1"/>
  <c r="HV253" i="2" s="1"/>
  <c r="HW253" i="2" s="1"/>
  <c r="HX253" i="2" s="1"/>
  <c r="HY253" i="2" s="1"/>
  <c r="HZ253" i="2" s="1"/>
  <c r="IA253" i="2" s="1"/>
  <c r="IB253" i="2" s="1"/>
  <c r="IC253" i="2" s="1"/>
  <c r="ID253" i="2" s="1"/>
  <c r="IE253" i="2" s="1"/>
  <c r="IF253" i="2" s="1"/>
  <c r="IG253" i="2" s="1"/>
  <c r="IH253" i="2" s="1"/>
  <c r="II253" i="2" s="1"/>
  <c r="IJ253" i="2" s="1"/>
  <c r="IK253" i="2" s="1"/>
  <c r="IL253" i="2" s="1"/>
  <c r="IM253" i="2" s="1"/>
  <c r="IN253" i="2" s="1"/>
  <c r="IO253" i="2" s="1"/>
  <c r="IP253" i="2" s="1"/>
  <c r="IQ253" i="2" s="1"/>
  <c r="IR253" i="2" s="1"/>
  <c r="IS253" i="2" s="1"/>
  <c r="IT253" i="2" s="1"/>
  <c r="IU253" i="2" s="1"/>
  <c r="IV253" i="2" s="1"/>
  <c r="IW253" i="2" s="1"/>
  <c r="IX253" i="2" s="1"/>
  <c r="IY253" i="2" s="1"/>
  <c r="IZ253" i="2" s="1"/>
  <c r="JA253" i="2" s="1"/>
  <c r="JB253" i="2" s="1"/>
  <c r="JC253" i="2" s="1"/>
  <c r="JD253" i="2" s="1"/>
  <c r="JE253" i="2" s="1"/>
  <c r="JF253" i="2" s="1"/>
  <c r="JG253" i="2" s="1"/>
  <c r="JH253" i="2" s="1"/>
  <c r="JI253" i="2" s="1"/>
  <c r="JJ253" i="2" s="1"/>
  <c r="JK253" i="2" s="1"/>
  <c r="JL253" i="2" s="1"/>
  <c r="JM253" i="2" s="1"/>
  <c r="JN253" i="2" s="1"/>
  <c r="JO253" i="2" s="1"/>
  <c r="JP253" i="2" s="1"/>
  <c r="JQ253" i="2" s="1"/>
  <c r="JR253" i="2" s="1"/>
  <c r="JS253" i="2" s="1"/>
  <c r="JT253" i="2" s="1"/>
  <c r="JU253" i="2" s="1"/>
  <c r="JV253" i="2" s="1"/>
  <c r="JW253" i="2" s="1"/>
  <c r="JX253" i="2" s="1"/>
  <c r="JY253" i="2" s="1"/>
  <c r="JZ253" i="2" s="1"/>
  <c r="KA253" i="2" s="1"/>
  <c r="KB253" i="2" s="1"/>
  <c r="KC253" i="2" s="1"/>
  <c r="KD253" i="2" s="1"/>
  <c r="KE253" i="2" s="1"/>
  <c r="EY240" i="2"/>
  <c r="FD240" i="2"/>
  <c r="FE240" i="2" s="1"/>
  <c r="FF240" i="2" s="1"/>
  <c r="FG240" i="2" s="1"/>
  <c r="FH240" i="2" s="1"/>
  <c r="FI240" i="2" s="1"/>
  <c r="FJ240" i="2" s="1"/>
  <c r="FK240" i="2" s="1"/>
  <c r="FL240" i="2" s="1"/>
  <c r="FM240" i="2" s="1"/>
  <c r="FN240" i="2" s="1"/>
  <c r="FO240" i="2" s="1"/>
  <c r="FP240" i="2" s="1"/>
  <c r="FQ240" i="2" s="1"/>
  <c r="FR240" i="2" s="1"/>
  <c r="FS240" i="2" s="1"/>
  <c r="FT240" i="2" s="1"/>
  <c r="FU240" i="2" s="1"/>
  <c r="FV240" i="2" s="1"/>
  <c r="FW240" i="2" s="1"/>
  <c r="FX240" i="2" s="1"/>
  <c r="FY240" i="2" s="1"/>
  <c r="FZ240" i="2" s="1"/>
  <c r="GA240" i="2" s="1"/>
  <c r="GB240" i="2" s="1"/>
  <c r="GC240" i="2" s="1"/>
  <c r="GD240" i="2" s="1"/>
  <c r="GE240" i="2" s="1"/>
  <c r="GF240" i="2" s="1"/>
  <c r="GG240" i="2" s="1"/>
  <c r="GH240" i="2" s="1"/>
  <c r="GI240" i="2" s="1"/>
  <c r="GJ240" i="2" s="1"/>
  <c r="GK240" i="2" s="1"/>
  <c r="GL240" i="2" s="1"/>
  <c r="GM240" i="2" s="1"/>
  <c r="GN240" i="2" s="1"/>
  <c r="GO240" i="2" s="1"/>
  <c r="GP240" i="2" s="1"/>
  <c r="GQ240" i="2" s="1"/>
  <c r="GR240" i="2" s="1"/>
  <c r="GS240" i="2" s="1"/>
  <c r="GT240" i="2" s="1"/>
  <c r="GU240" i="2" s="1"/>
  <c r="GV240" i="2" s="1"/>
  <c r="GW240" i="2" s="1"/>
  <c r="GX240" i="2" s="1"/>
  <c r="GY240" i="2" s="1"/>
  <c r="GZ240" i="2" s="1"/>
  <c r="HA240" i="2" s="1"/>
  <c r="HB240" i="2" s="1"/>
  <c r="HC240" i="2" s="1"/>
  <c r="HD240" i="2" s="1"/>
  <c r="HE240" i="2" s="1"/>
  <c r="HF240" i="2" s="1"/>
  <c r="HG240" i="2" s="1"/>
  <c r="HH240" i="2" s="1"/>
  <c r="HI240" i="2" s="1"/>
  <c r="HJ240" i="2" s="1"/>
  <c r="HK240" i="2" s="1"/>
  <c r="HL240" i="2" s="1"/>
  <c r="HM240" i="2" s="1"/>
  <c r="HN240" i="2" s="1"/>
  <c r="HO240" i="2" s="1"/>
  <c r="HP240" i="2" s="1"/>
  <c r="HQ240" i="2" s="1"/>
  <c r="HR240" i="2" s="1"/>
  <c r="HS240" i="2" s="1"/>
  <c r="HT240" i="2" s="1"/>
  <c r="HU240" i="2" s="1"/>
  <c r="HV240" i="2" s="1"/>
  <c r="HW240" i="2" s="1"/>
  <c r="HX240" i="2" s="1"/>
  <c r="HY240" i="2" s="1"/>
  <c r="HZ240" i="2" s="1"/>
  <c r="IA240" i="2" s="1"/>
  <c r="IB240" i="2" s="1"/>
  <c r="IC240" i="2" s="1"/>
  <c r="ID240" i="2" s="1"/>
  <c r="IE240" i="2" s="1"/>
  <c r="IF240" i="2" s="1"/>
  <c r="IG240" i="2" s="1"/>
  <c r="IH240" i="2" s="1"/>
  <c r="II240" i="2" s="1"/>
  <c r="IJ240" i="2" s="1"/>
  <c r="IK240" i="2" s="1"/>
  <c r="IL240" i="2" s="1"/>
  <c r="IM240" i="2" s="1"/>
  <c r="IN240" i="2" s="1"/>
  <c r="IO240" i="2" s="1"/>
  <c r="IP240" i="2" s="1"/>
  <c r="IQ240" i="2" s="1"/>
  <c r="IR240" i="2" s="1"/>
  <c r="IS240" i="2" s="1"/>
  <c r="IT240" i="2" s="1"/>
  <c r="IU240" i="2" s="1"/>
  <c r="IV240" i="2" s="1"/>
  <c r="IW240" i="2" s="1"/>
  <c r="IX240" i="2" s="1"/>
  <c r="IY240" i="2" s="1"/>
  <c r="IZ240" i="2" s="1"/>
  <c r="JA240" i="2" s="1"/>
  <c r="JB240" i="2" s="1"/>
  <c r="JC240" i="2" s="1"/>
  <c r="JD240" i="2" s="1"/>
  <c r="JE240" i="2" s="1"/>
  <c r="JF240" i="2" s="1"/>
  <c r="JG240" i="2" s="1"/>
  <c r="JH240" i="2" s="1"/>
  <c r="JI240" i="2" s="1"/>
  <c r="JJ240" i="2" s="1"/>
  <c r="JK240" i="2" s="1"/>
  <c r="JL240" i="2" s="1"/>
  <c r="JM240" i="2" s="1"/>
  <c r="JN240" i="2" s="1"/>
  <c r="JO240" i="2" s="1"/>
  <c r="JP240" i="2" s="1"/>
  <c r="JQ240" i="2" s="1"/>
  <c r="JR240" i="2" s="1"/>
  <c r="JS240" i="2" s="1"/>
  <c r="JT240" i="2" s="1"/>
  <c r="JU240" i="2" s="1"/>
  <c r="JV240" i="2" s="1"/>
  <c r="JW240" i="2" s="1"/>
  <c r="JX240" i="2" s="1"/>
  <c r="JY240" i="2" s="1"/>
  <c r="JZ240" i="2" s="1"/>
  <c r="KA240" i="2" s="1"/>
  <c r="KB240" i="2" s="1"/>
  <c r="KC240" i="2" s="1"/>
  <c r="KD240" i="2" s="1"/>
  <c r="KE240" i="2" s="1"/>
  <c r="EY228" i="2"/>
  <c r="FD228" i="2"/>
  <c r="FE228" i="2" s="1"/>
  <c r="FF228" i="2" s="1"/>
  <c r="FG228" i="2" s="1"/>
  <c r="FH228" i="2" s="1"/>
  <c r="FI228" i="2" s="1"/>
  <c r="FJ228" i="2" s="1"/>
  <c r="FK228" i="2" s="1"/>
  <c r="FL228" i="2" s="1"/>
  <c r="FM228" i="2" s="1"/>
  <c r="FN228" i="2" s="1"/>
  <c r="FO228" i="2" s="1"/>
  <c r="FP228" i="2" s="1"/>
  <c r="FQ228" i="2" s="1"/>
  <c r="FR228" i="2" s="1"/>
  <c r="FS228" i="2" s="1"/>
  <c r="FT228" i="2" s="1"/>
  <c r="FU228" i="2" s="1"/>
  <c r="FV228" i="2" s="1"/>
  <c r="FW228" i="2" s="1"/>
  <c r="FX228" i="2" s="1"/>
  <c r="FY228" i="2" s="1"/>
  <c r="FZ228" i="2" s="1"/>
  <c r="GA228" i="2" s="1"/>
  <c r="GB228" i="2" s="1"/>
  <c r="GC228" i="2" s="1"/>
  <c r="GD228" i="2" s="1"/>
  <c r="GE228" i="2" s="1"/>
  <c r="GF228" i="2" s="1"/>
  <c r="GG228" i="2" s="1"/>
  <c r="GH228" i="2" s="1"/>
  <c r="GI228" i="2" s="1"/>
  <c r="GJ228" i="2" s="1"/>
  <c r="GK228" i="2" s="1"/>
  <c r="GL228" i="2" s="1"/>
  <c r="GM228" i="2" s="1"/>
  <c r="GN228" i="2" s="1"/>
  <c r="GO228" i="2" s="1"/>
  <c r="GP228" i="2" s="1"/>
  <c r="GQ228" i="2" s="1"/>
  <c r="GR228" i="2" s="1"/>
  <c r="GS228" i="2" s="1"/>
  <c r="GT228" i="2" s="1"/>
  <c r="GU228" i="2" s="1"/>
  <c r="GV228" i="2" s="1"/>
  <c r="GW228" i="2" s="1"/>
  <c r="GX228" i="2" s="1"/>
  <c r="GY228" i="2" s="1"/>
  <c r="GZ228" i="2" s="1"/>
  <c r="HA228" i="2" s="1"/>
  <c r="HB228" i="2" s="1"/>
  <c r="HC228" i="2" s="1"/>
  <c r="HD228" i="2" s="1"/>
  <c r="HE228" i="2" s="1"/>
  <c r="HF228" i="2" s="1"/>
  <c r="HG228" i="2" s="1"/>
  <c r="HH228" i="2" s="1"/>
  <c r="HI228" i="2" s="1"/>
  <c r="HJ228" i="2" s="1"/>
  <c r="HK228" i="2" s="1"/>
  <c r="HL228" i="2" s="1"/>
  <c r="HM228" i="2" s="1"/>
  <c r="HN228" i="2" s="1"/>
  <c r="HO228" i="2" s="1"/>
  <c r="HP228" i="2" s="1"/>
  <c r="HQ228" i="2" s="1"/>
  <c r="HR228" i="2" s="1"/>
  <c r="HS228" i="2" s="1"/>
  <c r="HT228" i="2" s="1"/>
  <c r="HU228" i="2" s="1"/>
  <c r="HV228" i="2" s="1"/>
  <c r="HW228" i="2" s="1"/>
  <c r="HX228" i="2" s="1"/>
  <c r="HY228" i="2" s="1"/>
  <c r="HZ228" i="2" s="1"/>
  <c r="IA228" i="2" s="1"/>
  <c r="IB228" i="2" s="1"/>
  <c r="IC228" i="2" s="1"/>
  <c r="ID228" i="2" s="1"/>
  <c r="IE228" i="2" s="1"/>
  <c r="IF228" i="2" s="1"/>
  <c r="IG228" i="2" s="1"/>
  <c r="IH228" i="2" s="1"/>
  <c r="II228" i="2" s="1"/>
  <c r="IJ228" i="2" s="1"/>
  <c r="IK228" i="2" s="1"/>
  <c r="IL228" i="2" s="1"/>
  <c r="IM228" i="2" s="1"/>
  <c r="IN228" i="2" s="1"/>
  <c r="IO228" i="2" s="1"/>
  <c r="IP228" i="2" s="1"/>
  <c r="IQ228" i="2" s="1"/>
  <c r="IR228" i="2" s="1"/>
  <c r="IS228" i="2" s="1"/>
  <c r="IT228" i="2" s="1"/>
  <c r="IU228" i="2" s="1"/>
  <c r="IV228" i="2" s="1"/>
  <c r="IW228" i="2" s="1"/>
  <c r="IX228" i="2" s="1"/>
  <c r="IY228" i="2" s="1"/>
  <c r="IZ228" i="2" s="1"/>
  <c r="JA228" i="2" s="1"/>
  <c r="JB228" i="2" s="1"/>
  <c r="JC228" i="2" s="1"/>
  <c r="JD228" i="2" s="1"/>
  <c r="JE228" i="2" s="1"/>
  <c r="JF228" i="2" s="1"/>
  <c r="JG228" i="2" s="1"/>
  <c r="JH228" i="2" s="1"/>
  <c r="JI228" i="2" s="1"/>
  <c r="JJ228" i="2" s="1"/>
  <c r="JK228" i="2" s="1"/>
  <c r="JL228" i="2" s="1"/>
  <c r="JM228" i="2" s="1"/>
  <c r="JN228" i="2" s="1"/>
  <c r="JO228" i="2" s="1"/>
  <c r="JP228" i="2" s="1"/>
  <c r="JQ228" i="2" s="1"/>
  <c r="JR228" i="2" s="1"/>
  <c r="JS228" i="2" s="1"/>
  <c r="JT228" i="2" s="1"/>
  <c r="JU228" i="2" s="1"/>
  <c r="JV228" i="2" s="1"/>
  <c r="JW228" i="2" s="1"/>
  <c r="JX228" i="2" s="1"/>
  <c r="JY228" i="2" s="1"/>
  <c r="JZ228" i="2" s="1"/>
  <c r="KA228" i="2" s="1"/>
  <c r="KB228" i="2" s="1"/>
  <c r="KC228" i="2" s="1"/>
  <c r="KD228" i="2" s="1"/>
  <c r="KE228" i="2" s="1"/>
  <c r="FD206" i="2"/>
  <c r="FE206" i="2" s="1"/>
  <c r="FF206" i="2" s="1"/>
  <c r="FG206" i="2" s="1"/>
  <c r="FH206" i="2" s="1"/>
  <c r="FI206" i="2" s="1"/>
  <c r="FJ206" i="2" s="1"/>
  <c r="FK206" i="2" s="1"/>
  <c r="FL206" i="2" s="1"/>
  <c r="FM206" i="2" s="1"/>
  <c r="FN206" i="2" s="1"/>
  <c r="FO206" i="2" s="1"/>
  <c r="FP206" i="2" s="1"/>
  <c r="FQ206" i="2" s="1"/>
  <c r="FR206" i="2" s="1"/>
  <c r="FS206" i="2" s="1"/>
  <c r="FT206" i="2" s="1"/>
  <c r="FU206" i="2" s="1"/>
  <c r="FV206" i="2" s="1"/>
  <c r="FW206" i="2" s="1"/>
  <c r="FX206" i="2" s="1"/>
  <c r="FY206" i="2" s="1"/>
  <c r="FZ206" i="2" s="1"/>
  <c r="GA206" i="2" s="1"/>
  <c r="GB206" i="2" s="1"/>
  <c r="GC206" i="2" s="1"/>
  <c r="GD206" i="2" s="1"/>
  <c r="GE206" i="2" s="1"/>
  <c r="GF206" i="2" s="1"/>
  <c r="GG206" i="2" s="1"/>
  <c r="GH206" i="2" s="1"/>
  <c r="GI206" i="2" s="1"/>
  <c r="GJ206" i="2" s="1"/>
  <c r="GK206" i="2" s="1"/>
  <c r="GL206" i="2" s="1"/>
  <c r="GM206" i="2" s="1"/>
  <c r="GN206" i="2" s="1"/>
  <c r="GO206" i="2" s="1"/>
  <c r="GP206" i="2" s="1"/>
  <c r="GQ206" i="2" s="1"/>
  <c r="GR206" i="2" s="1"/>
  <c r="GS206" i="2" s="1"/>
  <c r="GT206" i="2" s="1"/>
  <c r="GU206" i="2" s="1"/>
  <c r="GV206" i="2" s="1"/>
  <c r="GW206" i="2" s="1"/>
  <c r="GX206" i="2" s="1"/>
  <c r="GY206" i="2" s="1"/>
  <c r="GZ206" i="2" s="1"/>
  <c r="HA206" i="2" s="1"/>
  <c r="HB206" i="2" s="1"/>
  <c r="HC206" i="2" s="1"/>
  <c r="HD206" i="2" s="1"/>
  <c r="HE206" i="2" s="1"/>
  <c r="HF206" i="2" s="1"/>
  <c r="HG206" i="2" s="1"/>
  <c r="HH206" i="2" s="1"/>
  <c r="HI206" i="2" s="1"/>
  <c r="HJ206" i="2" s="1"/>
  <c r="HK206" i="2" s="1"/>
  <c r="HL206" i="2" s="1"/>
  <c r="HM206" i="2" s="1"/>
  <c r="HN206" i="2" s="1"/>
  <c r="HO206" i="2" s="1"/>
  <c r="HP206" i="2" s="1"/>
  <c r="HQ206" i="2" s="1"/>
  <c r="HR206" i="2" s="1"/>
  <c r="HS206" i="2" s="1"/>
  <c r="HT206" i="2" s="1"/>
  <c r="HU206" i="2" s="1"/>
  <c r="HV206" i="2" s="1"/>
  <c r="HW206" i="2" s="1"/>
  <c r="HX206" i="2" s="1"/>
  <c r="HY206" i="2" s="1"/>
  <c r="HZ206" i="2" s="1"/>
  <c r="IA206" i="2" s="1"/>
  <c r="IB206" i="2" s="1"/>
  <c r="IC206" i="2" s="1"/>
  <c r="ID206" i="2" s="1"/>
  <c r="IE206" i="2" s="1"/>
  <c r="IF206" i="2" s="1"/>
  <c r="IG206" i="2" s="1"/>
  <c r="IH206" i="2" s="1"/>
  <c r="II206" i="2" s="1"/>
  <c r="IJ206" i="2" s="1"/>
  <c r="IK206" i="2" s="1"/>
  <c r="IL206" i="2" s="1"/>
  <c r="IM206" i="2" s="1"/>
  <c r="IN206" i="2" s="1"/>
  <c r="IO206" i="2" s="1"/>
  <c r="IP206" i="2" s="1"/>
  <c r="IQ206" i="2" s="1"/>
  <c r="IR206" i="2" s="1"/>
  <c r="IS206" i="2" s="1"/>
  <c r="IT206" i="2" s="1"/>
  <c r="IU206" i="2" s="1"/>
  <c r="IV206" i="2" s="1"/>
  <c r="IW206" i="2" s="1"/>
  <c r="IX206" i="2" s="1"/>
  <c r="IY206" i="2" s="1"/>
  <c r="IZ206" i="2" s="1"/>
  <c r="JA206" i="2" s="1"/>
  <c r="JB206" i="2" s="1"/>
  <c r="JC206" i="2" s="1"/>
  <c r="JD206" i="2" s="1"/>
  <c r="JE206" i="2" s="1"/>
  <c r="JF206" i="2" s="1"/>
  <c r="JG206" i="2" s="1"/>
  <c r="JH206" i="2" s="1"/>
  <c r="JI206" i="2" s="1"/>
  <c r="JJ206" i="2" s="1"/>
  <c r="JK206" i="2" s="1"/>
  <c r="JL206" i="2" s="1"/>
  <c r="JM206" i="2" s="1"/>
  <c r="JN206" i="2" s="1"/>
  <c r="JO206" i="2" s="1"/>
  <c r="JP206" i="2" s="1"/>
  <c r="JQ206" i="2" s="1"/>
  <c r="JR206" i="2" s="1"/>
  <c r="JS206" i="2" s="1"/>
  <c r="JT206" i="2" s="1"/>
  <c r="JU206" i="2" s="1"/>
  <c r="JV206" i="2" s="1"/>
  <c r="JW206" i="2" s="1"/>
  <c r="JX206" i="2" s="1"/>
  <c r="JY206" i="2" s="1"/>
  <c r="JZ206" i="2" s="1"/>
  <c r="KA206" i="2" s="1"/>
  <c r="KB206" i="2" s="1"/>
  <c r="KC206" i="2" s="1"/>
  <c r="KD206" i="2" s="1"/>
  <c r="KE206" i="2" s="1"/>
  <c r="EY206" i="2"/>
  <c r="J245" i="2"/>
  <c r="K245" i="2" s="1"/>
  <c r="J244" i="2"/>
  <c r="K244" i="2" s="1"/>
  <c r="J243" i="2"/>
  <c r="K243" i="2" s="1"/>
  <c r="K242" i="2"/>
  <c r="C250" i="2"/>
  <c r="C255" i="2" s="1"/>
  <c r="C248" i="2"/>
  <c r="C254" i="2" s="1"/>
  <c r="H245" i="2"/>
  <c r="J238" i="2"/>
  <c r="J239" i="2" s="1"/>
  <c r="QO112" i="2" l="1"/>
  <c r="QP113" i="2"/>
  <c r="K233" i="2"/>
  <c r="P27" i="1" s="1"/>
  <c r="B217" i="2"/>
  <c r="B57" i="2"/>
  <c r="EZ48" i="2"/>
  <c r="FA48" i="2" s="1"/>
  <c r="EW48" i="2"/>
  <c r="QP112" i="2" l="1"/>
  <c r="QQ113" i="2"/>
  <c r="B207" i="2"/>
  <c r="K208" i="2"/>
  <c r="P31" i="1" s="1"/>
  <c r="I208" i="2"/>
  <c r="N31" i="1" s="1"/>
  <c r="I201" i="2"/>
  <c r="B202" i="2"/>
  <c r="B201" i="2"/>
  <c r="B196" i="2"/>
  <c r="B195" i="2"/>
  <c r="B194" i="2"/>
  <c r="B193" i="2"/>
  <c r="B192" i="2"/>
  <c r="B191" i="2"/>
  <c r="B190" i="2"/>
  <c r="B189" i="2"/>
  <c r="B188" i="2"/>
  <c r="B187" i="2"/>
  <c r="B180" i="2"/>
  <c r="B179" i="2"/>
  <c r="B178" i="2"/>
  <c r="B177" i="2"/>
  <c r="I169" i="2"/>
  <c r="K207" i="2"/>
  <c r="K231" i="2" s="1"/>
  <c r="J207" i="2"/>
  <c r="J231" i="2" s="1"/>
  <c r="I207" i="2"/>
  <c r="QR113" i="2" l="1"/>
  <c r="QQ112" i="2"/>
  <c r="KM150" i="2"/>
  <c r="KN150" i="2" s="1"/>
  <c r="KG150" i="2"/>
  <c r="FC150" i="2"/>
  <c r="FD150" i="2" s="1"/>
  <c r="EW150" i="2"/>
  <c r="KG145" i="2"/>
  <c r="KM144" i="2"/>
  <c r="KN144" i="2" s="1"/>
  <c r="KG144" i="2"/>
  <c r="KG143" i="2"/>
  <c r="KM142" i="2"/>
  <c r="KN142" i="2" s="1"/>
  <c r="KG142" i="2"/>
  <c r="KM141" i="2"/>
  <c r="KN141" i="2" s="1"/>
  <c r="KG141" i="2"/>
  <c r="KM140" i="2"/>
  <c r="KN140" i="2" s="1"/>
  <c r="KG140" i="2"/>
  <c r="EW145" i="2"/>
  <c r="EW144" i="2"/>
  <c r="EW143" i="2"/>
  <c r="FC142" i="2"/>
  <c r="FD142" i="2" s="1"/>
  <c r="EW142" i="2"/>
  <c r="FC141" i="2"/>
  <c r="FD141" i="2" s="1"/>
  <c r="EW141" i="2"/>
  <c r="KM139" i="2"/>
  <c r="KN139" i="2" s="1"/>
  <c r="KG139" i="2"/>
  <c r="KM138" i="2"/>
  <c r="KN138" i="2" s="1"/>
  <c r="KG138" i="2"/>
  <c r="KM137" i="2"/>
  <c r="KN137" i="2" s="1"/>
  <c r="KG137" i="2"/>
  <c r="KM136" i="2"/>
  <c r="KN136" i="2" s="1"/>
  <c r="KG136" i="2"/>
  <c r="KO135" i="2"/>
  <c r="KP135" i="2" s="1"/>
  <c r="FC139" i="2"/>
  <c r="FD139" i="2" s="1"/>
  <c r="EW139" i="2"/>
  <c r="FC138" i="2"/>
  <c r="FD138" i="2" s="1"/>
  <c r="EW138" i="2"/>
  <c r="FC137" i="2"/>
  <c r="FD137" i="2" s="1"/>
  <c r="EW137" i="2"/>
  <c r="FC136" i="2"/>
  <c r="FD136" i="2" s="1"/>
  <c r="EW136" i="2"/>
  <c r="FE135" i="2"/>
  <c r="FF135" i="2" s="1"/>
  <c r="FG135" i="2" s="1"/>
  <c r="FH135" i="2" s="1"/>
  <c r="FC140" i="2"/>
  <c r="FD140" i="2" s="1"/>
  <c r="EW140" i="2"/>
  <c r="KO125" i="2"/>
  <c r="KP125" i="2" s="1"/>
  <c r="KQ125" i="2" s="1"/>
  <c r="FE125" i="2"/>
  <c r="FF125" i="2" s="1"/>
  <c r="FC129" i="2"/>
  <c r="FD129" i="2" s="1"/>
  <c r="FC128" i="2"/>
  <c r="FD128" i="2" s="1"/>
  <c r="FC127" i="2"/>
  <c r="FD127" i="2" s="1"/>
  <c r="FC126" i="2"/>
  <c r="FD126" i="2" s="1"/>
  <c r="KM129" i="2"/>
  <c r="KN129" i="2" s="1"/>
  <c r="KG129" i="2"/>
  <c r="EW129" i="2"/>
  <c r="KM128" i="2"/>
  <c r="KN128" i="2" s="1"/>
  <c r="KG128" i="2"/>
  <c r="EW128" i="2"/>
  <c r="KM127" i="2"/>
  <c r="KN127" i="2" s="1"/>
  <c r="KG127" i="2"/>
  <c r="EW127" i="2"/>
  <c r="KM126" i="2"/>
  <c r="KN126" i="2" s="1"/>
  <c r="KG126" i="2"/>
  <c r="EW126" i="2"/>
  <c r="KG119" i="2"/>
  <c r="KG118" i="2"/>
  <c r="KG117" i="2"/>
  <c r="KG116" i="2"/>
  <c r="KG115" i="2"/>
  <c r="KG114" i="2"/>
  <c r="KO113" i="2"/>
  <c r="FE113" i="2"/>
  <c r="FC119" i="2"/>
  <c r="FD119" i="2" s="1"/>
  <c r="EW119" i="2"/>
  <c r="FC118" i="2"/>
  <c r="FD118" i="2" s="1"/>
  <c r="EW118" i="2"/>
  <c r="FC117" i="2"/>
  <c r="FD117" i="2" s="1"/>
  <c r="EW117" i="2"/>
  <c r="FC116" i="2"/>
  <c r="FD116" i="2" s="1"/>
  <c r="EW116" i="2"/>
  <c r="FC115" i="2"/>
  <c r="FD115" i="2" s="1"/>
  <c r="EW115" i="2"/>
  <c r="FC114" i="2"/>
  <c r="FD114" i="2" s="1"/>
  <c r="EW114" i="2"/>
  <c r="KM4" i="2"/>
  <c r="KN2" i="2"/>
  <c r="KO2" i="2" s="1"/>
  <c r="KP2" i="2" s="1"/>
  <c r="KQ2" i="2" s="1"/>
  <c r="KR2" i="2" s="1"/>
  <c r="KS2" i="2" s="1"/>
  <c r="KT2" i="2" s="1"/>
  <c r="KU2" i="2" s="1"/>
  <c r="KV2" i="2" s="1"/>
  <c r="KW2" i="2" s="1"/>
  <c r="KX2" i="2" s="1"/>
  <c r="KY2" i="2" s="1"/>
  <c r="KZ2" i="2" s="1"/>
  <c r="LA2" i="2" s="1"/>
  <c r="LB2" i="2" s="1"/>
  <c r="LC2" i="2" s="1"/>
  <c r="LD2" i="2" s="1"/>
  <c r="LE2" i="2" s="1"/>
  <c r="LF2" i="2" s="1"/>
  <c r="LG2" i="2" s="1"/>
  <c r="LH2" i="2" s="1"/>
  <c r="LI2" i="2" s="1"/>
  <c r="LJ2" i="2" s="1"/>
  <c r="LK2" i="2" s="1"/>
  <c r="LL2" i="2" s="1"/>
  <c r="LM2" i="2" s="1"/>
  <c r="LN2" i="2" s="1"/>
  <c r="LO2" i="2" s="1"/>
  <c r="LP2" i="2" s="1"/>
  <c r="LQ2" i="2" s="1"/>
  <c r="LR2" i="2" s="1"/>
  <c r="LS2" i="2" s="1"/>
  <c r="LT2" i="2" s="1"/>
  <c r="LU2" i="2" s="1"/>
  <c r="LV2" i="2" s="1"/>
  <c r="LW2" i="2" s="1"/>
  <c r="LX2" i="2" s="1"/>
  <c r="LY2" i="2" s="1"/>
  <c r="LZ2" i="2" s="1"/>
  <c r="MA2" i="2" s="1"/>
  <c r="MB2" i="2" s="1"/>
  <c r="MC2" i="2" s="1"/>
  <c r="MD2" i="2" s="1"/>
  <c r="ME2" i="2" s="1"/>
  <c r="MF2" i="2" s="1"/>
  <c r="MG2" i="2" s="1"/>
  <c r="MH2" i="2" s="1"/>
  <c r="MI2" i="2" s="1"/>
  <c r="MJ2" i="2" s="1"/>
  <c r="MK2" i="2" s="1"/>
  <c r="ML2" i="2" s="1"/>
  <c r="MM2" i="2" s="1"/>
  <c r="MN2" i="2" s="1"/>
  <c r="MO2" i="2" s="1"/>
  <c r="MP2" i="2" s="1"/>
  <c r="MQ2" i="2" s="1"/>
  <c r="MR2" i="2" s="1"/>
  <c r="MS2" i="2" s="1"/>
  <c r="MT2" i="2" s="1"/>
  <c r="MU2" i="2" s="1"/>
  <c r="MV2" i="2" s="1"/>
  <c r="MW2" i="2" s="1"/>
  <c r="MX2" i="2" s="1"/>
  <c r="MY2" i="2" s="1"/>
  <c r="MZ2" i="2" s="1"/>
  <c r="NA2" i="2" s="1"/>
  <c r="NB2" i="2" s="1"/>
  <c r="NC2" i="2" s="1"/>
  <c r="ND2" i="2" s="1"/>
  <c r="NE2" i="2" s="1"/>
  <c r="NF2" i="2" s="1"/>
  <c r="NG2" i="2" s="1"/>
  <c r="NH2" i="2" s="1"/>
  <c r="NI2" i="2" s="1"/>
  <c r="NJ2" i="2" s="1"/>
  <c r="NK2" i="2" s="1"/>
  <c r="NL2" i="2" s="1"/>
  <c r="NM2" i="2" s="1"/>
  <c r="NN2" i="2" s="1"/>
  <c r="NO2" i="2" s="1"/>
  <c r="NP2" i="2" s="1"/>
  <c r="NQ2" i="2" s="1"/>
  <c r="NR2" i="2" s="1"/>
  <c r="NS2" i="2" s="1"/>
  <c r="NT2" i="2" s="1"/>
  <c r="NU2" i="2" s="1"/>
  <c r="NV2" i="2" s="1"/>
  <c r="NW2" i="2" s="1"/>
  <c r="NX2" i="2" s="1"/>
  <c r="NY2" i="2" s="1"/>
  <c r="NZ2" i="2" s="1"/>
  <c r="OA2" i="2" s="1"/>
  <c r="OB2" i="2" s="1"/>
  <c r="OC2" i="2" s="1"/>
  <c r="OD2" i="2" s="1"/>
  <c r="OE2" i="2" s="1"/>
  <c r="OF2" i="2" s="1"/>
  <c r="OG2" i="2" s="1"/>
  <c r="OH2" i="2" s="1"/>
  <c r="OI2" i="2" s="1"/>
  <c r="OJ2" i="2" s="1"/>
  <c r="OK2" i="2" s="1"/>
  <c r="OL2" i="2" s="1"/>
  <c r="OM2" i="2" s="1"/>
  <c r="ON2" i="2" s="1"/>
  <c r="OO2" i="2" s="1"/>
  <c r="OP2" i="2" s="1"/>
  <c r="OQ2" i="2" s="1"/>
  <c r="OR2" i="2" s="1"/>
  <c r="OS2" i="2" s="1"/>
  <c r="OT2" i="2" s="1"/>
  <c r="OU2" i="2" s="1"/>
  <c r="OV2" i="2" s="1"/>
  <c r="OW2" i="2" s="1"/>
  <c r="OX2" i="2" s="1"/>
  <c r="OY2" i="2" s="1"/>
  <c r="OZ2" i="2" s="1"/>
  <c r="PA2" i="2" s="1"/>
  <c r="PB2" i="2" s="1"/>
  <c r="PC2" i="2" s="1"/>
  <c r="PD2" i="2" s="1"/>
  <c r="PE2" i="2" s="1"/>
  <c r="PF2" i="2" s="1"/>
  <c r="PG2" i="2" s="1"/>
  <c r="PH2" i="2" s="1"/>
  <c r="PI2" i="2" s="1"/>
  <c r="PJ2" i="2" s="1"/>
  <c r="PK2" i="2" s="1"/>
  <c r="PL2" i="2" s="1"/>
  <c r="PM2" i="2" s="1"/>
  <c r="PN2" i="2" s="1"/>
  <c r="PO2" i="2" s="1"/>
  <c r="QR112" i="2" l="1"/>
  <c r="QS113" i="2"/>
  <c r="FF113" i="2"/>
  <c r="FE112" i="2"/>
  <c r="FE117" i="2" s="1"/>
  <c r="KP113" i="2"/>
  <c r="KP112" i="2" s="1"/>
  <c r="KO112" i="2"/>
  <c r="KQ135" i="2"/>
  <c r="FI135" i="2"/>
  <c r="KR125" i="2"/>
  <c r="FG125" i="2"/>
  <c r="T111" i="2"/>
  <c r="D112" i="2"/>
  <c r="C120" i="2"/>
  <c r="F119" i="2"/>
  <c r="F118" i="2"/>
  <c r="F117" i="2"/>
  <c r="F116" i="2"/>
  <c r="F115" i="2"/>
  <c r="F114" i="2"/>
  <c r="K150" i="2" l="1"/>
  <c r="K152" i="2" s="1"/>
  <c r="FE118" i="2"/>
  <c r="FE116" i="2"/>
  <c r="FE119" i="2"/>
  <c r="FE114" i="2"/>
  <c r="FE115" i="2"/>
  <c r="T110" i="2"/>
  <c r="T107" i="2" s="1"/>
  <c r="KQ113" i="2"/>
  <c r="KQ112" i="2" s="1"/>
  <c r="KQ124" i="2" s="1"/>
  <c r="QT113" i="2"/>
  <c r="QS112" i="2"/>
  <c r="FE134" i="2"/>
  <c r="FE124" i="2"/>
  <c r="FG113" i="2"/>
  <c r="FF112" i="2"/>
  <c r="FF117" i="2" s="1"/>
  <c r="KO134" i="2"/>
  <c r="KO124" i="2"/>
  <c r="KP134" i="2"/>
  <c r="KP124" i="2"/>
  <c r="D120" i="2"/>
  <c r="K14" i="2" s="1"/>
  <c r="K13" i="2"/>
  <c r="K31" i="2" s="1"/>
  <c r="E120" i="2"/>
  <c r="K142" i="2"/>
  <c r="W26" i="5" s="1"/>
  <c r="K138" i="2"/>
  <c r="W22" i="5" s="1"/>
  <c r="K141" i="2"/>
  <c r="W25" i="5" s="1"/>
  <c r="K137" i="2"/>
  <c r="W21" i="5" s="1"/>
  <c r="K144" i="2"/>
  <c r="W28" i="5" s="1"/>
  <c r="K139" i="2"/>
  <c r="W23" i="5" s="1"/>
  <c r="K140" i="2"/>
  <c r="W24" i="5" s="1"/>
  <c r="K136" i="2"/>
  <c r="W20" i="5" s="1"/>
  <c r="H119" i="2"/>
  <c r="KM119" i="2"/>
  <c r="KN119" i="2" s="1"/>
  <c r="KO119" i="2" s="1"/>
  <c r="KP119" i="2" s="1"/>
  <c r="KQ119" i="2" s="1"/>
  <c r="J119" i="2"/>
  <c r="KR135" i="2"/>
  <c r="H118" i="2"/>
  <c r="J118" i="2"/>
  <c r="KM118" i="2"/>
  <c r="KN118" i="2" s="1"/>
  <c r="KO118" i="2" s="1"/>
  <c r="KP118" i="2" s="1"/>
  <c r="J114" i="2"/>
  <c r="KM114" i="2"/>
  <c r="KN114" i="2" s="1"/>
  <c r="KO114" i="2" s="1"/>
  <c r="KP114" i="2" s="1"/>
  <c r="K117" i="2"/>
  <c r="KM117" i="2"/>
  <c r="KN117" i="2" s="1"/>
  <c r="KO117" i="2" s="1"/>
  <c r="KP117" i="2" s="1"/>
  <c r="KQ117" i="2" s="1"/>
  <c r="J117" i="2"/>
  <c r="K115" i="2"/>
  <c r="J115" i="2"/>
  <c r="KM115" i="2"/>
  <c r="KN115" i="2" s="1"/>
  <c r="KO115" i="2" s="1"/>
  <c r="KP115" i="2" s="1"/>
  <c r="KQ115" i="2" s="1"/>
  <c r="K116" i="2"/>
  <c r="KM116" i="2"/>
  <c r="KN116" i="2" s="1"/>
  <c r="KO116" i="2" s="1"/>
  <c r="KP116" i="2" s="1"/>
  <c r="KQ116" i="2" s="1"/>
  <c r="J116" i="2"/>
  <c r="FJ135" i="2"/>
  <c r="KS125" i="2"/>
  <c r="FH125" i="2"/>
  <c r="K114" i="2"/>
  <c r="H114" i="2"/>
  <c r="U111" i="2"/>
  <c r="K127" i="2"/>
  <c r="K118" i="2"/>
  <c r="K119" i="2"/>
  <c r="K126" i="2"/>
  <c r="K128" i="2"/>
  <c r="K129" i="2"/>
  <c r="H116" i="2"/>
  <c r="H117" i="2"/>
  <c r="H115" i="2"/>
  <c r="K109" i="2" l="1"/>
  <c r="E6" i="1" s="1"/>
  <c r="KQ114" i="2"/>
  <c r="KQ118" i="2"/>
  <c r="KR113" i="2"/>
  <c r="KR112" i="2" s="1"/>
  <c r="KR124" i="2" s="1"/>
  <c r="KR115" i="2"/>
  <c r="FF118" i="2"/>
  <c r="KQ134" i="2"/>
  <c r="FF115" i="2"/>
  <c r="FF114" i="2"/>
  <c r="FE144" i="2"/>
  <c r="FE141" i="2"/>
  <c r="FE150" i="2"/>
  <c r="FE139" i="2"/>
  <c r="FE128" i="2"/>
  <c r="FE140" i="2"/>
  <c r="FE127" i="2"/>
  <c r="FE136" i="2"/>
  <c r="FE138" i="2"/>
  <c r="FE137" i="2"/>
  <c r="FE129" i="2"/>
  <c r="FE142" i="2"/>
  <c r="FE126" i="2"/>
  <c r="FF116" i="2"/>
  <c r="FF119" i="2"/>
  <c r="KO126" i="2"/>
  <c r="KP126" i="2" s="1"/>
  <c r="KQ126" i="2" s="1"/>
  <c r="KO139" i="2"/>
  <c r="KP139" i="2" s="1"/>
  <c r="KQ139" i="2" s="1"/>
  <c r="KO128" i="2"/>
  <c r="KP128" i="2" s="1"/>
  <c r="KQ128" i="2" s="1"/>
  <c r="KO140" i="2"/>
  <c r="KP140" i="2" s="1"/>
  <c r="KQ140" i="2" s="1"/>
  <c r="KO142" i="2"/>
  <c r="KP142" i="2" s="1"/>
  <c r="KQ142" i="2" s="1"/>
  <c r="KO138" i="2"/>
  <c r="KP138" i="2" s="1"/>
  <c r="KQ138" i="2" s="1"/>
  <c r="KO144" i="2"/>
  <c r="KP144" i="2" s="1"/>
  <c r="KQ144" i="2" s="1"/>
  <c r="KO141" i="2"/>
  <c r="KP141" i="2" s="1"/>
  <c r="KQ141" i="2" s="1"/>
  <c r="KO129" i="2"/>
  <c r="KP129" i="2" s="1"/>
  <c r="KQ129" i="2" s="1"/>
  <c r="KO127" i="2"/>
  <c r="KP127" i="2" s="1"/>
  <c r="KQ127" i="2" s="1"/>
  <c r="KO137" i="2"/>
  <c r="KP137" i="2" s="1"/>
  <c r="KQ137" i="2" s="1"/>
  <c r="KO136" i="2"/>
  <c r="KP136" i="2" s="1"/>
  <c r="KQ136" i="2" s="1"/>
  <c r="EZ113" i="2"/>
  <c r="EZ125" i="2"/>
  <c r="U110" i="2"/>
  <c r="U107" i="2" s="1"/>
  <c r="J41" i="2"/>
  <c r="Q28" i="5"/>
  <c r="T26" i="5"/>
  <c r="R24" i="5"/>
  <c r="U23" i="5"/>
  <c r="T21" i="5"/>
  <c r="M114" i="5"/>
  <c r="M93" i="5"/>
  <c r="M83" i="5"/>
  <c r="M63" i="5"/>
  <c r="M55" i="5"/>
  <c r="M22" i="5"/>
  <c r="M12" i="5"/>
  <c r="F15" i="5"/>
  <c r="F56" i="5"/>
  <c r="F76" i="5"/>
  <c r="F84" i="5"/>
  <c r="F94" i="5"/>
  <c r="F115" i="5"/>
  <c r="F67" i="5"/>
  <c r="F85" i="5"/>
  <c r="F111" i="5"/>
  <c r="M85" i="5"/>
  <c r="F54" i="5"/>
  <c r="U29" i="5"/>
  <c r="M76" i="5"/>
  <c r="F63" i="5"/>
  <c r="R28" i="5"/>
  <c r="U26" i="5"/>
  <c r="S24" i="5"/>
  <c r="Q22" i="5"/>
  <c r="U21" i="5"/>
  <c r="M113" i="5"/>
  <c r="M92" i="5"/>
  <c r="M82" i="5"/>
  <c r="M72" i="5"/>
  <c r="M62" i="5"/>
  <c r="M54" i="5"/>
  <c r="M21" i="5"/>
  <c r="F16" i="5"/>
  <c r="F26" i="5"/>
  <c r="F57" i="5"/>
  <c r="F77" i="5"/>
  <c r="F95" i="5"/>
  <c r="M95" i="5"/>
  <c r="M14" i="5"/>
  <c r="F82" i="5"/>
  <c r="T23" i="5"/>
  <c r="M13" i="5"/>
  <c r="Q21" i="5"/>
  <c r="S28" i="5"/>
  <c r="Q25" i="5"/>
  <c r="T24" i="5"/>
  <c r="R22" i="5"/>
  <c r="Q20" i="5"/>
  <c r="M112" i="5"/>
  <c r="M91" i="5"/>
  <c r="M81" i="5"/>
  <c r="M71" i="5"/>
  <c r="M61" i="5"/>
  <c r="M53" i="5"/>
  <c r="M30" i="5"/>
  <c r="M20" i="5"/>
  <c r="F27" i="5"/>
  <c r="F58" i="5"/>
  <c r="F68" i="5"/>
  <c r="F78" i="5"/>
  <c r="F86" i="5"/>
  <c r="F69" i="5"/>
  <c r="F87" i="5"/>
  <c r="F80" i="5"/>
  <c r="F72" i="5"/>
  <c r="F14" i="5"/>
  <c r="F93" i="5"/>
  <c r="Q29" i="5"/>
  <c r="T28" i="5"/>
  <c r="R25" i="5"/>
  <c r="U24" i="5"/>
  <c r="S22" i="5"/>
  <c r="R20" i="5"/>
  <c r="M111" i="5"/>
  <c r="M80" i="5"/>
  <c r="M70" i="5"/>
  <c r="M60" i="5"/>
  <c r="L49" i="5"/>
  <c r="M41" i="5"/>
  <c r="M29" i="5"/>
  <c r="M19" i="5"/>
  <c r="F19" i="5"/>
  <c r="F28" i="5"/>
  <c r="F59" i="5"/>
  <c r="F79" i="5"/>
  <c r="F9" i="5"/>
  <c r="M67" i="5"/>
  <c r="F62" i="5"/>
  <c r="S26" i="5"/>
  <c r="M115" i="5"/>
  <c r="M23" i="5"/>
  <c r="F114" i="5"/>
  <c r="R29" i="5"/>
  <c r="U28" i="5"/>
  <c r="S25" i="5"/>
  <c r="Q23" i="5"/>
  <c r="T22" i="5"/>
  <c r="S20" i="5"/>
  <c r="M87" i="5"/>
  <c r="M79" i="5"/>
  <c r="M69" i="5"/>
  <c r="M59" i="5"/>
  <c r="M28" i="5"/>
  <c r="M16" i="5"/>
  <c r="F20" i="5"/>
  <c r="F29" i="5"/>
  <c r="E49" i="5"/>
  <c r="F60" i="5"/>
  <c r="F70" i="5"/>
  <c r="M77" i="5"/>
  <c r="F13" i="5"/>
  <c r="F92" i="5"/>
  <c r="M56" i="5"/>
  <c r="S29" i="5"/>
  <c r="Q26" i="5"/>
  <c r="T25" i="5"/>
  <c r="R23" i="5"/>
  <c r="U22" i="5"/>
  <c r="T20" i="5"/>
  <c r="M9" i="5"/>
  <c r="M86" i="5"/>
  <c r="M78" i="5"/>
  <c r="M68" i="5"/>
  <c r="M58" i="5"/>
  <c r="M27" i="5"/>
  <c r="M15" i="5"/>
  <c r="F12" i="5"/>
  <c r="F21" i="5"/>
  <c r="F30" i="5"/>
  <c r="F53" i="5"/>
  <c r="F61" i="5"/>
  <c r="F71" i="5"/>
  <c r="F81" i="5"/>
  <c r="F91" i="5"/>
  <c r="F112" i="5"/>
  <c r="M26" i="5"/>
  <c r="Q24" i="5"/>
  <c r="M84" i="5"/>
  <c r="F23" i="5"/>
  <c r="F83" i="5"/>
  <c r="T29" i="5"/>
  <c r="R26" i="5"/>
  <c r="U25" i="5"/>
  <c r="S23" i="5"/>
  <c r="R21" i="5"/>
  <c r="U20" i="5"/>
  <c r="M57" i="5"/>
  <c r="F22" i="5"/>
  <c r="F113" i="5"/>
  <c r="S21" i="5"/>
  <c r="M94" i="5"/>
  <c r="F55" i="5"/>
  <c r="M45" i="5"/>
  <c r="F38" i="5"/>
  <c r="F37" i="5"/>
  <c r="F43" i="5"/>
  <c r="M39" i="5"/>
  <c r="M40" i="5"/>
  <c r="F45" i="5"/>
  <c r="F42" i="5"/>
  <c r="M37" i="5"/>
  <c r="M43" i="5"/>
  <c r="F41" i="5"/>
  <c r="M38" i="5"/>
  <c r="F44" i="5"/>
  <c r="M44" i="5"/>
  <c r="L101" i="5"/>
  <c r="M46" i="5"/>
  <c r="F39" i="5"/>
  <c r="E101" i="5"/>
  <c r="F40" i="5"/>
  <c r="F36" i="5"/>
  <c r="F46" i="5"/>
  <c r="M36" i="5"/>
  <c r="M42" i="5"/>
  <c r="M48" i="5"/>
  <c r="F48" i="5"/>
  <c r="I41" i="2"/>
  <c r="N9" i="5"/>
  <c r="G9" i="5"/>
  <c r="QU113" i="2"/>
  <c r="QT112" i="2"/>
  <c r="J33" i="2"/>
  <c r="J26" i="2"/>
  <c r="E8" i="1"/>
  <c r="I26" i="2"/>
  <c r="I33" i="2"/>
  <c r="FF124" i="2"/>
  <c r="FF134" i="2"/>
  <c r="FH113" i="2"/>
  <c r="FG112" i="2"/>
  <c r="FG117" i="2" s="1"/>
  <c r="KO150" i="2"/>
  <c r="KP150" i="2" s="1"/>
  <c r="KQ150" i="2" s="1"/>
  <c r="E13" i="1"/>
  <c r="E7" i="1"/>
  <c r="J150" i="2"/>
  <c r="J152" i="2" s="1"/>
  <c r="I202" i="2" s="1"/>
  <c r="I203" i="2" s="1"/>
  <c r="I22" i="1" s="1"/>
  <c r="F18" i="1"/>
  <c r="P4" i="1" s="1"/>
  <c r="E112" i="2"/>
  <c r="C112" i="2" s="1"/>
  <c r="I48" i="2"/>
  <c r="I57" i="2"/>
  <c r="J48" i="2"/>
  <c r="J57" i="2"/>
  <c r="J120" i="2"/>
  <c r="V10" i="5" s="1"/>
  <c r="KS135" i="2"/>
  <c r="J129" i="2"/>
  <c r="I180" i="2" s="1"/>
  <c r="J144" i="2"/>
  <c r="J139" i="2"/>
  <c r="J142" i="2"/>
  <c r="J138" i="2"/>
  <c r="J140" i="2"/>
  <c r="J136" i="2"/>
  <c r="J141" i="2"/>
  <c r="J137" i="2"/>
  <c r="J127" i="2"/>
  <c r="I178" i="2" s="1"/>
  <c r="J128" i="2"/>
  <c r="I179" i="2" s="1"/>
  <c r="J126" i="2"/>
  <c r="I177" i="2" s="1"/>
  <c r="FK135" i="2"/>
  <c r="KT125" i="2"/>
  <c r="FI125" i="2"/>
  <c r="K120" i="2"/>
  <c r="V111" i="2"/>
  <c r="K130" i="2"/>
  <c r="W14" i="5" s="1"/>
  <c r="KR118" i="2" l="1"/>
  <c r="I181" i="2"/>
  <c r="KR117" i="2"/>
  <c r="KR119" i="2"/>
  <c r="KR116" i="2"/>
  <c r="KR134" i="2"/>
  <c r="KS113" i="2"/>
  <c r="KS112" i="2" s="1"/>
  <c r="KR114" i="2"/>
  <c r="KS114" i="2" s="1"/>
  <c r="KR136" i="2"/>
  <c r="KR140" i="2"/>
  <c r="FG116" i="2"/>
  <c r="FF140" i="2"/>
  <c r="KS115" i="2"/>
  <c r="KR137" i="2"/>
  <c r="KR128" i="2"/>
  <c r="FF126" i="2"/>
  <c r="FF128" i="2"/>
  <c r="FG115" i="2"/>
  <c r="KR127" i="2"/>
  <c r="KR139" i="2"/>
  <c r="FF142" i="2"/>
  <c r="FF139" i="2"/>
  <c r="KR129" i="2"/>
  <c r="FF129" i="2"/>
  <c r="FF150" i="2"/>
  <c r="KS118" i="2"/>
  <c r="KR141" i="2"/>
  <c r="KR126" i="2"/>
  <c r="FF137" i="2"/>
  <c r="FF141" i="2"/>
  <c r="FG118" i="2"/>
  <c r="KR144" i="2"/>
  <c r="FF138" i="2"/>
  <c r="FF144" i="2"/>
  <c r="KR138" i="2"/>
  <c r="FG119" i="2"/>
  <c r="FF136" i="2"/>
  <c r="KR142" i="2"/>
  <c r="FF127" i="2"/>
  <c r="FG114" i="2"/>
  <c r="V110" i="2"/>
  <c r="V107" i="2" s="1"/>
  <c r="M24" i="5"/>
  <c r="F88" i="5"/>
  <c r="M31" i="5"/>
  <c r="N101" i="5"/>
  <c r="M73" i="5"/>
  <c r="Q30" i="5"/>
  <c r="Q33" i="5" s="1"/>
  <c r="T30" i="5"/>
  <c r="T33" i="5" s="1"/>
  <c r="F116" i="5"/>
  <c r="KR150" i="2"/>
  <c r="M47" i="5"/>
  <c r="F96" i="5"/>
  <c r="M49" i="5"/>
  <c r="N49" i="5"/>
  <c r="L50" i="5"/>
  <c r="M64" i="5"/>
  <c r="M17" i="5"/>
  <c r="F73" i="5"/>
  <c r="N114" i="5"/>
  <c r="G19" i="5"/>
  <c r="G77" i="5"/>
  <c r="N21" i="5"/>
  <c r="N82" i="5"/>
  <c r="N16" i="5"/>
  <c r="G27" i="5"/>
  <c r="N115" i="5"/>
  <c r="N41" i="5"/>
  <c r="N87" i="5"/>
  <c r="N29" i="5"/>
  <c r="N84" i="5"/>
  <c r="N95" i="5"/>
  <c r="N77" i="5"/>
  <c r="G63" i="5"/>
  <c r="N36" i="5"/>
  <c r="G42" i="5"/>
  <c r="N15" i="5"/>
  <c r="G69" i="5"/>
  <c r="G113" i="5"/>
  <c r="G114" i="5"/>
  <c r="G16" i="5"/>
  <c r="G83" i="5"/>
  <c r="N45" i="5"/>
  <c r="G92" i="5"/>
  <c r="N37" i="5"/>
  <c r="G41" i="5"/>
  <c r="N112" i="5"/>
  <c r="N81" i="5"/>
  <c r="G59" i="5"/>
  <c r="N67" i="5"/>
  <c r="N68" i="5"/>
  <c r="N39" i="5"/>
  <c r="G20" i="5"/>
  <c r="G60" i="5"/>
  <c r="G87" i="5"/>
  <c r="G111" i="5"/>
  <c r="G86" i="5"/>
  <c r="G12" i="5"/>
  <c r="G58" i="5"/>
  <c r="N54" i="5"/>
  <c r="G71" i="5"/>
  <c r="N43" i="5"/>
  <c r="G30" i="5"/>
  <c r="N14" i="5"/>
  <c r="N85" i="5"/>
  <c r="G55" i="5"/>
  <c r="N71" i="5"/>
  <c r="N72" i="5"/>
  <c r="N92" i="5"/>
  <c r="G23" i="5"/>
  <c r="G81" i="5"/>
  <c r="G85" i="5"/>
  <c r="G54" i="5"/>
  <c r="G82" i="5"/>
  <c r="N42" i="5"/>
  <c r="G93" i="5"/>
  <c r="N58" i="5"/>
  <c r="G67" i="5"/>
  <c r="N55" i="5"/>
  <c r="G26" i="5"/>
  <c r="N20" i="5"/>
  <c r="G39" i="5"/>
  <c r="N93" i="5"/>
  <c r="G43" i="5"/>
  <c r="G46" i="5"/>
  <c r="G115" i="5"/>
  <c r="N27" i="5"/>
  <c r="G79" i="5"/>
  <c r="G28" i="5"/>
  <c r="G78" i="5"/>
  <c r="N46" i="5"/>
  <c r="G72" i="5"/>
  <c r="N62" i="5"/>
  <c r="G21" i="5"/>
  <c r="N59" i="5"/>
  <c r="G15" i="5"/>
  <c r="N26" i="5"/>
  <c r="G112" i="5"/>
  <c r="G29" i="5"/>
  <c r="N113" i="5"/>
  <c r="G44" i="5"/>
  <c r="G14" i="5"/>
  <c r="G36" i="5"/>
  <c r="N40" i="5"/>
  <c r="N53" i="5"/>
  <c r="N61" i="5"/>
  <c r="G56" i="5"/>
  <c r="G68" i="5"/>
  <c r="G61" i="5"/>
  <c r="N69" i="5"/>
  <c r="N12" i="5"/>
  <c r="N13" i="5"/>
  <c r="N63" i="5"/>
  <c r="N38" i="5"/>
  <c r="N30" i="5"/>
  <c r="G84" i="5"/>
  <c r="G62" i="5"/>
  <c r="G45" i="5"/>
  <c r="G70" i="5"/>
  <c r="N78" i="5"/>
  <c r="N86" i="5"/>
  <c r="G38" i="5"/>
  <c r="G37" i="5"/>
  <c r="G57" i="5"/>
  <c r="N94" i="5"/>
  <c r="N22" i="5"/>
  <c r="N79" i="5"/>
  <c r="N19" i="5"/>
  <c r="N76" i="5"/>
  <c r="N70" i="5"/>
  <c r="N56" i="5"/>
  <c r="G80" i="5"/>
  <c r="G91" i="5"/>
  <c r="G95" i="5"/>
  <c r="G94" i="5"/>
  <c r="N57" i="5"/>
  <c r="G22" i="5"/>
  <c r="G53" i="5"/>
  <c r="N111" i="5"/>
  <c r="N28" i="5"/>
  <c r="N83" i="5"/>
  <c r="N23" i="5"/>
  <c r="N80" i="5"/>
  <c r="N91" i="5"/>
  <c r="N60" i="5"/>
  <c r="G76" i="5"/>
  <c r="N44" i="5"/>
  <c r="G13" i="5"/>
  <c r="G40" i="5"/>
  <c r="N48" i="5"/>
  <c r="G48" i="5"/>
  <c r="F47" i="5"/>
  <c r="R30" i="5"/>
  <c r="R33" i="5" s="1"/>
  <c r="F49" i="5"/>
  <c r="G49" i="5"/>
  <c r="E50" i="5"/>
  <c r="M88" i="5"/>
  <c r="G101" i="5"/>
  <c r="U30" i="5"/>
  <c r="U33" i="5" s="1"/>
  <c r="F64" i="5"/>
  <c r="S30" i="5"/>
  <c r="S33" i="5" s="1"/>
  <c r="F24" i="5"/>
  <c r="M116" i="5"/>
  <c r="M96" i="5"/>
  <c r="F31" i="5"/>
  <c r="I120" i="2"/>
  <c r="H120" i="2" s="1"/>
  <c r="F21" i="1" s="1"/>
  <c r="W10" i="5"/>
  <c r="QU112" i="2"/>
  <c r="QV113" i="2"/>
  <c r="I195" i="2"/>
  <c r="V28" i="5"/>
  <c r="I193" i="2"/>
  <c r="V26" i="5"/>
  <c r="I192" i="2"/>
  <c r="V25" i="5"/>
  <c r="I191" i="2"/>
  <c r="V24" i="5"/>
  <c r="I190" i="2"/>
  <c r="V23" i="5"/>
  <c r="I189" i="2"/>
  <c r="V22" i="5"/>
  <c r="I188" i="2"/>
  <c r="V21" i="5"/>
  <c r="I187" i="2"/>
  <c r="V20" i="5"/>
  <c r="FG124" i="2"/>
  <c r="FG134" i="2"/>
  <c r="FI113" i="2"/>
  <c r="FH112" i="2"/>
  <c r="FH117" i="2" s="1"/>
  <c r="I171" i="2"/>
  <c r="J130" i="2"/>
  <c r="V14" i="5" s="1"/>
  <c r="KT135" i="2"/>
  <c r="FL135" i="2"/>
  <c r="KU125" i="2"/>
  <c r="FJ125" i="2"/>
  <c r="K122" i="2"/>
  <c r="W11" i="5" s="1"/>
  <c r="W111" i="2"/>
  <c r="KS116" i="2" l="1"/>
  <c r="KS124" i="2"/>
  <c r="KS134" i="2"/>
  <c r="KS119" i="2"/>
  <c r="KS117" i="2"/>
  <c r="KT113" i="2"/>
  <c r="KT112" i="2" s="1"/>
  <c r="KT116" i="2" s="1"/>
  <c r="KS138" i="2"/>
  <c r="FG137" i="2"/>
  <c r="FG139" i="2"/>
  <c r="KS137" i="2"/>
  <c r="FH114" i="2"/>
  <c r="KT114" i="2"/>
  <c r="KS126" i="2"/>
  <c r="FG142" i="2"/>
  <c r="KT115" i="2"/>
  <c r="FG127" i="2"/>
  <c r="FG144" i="2"/>
  <c r="KS141" i="2"/>
  <c r="KS139" i="2"/>
  <c r="FG140" i="2"/>
  <c r="KS142" i="2"/>
  <c r="FG138" i="2"/>
  <c r="KT118" i="2"/>
  <c r="KS127" i="2"/>
  <c r="FH116" i="2"/>
  <c r="KT119" i="2"/>
  <c r="KT117" i="2"/>
  <c r="FG150" i="2"/>
  <c r="FH115" i="2"/>
  <c r="KS140" i="2"/>
  <c r="KS144" i="2"/>
  <c r="FG129" i="2"/>
  <c r="FG128" i="2"/>
  <c r="KS136" i="2"/>
  <c r="FG136" i="2"/>
  <c r="FH118" i="2"/>
  <c r="FG126" i="2"/>
  <c r="FH119" i="2"/>
  <c r="FG141" i="2"/>
  <c r="KS129" i="2"/>
  <c r="KS128" i="2"/>
  <c r="W110" i="2"/>
  <c r="W107" i="2" s="1"/>
  <c r="K123" i="2"/>
  <c r="W12" i="5" s="1"/>
  <c r="W13" i="5" s="1"/>
  <c r="W15" i="5" s="1"/>
  <c r="M33" i="5"/>
  <c r="F50" i="5"/>
  <c r="G73" i="5"/>
  <c r="G96" i="5"/>
  <c r="G24" i="5"/>
  <c r="N116" i="5"/>
  <c r="N47" i="5"/>
  <c r="N50" i="5" s="1"/>
  <c r="G88" i="5"/>
  <c r="G64" i="5"/>
  <c r="N73" i="5"/>
  <c r="M50" i="5"/>
  <c r="N88" i="5"/>
  <c r="N64" i="5"/>
  <c r="N31" i="5"/>
  <c r="F33" i="5"/>
  <c r="N96" i="5"/>
  <c r="N24" i="5"/>
  <c r="G31" i="5"/>
  <c r="G116" i="5"/>
  <c r="N17" i="5"/>
  <c r="G47" i="5"/>
  <c r="G50" i="5" s="1"/>
  <c r="QW113" i="2"/>
  <c r="QV112" i="2"/>
  <c r="FJ113" i="2"/>
  <c r="FI112" i="2"/>
  <c r="FI117" i="2" s="1"/>
  <c r="KS150" i="2"/>
  <c r="FH134" i="2"/>
  <c r="FH124" i="2"/>
  <c r="KU135" i="2"/>
  <c r="FM135" i="2"/>
  <c r="KV125" i="2"/>
  <c r="FK125" i="2"/>
  <c r="KU113" i="2"/>
  <c r="KU112" i="2" s="1"/>
  <c r="KU116" i="2" s="1"/>
  <c r="X111" i="2"/>
  <c r="KT134" i="2" l="1"/>
  <c r="KT124" i="2"/>
  <c r="KT137" i="2" s="1"/>
  <c r="KT150" i="2"/>
  <c r="KT128" i="2"/>
  <c r="FH136" i="2"/>
  <c r="FH150" i="2"/>
  <c r="FH140" i="2"/>
  <c r="KU114" i="2"/>
  <c r="KT136" i="2"/>
  <c r="KU117" i="2"/>
  <c r="KT139" i="2"/>
  <c r="FI114" i="2"/>
  <c r="KT129" i="2"/>
  <c r="FH128" i="2"/>
  <c r="KU119" i="2"/>
  <c r="KT141" i="2"/>
  <c r="FH141" i="2"/>
  <c r="FH129" i="2"/>
  <c r="FI116" i="2"/>
  <c r="FH144" i="2"/>
  <c r="FH139" i="2"/>
  <c r="FI119" i="2"/>
  <c r="KT144" i="2"/>
  <c r="KT127" i="2"/>
  <c r="FH127" i="2"/>
  <c r="FH137" i="2"/>
  <c r="FH126" i="2"/>
  <c r="KU118" i="2"/>
  <c r="KU115" i="2"/>
  <c r="KT138" i="2"/>
  <c r="KT140" i="2"/>
  <c r="FH138" i="2"/>
  <c r="FH142" i="2"/>
  <c r="FI118" i="2"/>
  <c r="FI115" i="2"/>
  <c r="KT142" i="2"/>
  <c r="KT126" i="2"/>
  <c r="F103" i="5"/>
  <c r="E103" i="5" s="1"/>
  <c r="G103" i="5" s="1"/>
  <c r="X110" i="2"/>
  <c r="X107" i="2" s="1"/>
  <c r="K124" i="2"/>
  <c r="H124" i="2" s="1"/>
  <c r="M103" i="5"/>
  <c r="L103" i="5" s="1"/>
  <c r="N103" i="5" s="1"/>
  <c r="N33" i="5"/>
  <c r="G33" i="5"/>
  <c r="QW112" i="2"/>
  <c r="QX113" i="2"/>
  <c r="FK113" i="2"/>
  <c r="FJ112" i="2"/>
  <c r="FJ117" i="2" s="1"/>
  <c r="KU124" i="2"/>
  <c r="KU134" i="2"/>
  <c r="FI134" i="2"/>
  <c r="FI124" i="2"/>
  <c r="KV135" i="2"/>
  <c r="FN135" i="2"/>
  <c r="KW125" i="2"/>
  <c r="FL125" i="2"/>
  <c r="KV113" i="2"/>
  <c r="KV112" i="2" s="1"/>
  <c r="KV116" i="2" s="1"/>
  <c r="Y111" i="2"/>
  <c r="FD77" i="2"/>
  <c r="FE77" i="2" s="1"/>
  <c r="FF77" i="2" s="1"/>
  <c r="FG77" i="2" s="1"/>
  <c r="FH77" i="2" s="1"/>
  <c r="FI77" i="2" s="1"/>
  <c r="FJ77" i="2" s="1"/>
  <c r="FK77" i="2" s="1"/>
  <c r="FL77" i="2" s="1"/>
  <c r="FM77" i="2" s="1"/>
  <c r="FN77" i="2" s="1"/>
  <c r="FO77" i="2" s="1"/>
  <c r="FP77" i="2" s="1"/>
  <c r="FQ77" i="2" s="1"/>
  <c r="FR77" i="2" s="1"/>
  <c r="FS77" i="2" s="1"/>
  <c r="FT77" i="2" s="1"/>
  <c r="FU77" i="2" s="1"/>
  <c r="FV77" i="2" s="1"/>
  <c r="FW77" i="2" s="1"/>
  <c r="FX77" i="2" s="1"/>
  <c r="FY77" i="2" s="1"/>
  <c r="FZ77" i="2" s="1"/>
  <c r="GA77" i="2" s="1"/>
  <c r="GB77" i="2" s="1"/>
  <c r="GC77" i="2" s="1"/>
  <c r="GD77" i="2" s="1"/>
  <c r="GE77" i="2" s="1"/>
  <c r="GF77" i="2" s="1"/>
  <c r="GG77" i="2" s="1"/>
  <c r="GH77" i="2" s="1"/>
  <c r="GI77" i="2" s="1"/>
  <c r="GJ77" i="2" s="1"/>
  <c r="GK77" i="2" s="1"/>
  <c r="GL77" i="2" s="1"/>
  <c r="GM77" i="2" s="1"/>
  <c r="GN77" i="2" s="1"/>
  <c r="GO77" i="2" s="1"/>
  <c r="GP77" i="2" s="1"/>
  <c r="GQ77" i="2" s="1"/>
  <c r="GR77" i="2" s="1"/>
  <c r="GS77" i="2" s="1"/>
  <c r="GT77" i="2" s="1"/>
  <c r="GU77" i="2" s="1"/>
  <c r="GV77" i="2" s="1"/>
  <c r="GW77" i="2" s="1"/>
  <c r="GX77" i="2" s="1"/>
  <c r="GY77" i="2" s="1"/>
  <c r="GZ77" i="2" s="1"/>
  <c r="HA77" i="2" s="1"/>
  <c r="HB77" i="2" s="1"/>
  <c r="HC77" i="2" s="1"/>
  <c r="HD77" i="2" s="1"/>
  <c r="HE77" i="2" s="1"/>
  <c r="HF77" i="2" s="1"/>
  <c r="HG77" i="2" s="1"/>
  <c r="HH77" i="2" s="1"/>
  <c r="HI77" i="2" s="1"/>
  <c r="HJ77" i="2" s="1"/>
  <c r="HK77" i="2" s="1"/>
  <c r="HL77" i="2" s="1"/>
  <c r="HM77" i="2" s="1"/>
  <c r="HN77" i="2" s="1"/>
  <c r="HO77" i="2" s="1"/>
  <c r="HP77" i="2" s="1"/>
  <c r="HQ77" i="2" s="1"/>
  <c r="HR77" i="2" s="1"/>
  <c r="HS77" i="2" s="1"/>
  <c r="HT77" i="2" s="1"/>
  <c r="HU77" i="2" s="1"/>
  <c r="HV77" i="2" s="1"/>
  <c r="HW77" i="2" s="1"/>
  <c r="HX77" i="2" s="1"/>
  <c r="HY77" i="2" s="1"/>
  <c r="HZ77" i="2" s="1"/>
  <c r="IA77" i="2" s="1"/>
  <c r="IB77" i="2" s="1"/>
  <c r="IC77" i="2" s="1"/>
  <c r="ID77" i="2" s="1"/>
  <c r="IE77" i="2" s="1"/>
  <c r="IF77" i="2" s="1"/>
  <c r="IG77" i="2" s="1"/>
  <c r="IH77" i="2" s="1"/>
  <c r="II77" i="2" s="1"/>
  <c r="IJ77" i="2" s="1"/>
  <c r="IK77" i="2" s="1"/>
  <c r="IL77" i="2" s="1"/>
  <c r="IM77" i="2" s="1"/>
  <c r="IN77" i="2" s="1"/>
  <c r="IO77" i="2" s="1"/>
  <c r="IP77" i="2" s="1"/>
  <c r="IQ77" i="2" s="1"/>
  <c r="IR77" i="2" s="1"/>
  <c r="IS77" i="2" s="1"/>
  <c r="IT77" i="2" s="1"/>
  <c r="IU77" i="2" s="1"/>
  <c r="IV77" i="2" s="1"/>
  <c r="IW77" i="2" s="1"/>
  <c r="IX77" i="2" s="1"/>
  <c r="IY77" i="2" s="1"/>
  <c r="IZ77" i="2" s="1"/>
  <c r="JA77" i="2" s="1"/>
  <c r="JB77" i="2" s="1"/>
  <c r="JC77" i="2" s="1"/>
  <c r="JD77" i="2" s="1"/>
  <c r="JE77" i="2" s="1"/>
  <c r="JF77" i="2" s="1"/>
  <c r="JG77" i="2" s="1"/>
  <c r="JH77" i="2" s="1"/>
  <c r="JI77" i="2" s="1"/>
  <c r="JJ77" i="2" s="1"/>
  <c r="JK77" i="2" s="1"/>
  <c r="JL77" i="2" s="1"/>
  <c r="JM77" i="2" s="1"/>
  <c r="JN77" i="2" s="1"/>
  <c r="JO77" i="2" s="1"/>
  <c r="JP77" i="2" s="1"/>
  <c r="JQ77" i="2" s="1"/>
  <c r="JR77" i="2" s="1"/>
  <c r="JS77" i="2" s="1"/>
  <c r="JT77" i="2" s="1"/>
  <c r="JU77" i="2" s="1"/>
  <c r="JV77" i="2" s="1"/>
  <c r="JW77" i="2" s="1"/>
  <c r="JX77" i="2" s="1"/>
  <c r="JY77" i="2" s="1"/>
  <c r="JZ77" i="2" s="1"/>
  <c r="KA77" i="2" s="1"/>
  <c r="KB77" i="2" s="1"/>
  <c r="KC77" i="2" s="1"/>
  <c r="KD77" i="2" s="1"/>
  <c r="KE77" i="2" s="1"/>
  <c r="EW92" i="2"/>
  <c r="EW91" i="2"/>
  <c r="FD87" i="2"/>
  <c r="FE87" i="2" s="1"/>
  <c r="S23" i="2"/>
  <c r="FD93" i="2"/>
  <c r="FE93" i="2" s="1"/>
  <c r="FF93" i="2" s="1"/>
  <c r="FG93" i="2" s="1"/>
  <c r="FH93" i="2" s="1"/>
  <c r="FI93" i="2" s="1"/>
  <c r="FJ93" i="2" s="1"/>
  <c r="FK93" i="2" s="1"/>
  <c r="FL93" i="2" s="1"/>
  <c r="FM93" i="2" s="1"/>
  <c r="FN93" i="2" s="1"/>
  <c r="FO93" i="2" s="1"/>
  <c r="FP93" i="2" s="1"/>
  <c r="FQ93" i="2" s="1"/>
  <c r="FR93" i="2" s="1"/>
  <c r="FS93" i="2" s="1"/>
  <c r="FT93" i="2" s="1"/>
  <c r="FU93" i="2" s="1"/>
  <c r="FV93" i="2" s="1"/>
  <c r="FW93" i="2" s="1"/>
  <c r="FX93" i="2" s="1"/>
  <c r="FY93" i="2" s="1"/>
  <c r="FZ93" i="2" s="1"/>
  <c r="GA93" i="2" s="1"/>
  <c r="GB93" i="2" s="1"/>
  <c r="GC93" i="2" s="1"/>
  <c r="GD93" i="2" s="1"/>
  <c r="GE93" i="2" s="1"/>
  <c r="GF93" i="2" s="1"/>
  <c r="GG93" i="2" s="1"/>
  <c r="GH93" i="2" s="1"/>
  <c r="GI93" i="2" s="1"/>
  <c r="GJ93" i="2" s="1"/>
  <c r="GK93" i="2" s="1"/>
  <c r="GL93" i="2" s="1"/>
  <c r="GM93" i="2" s="1"/>
  <c r="GN93" i="2" s="1"/>
  <c r="GO93" i="2" s="1"/>
  <c r="GP93" i="2" s="1"/>
  <c r="GQ93" i="2" s="1"/>
  <c r="GR93" i="2" s="1"/>
  <c r="GS93" i="2" s="1"/>
  <c r="GT93" i="2" s="1"/>
  <c r="GU93" i="2" s="1"/>
  <c r="GV93" i="2" s="1"/>
  <c r="GW93" i="2" s="1"/>
  <c r="GX93" i="2" s="1"/>
  <c r="GY93" i="2" s="1"/>
  <c r="GZ93" i="2" s="1"/>
  <c r="HA93" i="2" s="1"/>
  <c r="HB93" i="2" s="1"/>
  <c r="HC93" i="2" s="1"/>
  <c r="HD93" i="2" s="1"/>
  <c r="HE93" i="2" s="1"/>
  <c r="HF93" i="2" s="1"/>
  <c r="HG93" i="2" s="1"/>
  <c r="HH93" i="2" s="1"/>
  <c r="HI93" i="2" s="1"/>
  <c r="HJ93" i="2" s="1"/>
  <c r="HK93" i="2" s="1"/>
  <c r="HL93" i="2" s="1"/>
  <c r="HM93" i="2" s="1"/>
  <c r="HN93" i="2" s="1"/>
  <c r="HO93" i="2" s="1"/>
  <c r="HP93" i="2" s="1"/>
  <c r="HQ93" i="2" s="1"/>
  <c r="HR93" i="2" s="1"/>
  <c r="HS93" i="2" s="1"/>
  <c r="HT93" i="2" s="1"/>
  <c r="HU93" i="2" s="1"/>
  <c r="HV93" i="2" s="1"/>
  <c r="HW93" i="2" s="1"/>
  <c r="HX93" i="2" s="1"/>
  <c r="HY93" i="2" s="1"/>
  <c r="HZ93" i="2" s="1"/>
  <c r="IA93" i="2" s="1"/>
  <c r="IB93" i="2" s="1"/>
  <c r="IC93" i="2" s="1"/>
  <c r="ID93" i="2" s="1"/>
  <c r="IE93" i="2" s="1"/>
  <c r="IF93" i="2" s="1"/>
  <c r="IG93" i="2" s="1"/>
  <c r="IH93" i="2" s="1"/>
  <c r="II93" i="2" s="1"/>
  <c r="IJ93" i="2" s="1"/>
  <c r="IK93" i="2" s="1"/>
  <c r="IL93" i="2" s="1"/>
  <c r="IM93" i="2" s="1"/>
  <c r="IN93" i="2" s="1"/>
  <c r="IO93" i="2" s="1"/>
  <c r="IP93" i="2" s="1"/>
  <c r="IQ93" i="2" s="1"/>
  <c r="IR93" i="2" s="1"/>
  <c r="IS93" i="2" s="1"/>
  <c r="IT93" i="2" s="1"/>
  <c r="IU93" i="2" s="1"/>
  <c r="IV93" i="2" s="1"/>
  <c r="IW93" i="2" s="1"/>
  <c r="IX93" i="2" s="1"/>
  <c r="IY93" i="2" s="1"/>
  <c r="IZ93" i="2" s="1"/>
  <c r="JA93" i="2" s="1"/>
  <c r="JB93" i="2" s="1"/>
  <c r="JC93" i="2" s="1"/>
  <c r="JD93" i="2" s="1"/>
  <c r="JE93" i="2" s="1"/>
  <c r="JF93" i="2" s="1"/>
  <c r="JG93" i="2" s="1"/>
  <c r="JH93" i="2" s="1"/>
  <c r="JI93" i="2" s="1"/>
  <c r="JJ93" i="2" s="1"/>
  <c r="JK93" i="2" s="1"/>
  <c r="JL93" i="2" s="1"/>
  <c r="JM93" i="2" s="1"/>
  <c r="JN93" i="2" s="1"/>
  <c r="JO93" i="2" s="1"/>
  <c r="JP93" i="2" s="1"/>
  <c r="JQ93" i="2" s="1"/>
  <c r="JR93" i="2" s="1"/>
  <c r="JS93" i="2" s="1"/>
  <c r="JT93" i="2" s="1"/>
  <c r="JU93" i="2" s="1"/>
  <c r="JV93" i="2" s="1"/>
  <c r="JW93" i="2" s="1"/>
  <c r="JX93" i="2" s="1"/>
  <c r="JY93" i="2" s="1"/>
  <c r="JZ93" i="2" s="1"/>
  <c r="KA93" i="2" s="1"/>
  <c r="KB93" i="2" s="1"/>
  <c r="KC93" i="2" s="1"/>
  <c r="KD93" i="2" s="1"/>
  <c r="KE93" i="2" s="1"/>
  <c r="FD81" i="2"/>
  <c r="KU128" i="2" l="1"/>
  <c r="KU138" i="2"/>
  <c r="KU142" i="2"/>
  <c r="KU126" i="2"/>
  <c r="KU127" i="2"/>
  <c r="KU137" i="2"/>
  <c r="KU136" i="2"/>
  <c r="KU144" i="2"/>
  <c r="KU141" i="2"/>
  <c r="KV115" i="2"/>
  <c r="FJ119" i="2"/>
  <c r="KV119" i="2"/>
  <c r="KV114" i="2"/>
  <c r="FJ115" i="2"/>
  <c r="KV118" i="2"/>
  <c r="FI139" i="2"/>
  <c r="FI128" i="2"/>
  <c r="FI140" i="2"/>
  <c r="FJ118" i="2"/>
  <c r="FI144" i="2"/>
  <c r="KU129" i="2"/>
  <c r="FI150" i="2"/>
  <c r="FI142" i="2"/>
  <c r="FI126" i="2"/>
  <c r="FJ116" i="2"/>
  <c r="FJ114" i="2"/>
  <c r="FI136" i="2"/>
  <c r="FI138" i="2"/>
  <c r="FI137" i="2"/>
  <c r="FI129" i="2"/>
  <c r="KU139" i="2"/>
  <c r="KU140" i="2"/>
  <c r="FI127" i="2"/>
  <c r="FI141" i="2"/>
  <c r="KV117" i="2"/>
  <c r="I124" i="2"/>
  <c r="K131" i="2"/>
  <c r="K133" i="2" s="1"/>
  <c r="W17" i="5" s="1"/>
  <c r="Y110" i="2"/>
  <c r="Y107" i="2" s="1"/>
  <c r="QX112" i="2"/>
  <c r="QY113" i="2"/>
  <c r="EX26" i="2"/>
  <c r="EY26" i="2"/>
  <c r="FJ134" i="2"/>
  <c r="FJ124" i="2"/>
  <c r="FL113" i="2"/>
  <c r="FK112" i="2"/>
  <c r="FK117" i="2" s="1"/>
  <c r="KU150" i="2"/>
  <c r="KV134" i="2"/>
  <c r="KV124" i="2"/>
  <c r="KV128" i="2" s="1"/>
  <c r="EY48" i="2"/>
  <c r="EX48" i="2"/>
  <c r="KW135" i="2"/>
  <c r="FO135" i="2"/>
  <c r="KX125" i="2"/>
  <c r="FM125" i="2"/>
  <c r="KW113" i="2"/>
  <c r="KW112" i="2" s="1"/>
  <c r="KW116" i="2" s="1"/>
  <c r="FF87" i="2"/>
  <c r="Z111" i="2"/>
  <c r="FE81" i="2"/>
  <c r="K40" i="2"/>
  <c r="FD59" i="2"/>
  <c r="FE59" i="2" s="1"/>
  <c r="FF59" i="2" s="1"/>
  <c r="FG59" i="2" s="1"/>
  <c r="FH59" i="2" s="1"/>
  <c r="FI59" i="2" s="1"/>
  <c r="FJ59" i="2" s="1"/>
  <c r="FK59" i="2" s="1"/>
  <c r="FL59" i="2" s="1"/>
  <c r="FM59" i="2" s="1"/>
  <c r="FN59" i="2" s="1"/>
  <c r="FO59" i="2" s="1"/>
  <c r="FP59" i="2" s="1"/>
  <c r="FQ59" i="2" s="1"/>
  <c r="FR59" i="2" s="1"/>
  <c r="FS59" i="2" s="1"/>
  <c r="FT59" i="2" s="1"/>
  <c r="FU59" i="2" s="1"/>
  <c r="FV59" i="2" s="1"/>
  <c r="FW59" i="2" s="1"/>
  <c r="FX59" i="2" s="1"/>
  <c r="FY59" i="2" s="1"/>
  <c r="FZ59" i="2" s="1"/>
  <c r="GA59" i="2" s="1"/>
  <c r="GB59" i="2" s="1"/>
  <c r="GC59" i="2" s="1"/>
  <c r="GD59" i="2" s="1"/>
  <c r="GE59" i="2" s="1"/>
  <c r="GF59" i="2" s="1"/>
  <c r="GG59" i="2" s="1"/>
  <c r="GH59" i="2" s="1"/>
  <c r="GI59" i="2" s="1"/>
  <c r="GJ59" i="2" s="1"/>
  <c r="GK59" i="2" s="1"/>
  <c r="GL59" i="2" s="1"/>
  <c r="GM59" i="2" s="1"/>
  <c r="GN59" i="2" s="1"/>
  <c r="GO59" i="2" s="1"/>
  <c r="GP59" i="2" s="1"/>
  <c r="GQ59" i="2" s="1"/>
  <c r="GR59" i="2" s="1"/>
  <c r="GS59" i="2" s="1"/>
  <c r="GT59" i="2" s="1"/>
  <c r="GU59" i="2" s="1"/>
  <c r="GV59" i="2" s="1"/>
  <c r="GW59" i="2" s="1"/>
  <c r="GX59" i="2" s="1"/>
  <c r="GY59" i="2" s="1"/>
  <c r="GZ59" i="2" s="1"/>
  <c r="HA59" i="2" s="1"/>
  <c r="HB59" i="2" s="1"/>
  <c r="HC59" i="2" s="1"/>
  <c r="HD59" i="2" s="1"/>
  <c r="HE59" i="2" s="1"/>
  <c r="HF59" i="2" s="1"/>
  <c r="HG59" i="2" s="1"/>
  <c r="HH59" i="2" s="1"/>
  <c r="HI59" i="2" s="1"/>
  <c r="HJ59" i="2" s="1"/>
  <c r="HK59" i="2" s="1"/>
  <c r="HL59" i="2" s="1"/>
  <c r="HM59" i="2" s="1"/>
  <c r="HN59" i="2" s="1"/>
  <c r="HO59" i="2" s="1"/>
  <c r="HP59" i="2" s="1"/>
  <c r="HQ59" i="2" s="1"/>
  <c r="HR59" i="2" s="1"/>
  <c r="HS59" i="2" s="1"/>
  <c r="HT59" i="2" s="1"/>
  <c r="HU59" i="2" s="1"/>
  <c r="HV59" i="2" s="1"/>
  <c r="HW59" i="2" s="1"/>
  <c r="HX59" i="2" s="1"/>
  <c r="HY59" i="2" s="1"/>
  <c r="HZ59" i="2" s="1"/>
  <c r="IA59" i="2" s="1"/>
  <c r="IB59" i="2" s="1"/>
  <c r="IC59" i="2" s="1"/>
  <c r="ID59" i="2" s="1"/>
  <c r="IE59" i="2" s="1"/>
  <c r="IF59" i="2" s="1"/>
  <c r="IG59" i="2" s="1"/>
  <c r="IH59" i="2" s="1"/>
  <c r="II59" i="2" s="1"/>
  <c r="IJ59" i="2" s="1"/>
  <c r="IK59" i="2" s="1"/>
  <c r="IL59" i="2" s="1"/>
  <c r="IM59" i="2" s="1"/>
  <c r="IN59" i="2" s="1"/>
  <c r="IO59" i="2" s="1"/>
  <c r="IP59" i="2" s="1"/>
  <c r="IQ59" i="2" s="1"/>
  <c r="IR59" i="2" s="1"/>
  <c r="IS59" i="2" s="1"/>
  <c r="IT59" i="2" s="1"/>
  <c r="IU59" i="2" s="1"/>
  <c r="IV59" i="2" s="1"/>
  <c r="IW59" i="2" s="1"/>
  <c r="IX59" i="2" s="1"/>
  <c r="IY59" i="2" s="1"/>
  <c r="IZ59" i="2" s="1"/>
  <c r="JA59" i="2" s="1"/>
  <c r="JB59" i="2" s="1"/>
  <c r="JC59" i="2" s="1"/>
  <c r="JD59" i="2" s="1"/>
  <c r="JE59" i="2" s="1"/>
  <c r="JF59" i="2" s="1"/>
  <c r="JG59" i="2" s="1"/>
  <c r="JH59" i="2" s="1"/>
  <c r="JI59" i="2" s="1"/>
  <c r="JJ59" i="2" s="1"/>
  <c r="JK59" i="2" s="1"/>
  <c r="JL59" i="2" s="1"/>
  <c r="JM59" i="2" s="1"/>
  <c r="JN59" i="2" s="1"/>
  <c r="JO59" i="2" s="1"/>
  <c r="JP59" i="2" s="1"/>
  <c r="JQ59" i="2" s="1"/>
  <c r="JR59" i="2" s="1"/>
  <c r="JS59" i="2" s="1"/>
  <c r="JT59" i="2" s="1"/>
  <c r="JU59" i="2" s="1"/>
  <c r="JV59" i="2" s="1"/>
  <c r="JW59" i="2" s="1"/>
  <c r="JX59" i="2" s="1"/>
  <c r="JY59" i="2" s="1"/>
  <c r="JZ59" i="2" s="1"/>
  <c r="KA59" i="2" s="1"/>
  <c r="KB59" i="2" s="1"/>
  <c r="KC59" i="2" s="1"/>
  <c r="KD59" i="2" s="1"/>
  <c r="KE59" i="2" s="1"/>
  <c r="FJ136" i="2" l="1"/>
  <c r="KW117" i="2"/>
  <c r="FJ141" i="2"/>
  <c r="FJ138" i="2"/>
  <c r="FJ144" i="2"/>
  <c r="KW114" i="2"/>
  <c r="KV126" i="2"/>
  <c r="KW119" i="2"/>
  <c r="KV136" i="2"/>
  <c r="FK114" i="2"/>
  <c r="FK118" i="2"/>
  <c r="FK119" i="2"/>
  <c r="KV137" i="2"/>
  <c r="FJ127" i="2"/>
  <c r="FK116" i="2"/>
  <c r="FJ140" i="2"/>
  <c r="KW115" i="2"/>
  <c r="KV127" i="2"/>
  <c r="KV140" i="2"/>
  <c r="FJ126" i="2"/>
  <c r="FJ128" i="2"/>
  <c r="KV142" i="2"/>
  <c r="KV139" i="2"/>
  <c r="FJ142" i="2"/>
  <c r="FJ139" i="2"/>
  <c r="KV141" i="2"/>
  <c r="FJ129" i="2"/>
  <c r="FJ150" i="2"/>
  <c r="KW118" i="2"/>
  <c r="KV144" i="2"/>
  <c r="FJ137" i="2"/>
  <c r="KV129" i="2"/>
  <c r="FK115" i="2"/>
  <c r="KV138" i="2"/>
  <c r="K132" i="2"/>
  <c r="W16" i="5" s="1"/>
  <c r="W18" i="5" s="1"/>
  <c r="Z110" i="2"/>
  <c r="Z107" i="2" s="1"/>
  <c r="QZ113" i="2"/>
  <c r="QY112" i="2"/>
  <c r="KV150" i="2"/>
  <c r="KW134" i="2"/>
  <c r="KW124" i="2"/>
  <c r="KW128" i="2" s="1"/>
  <c r="FK134" i="2"/>
  <c r="FK124" i="2"/>
  <c r="FM113" i="2"/>
  <c r="FL112" i="2"/>
  <c r="FL117" i="2" s="1"/>
  <c r="KX135" i="2"/>
  <c r="FP135" i="2"/>
  <c r="KY125" i="2"/>
  <c r="FN125" i="2"/>
  <c r="KX113" i="2"/>
  <c r="KX112" i="2" s="1"/>
  <c r="KX116" i="2" s="1"/>
  <c r="FG87" i="2"/>
  <c r="AA111" i="2"/>
  <c r="FF81" i="2"/>
  <c r="EY88" i="2"/>
  <c r="EW81" i="2"/>
  <c r="B94" i="2"/>
  <c r="B93" i="2"/>
  <c r="B77" i="2"/>
  <c r="B76" i="2"/>
  <c r="FA83" i="2"/>
  <c r="EZ75" i="2"/>
  <c r="EZ82" i="2" s="1"/>
  <c r="T79" i="2"/>
  <c r="U79" i="2" s="1"/>
  <c r="V79" i="2" s="1"/>
  <c r="W79" i="2" s="1"/>
  <c r="X79" i="2" s="1"/>
  <c r="Y79" i="2" s="1"/>
  <c r="Z79" i="2" s="1"/>
  <c r="AA79" i="2" s="1"/>
  <c r="AB79" i="2" s="1"/>
  <c r="AC79" i="2" s="1"/>
  <c r="AD79" i="2" s="1"/>
  <c r="AE79" i="2" s="1"/>
  <c r="AF79" i="2" s="1"/>
  <c r="AG79" i="2" s="1"/>
  <c r="AH79" i="2" s="1"/>
  <c r="AI79" i="2" s="1"/>
  <c r="AJ79" i="2" s="1"/>
  <c r="AK79" i="2" s="1"/>
  <c r="AL79" i="2" s="1"/>
  <c r="AM79" i="2" s="1"/>
  <c r="AN79" i="2" s="1"/>
  <c r="AO79" i="2" s="1"/>
  <c r="AP79" i="2" s="1"/>
  <c r="AQ79" i="2" s="1"/>
  <c r="AR79" i="2" s="1"/>
  <c r="AS79" i="2" s="1"/>
  <c r="AT79" i="2" s="1"/>
  <c r="AU79" i="2" s="1"/>
  <c r="AV79" i="2" s="1"/>
  <c r="AW79" i="2" s="1"/>
  <c r="AX79" i="2" s="1"/>
  <c r="AY79" i="2" s="1"/>
  <c r="AZ79" i="2" s="1"/>
  <c r="BA79" i="2" s="1"/>
  <c r="BB79" i="2" s="1"/>
  <c r="BC79" i="2" s="1"/>
  <c r="BD79" i="2" s="1"/>
  <c r="BE79" i="2" s="1"/>
  <c r="BF79" i="2" s="1"/>
  <c r="BG79" i="2" s="1"/>
  <c r="BH79" i="2" s="1"/>
  <c r="BI79" i="2" s="1"/>
  <c r="BJ79" i="2" s="1"/>
  <c r="BK79" i="2" s="1"/>
  <c r="BL79" i="2" s="1"/>
  <c r="BM79" i="2" s="1"/>
  <c r="BN79" i="2" s="1"/>
  <c r="BO79" i="2" s="1"/>
  <c r="BP79" i="2" s="1"/>
  <c r="BQ79" i="2" s="1"/>
  <c r="BR79" i="2" s="1"/>
  <c r="BS79" i="2" s="1"/>
  <c r="BT79" i="2" s="1"/>
  <c r="BU79" i="2" s="1"/>
  <c r="BV79" i="2" s="1"/>
  <c r="BW79" i="2" s="1"/>
  <c r="BX79" i="2" s="1"/>
  <c r="BY79" i="2" s="1"/>
  <c r="BZ79" i="2" s="1"/>
  <c r="CA79" i="2" s="1"/>
  <c r="CB79" i="2" s="1"/>
  <c r="CC79" i="2" s="1"/>
  <c r="CD79" i="2" s="1"/>
  <c r="CE79" i="2" s="1"/>
  <c r="CF79" i="2" s="1"/>
  <c r="CG79" i="2" s="1"/>
  <c r="CH79" i="2" s="1"/>
  <c r="CI79" i="2" s="1"/>
  <c r="CJ79" i="2" s="1"/>
  <c r="CK79" i="2" s="1"/>
  <c r="CL79" i="2" s="1"/>
  <c r="CM79" i="2" s="1"/>
  <c r="CN79" i="2" s="1"/>
  <c r="CO79" i="2" s="1"/>
  <c r="CP79" i="2" s="1"/>
  <c r="CQ79" i="2" s="1"/>
  <c r="CR79" i="2" s="1"/>
  <c r="CS79" i="2" s="1"/>
  <c r="CT79" i="2" s="1"/>
  <c r="CU79" i="2" s="1"/>
  <c r="CV79" i="2" s="1"/>
  <c r="CW79" i="2" s="1"/>
  <c r="CX79" i="2" s="1"/>
  <c r="CY79" i="2" s="1"/>
  <c r="CZ79" i="2" s="1"/>
  <c r="DA79" i="2" s="1"/>
  <c r="DB79" i="2" s="1"/>
  <c r="DC79" i="2" s="1"/>
  <c r="DD79" i="2" s="1"/>
  <c r="DE79" i="2" s="1"/>
  <c r="DF79" i="2" s="1"/>
  <c r="DG79" i="2" s="1"/>
  <c r="DH79" i="2" s="1"/>
  <c r="DI79" i="2" s="1"/>
  <c r="DJ79" i="2" s="1"/>
  <c r="DK79" i="2" s="1"/>
  <c r="DL79" i="2" s="1"/>
  <c r="DM79" i="2" s="1"/>
  <c r="DN79" i="2" s="1"/>
  <c r="DO79" i="2" s="1"/>
  <c r="DP79" i="2" s="1"/>
  <c r="DQ79" i="2" s="1"/>
  <c r="DR79" i="2" s="1"/>
  <c r="DS79" i="2" s="1"/>
  <c r="DT79" i="2" s="1"/>
  <c r="DU79" i="2" s="1"/>
  <c r="DV79" i="2" s="1"/>
  <c r="DW79" i="2" s="1"/>
  <c r="DX79" i="2" s="1"/>
  <c r="DY79" i="2" s="1"/>
  <c r="DZ79" i="2" s="1"/>
  <c r="EA79" i="2" s="1"/>
  <c r="EB79" i="2" s="1"/>
  <c r="EC79" i="2" s="1"/>
  <c r="ED79" i="2" s="1"/>
  <c r="EE79" i="2" s="1"/>
  <c r="EF79" i="2" s="1"/>
  <c r="EG79" i="2" s="1"/>
  <c r="EH79" i="2" s="1"/>
  <c r="EI79" i="2" s="1"/>
  <c r="EJ79" i="2" s="1"/>
  <c r="EK79" i="2" s="1"/>
  <c r="EL79" i="2" s="1"/>
  <c r="EM79" i="2" s="1"/>
  <c r="EN79" i="2" s="1"/>
  <c r="EO79" i="2" s="1"/>
  <c r="EP79" i="2" s="1"/>
  <c r="EQ79" i="2" s="1"/>
  <c r="ER79" i="2" s="1"/>
  <c r="ES79" i="2" s="1"/>
  <c r="ET79" i="2" s="1"/>
  <c r="EU79" i="2" s="1"/>
  <c r="EZ89" i="2"/>
  <c r="EZ95" i="2" s="1"/>
  <c r="EZ88" i="2"/>
  <c r="EZ94" i="2" s="1"/>
  <c r="EZ76" i="2"/>
  <c r="EZ83" i="2" s="1"/>
  <c r="EW89" i="2"/>
  <c r="EW88" i="2"/>
  <c r="FD66" i="2"/>
  <c r="FE66" i="2" s="1"/>
  <c r="FF66" i="2" s="1"/>
  <c r="FG66" i="2" s="1"/>
  <c r="FH66" i="2" s="1"/>
  <c r="FI66" i="2" s="1"/>
  <c r="FJ66" i="2" s="1"/>
  <c r="FK66" i="2" s="1"/>
  <c r="FL66" i="2" s="1"/>
  <c r="FM66" i="2" s="1"/>
  <c r="FN66" i="2" s="1"/>
  <c r="FO66" i="2" s="1"/>
  <c r="FP66" i="2" s="1"/>
  <c r="FQ66" i="2" s="1"/>
  <c r="FR66" i="2" s="1"/>
  <c r="FS66" i="2" s="1"/>
  <c r="FT66" i="2" s="1"/>
  <c r="FU66" i="2" s="1"/>
  <c r="FV66" i="2" s="1"/>
  <c r="FW66" i="2" s="1"/>
  <c r="FX66" i="2" s="1"/>
  <c r="FY66" i="2" s="1"/>
  <c r="FZ66" i="2" s="1"/>
  <c r="GA66" i="2" s="1"/>
  <c r="GB66" i="2" s="1"/>
  <c r="GC66" i="2" s="1"/>
  <c r="GD66" i="2" s="1"/>
  <c r="GE66" i="2" s="1"/>
  <c r="GF66" i="2" s="1"/>
  <c r="GG66" i="2" s="1"/>
  <c r="GH66" i="2" s="1"/>
  <c r="GI66" i="2" s="1"/>
  <c r="GJ66" i="2" s="1"/>
  <c r="GK66" i="2" s="1"/>
  <c r="GL66" i="2" s="1"/>
  <c r="GM66" i="2" s="1"/>
  <c r="GN66" i="2" s="1"/>
  <c r="GO66" i="2" s="1"/>
  <c r="GP66" i="2" s="1"/>
  <c r="GQ66" i="2" s="1"/>
  <c r="GR66" i="2" s="1"/>
  <c r="GS66" i="2" s="1"/>
  <c r="GT66" i="2" s="1"/>
  <c r="GU66" i="2" s="1"/>
  <c r="GV66" i="2" s="1"/>
  <c r="GW66" i="2" s="1"/>
  <c r="GX66" i="2" s="1"/>
  <c r="GY66" i="2" s="1"/>
  <c r="GZ66" i="2" s="1"/>
  <c r="HA66" i="2" s="1"/>
  <c r="HB66" i="2" s="1"/>
  <c r="HC66" i="2" s="1"/>
  <c r="HD66" i="2" s="1"/>
  <c r="HE66" i="2" s="1"/>
  <c r="HF66" i="2" s="1"/>
  <c r="HG66" i="2" s="1"/>
  <c r="HH66" i="2" s="1"/>
  <c r="HI66" i="2" s="1"/>
  <c r="HJ66" i="2" s="1"/>
  <c r="HK66" i="2" s="1"/>
  <c r="HL66" i="2" s="1"/>
  <c r="HM66" i="2" s="1"/>
  <c r="HN66" i="2" s="1"/>
  <c r="HO66" i="2" s="1"/>
  <c r="HP66" i="2" s="1"/>
  <c r="HQ66" i="2" s="1"/>
  <c r="HR66" i="2" s="1"/>
  <c r="HS66" i="2" s="1"/>
  <c r="HT66" i="2" s="1"/>
  <c r="HU66" i="2" s="1"/>
  <c r="HV66" i="2" s="1"/>
  <c r="HW66" i="2" s="1"/>
  <c r="HX66" i="2" s="1"/>
  <c r="HY66" i="2" s="1"/>
  <c r="HZ66" i="2" s="1"/>
  <c r="IA66" i="2" s="1"/>
  <c r="IB66" i="2" s="1"/>
  <c r="IC66" i="2" s="1"/>
  <c r="ID66" i="2" s="1"/>
  <c r="IE66" i="2" s="1"/>
  <c r="IF66" i="2" s="1"/>
  <c r="IG66" i="2" s="1"/>
  <c r="IH66" i="2" s="1"/>
  <c r="II66" i="2" s="1"/>
  <c r="IJ66" i="2" s="1"/>
  <c r="IK66" i="2" s="1"/>
  <c r="IL66" i="2" s="1"/>
  <c r="IM66" i="2" s="1"/>
  <c r="IN66" i="2" s="1"/>
  <c r="IO66" i="2" s="1"/>
  <c r="IP66" i="2" s="1"/>
  <c r="IQ66" i="2" s="1"/>
  <c r="IR66" i="2" s="1"/>
  <c r="IS66" i="2" s="1"/>
  <c r="IT66" i="2" s="1"/>
  <c r="IU66" i="2" s="1"/>
  <c r="IV66" i="2" s="1"/>
  <c r="IW66" i="2" s="1"/>
  <c r="IX66" i="2" s="1"/>
  <c r="IY66" i="2" s="1"/>
  <c r="IZ66" i="2" s="1"/>
  <c r="JA66" i="2" s="1"/>
  <c r="JB66" i="2" s="1"/>
  <c r="JC66" i="2" s="1"/>
  <c r="JD66" i="2" s="1"/>
  <c r="JE66" i="2" s="1"/>
  <c r="JF66" i="2" s="1"/>
  <c r="JG66" i="2" s="1"/>
  <c r="JH66" i="2" s="1"/>
  <c r="JI66" i="2" s="1"/>
  <c r="JJ66" i="2" s="1"/>
  <c r="JK66" i="2" s="1"/>
  <c r="JL66" i="2" s="1"/>
  <c r="JM66" i="2" s="1"/>
  <c r="JN66" i="2" s="1"/>
  <c r="JO66" i="2" s="1"/>
  <c r="JP66" i="2" s="1"/>
  <c r="JQ66" i="2" s="1"/>
  <c r="JR66" i="2" s="1"/>
  <c r="JS66" i="2" s="1"/>
  <c r="JT66" i="2" s="1"/>
  <c r="JU66" i="2" s="1"/>
  <c r="JV66" i="2" s="1"/>
  <c r="JW66" i="2" s="1"/>
  <c r="JX66" i="2" s="1"/>
  <c r="JY66" i="2" s="1"/>
  <c r="JZ66" i="2" s="1"/>
  <c r="KA66" i="2" s="1"/>
  <c r="KB66" i="2" s="1"/>
  <c r="KC66" i="2" s="1"/>
  <c r="KD66" i="2" s="1"/>
  <c r="KE66" i="2" s="1"/>
  <c r="FD22" i="2"/>
  <c r="FE22" i="2" s="1"/>
  <c r="FF22" i="2" s="1"/>
  <c r="FG22" i="2" s="1"/>
  <c r="FH22" i="2" s="1"/>
  <c r="FI22" i="2" s="1"/>
  <c r="FJ22" i="2" s="1"/>
  <c r="FK22" i="2" s="1"/>
  <c r="FL22" i="2" s="1"/>
  <c r="FM22" i="2" s="1"/>
  <c r="FN22" i="2" s="1"/>
  <c r="FO22" i="2" s="1"/>
  <c r="FP22" i="2" s="1"/>
  <c r="FQ22" i="2" s="1"/>
  <c r="FR22" i="2" s="1"/>
  <c r="FS22" i="2" s="1"/>
  <c r="FT22" i="2" s="1"/>
  <c r="FU22" i="2" s="1"/>
  <c r="FV22" i="2" s="1"/>
  <c r="FW22" i="2" s="1"/>
  <c r="FX22" i="2" s="1"/>
  <c r="FY22" i="2" s="1"/>
  <c r="FZ22" i="2" s="1"/>
  <c r="GA22" i="2" s="1"/>
  <c r="GB22" i="2" s="1"/>
  <c r="GC22" i="2" s="1"/>
  <c r="GD22" i="2" s="1"/>
  <c r="GE22" i="2" s="1"/>
  <c r="GF22" i="2" s="1"/>
  <c r="GG22" i="2" s="1"/>
  <c r="GH22" i="2" s="1"/>
  <c r="GI22" i="2" s="1"/>
  <c r="GJ22" i="2" s="1"/>
  <c r="GK22" i="2" s="1"/>
  <c r="GL22" i="2" s="1"/>
  <c r="GM22" i="2" s="1"/>
  <c r="GN22" i="2" s="1"/>
  <c r="GO22" i="2" s="1"/>
  <c r="GP22" i="2" s="1"/>
  <c r="GQ22" i="2" s="1"/>
  <c r="GR22" i="2" s="1"/>
  <c r="GS22" i="2" s="1"/>
  <c r="GT22" i="2" s="1"/>
  <c r="GU22" i="2" s="1"/>
  <c r="GV22" i="2" s="1"/>
  <c r="GW22" i="2" s="1"/>
  <c r="GX22" i="2" s="1"/>
  <c r="GY22" i="2" s="1"/>
  <c r="GZ22" i="2" s="1"/>
  <c r="HA22" i="2" s="1"/>
  <c r="HB22" i="2" s="1"/>
  <c r="HC22" i="2" s="1"/>
  <c r="HD22" i="2" s="1"/>
  <c r="HE22" i="2" s="1"/>
  <c r="HF22" i="2" s="1"/>
  <c r="HG22" i="2" s="1"/>
  <c r="HH22" i="2" s="1"/>
  <c r="HI22" i="2" s="1"/>
  <c r="HJ22" i="2" s="1"/>
  <c r="HK22" i="2" s="1"/>
  <c r="HL22" i="2" s="1"/>
  <c r="HM22" i="2" s="1"/>
  <c r="HN22" i="2" s="1"/>
  <c r="HO22" i="2" s="1"/>
  <c r="HP22" i="2" s="1"/>
  <c r="HQ22" i="2" s="1"/>
  <c r="HR22" i="2" s="1"/>
  <c r="HS22" i="2" s="1"/>
  <c r="HT22" i="2" s="1"/>
  <c r="HU22" i="2" s="1"/>
  <c r="HV22" i="2" s="1"/>
  <c r="HW22" i="2" s="1"/>
  <c r="HX22" i="2" s="1"/>
  <c r="HY22" i="2" s="1"/>
  <c r="HZ22" i="2" s="1"/>
  <c r="IA22" i="2" s="1"/>
  <c r="IB22" i="2" s="1"/>
  <c r="IC22" i="2" s="1"/>
  <c r="ID22" i="2" s="1"/>
  <c r="IE22" i="2" s="1"/>
  <c r="IF22" i="2" s="1"/>
  <c r="IG22" i="2" s="1"/>
  <c r="IH22" i="2" s="1"/>
  <c r="II22" i="2" s="1"/>
  <c r="IJ22" i="2" s="1"/>
  <c r="IK22" i="2" s="1"/>
  <c r="IL22" i="2" s="1"/>
  <c r="IM22" i="2" s="1"/>
  <c r="IN22" i="2" s="1"/>
  <c r="IO22" i="2" s="1"/>
  <c r="IP22" i="2" s="1"/>
  <c r="IQ22" i="2" s="1"/>
  <c r="IR22" i="2" s="1"/>
  <c r="IS22" i="2" s="1"/>
  <c r="IT22" i="2" s="1"/>
  <c r="IU22" i="2" s="1"/>
  <c r="IV22" i="2" s="1"/>
  <c r="IW22" i="2" s="1"/>
  <c r="IX22" i="2" s="1"/>
  <c r="IY22" i="2" s="1"/>
  <c r="IZ22" i="2" s="1"/>
  <c r="JA22" i="2" s="1"/>
  <c r="JB22" i="2" s="1"/>
  <c r="JC22" i="2" s="1"/>
  <c r="JD22" i="2" s="1"/>
  <c r="JE22" i="2" s="1"/>
  <c r="JF22" i="2" s="1"/>
  <c r="JG22" i="2" s="1"/>
  <c r="JH22" i="2" s="1"/>
  <c r="JI22" i="2" s="1"/>
  <c r="JJ22" i="2" s="1"/>
  <c r="JK22" i="2" s="1"/>
  <c r="JL22" i="2" s="1"/>
  <c r="JM22" i="2" s="1"/>
  <c r="JN22" i="2" s="1"/>
  <c r="JO22" i="2" s="1"/>
  <c r="JP22" i="2" s="1"/>
  <c r="JQ22" i="2" s="1"/>
  <c r="JR22" i="2" s="1"/>
  <c r="JS22" i="2" s="1"/>
  <c r="JT22" i="2" s="1"/>
  <c r="JU22" i="2" s="1"/>
  <c r="JV22" i="2" s="1"/>
  <c r="JW22" i="2" s="1"/>
  <c r="JX22" i="2" s="1"/>
  <c r="JY22" i="2" s="1"/>
  <c r="JZ22" i="2" s="1"/>
  <c r="KA22" i="2" s="1"/>
  <c r="KB22" i="2" s="1"/>
  <c r="KC22" i="2" s="1"/>
  <c r="KD22" i="2" s="1"/>
  <c r="KE22" i="2" s="1"/>
  <c r="FD2" i="2"/>
  <c r="KD92" i="2"/>
  <c r="KC92" i="2"/>
  <c r="KB92" i="2"/>
  <c r="KA92" i="2"/>
  <c r="JY92" i="2"/>
  <c r="JX92" i="2"/>
  <c r="JW92" i="2"/>
  <c r="JV92" i="2"/>
  <c r="JU92" i="2"/>
  <c r="JT92" i="2"/>
  <c r="JS92" i="2"/>
  <c r="JR92" i="2"/>
  <c r="JQ92" i="2"/>
  <c r="JP92" i="2"/>
  <c r="JO92" i="2"/>
  <c r="JN92" i="2"/>
  <c r="JM92" i="2"/>
  <c r="JL92" i="2"/>
  <c r="JK92" i="2"/>
  <c r="JJ92" i="2"/>
  <c r="JI92" i="2"/>
  <c r="JH92" i="2"/>
  <c r="JG92" i="2"/>
  <c r="JF92" i="2"/>
  <c r="JE92" i="2"/>
  <c r="JD92" i="2"/>
  <c r="JC92" i="2"/>
  <c r="JB92" i="2"/>
  <c r="JA92" i="2"/>
  <c r="IZ92" i="2"/>
  <c r="IY92" i="2"/>
  <c r="IX92" i="2"/>
  <c r="IW92" i="2"/>
  <c r="IV92" i="2"/>
  <c r="IU92" i="2"/>
  <c r="IT92" i="2"/>
  <c r="IS92" i="2"/>
  <c r="IR92" i="2"/>
  <c r="IQ92" i="2"/>
  <c r="IP92" i="2"/>
  <c r="IO92" i="2"/>
  <c r="IN92" i="2"/>
  <c r="IM92" i="2"/>
  <c r="IL92" i="2"/>
  <c r="IK92" i="2"/>
  <c r="IJ92" i="2"/>
  <c r="II92" i="2"/>
  <c r="IH92" i="2"/>
  <c r="IG92" i="2"/>
  <c r="IF92" i="2"/>
  <c r="IE92" i="2"/>
  <c r="ID92" i="2"/>
  <c r="IC92" i="2"/>
  <c r="IB92" i="2"/>
  <c r="IA92" i="2"/>
  <c r="HZ92" i="2"/>
  <c r="HY92" i="2"/>
  <c r="HX92" i="2"/>
  <c r="HW92" i="2"/>
  <c r="HV92" i="2"/>
  <c r="HU92" i="2"/>
  <c r="HT92" i="2"/>
  <c r="HS92" i="2"/>
  <c r="HR92" i="2"/>
  <c r="HQ92" i="2"/>
  <c r="HP92" i="2"/>
  <c r="HO92" i="2"/>
  <c r="HN92" i="2"/>
  <c r="HM92" i="2"/>
  <c r="HL92" i="2"/>
  <c r="HK92" i="2"/>
  <c r="HJ92" i="2"/>
  <c r="HI92" i="2"/>
  <c r="HH92" i="2"/>
  <c r="HG92" i="2"/>
  <c r="HF92" i="2"/>
  <c r="HE92" i="2"/>
  <c r="HD92" i="2"/>
  <c r="HC92" i="2"/>
  <c r="HB92" i="2"/>
  <c r="HA92" i="2"/>
  <c r="GZ92" i="2"/>
  <c r="GY92" i="2"/>
  <c r="GX92" i="2"/>
  <c r="GW92" i="2"/>
  <c r="GV92" i="2"/>
  <c r="GU92" i="2"/>
  <c r="GT92" i="2"/>
  <c r="GS92" i="2"/>
  <c r="GR92" i="2"/>
  <c r="GQ92" i="2"/>
  <c r="GP92" i="2"/>
  <c r="GO92" i="2"/>
  <c r="GN92" i="2"/>
  <c r="GM92" i="2"/>
  <c r="GL92" i="2"/>
  <c r="GK92" i="2"/>
  <c r="GJ92" i="2"/>
  <c r="GI92" i="2"/>
  <c r="GH92" i="2"/>
  <c r="GG92" i="2"/>
  <c r="GF92" i="2"/>
  <c r="GE92" i="2"/>
  <c r="GD92" i="2"/>
  <c r="GC92" i="2"/>
  <c r="GB92" i="2"/>
  <c r="GA92" i="2"/>
  <c r="FZ92" i="2"/>
  <c r="FY92" i="2"/>
  <c r="FX92" i="2"/>
  <c r="FW92" i="2"/>
  <c r="FV92" i="2"/>
  <c r="FU92" i="2"/>
  <c r="FT92" i="2"/>
  <c r="FS92" i="2"/>
  <c r="FR92" i="2"/>
  <c r="FQ92" i="2"/>
  <c r="FP92" i="2"/>
  <c r="FO92" i="2"/>
  <c r="FN92" i="2"/>
  <c r="FM92" i="2"/>
  <c r="FL92" i="2"/>
  <c r="FK92" i="2"/>
  <c r="FJ92" i="2"/>
  <c r="FI92" i="2"/>
  <c r="FH92" i="2"/>
  <c r="FG92" i="2"/>
  <c r="FF92" i="2"/>
  <c r="FE92" i="2"/>
  <c r="FD92" i="2"/>
  <c r="FC92" i="2"/>
  <c r="KE91" i="2"/>
  <c r="KD91" i="2"/>
  <c r="KC91" i="2"/>
  <c r="KB91" i="2"/>
  <c r="KA91" i="2"/>
  <c r="JZ91" i="2"/>
  <c r="JY91" i="2"/>
  <c r="JX91" i="2"/>
  <c r="JW91" i="2"/>
  <c r="JV91" i="2"/>
  <c r="JU91" i="2"/>
  <c r="JT91" i="2"/>
  <c r="JS91" i="2"/>
  <c r="JR91" i="2"/>
  <c r="JQ91" i="2"/>
  <c r="JP91" i="2"/>
  <c r="JO91" i="2"/>
  <c r="JN91" i="2"/>
  <c r="JM91" i="2"/>
  <c r="JL91" i="2"/>
  <c r="JK91" i="2"/>
  <c r="JJ91" i="2"/>
  <c r="JI91" i="2"/>
  <c r="JH91" i="2"/>
  <c r="JG91" i="2"/>
  <c r="JF91" i="2"/>
  <c r="JE91" i="2"/>
  <c r="JD91" i="2"/>
  <c r="JC91" i="2"/>
  <c r="JB91" i="2"/>
  <c r="JA91" i="2"/>
  <c r="IZ91" i="2"/>
  <c r="IY91" i="2"/>
  <c r="IX91" i="2"/>
  <c r="IW91" i="2"/>
  <c r="IV91" i="2"/>
  <c r="IU91" i="2"/>
  <c r="IT91" i="2"/>
  <c r="IS91" i="2"/>
  <c r="IR91" i="2"/>
  <c r="IQ91" i="2"/>
  <c r="IP91" i="2"/>
  <c r="IO91" i="2"/>
  <c r="IN91" i="2"/>
  <c r="IM91" i="2"/>
  <c r="IL91" i="2"/>
  <c r="IK91" i="2"/>
  <c r="IJ91" i="2"/>
  <c r="II91" i="2"/>
  <c r="IH91" i="2"/>
  <c r="IG91" i="2"/>
  <c r="IF91" i="2"/>
  <c r="IE91" i="2"/>
  <c r="ID91" i="2"/>
  <c r="IC91" i="2"/>
  <c r="IB91" i="2"/>
  <c r="IA91" i="2"/>
  <c r="HZ91" i="2"/>
  <c r="HY91" i="2"/>
  <c r="HX91" i="2"/>
  <c r="HW91" i="2"/>
  <c r="HV91" i="2"/>
  <c r="HU91" i="2"/>
  <c r="HT91" i="2"/>
  <c r="HS91" i="2"/>
  <c r="HR91" i="2"/>
  <c r="HQ91" i="2"/>
  <c r="HP91" i="2"/>
  <c r="HO91" i="2"/>
  <c r="HN91" i="2"/>
  <c r="HM91" i="2"/>
  <c r="HL91" i="2"/>
  <c r="HK91" i="2"/>
  <c r="HJ91" i="2"/>
  <c r="HI91" i="2"/>
  <c r="HH91" i="2"/>
  <c r="HG91" i="2"/>
  <c r="HF91" i="2"/>
  <c r="HE91" i="2"/>
  <c r="HD91" i="2"/>
  <c r="HC91" i="2"/>
  <c r="HB91" i="2"/>
  <c r="HA91" i="2"/>
  <c r="GZ91" i="2"/>
  <c r="GY91" i="2"/>
  <c r="GX91" i="2"/>
  <c r="GW91" i="2"/>
  <c r="GV91" i="2"/>
  <c r="GU91" i="2"/>
  <c r="GT91" i="2"/>
  <c r="GS91" i="2"/>
  <c r="GR91" i="2"/>
  <c r="GQ91" i="2"/>
  <c r="GP91" i="2"/>
  <c r="GO91" i="2"/>
  <c r="GN91" i="2"/>
  <c r="GM91" i="2"/>
  <c r="GL91" i="2"/>
  <c r="GK91" i="2"/>
  <c r="GJ91" i="2"/>
  <c r="GI91" i="2"/>
  <c r="GH91" i="2"/>
  <c r="GG91" i="2"/>
  <c r="GF91" i="2"/>
  <c r="GE91" i="2"/>
  <c r="GD91" i="2"/>
  <c r="GC91" i="2"/>
  <c r="GB91" i="2"/>
  <c r="GA91" i="2"/>
  <c r="FZ91" i="2"/>
  <c r="FY91" i="2"/>
  <c r="FX91" i="2"/>
  <c r="FW91" i="2"/>
  <c r="FV91" i="2"/>
  <c r="FU91" i="2"/>
  <c r="FT91" i="2"/>
  <c r="FS91" i="2"/>
  <c r="FR91" i="2"/>
  <c r="FQ91" i="2"/>
  <c r="FP91" i="2"/>
  <c r="FO91" i="2"/>
  <c r="FN91" i="2"/>
  <c r="FM91" i="2"/>
  <c r="FL91" i="2"/>
  <c r="FK91" i="2"/>
  <c r="FJ91" i="2"/>
  <c r="FI91" i="2"/>
  <c r="FH91" i="2"/>
  <c r="FG91" i="2"/>
  <c r="FF91" i="2"/>
  <c r="FE91" i="2"/>
  <c r="FD91" i="2"/>
  <c r="FC91" i="2"/>
  <c r="EY89" i="2"/>
  <c r="T61" i="2"/>
  <c r="U61" i="2" s="1"/>
  <c r="V61" i="2" s="1"/>
  <c r="W61" i="2" s="1"/>
  <c r="X61" i="2" s="1"/>
  <c r="Y61" i="2" s="1"/>
  <c r="Z61" i="2" s="1"/>
  <c r="AA61" i="2" s="1"/>
  <c r="AB61" i="2" s="1"/>
  <c r="AC61" i="2" s="1"/>
  <c r="AD61" i="2" s="1"/>
  <c r="AE61" i="2" s="1"/>
  <c r="AF61" i="2" s="1"/>
  <c r="AG61" i="2" s="1"/>
  <c r="AH61" i="2" s="1"/>
  <c r="AI61" i="2" s="1"/>
  <c r="AJ61" i="2" s="1"/>
  <c r="AK61" i="2" s="1"/>
  <c r="AL61" i="2" s="1"/>
  <c r="AM61" i="2" s="1"/>
  <c r="AN61" i="2" s="1"/>
  <c r="AO61" i="2" s="1"/>
  <c r="AP61" i="2" s="1"/>
  <c r="AQ61" i="2" s="1"/>
  <c r="AR61" i="2" s="1"/>
  <c r="AS61" i="2" s="1"/>
  <c r="AT61" i="2" s="1"/>
  <c r="AU61" i="2" s="1"/>
  <c r="AV61" i="2" s="1"/>
  <c r="AW61" i="2" s="1"/>
  <c r="AX61" i="2" s="1"/>
  <c r="AY61" i="2" s="1"/>
  <c r="AZ61" i="2" s="1"/>
  <c r="BA61" i="2" s="1"/>
  <c r="BB61" i="2" s="1"/>
  <c r="BC61" i="2" s="1"/>
  <c r="BD61" i="2" s="1"/>
  <c r="BE61" i="2" s="1"/>
  <c r="BF61" i="2" s="1"/>
  <c r="BG61" i="2" s="1"/>
  <c r="BH61" i="2" s="1"/>
  <c r="BI61" i="2" s="1"/>
  <c r="BJ61" i="2" s="1"/>
  <c r="BK61" i="2" s="1"/>
  <c r="BL61" i="2" s="1"/>
  <c r="BM61" i="2" s="1"/>
  <c r="BN61" i="2" s="1"/>
  <c r="BO61" i="2" s="1"/>
  <c r="BP61" i="2" s="1"/>
  <c r="BQ61" i="2" s="1"/>
  <c r="BR61" i="2" s="1"/>
  <c r="BS61" i="2" s="1"/>
  <c r="BT61" i="2" s="1"/>
  <c r="BU61" i="2" s="1"/>
  <c r="BV61" i="2" s="1"/>
  <c r="BW61" i="2" s="1"/>
  <c r="BX61" i="2" s="1"/>
  <c r="BY61" i="2" s="1"/>
  <c r="BZ61" i="2" s="1"/>
  <c r="CA61" i="2" s="1"/>
  <c r="CB61" i="2" s="1"/>
  <c r="CC61" i="2" s="1"/>
  <c r="CD61" i="2" s="1"/>
  <c r="CE61" i="2" s="1"/>
  <c r="CF61" i="2" s="1"/>
  <c r="CG61" i="2" s="1"/>
  <c r="CH61" i="2" s="1"/>
  <c r="CI61" i="2" s="1"/>
  <c r="CJ61" i="2" s="1"/>
  <c r="CK61" i="2" s="1"/>
  <c r="CL61" i="2" s="1"/>
  <c r="CM61" i="2" s="1"/>
  <c r="CN61" i="2" s="1"/>
  <c r="CO61" i="2" s="1"/>
  <c r="CP61" i="2" s="1"/>
  <c r="CQ61" i="2" s="1"/>
  <c r="CR61" i="2" s="1"/>
  <c r="CS61" i="2" s="1"/>
  <c r="CT61" i="2" s="1"/>
  <c r="CU61" i="2" s="1"/>
  <c r="CV61" i="2" s="1"/>
  <c r="CW61" i="2" s="1"/>
  <c r="CX61" i="2" s="1"/>
  <c r="CY61" i="2" s="1"/>
  <c r="CZ61" i="2" s="1"/>
  <c r="DA61" i="2" s="1"/>
  <c r="DB61" i="2" s="1"/>
  <c r="DC61" i="2" s="1"/>
  <c r="DD61" i="2" s="1"/>
  <c r="DE61" i="2" s="1"/>
  <c r="DF61" i="2" s="1"/>
  <c r="DG61" i="2" s="1"/>
  <c r="DH61" i="2" s="1"/>
  <c r="DI61" i="2" s="1"/>
  <c r="DJ61" i="2" s="1"/>
  <c r="DK61" i="2" s="1"/>
  <c r="DL61" i="2" s="1"/>
  <c r="DM61" i="2" s="1"/>
  <c r="DN61" i="2" s="1"/>
  <c r="DO61" i="2" s="1"/>
  <c r="DP61" i="2" s="1"/>
  <c r="DQ61" i="2" s="1"/>
  <c r="DR61" i="2" s="1"/>
  <c r="DS61" i="2" s="1"/>
  <c r="DT61" i="2" s="1"/>
  <c r="DU61" i="2" s="1"/>
  <c r="DV61" i="2" s="1"/>
  <c r="DW61" i="2" s="1"/>
  <c r="DX61" i="2" s="1"/>
  <c r="DY61" i="2" s="1"/>
  <c r="DZ61" i="2" s="1"/>
  <c r="EA61" i="2" s="1"/>
  <c r="EB61" i="2" s="1"/>
  <c r="EC61" i="2" s="1"/>
  <c r="ED61" i="2" s="1"/>
  <c r="EE61" i="2" s="1"/>
  <c r="EF61" i="2" s="1"/>
  <c r="EG61" i="2" s="1"/>
  <c r="EH61" i="2" s="1"/>
  <c r="EI61" i="2" s="1"/>
  <c r="EJ61" i="2" s="1"/>
  <c r="EK61" i="2" s="1"/>
  <c r="EL61" i="2" s="1"/>
  <c r="EM61" i="2" s="1"/>
  <c r="EN61" i="2" s="1"/>
  <c r="EO61" i="2" s="1"/>
  <c r="EP61" i="2" s="1"/>
  <c r="EQ61" i="2" s="1"/>
  <c r="ER61" i="2" s="1"/>
  <c r="ES61" i="2" s="1"/>
  <c r="ET61" i="2" s="1"/>
  <c r="EU61" i="2" s="1"/>
  <c r="EX64" i="2"/>
  <c r="EX63" i="2"/>
  <c r="EX62" i="2"/>
  <c r="EX61" i="2"/>
  <c r="EZ42" i="2"/>
  <c r="EZ40" i="2"/>
  <c r="FA40" i="2" s="1"/>
  <c r="EZ39" i="2"/>
  <c r="EZ38" i="2"/>
  <c r="EZ34" i="2"/>
  <c r="EZ32" i="2"/>
  <c r="EZ31" i="2"/>
  <c r="EZ27" i="2"/>
  <c r="EZ25" i="2"/>
  <c r="EZ24" i="2"/>
  <c r="EW40" i="2"/>
  <c r="EW34" i="2"/>
  <c r="EW32" i="2"/>
  <c r="EW27" i="2"/>
  <c r="EX24" i="2"/>
  <c r="H63" i="2"/>
  <c r="H64" i="2" s="1"/>
  <c r="FK136" i="2" l="1"/>
  <c r="K134" i="2"/>
  <c r="K143" i="2" s="1"/>
  <c r="W27" i="5" s="1"/>
  <c r="KW138" i="2"/>
  <c r="FL115" i="2"/>
  <c r="FK129" i="2"/>
  <c r="FK126" i="2"/>
  <c r="FL119" i="2"/>
  <c r="KX117" i="2"/>
  <c r="KW141" i="2"/>
  <c r="KW140" i="2"/>
  <c r="FL118" i="2"/>
  <c r="KW126" i="2"/>
  <c r="FK139" i="2"/>
  <c r="KW127" i="2"/>
  <c r="FL114" i="2"/>
  <c r="KX114" i="2"/>
  <c r="KW129" i="2"/>
  <c r="FK142" i="2"/>
  <c r="KX115" i="2"/>
  <c r="FK141" i="2"/>
  <c r="FK144" i="2"/>
  <c r="FK137" i="2"/>
  <c r="KW139" i="2"/>
  <c r="FK140" i="2"/>
  <c r="KW136" i="2"/>
  <c r="FK138" i="2"/>
  <c r="KW144" i="2"/>
  <c r="FL116" i="2"/>
  <c r="KX119" i="2"/>
  <c r="KX118" i="2"/>
  <c r="KW142" i="2"/>
  <c r="FK127" i="2"/>
  <c r="FK150" i="2"/>
  <c r="FK128" i="2"/>
  <c r="KW137" i="2"/>
  <c r="AA110" i="2"/>
  <c r="AA107" i="2" s="1"/>
  <c r="FE2" i="2"/>
  <c r="FD199" i="2"/>
  <c r="FD193" i="2" s="1"/>
  <c r="QZ112" i="2"/>
  <c r="RA113" i="2"/>
  <c r="KW150" i="2"/>
  <c r="FL124" i="2"/>
  <c r="FL134" i="2"/>
  <c r="FN113" i="2"/>
  <c r="FM112" i="2"/>
  <c r="FM117" i="2" s="1"/>
  <c r="KX134" i="2"/>
  <c r="KX124" i="2"/>
  <c r="KX128" i="2" s="1"/>
  <c r="FG78" i="2"/>
  <c r="FO78" i="2"/>
  <c r="GE78" i="2"/>
  <c r="GU78" i="2"/>
  <c r="HS78" i="2"/>
  <c r="IQ78" i="2"/>
  <c r="JG78" i="2"/>
  <c r="FJ79" i="2"/>
  <c r="FZ79" i="2"/>
  <c r="GP79" i="2"/>
  <c r="HN79" i="2"/>
  <c r="ID79" i="2"/>
  <c r="JJ79" i="2"/>
  <c r="FJ78" i="2"/>
  <c r="GH78" i="2"/>
  <c r="HF78" i="2"/>
  <c r="HV78" i="2"/>
  <c r="IL78" i="2"/>
  <c r="JB78" i="2"/>
  <c r="FE79" i="2"/>
  <c r="GK79" i="2"/>
  <c r="HI79" i="2"/>
  <c r="IO79" i="2"/>
  <c r="JU79" i="2"/>
  <c r="FC78" i="2"/>
  <c r="FK78" i="2"/>
  <c r="FS78" i="2"/>
  <c r="GA78" i="2"/>
  <c r="GI78" i="2"/>
  <c r="GQ78" i="2"/>
  <c r="GY78" i="2"/>
  <c r="HG78" i="2"/>
  <c r="HO78" i="2"/>
  <c r="HW78" i="2"/>
  <c r="IE78" i="2"/>
  <c r="IM78" i="2"/>
  <c r="IU78" i="2"/>
  <c r="JC78" i="2"/>
  <c r="JK78" i="2"/>
  <c r="JS78" i="2"/>
  <c r="KA78" i="2"/>
  <c r="FF79" i="2"/>
  <c r="FN79" i="2"/>
  <c r="FV79" i="2"/>
  <c r="GD79" i="2"/>
  <c r="GL79" i="2"/>
  <c r="GT79" i="2"/>
  <c r="HB79" i="2"/>
  <c r="HJ79" i="2"/>
  <c r="HR79" i="2"/>
  <c r="HZ79" i="2"/>
  <c r="IH79" i="2"/>
  <c r="IP79" i="2"/>
  <c r="IX79" i="2"/>
  <c r="JF79" i="2"/>
  <c r="JN79" i="2"/>
  <c r="JV79" i="2"/>
  <c r="KD79" i="2"/>
  <c r="FW78" i="2"/>
  <c r="HK78" i="2"/>
  <c r="II78" i="2"/>
  <c r="JW78" i="2"/>
  <c r="GX79" i="2"/>
  <c r="JB79" i="2"/>
  <c r="GX78" i="2"/>
  <c r="FM79" i="2"/>
  <c r="GS79" i="2"/>
  <c r="HQ79" i="2"/>
  <c r="IW79" i="2"/>
  <c r="KC79" i="2"/>
  <c r="FL78" i="2"/>
  <c r="GB78" i="2"/>
  <c r="GR78" i="2"/>
  <c r="GZ78" i="2"/>
  <c r="HH78" i="2"/>
  <c r="HP78" i="2"/>
  <c r="HX78" i="2"/>
  <c r="IF78" i="2"/>
  <c r="IN78" i="2"/>
  <c r="IV78" i="2"/>
  <c r="JD78" i="2"/>
  <c r="JL78" i="2"/>
  <c r="JT78" i="2"/>
  <c r="KB78" i="2"/>
  <c r="FG79" i="2"/>
  <c r="FO79" i="2"/>
  <c r="FW79" i="2"/>
  <c r="GE79" i="2"/>
  <c r="GM79" i="2"/>
  <c r="GU79" i="2"/>
  <c r="HC79" i="2"/>
  <c r="HK79" i="2"/>
  <c r="HS79" i="2"/>
  <c r="IA79" i="2"/>
  <c r="II79" i="2"/>
  <c r="IQ79" i="2"/>
  <c r="IY79" i="2"/>
  <c r="JG79" i="2"/>
  <c r="JO79" i="2"/>
  <c r="JW79" i="2"/>
  <c r="HV79" i="2"/>
  <c r="FR78" i="2"/>
  <c r="GP78" i="2"/>
  <c r="ID78" i="2"/>
  <c r="JJ78" i="2"/>
  <c r="GC79" i="2"/>
  <c r="IG79" i="2"/>
  <c r="JE79" i="2"/>
  <c r="GJ78" i="2"/>
  <c r="FE78" i="2"/>
  <c r="FM78" i="2"/>
  <c r="GC78" i="2"/>
  <c r="GK78" i="2"/>
  <c r="GS78" i="2"/>
  <c r="HA78" i="2"/>
  <c r="HQ78" i="2"/>
  <c r="HY78" i="2"/>
  <c r="IG78" i="2"/>
  <c r="IO78" i="2"/>
  <c r="IW78" i="2"/>
  <c r="JE78" i="2"/>
  <c r="JM78" i="2"/>
  <c r="JU78" i="2"/>
  <c r="KC78" i="2"/>
  <c r="FH79" i="2"/>
  <c r="FP79" i="2"/>
  <c r="FX79" i="2"/>
  <c r="GF79" i="2"/>
  <c r="GN79" i="2"/>
  <c r="GV79" i="2"/>
  <c r="HD79" i="2"/>
  <c r="HL79" i="2"/>
  <c r="HT79" i="2"/>
  <c r="IB79" i="2"/>
  <c r="IJ79" i="2"/>
  <c r="IR79" i="2"/>
  <c r="IZ79" i="2"/>
  <c r="JH79" i="2"/>
  <c r="JP79" i="2"/>
  <c r="JX79" i="2"/>
  <c r="FZ78" i="2"/>
  <c r="HN78" i="2"/>
  <c r="IT78" i="2"/>
  <c r="JR78" i="2"/>
  <c r="FU79" i="2"/>
  <c r="HA79" i="2"/>
  <c r="HY79" i="2"/>
  <c r="JM79" i="2"/>
  <c r="FD78" i="2"/>
  <c r="FT78" i="2"/>
  <c r="FU78" i="2"/>
  <c r="HI78" i="2"/>
  <c r="FF78" i="2"/>
  <c r="FN78" i="2"/>
  <c r="FV78" i="2"/>
  <c r="GD78" i="2"/>
  <c r="GL78" i="2"/>
  <c r="GT78" i="2"/>
  <c r="HB78" i="2"/>
  <c r="HJ78" i="2"/>
  <c r="HR78" i="2"/>
  <c r="HZ78" i="2"/>
  <c r="IH78" i="2"/>
  <c r="IP78" i="2"/>
  <c r="IX78" i="2"/>
  <c r="JF78" i="2"/>
  <c r="JN78" i="2"/>
  <c r="JV78" i="2"/>
  <c r="KD78" i="2"/>
  <c r="FI79" i="2"/>
  <c r="FQ79" i="2"/>
  <c r="FY79" i="2"/>
  <c r="GG79" i="2"/>
  <c r="GO79" i="2"/>
  <c r="GW79" i="2"/>
  <c r="HE79" i="2"/>
  <c r="HM79" i="2"/>
  <c r="HU79" i="2"/>
  <c r="IC79" i="2"/>
  <c r="IK79" i="2"/>
  <c r="IS79" i="2"/>
  <c r="JA79" i="2"/>
  <c r="JI79" i="2"/>
  <c r="JQ79" i="2"/>
  <c r="JY79" i="2"/>
  <c r="HC78" i="2"/>
  <c r="IA78" i="2"/>
  <c r="IY78" i="2"/>
  <c r="JO78" i="2"/>
  <c r="FR79" i="2"/>
  <c r="GH79" i="2"/>
  <c r="HF79" i="2"/>
  <c r="IL79" i="2"/>
  <c r="IT79" i="2"/>
  <c r="JR79" i="2"/>
  <c r="GM78" i="2"/>
  <c r="FH78" i="2"/>
  <c r="FX78" i="2"/>
  <c r="GN78" i="2"/>
  <c r="HD78" i="2"/>
  <c r="HL78" i="2"/>
  <c r="IB78" i="2"/>
  <c r="IJ78" i="2"/>
  <c r="IR78" i="2"/>
  <c r="IZ78" i="2"/>
  <c r="JP78" i="2"/>
  <c r="JX78" i="2"/>
  <c r="FC79" i="2"/>
  <c r="FK79" i="2"/>
  <c r="FS79" i="2"/>
  <c r="GA79" i="2"/>
  <c r="GI79" i="2"/>
  <c r="GQ79" i="2"/>
  <c r="GY79" i="2"/>
  <c r="HG79" i="2"/>
  <c r="HO79" i="2"/>
  <c r="HW79" i="2"/>
  <c r="IE79" i="2"/>
  <c r="IM79" i="2"/>
  <c r="IU79" i="2"/>
  <c r="JC79" i="2"/>
  <c r="JK79" i="2"/>
  <c r="JS79" i="2"/>
  <c r="KA79" i="2"/>
  <c r="FP78" i="2"/>
  <c r="GF78" i="2"/>
  <c r="GV78" i="2"/>
  <c r="HT78" i="2"/>
  <c r="JH78" i="2"/>
  <c r="FI78" i="2"/>
  <c r="FQ78" i="2"/>
  <c r="FY78" i="2"/>
  <c r="GG78" i="2"/>
  <c r="GO78" i="2"/>
  <c r="GW78" i="2"/>
  <c r="HE78" i="2"/>
  <c r="HM78" i="2"/>
  <c r="HU78" i="2"/>
  <c r="IC78" i="2"/>
  <c r="IK78" i="2"/>
  <c r="IS78" i="2"/>
  <c r="JA78" i="2"/>
  <c r="JI78" i="2"/>
  <c r="JQ78" i="2"/>
  <c r="JY78" i="2"/>
  <c r="FD79" i="2"/>
  <c r="FL79" i="2"/>
  <c r="FT79" i="2"/>
  <c r="GB79" i="2"/>
  <c r="GJ79" i="2"/>
  <c r="GR79" i="2"/>
  <c r="GZ79" i="2"/>
  <c r="HH79" i="2"/>
  <c r="HP79" i="2"/>
  <c r="HX79" i="2"/>
  <c r="IF79" i="2"/>
  <c r="IN79" i="2"/>
  <c r="IV79" i="2"/>
  <c r="JD79" i="2"/>
  <c r="JL79" i="2"/>
  <c r="JT79" i="2"/>
  <c r="KB79" i="2"/>
  <c r="EW94" i="2"/>
  <c r="B158" i="2"/>
  <c r="EW95" i="2"/>
  <c r="B159" i="2"/>
  <c r="KY135" i="2"/>
  <c r="FQ135" i="2"/>
  <c r="KZ125" i="2"/>
  <c r="FO125" i="2"/>
  <c r="KY113" i="2"/>
  <c r="KY112" i="2" s="1"/>
  <c r="KY116" i="2" s="1"/>
  <c r="KE92" i="2"/>
  <c r="KE78" i="2"/>
  <c r="JZ79" i="2"/>
  <c r="JZ92" i="2"/>
  <c r="JZ78" i="2"/>
  <c r="KE79" i="2"/>
  <c r="FH87" i="2"/>
  <c r="AB111" i="2"/>
  <c r="EW75" i="2"/>
  <c r="EW102" i="2" s="1"/>
  <c r="EW78" i="2"/>
  <c r="EW76" i="2"/>
  <c r="EW103" i="2" s="1"/>
  <c r="EW79" i="2"/>
  <c r="FG81" i="2"/>
  <c r="B80" i="2"/>
  <c r="B81" i="2"/>
  <c r="FC4" i="2"/>
  <c r="EY27" i="2"/>
  <c r="EX27" i="2"/>
  <c r="EY24" i="2"/>
  <c r="T23" i="2"/>
  <c r="EX25" i="2"/>
  <c r="EY25" i="2"/>
  <c r="FA34" i="2"/>
  <c r="FA38" i="2"/>
  <c r="FA32" i="2"/>
  <c r="FA31" i="2"/>
  <c r="FA24" i="2"/>
  <c r="L108" i="5" l="1"/>
  <c r="N108" i="5" s="1"/>
  <c r="FL136" i="2"/>
  <c r="FM116" i="2"/>
  <c r="KX137" i="2"/>
  <c r="KY119" i="2"/>
  <c r="FL137" i="2"/>
  <c r="KX127" i="2"/>
  <c r="KY117" i="2"/>
  <c r="FL144" i="2"/>
  <c r="FL139" i="2"/>
  <c r="FM119" i="2"/>
  <c r="FL128" i="2"/>
  <c r="FL141" i="2"/>
  <c r="FM115" i="2"/>
  <c r="FL126" i="2"/>
  <c r="FL150" i="2"/>
  <c r="KX144" i="2"/>
  <c r="KY115" i="2"/>
  <c r="KX126" i="2"/>
  <c r="FL129" i="2"/>
  <c r="FL138" i="2"/>
  <c r="FL142" i="2"/>
  <c r="FM118" i="2"/>
  <c r="FL127" i="2"/>
  <c r="KX136" i="2"/>
  <c r="KX129" i="2"/>
  <c r="KX140" i="2"/>
  <c r="KX142" i="2"/>
  <c r="FL140" i="2"/>
  <c r="KY114" i="2"/>
  <c r="KX141" i="2"/>
  <c r="KY141" i="2" s="1"/>
  <c r="KY118" i="2"/>
  <c r="KX139" i="2"/>
  <c r="FM114" i="2"/>
  <c r="KX138" i="2"/>
  <c r="AB110" i="2"/>
  <c r="AB107" i="2" s="1"/>
  <c r="FF2" i="2"/>
  <c r="FE199" i="2"/>
  <c r="FE193" i="2" s="1"/>
  <c r="RB113" i="2"/>
  <c r="RA112" i="2"/>
  <c r="EX33" i="2"/>
  <c r="EX41" i="2"/>
  <c r="FC26" i="2"/>
  <c r="S26" i="2" s="1"/>
  <c r="KY134" i="2"/>
  <c r="KY124" i="2"/>
  <c r="KY128" i="2" s="1"/>
  <c r="KX150" i="2"/>
  <c r="FO113" i="2"/>
  <c r="FN112" i="2"/>
  <c r="FN117" i="2" s="1"/>
  <c r="FM134" i="2"/>
  <c r="FM124" i="2"/>
  <c r="FC48" i="2"/>
  <c r="S48" i="2" s="1"/>
  <c r="G70" i="4" s="1"/>
  <c r="EW82" i="2"/>
  <c r="B156" i="2"/>
  <c r="EW83" i="2"/>
  <c r="B157" i="2"/>
  <c r="KZ135" i="2"/>
  <c r="FC23" i="2"/>
  <c r="KN4" i="2"/>
  <c r="FR135" i="2"/>
  <c r="LA125" i="2"/>
  <c r="FP125" i="2"/>
  <c r="KZ113" i="2"/>
  <c r="KZ112" i="2" s="1"/>
  <c r="KZ116" i="2" s="1"/>
  <c r="FI87" i="2"/>
  <c r="AC111" i="2"/>
  <c r="FH81" i="2"/>
  <c r="U23" i="2"/>
  <c r="EX42" i="2"/>
  <c r="EX38" i="2"/>
  <c r="EX31" i="2"/>
  <c r="EX34" i="2"/>
  <c r="EX39" i="2"/>
  <c r="FD4" i="2"/>
  <c r="EX32" i="2"/>
  <c r="EX40" i="2"/>
  <c r="FA42" i="2"/>
  <c r="FA39" i="2"/>
  <c r="FA25" i="2"/>
  <c r="FA27" i="2"/>
  <c r="M108" i="5" l="1"/>
  <c r="FM136" i="2"/>
  <c r="KY142" i="2"/>
  <c r="KY129" i="2"/>
  <c r="KY136" i="2"/>
  <c r="KY140" i="2"/>
  <c r="KY138" i="2"/>
  <c r="KY126" i="2"/>
  <c r="KY139" i="2"/>
  <c r="FM141" i="2"/>
  <c r="KZ117" i="2"/>
  <c r="FM129" i="2"/>
  <c r="KY127" i="2"/>
  <c r="FN114" i="2"/>
  <c r="FM128" i="2"/>
  <c r="FM137" i="2"/>
  <c r="KZ115" i="2"/>
  <c r="FN119" i="2"/>
  <c r="KZ119" i="2"/>
  <c r="KZ118" i="2"/>
  <c r="FM127" i="2"/>
  <c r="KY144" i="2"/>
  <c r="FM139" i="2"/>
  <c r="FN118" i="2"/>
  <c r="FM150" i="2"/>
  <c r="FM144" i="2"/>
  <c r="KZ114" i="2"/>
  <c r="FM142" i="2"/>
  <c r="FM126" i="2"/>
  <c r="FN116" i="2"/>
  <c r="FM140" i="2"/>
  <c r="FM138" i="2"/>
  <c r="FN115" i="2"/>
  <c r="KY137" i="2"/>
  <c r="AC110" i="2"/>
  <c r="AC107" i="2" s="1"/>
  <c r="FG2" i="2"/>
  <c r="FF199" i="2"/>
  <c r="FF193" i="2" s="1"/>
  <c r="RC113" i="2"/>
  <c r="RB112" i="2"/>
  <c r="FD26" i="2"/>
  <c r="KY150" i="2"/>
  <c r="FN124" i="2"/>
  <c r="FN136" i="2" s="1"/>
  <c r="FN134" i="2"/>
  <c r="FP113" i="2"/>
  <c r="FO112" i="2"/>
  <c r="FO117" i="2" s="1"/>
  <c r="KZ124" i="2"/>
  <c r="KZ134" i="2"/>
  <c r="G105" i="4"/>
  <c r="G108" i="4"/>
  <c r="FD48" i="2"/>
  <c r="LA135" i="2"/>
  <c r="FD23" i="2"/>
  <c r="KO4" i="2"/>
  <c r="FS135" i="2"/>
  <c r="LB125" i="2"/>
  <c r="FQ125" i="2"/>
  <c r="LA113" i="2"/>
  <c r="LA112" i="2" s="1"/>
  <c r="LA116" i="2" s="1"/>
  <c r="FJ87" i="2"/>
  <c r="AD111" i="2"/>
  <c r="FI81" i="2"/>
  <c r="V23" i="2"/>
  <c r="FE4" i="2"/>
  <c r="FD27" i="2"/>
  <c r="FC27" i="2"/>
  <c r="S27" i="2" s="1"/>
  <c r="KZ138" i="2" l="1"/>
  <c r="KZ137" i="2"/>
  <c r="FO119" i="2"/>
  <c r="FO115" i="2"/>
  <c r="LA114" i="2"/>
  <c r="LA118" i="2"/>
  <c r="KZ126" i="2"/>
  <c r="LA117" i="2"/>
  <c r="FN144" i="2"/>
  <c r="LA119" i="2"/>
  <c r="KZ129" i="2"/>
  <c r="FN141" i="2"/>
  <c r="FN150" i="2"/>
  <c r="FO114" i="2"/>
  <c r="FN138" i="2"/>
  <c r="FO118" i="2"/>
  <c r="LA115" i="2"/>
  <c r="KZ127" i="2"/>
  <c r="KZ142" i="2"/>
  <c r="FN140" i="2"/>
  <c r="KZ141" i="2"/>
  <c r="KZ136" i="2"/>
  <c r="FO116" i="2"/>
  <c r="FN139" i="2"/>
  <c r="KZ139" i="2"/>
  <c r="FN129" i="2"/>
  <c r="KZ128" i="2"/>
  <c r="FN126" i="2"/>
  <c r="KZ144" i="2"/>
  <c r="LA144" i="2" s="1"/>
  <c r="FN137" i="2"/>
  <c r="KZ140" i="2"/>
  <c r="FN142" i="2"/>
  <c r="FN127" i="2"/>
  <c r="FN128" i="2"/>
  <c r="FH2" i="2"/>
  <c r="FG199" i="2"/>
  <c r="FG193" i="2" s="1"/>
  <c r="AD110" i="2"/>
  <c r="AD107" i="2" s="1"/>
  <c r="RC112" i="2"/>
  <c r="RD113" i="2"/>
  <c r="FE26" i="2"/>
  <c r="KZ150" i="2"/>
  <c r="FQ113" i="2"/>
  <c r="FP112" i="2"/>
  <c r="FP117" i="2" s="1"/>
  <c r="LA124" i="2"/>
  <c r="LA134" i="2"/>
  <c r="FO124" i="2"/>
  <c r="FO136" i="2" s="1"/>
  <c r="FO134" i="2"/>
  <c r="FE48" i="2"/>
  <c r="FE23" i="2"/>
  <c r="KP4" i="2"/>
  <c r="LB135" i="2"/>
  <c r="FT135" i="2"/>
  <c r="LC125" i="2"/>
  <c r="FR125" i="2"/>
  <c r="LB113" i="2"/>
  <c r="LB112" i="2" s="1"/>
  <c r="LB116" i="2" s="1"/>
  <c r="FK87" i="2"/>
  <c r="AE111" i="2"/>
  <c r="FJ81" i="2"/>
  <c r="FE27" i="2"/>
  <c r="W23" i="2"/>
  <c r="FF4" i="2"/>
  <c r="LA138" i="2" l="1"/>
  <c r="LA140" i="2"/>
  <c r="LA128" i="2"/>
  <c r="LA139" i="2"/>
  <c r="FO129" i="2"/>
  <c r="LA126" i="2"/>
  <c r="LA141" i="2"/>
  <c r="FO128" i="2"/>
  <c r="LA142" i="2"/>
  <c r="FO127" i="2"/>
  <c r="LA127" i="2"/>
  <c r="FP115" i="2"/>
  <c r="FP114" i="2"/>
  <c r="LB117" i="2"/>
  <c r="FO140" i="2"/>
  <c r="FP119" i="2"/>
  <c r="FO150" i="2"/>
  <c r="LB118" i="2"/>
  <c r="FO142" i="2"/>
  <c r="FO141" i="2"/>
  <c r="LB114" i="2"/>
  <c r="FO139" i="2"/>
  <c r="LB115" i="2"/>
  <c r="LA129" i="2"/>
  <c r="FO137" i="2"/>
  <c r="FP116" i="2"/>
  <c r="FP118" i="2"/>
  <c r="LB119" i="2"/>
  <c r="FO138" i="2"/>
  <c r="FO144" i="2"/>
  <c r="FO126" i="2"/>
  <c r="LA136" i="2"/>
  <c r="LA137" i="2"/>
  <c r="AE110" i="2"/>
  <c r="AE107" i="2" s="1"/>
  <c r="FI2" i="2"/>
  <c r="FH199" i="2"/>
  <c r="FH193" i="2" s="1"/>
  <c r="RE113" i="2"/>
  <c r="RD112" i="2"/>
  <c r="LA150" i="2"/>
  <c r="FF26" i="2"/>
  <c r="FP134" i="2"/>
  <c r="FP124" i="2"/>
  <c r="FP128" i="2" s="1"/>
  <c r="LB124" i="2"/>
  <c r="LB134" i="2"/>
  <c r="FR113" i="2"/>
  <c r="FQ112" i="2"/>
  <c r="FQ117" i="2" s="1"/>
  <c r="FF48" i="2"/>
  <c r="FF23" i="2"/>
  <c r="KQ4" i="2"/>
  <c r="LC135" i="2"/>
  <c r="FU135" i="2"/>
  <c r="LD125" i="2"/>
  <c r="FS125" i="2"/>
  <c r="LC113" i="2"/>
  <c r="LC112" i="2" s="1"/>
  <c r="LC116" i="2" s="1"/>
  <c r="FL87" i="2"/>
  <c r="AF111" i="2"/>
  <c r="FK81" i="2"/>
  <c r="X23" i="2"/>
  <c r="FG4" i="2"/>
  <c r="FF27" i="2"/>
  <c r="LB128" i="2" l="1"/>
  <c r="LB142" i="2"/>
  <c r="LB144" i="2"/>
  <c r="LB140" i="2"/>
  <c r="LB137" i="2"/>
  <c r="LB136" i="2"/>
  <c r="FP139" i="2"/>
  <c r="FP150" i="2"/>
  <c r="LC117" i="2"/>
  <c r="FQ114" i="2"/>
  <c r="LC119" i="2"/>
  <c r="LC114" i="2"/>
  <c r="FP129" i="2"/>
  <c r="LB141" i="2"/>
  <c r="FQ118" i="2"/>
  <c r="FP141" i="2"/>
  <c r="LB126" i="2"/>
  <c r="FQ115" i="2"/>
  <c r="FP126" i="2"/>
  <c r="FQ116" i="2"/>
  <c r="LB127" i="2"/>
  <c r="FQ119" i="2"/>
  <c r="FP127" i="2"/>
  <c r="FP137" i="2"/>
  <c r="LB139" i="2"/>
  <c r="FP140" i="2"/>
  <c r="LB138" i="2"/>
  <c r="FP144" i="2"/>
  <c r="LB129" i="2"/>
  <c r="FP142" i="2"/>
  <c r="FP136" i="2"/>
  <c r="FP138" i="2"/>
  <c r="LC115" i="2"/>
  <c r="LC118" i="2"/>
  <c r="AF110" i="2"/>
  <c r="AF107" i="2" s="1"/>
  <c r="FJ2" i="2"/>
  <c r="FI199" i="2"/>
  <c r="FI193" i="2" s="1"/>
  <c r="RE112" i="2"/>
  <c r="RF113" i="2"/>
  <c r="FG26" i="2"/>
  <c r="FQ134" i="2"/>
  <c r="FQ124" i="2"/>
  <c r="FQ128" i="2" s="1"/>
  <c r="FS113" i="2"/>
  <c r="FR112" i="2"/>
  <c r="FR117" i="2" s="1"/>
  <c r="LC124" i="2"/>
  <c r="LC134" i="2"/>
  <c r="LB150" i="2"/>
  <c r="FG48" i="2"/>
  <c r="FG23" i="2"/>
  <c r="KR4" i="2"/>
  <c r="LD135" i="2"/>
  <c r="FV135" i="2"/>
  <c r="LE125" i="2"/>
  <c r="FT125" i="2"/>
  <c r="LD113" i="2"/>
  <c r="LD112" i="2" s="1"/>
  <c r="LD116" i="2" s="1"/>
  <c r="FM87" i="2"/>
  <c r="AG111" i="2"/>
  <c r="FL81" i="2"/>
  <c r="FG27" i="2"/>
  <c r="Y23" i="2"/>
  <c r="FH4" i="2"/>
  <c r="LC144" i="2" l="1"/>
  <c r="LC138" i="2"/>
  <c r="LC139" i="2"/>
  <c r="LD118" i="2"/>
  <c r="LC137" i="2"/>
  <c r="LD115" i="2"/>
  <c r="FR115" i="2"/>
  <c r="LC150" i="2"/>
  <c r="FQ126" i="2"/>
  <c r="FQ129" i="2"/>
  <c r="LD117" i="2"/>
  <c r="FQ140" i="2"/>
  <c r="LD114" i="2"/>
  <c r="FQ150" i="2"/>
  <c r="LD119" i="2"/>
  <c r="FQ139" i="2"/>
  <c r="FQ138" i="2"/>
  <c r="FQ137" i="2"/>
  <c r="LC126" i="2"/>
  <c r="FQ136" i="2"/>
  <c r="FQ127" i="2"/>
  <c r="FQ141" i="2"/>
  <c r="FR114" i="2"/>
  <c r="FQ142" i="2"/>
  <c r="FR119" i="2"/>
  <c r="FR118" i="2"/>
  <c r="LC142" i="2"/>
  <c r="LC128" i="2"/>
  <c r="LC129" i="2"/>
  <c r="LC127" i="2"/>
  <c r="LC136" i="2"/>
  <c r="LC140" i="2"/>
  <c r="FQ144" i="2"/>
  <c r="FR116" i="2"/>
  <c r="LC141" i="2"/>
  <c r="AG110" i="2"/>
  <c r="AG107" i="2" s="1"/>
  <c r="FK2" i="2"/>
  <c r="FJ199" i="2"/>
  <c r="FJ193" i="2" s="1"/>
  <c r="RF112" i="2"/>
  <c r="RG113" i="2"/>
  <c r="FH26" i="2"/>
  <c r="FR134" i="2"/>
  <c r="FR124" i="2"/>
  <c r="FR128" i="2" s="1"/>
  <c r="FT113" i="2"/>
  <c r="FS112" i="2"/>
  <c r="FS117" i="2" s="1"/>
  <c r="LD134" i="2"/>
  <c r="LD124" i="2"/>
  <c r="FH48" i="2"/>
  <c r="FH23" i="2"/>
  <c r="KS4" i="2"/>
  <c r="LE135" i="2"/>
  <c r="FW135" i="2"/>
  <c r="LF125" i="2"/>
  <c r="FU125" i="2"/>
  <c r="LE113" i="2"/>
  <c r="LE112" i="2" s="1"/>
  <c r="LE118" i="2" s="1"/>
  <c r="FN87" i="2"/>
  <c r="AH111" i="2"/>
  <c r="FM81" i="2"/>
  <c r="FH27" i="2"/>
  <c r="Z23" i="2"/>
  <c r="FI4" i="2"/>
  <c r="LD137" i="2" l="1"/>
  <c r="LD128" i="2"/>
  <c r="LD142" i="2"/>
  <c r="LD141" i="2"/>
  <c r="LD140" i="2"/>
  <c r="FS115" i="2"/>
  <c r="FS118" i="2"/>
  <c r="FS116" i="2"/>
  <c r="FR136" i="2"/>
  <c r="LE119" i="2"/>
  <c r="LE117" i="2"/>
  <c r="LE115" i="2"/>
  <c r="FR129" i="2"/>
  <c r="LD139" i="2"/>
  <c r="FR126" i="2"/>
  <c r="FR144" i="2"/>
  <c r="FS119" i="2"/>
  <c r="FR150" i="2"/>
  <c r="LD138" i="2"/>
  <c r="FR142" i="2"/>
  <c r="LD126" i="2"/>
  <c r="LE114" i="2"/>
  <c r="LD144" i="2"/>
  <c r="LD136" i="2"/>
  <c r="FS114" i="2"/>
  <c r="FR137" i="2"/>
  <c r="LE116" i="2"/>
  <c r="LD127" i="2"/>
  <c r="FR141" i="2"/>
  <c r="FR138" i="2"/>
  <c r="FR140" i="2"/>
  <c r="LD129" i="2"/>
  <c r="FR127" i="2"/>
  <c r="FR139" i="2"/>
  <c r="FL2" i="2"/>
  <c r="FK199" i="2"/>
  <c r="FK193" i="2" s="1"/>
  <c r="AH110" i="2"/>
  <c r="AH107" i="2" s="1"/>
  <c r="RH113" i="2"/>
  <c r="RG112" i="2"/>
  <c r="FI26" i="2"/>
  <c r="LD150" i="2"/>
  <c r="FS134" i="2"/>
  <c r="FS124" i="2"/>
  <c r="FS128" i="2" s="1"/>
  <c r="LE134" i="2"/>
  <c r="LE124" i="2"/>
  <c r="FU113" i="2"/>
  <c r="FT112" i="2"/>
  <c r="FT117" i="2" s="1"/>
  <c r="FI48" i="2"/>
  <c r="FI23" i="2"/>
  <c r="KT4" i="2"/>
  <c r="LF135" i="2"/>
  <c r="FX135" i="2"/>
  <c r="LG125" i="2"/>
  <c r="FV125" i="2"/>
  <c r="LF113" i="2"/>
  <c r="LF112" i="2" s="1"/>
  <c r="LF118" i="2" s="1"/>
  <c r="FO87" i="2"/>
  <c r="AI111" i="2"/>
  <c r="FN81" i="2"/>
  <c r="AA23" i="2"/>
  <c r="FJ4" i="2"/>
  <c r="FI27" i="2"/>
  <c r="LE142" i="2" l="1"/>
  <c r="LE141" i="2"/>
  <c r="LE127" i="2"/>
  <c r="LE136" i="2"/>
  <c r="FS139" i="2"/>
  <c r="LE140" i="2"/>
  <c r="FS142" i="2"/>
  <c r="LE139" i="2"/>
  <c r="LF117" i="2"/>
  <c r="LF116" i="2"/>
  <c r="LF119" i="2"/>
  <c r="FS127" i="2"/>
  <c r="FS137" i="2"/>
  <c r="LE138" i="2"/>
  <c r="FT118" i="2"/>
  <c r="FS136" i="2"/>
  <c r="LE129" i="2"/>
  <c r="FT114" i="2"/>
  <c r="FS150" i="2"/>
  <c r="FT116" i="2"/>
  <c r="LE128" i="2"/>
  <c r="FS129" i="2"/>
  <c r="FS140" i="2"/>
  <c r="LE144" i="2"/>
  <c r="FT119" i="2"/>
  <c r="FT115" i="2"/>
  <c r="LE137" i="2"/>
  <c r="FS138" i="2"/>
  <c r="LF114" i="2"/>
  <c r="FS144" i="2"/>
  <c r="LF115" i="2"/>
  <c r="FS141" i="2"/>
  <c r="LE126" i="2"/>
  <c r="FS126" i="2"/>
  <c r="AI110" i="2"/>
  <c r="AI107" i="2" s="1"/>
  <c r="FM2" i="2"/>
  <c r="FL199" i="2"/>
  <c r="FL193" i="2" s="1"/>
  <c r="RH112" i="2"/>
  <c r="RI113" i="2"/>
  <c r="FJ26" i="2"/>
  <c r="LE150" i="2"/>
  <c r="FT134" i="2"/>
  <c r="FT124" i="2"/>
  <c r="FT128" i="2" s="1"/>
  <c r="LF134" i="2"/>
  <c r="LF124" i="2"/>
  <c r="FV113" i="2"/>
  <c r="FU112" i="2"/>
  <c r="FU117" i="2" s="1"/>
  <c r="FJ48" i="2"/>
  <c r="LG135" i="2"/>
  <c r="FJ23" i="2"/>
  <c r="KU4" i="2"/>
  <c r="FY135" i="2"/>
  <c r="LH125" i="2"/>
  <c r="FW125" i="2"/>
  <c r="LG113" i="2"/>
  <c r="LG112" i="2" s="1"/>
  <c r="LG118" i="2" s="1"/>
  <c r="FP87" i="2"/>
  <c r="AJ111" i="2"/>
  <c r="FO81" i="2"/>
  <c r="FJ27" i="2"/>
  <c r="AB23" i="2"/>
  <c r="FK4" i="2"/>
  <c r="LF140" i="2" l="1"/>
  <c r="LF138" i="2"/>
  <c r="LF137" i="2"/>
  <c r="FU115" i="2"/>
  <c r="LF136" i="2"/>
  <c r="LF128" i="2"/>
  <c r="LF126" i="2"/>
  <c r="LG117" i="2"/>
  <c r="FT137" i="2"/>
  <c r="LF139" i="2"/>
  <c r="FU119" i="2"/>
  <c r="FU116" i="2"/>
  <c r="FT127" i="2"/>
  <c r="FT142" i="2"/>
  <c r="FT141" i="2"/>
  <c r="LF144" i="2"/>
  <c r="FT150" i="2"/>
  <c r="FT139" i="2"/>
  <c r="LF127" i="2"/>
  <c r="FT140" i="2"/>
  <c r="FU114" i="2"/>
  <c r="LG119" i="2"/>
  <c r="LF142" i="2"/>
  <c r="FT144" i="2"/>
  <c r="LF141" i="2"/>
  <c r="LF129" i="2"/>
  <c r="FT126" i="2"/>
  <c r="LG115" i="2"/>
  <c r="LG114" i="2"/>
  <c r="FT129" i="2"/>
  <c r="FT136" i="2"/>
  <c r="FT138" i="2"/>
  <c r="FU118" i="2"/>
  <c r="LG116" i="2"/>
  <c r="FN2" i="2"/>
  <c r="FM199" i="2"/>
  <c r="FM193" i="2" s="1"/>
  <c r="AJ110" i="2"/>
  <c r="AJ107" i="2" s="1"/>
  <c r="RJ113" i="2"/>
  <c r="RI112" i="2"/>
  <c r="FK26" i="2"/>
  <c r="LF150" i="2"/>
  <c r="FU134" i="2"/>
  <c r="FU124" i="2"/>
  <c r="FU128" i="2" s="1"/>
  <c r="LG134" i="2"/>
  <c r="LG124" i="2"/>
  <c r="FW113" i="2"/>
  <c r="FV112" i="2"/>
  <c r="FV117" i="2" s="1"/>
  <c r="FK48" i="2"/>
  <c r="FK23" i="2"/>
  <c r="KV4" i="2"/>
  <c r="LH135" i="2"/>
  <c r="FZ135" i="2"/>
  <c r="LI125" i="2"/>
  <c r="FX125" i="2"/>
  <c r="LH113" i="2"/>
  <c r="LH112" i="2" s="1"/>
  <c r="LH118" i="2" s="1"/>
  <c r="FQ87" i="2"/>
  <c r="AK111" i="2"/>
  <c r="FP81" i="2"/>
  <c r="AC23" i="2"/>
  <c r="FL4" i="2"/>
  <c r="FK27" i="2"/>
  <c r="LG128" i="2" l="1"/>
  <c r="LH115" i="2"/>
  <c r="FV114" i="2"/>
  <c r="FU142" i="2"/>
  <c r="LH117" i="2"/>
  <c r="LH116" i="2"/>
  <c r="FU126" i="2"/>
  <c r="FU140" i="2"/>
  <c r="FU127" i="2"/>
  <c r="LG138" i="2"/>
  <c r="FV118" i="2"/>
  <c r="FV115" i="2"/>
  <c r="FV116" i="2"/>
  <c r="LG136" i="2"/>
  <c r="LG129" i="2"/>
  <c r="LG127" i="2"/>
  <c r="FV119" i="2"/>
  <c r="LG137" i="2"/>
  <c r="FU138" i="2"/>
  <c r="LG141" i="2"/>
  <c r="FU139" i="2"/>
  <c r="LG126" i="2"/>
  <c r="LG140" i="2"/>
  <c r="FU136" i="2"/>
  <c r="FU144" i="2"/>
  <c r="FU150" i="2"/>
  <c r="LG139" i="2"/>
  <c r="FU129" i="2"/>
  <c r="LG142" i="2"/>
  <c r="LG144" i="2"/>
  <c r="FU137" i="2"/>
  <c r="LH114" i="2"/>
  <c r="LH119" i="2"/>
  <c r="FU141" i="2"/>
  <c r="AK110" i="2"/>
  <c r="AK107" i="2" s="1"/>
  <c r="FO2" i="2"/>
  <c r="FN199" i="2"/>
  <c r="FN193" i="2" s="1"/>
  <c r="RK113" i="2"/>
  <c r="RJ112" i="2"/>
  <c r="LG150" i="2"/>
  <c r="FL26" i="2"/>
  <c r="LH124" i="2"/>
  <c r="LH128" i="2" s="1"/>
  <c r="LH134" i="2"/>
  <c r="FV124" i="2"/>
  <c r="FV128" i="2" s="1"/>
  <c r="FV134" i="2"/>
  <c r="FX113" i="2"/>
  <c r="FW112" i="2"/>
  <c r="FW117" i="2" s="1"/>
  <c r="FL48" i="2"/>
  <c r="FL23" i="2"/>
  <c r="KW4" i="2"/>
  <c r="LI135" i="2"/>
  <c r="GA135" i="2"/>
  <c r="LJ125" i="2"/>
  <c r="FY125" i="2"/>
  <c r="LI113" i="2"/>
  <c r="LI112" i="2" s="1"/>
  <c r="LI118" i="2" s="1"/>
  <c r="FR87" i="2"/>
  <c r="AL111" i="2"/>
  <c r="FQ81" i="2"/>
  <c r="FL27" i="2"/>
  <c r="AD23" i="2"/>
  <c r="FM4" i="2"/>
  <c r="FV137" i="2" l="1"/>
  <c r="FV150" i="2"/>
  <c r="FV144" i="2"/>
  <c r="FV138" i="2"/>
  <c r="FV136" i="2"/>
  <c r="FV141" i="2"/>
  <c r="LI119" i="2"/>
  <c r="LH139" i="2"/>
  <c r="FW115" i="2"/>
  <c r="LI117" i="2"/>
  <c r="LH137" i="2"/>
  <c r="FV142" i="2"/>
  <c r="FW119" i="2"/>
  <c r="FW118" i="2"/>
  <c r="FW114" i="2"/>
  <c r="LI114" i="2"/>
  <c r="LH127" i="2"/>
  <c r="LH138" i="2"/>
  <c r="LI115" i="2"/>
  <c r="LH140" i="2"/>
  <c r="LH129" i="2"/>
  <c r="FV127" i="2"/>
  <c r="LH144" i="2"/>
  <c r="LH126" i="2"/>
  <c r="FV140" i="2"/>
  <c r="LH142" i="2"/>
  <c r="FV139" i="2"/>
  <c r="LH136" i="2"/>
  <c r="FV126" i="2"/>
  <c r="FV129" i="2"/>
  <c r="LH141" i="2"/>
  <c r="FW116" i="2"/>
  <c r="LI116" i="2"/>
  <c r="AL110" i="2"/>
  <c r="AL107" i="2" s="1"/>
  <c r="FP2" i="2"/>
  <c r="FO199" i="2"/>
  <c r="FO193" i="2" s="1"/>
  <c r="LH150" i="2"/>
  <c r="RK112" i="2"/>
  <c r="RL113" i="2"/>
  <c r="FM26" i="2"/>
  <c r="LI124" i="2"/>
  <c r="LI128" i="2" s="1"/>
  <c r="LI134" i="2"/>
  <c r="FW124" i="2"/>
  <c r="FW134" i="2"/>
  <c r="FY113" i="2"/>
  <c r="FX112" i="2"/>
  <c r="FX117" i="2" s="1"/>
  <c r="FM48" i="2"/>
  <c r="LJ135" i="2"/>
  <c r="FM23" i="2"/>
  <c r="KX4" i="2"/>
  <c r="GB135" i="2"/>
  <c r="LK125" i="2"/>
  <c r="FZ125" i="2"/>
  <c r="LJ113" i="2"/>
  <c r="LJ112" i="2" s="1"/>
  <c r="LJ118" i="2" s="1"/>
  <c r="FS87" i="2"/>
  <c r="AM111" i="2"/>
  <c r="FR81" i="2"/>
  <c r="FM27" i="2"/>
  <c r="AE23" i="2"/>
  <c r="FN4" i="2"/>
  <c r="FW150" i="2" l="1"/>
  <c r="FW129" i="2"/>
  <c r="FW126" i="2"/>
  <c r="FW140" i="2"/>
  <c r="FW127" i="2"/>
  <c r="FW137" i="2"/>
  <c r="LJ116" i="2"/>
  <c r="LI142" i="2"/>
  <c r="LI140" i="2"/>
  <c r="FX118" i="2"/>
  <c r="LJ117" i="2"/>
  <c r="FX119" i="2"/>
  <c r="FX115" i="2"/>
  <c r="FX116" i="2"/>
  <c r="LJ115" i="2"/>
  <c r="FW144" i="2"/>
  <c r="FW138" i="2"/>
  <c r="LI141" i="2"/>
  <c r="LI126" i="2"/>
  <c r="LI138" i="2"/>
  <c r="LJ119" i="2"/>
  <c r="LI139" i="2"/>
  <c r="LI144" i="2"/>
  <c r="LI127" i="2"/>
  <c r="FW142" i="2"/>
  <c r="FW141" i="2"/>
  <c r="FW136" i="2"/>
  <c r="FW128" i="2"/>
  <c r="LI136" i="2"/>
  <c r="LJ114" i="2"/>
  <c r="LI137" i="2"/>
  <c r="FW139" i="2"/>
  <c r="LI129" i="2"/>
  <c r="FX114" i="2"/>
  <c r="FQ2" i="2"/>
  <c r="FP199" i="2"/>
  <c r="FP193" i="2" s="1"/>
  <c r="AM110" i="2"/>
  <c r="AM107" i="2" s="1"/>
  <c r="LI150" i="2"/>
  <c r="RM113" i="2"/>
  <c r="RL112" i="2"/>
  <c r="FN26" i="2"/>
  <c r="LJ124" i="2"/>
  <c r="LJ128" i="2" s="1"/>
  <c r="LJ134" i="2"/>
  <c r="FX134" i="2"/>
  <c r="FX124" i="2"/>
  <c r="FX150" i="2" s="1"/>
  <c r="FZ113" i="2"/>
  <c r="FY112" i="2"/>
  <c r="FY117" i="2" s="1"/>
  <c r="FN48" i="2"/>
  <c r="FN23" i="2"/>
  <c r="KY4" i="2"/>
  <c r="LK135" i="2"/>
  <c r="GC135" i="2"/>
  <c r="LL125" i="2"/>
  <c r="GA125" i="2"/>
  <c r="LK113" i="2"/>
  <c r="LK112" i="2" s="1"/>
  <c r="LK118" i="2" s="1"/>
  <c r="FT87" i="2"/>
  <c r="AN111" i="2"/>
  <c r="FS81" i="2"/>
  <c r="AF23" i="2"/>
  <c r="FO4" i="2"/>
  <c r="FN27" i="2"/>
  <c r="FX144" i="2" l="1"/>
  <c r="FX139" i="2"/>
  <c r="FX128" i="2"/>
  <c r="FX136" i="2"/>
  <c r="FX129" i="2"/>
  <c r="FX141" i="2"/>
  <c r="FY114" i="2"/>
  <c r="LJ136" i="2"/>
  <c r="LJ144" i="2"/>
  <c r="LK117" i="2"/>
  <c r="LK115" i="2"/>
  <c r="FY118" i="2"/>
  <c r="LJ129" i="2"/>
  <c r="LJ139" i="2"/>
  <c r="LJ140" i="2"/>
  <c r="LK119" i="2"/>
  <c r="FY116" i="2"/>
  <c r="LJ142" i="2"/>
  <c r="LK116" i="2"/>
  <c r="LJ138" i="2"/>
  <c r="FY115" i="2"/>
  <c r="LJ137" i="2"/>
  <c r="FX126" i="2"/>
  <c r="LJ126" i="2"/>
  <c r="FY119" i="2"/>
  <c r="LK114" i="2"/>
  <c r="LL114" i="2" s="1"/>
  <c r="FX142" i="2"/>
  <c r="LJ141" i="2"/>
  <c r="FX137" i="2"/>
  <c r="FX127" i="2"/>
  <c r="LJ127" i="2"/>
  <c r="FX138" i="2"/>
  <c r="FX140" i="2"/>
  <c r="AN110" i="2"/>
  <c r="AN107" i="2" s="1"/>
  <c r="FR2" i="2"/>
  <c r="FQ199" i="2"/>
  <c r="FQ193" i="2" s="1"/>
  <c r="RM112" i="2"/>
  <c r="RN113" i="2"/>
  <c r="LJ150" i="2"/>
  <c r="FO26" i="2"/>
  <c r="GA113" i="2"/>
  <c r="FZ112" i="2"/>
  <c r="FZ117" i="2" s="1"/>
  <c r="LK124" i="2"/>
  <c r="LK128" i="2" s="1"/>
  <c r="LK134" i="2"/>
  <c r="FY134" i="2"/>
  <c r="FY124" i="2"/>
  <c r="FY150" i="2" s="1"/>
  <c r="FO48" i="2"/>
  <c r="LL135" i="2"/>
  <c r="FO23" i="2"/>
  <c r="KZ4" i="2"/>
  <c r="GD135" i="2"/>
  <c r="LM125" i="2"/>
  <c r="GB125" i="2"/>
  <c r="LL113" i="2"/>
  <c r="LL112" i="2" s="1"/>
  <c r="LL118" i="2" s="1"/>
  <c r="FU87" i="2"/>
  <c r="AO111" i="2"/>
  <c r="FT81" i="2"/>
  <c r="FO27" i="2"/>
  <c r="AG23" i="2"/>
  <c r="FP4" i="2"/>
  <c r="FY138" i="2" l="1"/>
  <c r="LK127" i="2"/>
  <c r="FY127" i="2"/>
  <c r="LK139" i="2"/>
  <c r="FY140" i="2"/>
  <c r="FY142" i="2"/>
  <c r="LK126" i="2"/>
  <c r="LL116" i="2"/>
  <c r="LK142" i="2"/>
  <c r="FY141" i="2"/>
  <c r="LL117" i="2"/>
  <c r="FY144" i="2"/>
  <c r="LK144" i="2"/>
  <c r="FZ116" i="2"/>
  <c r="LK129" i="2"/>
  <c r="LK136" i="2"/>
  <c r="FY126" i="2"/>
  <c r="LL119" i="2"/>
  <c r="FZ118" i="2"/>
  <c r="FZ119" i="2"/>
  <c r="FZ114" i="2"/>
  <c r="LK137" i="2"/>
  <c r="FY136" i="2"/>
  <c r="LL115" i="2"/>
  <c r="FY137" i="2"/>
  <c r="FZ115" i="2"/>
  <c r="FY139" i="2"/>
  <c r="FY129" i="2"/>
  <c r="LK141" i="2"/>
  <c r="LK138" i="2"/>
  <c r="LK140" i="2"/>
  <c r="FY128" i="2"/>
  <c r="FS2" i="2"/>
  <c r="FR199" i="2"/>
  <c r="FR193" i="2" s="1"/>
  <c r="AO110" i="2"/>
  <c r="AO107" i="2" s="1"/>
  <c r="RN112" i="2"/>
  <c r="RO113" i="2"/>
  <c r="FP26" i="2"/>
  <c r="LL134" i="2"/>
  <c r="LL124" i="2"/>
  <c r="LK150" i="2"/>
  <c r="FZ134" i="2"/>
  <c r="FZ124" i="2"/>
  <c r="GB113" i="2"/>
  <c r="GA112" i="2"/>
  <c r="GA117" i="2" s="1"/>
  <c r="FP48" i="2"/>
  <c r="FP23" i="2"/>
  <c r="LA4" i="2"/>
  <c r="LM135" i="2"/>
  <c r="GE135" i="2"/>
  <c r="LN125" i="2"/>
  <c r="GC125" i="2"/>
  <c r="LM113" i="2"/>
  <c r="LM112" i="2" s="1"/>
  <c r="LM118" i="2" s="1"/>
  <c r="FV87" i="2"/>
  <c r="AP111" i="2"/>
  <c r="FU81" i="2"/>
  <c r="AH23" i="2"/>
  <c r="FQ4" i="2"/>
  <c r="FP27" i="2"/>
  <c r="FZ140" i="2" l="1"/>
  <c r="GA118" i="2"/>
  <c r="FZ128" i="2"/>
  <c r="LL126" i="2"/>
  <c r="FZ137" i="2"/>
  <c r="FZ127" i="2"/>
  <c r="GA115" i="2"/>
  <c r="GA119" i="2"/>
  <c r="LL144" i="2"/>
  <c r="LM117" i="2"/>
  <c r="LL140" i="2"/>
  <c r="LM119" i="2"/>
  <c r="LL142" i="2"/>
  <c r="FZ141" i="2"/>
  <c r="LL138" i="2"/>
  <c r="LM114" i="2"/>
  <c r="FZ126" i="2"/>
  <c r="FZ138" i="2"/>
  <c r="FZ142" i="2"/>
  <c r="LL141" i="2"/>
  <c r="LM115" i="2"/>
  <c r="LL136" i="2"/>
  <c r="FZ144" i="2"/>
  <c r="FZ150" i="2"/>
  <c r="LL127" i="2"/>
  <c r="FZ136" i="2"/>
  <c r="LL129" i="2"/>
  <c r="LL139" i="2"/>
  <c r="FZ129" i="2"/>
  <c r="LL137" i="2"/>
  <c r="GA116" i="2"/>
  <c r="LM116" i="2"/>
  <c r="LL128" i="2"/>
  <c r="FZ139" i="2"/>
  <c r="GA114" i="2"/>
  <c r="AP110" i="2"/>
  <c r="AP107" i="2" s="1"/>
  <c r="FT2" i="2"/>
  <c r="FS199" i="2"/>
  <c r="FS193" i="2" s="1"/>
  <c r="RP113" i="2"/>
  <c r="RO112" i="2"/>
  <c r="LL150" i="2"/>
  <c r="FQ26" i="2"/>
  <c r="GA134" i="2"/>
  <c r="GA124" i="2"/>
  <c r="GA140" i="2" s="1"/>
  <c r="LM134" i="2"/>
  <c r="LM124" i="2"/>
  <c r="GC113" i="2"/>
  <c r="GB112" i="2"/>
  <c r="GB118" i="2" s="1"/>
  <c r="FQ48" i="2"/>
  <c r="FQ23" i="2"/>
  <c r="LB4" i="2"/>
  <c r="LN135" i="2"/>
  <c r="GF135" i="2"/>
  <c r="LO125" i="2"/>
  <c r="GD125" i="2"/>
  <c r="LN113" i="2"/>
  <c r="LN112" i="2" s="1"/>
  <c r="LN118" i="2" s="1"/>
  <c r="FW87" i="2"/>
  <c r="AQ111" i="2"/>
  <c r="FV81" i="2"/>
  <c r="FQ27" i="2"/>
  <c r="AI23" i="2"/>
  <c r="FR4" i="2"/>
  <c r="LM128" i="2" l="1"/>
  <c r="LM126" i="2"/>
  <c r="LM139" i="2"/>
  <c r="LM129" i="2"/>
  <c r="LM141" i="2"/>
  <c r="GB114" i="2"/>
  <c r="LM142" i="2"/>
  <c r="LN117" i="2"/>
  <c r="GA137" i="2"/>
  <c r="LN119" i="2"/>
  <c r="LM144" i="2"/>
  <c r="GA139" i="2"/>
  <c r="GA136" i="2"/>
  <c r="GA142" i="2"/>
  <c r="GA127" i="2"/>
  <c r="GB119" i="2"/>
  <c r="LM127" i="2"/>
  <c r="GA138" i="2"/>
  <c r="LM140" i="2"/>
  <c r="GB115" i="2"/>
  <c r="LN116" i="2"/>
  <c r="GA150" i="2"/>
  <c r="GA126" i="2"/>
  <c r="GA128" i="2"/>
  <c r="GB116" i="2"/>
  <c r="GA144" i="2"/>
  <c r="LN114" i="2"/>
  <c r="LM137" i="2"/>
  <c r="LM136" i="2"/>
  <c r="LM138" i="2"/>
  <c r="LN138" i="2" s="1"/>
  <c r="GB117" i="2"/>
  <c r="GA129" i="2"/>
  <c r="LN115" i="2"/>
  <c r="GA141" i="2"/>
  <c r="AQ110" i="2"/>
  <c r="AQ107" i="2" s="1"/>
  <c r="FU2" i="2"/>
  <c r="FT199" i="2"/>
  <c r="FT193" i="2" s="1"/>
  <c r="RP112" i="2"/>
  <c r="RQ113" i="2"/>
  <c r="FR26" i="2"/>
  <c r="GD113" i="2"/>
  <c r="GC112" i="2"/>
  <c r="GC118" i="2" s="1"/>
  <c r="LN134" i="2"/>
  <c r="LN124" i="2"/>
  <c r="LM150" i="2"/>
  <c r="GB124" i="2"/>
  <c r="GB140" i="2" s="1"/>
  <c r="GB134" i="2"/>
  <c r="FR48" i="2"/>
  <c r="LO135" i="2"/>
  <c r="FR23" i="2"/>
  <c r="LC4" i="2"/>
  <c r="GG135" i="2"/>
  <c r="LP125" i="2"/>
  <c r="GE125" i="2"/>
  <c r="LO113" i="2"/>
  <c r="LO112" i="2" s="1"/>
  <c r="LO118" i="2" s="1"/>
  <c r="FX87" i="2"/>
  <c r="AR111" i="2"/>
  <c r="FW81" i="2"/>
  <c r="FR27" i="2"/>
  <c r="AJ23" i="2"/>
  <c r="FS4" i="2"/>
  <c r="LN126" i="2" l="1"/>
  <c r="LN137" i="2"/>
  <c r="GB142" i="2"/>
  <c r="LN142" i="2"/>
  <c r="LO116" i="2"/>
  <c r="GB141" i="2"/>
  <c r="GB150" i="2"/>
  <c r="GB127" i="2"/>
  <c r="LO117" i="2"/>
  <c r="LO115" i="2"/>
  <c r="LO114" i="2"/>
  <c r="GC115" i="2"/>
  <c r="GB136" i="2"/>
  <c r="LN141" i="2"/>
  <c r="GB129" i="2"/>
  <c r="GB144" i="2"/>
  <c r="LN140" i="2"/>
  <c r="GB139" i="2"/>
  <c r="LN139" i="2"/>
  <c r="GC117" i="2"/>
  <c r="GC116" i="2"/>
  <c r="GB138" i="2"/>
  <c r="LN144" i="2"/>
  <c r="GC114" i="2"/>
  <c r="LN127" i="2"/>
  <c r="LO119" i="2"/>
  <c r="GB128" i="2"/>
  <c r="LN128" i="2"/>
  <c r="GB137" i="2"/>
  <c r="LN136" i="2"/>
  <c r="GB126" i="2"/>
  <c r="GC119" i="2"/>
  <c r="LN129" i="2"/>
  <c r="FV2" i="2"/>
  <c r="FU199" i="2"/>
  <c r="FU193" i="2" s="1"/>
  <c r="AR110" i="2"/>
  <c r="AR107" i="2" s="1"/>
  <c r="LN150" i="2"/>
  <c r="RR113" i="2"/>
  <c r="RQ112" i="2"/>
  <c r="FS26" i="2"/>
  <c r="GC124" i="2"/>
  <c r="GC142" i="2" s="1"/>
  <c r="GC134" i="2"/>
  <c r="GE113" i="2"/>
  <c r="GD112" i="2"/>
  <c r="GD118" i="2" s="1"/>
  <c r="LO134" i="2"/>
  <c r="LO124" i="2"/>
  <c r="FS48" i="2"/>
  <c r="FS23" i="2"/>
  <c r="LD4" i="2"/>
  <c r="LP135" i="2"/>
  <c r="GH135" i="2"/>
  <c r="LQ125" i="2"/>
  <c r="GF125" i="2"/>
  <c r="LP113" i="2"/>
  <c r="LP112" i="2" s="1"/>
  <c r="LP116" i="2" s="1"/>
  <c r="FY87" i="2"/>
  <c r="AS111" i="2"/>
  <c r="FX81" i="2"/>
  <c r="AK23" i="2"/>
  <c r="FT4" i="2"/>
  <c r="FS27" i="2"/>
  <c r="LO126" i="2" l="1"/>
  <c r="GD119" i="2"/>
  <c r="GD114" i="2"/>
  <c r="GD116" i="2"/>
  <c r="LO138" i="2"/>
  <c r="LO129" i="2"/>
  <c r="GC128" i="2"/>
  <c r="GC138" i="2"/>
  <c r="LO141" i="2"/>
  <c r="LP117" i="2"/>
  <c r="GC136" i="2"/>
  <c r="GC127" i="2"/>
  <c r="LP119" i="2"/>
  <c r="GD117" i="2"/>
  <c r="GD115" i="2"/>
  <c r="GC150" i="2"/>
  <c r="GC126" i="2"/>
  <c r="LO127" i="2"/>
  <c r="LO139" i="2"/>
  <c r="LP114" i="2"/>
  <c r="LO137" i="2"/>
  <c r="GC139" i="2"/>
  <c r="LP115" i="2"/>
  <c r="LP118" i="2"/>
  <c r="LO136" i="2"/>
  <c r="LO140" i="2"/>
  <c r="GC141" i="2"/>
  <c r="GC140" i="2"/>
  <c r="GC137" i="2"/>
  <c r="GC144" i="2"/>
  <c r="LO142" i="2"/>
  <c r="LO128" i="2"/>
  <c r="LO144" i="2"/>
  <c r="GC129" i="2"/>
  <c r="FW2" i="2"/>
  <c r="FV199" i="2"/>
  <c r="FV193" i="2" s="1"/>
  <c r="AS110" i="2"/>
  <c r="AS107" i="2" s="1"/>
  <c r="RS113" i="2"/>
  <c r="RR112" i="2"/>
  <c r="EY33" i="2"/>
  <c r="FS33" i="2" s="1"/>
  <c r="EY41" i="2"/>
  <c r="FT41" i="2" s="1"/>
  <c r="FT26" i="2"/>
  <c r="GD124" i="2"/>
  <c r="GD142" i="2" s="1"/>
  <c r="GD134" i="2"/>
  <c r="GF113" i="2"/>
  <c r="GE112" i="2"/>
  <c r="GE118" i="2" s="1"/>
  <c r="LP124" i="2"/>
  <c r="LP134" i="2"/>
  <c r="LO150" i="2"/>
  <c r="FT48" i="2"/>
  <c r="LQ135" i="2"/>
  <c r="FT23" i="2"/>
  <c r="LE4" i="2"/>
  <c r="GI135" i="2"/>
  <c r="LR125" i="2"/>
  <c r="GG125" i="2"/>
  <c r="LQ113" i="2"/>
  <c r="LQ112" i="2" s="1"/>
  <c r="LQ116" i="2" s="1"/>
  <c r="FZ87" i="2"/>
  <c r="AT111" i="2"/>
  <c r="FY81" i="2"/>
  <c r="FT27" i="2"/>
  <c r="AL23" i="2"/>
  <c r="EY34" i="2"/>
  <c r="EY40" i="2"/>
  <c r="EY38" i="2"/>
  <c r="EY31" i="2"/>
  <c r="EY42" i="2"/>
  <c r="EY32" i="2"/>
  <c r="FU4" i="2"/>
  <c r="EY39" i="2"/>
  <c r="LP138" i="2" l="1"/>
  <c r="GD129" i="2"/>
  <c r="GD140" i="2"/>
  <c r="GD139" i="2"/>
  <c r="GE115" i="2"/>
  <c r="LQ117" i="2"/>
  <c r="GD141" i="2"/>
  <c r="GE114" i="2"/>
  <c r="GE117" i="2"/>
  <c r="LP141" i="2"/>
  <c r="LP144" i="2"/>
  <c r="LP140" i="2"/>
  <c r="LP137" i="2"/>
  <c r="LQ119" i="2"/>
  <c r="GD138" i="2"/>
  <c r="LP128" i="2"/>
  <c r="LQ114" i="2"/>
  <c r="GE119" i="2"/>
  <c r="GD128" i="2"/>
  <c r="LP142" i="2"/>
  <c r="LP136" i="2"/>
  <c r="LP139" i="2"/>
  <c r="GD127" i="2"/>
  <c r="LP126" i="2"/>
  <c r="GD144" i="2"/>
  <c r="LP129" i="2"/>
  <c r="LP127" i="2"/>
  <c r="GD136" i="2"/>
  <c r="LQ118" i="2"/>
  <c r="GD126" i="2"/>
  <c r="GE116" i="2"/>
  <c r="GD137" i="2"/>
  <c r="LQ115" i="2"/>
  <c r="GD150" i="2"/>
  <c r="AT110" i="2"/>
  <c r="AT107" i="2" s="1"/>
  <c r="FG33" i="2"/>
  <c r="FF33" i="2"/>
  <c r="FX2" i="2"/>
  <c r="FW199" i="2"/>
  <c r="FW193" i="2" s="1"/>
  <c r="FQ33" i="2"/>
  <c r="FO33" i="2"/>
  <c r="FN33" i="2"/>
  <c r="FI33" i="2"/>
  <c r="FM33" i="2"/>
  <c r="FE33" i="2"/>
  <c r="FL33" i="2"/>
  <c r="FD33" i="2"/>
  <c r="FK33" i="2"/>
  <c r="FC33" i="2"/>
  <c r="FU41" i="2"/>
  <c r="FR33" i="2"/>
  <c r="FJ33" i="2"/>
  <c r="FP33" i="2"/>
  <c r="FH33" i="2"/>
  <c r="FT33" i="2"/>
  <c r="RS112" i="2"/>
  <c r="RT113" i="2"/>
  <c r="LP150" i="2"/>
  <c r="FD41" i="2"/>
  <c r="FC41" i="2"/>
  <c r="FE41" i="2"/>
  <c r="FF41" i="2"/>
  <c r="FG41" i="2"/>
  <c r="FH41" i="2"/>
  <c r="FI41" i="2"/>
  <c r="FJ41" i="2"/>
  <c r="FK41" i="2"/>
  <c r="FL41" i="2"/>
  <c r="FM41" i="2"/>
  <c r="FN41" i="2"/>
  <c r="FO41" i="2"/>
  <c r="FP41" i="2"/>
  <c r="FQ41" i="2"/>
  <c r="FR41" i="2"/>
  <c r="FS41" i="2"/>
  <c r="FU26" i="2"/>
  <c r="FU33" i="2"/>
  <c r="LQ124" i="2"/>
  <c r="LQ134" i="2"/>
  <c r="GE124" i="2"/>
  <c r="GE142" i="2" s="1"/>
  <c r="GE134" i="2"/>
  <c r="GG113" i="2"/>
  <c r="GF112" i="2"/>
  <c r="GF118" i="2" s="1"/>
  <c r="FU48" i="2"/>
  <c r="FU23" i="2"/>
  <c r="LF4" i="2"/>
  <c r="LR135" i="2"/>
  <c r="GJ135" i="2"/>
  <c r="LS125" i="2"/>
  <c r="GH125" i="2"/>
  <c r="LR113" i="2"/>
  <c r="LR112" i="2" s="1"/>
  <c r="LR116" i="2" s="1"/>
  <c r="FT40" i="2"/>
  <c r="GA87" i="2"/>
  <c r="AU111" i="2"/>
  <c r="FZ81" i="2"/>
  <c r="AM23" i="2"/>
  <c r="FV4" i="2"/>
  <c r="FV41" i="2" s="1"/>
  <c r="FU34" i="2"/>
  <c r="FU40" i="2"/>
  <c r="FU32" i="2"/>
  <c r="FU27" i="2"/>
  <c r="FC32" i="2"/>
  <c r="FD32" i="2"/>
  <c r="FE32" i="2"/>
  <c r="FF32" i="2"/>
  <c r="FG32" i="2"/>
  <c r="FH32" i="2"/>
  <c r="FI32" i="2"/>
  <c r="FJ32" i="2"/>
  <c r="FK32" i="2"/>
  <c r="FL32" i="2"/>
  <c r="FM32" i="2"/>
  <c r="FN32" i="2"/>
  <c r="FO32" i="2"/>
  <c r="FP32" i="2"/>
  <c r="FQ32" i="2"/>
  <c r="FR32" i="2"/>
  <c r="FS32" i="2"/>
  <c r="FT32" i="2"/>
  <c r="FD34" i="2"/>
  <c r="FC34" i="2"/>
  <c r="FE34" i="2"/>
  <c r="FF34" i="2"/>
  <c r="FG34" i="2"/>
  <c r="FH34" i="2"/>
  <c r="FI34" i="2"/>
  <c r="FJ34" i="2"/>
  <c r="FK34" i="2"/>
  <c r="FL34" i="2"/>
  <c r="FM34" i="2"/>
  <c r="FN34" i="2"/>
  <c r="FO34" i="2"/>
  <c r="FP34" i="2"/>
  <c r="FQ34" i="2"/>
  <c r="FR34" i="2"/>
  <c r="FS34" i="2"/>
  <c r="FT34" i="2"/>
  <c r="FC40" i="2"/>
  <c r="FD40" i="2"/>
  <c r="FE40" i="2"/>
  <c r="FF40" i="2"/>
  <c r="FG40" i="2"/>
  <c r="FH40" i="2"/>
  <c r="FI40" i="2"/>
  <c r="FJ40" i="2"/>
  <c r="FK40" i="2"/>
  <c r="FL40" i="2"/>
  <c r="FM40" i="2"/>
  <c r="FN40" i="2"/>
  <c r="FO40" i="2"/>
  <c r="FP40" i="2"/>
  <c r="FQ40" i="2"/>
  <c r="FR40" i="2"/>
  <c r="FS40" i="2"/>
  <c r="LQ138" i="2" l="1"/>
  <c r="GE136" i="2"/>
  <c r="LQ142" i="2"/>
  <c r="LQ137" i="2"/>
  <c r="LR117" i="2"/>
  <c r="GE150" i="2"/>
  <c r="LQ127" i="2"/>
  <c r="GE128" i="2"/>
  <c r="LQ140" i="2"/>
  <c r="GF115" i="2"/>
  <c r="LR115" i="2"/>
  <c r="LQ129" i="2"/>
  <c r="GF119" i="2"/>
  <c r="LQ144" i="2"/>
  <c r="GE139" i="2"/>
  <c r="GE137" i="2"/>
  <c r="GE144" i="2"/>
  <c r="LR114" i="2"/>
  <c r="LQ141" i="2"/>
  <c r="GE140" i="2"/>
  <c r="GF116" i="2"/>
  <c r="LQ126" i="2"/>
  <c r="GF117" i="2"/>
  <c r="GE126" i="2"/>
  <c r="GE127" i="2"/>
  <c r="LQ128" i="2"/>
  <c r="GF114" i="2"/>
  <c r="LR118" i="2"/>
  <c r="LQ139" i="2"/>
  <c r="GE138" i="2"/>
  <c r="GF138" i="2" s="1"/>
  <c r="GE141" i="2"/>
  <c r="LQ136" i="2"/>
  <c r="LR119" i="2"/>
  <c r="GE129" i="2"/>
  <c r="AU110" i="2"/>
  <c r="AU107" i="2" s="1"/>
  <c r="FY2" i="2"/>
  <c r="FX199" i="2"/>
  <c r="FX193" i="2" s="1"/>
  <c r="RU113" i="2"/>
  <c r="RT112" i="2"/>
  <c r="LQ150" i="2"/>
  <c r="FV26" i="2"/>
  <c r="FV33" i="2"/>
  <c r="GF134" i="2"/>
  <c r="GF124" i="2"/>
  <c r="GF142" i="2" s="1"/>
  <c r="GH113" i="2"/>
  <c r="GG112" i="2"/>
  <c r="GG118" i="2" s="1"/>
  <c r="LR124" i="2"/>
  <c r="LR138" i="2" s="1"/>
  <c r="LR134" i="2"/>
  <c r="FV48" i="2"/>
  <c r="LS135" i="2"/>
  <c r="FV23" i="2"/>
  <c r="LG4" i="2"/>
  <c r="GK135" i="2"/>
  <c r="LT125" i="2"/>
  <c r="GI125" i="2"/>
  <c r="LS113" i="2"/>
  <c r="LS112" i="2" s="1"/>
  <c r="LS116" i="2" s="1"/>
  <c r="GB87" i="2"/>
  <c r="AV111" i="2"/>
  <c r="GA81" i="2"/>
  <c r="FV40" i="2"/>
  <c r="FV34" i="2"/>
  <c r="FV32" i="2"/>
  <c r="FV27" i="2"/>
  <c r="AN23" i="2"/>
  <c r="FW4" i="2"/>
  <c r="FW41" i="2" s="1"/>
  <c r="GF141" i="2" l="1"/>
  <c r="GF127" i="2"/>
  <c r="GF126" i="2"/>
  <c r="GF129" i="2"/>
  <c r="GF140" i="2"/>
  <c r="GG114" i="2"/>
  <c r="LS118" i="2"/>
  <c r="GG116" i="2"/>
  <c r="GG119" i="2"/>
  <c r="LS117" i="2"/>
  <c r="LR129" i="2"/>
  <c r="LR137" i="2"/>
  <c r="LS119" i="2"/>
  <c r="LR128" i="2"/>
  <c r="LR141" i="2"/>
  <c r="LS115" i="2"/>
  <c r="LR142" i="2"/>
  <c r="LR136" i="2"/>
  <c r="LS114" i="2"/>
  <c r="GG115" i="2"/>
  <c r="GF136" i="2"/>
  <c r="GF144" i="2"/>
  <c r="LR140" i="2"/>
  <c r="GG117" i="2"/>
  <c r="GF137" i="2"/>
  <c r="GF128" i="2"/>
  <c r="GF139" i="2"/>
  <c r="LR127" i="2"/>
  <c r="LR139" i="2"/>
  <c r="LR126" i="2"/>
  <c r="LR144" i="2"/>
  <c r="GF150" i="2"/>
  <c r="AV110" i="2"/>
  <c r="AV107" i="2" s="1"/>
  <c r="FZ2" i="2"/>
  <c r="FY199" i="2"/>
  <c r="FY193" i="2" s="1"/>
  <c r="RU112" i="2"/>
  <c r="RV113" i="2"/>
  <c r="FW26" i="2"/>
  <c r="FW33" i="2"/>
  <c r="LR150" i="2"/>
  <c r="GG134" i="2"/>
  <c r="GG124" i="2"/>
  <c r="GG129" i="2" s="1"/>
  <c r="GI113" i="2"/>
  <c r="GH112" i="2"/>
  <c r="GH118" i="2" s="1"/>
  <c r="LS124" i="2"/>
  <c r="LS138" i="2" s="1"/>
  <c r="LS134" i="2"/>
  <c r="FW48" i="2"/>
  <c r="LT135" i="2"/>
  <c r="FW23" i="2"/>
  <c r="LH4" i="2"/>
  <c r="GL135" i="2"/>
  <c r="LU125" i="2"/>
  <c r="GJ125" i="2"/>
  <c r="LT113" i="2"/>
  <c r="LT112" i="2" s="1"/>
  <c r="LT116" i="2" s="1"/>
  <c r="GC87" i="2"/>
  <c r="AW111" i="2"/>
  <c r="GB81" i="2"/>
  <c r="FW34" i="2"/>
  <c r="FW40" i="2"/>
  <c r="FW32" i="2"/>
  <c r="FW27" i="2"/>
  <c r="AO23" i="2"/>
  <c r="FX4" i="2"/>
  <c r="FX41" i="2" s="1"/>
  <c r="GG139" i="2" l="1"/>
  <c r="LS144" i="2"/>
  <c r="GG128" i="2"/>
  <c r="GG141" i="2"/>
  <c r="GG137" i="2"/>
  <c r="GG136" i="2"/>
  <c r="GG150" i="2"/>
  <c r="GG127" i="2"/>
  <c r="GG138" i="2"/>
  <c r="LS141" i="2"/>
  <c r="LT117" i="2"/>
  <c r="LS128" i="2"/>
  <c r="GH119" i="2"/>
  <c r="GH115" i="2"/>
  <c r="LT119" i="2"/>
  <c r="GH116" i="2"/>
  <c r="LS126" i="2"/>
  <c r="GH117" i="2"/>
  <c r="LT114" i="2"/>
  <c r="LS137" i="2"/>
  <c r="LT118" i="2"/>
  <c r="LS139" i="2"/>
  <c r="LS129" i="2"/>
  <c r="LS127" i="2"/>
  <c r="LS140" i="2"/>
  <c r="LS136" i="2"/>
  <c r="GG140" i="2"/>
  <c r="GG142" i="2"/>
  <c r="GG144" i="2"/>
  <c r="LS142" i="2"/>
  <c r="GH114" i="2"/>
  <c r="GG126" i="2"/>
  <c r="LT115" i="2"/>
  <c r="AW110" i="2"/>
  <c r="AW107" i="2" s="1"/>
  <c r="GA2" i="2"/>
  <c r="FZ199" i="2"/>
  <c r="FZ193" i="2" s="1"/>
  <c r="RV112" i="2"/>
  <c r="RW113" i="2"/>
  <c r="FX33" i="2"/>
  <c r="FX26" i="2"/>
  <c r="GH134" i="2"/>
  <c r="GH124" i="2"/>
  <c r="GJ113" i="2"/>
  <c r="GI112" i="2"/>
  <c r="GI118" i="2" s="1"/>
  <c r="LS150" i="2"/>
  <c r="LT134" i="2"/>
  <c r="LT124" i="2"/>
  <c r="LT138" i="2" s="1"/>
  <c r="FX48" i="2"/>
  <c r="LU135" i="2"/>
  <c r="FX23" i="2"/>
  <c r="LI4" i="2"/>
  <c r="GM135" i="2"/>
  <c r="LV125" i="2"/>
  <c r="GK125" i="2"/>
  <c r="LU113" i="2"/>
  <c r="LU112" i="2" s="1"/>
  <c r="LU116" i="2" s="1"/>
  <c r="GD87" i="2"/>
  <c r="AX111" i="2"/>
  <c r="GC81" i="2"/>
  <c r="FX40" i="2"/>
  <c r="FX32" i="2"/>
  <c r="FX34" i="2"/>
  <c r="FX27" i="2"/>
  <c r="AP23" i="2"/>
  <c r="FY4" i="2"/>
  <c r="FY41" i="2" s="1"/>
  <c r="GI115" i="2" l="1"/>
  <c r="GI114" i="2"/>
  <c r="GH150" i="2"/>
  <c r="GH142" i="2"/>
  <c r="LT139" i="2"/>
  <c r="LU117" i="2"/>
  <c r="LU115" i="2"/>
  <c r="GH140" i="2"/>
  <c r="LU118" i="2"/>
  <c r="GH137" i="2"/>
  <c r="LT141" i="2"/>
  <c r="GH126" i="2"/>
  <c r="LT136" i="2"/>
  <c r="LT137" i="2"/>
  <c r="LT144" i="2"/>
  <c r="LT140" i="2"/>
  <c r="LU114" i="2"/>
  <c r="GI119" i="2"/>
  <c r="GH138" i="2"/>
  <c r="LT127" i="2"/>
  <c r="GI117" i="2"/>
  <c r="LT128" i="2"/>
  <c r="GH129" i="2"/>
  <c r="LT142" i="2"/>
  <c r="LT129" i="2"/>
  <c r="LT126" i="2"/>
  <c r="GH136" i="2"/>
  <c r="GH144" i="2"/>
  <c r="GH127" i="2"/>
  <c r="GI116" i="2"/>
  <c r="GH128" i="2"/>
  <c r="GH139" i="2"/>
  <c r="GH141" i="2"/>
  <c r="LU119" i="2"/>
  <c r="AX110" i="2"/>
  <c r="AX107" i="2" s="1"/>
  <c r="GB2" i="2"/>
  <c r="GA199" i="2"/>
  <c r="GA193" i="2" s="1"/>
  <c r="RX113" i="2"/>
  <c r="RW112" i="2"/>
  <c r="FY33" i="2"/>
  <c r="FY26" i="2"/>
  <c r="LT150" i="2"/>
  <c r="GI134" i="2"/>
  <c r="GI124" i="2"/>
  <c r="GK113" i="2"/>
  <c r="GJ112" i="2"/>
  <c r="GJ118" i="2" s="1"/>
  <c r="LU134" i="2"/>
  <c r="LU124" i="2"/>
  <c r="LU138" i="2" s="1"/>
  <c r="FY48" i="2"/>
  <c r="LV135" i="2"/>
  <c r="FY23" i="2"/>
  <c r="LJ4" i="2"/>
  <c r="GN135" i="2"/>
  <c r="LW125" i="2"/>
  <c r="GL125" i="2"/>
  <c r="LV113" i="2"/>
  <c r="LV112" i="2" s="1"/>
  <c r="LV116" i="2" s="1"/>
  <c r="GE87" i="2"/>
  <c r="AY111" i="2"/>
  <c r="GD81" i="2"/>
  <c r="FY40" i="2"/>
  <c r="FY34" i="2"/>
  <c r="FY32" i="2"/>
  <c r="FY27" i="2"/>
  <c r="AQ23" i="2"/>
  <c r="FZ4" i="2"/>
  <c r="FZ41" i="2" s="1"/>
  <c r="GI150" i="2" l="1"/>
  <c r="GI139" i="2"/>
  <c r="GI128" i="2"/>
  <c r="GI127" i="2"/>
  <c r="GI136" i="2"/>
  <c r="GI141" i="2"/>
  <c r="GI129" i="2"/>
  <c r="GI138" i="2"/>
  <c r="GJ114" i="2"/>
  <c r="LU137" i="2"/>
  <c r="LV117" i="2"/>
  <c r="LV119" i="2"/>
  <c r="LU126" i="2"/>
  <c r="LU136" i="2"/>
  <c r="GJ115" i="2"/>
  <c r="LU129" i="2"/>
  <c r="GJ119" i="2"/>
  <c r="GI126" i="2"/>
  <c r="LU139" i="2"/>
  <c r="LU142" i="2"/>
  <c r="LV114" i="2"/>
  <c r="LU141" i="2"/>
  <c r="GI142" i="2"/>
  <c r="LU140" i="2"/>
  <c r="GI137" i="2"/>
  <c r="GJ116" i="2"/>
  <c r="LU128" i="2"/>
  <c r="LV118" i="2"/>
  <c r="GJ117" i="2"/>
  <c r="GI140" i="2"/>
  <c r="GI144" i="2"/>
  <c r="LU127" i="2"/>
  <c r="LU144" i="2"/>
  <c r="LV115" i="2"/>
  <c r="GC2" i="2"/>
  <c r="GB199" i="2"/>
  <c r="GB193" i="2" s="1"/>
  <c r="AY110" i="2"/>
  <c r="AY107" i="2" s="1"/>
  <c r="RX112" i="2"/>
  <c r="RY113" i="2"/>
  <c r="FZ26" i="2"/>
  <c r="FZ33" i="2"/>
  <c r="GL113" i="2"/>
  <c r="GK112" i="2"/>
  <c r="GK118" i="2" s="1"/>
  <c r="LV134" i="2"/>
  <c r="LV124" i="2"/>
  <c r="LV138" i="2" s="1"/>
  <c r="LU150" i="2"/>
  <c r="GJ134" i="2"/>
  <c r="GJ124" i="2"/>
  <c r="FZ48" i="2"/>
  <c r="FZ23" i="2"/>
  <c r="LK4" i="2"/>
  <c r="LW135" i="2"/>
  <c r="GO135" i="2"/>
  <c r="LX125" i="2"/>
  <c r="GM125" i="2"/>
  <c r="LW113" i="2"/>
  <c r="LW112" i="2" s="1"/>
  <c r="LW116" i="2" s="1"/>
  <c r="GF87" i="2"/>
  <c r="AZ111" i="2"/>
  <c r="GE81" i="2"/>
  <c r="FZ40" i="2"/>
  <c r="FZ34" i="2"/>
  <c r="FZ27" i="2"/>
  <c r="FZ32" i="2"/>
  <c r="AR23" i="2"/>
  <c r="GA4" i="2"/>
  <c r="GA41" i="2" s="1"/>
  <c r="GJ129" i="2" l="1"/>
  <c r="GJ127" i="2"/>
  <c r="GJ128" i="2"/>
  <c r="GK119" i="2"/>
  <c r="LW117" i="2"/>
  <c r="LW115" i="2"/>
  <c r="LW118" i="2"/>
  <c r="GJ142" i="2"/>
  <c r="LV129" i="2"/>
  <c r="LV137" i="2"/>
  <c r="LV144" i="2"/>
  <c r="LV141" i="2"/>
  <c r="GJ141" i="2"/>
  <c r="GK114" i="2"/>
  <c r="LV127" i="2"/>
  <c r="LV128" i="2"/>
  <c r="LW114" i="2"/>
  <c r="GK115" i="2"/>
  <c r="GJ136" i="2"/>
  <c r="GJ144" i="2"/>
  <c r="GK116" i="2"/>
  <c r="LV142" i="2"/>
  <c r="LV136" i="2"/>
  <c r="GJ150" i="2"/>
  <c r="GJ140" i="2"/>
  <c r="GJ137" i="2"/>
  <c r="GJ139" i="2"/>
  <c r="GJ138" i="2"/>
  <c r="LV140" i="2"/>
  <c r="LV139" i="2"/>
  <c r="LV126" i="2"/>
  <c r="GK117" i="2"/>
  <c r="GJ126" i="2"/>
  <c r="LW119" i="2"/>
  <c r="AZ110" i="2"/>
  <c r="AZ107" i="2" s="1"/>
  <c r="GD2" i="2"/>
  <c r="GC199" i="2"/>
  <c r="GC193" i="2" s="1"/>
  <c r="RZ113" i="2"/>
  <c r="RY112" i="2"/>
  <c r="LV150" i="2"/>
  <c r="GA26" i="2"/>
  <c r="GA33" i="2"/>
  <c r="GK124" i="2"/>
  <c r="GK134" i="2"/>
  <c r="GM113" i="2"/>
  <c r="GL112" i="2"/>
  <c r="GL118" i="2" s="1"/>
  <c r="LW134" i="2"/>
  <c r="LW124" i="2"/>
  <c r="LW138" i="2" s="1"/>
  <c r="GA48" i="2"/>
  <c r="LX135" i="2"/>
  <c r="GA23" i="2"/>
  <c r="LL4" i="2"/>
  <c r="GP135" i="2"/>
  <c r="LY125" i="2"/>
  <c r="GN125" i="2"/>
  <c r="LX113" i="2"/>
  <c r="LX112" i="2" s="1"/>
  <c r="LX116" i="2" s="1"/>
  <c r="GG87" i="2"/>
  <c r="BA111" i="2"/>
  <c r="GF81" i="2"/>
  <c r="GA40" i="2"/>
  <c r="GA34" i="2"/>
  <c r="GA32" i="2"/>
  <c r="GA27" i="2"/>
  <c r="AS23" i="2"/>
  <c r="GB4" i="2"/>
  <c r="GB41" i="2" s="1"/>
  <c r="GK129" i="2" l="1"/>
  <c r="LX119" i="2"/>
  <c r="GK138" i="2"/>
  <c r="GK144" i="2"/>
  <c r="LW141" i="2"/>
  <c r="LX117" i="2"/>
  <c r="GK139" i="2"/>
  <c r="GK136" i="2"/>
  <c r="GL119" i="2"/>
  <c r="GK126" i="2"/>
  <c r="GK137" i="2"/>
  <c r="GL115" i="2"/>
  <c r="LW144" i="2"/>
  <c r="GK128" i="2"/>
  <c r="GL117" i="2"/>
  <c r="GK140" i="2"/>
  <c r="LX114" i="2"/>
  <c r="LW137" i="2"/>
  <c r="GK127" i="2"/>
  <c r="LW126" i="2"/>
  <c r="GK150" i="2"/>
  <c r="LW128" i="2"/>
  <c r="LW129" i="2"/>
  <c r="LW139" i="2"/>
  <c r="LW136" i="2"/>
  <c r="LW127" i="2"/>
  <c r="GK142" i="2"/>
  <c r="LW140" i="2"/>
  <c r="LW142" i="2"/>
  <c r="GL114" i="2"/>
  <c r="LX118" i="2"/>
  <c r="GL116" i="2"/>
  <c r="GK141" i="2"/>
  <c r="LX115" i="2"/>
  <c r="BA110" i="2"/>
  <c r="BA107" i="2" s="1"/>
  <c r="GE2" i="2"/>
  <c r="GD199" i="2"/>
  <c r="GD193" i="2" s="1"/>
  <c r="SA113" i="2"/>
  <c r="RZ112" i="2"/>
  <c r="GB26" i="2"/>
  <c r="GB33" i="2"/>
  <c r="LX124" i="2"/>
  <c r="LX138" i="2" s="1"/>
  <c r="LX134" i="2"/>
  <c r="LW150" i="2"/>
  <c r="GN113" i="2"/>
  <c r="GM112" i="2"/>
  <c r="GM118" i="2" s="1"/>
  <c r="GL124" i="2"/>
  <c r="GL129" i="2" s="1"/>
  <c r="GL134" i="2"/>
  <c r="GB48" i="2"/>
  <c r="GB23" i="2"/>
  <c r="LM4" i="2"/>
  <c r="LY135" i="2"/>
  <c r="GQ135" i="2"/>
  <c r="LZ125" i="2"/>
  <c r="GO125" i="2"/>
  <c r="LY113" i="2"/>
  <c r="LY112" i="2" s="1"/>
  <c r="LY116" i="2" s="1"/>
  <c r="GH87" i="2"/>
  <c r="BB111" i="2"/>
  <c r="GG81" i="2"/>
  <c r="GB40" i="2"/>
  <c r="GB34" i="2"/>
  <c r="GB32" i="2"/>
  <c r="GB27" i="2"/>
  <c r="AT23" i="2"/>
  <c r="GC4" i="2"/>
  <c r="GC41" i="2" s="1"/>
  <c r="GL142" i="2" l="1"/>
  <c r="LX140" i="2"/>
  <c r="LX126" i="2"/>
  <c r="GM115" i="2"/>
  <c r="LY117" i="2"/>
  <c r="LY115" i="2"/>
  <c r="GL127" i="2"/>
  <c r="GL137" i="2"/>
  <c r="LX141" i="2"/>
  <c r="GL141" i="2"/>
  <c r="LX127" i="2"/>
  <c r="LX137" i="2"/>
  <c r="GL126" i="2"/>
  <c r="GL144" i="2"/>
  <c r="GM116" i="2"/>
  <c r="LX136" i="2"/>
  <c r="LY114" i="2"/>
  <c r="GM119" i="2"/>
  <c r="GL138" i="2"/>
  <c r="LX139" i="2"/>
  <c r="GL140" i="2"/>
  <c r="LY118" i="2"/>
  <c r="LX129" i="2"/>
  <c r="GM117" i="2"/>
  <c r="GL136" i="2"/>
  <c r="GM114" i="2"/>
  <c r="LX128" i="2"/>
  <c r="GL128" i="2"/>
  <c r="GL139" i="2"/>
  <c r="LX142" i="2"/>
  <c r="LY142" i="2" s="1"/>
  <c r="GL150" i="2"/>
  <c r="LX144" i="2"/>
  <c r="LY119" i="2"/>
  <c r="BB110" i="2"/>
  <c r="BB107" i="2" s="1"/>
  <c r="GF2" i="2"/>
  <c r="GE199" i="2"/>
  <c r="GE193" i="2" s="1"/>
  <c r="SA112" i="2"/>
  <c r="SB113" i="2"/>
  <c r="LX150" i="2"/>
  <c r="GC33" i="2"/>
  <c r="GC26" i="2"/>
  <c r="GO113" i="2"/>
  <c r="GN112" i="2"/>
  <c r="GN118" i="2" s="1"/>
  <c r="LY124" i="2"/>
  <c r="LY138" i="2" s="1"/>
  <c r="LY134" i="2"/>
  <c r="GM124" i="2"/>
  <c r="GM134" i="2"/>
  <c r="GC48" i="2"/>
  <c r="LZ135" i="2"/>
  <c r="GC23" i="2"/>
  <c r="LN4" i="2"/>
  <c r="GR135" i="2"/>
  <c r="MA125" i="2"/>
  <c r="GP125" i="2"/>
  <c r="LZ113" i="2"/>
  <c r="LZ112" i="2" s="1"/>
  <c r="LZ116" i="2" s="1"/>
  <c r="GI87" i="2"/>
  <c r="BC111" i="2"/>
  <c r="GH81" i="2"/>
  <c r="AU23" i="2"/>
  <c r="GD4" i="2"/>
  <c r="GD41" i="2" s="1"/>
  <c r="GC34" i="2"/>
  <c r="GC40" i="2"/>
  <c r="GC32" i="2"/>
  <c r="GC27" i="2"/>
  <c r="GM142" i="2" l="1"/>
  <c r="GN114" i="2"/>
  <c r="LY127" i="2"/>
  <c r="LY129" i="2"/>
  <c r="GM136" i="2"/>
  <c r="GN117" i="2"/>
  <c r="LZ119" i="2"/>
  <c r="LY144" i="2"/>
  <c r="GN119" i="2"/>
  <c r="LY137" i="2"/>
  <c r="LZ117" i="2"/>
  <c r="GM138" i="2"/>
  <c r="GN115" i="2"/>
  <c r="GM141" i="2"/>
  <c r="LY126" i="2"/>
  <c r="GM150" i="2"/>
  <c r="LZ114" i="2"/>
  <c r="LY141" i="2"/>
  <c r="LY140" i="2"/>
  <c r="LZ118" i="2"/>
  <c r="LY136" i="2"/>
  <c r="GM137" i="2"/>
  <c r="GM129" i="2"/>
  <c r="GM139" i="2"/>
  <c r="GN116" i="2"/>
  <c r="GM127" i="2"/>
  <c r="GM128" i="2"/>
  <c r="GM140" i="2"/>
  <c r="GM144" i="2"/>
  <c r="GN144" i="2" s="1"/>
  <c r="LY128" i="2"/>
  <c r="LY139" i="2"/>
  <c r="GM126" i="2"/>
  <c r="LZ115" i="2"/>
  <c r="GG2" i="2"/>
  <c r="GF199" i="2"/>
  <c r="GF193" i="2" s="1"/>
  <c r="BC110" i="2"/>
  <c r="BC107" i="2"/>
  <c r="SC113" i="2"/>
  <c r="SB112" i="2"/>
  <c r="GD26" i="2"/>
  <c r="GD33" i="2"/>
  <c r="LY150" i="2"/>
  <c r="GN134" i="2"/>
  <c r="GN124" i="2"/>
  <c r="GP113" i="2"/>
  <c r="GO112" i="2"/>
  <c r="GO118" i="2" s="1"/>
  <c r="LZ124" i="2"/>
  <c r="LZ138" i="2" s="1"/>
  <c r="LZ134" i="2"/>
  <c r="GD48" i="2"/>
  <c r="GD23" i="2"/>
  <c r="LO4" i="2"/>
  <c r="MA135" i="2"/>
  <c r="GS135" i="2"/>
  <c r="MB125" i="2"/>
  <c r="GQ125" i="2"/>
  <c r="MA113" i="2"/>
  <c r="MA112" i="2" s="1"/>
  <c r="MA116" i="2" s="1"/>
  <c r="GJ87" i="2"/>
  <c r="BD111" i="2"/>
  <c r="GI81" i="2"/>
  <c r="GD40" i="2"/>
  <c r="GD34" i="2"/>
  <c r="GD27" i="2"/>
  <c r="GD32" i="2"/>
  <c r="AV23" i="2"/>
  <c r="GE4" i="2"/>
  <c r="GE41" i="2" s="1"/>
  <c r="GN142" i="2" l="1"/>
  <c r="GN126" i="2"/>
  <c r="GN127" i="2"/>
  <c r="GN137" i="2"/>
  <c r="GO116" i="2"/>
  <c r="LZ142" i="2"/>
  <c r="GO119" i="2"/>
  <c r="MA117" i="2"/>
  <c r="MA115" i="2"/>
  <c r="LZ140" i="2"/>
  <c r="GO117" i="2"/>
  <c r="LZ137" i="2"/>
  <c r="LZ141" i="2"/>
  <c r="LZ144" i="2"/>
  <c r="LZ139" i="2"/>
  <c r="GN139" i="2"/>
  <c r="MA114" i="2"/>
  <c r="GO115" i="2"/>
  <c r="GO114" i="2"/>
  <c r="LZ128" i="2"/>
  <c r="GN129" i="2"/>
  <c r="LZ129" i="2"/>
  <c r="LZ127" i="2"/>
  <c r="GN150" i="2"/>
  <c r="GN138" i="2"/>
  <c r="GN140" i="2"/>
  <c r="LZ136" i="2"/>
  <c r="LZ126" i="2"/>
  <c r="GN136" i="2"/>
  <c r="GN128" i="2"/>
  <c r="MA118" i="2"/>
  <c r="GN141" i="2"/>
  <c r="MA119" i="2"/>
  <c r="BD110" i="2"/>
  <c r="BD107" i="2" s="1"/>
  <c r="GH2" i="2"/>
  <c r="GG199" i="2"/>
  <c r="GG193" i="2" s="1"/>
  <c r="SC112" i="2"/>
  <c r="SD113" i="2"/>
  <c r="GE26" i="2"/>
  <c r="GE33" i="2"/>
  <c r="GQ113" i="2"/>
  <c r="GP112" i="2"/>
  <c r="GP118" i="2" s="1"/>
  <c r="MA124" i="2"/>
  <c r="MA138" i="2" s="1"/>
  <c r="MA134" i="2"/>
  <c r="GO134" i="2"/>
  <c r="GO124" i="2"/>
  <c r="LZ150" i="2"/>
  <c r="GE48" i="2"/>
  <c r="MB135" i="2"/>
  <c r="GE23" i="2"/>
  <c r="LP4" i="2"/>
  <c r="GT135" i="2"/>
  <c r="MC125" i="2"/>
  <c r="GR125" i="2"/>
  <c r="MB113" i="2"/>
  <c r="MB112" i="2" s="1"/>
  <c r="MB116" i="2" s="1"/>
  <c r="GK87" i="2"/>
  <c r="BE111" i="2"/>
  <c r="GJ81" i="2"/>
  <c r="GE40" i="2"/>
  <c r="GE34" i="2"/>
  <c r="GE32" i="2"/>
  <c r="GE27" i="2"/>
  <c r="AW23" i="2"/>
  <c r="GF4" i="2"/>
  <c r="GF41" i="2" s="1"/>
  <c r="GO142" i="2" l="1"/>
  <c r="MA150" i="2"/>
  <c r="GO136" i="2"/>
  <c r="GO128" i="2"/>
  <c r="GO140" i="2"/>
  <c r="GO138" i="2"/>
  <c r="MA128" i="2"/>
  <c r="GP114" i="2"/>
  <c r="GO144" i="2"/>
  <c r="MB119" i="2"/>
  <c r="GO141" i="2"/>
  <c r="MA141" i="2"/>
  <c r="MB117" i="2"/>
  <c r="GP119" i="2"/>
  <c r="GP115" i="2"/>
  <c r="GO126" i="2"/>
  <c r="MA142" i="2"/>
  <c r="MB118" i="2"/>
  <c r="GO150" i="2"/>
  <c r="MB114" i="2"/>
  <c r="MA137" i="2"/>
  <c r="GO127" i="2"/>
  <c r="GO137" i="2"/>
  <c r="GO139" i="2"/>
  <c r="GP117" i="2"/>
  <c r="MA127" i="2"/>
  <c r="MA139" i="2"/>
  <c r="MA140" i="2"/>
  <c r="MA126" i="2"/>
  <c r="MA129" i="2"/>
  <c r="GP116" i="2"/>
  <c r="MA136" i="2"/>
  <c r="GO129" i="2"/>
  <c r="MA144" i="2"/>
  <c r="MB115" i="2"/>
  <c r="BE110" i="2"/>
  <c r="BE107" i="2" s="1"/>
  <c r="GI2" i="2"/>
  <c r="GH199" i="2"/>
  <c r="GH193" i="2" s="1"/>
  <c r="SD112" i="2"/>
  <c r="SE113" i="2"/>
  <c r="GF26" i="2"/>
  <c r="GF33" i="2"/>
  <c r="GP134" i="2"/>
  <c r="GP124" i="2"/>
  <c r="GR113" i="2"/>
  <c r="GQ112" i="2"/>
  <c r="GQ118" i="2" s="1"/>
  <c r="MB134" i="2"/>
  <c r="MB124" i="2"/>
  <c r="MB138" i="2" s="1"/>
  <c r="GF48" i="2"/>
  <c r="MC135" i="2"/>
  <c r="GF23" i="2"/>
  <c r="LQ4" i="2"/>
  <c r="GU135" i="2"/>
  <c r="MD125" i="2"/>
  <c r="GS125" i="2"/>
  <c r="MC113" i="2"/>
  <c r="MC112" i="2" s="1"/>
  <c r="GL87" i="2"/>
  <c r="BF111" i="2"/>
  <c r="GK81" i="2"/>
  <c r="GF34" i="2"/>
  <c r="GF40" i="2"/>
  <c r="GF32" i="2"/>
  <c r="GF27" i="2"/>
  <c r="AX23" i="2"/>
  <c r="GG4" i="2"/>
  <c r="GG41" i="2" s="1"/>
  <c r="GP144" i="2" l="1"/>
  <c r="MC119" i="2"/>
  <c r="GP138" i="2"/>
  <c r="MB126" i="2"/>
  <c r="GP128" i="2"/>
  <c r="MB140" i="2"/>
  <c r="GP127" i="2"/>
  <c r="MC115" i="2"/>
  <c r="GP129" i="2"/>
  <c r="GQ115" i="2"/>
  <c r="MC117" i="2"/>
  <c r="MB141" i="2"/>
  <c r="MB144" i="2"/>
  <c r="MB139" i="2"/>
  <c r="MB137" i="2"/>
  <c r="MC137" i="2" s="1"/>
  <c r="GP141" i="2"/>
  <c r="MB128" i="2"/>
  <c r="MB127" i="2"/>
  <c r="MC114" i="2"/>
  <c r="GQ119" i="2"/>
  <c r="GP140" i="2"/>
  <c r="MB136" i="2"/>
  <c r="GP136" i="2"/>
  <c r="GP150" i="2"/>
  <c r="GQ116" i="2"/>
  <c r="GQ117" i="2"/>
  <c r="MC118" i="2"/>
  <c r="GQ114" i="2"/>
  <c r="GP142" i="2"/>
  <c r="GP139" i="2"/>
  <c r="MB142" i="2"/>
  <c r="MC116" i="2"/>
  <c r="MB129" i="2"/>
  <c r="GP137" i="2"/>
  <c r="GP126" i="2"/>
  <c r="BF110" i="2"/>
  <c r="BF107" i="2" s="1"/>
  <c r="GJ2" i="2"/>
  <c r="GI199" i="2"/>
  <c r="GI193" i="2" s="1"/>
  <c r="SF113" i="2"/>
  <c r="SE112" i="2"/>
  <c r="GG26" i="2"/>
  <c r="GG33" i="2"/>
  <c r="MB150" i="2"/>
  <c r="MC134" i="2"/>
  <c r="MC124" i="2"/>
  <c r="MC138" i="2" s="1"/>
  <c r="GQ134" i="2"/>
  <c r="GQ124" i="2"/>
  <c r="GS113" i="2"/>
  <c r="GR112" i="2"/>
  <c r="GR118" i="2" s="1"/>
  <c r="GG48" i="2"/>
  <c r="MD135" i="2"/>
  <c r="GG23" i="2"/>
  <c r="LR4" i="2"/>
  <c r="GV135" i="2"/>
  <c r="ME125" i="2"/>
  <c r="GT125" i="2"/>
  <c r="MD113" i="2"/>
  <c r="MD112" i="2" s="1"/>
  <c r="MD119" i="2" s="1"/>
  <c r="GM87" i="2"/>
  <c r="BG111" i="2"/>
  <c r="GL81" i="2"/>
  <c r="GG40" i="2"/>
  <c r="GG34" i="2"/>
  <c r="GG32" i="2"/>
  <c r="GG27" i="2"/>
  <c r="AY23" i="2"/>
  <c r="GH4" i="2"/>
  <c r="GH41" i="2" s="1"/>
  <c r="MC142" i="2" l="1"/>
  <c r="MC129" i="2"/>
  <c r="MC127" i="2"/>
  <c r="GQ142" i="2"/>
  <c r="GR114" i="2"/>
  <c r="MC136" i="2"/>
  <c r="GQ140" i="2"/>
  <c r="GQ126" i="2"/>
  <c r="GQ141" i="2"/>
  <c r="MD117" i="2"/>
  <c r="GR115" i="2"/>
  <c r="GQ137" i="2"/>
  <c r="MD118" i="2"/>
  <c r="GR119" i="2"/>
  <c r="MC139" i="2"/>
  <c r="GQ128" i="2"/>
  <c r="GR117" i="2"/>
  <c r="MD114" i="2"/>
  <c r="MC144" i="2"/>
  <c r="MC126" i="2"/>
  <c r="GR116" i="2"/>
  <c r="MC141" i="2"/>
  <c r="GQ144" i="2"/>
  <c r="MD116" i="2"/>
  <c r="GQ129" i="2"/>
  <c r="GQ138" i="2"/>
  <c r="GQ139" i="2"/>
  <c r="GQ150" i="2"/>
  <c r="MD115" i="2"/>
  <c r="GQ127" i="2"/>
  <c r="GQ136" i="2"/>
  <c r="MC128" i="2"/>
  <c r="MC140" i="2"/>
  <c r="BG110" i="2"/>
  <c r="BG107" i="2" s="1"/>
  <c r="GK2" i="2"/>
  <c r="GJ199" i="2"/>
  <c r="GJ193" i="2" s="1"/>
  <c r="SF112" i="2"/>
  <c r="SG113" i="2"/>
  <c r="MC150" i="2"/>
  <c r="GH26" i="2"/>
  <c r="GH33" i="2"/>
  <c r="GR124" i="2"/>
  <c r="GR134" i="2"/>
  <c r="MD134" i="2"/>
  <c r="MD124" i="2"/>
  <c r="GT113" i="2"/>
  <c r="GS112" i="2"/>
  <c r="GH48" i="2"/>
  <c r="GH23" i="2"/>
  <c r="LS4" i="2"/>
  <c r="ME135" i="2"/>
  <c r="GW135" i="2"/>
  <c r="MF125" i="2"/>
  <c r="GU125" i="2"/>
  <c r="ME113" i="2"/>
  <c r="ME112" i="2" s="1"/>
  <c r="ME119" i="2" s="1"/>
  <c r="GN87" i="2"/>
  <c r="BH111" i="2"/>
  <c r="GM81" i="2"/>
  <c r="GH40" i="2"/>
  <c r="GH34" i="2"/>
  <c r="GH32" i="2"/>
  <c r="GH27" i="2"/>
  <c r="AZ23" i="2"/>
  <c r="GI4" i="2"/>
  <c r="GI41" i="2" s="1"/>
  <c r="GR126" i="2" l="1"/>
  <c r="MD129" i="2"/>
  <c r="GS114" i="2"/>
  <c r="GR136" i="2"/>
  <c r="GR127" i="2"/>
  <c r="GR138" i="2"/>
  <c r="MD140" i="2"/>
  <c r="GR139" i="2"/>
  <c r="MD128" i="2"/>
  <c r="GR129" i="2"/>
  <c r="GR141" i="2"/>
  <c r="MD127" i="2"/>
  <c r="MD139" i="2"/>
  <c r="ME117" i="2"/>
  <c r="GS116" i="2"/>
  <c r="GS119" i="2"/>
  <c r="MD126" i="2"/>
  <c r="ME118" i="2"/>
  <c r="MD136" i="2"/>
  <c r="MD144" i="2"/>
  <c r="GR137" i="2"/>
  <c r="GR142" i="2"/>
  <c r="MD142" i="2"/>
  <c r="ME114" i="2"/>
  <c r="GS115" i="2"/>
  <c r="GS118" i="2"/>
  <c r="ME116" i="2"/>
  <c r="GS117" i="2"/>
  <c r="MD137" i="2"/>
  <c r="MD138" i="2"/>
  <c r="ME115" i="2"/>
  <c r="GR144" i="2"/>
  <c r="GR140" i="2"/>
  <c r="GR150" i="2"/>
  <c r="MD141" i="2"/>
  <c r="GR128" i="2"/>
  <c r="BH110" i="2"/>
  <c r="BH107" i="2" s="1"/>
  <c r="GL2" i="2"/>
  <c r="GK199" i="2"/>
  <c r="GK193" i="2" s="1"/>
  <c r="SH113" i="2"/>
  <c r="SG112" i="2"/>
  <c r="GI26" i="2"/>
  <c r="GI33" i="2"/>
  <c r="GS124" i="2"/>
  <c r="GS134" i="2"/>
  <c r="MD150" i="2"/>
  <c r="GU113" i="2"/>
  <c r="GT112" i="2"/>
  <c r="ME134" i="2"/>
  <c r="ME124" i="2"/>
  <c r="ME129" i="2" s="1"/>
  <c r="GI48" i="2"/>
  <c r="MF135" i="2"/>
  <c r="GI23" i="2"/>
  <c r="LT4" i="2"/>
  <c r="GX135" i="2"/>
  <c r="MG125" i="2"/>
  <c r="GV125" i="2"/>
  <c r="MF113" i="2"/>
  <c r="MF112" i="2" s="1"/>
  <c r="MF119" i="2" s="1"/>
  <c r="GO87" i="2"/>
  <c r="BI111" i="2"/>
  <c r="GN81" i="2"/>
  <c r="GI34" i="2"/>
  <c r="GI40" i="2"/>
  <c r="GI32" i="2"/>
  <c r="GI27" i="2"/>
  <c r="BA23" i="2"/>
  <c r="GJ4" i="2"/>
  <c r="GJ41" i="2" s="1"/>
  <c r="GS138" i="2" l="1"/>
  <c r="GT114" i="2"/>
  <c r="GS128" i="2"/>
  <c r="ME137" i="2"/>
  <c r="GS126" i="2"/>
  <c r="MF118" i="2"/>
  <c r="MF117" i="2"/>
  <c r="GT117" i="2"/>
  <c r="ME140" i="2"/>
  <c r="ME126" i="2"/>
  <c r="ME139" i="2"/>
  <c r="ME141" i="2"/>
  <c r="MF116" i="2"/>
  <c r="GS142" i="2"/>
  <c r="GS129" i="2"/>
  <c r="ME127" i="2"/>
  <c r="GS150" i="2"/>
  <c r="GS127" i="2"/>
  <c r="GS137" i="2"/>
  <c r="ME128" i="2"/>
  <c r="GS139" i="2"/>
  <c r="GS140" i="2"/>
  <c r="GT118" i="2"/>
  <c r="ME144" i="2"/>
  <c r="GS141" i="2"/>
  <c r="GS144" i="2"/>
  <c r="GT115" i="2"/>
  <c r="GT119" i="2"/>
  <c r="MF115" i="2"/>
  <c r="MF114" i="2"/>
  <c r="GS136" i="2"/>
  <c r="GT116" i="2"/>
  <c r="ME138" i="2"/>
  <c r="ME142" i="2"/>
  <c r="ME136" i="2"/>
  <c r="BI110" i="2"/>
  <c r="BI107" i="2" s="1"/>
  <c r="GM2" i="2"/>
  <c r="GL199" i="2"/>
  <c r="GL193" i="2" s="1"/>
  <c r="SI113" i="2"/>
  <c r="SH112" i="2"/>
  <c r="GJ26" i="2"/>
  <c r="GJ33" i="2"/>
  <c r="ME150" i="2"/>
  <c r="GT124" i="2"/>
  <c r="GT134" i="2"/>
  <c r="MF124" i="2"/>
  <c r="MF129" i="2" s="1"/>
  <c r="MF134" i="2"/>
  <c r="GV113" i="2"/>
  <c r="GU112" i="2"/>
  <c r="GJ48" i="2"/>
  <c r="MG135" i="2"/>
  <c r="GJ23" i="2"/>
  <c r="LU4" i="2"/>
  <c r="GY135" i="2"/>
  <c r="MH125" i="2"/>
  <c r="GW125" i="2"/>
  <c r="MG113" i="2"/>
  <c r="MG112" i="2" s="1"/>
  <c r="MG119" i="2" s="1"/>
  <c r="GP87" i="2"/>
  <c r="BJ111" i="2"/>
  <c r="GO81" i="2"/>
  <c r="GJ40" i="2"/>
  <c r="GJ34" i="2"/>
  <c r="GJ32" i="2"/>
  <c r="GJ27" i="2"/>
  <c r="BB23" i="2"/>
  <c r="GK4" i="2"/>
  <c r="GK41" i="2" s="1"/>
  <c r="GU114" i="2" l="1"/>
  <c r="GT128" i="2"/>
  <c r="MF138" i="2"/>
  <c r="GT137" i="2"/>
  <c r="GT127" i="2"/>
  <c r="GT136" i="2"/>
  <c r="GT142" i="2"/>
  <c r="GT144" i="2"/>
  <c r="GT141" i="2"/>
  <c r="GT140" i="2"/>
  <c r="MF136" i="2"/>
  <c r="GT139" i="2"/>
  <c r="MF142" i="2"/>
  <c r="MG117" i="2"/>
  <c r="GU119" i="2"/>
  <c r="MG116" i="2"/>
  <c r="MG118" i="2"/>
  <c r="MF128" i="2"/>
  <c r="MF141" i="2"/>
  <c r="GT126" i="2"/>
  <c r="GU115" i="2"/>
  <c r="MF139" i="2"/>
  <c r="MF137" i="2"/>
  <c r="GU116" i="2"/>
  <c r="MF126" i="2"/>
  <c r="GT138" i="2"/>
  <c r="GT150" i="2"/>
  <c r="MF140" i="2"/>
  <c r="MG114" i="2"/>
  <c r="MF144" i="2"/>
  <c r="MF127" i="2"/>
  <c r="GU117" i="2"/>
  <c r="MG115" i="2"/>
  <c r="GU118" i="2"/>
  <c r="GT129" i="2"/>
  <c r="BJ110" i="2"/>
  <c r="BJ107" i="2" s="1"/>
  <c r="GN2" i="2"/>
  <c r="GM199" i="2"/>
  <c r="GM193" i="2" s="1"/>
  <c r="SI112" i="2"/>
  <c r="SJ113" i="2"/>
  <c r="GK33" i="2"/>
  <c r="GK26" i="2"/>
  <c r="MG124" i="2"/>
  <c r="MG136" i="2" s="1"/>
  <c r="MG134" i="2"/>
  <c r="GU124" i="2"/>
  <c r="GU134" i="2"/>
  <c r="MF150" i="2"/>
  <c r="GW113" i="2"/>
  <c r="GV112" i="2"/>
  <c r="GV114" i="2" s="1"/>
  <c r="GK48" i="2"/>
  <c r="MH135" i="2"/>
  <c r="GK23" i="2"/>
  <c r="LV4" i="2"/>
  <c r="GZ135" i="2"/>
  <c r="MI125" i="2"/>
  <c r="GX125" i="2"/>
  <c r="MH113" i="2"/>
  <c r="MH112" i="2" s="1"/>
  <c r="MH119" i="2" s="1"/>
  <c r="GQ87" i="2"/>
  <c r="BK111" i="2"/>
  <c r="GP81" i="2"/>
  <c r="GK40" i="2"/>
  <c r="GK34" i="2"/>
  <c r="GK32" i="2"/>
  <c r="GK27" i="2"/>
  <c r="BC23" i="2"/>
  <c r="GL4" i="2"/>
  <c r="GL41" i="2" s="1"/>
  <c r="GU144" i="2" l="1"/>
  <c r="GU129" i="2"/>
  <c r="GU136" i="2"/>
  <c r="GU138" i="2"/>
  <c r="GV116" i="2"/>
  <c r="MG128" i="2"/>
  <c r="MH117" i="2"/>
  <c r="MG140" i="2"/>
  <c r="MG137" i="2"/>
  <c r="GU142" i="2"/>
  <c r="GV118" i="2"/>
  <c r="GU150" i="2"/>
  <c r="MG139" i="2"/>
  <c r="MG142" i="2"/>
  <c r="GU140" i="2"/>
  <c r="MH115" i="2"/>
  <c r="GU141" i="2"/>
  <c r="GU137" i="2"/>
  <c r="MH118" i="2"/>
  <c r="GV115" i="2"/>
  <c r="MH116" i="2"/>
  <c r="MG129" i="2"/>
  <c r="MG127" i="2"/>
  <c r="MG126" i="2"/>
  <c r="MG138" i="2"/>
  <c r="GU139" i="2"/>
  <c r="GU128" i="2"/>
  <c r="GV117" i="2"/>
  <c r="MG144" i="2"/>
  <c r="GU127" i="2"/>
  <c r="GU126" i="2"/>
  <c r="GV119" i="2"/>
  <c r="MH114" i="2"/>
  <c r="MG141" i="2"/>
  <c r="BK110" i="2"/>
  <c r="BK107" i="2" s="1"/>
  <c r="GO2" i="2"/>
  <c r="GN199" i="2"/>
  <c r="GN193" i="2" s="1"/>
  <c r="SK113" i="2"/>
  <c r="SJ112" i="2"/>
  <c r="MG150" i="2"/>
  <c r="GL33" i="2"/>
  <c r="GL26" i="2"/>
  <c r="MH124" i="2"/>
  <c r="MH136" i="2" s="1"/>
  <c r="MH134" i="2"/>
  <c r="GX113" i="2"/>
  <c r="GW112" i="2"/>
  <c r="GW114" i="2" s="1"/>
  <c r="GV134" i="2"/>
  <c r="GV124" i="2"/>
  <c r="GV129" i="2" s="1"/>
  <c r="GL48" i="2"/>
  <c r="MI135" i="2"/>
  <c r="GL23" i="2"/>
  <c r="LW4" i="2"/>
  <c r="HA135" i="2"/>
  <c r="MJ125" i="2"/>
  <c r="GY125" i="2"/>
  <c r="MI113" i="2"/>
  <c r="MI112" i="2" s="1"/>
  <c r="MI119" i="2" s="1"/>
  <c r="GR87" i="2"/>
  <c r="BL111" i="2"/>
  <c r="GQ81" i="2"/>
  <c r="GL34" i="2"/>
  <c r="GL40" i="2"/>
  <c r="GL32" i="2"/>
  <c r="GL27" i="2"/>
  <c r="BD23" i="2"/>
  <c r="GM4" i="2"/>
  <c r="GM41" i="2" s="1"/>
  <c r="MH144" i="2" l="1"/>
  <c r="MH139" i="2"/>
  <c r="MH138" i="2"/>
  <c r="MH127" i="2"/>
  <c r="MH129" i="2"/>
  <c r="MH141" i="2"/>
  <c r="GV128" i="2"/>
  <c r="GV138" i="2"/>
  <c r="MI117" i="2"/>
  <c r="GV139" i="2"/>
  <c r="GV150" i="2"/>
  <c r="MH128" i="2"/>
  <c r="MI114" i="2"/>
  <c r="MI118" i="2"/>
  <c r="GW118" i="2"/>
  <c r="GW116" i="2"/>
  <c r="GW119" i="2"/>
  <c r="MH126" i="2"/>
  <c r="GV137" i="2"/>
  <c r="GV142" i="2"/>
  <c r="GV136" i="2"/>
  <c r="GV126" i="2"/>
  <c r="GV141" i="2"/>
  <c r="GV144" i="2"/>
  <c r="GV127" i="2"/>
  <c r="MI115" i="2"/>
  <c r="MH137" i="2"/>
  <c r="MI116" i="2"/>
  <c r="GV140" i="2"/>
  <c r="MH140" i="2"/>
  <c r="GW117" i="2"/>
  <c r="GW115" i="2"/>
  <c r="MH142" i="2"/>
  <c r="BL110" i="2"/>
  <c r="BL107" i="2" s="1"/>
  <c r="GP2" i="2"/>
  <c r="GO199" i="2"/>
  <c r="GO193" i="2" s="1"/>
  <c r="MH150" i="2"/>
  <c r="SK112" i="2"/>
  <c r="SL113" i="2"/>
  <c r="GM26" i="2"/>
  <c r="GM33" i="2"/>
  <c r="MI124" i="2"/>
  <c r="MI141" i="2" s="1"/>
  <c r="MI134" i="2"/>
  <c r="GY113" i="2"/>
  <c r="GX112" i="2"/>
  <c r="GX114" i="2" s="1"/>
  <c r="GW134" i="2"/>
  <c r="GW124" i="2"/>
  <c r="GW129" i="2" s="1"/>
  <c r="GM48" i="2"/>
  <c r="MJ135" i="2"/>
  <c r="GM23" i="2"/>
  <c r="LX4" i="2"/>
  <c r="HB135" i="2"/>
  <c r="MK125" i="2"/>
  <c r="GZ125" i="2"/>
  <c r="MJ113" i="2"/>
  <c r="MJ112" i="2" s="1"/>
  <c r="MJ119" i="2" s="1"/>
  <c r="GS87" i="2"/>
  <c r="BM111" i="2"/>
  <c r="GR81" i="2"/>
  <c r="GM34" i="2"/>
  <c r="GM32" i="2"/>
  <c r="GM40" i="2"/>
  <c r="GM27" i="2"/>
  <c r="BE23" i="2"/>
  <c r="GN4" i="2"/>
  <c r="GN41" i="2" s="1"/>
  <c r="MI137" i="2" l="1"/>
  <c r="MI138" i="2"/>
  <c r="MI129" i="2"/>
  <c r="MI128" i="2"/>
  <c r="MI139" i="2"/>
  <c r="MI142" i="2"/>
  <c r="MI126" i="2"/>
  <c r="MI140" i="2"/>
  <c r="GW126" i="2"/>
  <c r="MJ118" i="2"/>
  <c r="MJ117" i="2"/>
  <c r="MJ115" i="2"/>
  <c r="GW136" i="2"/>
  <c r="GX115" i="2"/>
  <c r="GW142" i="2"/>
  <c r="MJ114" i="2"/>
  <c r="GW138" i="2"/>
  <c r="GX117" i="2"/>
  <c r="GW127" i="2"/>
  <c r="GW137" i="2"/>
  <c r="GW128" i="2"/>
  <c r="GW144" i="2"/>
  <c r="GW150" i="2"/>
  <c r="MI136" i="2"/>
  <c r="GX119" i="2"/>
  <c r="GW141" i="2"/>
  <c r="GX116" i="2"/>
  <c r="GW139" i="2"/>
  <c r="GW140" i="2"/>
  <c r="MJ116" i="2"/>
  <c r="MI144" i="2"/>
  <c r="MI127" i="2"/>
  <c r="GX118" i="2"/>
  <c r="GQ2" i="2"/>
  <c r="GP199" i="2"/>
  <c r="GP193" i="2" s="1"/>
  <c r="BM110" i="2"/>
  <c r="BM107" i="2"/>
  <c r="SL112" i="2"/>
  <c r="SM113" i="2"/>
  <c r="GN26" i="2"/>
  <c r="GN33" i="2"/>
  <c r="MI150" i="2"/>
  <c r="MJ134" i="2"/>
  <c r="MJ124" i="2"/>
  <c r="MJ141" i="2" s="1"/>
  <c r="GX134" i="2"/>
  <c r="GX124" i="2"/>
  <c r="GX129" i="2" s="1"/>
  <c r="GZ113" i="2"/>
  <c r="GY112" i="2"/>
  <c r="GY114" i="2" s="1"/>
  <c r="GN48" i="2"/>
  <c r="MK135" i="2"/>
  <c r="GN23" i="2"/>
  <c r="LY4" i="2"/>
  <c r="HC135" i="2"/>
  <c r="ML125" i="2"/>
  <c r="HA125" i="2"/>
  <c r="MK113" i="2"/>
  <c r="MK112" i="2" s="1"/>
  <c r="MK119" i="2" s="1"/>
  <c r="GT87" i="2"/>
  <c r="BN111" i="2"/>
  <c r="GS81" i="2"/>
  <c r="GN40" i="2"/>
  <c r="GN34" i="2"/>
  <c r="GN32" i="2"/>
  <c r="GN27" i="2"/>
  <c r="BF23" i="2"/>
  <c r="GO4" i="2"/>
  <c r="GO41" i="2" s="1"/>
  <c r="GY118" i="2" l="1"/>
  <c r="MJ129" i="2"/>
  <c r="MJ136" i="2"/>
  <c r="MJ140" i="2"/>
  <c r="MJ127" i="2"/>
  <c r="GX141" i="2"/>
  <c r="GX142" i="2"/>
  <c r="MK117" i="2"/>
  <c r="GX128" i="2"/>
  <c r="MK118" i="2"/>
  <c r="GY119" i="2"/>
  <c r="MJ128" i="2"/>
  <c r="GY115" i="2"/>
  <c r="GX126" i="2"/>
  <c r="MJ144" i="2"/>
  <c r="GX137" i="2"/>
  <c r="MJ139" i="2"/>
  <c r="MJ137" i="2"/>
  <c r="MK116" i="2"/>
  <c r="GX127" i="2"/>
  <c r="MJ138" i="2"/>
  <c r="GX140" i="2"/>
  <c r="GX150" i="2"/>
  <c r="GY117" i="2"/>
  <c r="GX136" i="2"/>
  <c r="GX139" i="2"/>
  <c r="MJ126" i="2"/>
  <c r="GX138" i="2"/>
  <c r="MK115" i="2"/>
  <c r="GY116" i="2"/>
  <c r="GX144" i="2"/>
  <c r="MK114" i="2"/>
  <c r="MJ142" i="2"/>
  <c r="BN110" i="2"/>
  <c r="BN107" i="2" s="1"/>
  <c r="GR2" i="2"/>
  <c r="GQ199" i="2"/>
  <c r="GQ193" i="2" s="1"/>
  <c r="SN113" i="2"/>
  <c r="SM112" i="2"/>
  <c r="GO26" i="2"/>
  <c r="GO33" i="2"/>
  <c r="MK134" i="2"/>
  <c r="MK124" i="2"/>
  <c r="MK141" i="2" s="1"/>
  <c r="GY134" i="2"/>
  <c r="GY124" i="2"/>
  <c r="MJ150" i="2"/>
  <c r="HA113" i="2"/>
  <c r="GZ112" i="2"/>
  <c r="GZ114" i="2" s="1"/>
  <c r="GO48" i="2"/>
  <c r="ML135" i="2"/>
  <c r="GO23" i="2"/>
  <c r="LZ4" i="2"/>
  <c r="HD135" i="2"/>
  <c r="MM125" i="2"/>
  <c r="HB125" i="2"/>
  <c r="ML113" i="2"/>
  <c r="ML112" i="2" s="1"/>
  <c r="ML119" i="2" s="1"/>
  <c r="GU87" i="2"/>
  <c r="BO111" i="2"/>
  <c r="GT81" i="2"/>
  <c r="GO40" i="2"/>
  <c r="GO32" i="2"/>
  <c r="GO34" i="2"/>
  <c r="GO27" i="2"/>
  <c r="BG23" i="2"/>
  <c r="GP4" i="2"/>
  <c r="GP41" i="2" s="1"/>
  <c r="MK128" i="2" l="1"/>
  <c r="GZ119" i="2"/>
  <c r="GY136" i="2"/>
  <c r="GY139" i="2"/>
  <c r="MK138" i="2"/>
  <c r="MK137" i="2"/>
  <c r="MK142" i="2"/>
  <c r="GZ117" i="2"/>
  <c r="ML116" i="2"/>
  <c r="GZ115" i="2"/>
  <c r="ML117" i="2"/>
  <c r="GZ118" i="2"/>
  <c r="GY142" i="2"/>
  <c r="MK140" i="2"/>
  <c r="GY144" i="2"/>
  <c r="GY150" i="2"/>
  <c r="MK139" i="2"/>
  <c r="MK127" i="2"/>
  <c r="GY141" i="2"/>
  <c r="GZ116" i="2"/>
  <c r="GY140" i="2"/>
  <c r="GY137" i="2"/>
  <c r="ML118" i="2"/>
  <c r="GY129" i="2"/>
  <c r="ML114" i="2"/>
  <c r="ML115" i="2"/>
  <c r="MK129" i="2"/>
  <c r="GY127" i="2"/>
  <c r="MK144" i="2"/>
  <c r="GY128" i="2"/>
  <c r="GY138" i="2"/>
  <c r="MK126" i="2"/>
  <c r="MK136" i="2"/>
  <c r="GY126" i="2"/>
  <c r="GS2" i="2"/>
  <c r="GR199" i="2"/>
  <c r="GR193" i="2" s="1"/>
  <c r="BO110" i="2"/>
  <c r="BO107" i="2"/>
  <c r="SN112" i="2"/>
  <c r="SO113" i="2"/>
  <c r="GP33" i="2"/>
  <c r="GP26" i="2"/>
  <c r="HB113" i="2"/>
  <c r="HA112" i="2"/>
  <c r="HA114" i="2" s="1"/>
  <c r="GZ134" i="2"/>
  <c r="GZ124" i="2"/>
  <c r="ML134" i="2"/>
  <c r="ML124" i="2"/>
  <c r="ML141" i="2" s="1"/>
  <c r="MK150" i="2"/>
  <c r="GP48" i="2"/>
  <c r="MM135" i="2"/>
  <c r="GP23" i="2"/>
  <c r="MA4" i="2"/>
  <c r="HE135" i="2"/>
  <c r="MN125" i="2"/>
  <c r="HC125" i="2"/>
  <c r="MM113" i="2"/>
  <c r="MM112" i="2" s="1"/>
  <c r="MM119" i="2" s="1"/>
  <c r="GV87" i="2"/>
  <c r="BP111" i="2"/>
  <c r="GU81" i="2"/>
  <c r="GP34" i="2"/>
  <c r="GP40" i="2"/>
  <c r="GP32" i="2"/>
  <c r="GP27" i="2"/>
  <c r="BH23" i="2"/>
  <c r="GQ4" i="2"/>
  <c r="GQ41" i="2" s="1"/>
  <c r="ML129" i="2" l="1"/>
  <c r="ML136" i="2"/>
  <c r="HA119" i="2"/>
  <c r="GZ137" i="2"/>
  <c r="GZ140" i="2"/>
  <c r="HA116" i="2"/>
  <c r="GZ126" i="2"/>
  <c r="ML140" i="2"/>
  <c r="HA115" i="2"/>
  <c r="MM116" i="2"/>
  <c r="ML138" i="2"/>
  <c r="GZ142" i="2"/>
  <c r="GZ139" i="2"/>
  <c r="ML126" i="2"/>
  <c r="MM115" i="2"/>
  <c r="GZ141" i="2"/>
  <c r="ML128" i="2"/>
  <c r="HA117" i="2"/>
  <c r="GZ138" i="2"/>
  <c r="ML137" i="2"/>
  <c r="ML127" i="2"/>
  <c r="HA118" i="2"/>
  <c r="GZ128" i="2"/>
  <c r="MM114" i="2"/>
  <c r="ML139" i="2"/>
  <c r="GZ136" i="2"/>
  <c r="ML144" i="2"/>
  <c r="GZ129" i="2"/>
  <c r="GZ150" i="2"/>
  <c r="ML142" i="2"/>
  <c r="GZ127" i="2"/>
  <c r="MM118" i="2"/>
  <c r="GZ144" i="2"/>
  <c r="MM117" i="2"/>
  <c r="BP110" i="2"/>
  <c r="BP107" i="2" s="1"/>
  <c r="GT2" i="2"/>
  <c r="GS199" i="2"/>
  <c r="GS193" i="2" s="1"/>
  <c r="SP113" i="2"/>
  <c r="SO112" i="2"/>
  <c r="GQ33" i="2"/>
  <c r="GQ26" i="2"/>
  <c r="HC113" i="2"/>
  <c r="HB112" i="2"/>
  <c r="HB114" i="2" s="1"/>
  <c r="ML150" i="2"/>
  <c r="MM134" i="2"/>
  <c r="MM124" i="2"/>
  <c r="HA124" i="2"/>
  <c r="HA134" i="2"/>
  <c r="GQ48" i="2"/>
  <c r="MN135" i="2"/>
  <c r="GQ23" i="2"/>
  <c r="MB4" i="2"/>
  <c r="HF135" i="2"/>
  <c r="MO125" i="2"/>
  <c r="HD125" i="2"/>
  <c r="MN113" i="2"/>
  <c r="MN112" i="2" s="1"/>
  <c r="MN119" i="2" s="1"/>
  <c r="GW87" i="2"/>
  <c r="BQ111" i="2"/>
  <c r="GV81" i="2"/>
  <c r="GQ34" i="2"/>
  <c r="GQ40" i="2"/>
  <c r="GQ32" i="2"/>
  <c r="GQ27" i="2"/>
  <c r="BI23" i="2"/>
  <c r="GR4" i="2"/>
  <c r="GR41" i="2" s="1"/>
  <c r="HA140" i="2" l="1"/>
  <c r="HA142" i="2"/>
  <c r="HA144" i="2"/>
  <c r="MM144" i="2"/>
  <c r="HB116" i="2"/>
  <c r="HC116" i="2" s="1"/>
  <c r="HA136" i="2"/>
  <c r="HB115" i="2"/>
  <c r="HA129" i="2"/>
  <c r="MM140" i="2"/>
  <c r="HB118" i="2"/>
  <c r="MM137" i="2"/>
  <c r="HA138" i="2"/>
  <c r="MN117" i="2"/>
  <c r="HB117" i="2"/>
  <c r="MM138" i="2"/>
  <c r="HA137" i="2"/>
  <c r="MN118" i="2"/>
  <c r="MM139" i="2"/>
  <c r="MM128" i="2"/>
  <c r="MM136" i="2"/>
  <c r="MM129" i="2"/>
  <c r="HA127" i="2"/>
  <c r="MN114" i="2"/>
  <c r="HA141" i="2"/>
  <c r="MN116" i="2"/>
  <c r="HA126" i="2"/>
  <c r="HA128" i="2"/>
  <c r="MN115" i="2"/>
  <c r="HB119" i="2"/>
  <c r="MM141" i="2"/>
  <c r="MN141" i="2" s="1"/>
  <c r="MM142" i="2"/>
  <c r="MM126" i="2"/>
  <c r="HA150" i="2"/>
  <c r="MM127" i="2"/>
  <c r="HA139" i="2"/>
  <c r="BQ110" i="2"/>
  <c r="BQ107" i="2" s="1"/>
  <c r="GU2" i="2"/>
  <c r="GT199" i="2"/>
  <c r="GT193" i="2" s="1"/>
  <c r="SQ113" i="2"/>
  <c r="SP112" i="2"/>
  <c r="GR26" i="2"/>
  <c r="GR33" i="2"/>
  <c r="MM150" i="2"/>
  <c r="MN124" i="2"/>
  <c r="MN134" i="2"/>
  <c r="HB124" i="2"/>
  <c r="HB134" i="2"/>
  <c r="HD113" i="2"/>
  <c r="HC112" i="2"/>
  <c r="HC114" i="2" s="1"/>
  <c r="GR48" i="2"/>
  <c r="MO135" i="2"/>
  <c r="GR23" i="2"/>
  <c r="MC4" i="2"/>
  <c r="HG135" i="2"/>
  <c r="MP125" i="2"/>
  <c r="HE125" i="2"/>
  <c r="MO113" i="2"/>
  <c r="MO112" i="2" s="1"/>
  <c r="GX87" i="2"/>
  <c r="BR111" i="2"/>
  <c r="GW81" i="2"/>
  <c r="BJ23" i="2"/>
  <c r="GS4" i="2"/>
  <c r="GS41" i="2" s="1"/>
  <c r="GR34" i="2"/>
  <c r="GR40" i="2"/>
  <c r="GR32" i="2"/>
  <c r="GR27" i="2"/>
  <c r="HC117" i="2" l="1"/>
  <c r="HB142" i="2"/>
  <c r="MO117" i="2"/>
  <c r="HB128" i="2"/>
  <c r="HB141" i="2"/>
  <c r="HB127" i="2"/>
  <c r="HB139" i="2"/>
  <c r="MN129" i="2"/>
  <c r="MN127" i="2"/>
  <c r="HB150" i="2"/>
  <c r="MO116" i="2"/>
  <c r="MN136" i="2"/>
  <c r="HB136" i="2"/>
  <c r="HC119" i="2"/>
  <c r="MN128" i="2"/>
  <c r="MN144" i="2"/>
  <c r="MO115" i="2"/>
  <c r="MO114" i="2"/>
  <c r="MN139" i="2"/>
  <c r="MN137" i="2"/>
  <c r="HC118" i="2"/>
  <c r="MO118" i="2"/>
  <c r="HB140" i="2"/>
  <c r="HB138" i="2"/>
  <c r="HB126" i="2"/>
  <c r="HB144" i="2"/>
  <c r="HB129" i="2"/>
  <c r="MO119" i="2"/>
  <c r="MN126" i="2"/>
  <c r="MN140" i="2"/>
  <c r="HB137" i="2"/>
  <c r="MN142" i="2"/>
  <c r="HC115" i="2"/>
  <c r="MN138" i="2"/>
  <c r="BR110" i="2"/>
  <c r="BR107" i="2" s="1"/>
  <c r="GV2" i="2"/>
  <c r="GU199" i="2"/>
  <c r="GU193" i="2" s="1"/>
  <c r="SQ112" i="2"/>
  <c r="SR113" i="2"/>
  <c r="GS33" i="2"/>
  <c r="GS26" i="2"/>
  <c r="MN150" i="2"/>
  <c r="MO124" i="2"/>
  <c r="MO134" i="2"/>
  <c r="HC124" i="2"/>
  <c r="HC134" i="2"/>
  <c r="HE113" i="2"/>
  <c r="HD112" i="2"/>
  <c r="HD114" i="2" s="1"/>
  <c r="GS48" i="2"/>
  <c r="GS23" i="2"/>
  <c r="MD4" i="2"/>
  <c r="MP135" i="2"/>
  <c r="HH135" i="2"/>
  <c r="MQ125" i="2"/>
  <c r="HF125" i="2"/>
  <c r="MP113" i="2"/>
  <c r="MP112" i="2" s="1"/>
  <c r="GY87" i="2"/>
  <c r="BS111" i="2"/>
  <c r="GX81" i="2"/>
  <c r="GS34" i="2"/>
  <c r="GS40" i="2"/>
  <c r="GS32" i="2"/>
  <c r="GS27" i="2"/>
  <c r="BK23" i="2"/>
  <c r="GT4" i="2"/>
  <c r="GT41" i="2" s="1"/>
  <c r="HC137" i="2" l="1"/>
  <c r="MO144" i="2"/>
  <c r="MO140" i="2"/>
  <c r="HC128" i="2"/>
  <c r="MO129" i="2"/>
  <c r="MP117" i="2"/>
  <c r="MO127" i="2"/>
  <c r="HC129" i="2"/>
  <c r="HC127" i="2"/>
  <c r="MO138" i="2"/>
  <c r="MP118" i="2"/>
  <c r="MP115" i="2"/>
  <c r="MP116" i="2"/>
  <c r="MP119" i="2"/>
  <c r="MO141" i="2"/>
  <c r="HD115" i="2"/>
  <c r="HD118" i="2"/>
  <c r="MO128" i="2"/>
  <c r="HC139" i="2"/>
  <c r="MO142" i="2"/>
  <c r="HC144" i="2"/>
  <c r="HD117" i="2"/>
  <c r="HC141" i="2"/>
  <c r="HD116" i="2"/>
  <c r="HC126" i="2"/>
  <c r="HD119" i="2"/>
  <c r="HC138" i="2"/>
  <c r="MO137" i="2"/>
  <c r="MO126" i="2"/>
  <c r="HC150" i="2"/>
  <c r="MO139" i="2"/>
  <c r="HC136" i="2"/>
  <c r="HC142" i="2"/>
  <c r="HC140" i="2"/>
  <c r="MP114" i="2"/>
  <c r="MO136" i="2"/>
  <c r="BS110" i="2"/>
  <c r="BS107" i="2" s="1"/>
  <c r="GW2" i="2"/>
  <c r="GV199" i="2"/>
  <c r="GV193" i="2" s="1"/>
  <c r="MO150" i="2"/>
  <c r="SS113" i="2"/>
  <c r="SR112" i="2"/>
  <c r="GT33" i="2"/>
  <c r="GT26" i="2"/>
  <c r="MP124" i="2"/>
  <c r="MP134" i="2"/>
  <c r="HD134" i="2"/>
  <c r="HD124" i="2"/>
  <c r="HF113" i="2"/>
  <c r="HE112" i="2"/>
  <c r="HE114" i="2" s="1"/>
  <c r="GT48" i="2"/>
  <c r="MQ135" i="2"/>
  <c r="GT23" i="2"/>
  <c r="ME4" i="2"/>
  <c r="HI135" i="2"/>
  <c r="MR125" i="2"/>
  <c r="HG125" i="2"/>
  <c r="MQ113" i="2"/>
  <c r="MQ112" i="2" s="1"/>
  <c r="GZ87" i="2"/>
  <c r="BT111" i="2"/>
  <c r="GY81" i="2"/>
  <c r="GT40" i="2"/>
  <c r="GT32" i="2"/>
  <c r="GT34" i="2"/>
  <c r="GT27" i="2"/>
  <c r="BL23" i="2"/>
  <c r="GU4" i="2"/>
  <c r="GU41" i="2" s="1"/>
  <c r="MP139" i="2" l="1"/>
  <c r="HD128" i="2"/>
  <c r="MP138" i="2"/>
  <c r="MP126" i="2"/>
  <c r="MP136" i="2"/>
  <c r="MQ117" i="2"/>
  <c r="MP137" i="2"/>
  <c r="HD137" i="2"/>
  <c r="HE118" i="2"/>
  <c r="MQ116" i="2"/>
  <c r="HE116" i="2"/>
  <c r="HD129" i="2"/>
  <c r="MQ115" i="2"/>
  <c r="MQ114" i="2"/>
  <c r="HD138" i="2"/>
  <c r="HD141" i="2"/>
  <c r="HE115" i="2"/>
  <c r="MQ118" i="2"/>
  <c r="HD140" i="2"/>
  <c r="MP140" i="2"/>
  <c r="HE117" i="2"/>
  <c r="MP141" i="2"/>
  <c r="MP127" i="2"/>
  <c r="HD142" i="2"/>
  <c r="HD144" i="2"/>
  <c r="MP144" i="2"/>
  <c r="MP129" i="2"/>
  <c r="HD136" i="2"/>
  <c r="HE119" i="2"/>
  <c r="MP142" i="2"/>
  <c r="HD127" i="2"/>
  <c r="HD139" i="2"/>
  <c r="MQ119" i="2"/>
  <c r="HD150" i="2"/>
  <c r="HD126" i="2"/>
  <c r="MP128" i="2"/>
  <c r="BT110" i="2"/>
  <c r="BT107" i="2" s="1"/>
  <c r="MP150" i="2"/>
  <c r="GX2" i="2"/>
  <c r="GW199" i="2"/>
  <c r="GW193" i="2" s="1"/>
  <c r="SS112" i="2"/>
  <c r="ST113" i="2"/>
  <c r="GU33" i="2"/>
  <c r="GU26" i="2"/>
  <c r="HG113" i="2"/>
  <c r="HF112" i="2"/>
  <c r="HF114" i="2" s="1"/>
  <c r="MQ124" i="2"/>
  <c r="MQ134" i="2"/>
  <c r="HE134" i="2"/>
  <c r="HE124" i="2"/>
  <c r="HE128" i="2" s="1"/>
  <c r="GU48" i="2"/>
  <c r="GU23" i="2"/>
  <c r="MF4" i="2"/>
  <c r="MR135" i="2"/>
  <c r="HJ135" i="2"/>
  <c r="MS125" i="2"/>
  <c r="HH125" i="2"/>
  <c r="MR113" i="2"/>
  <c r="MR112" i="2" s="1"/>
  <c r="MR117" i="2" s="1"/>
  <c r="HA87" i="2"/>
  <c r="BU111" i="2"/>
  <c r="GZ81" i="2"/>
  <c r="BM23" i="2"/>
  <c r="GV4" i="2"/>
  <c r="GV41" i="2" s="1"/>
  <c r="GU34" i="2"/>
  <c r="GU40" i="2"/>
  <c r="GU32" i="2"/>
  <c r="GU27" i="2"/>
  <c r="MQ138" i="2" l="1"/>
  <c r="HE126" i="2"/>
  <c r="MQ128" i="2"/>
  <c r="MQ142" i="2"/>
  <c r="HF119" i="2"/>
  <c r="MQ127" i="2"/>
  <c r="HE127" i="2"/>
  <c r="HE142" i="2"/>
  <c r="HE141" i="2"/>
  <c r="MR116" i="2"/>
  <c r="HE138" i="2"/>
  <c r="HF118" i="2"/>
  <c r="MQ141" i="2"/>
  <c r="MR114" i="2"/>
  <c r="HE137" i="2"/>
  <c r="HE150" i="2"/>
  <c r="HE136" i="2"/>
  <c r="HF117" i="2"/>
  <c r="MR115" i="2"/>
  <c r="MQ126" i="2"/>
  <c r="MR119" i="2"/>
  <c r="MQ129" i="2"/>
  <c r="MQ140" i="2"/>
  <c r="HE129" i="2"/>
  <c r="HE139" i="2"/>
  <c r="MQ144" i="2"/>
  <c r="HE140" i="2"/>
  <c r="HF116" i="2"/>
  <c r="HE144" i="2"/>
  <c r="MR118" i="2"/>
  <c r="MQ137" i="2"/>
  <c r="MR137" i="2" s="1"/>
  <c r="MQ139" i="2"/>
  <c r="HF115" i="2"/>
  <c r="MQ136" i="2"/>
  <c r="MQ150" i="2"/>
  <c r="GY2" i="2"/>
  <c r="GX199" i="2"/>
  <c r="GX193" i="2" s="1"/>
  <c r="BU110" i="2"/>
  <c r="BU107" i="2" s="1"/>
  <c r="ST112" i="2"/>
  <c r="SU113" i="2"/>
  <c r="GV33" i="2"/>
  <c r="GV26" i="2"/>
  <c r="MR134" i="2"/>
  <c r="MR124" i="2"/>
  <c r="HF134" i="2"/>
  <c r="HF124" i="2"/>
  <c r="HF128" i="2" s="1"/>
  <c r="HH113" i="2"/>
  <c r="HG112" i="2"/>
  <c r="HG114" i="2" s="1"/>
  <c r="GV48" i="2"/>
  <c r="GV23" i="2"/>
  <c r="MG4" i="2"/>
  <c r="MS135" i="2"/>
  <c r="HK135" i="2"/>
  <c r="MT125" i="2"/>
  <c r="HI125" i="2"/>
  <c r="MS113" i="2"/>
  <c r="MS112" i="2" s="1"/>
  <c r="MS117" i="2" s="1"/>
  <c r="HB87" i="2"/>
  <c r="BV111" i="2"/>
  <c r="HA81" i="2"/>
  <c r="GV40" i="2"/>
  <c r="GV34" i="2"/>
  <c r="GV32" i="2"/>
  <c r="GV27" i="2"/>
  <c r="BN23" i="2"/>
  <c r="GW4" i="2"/>
  <c r="GW41" i="2" s="1"/>
  <c r="MR139" i="2" l="1"/>
  <c r="MR142" i="2"/>
  <c r="MR136" i="2"/>
  <c r="HG116" i="2"/>
  <c r="MR129" i="2"/>
  <c r="HF137" i="2"/>
  <c r="MS116" i="2"/>
  <c r="MS119" i="2"/>
  <c r="MS114" i="2"/>
  <c r="HF141" i="2"/>
  <c r="HG115" i="2"/>
  <c r="HF140" i="2"/>
  <c r="MR128" i="2"/>
  <c r="MR141" i="2"/>
  <c r="HF142" i="2"/>
  <c r="MR144" i="2"/>
  <c r="MR126" i="2"/>
  <c r="HG119" i="2"/>
  <c r="HF127" i="2"/>
  <c r="HF139" i="2"/>
  <c r="MS115" i="2"/>
  <c r="HG118" i="2"/>
  <c r="MR138" i="2"/>
  <c r="HF126" i="2"/>
  <c r="HG117" i="2"/>
  <c r="HF138" i="2"/>
  <c r="MS118" i="2"/>
  <c r="HF129" i="2"/>
  <c r="HF136" i="2"/>
  <c r="MR127" i="2"/>
  <c r="HF144" i="2"/>
  <c r="MR140" i="2"/>
  <c r="HF150" i="2"/>
  <c r="GZ2" i="2"/>
  <c r="GY199" i="2"/>
  <c r="GY193" i="2" s="1"/>
  <c r="BV110" i="2"/>
  <c r="BV107" i="2" s="1"/>
  <c r="SV113" i="2"/>
  <c r="SU112" i="2"/>
  <c r="GW26" i="2"/>
  <c r="GW33" i="2"/>
  <c r="HG134" i="2"/>
  <c r="HG124" i="2"/>
  <c r="HG128" i="2" s="1"/>
  <c r="HI113" i="2"/>
  <c r="HH112" i="2"/>
  <c r="HH114" i="2" s="1"/>
  <c r="MR150" i="2"/>
  <c r="MS134" i="2"/>
  <c r="MS124" i="2"/>
  <c r="GW48" i="2"/>
  <c r="MT135" i="2"/>
  <c r="GW23" i="2"/>
  <c r="MH4" i="2"/>
  <c r="HL135" i="2"/>
  <c r="MU125" i="2"/>
  <c r="HJ125" i="2"/>
  <c r="MT113" i="2"/>
  <c r="MT112" i="2" s="1"/>
  <c r="MT117" i="2" s="1"/>
  <c r="HC87" i="2"/>
  <c r="BW111" i="2"/>
  <c r="HB81" i="2"/>
  <c r="GW34" i="2"/>
  <c r="GW40" i="2"/>
  <c r="GW32" i="2"/>
  <c r="GW27" i="2"/>
  <c r="BO23" i="2"/>
  <c r="GX4" i="2"/>
  <c r="GX41" i="2" s="1"/>
  <c r="MS136" i="2" l="1"/>
  <c r="HG144" i="2"/>
  <c r="HG136" i="2"/>
  <c r="HG140" i="2"/>
  <c r="HG138" i="2"/>
  <c r="HG150" i="2"/>
  <c r="HG126" i="2"/>
  <c r="HG137" i="2"/>
  <c r="HH117" i="2"/>
  <c r="HG127" i="2"/>
  <c r="MS139" i="2"/>
  <c r="MS128" i="2"/>
  <c r="MT116" i="2"/>
  <c r="MS140" i="2"/>
  <c r="HH119" i="2"/>
  <c r="HH115" i="2"/>
  <c r="MS129" i="2"/>
  <c r="MS137" i="2"/>
  <c r="MS126" i="2"/>
  <c r="HG141" i="2"/>
  <c r="MS127" i="2"/>
  <c r="MS138" i="2"/>
  <c r="MS144" i="2"/>
  <c r="MT114" i="2"/>
  <c r="MS142" i="2"/>
  <c r="HH118" i="2"/>
  <c r="MT119" i="2"/>
  <c r="HG129" i="2"/>
  <c r="MT115" i="2"/>
  <c r="HG142" i="2"/>
  <c r="HH116" i="2"/>
  <c r="MT118" i="2"/>
  <c r="HG139" i="2"/>
  <c r="MS141" i="2"/>
  <c r="BW110" i="2"/>
  <c r="BW107" i="2" s="1"/>
  <c r="HA2" i="2"/>
  <c r="GZ199" i="2"/>
  <c r="GZ193" i="2" s="1"/>
  <c r="SV112" i="2"/>
  <c r="SW113" i="2"/>
  <c r="GX33" i="2"/>
  <c r="GX26" i="2"/>
  <c r="HJ113" i="2"/>
  <c r="HI112" i="2"/>
  <c r="HI114" i="2" s="1"/>
  <c r="MT134" i="2"/>
  <c r="MT124" i="2"/>
  <c r="MS150" i="2"/>
  <c r="HH124" i="2"/>
  <c r="HH128" i="2" s="1"/>
  <c r="HH134" i="2"/>
  <c r="GX48" i="2"/>
  <c r="MU135" i="2"/>
  <c r="GX23" i="2"/>
  <c r="MI4" i="2"/>
  <c r="HM135" i="2"/>
  <c r="MV125" i="2"/>
  <c r="HK125" i="2"/>
  <c r="MU113" i="2"/>
  <c r="MU112" i="2" s="1"/>
  <c r="MU117" i="2" s="1"/>
  <c r="HD87" i="2"/>
  <c r="BX111" i="2"/>
  <c r="HC81" i="2"/>
  <c r="GX34" i="2"/>
  <c r="GX40" i="2"/>
  <c r="GX32" i="2"/>
  <c r="GX27" i="2"/>
  <c r="BP23" i="2"/>
  <c r="GY4" i="2"/>
  <c r="GY41" i="2" s="1"/>
  <c r="HH139" i="2" l="1"/>
  <c r="MT136" i="2"/>
  <c r="MT141" i="2"/>
  <c r="MT127" i="2"/>
  <c r="MU119" i="2"/>
  <c r="HI119" i="2"/>
  <c r="HI117" i="2"/>
  <c r="MT138" i="2"/>
  <c r="HI115" i="2"/>
  <c r="MU116" i="2"/>
  <c r="MT128" i="2"/>
  <c r="HH126" i="2"/>
  <c r="MT139" i="2"/>
  <c r="MU118" i="2"/>
  <c r="HI118" i="2"/>
  <c r="HH141" i="2"/>
  <c r="MT140" i="2"/>
  <c r="HH138" i="2"/>
  <c r="HI116" i="2"/>
  <c r="HH136" i="2"/>
  <c r="MT126" i="2"/>
  <c r="HH137" i="2"/>
  <c r="HH142" i="2"/>
  <c r="MT142" i="2"/>
  <c r="MT137" i="2"/>
  <c r="HH140" i="2"/>
  <c r="MU115" i="2"/>
  <c r="MU114" i="2"/>
  <c r="HH144" i="2"/>
  <c r="HH127" i="2"/>
  <c r="HH129" i="2"/>
  <c r="MT144" i="2"/>
  <c r="MT129" i="2"/>
  <c r="HH150" i="2"/>
  <c r="BX110" i="2"/>
  <c r="BX107" i="2" s="1"/>
  <c r="HB2" i="2"/>
  <c r="HA199" i="2"/>
  <c r="HA193" i="2" s="1"/>
  <c r="SX113" i="2"/>
  <c r="SW112" i="2"/>
  <c r="GY33" i="2"/>
  <c r="GY26" i="2"/>
  <c r="MU134" i="2"/>
  <c r="MU124" i="2"/>
  <c r="MU136" i="2" s="1"/>
  <c r="MT150" i="2"/>
  <c r="HI124" i="2"/>
  <c r="HI128" i="2" s="1"/>
  <c r="HI134" i="2"/>
  <c r="HK113" i="2"/>
  <c r="HJ112" i="2"/>
  <c r="HJ114" i="2" s="1"/>
  <c r="GY48" i="2"/>
  <c r="GY23" i="2"/>
  <c r="MJ4" i="2"/>
  <c r="MV135" i="2"/>
  <c r="HN135" i="2"/>
  <c r="MW125" i="2"/>
  <c r="HL125" i="2"/>
  <c r="MV113" i="2"/>
  <c r="MV112" i="2" s="1"/>
  <c r="HE87" i="2"/>
  <c r="BY111" i="2"/>
  <c r="HD81" i="2"/>
  <c r="GY34" i="2"/>
  <c r="GY40" i="2"/>
  <c r="GY32" i="2"/>
  <c r="GY27" i="2"/>
  <c r="BQ23" i="2"/>
  <c r="GZ4" i="2"/>
  <c r="GZ41" i="2" s="1"/>
  <c r="HI129" i="2" l="1"/>
  <c r="MU129" i="2"/>
  <c r="HI150" i="2"/>
  <c r="MV119" i="2"/>
  <c r="MU141" i="2"/>
  <c r="MU142" i="2"/>
  <c r="HI140" i="2"/>
  <c r="MV115" i="2"/>
  <c r="HI136" i="2"/>
  <c r="HI126" i="2"/>
  <c r="MV116" i="2"/>
  <c r="HJ116" i="2"/>
  <c r="HJ115" i="2"/>
  <c r="HI138" i="2"/>
  <c r="MU138" i="2"/>
  <c r="MU144" i="2"/>
  <c r="MU137" i="2"/>
  <c r="MU140" i="2"/>
  <c r="HI139" i="2"/>
  <c r="HJ117" i="2"/>
  <c r="HI141" i="2"/>
  <c r="MU128" i="2"/>
  <c r="MV117" i="2"/>
  <c r="HI127" i="2"/>
  <c r="HI142" i="2"/>
  <c r="HJ118" i="2"/>
  <c r="HJ119" i="2"/>
  <c r="HI144" i="2"/>
  <c r="HI137" i="2"/>
  <c r="MV118" i="2"/>
  <c r="MU127" i="2"/>
  <c r="MV114" i="2"/>
  <c r="MU126" i="2"/>
  <c r="MU139" i="2"/>
  <c r="BY110" i="2"/>
  <c r="BY107" i="2" s="1"/>
  <c r="HC2" i="2"/>
  <c r="HB199" i="2"/>
  <c r="HB193" i="2" s="1"/>
  <c r="SY113" i="2"/>
  <c r="SX112" i="2"/>
  <c r="GZ26" i="2"/>
  <c r="GZ33" i="2"/>
  <c r="MV124" i="2"/>
  <c r="MV136" i="2" s="1"/>
  <c r="MV134" i="2"/>
  <c r="HL113" i="2"/>
  <c r="HK112" i="2"/>
  <c r="HK114" i="2" s="1"/>
  <c r="MU150" i="2"/>
  <c r="HJ124" i="2"/>
  <c r="HJ134" i="2"/>
  <c r="GZ48" i="2"/>
  <c r="GZ23" i="2"/>
  <c r="MK4" i="2"/>
  <c r="MW135" i="2"/>
  <c r="HO135" i="2"/>
  <c r="MX125" i="2"/>
  <c r="HM125" i="2"/>
  <c r="MW113" i="2"/>
  <c r="MW112" i="2" s="1"/>
  <c r="MW119" i="2" s="1"/>
  <c r="HF87" i="2"/>
  <c r="BZ111" i="2"/>
  <c r="HE81" i="2"/>
  <c r="GZ40" i="2"/>
  <c r="GZ34" i="2"/>
  <c r="GZ32" i="2"/>
  <c r="GZ27" i="2"/>
  <c r="BR23" i="2"/>
  <c r="HA4" i="2"/>
  <c r="HA41" i="2" s="1"/>
  <c r="HJ150" i="2" l="1"/>
  <c r="MV139" i="2"/>
  <c r="HK118" i="2"/>
  <c r="HK119" i="2"/>
  <c r="MV142" i="2"/>
  <c r="HJ138" i="2"/>
  <c r="MW116" i="2"/>
  <c r="HK117" i="2"/>
  <c r="HJ140" i="2"/>
  <c r="HJ126" i="2"/>
  <c r="MV126" i="2"/>
  <c r="HJ142" i="2"/>
  <c r="HJ139" i="2"/>
  <c r="MV129" i="2"/>
  <c r="HJ136" i="2"/>
  <c r="MW114" i="2"/>
  <c r="HJ127" i="2"/>
  <c r="MV140" i="2"/>
  <c r="HK115" i="2"/>
  <c r="MW115" i="2"/>
  <c r="MV127" i="2"/>
  <c r="HJ129" i="2"/>
  <c r="MV137" i="2"/>
  <c r="HJ128" i="2"/>
  <c r="MW118" i="2"/>
  <c r="MW117" i="2"/>
  <c r="MV144" i="2"/>
  <c r="HK116" i="2"/>
  <c r="HJ137" i="2"/>
  <c r="MV128" i="2"/>
  <c r="MV138" i="2"/>
  <c r="MW138" i="2" s="1"/>
  <c r="MV141" i="2"/>
  <c r="HJ144" i="2"/>
  <c r="HJ141" i="2"/>
  <c r="BZ110" i="2"/>
  <c r="BZ107" i="2" s="1"/>
  <c r="HD2" i="2"/>
  <c r="HC199" i="2"/>
  <c r="HC193" i="2" s="1"/>
  <c r="SY112" i="2"/>
  <c r="SZ113" i="2"/>
  <c r="HA26" i="2"/>
  <c r="HA33" i="2"/>
  <c r="HM113" i="2"/>
  <c r="HL112" i="2"/>
  <c r="HL114" i="2" s="1"/>
  <c r="MW124" i="2"/>
  <c r="MW134" i="2"/>
  <c r="MV150" i="2"/>
  <c r="HK124" i="2"/>
  <c r="HK150" i="2" s="1"/>
  <c r="HK134" i="2"/>
  <c r="HA48" i="2"/>
  <c r="MX135" i="2"/>
  <c r="HA23" i="2"/>
  <c r="ML4" i="2"/>
  <c r="HP135" i="2"/>
  <c r="MY125" i="2"/>
  <c r="HN125" i="2"/>
  <c r="MX113" i="2"/>
  <c r="MX112" i="2" s="1"/>
  <c r="MX119" i="2" s="1"/>
  <c r="HG87" i="2"/>
  <c r="CA111" i="2"/>
  <c r="HF81" i="2"/>
  <c r="HA40" i="2"/>
  <c r="HA34" i="2"/>
  <c r="HA32" i="2"/>
  <c r="HA27" i="2"/>
  <c r="BS23" i="2"/>
  <c r="HB4" i="2"/>
  <c r="HB41" i="2" s="1"/>
  <c r="MW141" i="2" l="1"/>
  <c r="MW139" i="2"/>
  <c r="HL116" i="2"/>
  <c r="MW144" i="2"/>
  <c r="MW127" i="2"/>
  <c r="HK141" i="2"/>
  <c r="HL115" i="2"/>
  <c r="HK139" i="2"/>
  <c r="MX116" i="2"/>
  <c r="MX115" i="2"/>
  <c r="HK142" i="2"/>
  <c r="HK138" i="2"/>
  <c r="MX117" i="2"/>
  <c r="MW126" i="2"/>
  <c r="MW142" i="2"/>
  <c r="HK144" i="2"/>
  <c r="MX118" i="2"/>
  <c r="MW140" i="2"/>
  <c r="HK126" i="2"/>
  <c r="HL119" i="2"/>
  <c r="HK128" i="2"/>
  <c r="HK127" i="2"/>
  <c r="HK140" i="2"/>
  <c r="MX114" i="2"/>
  <c r="HL117" i="2"/>
  <c r="MW128" i="2"/>
  <c r="MW137" i="2"/>
  <c r="HK136" i="2"/>
  <c r="HL118" i="2"/>
  <c r="MW136" i="2"/>
  <c r="HK137" i="2"/>
  <c r="HK129" i="2"/>
  <c r="MW129" i="2"/>
  <c r="CA110" i="2"/>
  <c r="CA107" i="2" s="1"/>
  <c r="HE2" i="2"/>
  <c r="HD199" i="2"/>
  <c r="HD193" i="2" s="1"/>
  <c r="TA113" i="2"/>
  <c r="SZ112" i="2"/>
  <c r="MW150" i="2"/>
  <c r="HB33" i="2"/>
  <c r="HB26" i="2"/>
  <c r="HL134" i="2"/>
  <c r="HL124" i="2"/>
  <c r="HL150" i="2" s="1"/>
  <c r="HN113" i="2"/>
  <c r="HM112" i="2"/>
  <c r="HM114" i="2" s="1"/>
  <c r="MX124" i="2"/>
  <c r="MX134" i="2"/>
  <c r="HB48" i="2"/>
  <c r="MY135" i="2"/>
  <c r="HB23" i="2"/>
  <c r="MM4" i="2"/>
  <c r="HQ135" i="2"/>
  <c r="MZ125" i="2"/>
  <c r="HO125" i="2"/>
  <c r="MY113" i="2"/>
  <c r="MY112" i="2" s="1"/>
  <c r="MY119" i="2" s="1"/>
  <c r="HH87" i="2"/>
  <c r="CB111" i="2"/>
  <c r="HG81" i="2"/>
  <c r="HB40" i="2"/>
  <c r="HB34" i="2"/>
  <c r="HB32" i="2"/>
  <c r="HB27" i="2"/>
  <c r="BT23" i="2"/>
  <c r="HC4" i="2"/>
  <c r="HC41" i="2" s="1"/>
  <c r="HL137" i="2" l="1"/>
  <c r="HL129" i="2"/>
  <c r="HM117" i="2"/>
  <c r="MX129" i="2"/>
  <c r="MX128" i="2"/>
  <c r="MX141" i="2"/>
  <c r="HM115" i="2"/>
  <c r="MY116" i="2"/>
  <c r="HM119" i="2"/>
  <c r="MY117" i="2"/>
  <c r="HL139" i="2"/>
  <c r="MY114" i="2"/>
  <c r="HL126" i="2"/>
  <c r="HL141" i="2"/>
  <c r="MX127" i="2"/>
  <c r="MX140" i="2"/>
  <c r="HL138" i="2"/>
  <c r="HM116" i="2"/>
  <c r="MX136" i="2"/>
  <c r="MX138" i="2"/>
  <c r="MY118" i="2"/>
  <c r="HL142" i="2"/>
  <c r="HM118" i="2"/>
  <c r="HL140" i="2"/>
  <c r="HL144" i="2"/>
  <c r="MY115" i="2"/>
  <c r="MX139" i="2"/>
  <c r="HL136" i="2"/>
  <c r="HL127" i="2"/>
  <c r="HM127" i="2" s="1"/>
  <c r="MX142" i="2"/>
  <c r="MX144" i="2"/>
  <c r="MX137" i="2"/>
  <c r="HL128" i="2"/>
  <c r="MX126" i="2"/>
  <c r="CB110" i="2"/>
  <c r="CB107" i="2" s="1"/>
  <c r="HF2" i="2"/>
  <c r="HE199" i="2"/>
  <c r="HE193" i="2" s="1"/>
  <c r="TA112" i="2"/>
  <c r="TB113" i="2"/>
  <c r="HC26" i="2"/>
  <c r="HC33" i="2"/>
  <c r="HM134" i="2"/>
  <c r="HM124" i="2"/>
  <c r="HM150" i="2" s="1"/>
  <c r="HO113" i="2"/>
  <c r="HN112" i="2"/>
  <c r="HN114" i="2" s="1"/>
  <c r="MY124" i="2"/>
  <c r="MY134" i="2"/>
  <c r="MX150" i="2"/>
  <c r="HC48" i="2"/>
  <c r="MZ135" i="2"/>
  <c r="HC23" i="2"/>
  <c r="MN4" i="2"/>
  <c r="HR135" i="2"/>
  <c r="NA125" i="2"/>
  <c r="HP125" i="2"/>
  <c r="MZ113" i="2"/>
  <c r="MZ112" i="2" s="1"/>
  <c r="MZ119" i="2" s="1"/>
  <c r="HI87" i="2"/>
  <c r="CC111" i="2"/>
  <c r="HH81" i="2"/>
  <c r="HC40" i="2"/>
  <c r="HC34" i="2"/>
  <c r="HC32" i="2"/>
  <c r="HC27" i="2"/>
  <c r="BU23" i="2"/>
  <c r="HD4" i="2"/>
  <c r="HD41" i="2" s="1"/>
  <c r="HM128" i="2" l="1"/>
  <c r="HM126" i="2"/>
  <c r="MY139" i="2"/>
  <c r="HM144" i="2"/>
  <c r="MY126" i="2"/>
  <c r="MY136" i="2"/>
  <c r="MZ116" i="2"/>
  <c r="MZ115" i="2"/>
  <c r="HN116" i="2"/>
  <c r="MZ114" i="2"/>
  <c r="HN115" i="2"/>
  <c r="HM138" i="2"/>
  <c r="HM129" i="2"/>
  <c r="MY141" i="2"/>
  <c r="MY137" i="2"/>
  <c r="HM140" i="2"/>
  <c r="MY140" i="2"/>
  <c r="MY129" i="2"/>
  <c r="MY128" i="2"/>
  <c r="MY144" i="2"/>
  <c r="HN118" i="2"/>
  <c r="HM139" i="2"/>
  <c r="MY142" i="2"/>
  <c r="HM142" i="2"/>
  <c r="HM137" i="2"/>
  <c r="MZ117" i="2"/>
  <c r="MZ118" i="2"/>
  <c r="MY127" i="2"/>
  <c r="HN119" i="2"/>
  <c r="HM136" i="2"/>
  <c r="MY138" i="2"/>
  <c r="HM141" i="2"/>
  <c r="HN117" i="2"/>
  <c r="CC110" i="2"/>
  <c r="CC107" i="2" s="1"/>
  <c r="HG2" i="2"/>
  <c r="HF199" i="2"/>
  <c r="HF193" i="2" s="1"/>
  <c r="TB112" i="2"/>
  <c r="TC113" i="2"/>
  <c r="MY150" i="2"/>
  <c r="HD26" i="2"/>
  <c r="HD33" i="2"/>
  <c r="MZ134" i="2"/>
  <c r="MZ124" i="2"/>
  <c r="HN134" i="2"/>
  <c r="HN124" i="2"/>
  <c r="HN150" i="2" s="1"/>
  <c r="HP113" i="2"/>
  <c r="HO112" i="2"/>
  <c r="HO114" i="2" s="1"/>
  <c r="HD48" i="2"/>
  <c r="NA135" i="2"/>
  <c r="HD23" i="2"/>
  <c r="MO4" i="2"/>
  <c r="HS135" i="2"/>
  <c r="NB125" i="2"/>
  <c r="HQ125" i="2"/>
  <c r="NA113" i="2"/>
  <c r="NA112" i="2" s="1"/>
  <c r="NA119" i="2" s="1"/>
  <c r="HJ87" i="2"/>
  <c r="CD111" i="2"/>
  <c r="HI81" i="2"/>
  <c r="HD40" i="2"/>
  <c r="HD34" i="2"/>
  <c r="HD32" i="2"/>
  <c r="HD27" i="2"/>
  <c r="BV23" i="2"/>
  <c r="HE4" i="2"/>
  <c r="HE41" i="2" s="1"/>
  <c r="MZ126" i="2" l="1"/>
  <c r="MZ138" i="2"/>
  <c r="MZ142" i="2"/>
  <c r="MZ144" i="2"/>
  <c r="HN127" i="2"/>
  <c r="HN138" i="2"/>
  <c r="NA116" i="2"/>
  <c r="HO117" i="2"/>
  <c r="NA117" i="2"/>
  <c r="MZ128" i="2"/>
  <c r="HN144" i="2"/>
  <c r="HN126" i="2"/>
  <c r="HN141" i="2"/>
  <c r="HN137" i="2"/>
  <c r="MZ129" i="2"/>
  <c r="HN128" i="2"/>
  <c r="MZ136" i="2"/>
  <c r="HN142" i="2"/>
  <c r="MZ140" i="2"/>
  <c r="HO115" i="2"/>
  <c r="MZ139" i="2"/>
  <c r="HN136" i="2"/>
  <c r="HN140" i="2"/>
  <c r="NA114" i="2"/>
  <c r="HO119" i="2"/>
  <c r="HN139" i="2"/>
  <c r="MZ137" i="2"/>
  <c r="HO116" i="2"/>
  <c r="MZ127" i="2"/>
  <c r="MZ141" i="2"/>
  <c r="NA115" i="2"/>
  <c r="NA118" i="2"/>
  <c r="HO118" i="2"/>
  <c r="HN129" i="2"/>
  <c r="HH2" i="2"/>
  <c r="HG199" i="2"/>
  <c r="HG193" i="2" s="1"/>
  <c r="CD110" i="2"/>
  <c r="CD107" i="2"/>
  <c r="TD113" i="2"/>
  <c r="TC112" i="2"/>
  <c r="HE26" i="2"/>
  <c r="HE33" i="2"/>
  <c r="HQ113" i="2"/>
  <c r="HP112" i="2"/>
  <c r="HP114" i="2" s="1"/>
  <c r="NA134" i="2"/>
  <c r="NA124" i="2"/>
  <c r="NA126" i="2" s="1"/>
  <c r="MZ150" i="2"/>
  <c r="HO134" i="2"/>
  <c r="HO124" i="2"/>
  <c r="HO150" i="2" s="1"/>
  <c r="HE48" i="2"/>
  <c r="NB135" i="2"/>
  <c r="HE23" i="2"/>
  <c r="MP4" i="2"/>
  <c r="HT135" i="2"/>
  <c r="NC125" i="2"/>
  <c r="HR125" i="2"/>
  <c r="NB113" i="2"/>
  <c r="NB112" i="2" s="1"/>
  <c r="NB119" i="2" s="1"/>
  <c r="HK87" i="2"/>
  <c r="CE111" i="2"/>
  <c r="HJ81" i="2"/>
  <c r="HE34" i="2"/>
  <c r="HE40" i="2"/>
  <c r="HE32" i="2"/>
  <c r="HE27" i="2"/>
  <c r="BW23" i="2"/>
  <c r="HF4" i="2"/>
  <c r="HF41" i="2" s="1"/>
  <c r="HP116" i="2" l="1"/>
  <c r="HO129" i="2"/>
  <c r="HP119" i="2"/>
  <c r="NA127" i="2"/>
  <c r="NA139" i="2"/>
  <c r="HP118" i="2"/>
  <c r="HO136" i="2"/>
  <c r="NA129" i="2"/>
  <c r="NB116" i="2"/>
  <c r="HO137" i="2"/>
  <c r="HO138" i="2"/>
  <c r="NA137" i="2"/>
  <c r="HP115" i="2"/>
  <c r="HO141" i="2"/>
  <c r="NA144" i="2"/>
  <c r="NB118" i="2"/>
  <c r="HO139" i="2"/>
  <c r="NA140" i="2"/>
  <c r="HO126" i="2"/>
  <c r="HO127" i="2"/>
  <c r="HO142" i="2"/>
  <c r="HO144" i="2"/>
  <c r="NB115" i="2"/>
  <c r="NB114" i="2"/>
  <c r="NA138" i="2"/>
  <c r="NA128" i="2"/>
  <c r="NA141" i="2"/>
  <c r="HO140" i="2"/>
  <c r="NA136" i="2"/>
  <c r="NB117" i="2"/>
  <c r="NA142" i="2"/>
  <c r="HO128" i="2"/>
  <c r="HP117" i="2"/>
  <c r="HI2" i="2"/>
  <c r="HH199" i="2"/>
  <c r="HH193" i="2" s="1"/>
  <c r="CE110" i="2"/>
  <c r="CE107" i="2" s="1"/>
  <c r="TD112" i="2"/>
  <c r="TE113" i="2"/>
  <c r="HF33" i="2"/>
  <c r="HF26" i="2"/>
  <c r="HR113" i="2"/>
  <c r="HQ112" i="2"/>
  <c r="HQ119" i="2" s="1"/>
  <c r="NB134" i="2"/>
  <c r="NB124" i="2"/>
  <c r="NA150" i="2"/>
  <c r="HP124" i="2"/>
  <c r="HP134" i="2"/>
  <c r="HF48" i="2"/>
  <c r="NC135" i="2"/>
  <c r="HF23" i="2"/>
  <c r="MQ4" i="2"/>
  <c r="HU135" i="2"/>
  <c r="ND125" i="2"/>
  <c r="HS125" i="2"/>
  <c r="NC113" i="2"/>
  <c r="NC112" i="2" s="1"/>
  <c r="NC119" i="2" s="1"/>
  <c r="HL87" i="2"/>
  <c r="CF111" i="2"/>
  <c r="HK81" i="2"/>
  <c r="HF40" i="2"/>
  <c r="HF34" i="2"/>
  <c r="HF32" i="2"/>
  <c r="HF27" i="2"/>
  <c r="BX23" i="2"/>
  <c r="HG4" i="2"/>
  <c r="HG41" i="2" s="1"/>
  <c r="NB142" i="2" l="1"/>
  <c r="NB139" i="2"/>
  <c r="HP129" i="2"/>
  <c r="HQ115" i="2"/>
  <c r="NB137" i="2"/>
  <c r="NB128" i="2"/>
  <c r="NB141" i="2"/>
  <c r="HP127" i="2"/>
  <c r="HQ117" i="2"/>
  <c r="NC116" i="2"/>
  <c r="NB129" i="2"/>
  <c r="HP128" i="2"/>
  <c r="NB138" i="2"/>
  <c r="HP126" i="2"/>
  <c r="HQ118" i="2"/>
  <c r="HP136" i="2"/>
  <c r="NC114" i="2"/>
  <c r="NB140" i="2"/>
  <c r="HP138" i="2"/>
  <c r="NB127" i="2"/>
  <c r="NC115" i="2"/>
  <c r="HP139" i="2"/>
  <c r="HP137" i="2"/>
  <c r="NB126" i="2"/>
  <c r="NC117" i="2"/>
  <c r="HP144" i="2"/>
  <c r="NC118" i="2"/>
  <c r="HQ114" i="2"/>
  <c r="NB136" i="2"/>
  <c r="HP142" i="2"/>
  <c r="NB144" i="2"/>
  <c r="HQ116" i="2"/>
  <c r="HP150" i="2"/>
  <c r="HP140" i="2"/>
  <c r="HP141" i="2"/>
  <c r="CF110" i="2"/>
  <c r="CF107" i="2" s="1"/>
  <c r="HJ2" i="2"/>
  <c r="HI199" i="2"/>
  <c r="HI193" i="2" s="1"/>
  <c r="TF113" i="2"/>
  <c r="TE112" i="2"/>
  <c r="HG33" i="2"/>
  <c r="HG26" i="2"/>
  <c r="NB150" i="2"/>
  <c r="HQ124" i="2"/>
  <c r="HQ134" i="2"/>
  <c r="HS113" i="2"/>
  <c r="HR112" i="2"/>
  <c r="HR119" i="2" s="1"/>
  <c r="NC134" i="2"/>
  <c r="NC124" i="2"/>
  <c r="HG48" i="2"/>
  <c r="ND135" i="2"/>
  <c r="HG23" i="2"/>
  <c r="MR4" i="2"/>
  <c r="HV135" i="2"/>
  <c r="NE125" i="2"/>
  <c r="HT125" i="2"/>
  <c r="ND113" i="2"/>
  <c r="ND112" i="2" s="1"/>
  <c r="ND119" i="2" s="1"/>
  <c r="HM87" i="2"/>
  <c r="CG111" i="2"/>
  <c r="HL81" i="2"/>
  <c r="HG40" i="2"/>
  <c r="HG34" i="2"/>
  <c r="HG32" i="2"/>
  <c r="HG27" i="2"/>
  <c r="BY23" i="2"/>
  <c r="HH4" i="2"/>
  <c r="HH41" i="2" s="1"/>
  <c r="HQ150" i="2" l="1"/>
  <c r="NC128" i="2"/>
  <c r="HQ127" i="2"/>
  <c r="HQ144" i="2"/>
  <c r="HQ141" i="2"/>
  <c r="HQ140" i="2"/>
  <c r="HR114" i="2"/>
  <c r="ND115" i="2"/>
  <c r="HR118" i="2"/>
  <c r="ND116" i="2"/>
  <c r="ND118" i="2"/>
  <c r="HQ126" i="2"/>
  <c r="HR115" i="2"/>
  <c r="NC127" i="2"/>
  <c r="NC138" i="2"/>
  <c r="ND117" i="2"/>
  <c r="HQ138" i="2"/>
  <c r="HQ128" i="2"/>
  <c r="NC141" i="2"/>
  <c r="HR116" i="2"/>
  <c r="HR117" i="2"/>
  <c r="NC140" i="2"/>
  <c r="NC129" i="2"/>
  <c r="NC139" i="2"/>
  <c r="NC144" i="2"/>
  <c r="NC126" i="2"/>
  <c r="ND114" i="2"/>
  <c r="NC137" i="2"/>
  <c r="HQ129" i="2"/>
  <c r="HQ142" i="2"/>
  <c r="HQ137" i="2"/>
  <c r="NC142" i="2"/>
  <c r="NC136" i="2"/>
  <c r="HQ139" i="2"/>
  <c r="HQ136" i="2"/>
  <c r="CG110" i="2"/>
  <c r="CG107" i="2" s="1"/>
  <c r="HK2" i="2"/>
  <c r="HJ199" i="2"/>
  <c r="HJ193" i="2" s="1"/>
  <c r="TG113" i="2"/>
  <c r="TF112" i="2"/>
  <c r="HH26" i="2"/>
  <c r="HH33" i="2"/>
  <c r="HR124" i="2"/>
  <c r="HR134" i="2"/>
  <c r="HT113" i="2"/>
  <c r="HS112" i="2"/>
  <c r="HS119" i="2" s="1"/>
  <c r="ND124" i="2"/>
  <c r="ND134" i="2"/>
  <c r="NC150" i="2"/>
  <c r="HH48" i="2"/>
  <c r="NE135" i="2"/>
  <c r="HH23" i="2"/>
  <c r="MS4" i="2"/>
  <c r="HW135" i="2"/>
  <c r="NF125" i="2"/>
  <c r="HU125" i="2"/>
  <c r="NE113" i="2"/>
  <c r="NE112" i="2" s="1"/>
  <c r="NE119" i="2" s="1"/>
  <c r="HN87" i="2"/>
  <c r="CH111" i="2"/>
  <c r="HM81" i="2"/>
  <c r="HH34" i="2"/>
  <c r="HH40" i="2"/>
  <c r="HH32" i="2"/>
  <c r="HH27" i="2"/>
  <c r="BZ23" i="2"/>
  <c r="HI4" i="2"/>
  <c r="HI41" i="2" s="1"/>
  <c r="HR141" i="2" l="1"/>
  <c r="ND128" i="2"/>
  <c r="HR136" i="2"/>
  <c r="ND137" i="2"/>
  <c r="HS116" i="2"/>
  <c r="ND127" i="2"/>
  <c r="NE116" i="2"/>
  <c r="NE114" i="2"/>
  <c r="ND141" i="2"/>
  <c r="HR144" i="2"/>
  <c r="HS118" i="2"/>
  <c r="HR139" i="2"/>
  <c r="ND126" i="2"/>
  <c r="HR128" i="2"/>
  <c r="HR140" i="2"/>
  <c r="NE115" i="2"/>
  <c r="ND136" i="2"/>
  <c r="ND144" i="2"/>
  <c r="HR138" i="2"/>
  <c r="HS115" i="2"/>
  <c r="HS114" i="2"/>
  <c r="ND142" i="2"/>
  <c r="ND139" i="2"/>
  <c r="NE117" i="2"/>
  <c r="HR126" i="2"/>
  <c r="HR137" i="2"/>
  <c r="ND129" i="2"/>
  <c r="HR150" i="2"/>
  <c r="HR142" i="2"/>
  <c r="ND140" i="2"/>
  <c r="NE118" i="2"/>
  <c r="HR127" i="2"/>
  <c r="HR129" i="2"/>
  <c r="HS117" i="2"/>
  <c r="ND138" i="2"/>
  <c r="CH110" i="2"/>
  <c r="CH107" i="2" s="1"/>
  <c r="HL2" i="2"/>
  <c r="HK199" i="2"/>
  <c r="HK193" i="2" s="1"/>
  <c r="TG112" i="2"/>
  <c r="TH113" i="2"/>
  <c r="ND150" i="2"/>
  <c r="HI33" i="2"/>
  <c r="HI26" i="2"/>
  <c r="NE124" i="2"/>
  <c r="NE134" i="2"/>
  <c r="HS124" i="2"/>
  <c r="HS141" i="2" s="1"/>
  <c r="HS134" i="2"/>
  <c r="HU113" i="2"/>
  <c r="HT112" i="2"/>
  <c r="HT119" i="2" s="1"/>
  <c r="HI48" i="2"/>
  <c r="NF135" i="2"/>
  <c r="HI23" i="2"/>
  <c r="MT4" i="2"/>
  <c r="HX135" i="2"/>
  <c r="NG125" i="2"/>
  <c r="HV125" i="2"/>
  <c r="NF113" i="2"/>
  <c r="NF112" i="2" s="1"/>
  <c r="NF119" i="2" s="1"/>
  <c r="HO87" i="2"/>
  <c r="CI111" i="2"/>
  <c r="HN81" i="2"/>
  <c r="HI34" i="2"/>
  <c r="HI40" i="2"/>
  <c r="HI32" i="2"/>
  <c r="HI27" i="2"/>
  <c r="CA23" i="2"/>
  <c r="HJ4" i="2"/>
  <c r="HJ41" i="2" s="1"/>
  <c r="NE128" i="2" l="1"/>
  <c r="HS127" i="2"/>
  <c r="HS142" i="2"/>
  <c r="NE126" i="2"/>
  <c r="NE129" i="2"/>
  <c r="NE142" i="2"/>
  <c r="NE127" i="2"/>
  <c r="NE138" i="2"/>
  <c r="HS129" i="2"/>
  <c r="HS128" i="2"/>
  <c r="NF116" i="2"/>
  <c r="HT114" i="2"/>
  <c r="HT117" i="2"/>
  <c r="HS150" i="2"/>
  <c r="HT115" i="2"/>
  <c r="HS139" i="2"/>
  <c r="HT116" i="2"/>
  <c r="HS138" i="2"/>
  <c r="HT118" i="2"/>
  <c r="NE137" i="2"/>
  <c r="HS137" i="2"/>
  <c r="NE144" i="2"/>
  <c r="HS144" i="2"/>
  <c r="NF118" i="2"/>
  <c r="HS126" i="2"/>
  <c r="NE136" i="2"/>
  <c r="NE141" i="2"/>
  <c r="NF117" i="2"/>
  <c r="NF115" i="2"/>
  <c r="NF114" i="2"/>
  <c r="NE140" i="2"/>
  <c r="NE139" i="2"/>
  <c r="HS140" i="2"/>
  <c r="HS136" i="2"/>
  <c r="CI110" i="2"/>
  <c r="CI107" i="2"/>
  <c r="HM2" i="2"/>
  <c r="HL199" i="2"/>
  <c r="HL193" i="2" s="1"/>
  <c r="NE150" i="2"/>
  <c r="TI113" i="2"/>
  <c r="TH112" i="2"/>
  <c r="HJ26" i="2"/>
  <c r="HJ33" i="2"/>
  <c r="HT134" i="2"/>
  <c r="HT124" i="2"/>
  <c r="HV113" i="2"/>
  <c r="HU112" i="2"/>
  <c r="HU119" i="2" s="1"/>
  <c r="NF124" i="2"/>
  <c r="NF128" i="2" s="1"/>
  <c r="NF134" i="2"/>
  <c r="HJ48" i="2"/>
  <c r="NG135" i="2"/>
  <c r="HJ23" i="2"/>
  <c r="MU4" i="2"/>
  <c r="HY135" i="2"/>
  <c r="NH125" i="2"/>
  <c r="HW125" i="2"/>
  <c r="NG113" i="2"/>
  <c r="NG112" i="2" s="1"/>
  <c r="NG119" i="2" s="1"/>
  <c r="HP87" i="2"/>
  <c r="CJ111" i="2"/>
  <c r="HO81" i="2"/>
  <c r="HJ40" i="2"/>
  <c r="HJ34" i="2"/>
  <c r="HJ32" i="2"/>
  <c r="HJ27" i="2"/>
  <c r="CB23" i="2"/>
  <c r="HK4" i="2"/>
  <c r="HK41" i="2" s="1"/>
  <c r="NF140" i="2" l="1"/>
  <c r="HT137" i="2"/>
  <c r="HT127" i="2"/>
  <c r="HT136" i="2"/>
  <c r="HT140" i="2"/>
  <c r="NG117" i="2"/>
  <c r="HT139" i="2"/>
  <c r="NG116" i="2"/>
  <c r="HU115" i="2"/>
  <c r="HT128" i="2"/>
  <c r="NF141" i="2"/>
  <c r="NF137" i="2"/>
  <c r="HT150" i="2"/>
  <c r="NF142" i="2"/>
  <c r="NF139" i="2"/>
  <c r="NF136" i="2"/>
  <c r="HU118" i="2"/>
  <c r="HU117" i="2"/>
  <c r="HT142" i="2"/>
  <c r="HT126" i="2"/>
  <c r="HT138" i="2"/>
  <c r="NF127" i="2"/>
  <c r="NF138" i="2"/>
  <c r="NG118" i="2"/>
  <c r="NF129" i="2"/>
  <c r="NF126" i="2"/>
  <c r="NG114" i="2"/>
  <c r="HT144" i="2"/>
  <c r="HT129" i="2"/>
  <c r="HU114" i="2"/>
  <c r="HT141" i="2"/>
  <c r="NG115" i="2"/>
  <c r="NF144" i="2"/>
  <c r="HU116" i="2"/>
  <c r="HN2" i="2"/>
  <c r="HM199" i="2"/>
  <c r="HM193" i="2" s="1"/>
  <c r="CJ110" i="2"/>
  <c r="CJ107" i="2" s="1"/>
  <c r="TI112" i="2"/>
  <c r="TJ113" i="2"/>
  <c r="HK26" i="2"/>
  <c r="HK33" i="2"/>
  <c r="NF150" i="2"/>
  <c r="NG124" i="2"/>
  <c r="NG134" i="2"/>
  <c r="HU134" i="2"/>
  <c r="HU124" i="2"/>
  <c r="HW113" i="2"/>
  <c r="HV112" i="2"/>
  <c r="HV119" i="2" s="1"/>
  <c r="HK48" i="2"/>
  <c r="HK23" i="2"/>
  <c r="MV4" i="2"/>
  <c r="NH135" i="2"/>
  <c r="HZ135" i="2"/>
  <c r="NI125" i="2"/>
  <c r="HX125" i="2"/>
  <c r="NH113" i="2"/>
  <c r="NH112" i="2" s="1"/>
  <c r="NH119" i="2" s="1"/>
  <c r="HQ87" i="2"/>
  <c r="CK111" i="2"/>
  <c r="HP81" i="2"/>
  <c r="HK34" i="2"/>
  <c r="HK40" i="2"/>
  <c r="HK32" i="2"/>
  <c r="HK27" i="2"/>
  <c r="CC23" i="2"/>
  <c r="HL4" i="2"/>
  <c r="HL41" i="2" s="1"/>
  <c r="NG137" i="2" l="1"/>
  <c r="NG138" i="2"/>
  <c r="NG126" i="2"/>
  <c r="NG127" i="2"/>
  <c r="NG129" i="2"/>
  <c r="NG140" i="2"/>
  <c r="HV116" i="2"/>
  <c r="NG144" i="2"/>
  <c r="NH114" i="2"/>
  <c r="HU150" i="2"/>
  <c r="NH116" i="2"/>
  <c r="HU136" i="2"/>
  <c r="HU139" i="2"/>
  <c r="HU142" i="2"/>
  <c r="NG141" i="2"/>
  <c r="HU137" i="2"/>
  <c r="NH115" i="2"/>
  <c r="NH118" i="2"/>
  <c r="HV117" i="2"/>
  <c r="HU140" i="2"/>
  <c r="NH117" i="2"/>
  <c r="HU141" i="2"/>
  <c r="HV118" i="2"/>
  <c r="HU128" i="2"/>
  <c r="NG128" i="2"/>
  <c r="HV114" i="2"/>
  <c r="NG136" i="2"/>
  <c r="HV115" i="2"/>
  <c r="HU129" i="2"/>
  <c r="HU138" i="2"/>
  <c r="NG139" i="2"/>
  <c r="HU127" i="2"/>
  <c r="HU144" i="2"/>
  <c r="HU126" i="2"/>
  <c r="NG142" i="2"/>
  <c r="CK110" i="2"/>
  <c r="CK107" i="2" s="1"/>
  <c r="HO2" i="2"/>
  <c r="HN199" i="2"/>
  <c r="HN193" i="2" s="1"/>
  <c r="TJ112" i="2"/>
  <c r="TK113" i="2"/>
  <c r="NG150" i="2"/>
  <c r="HL33" i="2"/>
  <c r="HL26" i="2"/>
  <c r="NH134" i="2"/>
  <c r="NH124" i="2"/>
  <c r="HV134" i="2"/>
  <c r="HV124" i="2"/>
  <c r="HX113" i="2"/>
  <c r="HW112" i="2"/>
  <c r="HL48" i="2"/>
  <c r="NI135" i="2"/>
  <c r="HL23" i="2"/>
  <c r="MW4" i="2"/>
  <c r="IA135" i="2"/>
  <c r="NJ125" i="2"/>
  <c r="HY125" i="2"/>
  <c r="NI113" i="2"/>
  <c r="NI112" i="2" s="1"/>
  <c r="NI119" i="2" s="1"/>
  <c r="HR87" i="2"/>
  <c r="CL111" i="2"/>
  <c r="HQ81" i="2"/>
  <c r="HL40" i="2"/>
  <c r="HL34" i="2"/>
  <c r="HL32" i="2"/>
  <c r="HL27" i="2"/>
  <c r="CD23" i="2"/>
  <c r="HM4" i="2"/>
  <c r="HM41" i="2" s="1"/>
  <c r="NH139" i="2" l="1"/>
  <c r="HW115" i="2"/>
  <c r="HW116" i="2"/>
  <c r="NH129" i="2"/>
  <c r="NH136" i="2"/>
  <c r="NH142" i="2"/>
  <c r="HV141" i="2"/>
  <c r="HV142" i="2"/>
  <c r="NI116" i="2"/>
  <c r="NI117" i="2"/>
  <c r="HV150" i="2"/>
  <c r="HV126" i="2"/>
  <c r="NH127" i="2"/>
  <c r="HV140" i="2"/>
  <c r="NH144" i="2"/>
  <c r="NH140" i="2"/>
  <c r="HV144" i="2"/>
  <c r="HW114" i="2"/>
  <c r="HW117" i="2"/>
  <c r="HV139" i="2"/>
  <c r="NI114" i="2"/>
  <c r="HV127" i="2"/>
  <c r="NH128" i="2"/>
  <c r="NI118" i="2"/>
  <c r="NH137" i="2"/>
  <c r="HV128" i="2"/>
  <c r="NI115" i="2"/>
  <c r="HV136" i="2"/>
  <c r="HW119" i="2"/>
  <c r="HV138" i="2"/>
  <c r="HW118" i="2"/>
  <c r="HV137" i="2"/>
  <c r="NH126" i="2"/>
  <c r="HV129" i="2"/>
  <c r="NH138" i="2"/>
  <c r="NH141" i="2"/>
  <c r="HP2" i="2"/>
  <c r="HO199" i="2"/>
  <c r="HO193" i="2" s="1"/>
  <c r="CL110" i="2"/>
  <c r="CL107" i="2" s="1"/>
  <c r="TL113" i="2"/>
  <c r="TK112" i="2"/>
  <c r="HM33" i="2"/>
  <c r="HM26" i="2"/>
  <c r="HY113" i="2"/>
  <c r="HX112" i="2"/>
  <c r="NH150" i="2"/>
  <c r="NI134" i="2"/>
  <c r="NI124" i="2"/>
  <c r="HW134" i="2"/>
  <c r="HW124" i="2"/>
  <c r="HM48" i="2"/>
  <c r="NJ135" i="2"/>
  <c r="HM23" i="2"/>
  <c r="MX4" i="2"/>
  <c r="IB135" i="2"/>
  <c r="NK125" i="2"/>
  <c r="HZ125" i="2"/>
  <c r="NJ113" i="2"/>
  <c r="NJ112" i="2" s="1"/>
  <c r="NJ119" i="2" s="1"/>
  <c r="HS87" i="2"/>
  <c r="CM111" i="2"/>
  <c r="HR81" i="2"/>
  <c r="HM34" i="2"/>
  <c r="HM40" i="2"/>
  <c r="HM32" i="2"/>
  <c r="HM27" i="2"/>
  <c r="CE23" i="2"/>
  <c r="HN4" i="2"/>
  <c r="HN41" i="2" s="1"/>
  <c r="HX116" i="2" l="1"/>
  <c r="HX118" i="2"/>
  <c r="NI142" i="2"/>
  <c r="HX119" i="2"/>
  <c r="NI141" i="2"/>
  <c r="NI138" i="2"/>
  <c r="NI139" i="2"/>
  <c r="NI128" i="2"/>
  <c r="NI144" i="2"/>
  <c r="NJ116" i="2"/>
  <c r="HW127" i="2"/>
  <c r="HW140" i="2"/>
  <c r="HW142" i="2"/>
  <c r="NJ114" i="2"/>
  <c r="NI127" i="2"/>
  <c r="HW141" i="2"/>
  <c r="HW129" i="2"/>
  <c r="HW136" i="2"/>
  <c r="HW139" i="2"/>
  <c r="HW126" i="2"/>
  <c r="HX115" i="2"/>
  <c r="NI126" i="2"/>
  <c r="NJ115" i="2"/>
  <c r="HX117" i="2"/>
  <c r="HW150" i="2"/>
  <c r="HW137" i="2"/>
  <c r="HW128" i="2"/>
  <c r="HX114" i="2"/>
  <c r="NI129" i="2"/>
  <c r="NI137" i="2"/>
  <c r="HW144" i="2"/>
  <c r="NJ117" i="2"/>
  <c r="HW138" i="2"/>
  <c r="NJ118" i="2"/>
  <c r="NI140" i="2"/>
  <c r="NI136" i="2"/>
  <c r="CM110" i="2"/>
  <c r="CM107" i="2" s="1"/>
  <c r="HQ2" i="2"/>
  <c r="HP199" i="2"/>
  <c r="HP193" i="2" s="1"/>
  <c r="TL112" i="2"/>
  <c r="TM113" i="2"/>
  <c r="HN26" i="2"/>
  <c r="HN33" i="2"/>
  <c r="NI150" i="2"/>
  <c r="HZ113" i="2"/>
  <c r="HY112" i="2"/>
  <c r="NJ134" i="2"/>
  <c r="NJ124" i="2"/>
  <c r="HX124" i="2"/>
  <c r="HX134" i="2"/>
  <c r="HN48" i="2"/>
  <c r="NK135" i="2"/>
  <c r="HN23" i="2"/>
  <c r="MY4" i="2"/>
  <c r="IC135" i="2"/>
  <c r="NL125" i="2"/>
  <c r="IA125" i="2"/>
  <c r="NK113" i="2"/>
  <c r="NK112" i="2" s="1"/>
  <c r="NK119" i="2" s="1"/>
  <c r="HT87" i="2"/>
  <c r="CN111" i="2"/>
  <c r="HS81" i="2"/>
  <c r="HN40" i="2"/>
  <c r="HN34" i="2"/>
  <c r="HN32" i="2"/>
  <c r="HN27" i="2"/>
  <c r="CF23" i="2"/>
  <c r="HO4" i="2"/>
  <c r="HO41" i="2" s="1"/>
  <c r="HY116" i="2" l="1"/>
  <c r="NJ141" i="2"/>
  <c r="HY118" i="2"/>
  <c r="NJ129" i="2"/>
  <c r="NJ136" i="2"/>
  <c r="HY115" i="2"/>
  <c r="NJ126" i="2"/>
  <c r="NK114" i="2"/>
  <c r="NK116" i="2"/>
  <c r="HY119" i="2"/>
  <c r="NJ144" i="2"/>
  <c r="NJ140" i="2"/>
  <c r="HY114" i="2"/>
  <c r="HX126" i="2"/>
  <c r="NJ138" i="2"/>
  <c r="NJ128" i="2"/>
  <c r="NK118" i="2"/>
  <c r="HX128" i="2"/>
  <c r="HX139" i="2"/>
  <c r="HX142" i="2"/>
  <c r="NJ139" i="2"/>
  <c r="HX138" i="2"/>
  <c r="HX137" i="2"/>
  <c r="HX136" i="2"/>
  <c r="HX140" i="2"/>
  <c r="NK117" i="2"/>
  <c r="HX150" i="2"/>
  <c r="HX129" i="2"/>
  <c r="HX127" i="2"/>
  <c r="HX144" i="2"/>
  <c r="HY117" i="2"/>
  <c r="HX141" i="2"/>
  <c r="NJ142" i="2"/>
  <c r="NJ137" i="2"/>
  <c r="NK115" i="2"/>
  <c r="NJ127" i="2"/>
  <c r="HR2" i="2"/>
  <c r="HQ199" i="2"/>
  <c r="HQ193" i="2" s="1"/>
  <c r="CN110" i="2"/>
  <c r="CN107" i="2"/>
  <c r="TN113" i="2"/>
  <c r="TM112" i="2"/>
  <c r="HO26" i="2"/>
  <c r="HO33" i="2"/>
  <c r="NJ150" i="2"/>
  <c r="NK134" i="2"/>
  <c r="NK124" i="2"/>
  <c r="HY124" i="2"/>
  <c r="HY134" i="2"/>
  <c r="HZ112" i="2"/>
  <c r="HZ116" i="2" s="1"/>
  <c r="IA113" i="2"/>
  <c r="HO48" i="2"/>
  <c r="NL135" i="2"/>
  <c r="HO23" i="2"/>
  <c r="MZ4" i="2"/>
  <c r="ID135" i="2"/>
  <c r="NM125" i="2"/>
  <c r="IB125" i="2"/>
  <c r="NL113" i="2"/>
  <c r="NL112" i="2" s="1"/>
  <c r="NL119" i="2" s="1"/>
  <c r="HU87" i="2"/>
  <c r="CO111" i="2"/>
  <c r="HT81" i="2"/>
  <c r="HO34" i="2"/>
  <c r="HO40" i="2"/>
  <c r="HO32" i="2"/>
  <c r="HO27" i="2"/>
  <c r="CG23" i="2"/>
  <c r="HP4" i="2"/>
  <c r="HP41" i="2" s="1"/>
  <c r="NK142" i="2" l="1"/>
  <c r="NK136" i="2"/>
  <c r="HY127" i="2"/>
  <c r="HY129" i="2"/>
  <c r="NK127" i="2"/>
  <c r="NK139" i="2"/>
  <c r="NK137" i="2"/>
  <c r="HY138" i="2"/>
  <c r="HY126" i="2"/>
  <c r="NL116" i="2"/>
  <c r="HZ114" i="2"/>
  <c r="NL114" i="2"/>
  <c r="NL115" i="2"/>
  <c r="HY142" i="2"/>
  <c r="NK140" i="2"/>
  <c r="NK126" i="2"/>
  <c r="HY150" i="2"/>
  <c r="HY139" i="2"/>
  <c r="NK144" i="2"/>
  <c r="HZ118" i="2"/>
  <c r="NL117" i="2"/>
  <c r="HY128" i="2"/>
  <c r="HZ119" i="2"/>
  <c r="NK141" i="2"/>
  <c r="HY141" i="2"/>
  <c r="HY140" i="2"/>
  <c r="NL118" i="2"/>
  <c r="HZ115" i="2"/>
  <c r="HZ117" i="2"/>
  <c r="HY136" i="2"/>
  <c r="NK128" i="2"/>
  <c r="NK129" i="2"/>
  <c r="HY144" i="2"/>
  <c r="HY137" i="2"/>
  <c r="NK138" i="2"/>
  <c r="CO110" i="2"/>
  <c r="CO107" i="2" s="1"/>
  <c r="HS2" i="2"/>
  <c r="HR199" i="2"/>
  <c r="HR193" i="2" s="1"/>
  <c r="TO113" i="2"/>
  <c r="TN112" i="2"/>
  <c r="HP33" i="2"/>
  <c r="HP26" i="2"/>
  <c r="NK150" i="2"/>
  <c r="NL124" i="2"/>
  <c r="NL134" i="2"/>
  <c r="IA112" i="2"/>
  <c r="IA116" i="2" s="1"/>
  <c r="IB113" i="2"/>
  <c r="HZ124" i="2"/>
  <c r="HZ134" i="2"/>
  <c r="HP48" i="2"/>
  <c r="NM135" i="2"/>
  <c r="HP23" i="2"/>
  <c r="NA4" i="2"/>
  <c r="IE135" i="2"/>
  <c r="NN125" i="2"/>
  <c r="IC125" i="2"/>
  <c r="NM113" i="2"/>
  <c r="NM112" i="2" s="1"/>
  <c r="NM119" i="2" s="1"/>
  <c r="HV87" i="2"/>
  <c r="CP111" i="2"/>
  <c r="HU81" i="2"/>
  <c r="HP34" i="2"/>
  <c r="HP40" i="2"/>
  <c r="HP32" i="2"/>
  <c r="HP27" i="2"/>
  <c r="CH23" i="2"/>
  <c r="HQ4" i="2"/>
  <c r="HQ41" i="2" s="1"/>
  <c r="NL139" i="2" l="1"/>
  <c r="NL129" i="2"/>
  <c r="HZ127" i="2"/>
  <c r="IA115" i="2"/>
  <c r="NL141" i="2"/>
  <c r="IA118" i="2"/>
  <c r="NL138" i="2"/>
  <c r="HZ137" i="2"/>
  <c r="NL142" i="2"/>
  <c r="HZ142" i="2"/>
  <c r="HZ126" i="2"/>
  <c r="NM118" i="2"/>
  <c r="HZ129" i="2"/>
  <c r="HZ138" i="2"/>
  <c r="HZ140" i="2"/>
  <c r="NL144" i="2"/>
  <c r="NM115" i="2"/>
  <c r="HZ144" i="2"/>
  <c r="HZ141" i="2"/>
  <c r="HZ139" i="2"/>
  <c r="NM114" i="2"/>
  <c r="NL127" i="2"/>
  <c r="HZ150" i="2"/>
  <c r="IA114" i="2"/>
  <c r="NL136" i="2"/>
  <c r="NL128" i="2"/>
  <c r="IA119" i="2"/>
  <c r="NL137" i="2"/>
  <c r="HZ136" i="2"/>
  <c r="HZ128" i="2"/>
  <c r="NL126" i="2"/>
  <c r="IA117" i="2"/>
  <c r="NM117" i="2"/>
  <c r="NL140" i="2"/>
  <c r="NM116" i="2"/>
  <c r="NL150" i="2"/>
  <c r="HT2" i="2"/>
  <c r="HS199" i="2"/>
  <c r="HS193" i="2" s="1"/>
  <c r="CP110" i="2"/>
  <c r="CP107" i="2"/>
  <c r="TO112" i="2"/>
  <c r="TP113" i="2"/>
  <c r="HQ33" i="2"/>
  <c r="HQ26" i="2"/>
  <c r="IA124" i="2"/>
  <c r="IA134" i="2"/>
  <c r="IB112" i="2"/>
  <c r="IB116" i="2" s="1"/>
  <c r="IC113" i="2"/>
  <c r="NM124" i="2"/>
  <c r="NM134" i="2"/>
  <c r="HQ48" i="2"/>
  <c r="NN135" i="2"/>
  <c r="HQ23" i="2"/>
  <c r="NB4" i="2"/>
  <c r="IF135" i="2"/>
  <c r="NO125" i="2"/>
  <c r="ID125" i="2"/>
  <c r="NN113" i="2"/>
  <c r="NN112" i="2" s="1"/>
  <c r="NN119" i="2" s="1"/>
  <c r="HW87" i="2"/>
  <c r="CQ111" i="2"/>
  <c r="HV81" i="2"/>
  <c r="HQ40" i="2"/>
  <c r="HQ34" i="2"/>
  <c r="HQ32" i="2"/>
  <c r="HQ27" i="2"/>
  <c r="CI23" i="2"/>
  <c r="HR4" i="2"/>
  <c r="HR41" i="2" s="1"/>
  <c r="IA127" i="2" l="1"/>
  <c r="NM138" i="2"/>
  <c r="IA140" i="2"/>
  <c r="IA136" i="2"/>
  <c r="IA142" i="2"/>
  <c r="NM127" i="2"/>
  <c r="NN116" i="2"/>
  <c r="IB117" i="2"/>
  <c r="IA141" i="2"/>
  <c r="NM141" i="2"/>
  <c r="NM144" i="2"/>
  <c r="IA126" i="2"/>
  <c r="NM140" i="2"/>
  <c r="NM137" i="2"/>
  <c r="NN114" i="2"/>
  <c r="IA137" i="2"/>
  <c r="NM142" i="2"/>
  <c r="NN117" i="2"/>
  <c r="IB119" i="2"/>
  <c r="IA139" i="2"/>
  <c r="IA138" i="2"/>
  <c r="IB115" i="2"/>
  <c r="NM128" i="2"/>
  <c r="IA129" i="2"/>
  <c r="NM129" i="2"/>
  <c r="NM136" i="2"/>
  <c r="IA144" i="2"/>
  <c r="IB118" i="2"/>
  <c r="NM126" i="2"/>
  <c r="IB114" i="2"/>
  <c r="NN118" i="2"/>
  <c r="NM139" i="2"/>
  <c r="IA128" i="2"/>
  <c r="IA150" i="2"/>
  <c r="NN115" i="2"/>
  <c r="CQ110" i="2"/>
  <c r="CQ107" i="2"/>
  <c r="HU2" i="2"/>
  <c r="HT199" i="2"/>
  <c r="HT193" i="2" s="1"/>
  <c r="TQ113" i="2"/>
  <c r="TP112" i="2"/>
  <c r="HR26" i="2"/>
  <c r="HR33" i="2"/>
  <c r="IC112" i="2"/>
  <c r="IC116" i="2" s="1"/>
  <c r="ID113" i="2"/>
  <c r="IB134" i="2"/>
  <c r="IB124" i="2"/>
  <c r="IB127" i="2" s="1"/>
  <c r="NN124" i="2"/>
  <c r="NN134" i="2"/>
  <c r="NM150" i="2"/>
  <c r="HR48" i="2"/>
  <c r="NO135" i="2"/>
  <c r="HR23" i="2"/>
  <c r="NC4" i="2"/>
  <c r="IG135" i="2"/>
  <c r="NP125" i="2"/>
  <c r="IE125" i="2"/>
  <c r="NO113" i="2"/>
  <c r="NO112" i="2" s="1"/>
  <c r="NO119" i="2" s="1"/>
  <c r="HX87" i="2"/>
  <c r="CR111" i="2"/>
  <c r="HW81" i="2"/>
  <c r="HR34" i="2"/>
  <c r="HR40" i="2"/>
  <c r="HR32" i="2"/>
  <c r="HR27" i="2"/>
  <c r="CJ23" i="2"/>
  <c r="HS4" i="2"/>
  <c r="HS41" i="2" s="1"/>
  <c r="NN127" i="2" l="1"/>
  <c r="IB150" i="2"/>
  <c r="NO115" i="2"/>
  <c r="IB137" i="2"/>
  <c r="NN126" i="2"/>
  <c r="IB144" i="2"/>
  <c r="NN128" i="2"/>
  <c r="IC114" i="2"/>
  <c r="IB141" i="2"/>
  <c r="NN142" i="2"/>
  <c r="IB126" i="2"/>
  <c r="NN144" i="2"/>
  <c r="IC117" i="2"/>
  <c r="NO114" i="2"/>
  <c r="NN141" i="2"/>
  <c r="IB128" i="2"/>
  <c r="IC118" i="2"/>
  <c r="IC115" i="2"/>
  <c r="NN137" i="2"/>
  <c r="IB136" i="2"/>
  <c r="IB138" i="2"/>
  <c r="NN140" i="2"/>
  <c r="NO116" i="2"/>
  <c r="NN139" i="2"/>
  <c r="NN136" i="2"/>
  <c r="IB139" i="2"/>
  <c r="IB142" i="2"/>
  <c r="NN138" i="2"/>
  <c r="NO118" i="2"/>
  <c r="NN129" i="2"/>
  <c r="IC119" i="2"/>
  <c r="IB140" i="2"/>
  <c r="IB129" i="2"/>
  <c r="NO117" i="2"/>
  <c r="HV2" i="2"/>
  <c r="HU199" i="2"/>
  <c r="HU193" i="2" s="1"/>
  <c r="CR110" i="2"/>
  <c r="CR107" i="2" s="1"/>
  <c r="TQ112" i="2"/>
  <c r="TR113" i="2"/>
  <c r="HS33" i="2"/>
  <c r="HS26" i="2"/>
  <c r="NO124" i="2"/>
  <c r="NO127" i="2" s="1"/>
  <c r="NO134" i="2"/>
  <c r="NN150" i="2"/>
  <c r="IC134" i="2"/>
  <c r="IC124" i="2"/>
  <c r="IC127" i="2" s="1"/>
  <c r="ID112" i="2"/>
  <c r="ID116" i="2" s="1"/>
  <c r="IE113" i="2"/>
  <c r="HS48" i="2"/>
  <c r="HS23" i="2"/>
  <c r="ND4" i="2"/>
  <c r="NP135" i="2"/>
  <c r="IH135" i="2"/>
  <c r="NQ125" i="2"/>
  <c r="IF125" i="2"/>
  <c r="NP113" i="2"/>
  <c r="NP112" i="2" s="1"/>
  <c r="NP119" i="2" s="1"/>
  <c r="HY87" i="2"/>
  <c r="CS111" i="2"/>
  <c r="HX81" i="2"/>
  <c r="HS40" i="2"/>
  <c r="HS34" i="2"/>
  <c r="HS32" i="2"/>
  <c r="HS27" i="2"/>
  <c r="CK23" i="2"/>
  <c r="HT4" i="2"/>
  <c r="HT41" i="2" s="1"/>
  <c r="NO138" i="2" l="1"/>
  <c r="IC129" i="2"/>
  <c r="NP117" i="2"/>
  <c r="NP118" i="2"/>
  <c r="IC138" i="2"/>
  <c r="NP114" i="2"/>
  <c r="IC126" i="2"/>
  <c r="IC144" i="2"/>
  <c r="NO142" i="2"/>
  <c r="IC142" i="2"/>
  <c r="IC136" i="2"/>
  <c r="ID117" i="2"/>
  <c r="IC141" i="2"/>
  <c r="IC139" i="2"/>
  <c r="NO137" i="2"/>
  <c r="IC150" i="2"/>
  <c r="ID114" i="2"/>
  <c r="NP115" i="2"/>
  <c r="NO136" i="2"/>
  <c r="ID115" i="2"/>
  <c r="NO144" i="2"/>
  <c r="IC140" i="2"/>
  <c r="NO139" i="2"/>
  <c r="ID118" i="2"/>
  <c r="IC137" i="2"/>
  <c r="ID119" i="2"/>
  <c r="NP116" i="2"/>
  <c r="IC128" i="2"/>
  <c r="NO128" i="2"/>
  <c r="NP128" i="2" s="1"/>
  <c r="NO129" i="2"/>
  <c r="NP129" i="2" s="1"/>
  <c r="NO140" i="2"/>
  <c r="NO141" i="2"/>
  <c r="NO126" i="2"/>
  <c r="CS110" i="2"/>
  <c r="CS107" i="2" s="1"/>
  <c r="HW2" i="2"/>
  <c r="HV199" i="2"/>
  <c r="HV193" i="2" s="1"/>
  <c r="TR112" i="2"/>
  <c r="TS113" i="2"/>
  <c r="HT33" i="2"/>
  <c r="HT26" i="2"/>
  <c r="IE112" i="2"/>
  <c r="IE116" i="2" s="1"/>
  <c r="IF113" i="2"/>
  <c r="NP134" i="2"/>
  <c r="NP124" i="2"/>
  <c r="NP127" i="2" s="1"/>
  <c r="NO150" i="2"/>
  <c r="ID134" i="2"/>
  <c r="ID124" i="2"/>
  <c r="ID127" i="2" s="1"/>
  <c r="HT48" i="2"/>
  <c r="NQ135" i="2"/>
  <c r="HT23" i="2"/>
  <c r="NE4" i="2"/>
  <c r="II135" i="2"/>
  <c r="NR125" i="2"/>
  <c r="IG125" i="2"/>
  <c r="NQ113" i="2"/>
  <c r="NQ112" i="2" s="1"/>
  <c r="NQ117" i="2" s="1"/>
  <c r="HZ87" i="2"/>
  <c r="CT111" i="2"/>
  <c r="HY81" i="2"/>
  <c r="HT40" i="2"/>
  <c r="HT34" i="2"/>
  <c r="HT32" i="2"/>
  <c r="HT27" i="2"/>
  <c r="CL23" i="2"/>
  <c r="HU4" i="2"/>
  <c r="HU41" i="2" s="1"/>
  <c r="NP140" i="2" l="1"/>
  <c r="NP141" i="2"/>
  <c r="NP126" i="2"/>
  <c r="IE119" i="2"/>
  <c r="NQ115" i="2"/>
  <c r="ID136" i="2"/>
  <c r="ID126" i="2"/>
  <c r="ID137" i="2"/>
  <c r="IE114" i="2"/>
  <c r="ID142" i="2"/>
  <c r="NQ114" i="2"/>
  <c r="IE118" i="2"/>
  <c r="ID150" i="2"/>
  <c r="ID129" i="2"/>
  <c r="ID138" i="2"/>
  <c r="NP139" i="2"/>
  <c r="NP137" i="2"/>
  <c r="NP142" i="2"/>
  <c r="NQ118" i="2"/>
  <c r="ID140" i="2"/>
  <c r="ID139" i="2"/>
  <c r="NP144" i="2"/>
  <c r="ID144" i="2"/>
  <c r="ID128" i="2"/>
  <c r="IE115" i="2"/>
  <c r="ID141" i="2"/>
  <c r="IE141" i="2" s="1"/>
  <c r="NP138" i="2"/>
  <c r="NQ119" i="2"/>
  <c r="NQ116" i="2"/>
  <c r="NP136" i="2"/>
  <c r="IE117" i="2"/>
  <c r="CT110" i="2"/>
  <c r="CT107" i="2" s="1"/>
  <c r="HX2" i="2"/>
  <c r="HW199" i="2"/>
  <c r="HW193" i="2" s="1"/>
  <c r="TT113" i="2"/>
  <c r="TS112" i="2"/>
  <c r="HU33" i="2"/>
  <c r="HU26" i="2"/>
  <c r="IE134" i="2"/>
  <c r="IE124" i="2"/>
  <c r="IE127" i="2" s="1"/>
  <c r="NP150" i="2"/>
  <c r="NQ134" i="2"/>
  <c r="NQ124" i="2"/>
  <c r="IF112" i="2"/>
  <c r="IF116" i="2" s="1"/>
  <c r="IG113" i="2"/>
  <c r="HU48" i="2"/>
  <c r="NR135" i="2"/>
  <c r="HU23" i="2"/>
  <c r="NF4" i="2"/>
  <c r="IJ135" i="2"/>
  <c r="NS125" i="2"/>
  <c r="IH125" i="2"/>
  <c r="NR113" i="2"/>
  <c r="NR112" i="2" s="1"/>
  <c r="NR117" i="2" s="1"/>
  <c r="IA87" i="2"/>
  <c r="CU111" i="2"/>
  <c r="HZ81" i="2"/>
  <c r="HU40" i="2"/>
  <c r="HU32" i="2"/>
  <c r="HU34" i="2"/>
  <c r="HU27" i="2"/>
  <c r="CM23" i="2"/>
  <c r="HV4" i="2"/>
  <c r="HV41" i="2" s="1"/>
  <c r="NQ126" i="2" l="1"/>
  <c r="IE150" i="2"/>
  <c r="IE128" i="2"/>
  <c r="IF117" i="2"/>
  <c r="IE136" i="2"/>
  <c r="IE144" i="2"/>
  <c r="NQ129" i="2"/>
  <c r="IE126" i="2"/>
  <c r="NR118" i="2"/>
  <c r="IF118" i="2"/>
  <c r="NQ136" i="2"/>
  <c r="NQ142" i="2"/>
  <c r="NQ141" i="2"/>
  <c r="NR115" i="2"/>
  <c r="NR116" i="2"/>
  <c r="NQ144" i="2"/>
  <c r="NQ137" i="2"/>
  <c r="NR114" i="2"/>
  <c r="IF119" i="2"/>
  <c r="NR119" i="2"/>
  <c r="NQ128" i="2"/>
  <c r="NQ139" i="2"/>
  <c r="IE142" i="2"/>
  <c r="NQ138" i="2"/>
  <c r="NQ140" i="2"/>
  <c r="IF114" i="2"/>
  <c r="NQ127" i="2"/>
  <c r="IE139" i="2"/>
  <c r="IE138" i="2"/>
  <c r="IE137" i="2"/>
  <c r="IF137" i="2" s="1"/>
  <c r="IF115" i="2"/>
  <c r="IE140" i="2"/>
  <c r="IE129" i="2"/>
  <c r="HY2" i="2"/>
  <c r="HX199" i="2"/>
  <c r="HX193" i="2" s="1"/>
  <c r="CU110" i="2"/>
  <c r="CU107" i="2"/>
  <c r="TT112" i="2"/>
  <c r="TU113" i="2"/>
  <c r="HV26" i="2"/>
  <c r="HV33" i="2"/>
  <c r="NQ150" i="2"/>
  <c r="IG112" i="2"/>
  <c r="IG116" i="2" s="1"/>
  <c r="IH113" i="2"/>
  <c r="IF124" i="2"/>
  <c r="IF127" i="2" s="1"/>
  <c r="IF134" i="2"/>
  <c r="NR134" i="2"/>
  <c r="NR124" i="2"/>
  <c r="NR126" i="2" s="1"/>
  <c r="HV48" i="2"/>
  <c r="NS135" i="2"/>
  <c r="HV23" i="2"/>
  <c r="NG4" i="2"/>
  <c r="IK135" i="2"/>
  <c r="NT125" i="2"/>
  <c r="II125" i="2"/>
  <c r="NS113" i="2"/>
  <c r="NS112" i="2" s="1"/>
  <c r="NS117" i="2" s="1"/>
  <c r="IB87" i="2"/>
  <c r="CV111" i="2"/>
  <c r="IA81" i="2"/>
  <c r="HV40" i="2"/>
  <c r="HV34" i="2"/>
  <c r="HV27" i="2"/>
  <c r="HV32" i="2"/>
  <c r="CN23" i="2"/>
  <c r="HW4" i="2"/>
  <c r="HW41" i="2" s="1"/>
  <c r="IF129" i="2" l="1"/>
  <c r="IF140" i="2"/>
  <c r="IG119" i="2"/>
  <c r="IG114" i="2"/>
  <c r="NR127" i="2"/>
  <c r="NS119" i="2"/>
  <c r="NR142" i="2"/>
  <c r="IF150" i="2"/>
  <c r="NR129" i="2"/>
  <c r="NR140" i="2"/>
  <c r="NS114" i="2"/>
  <c r="NR136" i="2"/>
  <c r="IF128" i="2"/>
  <c r="IG115" i="2"/>
  <c r="NR137" i="2"/>
  <c r="IF136" i="2"/>
  <c r="IG117" i="2"/>
  <c r="NR138" i="2"/>
  <c r="NR144" i="2"/>
  <c r="IG118" i="2"/>
  <c r="IF138" i="2"/>
  <c r="IF142" i="2"/>
  <c r="NS116" i="2"/>
  <c r="NS118" i="2"/>
  <c r="IF139" i="2"/>
  <c r="NR139" i="2"/>
  <c r="NS115" i="2"/>
  <c r="IF144" i="2"/>
  <c r="IF141" i="2"/>
  <c r="NR128" i="2"/>
  <c r="NR141" i="2"/>
  <c r="IF126" i="2"/>
  <c r="CV110" i="2"/>
  <c r="CV107" i="2" s="1"/>
  <c r="HZ2" i="2"/>
  <c r="HY199" i="2"/>
  <c r="HY193" i="2" s="1"/>
  <c r="TV113" i="2"/>
  <c r="TU112" i="2"/>
  <c r="HW26" i="2"/>
  <c r="HW33" i="2"/>
  <c r="IG124" i="2"/>
  <c r="IG127" i="2" s="1"/>
  <c r="IG134" i="2"/>
  <c r="NS134" i="2"/>
  <c r="NS124" i="2"/>
  <c r="NS126" i="2" s="1"/>
  <c r="NR150" i="2"/>
  <c r="IH112" i="2"/>
  <c r="IH116" i="2" s="1"/>
  <c r="II113" i="2"/>
  <c r="HW48" i="2"/>
  <c r="NT135" i="2"/>
  <c r="HW23" i="2"/>
  <c r="NH4" i="2"/>
  <c r="IL135" i="2"/>
  <c r="NU125" i="2"/>
  <c r="IJ125" i="2"/>
  <c r="NT113" i="2"/>
  <c r="NT112" i="2" s="1"/>
  <c r="NT117" i="2" s="1"/>
  <c r="IC87" i="2"/>
  <c r="CW111" i="2"/>
  <c r="IB81" i="2"/>
  <c r="HW40" i="2"/>
  <c r="HW32" i="2"/>
  <c r="HW34" i="2"/>
  <c r="HW27" i="2"/>
  <c r="CO23" i="2"/>
  <c r="HX4" i="2"/>
  <c r="HX41" i="2" s="1"/>
  <c r="NS141" i="2" l="1"/>
  <c r="IG126" i="2"/>
  <c r="IG139" i="2"/>
  <c r="IG137" i="2"/>
  <c r="NS136" i="2"/>
  <c r="IG150" i="2"/>
  <c r="NT118" i="2"/>
  <c r="IG129" i="2"/>
  <c r="NT114" i="2"/>
  <c r="NS142" i="2"/>
  <c r="NT116" i="2"/>
  <c r="IH117" i="2"/>
  <c r="NS140" i="2"/>
  <c r="NT119" i="2"/>
  <c r="NS128" i="2"/>
  <c r="IG142" i="2"/>
  <c r="IG136" i="2"/>
  <c r="IG140" i="2"/>
  <c r="NS127" i="2"/>
  <c r="IG141" i="2"/>
  <c r="IG138" i="2"/>
  <c r="NS137" i="2"/>
  <c r="NS129" i="2"/>
  <c r="IG144" i="2"/>
  <c r="IH118" i="2"/>
  <c r="NT115" i="2"/>
  <c r="NS144" i="2"/>
  <c r="IH115" i="2"/>
  <c r="IH119" i="2"/>
  <c r="NS139" i="2"/>
  <c r="NS138" i="2"/>
  <c r="IG128" i="2"/>
  <c r="IH114" i="2"/>
  <c r="CW110" i="2"/>
  <c r="CW107" i="2" s="1"/>
  <c r="IA2" i="2"/>
  <c r="HZ199" i="2"/>
  <c r="HZ193" i="2" s="1"/>
  <c r="NS150" i="2"/>
  <c r="TW113" i="2"/>
  <c r="TV112" i="2"/>
  <c r="HX33" i="2"/>
  <c r="HX26" i="2"/>
  <c r="NT124" i="2"/>
  <c r="NT126" i="2" s="1"/>
  <c r="NT134" i="2"/>
  <c r="II112" i="2"/>
  <c r="II116" i="2" s="1"/>
  <c r="IJ113" i="2"/>
  <c r="IH124" i="2"/>
  <c r="IH127" i="2" s="1"/>
  <c r="IH134" i="2"/>
  <c r="HX48" i="2"/>
  <c r="NU135" i="2"/>
  <c r="HX23" i="2"/>
  <c r="NI4" i="2"/>
  <c r="IM135" i="2"/>
  <c r="NV125" i="2"/>
  <c r="IK125" i="2"/>
  <c r="NU113" i="2"/>
  <c r="NU112" i="2" s="1"/>
  <c r="NU117" i="2" s="1"/>
  <c r="ID87" i="2"/>
  <c r="CX111" i="2"/>
  <c r="IC81" i="2"/>
  <c r="HX40" i="2"/>
  <c r="HX34" i="2"/>
  <c r="HX32" i="2"/>
  <c r="HX27" i="2"/>
  <c r="CP23" i="2"/>
  <c r="HY4" i="2"/>
  <c r="HY41" i="2" s="1"/>
  <c r="NT138" i="2" l="1"/>
  <c r="NT139" i="2"/>
  <c r="II114" i="2"/>
  <c r="NT127" i="2"/>
  <c r="NU115" i="2"/>
  <c r="IH141" i="2"/>
  <c r="II117" i="2"/>
  <c r="IH150" i="2"/>
  <c r="NU116" i="2"/>
  <c r="NT136" i="2"/>
  <c r="IH128" i="2"/>
  <c r="IH140" i="2"/>
  <c r="NT141" i="2"/>
  <c r="NU141" i="2" s="1"/>
  <c r="IH137" i="2"/>
  <c r="II118" i="2"/>
  <c r="IH136" i="2"/>
  <c r="NT142" i="2"/>
  <c r="IH139" i="2"/>
  <c r="IH144" i="2"/>
  <c r="IH142" i="2"/>
  <c r="NU114" i="2"/>
  <c r="II119" i="2"/>
  <c r="NT129" i="2"/>
  <c r="NT128" i="2"/>
  <c r="IH129" i="2"/>
  <c r="II115" i="2"/>
  <c r="NT137" i="2"/>
  <c r="NU119" i="2"/>
  <c r="NU118" i="2"/>
  <c r="NT144" i="2"/>
  <c r="NU144" i="2" s="1"/>
  <c r="IH138" i="2"/>
  <c r="NT140" i="2"/>
  <c r="IH126" i="2"/>
  <c r="IB2" i="2"/>
  <c r="IA199" i="2"/>
  <c r="IA193" i="2" s="1"/>
  <c r="CX110" i="2"/>
  <c r="CX107" i="2"/>
  <c r="TW112" i="2"/>
  <c r="TX113" i="2"/>
  <c r="HY26" i="2"/>
  <c r="HY33" i="2"/>
  <c r="II124" i="2"/>
  <c r="II127" i="2" s="1"/>
  <c r="II134" i="2"/>
  <c r="NU124" i="2"/>
  <c r="NU134" i="2"/>
  <c r="NT150" i="2"/>
  <c r="IJ112" i="2"/>
  <c r="IJ116" i="2" s="1"/>
  <c r="IK113" i="2"/>
  <c r="HY48" i="2"/>
  <c r="NV135" i="2"/>
  <c r="HY23" i="2"/>
  <c r="NJ4" i="2"/>
  <c r="IN135" i="2"/>
  <c r="NW125" i="2"/>
  <c r="IL125" i="2"/>
  <c r="NV113" i="2"/>
  <c r="NV112" i="2" s="1"/>
  <c r="NV117" i="2" s="1"/>
  <c r="IE87" i="2"/>
  <c r="CY111" i="2"/>
  <c r="ID81" i="2"/>
  <c r="HY34" i="2"/>
  <c r="HY40" i="2"/>
  <c r="HY32" i="2"/>
  <c r="HY27" i="2"/>
  <c r="CQ23" i="2"/>
  <c r="HZ4" i="2"/>
  <c r="HZ41" i="2" s="1"/>
  <c r="NU129" i="2" l="1"/>
  <c r="NU128" i="2"/>
  <c r="NU139" i="2"/>
  <c r="NU140" i="2"/>
  <c r="NU142" i="2"/>
  <c r="IJ115" i="2"/>
  <c r="II150" i="2"/>
  <c r="II126" i="2"/>
  <c r="II129" i="2"/>
  <c r="IJ114" i="2"/>
  <c r="II140" i="2"/>
  <c r="IJ117" i="2"/>
  <c r="II139" i="2"/>
  <c r="II141" i="2"/>
  <c r="II138" i="2"/>
  <c r="II128" i="2"/>
  <c r="NV115" i="2"/>
  <c r="IJ119" i="2"/>
  <c r="II136" i="2"/>
  <c r="NU136" i="2"/>
  <c r="NV114" i="2"/>
  <c r="IJ118" i="2"/>
  <c r="NV116" i="2"/>
  <c r="NU126" i="2"/>
  <c r="NV119" i="2"/>
  <c r="II142" i="2"/>
  <c r="NU138" i="2"/>
  <c r="NU127" i="2"/>
  <c r="NV118" i="2"/>
  <c r="NU137" i="2"/>
  <c r="II144" i="2"/>
  <c r="II137" i="2"/>
  <c r="CY110" i="2"/>
  <c r="CY107" i="2" s="1"/>
  <c r="IC2" i="2"/>
  <c r="IB199" i="2"/>
  <c r="IB193" i="2" s="1"/>
  <c r="TY113" i="2"/>
  <c r="TX112" i="2"/>
  <c r="NU150" i="2"/>
  <c r="HZ26" i="2"/>
  <c r="HZ33" i="2"/>
  <c r="IK112" i="2"/>
  <c r="IK116" i="2" s="1"/>
  <c r="IL113" i="2"/>
  <c r="IJ134" i="2"/>
  <c r="IJ124" i="2"/>
  <c r="IJ127" i="2" s="1"/>
  <c r="NV124" i="2"/>
  <c r="NV134" i="2"/>
  <c r="HZ48" i="2"/>
  <c r="NW135" i="2"/>
  <c r="HZ23" i="2"/>
  <c r="NK4" i="2"/>
  <c r="IO135" i="2"/>
  <c r="NX125" i="2"/>
  <c r="IM125" i="2"/>
  <c r="NW113" i="2"/>
  <c r="NW112" i="2" s="1"/>
  <c r="NW117" i="2" s="1"/>
  <c r="IF87" i="2"/>
  <c r="CZ111" i="2"/>
  <c r="IE81" i="2"/>
  <c r="HZ34" i="2"/>
  <c r="HZ40" i="2"/>
  <c r="HZ32" i="2"/>
  <c r="HZ27" i="2"/>
  <c r="CR23" i="2"/>
  <c r="IA4" i="2"/>
  <c r="IA41" i="2" s="1"/>
  <c r="IJ137" i="2" l="1"/>
  <c r="NW119" i="2"/>
  <c r="NV144" i="2"/>
  <c r="IJ139" i="2"/>
  <c r="IJ150" i="2"/>
  <c r="NV126" i="2"/>
  <c r="NW115" i="2"/>
  <c r="NV128" i="2"/>
  <c r="NV141" i="2"/>
  <c r="IJ144" i="2"/>
  <c r="NW116" i="2"/>
  <c r="IJ128" i="2"/>
  <c r="NV140" i="2"/>
  <c r="NV139" i="2"/>
  <c r="NV137" i="2"/>
  <c r="IK118" i="2"/>
  <c r="NV142" i="2"/>
  <c r="IK117" i="2"/>
  <c r="IK115" i="2"/>
  <c r="NW118" i="2"/>
  <c r="NW114" i="2"/>
  <c r="NV129" i="2"/>
  <c r="IJ140" i="2"/>
  <c r="NV127" i="2"/>
  <c r="NV136" i="2"/>
  <c r="IJ138" i="2"/>
  <c r="IK114" i="2"/>
  <c r="NV138" i="2"/>
  <c r="IJ136" i="2"/>
  <c r="IJ141" i="2"/>
  <c r="IJ129" i="2"/>
  <c r="IK129" i="2" s="1"/>
  <c r="IJ142" i="2"/>
  <c r="IK119" i="2"/>
  <c r="IJ126" i="2"/>
  <c r="ID2" i="2"/>
  <c r="IC199" i="2"/>
  <c r="IC193" i="2" s="1"/>
  <c r="CZ110" i="2"/>
  <c r="CZ107" i="2"/>
  <c r="TY112" i="2"/>
  <c r="TZ113" i="2"/>
  <c r="IA26" i="2"/>
  <c r="IA33" i="2"/>
  <c r="NV150" i="2"/>
  <c r="IK134" i="2"/>
  <c r="IK124" i="2"/>
  <c r="IL112" i="2"/>
  <c r="IL116" i="2" s="1"/>
  <c r="IM113" i="2"/>
  <c r="NW124" i="2"/>
  <c r="NW134" i="2"/>
  <c r="IA48" i="2"/>
  <c r="NX135" i="2"/>
  <c r="IA23" i="2"/>
  <c r="NL4" i="2"/>
  <c r="IP135" i="2"/>
  <c r="NY125" i="2"/>
  <c r="IN125" i="2"/>
  <c r="NX113" i="2"/>
  <c r="NX112" i="2" s="1"/>
  <c r="NX117" i="2" s="1"/>
  <c r="IG87" i="2"/>
  <c r="DA111" i="2"/>
  <c r="IF81" i="2"/>
  <c r="IA40" i="2"/>
  <c r="IA34" i="2"/>
  <c r="IA32" i="2"/>
  <c r="IA27" i="2"/>
  <c r="CS23" i="2"/>
  <c r="IB4" i="2"/>
  <c r="IB41" i="2" s="1"/>
  <c r="IK142" i="2" l="1"/>
  <c r="IK137" i="2"/>
  <c r="IK138" i="2"/>
  <c r="IL114" i="2"/>
  <c r="IK126" i="2"/>
  <c r="NW138" i="2"/>
  <c r="NX118" i="2"/>
  <c r="IK128" i="2"/>
  <c r="IK150" i="2"/>
  <c r="IL115" i="2"/>
  <c r="NX116" i="2"/>
  <c r="IK139" i="2"/>
  <c r="IL117" i="2"/>
  <c r="IK144" i="2"/>
  <c r="NW144" i="2"/>
  <c r="IL119" i="2"/>
  <c r="NW136" i="2"/>
  <c r="NW142" i="2"/>
  <c r="NW141" i="2"/>
  <c r="NX119" i="2"/>
  <c r="NW127" i="2"/>
  <c r="IL118" i="2"/>
  <c r="NW128" i="2"/>
  <c r="IK127" i="2"/>
  <c r="IK140" i="2"/>
  <c r="NW137" i="2"/>
  <c r="NX115" i="2"/>
  <c r="IK141" i="2"/>
  <c r="NW129" i="2"/>
  <c r="NW139" i="2"/>
  <c r="NW126" i="2"/>
  <c r="IK136" i="2"/>
  <c r="NX114" i="2"/>
  <c r="NW140" i="2"/>
  <c r="DA110" i="2"/>
  <c r="DA107" i="2" s="1"/>
  <c r="IE2" i="2"/>
  <c r="ID199" i="2"/>
  <c r="ID193" i="2" s="1"/>
  <c r="TZ112" i="2"/>
  <c r="UA113" i="2"/>
  <c r="NW150" i="2"/>
  <c r="IB33" i="2"/>
  <c r="IB26" i="2"/>
  <c r="IL134" i="2"/>
  <c r="IL124" i="2"/>
  <c r="IM112" i="2"/>
  <c r="IM116" i="2" s="1"/>
  <c r="IN113" i="2"/>
  <c r="NX134" i="2"/>
  <c r="NX124" i="2"/>
  <c r="IB48" i="2"/>
  <c r="NY135" i="2"/>
  <c r="IB23" i="2"/>
  <c r="NM4" i="2"/>
  <c r="IQ135" i="2"/>
  <c r="NZ125" i="2"/>
  <c r="IO125" i="2"/>
  <c r="NY113" i="2"/>
  <c r="NY112" i="2" s="1"/>
  <c r="NY117" i="2" s="1"/>
  <c r="IH87" i="2"/>
  <c r="DB111" i="2"/>
  <c r="IG81" i="2"/>
  <c r="IB40" i="2"/>
  <c r="IB32" i="2"/>
  <c r="IB34" i="2"/>
  <c r="IB27" i="2"/>
  <c r="CT23" i="2"/>
  <c r="IC4" i="2"/>
  <c r="IC41" i="2" s="1"/>
  <c r="IL126" i="2" l="1"/>
  <c r="NX140" i="2"/>
  <c r="IL138" i="2"/>
  <c r="IL140" i="2"/>
  <c r="IL142" i="2"/>
  <c r="IL127" i="2"/>
  <c r="IL136" i="2"/>
  <c r="NY115" i="2"/>
  <c r="IM117" i="2"/>
  <c r="IL150" i="2"/>
  <c r="NX137" i="2"/>
  <c r="NY119" i="2"/>
  <c r="IL128" i="2"/>
  <c r="NY114" i="2"/>
  <c r="NX141" i="2"/>
  <c r="NY118" i="2"/>
  <c r="IL129" i="2"/>
  <c r="NX142" i="2"/>
  <c r="IL139" i="2"/>
  <c r="NX138" i="2"/>
  <c r="NX126" i="2"/>
  <c r="NX136" i="2"/>
  <c r="NY116" i="2"/>
  <c r="NX139" i="2"/>
  <c r="NX128" i="2"/>
  <c r="IM119" i="2"/>
  <c r="IM115" i="2"/>
  <c r="IL137" i="2"/>
  <c r="NX129" i="2"/>
  <c r="IM118" i="2"/>
  <c r="NX144" i="2"/>
  <c r="NY144" i="2" s="1"/>
  <c r="IM114" i="2"/>
  <c r="IL141" i="2"/>
  <c r="NX127" i="2"/>
  <c r="IL144" i="2"/>
  <c r="IF2" i="2"/>
  <c r="IE199" i="2"/>
  <c r="IE193" i="2" s="1"/>
  <c r="DB110" i="2"/>
  <c r="DB107" i="2"/>
  <c r="UB113" i="2"/>
  <c r="UA112" i="2"/>
  <c r="NX150" i="2"/>
  <c r="IC26" i="2"/>
  <c r="IC33" i="2"/>
  <c r="NY134" i="2"/>
  <c r="NY124" i="2"/>
  <c r="IN112" i="2"/>
  <c r="IN116" i="2" s="1"/>
  <c r="IO113" i="2"/>
  <c r="IM134" i="2"/>
  <c r="IM124" i="2"/>
  <c r="IC48" i="2"/>
  <c r="NZ135" i="2"/>
  <c r="IC23" i="2"/>
  <c r="NN4" i="2"/>
  <c r="IR135" i="2"/>
  <c r="OA125" i="2"/>
  <c r="IP125" i="2"/>
  <c r="NZ113" i="2"/>
  <c r="NZ112" i="2" s="1"/>
  <c r="NZ117" i="2" s="1"/>
  <c r="II87" i="2"/>
  <c r="DC111" i="2"/>
  <c r="IH81" i="2"/>
  <c r="CU23" i="2"/>
  <c r="ID4" i="2"/>
  <c r="ID41" i="2" s="1"/>
  <c r="IC40" i="2"/>
  <c r="IC34" i="2"/>
  <c r="IC32" i="2"/>
  <c r="IC27" i="2"/>
  <c r="IM144" i="2" l="1"/>
  <c r="NY140" i="2"/>
  <c r="IM127" i="2"/>
  <c r="NY128" i="2"/>
  <c r="IN115" i="2"/>
  <c r="NY126" i="2"/>
  <c r="NY138" i="2"/>
  <c r="NY127" i="2"/>
  <c r="IM137" i="2"/>
  <c r="NY141" i="2"/>
  <c r="IM150" i="2"/>
  <c r="IM140" i="2"/>
  <c r="IN117" i="2"/>
  <c r="IN119" i="2"/>
  <c r="IM139" i="2"/>
  <c r="NZ114" i="2"/>
  <c r="IM142" i="2"/>
  <c r="IM141" i="2"/>
  <c r="NY142" i="2"/>
  <c r="IM128" i="2"/>
  <c r="NZ115" i="2"/>
  <c r="IN114" i="2"/>
  <c r="NY139" i="2"/>
  <c r="IM129" i="2"/>
  <c r="IM138" i="2"/>
  <c r="IM126" i="2"/>
  <c r="NZ116" i="2"/>
  <c r="IM136" i="2"/>
  <c r="NZ119" i="2"/>
  <c r="NY136" i="2"/>
  <c r="NZ118" i="2"/>
  <c r="NY137" i="2"/>
  <c r="NZ137" i="2" s="1"/>
  <c r="IN118" i="2"/>
  <c r="NY129" i="2"/>
  <c r="DC110" i="2"/>
  <c r="DC107" i="2" s="1"/>
  <c r="IG2" i="2"/>
  <c r="IF199" i="2"/>
  <c r="IF193" i="2" s="1"/>
  <c r="NY150" i="2"/>
  <c r="UB112" i="2"/>
  <c r="UC113" i="2"/>
  <c r="ID33" i="2"/>
  <c r="ID26" i="2"/>
  <c r="NZ134" i="2"/>
  <c r="NZ124" i="2"/>
  <c r="IO112" i="2"/>
  <c r="IP113" i="2"/>
  <c r="IN124" i="2"/>
  <c r="IN134" i="2"/>
  <c r="ID48" i="2"/>
  <c r="ID23" i="2"/>
  <c r="NO4" i="2"/>
  <c r="OA135" i="2"/>
  <c r="IS135" i="2"/>
  <c r="OB125" i="2"/>
  <c r="IQ125" i="2"/>
  <c r="OA113" i="2"/>
  <c r="OA112" i="2" s="1"/>
  <c r="OA117" i="2" s="1"/>
  <c r="IJ87" i="2"/>
  <c r="DD111" i="2"/>
  <c r="II81" i="2"/>
  <c r="ID40" i="2"/>
  <c r="ID34" i="2"/>
  <c r="ID32" i="2"/>
  <c r="ID27" i="2"/>
  <c r="CV23" i="2"/>
  <c r="IE4" i="2"/>
  <c r="IE41" i="2" s="1"/>
  <c r="NZ140" i="2" l="1"/>
  <c r="IN127" i="2"/>
  <c r="IO115" i="2"/>
  <c r="NZ129" i="2"/>
  <c r="IN136" i="2"/>
  <c r="OA119" i="2"/>
  <c r="IO114" i="2"/>
  <c r="IN139" i="2"/>
  <c r="IN150" i="2"/>
  <c r="OA115" i="2"/>
  <c r="IO119" i="2"/>
  <c r="NZ141" i="2"/>
  <c r="OA116" i="2"/>
  <c r="IN128" i="2"/>
  <c r="NZ127" i="2"/>
  <c r="NZ126" i="2"/>
  <c r="IO118" i="2"/>
  <c r="NZ144" i="2"/>
  <c r="NZ142" i="2"/>
  <c r="IN144" i="2"/>
  <c r="IN137" i="2"/>
  <c r="IN126" i="2"/>
  <c r="NZ128" i="2"/>
  <c r="IO117" i="2"/>
  <c r="IO116" i="2"/>
  <c r="OA118" i="2"/>
  <c r="IN138" i="2"/>
  <c r="IN141" i="2"/>
  <c r="IN140" i="2"/>
  <c r="NZ136" i="2"/>
  <c r="IN129" i="2"/>
  <c r="IO129" i="2" s="1"/>
  <c r="IN142" i="2"/>
  <c r="NZ138" i="2"/>
  <c r="NZ139" i="2"/>
  <c r="OA114" i="2"/>
  <c r="DD110" i="2"/>
  <c r="DD107" i="2" s="1"/>
  <c r="IH2" i="2"/>
  <c r="IG199" i="2"/>
  <c r="IG193" i="2" s="1"/>
  <c r="UD113" i="2"/>
  <c r="UC112" i="2"/>
  <c r="NZ150" i="2"/>
  <c r="IE33" i="2"/>
  <c r="IE26" i="2"/>
  <c r="IO124" i="2"/>
  <c r="IO134" i="2"/>
  <c r="OA134" i="2"/>
  <c r="OA124" i="2"/>
  <c r="OA140" i="2" s="1"/>
  <c r="IP112" i="2"/>
  <c r="IQ113" i="2"/>
  <c r="IE48" i="2"/>
  <c r="OB135" i="2"/>
  <c r="IE23" i="2"/>
  <c r="NP4" i="2"/>
  <c r="IT135" i="2"/>
  <c r="OC125" i="2"/>
  <c r="IR125" i="2"/>
  <c r="OB113" i="2"/>
  <c r="OB112" i="2" s="1"/>
  <c r="OB117" i="2" s="1"/>
  <c r="IK87" i="2"/>
  <c r="DE111" i="2"/>
  <c r="IJ81" i="2"/>
  <c r="CW23" i="2"/>
  <c r="IF4" i="2"/>
  <c r="IF41" i="2" s="1"/>
  <c r="IE40" i="2"/>
  <c r="IE34" i="2"/>
  <c r="IE32" i="2"/>
  <c r="IE27" i="2"/>
  <c r="IO142" i="2" l="1"/>
  <c r="IP115" i="2"/>
  <c r="IO136" i="2"/>
  <c r="IO140" i="2"/>
  <c r="IO141" i="2"/>
  <c r="IO128" i="2"/>
  <c r="IO138" i="2"/>
  <c r="IO139" i="2"/>
  <c r="OB114" i="2"/>
  <c r="IO137" i="2"/>
  <c r="OA139" i="2"/>
  <c r="OA137" i="2"/>
  <c r="OA127" i="2"/>
  <c r="IO150" i="2"/>
  <c r="OB116" i="2"/>
  <c r="IP114" i="2"/>
  <c r="OB118" i="2"/>
  <c r="IO144" i="2"/>
  <c r="OA129" i="2"/>
  <c r="OB119" i="2"/>
  <c r="OA138" i="2"/>
  <c r="IP116" i="2"/>
  <c r="OA142" i="2"/>
  <c r="OA141" i="2"/>
  <c r="IP117" i="2"/>
  <c r="OA144" i="2"/>
  <c r="IP119" i="2"/>
  <c r="IO127" i="2"/>
  <c r="OA128" i="2"/>
  <c r="IP118" i="2"/>
  <c r="OB115" i="2"/>
  <c r="OA136" i="2"/>
  <c r="IO126" i="2"/>
  <c r="OA126" i="2"/>
  <c r="DE110" i="2"/>
  <c r="DE107" i="2" s="1"/>
  <c r="II2" i="2"/>
  <c r="IH199" i="2"/>
  <c r="IH193" i="2" s="1"/>
  <c r="OA150" i="2"/>
  <c r="UE113" i="2"/>
  <c r="UD112" i="2"/>
  <c r="IF26" i="2"/>
  <c r="IF33" i="2"/>
  <c r="IQ112" i="2"/>
  <c r="IQ115" i="2" s="1"/>
  <c r="IR113" i="2"/>
  <c r="IP124" i="2"/>
  <c r="IP134" i="2"/>
  <c r="OB124" i="2"/>
  <c r="OB140" i="2" s="1"/>
  <c r="OB134" i="2"/>
  <c r="IF48" i="2"/>
  <c r="IF23" i="2"/>
  <c r="NQ4" i="2"/>
  <c r="OC135" i="2"/>
  <c r="IU135" i="2"/>
  <c r="OD125" i="2"/>
  <c r="IS125" i="2"/>
  <c r="OC113" i="2"/>
  <c r="OC112" i="2" s="1"/>
  <c r="OC117" i="2" s="1"/>
  <c r="IL87" i="2"/>
  <c r="DF111" i="2"/>
  <c r="IK81" i="2"/>
  <c r="IF40" i="2"/>
  <c r="IF34" i="2"/>
  <c r="IF32" i="2"/>
  <c r="IF27" i="2"/>
  <c r="CX23" i="2"/>
  <c r="IG4" i="2"/>
  <c r="IG41" i="2" s="1"/>
  <c r="IP126" i="2" l="1"/>
  <c r="IP141" i="2"/>
  <c r="OB126" i="2"/>
  <c r="IQ119" i="2"/>
  <c r="OB144" i="2"/>
  <c r="IP127" i="2"/>
  <c r="IQ116" i="2"/>
  <c r="OB138" i="2"/>
  <c r="OC116" i="2"/>
  <c r="IP150" i="2"/>
  <c r="IP137" i="2"/>
  <c r="OB127" i="2"/>
  <c r="OC119" i="2"/>
  <c r="IP138" i="2"/>
  <c r="OB137" i="2"/>
  <c r="OB136" i="2"/>
  <c r="IQ117" i="2"/>
  <c r="OB129" i="2"/>
  <c r="OC114" i="2"/>
  <c r="IP140" i="2"/>
  <c r="OC115" i="2"/>
  <c r="IP142" i="2"/>
  <c r="IP144" i="2"/>
  <c r="IP139" i="2"/>
  <c r="IQ118" i="2"/>
  <c r="OB139" i="2"/>
  <c r="OC118" i="2"/>
  <c r="IP128" i="2"/>
  <c r="IP136" i="2"/>
  <c r="OB128" i="2"/>
  <c r="OB141" i="2"/>
  <c r="IP129" i="2"/>
  <c r="OB142" i="2"/>
  <c r="IQ114" i="2"/>
  <c r="OB150" i="2"/>
  <c r="DF110" i="2"/>
  <c r="DF107" i="2" s="1"/>
  <c r="IJ2" i="2"/>
  <c r="II199" i="2"/>
  <c r="II193" i="2" s="1"/>
  <c r="UE112" i="2"/>
  <c r="UF113" i="2"/>
  <c r="IG33" i="2"/>
  <c r="IG26" i="2"/>
  <c r="IR112" i="2"/>
  <c r="IS113" i="2"/>
  <c r="IQ124" i="2"/>
  <c r="IQ134" i="2"/>
  <c r="OC124" i="2"/>
  <c r="OC140" i="2" s="1"/>
  <c r="OC134" i="2"/>
  <c r="IG48" i="2"/>
  <c r="OD135" i="2"/>
  <c r="IG23" i="2"/>
  <c r="NR4" i="2"/>
  <c r="IV135" i="2"/>
  <c r="OE125" i="2"/>
  <c r="IT125" i="2"/>
  <c r="OD113" i="2"/>
  <c r="OD112" i="2" s="1"/>
  <c r="OD117" i="2" s="1"/>
  <c r="IM87" i="2"/>
  <c r="DG111" i="2"/>
  <c r="IL81" i="2"/>
  <c r="IG40" i="2"/>
  <c r="IG34" i="2"/>
  <c r="IG27" i="2"/>
  <c r="IG32" i="2"/>
  <c r="CY23" i="2"/>
  <c r="IH4" i="2"/>
  <c r="IH41" i="2" s="1"/>
  <c r="IQ141" i="2" l="1"/>
  <c r="IR119" i="2"/>
  <c r="OC142" i="2"/>
  <c r="IQ136" i="2"/>
  <c r="IR118" i="2"/>
  <c r="IQ128" i="2"/>
  <c r="IR114" i="2"/>
  <c r="OC126" i="2"/>
  <c r="OD115" i="2"/>
  <c r="IQ138" i="2"/>
  <c r="IQ150" i="2"/>
  <c r="OD119" i="2"/>
  <c r="OD116" i="2"/>
  <c r="OD118" i="2"/>
  <c r="IQ140" i="2"/>
  <c r="OC144" i="2"/>
  <c r="IR116" i="2"/>
  <c r="IQ129" i="2"/>
  <c r="OC139" i="2"/>
  <c r="OD114" i="2"/>
  <c r="IQ126" i="2"/>
  <c r="IQ127" i="2"/>
  <c r="OC129" i="2"/>
  <c r="OC127" i="2"/>
  <c r="IQ139" i="2"/>
  <c r="IR117" i="2"/>
  <c r="IQ137" i="2"/>
  <c r="IR115" i="2"/>
  <c r="OC141" i="2"/>
  <c r="IQ144" i="2"/>
  <c r="OC136" i="2"/>
  <c r="OC138" i="2"/>
  <c r="OC128" i="2"/>
  <c r="IQ142" i="2"/>
  <c r="OC137" i="2"/>
  <c r="OC150" i="2"/>
  <c r="IK2" i="2"/>
  <c r="IJ199" i="2"/>
  <c r="IJ193" i="2" s="1"/>
  <c r="DG110" i="2"/>
  <c r="DG107" i="2"/>
  <c r="UG113" i="2"/>
  <c r="UF112" i="2"/>
  <c r="IH33" i="2"/>
  <c r="IH26" i="2"/>
  <c r="OD124" i="2"/>
  <c r="OD134" i="2"/>
  <c r="IS112" i="2"/>
  <c r="IT113" i="2"/>
  <c r="IR134" i="2"/>
  <c r="IR124" i="2"/>
  <c r="IH48" i="2"/>
  <c r="IH23" i="2"/>
  <c r="NS4" i="2"/>
  <c r="OE135" i="2"/>
  <c r="IW135" i="2"/>
  <c r="OF125" i="2"/>
  <c r="IU125" i="2"/>
  <c r="OE113" i="2"/>
  <c r="OE112" i="2" s="1"/>
  <c r="OE117" i="2" s="1"/>
  <c r="IN87" i="2"/>
  <c r="DH111" i="2"/>
  <c r="IM81" i="2"/>
  <c r="IH34" i="2"/>
  <c r="IH40" i="2"/>
  <c r="IH32" i="2"/>
  <c r="IH27" i="2"/>
  <c r="CZ23" i="2"/>
  <c r="II4" i="2"/>
  <c r="II41" i="2" s="1"/>
  <c r="IS119" i="2" l="1"/>
  <c r="OD126" i="2"/>
  <c r="OD128" i="2"/>
  <c r="OD138" i="2"/>
  <c r="OD144" i="2"/>
  <c r="OD136" i="2"/>
  <c r="IR128" i="2"/>
  <c r="IS115" i="2"/>
  <c r="OD137" i="2"/>
  <c r="IS118" i="2"/>
  <c r="IR150" i="2"/>
  <c r="IR137" i="2"/>
  <c r="IR140" i="2"/>
  <c r="IR138" i="2"/>
  <c r="IR142" i="2"/>
  <c r="IS117" i="2"/>
  <c r="IR127" i="2"/>
  <c r="OE118" i="2"/>
  <c r="OE115" i="2"/>
  <c r="IR139" i="2"/>
  <c r="IR126" i="2"/>
  <c r="OD142" i="2"/>
  <c r="IR136" i="2"/>
  <c r="OE114" i="2"/>
  <c r="OE116" i="2"/>
  <c r="IR141" i="2"/>
  <c r="IS114" i="2"/>
  <c r="OD139" i="2"/>
  <c r="OE119" i="2"/>
  <c r="OD140" i="2"/>
  <c r="IR144" i="2"/>
  <c r="OD127" i="2"/>
  <c r="IR129" i="2"/>
  <c r="OD141" i="2"/>
  <c r="OD129" i="2"/>
  <c r="IS116" i="2"/>
  <c r="DH110" i="2"/>
  <c r="DH107" i="2" s="1"/>
  <c r="IL2" i="2"/>
  <c r="IK199" i="2"/>
  <c r="IK193" i="2" s="1"/>
  <c r="UG112" i="2"/>
  <c r="UH113" i="2"/>
  <c r="OD150" i="2"/>
  <c r="II33" i="2"/>
  <c r="II26" i="2"/>
  <c r="OE124" i="2"/>
  <c r="OE134" i="2"/>
  <c r="IS134" i="2"/>
  <c r="IS124" i="2"/>
  <c r="IT112" i="2"/>
  <c r="IT119" i="2" s="1"/>
  <c r="IU113" i="2"/>
  <c r="II48" i="2"/>
  <c r="OF135" i="2"/>
  <c r="II23" i="2"/>
  <c r="NT4" i="2"/>
  <c r="IX135" i="2"/>
  <c r="OG125" i="2"/>
  <c r="IV125" i="2"/>
  <c r="OF113" i="2"/>
  <c r="OF112" i="2" s="1"/>
  <c r="OF117" i="2" s="1"/>
  <c r="IO87" i="2"/>
  <c r="DI111" i="2"/>
  <c r="IN81" i="2"/>
  <c r="II40" i="2"/>
  <c r="II34" i="2"/>
  <c r="II32" i="2"/>
  <c r="II27" i="2"/>
  <c r="DA23" i="2"/>
  <c r="IJ4" i="2"/>
  <c r="IJ41" i="2" s="1"/>
  <c r="IT116" i="2" l="1"/>
  <c r="OE127" i="2"/>
  <c r="OE141" i="2"/>
  <c r="OE129" i="2"/>
  <c r="IS128" i="2"/>
  <c r="OE137" i="2"/>
  <c r="OE139" i="2"/>
  <c r="OE138" i="2"/>
  <c r="IT114" i="2"/>
  <c r="OE142" i="2"/>
  <c r="OF119" i="2"/>
  <c r="IS127" i="2"/>
  <c r="IS150" i="2"/>
  <c r="IS136" i="2"/>
  <c r="IT117" i="2"/>
  <c r="OE144" i="2"/>
  <c r="IS142" i="2"/>
  <c r="IT118" i="2"/>
  <c r="OE136" i="2"/>
  <c r="IS126" i="2"/>
  <c r="IS138" i="2"/>
  <c r="IT115" i="2"/>
  <c r="IS129" i="2"/>
  <c r="IS141" i="2"/>
  <c r="IS139" i="2"/>
  <c r="IS140" i="2"/>
  <c r="OF116" i="2"/>
  <c r="OE128" i="2"/>
  <c r="OE126" i="2"/>
  <c r="IS144" i="2"/>
  <c r="OF114" i="2"/>
  <c r="OF115" i="2"/>
  <c r="IS137" i="2"/>
  <c r="OE140" i="2"/>
  <c r="OF118" i="2"/>
  <c r="OE150" i="2"/>
  <c r="DI110" i="2"/>
  <c r="DI107" i="2" s="1"/>
  <c r="IM2" i="2"/>
  <c r="IL199" i="2"/>
  <c r="IL193" i="2" s="1"/>
  <c r="UH112" i="2"/>
  <c r="UI113" i="2"/>
  <c r="IJ33" i="2"/>
  <c r="IJ26" i="2"/>
  <c r="OF134" i="2"/>
  <c r="OF124" i="2"/>
  <c r="IU112" i="2"/>
  <c r="IU116" i="2" s="1"/>
  <c r="IV113" i="2"/>
  <c r="IT134" i="2"/>
  <c r="IT124" i="2"/>
  <c r="IJ48" i="2"/>
  <c r="OG135" i="2"/>
  <c r="IJ23" i="2"/>
  <c r="NU4" i="2"/>
  <c r="IY135" i="2"/>
  <c r="OH125" i="2"/>
  <c r="IW125" i="2"/>
  <c r="OG113" i="2"/>
  <c r="OG112" i="2" s="1"/>
  <c r="OG117" i="2" s="1"/>
  <c r="IP87" i="2"/>
  <c r="DJ111" i="2"/>
  <c r="IO81" i="2"/>
  <c r="IJ34" i="2"/>
  <c r="IJ40" i="2"/>
  <c r="IJ32" i="2"/>
  <c r="IJ27" i="2"/>
  <c r="DB23" i="2"/>
  <c r="IK4" i="2"/>
  <c r="IK41" i="2" s="1"/>
  <c r="OF137" i="2" l="1"/>
  <c r="IT128" i="2"/>
  <c r="OF140" i="2"/>
  <c r="OF126" i="2"/>
  <c r="OF142" i="2"/>
  <c r="OF128" i="2"/>
  <c r="OF129" i="2"/>
  <c r="IT129" i="2"/>
  <c r="IT142" i="2"/>
  <c r="IT150" i="2"/>
  <c r="OG118" i="2"/>
  <c r="IT127" i="2"/>
  <c r="IU115" i="2"/>
  <c r="IU114" i="2"/>
  <c r="OF138" i="2"/>
  <c r="OG116" i="2"/>
  <c r="IT138" i="2"/>
  <c r="OF144" i="2"/>
  <c r="OG119" i="2"/>
  <c r="IT137" i="2"/>
  <c r="OF127" i="2"/>
  <c r="IT126" i="2"/>
  <c r="IU117" i="2"/>
  <c r="IU119" i="2"/>
  <c r="OG115" i="2"/>
  <c r="IT140" i="2"/>
  <c r="OF136" i="2"/>
  <c r="IT136" i="2"/>
  <c r="OG114" i="2"/>
  <c r="IT139" i="2"/>
  <c r="OF141" i="2"/>
  <c r="OF139" i="2"/>
  <c r="IT144" i="2"/>
  <c r="IT141" i="2"/>
  <c r="IU118" i="2"/>
  <c r="IN2" i="2"/>
  <c r="IM199" i="2"/>
  <c r="IM193" i="2" s="1"/>
  <c r="DJ110" i="2"/>
  <c r="DJ107" i="2" s="1"/>
  <c r="UJ113" i="2"/>
  <c r="UI112" i="2"/>
  <c r="IK33" i="2"/>
  <c r="IK26" i="2"/>
  <c r="OF150" i="2"/>
  <c r="IV112" i="2"/>
  <c r="IV116" i="2" s="1"/>
  <c r="IW113" i="2"/>
  <c r="IU134" i="2"/>
  <c r="IU124" i="2"/>
  <c r="OG134" i="2"/>
  <c r="OG124" i="2"/>
  <c r="OG137" i="2" s="1"/>
  <c r="IK48" i="2"/>
  <c r="OH135" i="2"/>
  <c r="IK23" i="2"/>
  <c r="NV4" i="2"/>
  <c r="IZ135" i="2"/>
  <c r="OI125" i="2"/>
  <c r="IX125" i="2"/>
  <c r="OH113" i="2"/>
  <c r="OH112" i="2" s="1"/>
  <c r="OH117" i="2" s="1"/>
  <c r="IQ87" i="2"/>
  <c r="DK111" i="2"/>
  <c r="IP81" i="2"/>
  <c r="IK40" i="2"/>
  <c r="IK34" i="2"/>
  <c r="IK32" i="2"/>
  <c r="IK27" i="2"/>
  <c r="DC23" i="2"/>
  <c r="IL4" i="2"/>
  <c r="IL41" i="2" s="1"/>
  <c r="IU128" i="2" l="1"/>
  <c r="IV118" i="2"/>
  <c r="IU136" i="2"/>
  <c r="IU137" i="2"/>
  <c r="IV115" i="2"/>
  <c r="IU150" i="2"/>
  <c r="OG136" i="2"/>
  <c r="OH119" i="2"/>
  <c r="OG128" i="2"/>
  <c r="IU142" i="2"/>
  <c r="IU141" i="2"/>
  <c r="IU140" i="2"/>
  <c r="OG144" i="2"/>
  <c r="IU129" i="2"/>
  <c r="IU144" i="2"/>
  <c r="OH115" i="2"/>
  <c r="IU138" i="2"/>
  <c r="IU127" i="2"/>
  <c r="OG126" i="2"/>
  <c r="OG139" i="2"/>
  <c r="IV119" i="2"/>
  <c r="OH116" i="2"/>
  <c r="OG142" i="2"/>
  <c r="OG141" i="2"/>
  <c r="IV117" i="2"/>
  <c r="OG140" i="2"/>
  <c r="OG129" i="2"/>
  <c r="IU139" i="2"/>
  <c r="IU126" i="2"/>
  <c r="OG138" i="2"/>
  <c r="OH114" i="2"/>
  <c r="OG127" i="2"/>
  <c r="IV114" i="2"/>
  <c r="OH118" i="2"/>
  <c r="DK110" i="2"/>
  <c r="DK107" i="2" s="1"/>
  <c r="IO2" i="2"/>
  <c r="IN199" i="2"/>
  <c r="IN193" i="2" s="1"/>
  <c r="OG150" i="2"/>
  <c r="UJ112" i="2"/>
  <c r="UK113" i="2"/>
  <c r="IL33" i="2"/>
  <c r="IL26" i="2"/>
  <c r="OH134" i="2"/>
  <c r="OH124" i="2"/>
  <c r="OH137" i="2" s="1"/>
  <c r="IW112" i="2"/>
  <c r="IW116" i="2" s="1"/>
  <c r="IX113" i="2"/>
  <c r="IV134" i="2"/>
  <c r="IV124" i="2"/>
  <c r="IV128" i="2" s="1"/>
  <c r="IL48" i="2"/>
  <c r="IL23" i="2"/>
  <c r="NW4" i="2"/>
  <c r="OI135" i="2"/>
  <c r="JA135" i="2"/>
  <c r="OJ125" i="2"/>
  <c r="IY125" i="2"/>
  <c r="OI113" i="2"/>
  <c r="OI112" i="2" s="1"/>
  <c r="OI117" i="2" s="1"/>
  <c r="IR87" i="2"/>
  <c r="DL111" i="2"/>
  <c r="IQ81" i="2"/>
  <c r="IL40" i="2"/>
  <c r="IL34" i="2"/>
  <c r="IL32" i="2"/>
  <c r="IL27" i="2"/>
  <c r="DD23" i="2"/>
  <c r="IM4" i="2"/>
  <c r="IM41" i="2" s="1"/>
  <c r="OH140" i="2" l="1"/>
  <c r="OH141" i="2"/>
  <c r="OH129" i="2"/>
  <c r="OH139" i="2"/>
  <c r="OI118" i="2"/>
  <c r="OH126" i="2"/>
  <c r="IW114" i="2"/>
  <c r="IV139" i="2"/>
  <c r="OH144" i="2"/>
  <c r="IV150" i="2"/>
  <c r="IV140" i="2"/>
  <c r="IW115" i="2"/>
  <c r="IV127" i="2"/>
  <c r="IV141" i="2"/>
  <c r="IV137" i="2"/>
  <c r="OH127" i="2"/>
  <c r="IW117" i="2"/>
  <c r="IV138" i="2"/>
  <c r="IV142" i="2"/>
  <c r="IV136" i="2"/>
  <c r="OI114" i="2"/>
  <c r="OI115" i="2"/>
  <c r="OH128" i="2"/>
  <c r="OH142" i="2"/>
  <c r="IV144" i="2"/>
  <c r="OI119" i="2"/>
  <c r="OH138" i="2"/>
  <c r="OI116" i="2"/>
  <c r="IV129" i="2"/>
  <c r="OH136" i="2"/>
  <c r="OI136" i="2" s="1"/>
  <c r="IV126" i="2"/>
  <c r="IW119" i="2"/>
  <c r="IW118" i="2"/>
  <c r="DL110" i="2"/>
  <c r="DL107" i="2" s="1"/>
  <c r="IP2" i="2"/>
  <c r="IO199" i="2"/>
  <c r="IO193" i="2" s="1"/>
  <c r="UL113" i="2"/>
  <c r="UK112" i="2"/>
  <c r="OH150" i="2"/>
  <c r="IM26" i="2"/>
  <c r="IM33" i="2"/>
  <c r="OI134" i="2"/>
  <c r="OI124" i="2"/>
  <c r="IX112" i="2"/>
  <c r="IX116" i="2" s="1"/>
  <c r="IY113" i="2"/>
  <c r="IW124" i="2"/>
  <c r="IW128" i="2" s="1"/>
  <c r="IW134" i="2"/>
  <c r="IM48" i="2"/>
  <c r="OJ135" i="2"/>
  <c r="IM23" i="2"/>
  <c r="NX4" i="2"/>
  <c r="JB135" i="2"/>
  <c r="OK125" i="2"/>
  <c r="IZ125" i="2"/>
  <c r="OJ113" i="2"/>
  <c r="OJ112" i="2" s="1"/>
  <c r="OJ117" i="2" s="1"/>
  <c r="IS87" i="2"/>
  <c r="DM111" i="2"/>
  <c r="IR81" i="2"/>
  <c r="IM40" i="2"/>
  <c r="IM34" i="2"/>
  <c r="IM32" i="2"/>
  <c r="IM27" i="2"/>
  <c r="DE23" i="2"/>
  <c r="IN4" i="2"/>
  <c r="IN41" i="2" s="1"/>
  <c r="OI141" i="2" l="1"/>
  <c r="OI138" i="2"/>
  <c r="OI140" i="2"/>
  <c r="OI142" i="2"/>
  <c r="IX118" i="2"/>
  <c r="IX119" i="2"/>
  <c r="OJ114" i="2"/>
  <c r="IW127" i="2"/>
  <c r="IW150" i="2"/>
  <c r="OJ119" i="2"/>
  <c r="IW136" i="2"/>
  <c r="OI144" i="2"/>
  <c r="IW144" i="2"/>
  <c r="IW142" i="2"/>
  <c r="IX114" i="2"/>
  <c r="OI139" i="2"/>
  <c r="IW138" i="2"/>
  <c r="IX115" i="2"/>
  <c r="IW139" i="2"/>
  <c r="IW126" i="2"/>
  <c r="IX117" i="2"/>
  <c r="IW140" i="2"/>
  <c r="OI128" i="2"/>
  <c r="OI127" i="2"/>
  <c r="OI126" i="2"/>
  <c r="OI137" i="2"/>
  <c r="IW129" i="2"/>
  <c r="OJ115" i="2"/>
  <c r="IW137" i="2"/>
  <c r="OI129" i="2"/>
  <c r="OJ116" i="2"/>
  <c r="IW141" i="2"/>
  <c r="OJ118" i="2"/>
  <c r="DM110" i="2"/>
  <c r="DM107" i="2" s="1"/>
  <c r="IQ2" i="2"/>
  <c r="IP199" i="2"/>
  <c r="IP193" i="2" s="1"/>
  <c r="UM113" i="2"/>
  <c r="UL112" i="2"/>
  <c r="OI150" i="2"/>
  <c r="IN33" i="2"/>
  <c r="IN26" i="2"/>
  <c r="IY112" i="2"/>
  <c r="IY118" i="2" s="1"/>
  <c r="IZ113" i="2"/>
  <c r="OJ124" i="2"/>
  <c r="OJ134" i="2"/>
  <c r="IX124" i="2"/>
  <c r="IX128" i="2" s="1"/>
  <c r="IX134" i="2"/>
  <c r="IN48" i="2"/>
  <c r="IN23" i="2"/>
  <c r="NY4" i="2"/>
  <c r="OK135" i="2"/>
  <c r="JC135" i="2"/>
  <c r="OL125" i="2"/>
  <c r="JA125" i="2"/>
  <c r="OK113" i="2"/>
  <c r="OK112" i="2" s="1"/>
  <c r="OK117" i="2" s="1"/>
  <c r="IT87" i="2"/>
  <c r="DN111" i="2"/>
  <c r="IS81" i="2"/>
  <c r="IN40" i="2"/>
  <c r="IN34" i="2"/>
  <c r="IN27" i="2"/>
  <c r="IN32" i="2"/>
  <c r="DF23" i="2"/>
  <c r="IO4" i="2"/>
  <c r="IO41" i="2" s="1"/>
  <c r="OJ141" i="2" l="1"/>
  <c r="OJ126" i="2"/>
  <c r="IX139" i="2"/>
  <c r="OJ137" i="2"/>
  <c r="OK118" i="2"/>
  <c r="IX126" i="2"/>
  <c r="IX142" i="2"/>
  <c r="IX150" i="2"/>
  <c r="IX144" i="2"/>
  <c r="IX127" i="2"/>
  <c r="IX141" i="2"/>
  <c r="OJ127" i="2"/>
  <c r="IY115" i="2"/>
  <c r="OK114" i="2"/>
  <c r="OK116" i="2"/>
  <c r="OJ128" i="2"/>
  <c r="IX138" i="2"/>
  <c r="OJ144" i="2"/>
  <c r="OJ138" i="2"/>
  <c r="OJ129" i="2"/>
  <c r="OJ136" i="2"/>
  <c r="OJ142" i="2"/>
  <c r="OJ140" i="2"/>
  <c r="IY116" i="2"/>
  <c r="IX137" i="2"/>
  <c r="IX140" i="2"/>
  <c r="IY119" i="2"/>
  <c r="IX136" i="2"/>
  <c r="OK115" i="2"/>
  <c r="IY117" i="2"/>
  <c r="OJ139" i="2"/>
  <c r="OK139" i="2" s="1"/>
  <c r="OK119" i="2"/>
  <c r="IX129" i="2"/>
  <c r="IY114" i="2"/>
  <c r="DN110" i="2"/>
  <c r="DN107" i="2" s="1"/>
  <c r="IR2" i="2"/>
  <c r="IQ199" i="2"/>
  <c r="IQ193" i="2" s="1"/>
  <c r="UM112" i="2"/>
  <c r="UN113" i="2"/>
  <c r="IO26" i="2"/>
  <c r="IO33" i="2"/>
  <c r="IY124" i="2"/>
  <c r="IY139" i="2" s="1"/>
  <c r="IY134" i="2"/>
  <c r="OK124" i="2"/>
  <c r="OK141" i="2" s="1"/>
  <c r="OK134" i="2"/>
  <c r="IZ112" i="2"/>
  <c r="IZ118" i="2" s="1"/>
  <c r="JA113" i="2"/>
  <c r="OJ150" i="2"/>
  <c r="IO48" i="2"/>
  <c r="OL135" i="2"/>
  <c r="IO23" i="2"/>
  <c r="NZ4" i="2"/>
  <c r="JD135" i="2"/>
  <c r="OM125" i="2"/>
  <c r="JB125" i="2"/>
  <c r="OL113" i="2"/>
  <c r="OL112" i="2" s="1"/>
  <c r="OL118" i="2" s="1"/>
  <c r="IU87" i="2"/>
  <c r="DO111" i="2"/>
  <c r="IT81" i="2"/>
  <c r="IO34" i="2"/>
  <c r="IO40" i="2"/>
  <c r="IO32" i="2"/>
  <c r="IO27" i="2"/>
  <c r="DG23" i="2"/>
  <c r="IP4" i="2"/>
  <c r="IP41" i="2" s="1"/>
  <c r="OK128" i="2" l="1"/>
  <c r="OK127" i="2"/>
  <c r="OK140" i="2"/>
  <c r="IZ119" i="2"/>
  <c r="OK129" i="2"/>
  <c r="IZ114" i="2"/>
  <c r="OK138" i="2"/>
  <c r="OK144" i="2"/>
  <c r="IY136" i="2"/>
  <c r="IY150" i="2"/>
  <c r="IZ115" i="2"/>
  <c r="IY142" i="2"/>
  <c r="IY140" i="2"/>
  <c r="IY126" i="2"/>
  <c r="IY129" i="2"/>
  <c r="IY137" i="2"/>
  <c r="IY138" i="2"/>
  <c r="IY141" i="2"/>
  <c r="OK137" i="2"/>
  <c r="OL119" i="2"/>
  <c r="IZ116" i="2"/>
  <c r="IY127" i="2"/>
  <c r="OL117" i="2"/>
  <c r="OL116" i="2"/>
  <c r="IY144" i="2"/>
  <c r="IY128" i="2"/>
  <c r="IZ117" i="2"/>
  <c r="OK142" i="2"/>
  <c r="OL115" i="2"/>
  <c r="OK136" i="2"/>
  <c r="OL114" i="2"/>
  <c r="OK126" i="2"/>
  <c r="IS2" i="2"/>
  <c r="IR199" i="2"/>
  <c r="IR193" i="2" s="1"/>
  <c r="DO110" i="2"/>
  <c r="DO107" i="2"/>
  <c r="UO113" i="2"/>
  <c r="UN112" i="2"/>
  <c r="OK150" i="2"/>
  <c r="IP26" i="2"/>
  <c r="IP33" i="2"/>
  <c r="JA112" i="2"/>
  <c r="JA114" i="2" s="1"/>
  <c r="JB113" i="2"/>
  <c r="IZ134" i="2"/>
  <c r="IZ124" i="2"/>
  <c r="IZ139" i="2" s="1"/>
  <c r="OL124" i="2"/>
  <c r="OL128" i="2" s="1"/>
  <c r="OL134" i="2"/>
  <c r="IP48" i="2"/>
  <c r="OM135" i="2"/>
  <c r="IP23" i="2"/>
  <c r="OA4" i="2"/>
  <c r="JE135" i="2"/>
  <c r="ON125" i="2"/>
  <c r="JC125" i="2"/>
  <c r="OM113" i="2"/>
  <c r="OM112" i="2" s="1"/>
  <c r="OM118" i="2" s="1"/>
  <c r="IV87" i="2"/>
  <c r="DP111" i="2"/>
  <c r="IU81" i="2"/>
  <c r="IP34" i="2"/>
  <c r="IP40" i="2"/>
  <c r="IP27" i="2"/>
  <c r="IP32" i="2"/>
  <c r="DH23" i="2"/>
  <c r="IQ4" i="2"/>
  <c r="IQ41" i="2" s="1"/>
  <c r="IZ128" i="2" l="1"/>
  <c r="OM119" i="2"/>
  <c r="OL127" i="2"/>
  <c r="IZ150" i="2"/>
  <c r="OL126" i="2"/>
  <c r="IZ144" i="2"/>
  <c r="OL144" i="2"/>
  <c r="OM114" i="2"/>
  <c r="OM116" i="2"/>
  <c r="OL137" i="2"/>
  <c r="IZ140" i="2"/>
  <c r="OL129" i="2"/>
  <c r="OL136" i="2"/>
  <c r="OL140" i="2"/>
  <c r="IZ141" i="2"/>
  <c r="IZ142" i="2"/>
  <c r="IZ136" i="2"/>
  <c r="OM117" i="2"/>
  <c r="IZ138" i="2"/>
  <c r="JA115" i="2"/>
  <c r="JA118" i="2"/>
  <c r="OM115" i="2"/>
  <c r="OL139" i="2"/>
  <c r="IZ127" i="2"/>
  <c r="IZ137" i="2"/>
  <c r="OL138" i="2"/>
  <c r="OL141" i="2"/>
  <c r="OL142" i="2"/>
  <c r="IZ129" i="2"/>
  <c r="JA119" i="2"/>
  <c r="JA117" i="2"/>
  <c r="JA116" i="2"/>
  <c r="IZ126" i="2"/>
  <c r="DP110" i="2"/>
  <c r="DP107" i="2" s="1"/>
  <c r="IT2" i="2"/>
  <c r="IS199" i="2"/>
  <c r="IS193" i="2" s="1"/>
  <c r="UO112" i="2"/>
  <c r="UP113" i="2"/>
  <c r="IQ26" i="2"/>
  <c r="IQ33" i="2"/>
  <c r="JB112" i="2"/>
  <c r="JB114" i="2" s="1"/>
  <c r="JC113" i="2"/>
  <c r="JA134" i="2"/>
  <c r="JA124" i="2"/>
  <c r="JA139" i="2" s="1"/>
  <c r="OL150" i="2"/>
  <c r="OM124" i="2"/>
  <c r="OM128" i="2" s="1"/>
  <c r="OM134" i="2"/>
  <c r="IQ48" i="2"/>
  <c r="ON135" i="2"/>
  <c r="IQ23" i="2"/>
  <c r="OB4" i="2"/>
  <c r="JF135" i="2"/>
  <c r="OO125" i="2"/>
  <c r="JD125" i="2"/>
  <c r="ON113" i="2"/>
  <c r="ON112" i="2" s="1"/>
  <c r="ON118" i="2" s="1"/>
  <c r="IW87" i="2"/>
  <c r="DQ111" i="2"/>
  <c r="IV81" i="2"/>
  <c r="IQ34" i="2"/>
  <c r="IQ40" i="2"/>
  <c r="IQ32" i="2"/>
  <c r="IQ27" i="2"/>
  <c r="DI23" i="2"/>
  <c r="IR4" i="2"/>
  <c r="IR41" i="2" s="1"/>
  <c r="JA137" i="2" l="1"/>
  <c r="JA126" i="2"/>
  <c r="JA136" i="2"/>
  <c r="OM138" i="2"/>
  <c r="ON117" i="2"/>
  <c r="OM137" i="2"/>
  <c r="JA150" i="2"/>
  <c r="ON116" i="2"/>
  <c r="OM127" i="2"/>
  <c r="JB116" i="2"/>
  <c r="JA127" i="2"/>
  <c r="JA142" i="2"/>
  <c r="ON114" i="2"/>
  <c r="ON119" i="2"/>
  <c r="JB117" i="2"/>
  <c r="OM139" i="2"/>
  <c r="JA141" i="2"/>
  <c r="JA128" i="2"/>
  <c r="JB119" i="2"/>
  <c r="ON115" i="2"/>
  <c r="OM140" i="2"/>
  <c r="OM144" i="2"/>
  <c r="JA129" i="2"/>
  <c r="JB118" i="2"/>
  <c r="OM136" i="2"/>
  <c r="OM142" i="2"/>
  <c r="JB115" i="2"/>
  <c r="OM129" i="2"/>
  <c r="JA144" i="2"/>
  <c r="OM141" i="2"/>
  <c r="JA138" i="2"/>
  <c r="JA140" i="2"/>
  <c r="OM126" i="2"/>
  <c r="DQ110" i="2"/>
  <c r="DQ107" i="2" s="1"/>
  <c r="IU2" i="2"/>
  <c r="IT199" i="2"/>
  <c r="IT193" i="2" s="1"/>
  <c r="UP112" i="2"/>
  <c r="UQ113" i="2"/>
  <c r="OM150" i="2"/>
  <c r="IR26" i="2"/>
  <c r="IR33" i="2"/>
  <c r="ON134" i="2"/>
  <c r="ON124" i="2"/>
  <c r="ON128" i="2" s="1"/>
  <c r="JC112" i="2"/>
  <c r="JC114" i="2" s="1"/>
  <c r="JD113" i="2"/>
  <c r="JB134" i="2"/>
  <c r="JB124" i="2"/>
  <c r="JB139" i="2" s="1"/>
  <c r="IR48" i="2"/>
  <c r="IR23" i="2"/>
  <c r="OC4" i="2"/>
  <c r="OO135" i="2"/>
  <c r="JG135" i="2"/>
  <c r="OP125" i="2"/>
  <c r="JE125" i="2"/>
  <c r="OO113" i="2"/>
  <c r="OO112" i="2" s="1"/>
  <c r="OO118" i="2" s="1"/>
  <c r="IX87" i="2"/>
  <c r="DR111" i="2"/>
  <c r="IW81" i="2"/>
  <c r="IR40" i="2"/>
  <c r="IR34" i="2"/>
  <c r="IR32" i="2"/>
  <c r="IR27" i="2"/>
  <c r="DJ23" i="2"/>
  <c r="IS4" i="2"/>
  <c r="IS41" i="2" s="1"/>
  <c r="ON141" i="2" l="1"/>
  <c r="ON136" i="2"/>
  <c r="ON142" i="2"/>
  <c r="ON144" i="2"/>
  <c r="ON126" i="2"/>
  <c r="JC119" i="2"/>
  <c r="OO114" i="2"/>
  <c r="JB150" i="2"/>
  <c r="JB126" i="2"/>
  <c r="JB142" i="2"/>
  <c r="ON137" i="2"/>
  <c r="JB140" i="2"/>
  <c r="JB128" i="2"/>
  <c r="JB127" i="2"/>
  <c r="OO117" i="2"/>
  <c r="JB138" i="2"/>
  <c r="JC118" i="2"/>
  <c r="JC116" i="2"/>
  <c r="ON138" i="2"/>
  <c r="JB129" i="2"/>
  <c r="JB141" i="2"/>
  <c r="ON127" i="2"/>
  <c r="ON139" i="2"/>
  <c r="OO116" i="2"/>
  <c r="ON129" i="2"/>
  <c r="ON140" i="2"/>
  <c r="JC117" i="2"/>
  <c r="JB136" i="2"/>
  <c r="JB144" i="2"/>
  <c r="JC115" i="2"/>
  <c r="OO115" i="2"/>
  <c r="OO119" i="2"/>
  <c r="JB137" i="2"/>
  <c r="DR110" i="2"/>
  <c r="DR107" i="2" s="1"/>
  <c r="ON150" i="2"/>
  <c r="IV2" i="2"/>
  <c r="IU199" i="2"/>
  <c r="IU193" i="2" s="1"/>
  <c r="UR113" i="2"/>
  <c r="UQ112" i="2"/>
  <c r="IS26" i="2"/>
  <c r="IS33" i="2"/>
  <c r="OO134" i="2"/>
  <c r="OO124" i="2"/>
  <c r="OO126" i="2" s="1"/>
  <c r="JC134" i="2"/>
  <c r="JC124" i="2"/>
  <c r="JC139" i="2" s="1"/>
  <c r="JD112" i="2"/>
  <c r="JD114" i="2" s="1"/>
  <c r="JE113" i="2"/>
  <c r="IS48" i="2"/>
  <c r="OP135" i="2"/>
  <c r="IS23" i="2"/>
  <c r="OD4" i="2"/>
  <c r="JH135" i="2"/>
  <c r="OQ125" i="2"/>
  <c r="JF125" i="2"/>
  <c r="OP113" i="2"/>
  <c r="OP112" i="2" s="1"/>
  <c r="OP118" i="2" s="1"/>
  <c r="IY87" i="2"/>
  <c r="DS111" i="2"/>
  <c r="IX81" i="2"/>
  <c r="IS40" i="2"/>
  <c r="IS34" i="2"/>
  <c r="IS32" i="2"/>
  <c r="IS27" i="2"/>
  <c r="DK23" i="2"/>
  <c r="IT4" i="2"/>
  <c r="IT41" i="2" s="1"/>
  <c r="OO140" i="2" l="1"/>
  <c r="OO138" i="2"/>
  <c r="OO129" i="2"/>
  <c r="JC137" i="2"/>
  <c r="OO141" i="2"/>
  <c r="JC128" i="2"/>
  <c r="JC150" i="2"/>
  <c r="OO136" i="2"/>
  <c r="OP114" i="2"/>
  <c r="OP119" i="2"/>
  <c r="OP116" i="2"/>
  <c r="JD116" i="2"/>
  <c r="JC140" i="2"/>
  <c r="JD119" i="2"/>
  <c r="OP115" i="2"/>
  <c r="OO139" i="2"/>
  <c r="OO137" i="2"/>
  <c r="OO142" i="2"/>
  <c r="JD115" i="2"/>
  <c r="OO144" i="2"/>
  <c r="JD118" i="2"/>
  <c r="JC142" i="2"/>
  <c r="OO128" i="2"/>
  <c r="JC144" i="2"/>
  <c r="OO127" i="2"/>
  <c r="JC138" i="2"/>
  <c r="JC126" i="2"/>
  <c r="JC136" i="2"/>
  <c r="JC141" i="2"/>
  <c r="OP117" i="2"/>
  <c r="JD117" i="2"/>
  <c r="JC129" i="2"/>
  <c r="JC127" i="2"/>
  <c r="IW2" i="2"/>
  <c r="IV199" i="2"/>
  <c r="IV193" i="2" s="1"/>
  <c r="DS110" i="2"/>
  <c r="DS107" i="2"/>
  <c r="UR112" i="2"/>
  <c r="US113" i="2"/>
  <c r="IT33" i="2"/>
  <c r="IT26" i="2"/>
  <c r="OP134" i="2"/>
  <c r="OP124" i="2"/>
  <c r="OP129" i="2" s="1"/>
  <c r="OO150" i="2"/>
  <c r="JE112" i="2"/>
  <c r="JE114" i="2" s="1"/>
  <c r="JF113" i="2"/>
  <c r="JD124" i="2"/>
  <c r="JD134" i="2"/>
  <c r="IT48" i="2"/>
  <c r="OQ135" i="2"/>
  <c r="IT23" i="2"/>
  <c r="OE4" i="2"/>
  <c r="JI135" i="2"/>
  <c r="OR125" i="2"/>
  <c r="JG125" i="2"/>
  <c r="OQ113" i="2"/>
  <c r="OQ112" i="2" s="1"/>
  <c r="OQ118" i="2" s="1"/>
  <c r="IZ87" i="2"/>
  <c r="DT111" i="2"/>
  <c r="IY81" i="2"/>
  <c r="DL23" i="2"/>
  <c r="IU4" i="2"/>
  <c r="IU41" i="2" s="1"/>
  <c r="IT40" i="2"/>
  <c r="IT32" i="2"/>
  <c r="IT34" i="2"/>
  <c r="IT27" i="2"/>
  <c r="OP139" i="2" l="1"/>
  <c r="JD137" i="2"/>
  <c r="JD126" i="2"/>
  <c r="JD138" i="2"/>
  <c r="OP127" i="2"/>
  <c r="OP128" i="2"/>
  <c r="JD127" i="2"/>
  <c r="OP142" i="2"/>
  <c r="JD129" i="2"/>
  <c r="OP137" i="2"/>
  <c r="JE115" i="2"/>
  <c r="JE116" i="2"/>
  <c r="JD150" i="2"/>
  <c r="OQ116" i="2"/>
  <c r="JD128" i="2"/>
  <c r="OQ119" i="2"/>
  <c r="OP141" i="2"/>
  <c r="JE117" i="2"/>
  <c r="JD144" i="2"/>
  <c r="OQ114" i="2"/>
  <c r="OP140" i="2"/>
  <c r="OP136" i="2"/>
  <c r="OP126" i="2"/>
  <c r="OQ117" i="2"/>
  <c r="JD142" i="2"/>
  <c r="OQ115" i="2"/>
  <c r="OP138" i="2"/>
  <c r="JD139" i="2"/>
  <c r="JD141" i="2"/>
  <c r="JE118" i="2"/>
  <c r="JE119" i="2"/>
  <c r="JD136" i="2"/>
  <c r="OP144" i="2"/>
  <c r="JD140" i="2"/>
  <c r="DT110" i="2"/>
  <c r="DT107" i="2" s="1"/>
  <c r="IX2" i="2"/>
  <c r="IW199" i="2"/>
  <c r="IW193" i="2" s="1"/>
  <c r="UT113" i="2"/>
  <c r="UT112" i="2" s="1"/>
  <c r="US112" i="2"/>
  <c r="IU33" i="2"/>
  <c r="IU26" i="2"/>
  <c r="OP150" i="2"/>
  <c r="OQ134" i="2"/>
  <c r="OQ124" i="2"/>
  <c r="OQ142" i="2" s="1"/>
  <c r="JF112" i="2"/>
  <c r="JF114" i="2" s="1"/>
  <c r="JG113" i="2"/>
  <c r="JE124" i="2"/>
  <c r="JE134" i="2"/>
  <c r="IU48" i="2"/>
  <c r="IU23" i="2"/>
  <c r="OF4" i="2"/>
  <c r="OR135" i="2"/>
  <c r="JJ135" i="2"/>
  <c r="OS125" i="2"/>
  <c r="JH125" i="2"/>
  <c r="OR113" i="2"/>
  <c r="OR112" i="2" s="1"/>
  <c r="OR118" i="2" s="1"/>
  <c r="JA87" i="2"/>
  <c r="DU111" i="2"/>
  <c r="IZ81" i="2"/>
  <c r="IU40" i="2"/>
  <c r="IU34" i="2"/>
  <c r="IU32" i="2"/>
  <c r="IU27" i="2"/>
  <c r="DM23" i="2"/>
  <c r="IV4" i="2"/>
  <c r="IV41" i="2" s="1"/>
  <c r="JE127" i="2" l="1"/>
  <c r="JE139" i="2"/>
  <c r="JE140" i="2"/>
  <c r="OQ137" i="2"/>
  <c r="OQ138" i="2"/>
  <c r="OQ139" i="2"/>
  <c r="OQ140" i="2"/>
  <c r="OQ144" i="2"/>
  <c r="OQ128" i="2"/>
  <c r="JE129" i="2"/>
  <c r="OR119" i="2"/>
  <c r="JE150" i="2"/>
  <c r="JF116" i="2"/>
  <c r="OQ127" i="2"/>
  <c r="JF115" i="2"/>
  <c r="JE136" i="2"/>
  <c r="OR115" i="2"/>
  <c r="OR114" i="2"/>
  <c r="JE128" i="2"/>
  <c r="JE126" i="2"/>
  <c r="JE142" i="2"/>
  <c r="OR116" i="2"/>
  <c r="OQ129" i="2"/>
  <c r="JF119" i="2"/>
  <c r="OR117" i="2"/>
  <c r="JE144" i="2"/>
  <c r="JF118" i="2"/>
  <c r="OQ126" i="2"/>
  <c r="JF117" i="2"/>
  <c r="JE138" i="2"/>
  <c r="JE137" i="2"/>
  <c r="JE141" i="2"/>
  <c r="OQ136" i="2"/>
  <c r="OQ141" i="2"/>
  <c r="IY2" i="2"/>
  <c r="IX199" i="2"/>
  <c r="IX193" i="2" s="1"/>
  <c r="DU110" i="2"/>
  <c r="DU107" i="2" s="1"/>
  <c r="OQ150" i="2"/>
  <c r="IV33" i="2"/>
  <c r="IV26" i="2"/>
  <c r="JF124" i="2"/>
  <c r="JF140" i="2" s="1"/>
  <c r="JF134" i="2"/>
  <c r="JG112" i="2"/>
  <c r="JG114" i="2" s="1"/>
  <c r="JH113" i="2"/>
  <c r="OR124" i="2"/>
  <c r="OR142" i="2" s="1"/>
  <c r="OR134" i="2"/>
  <c r="IV48" i="2"/>
  <c r="OS135" i="2"/>
  <c r="IV23" i="2"/>
  <c r="OG4" i="2"/>
  <c r="JK135" i="2"/>
  <c r="OT125" i="2"/>
  <c r="JI125" i="2"/>
  <c r="OS113" i="2"/>
  <c r="OS112" i="2" s="1"/>
  <c r="OS118" i="2" s="1"/>
  <c r="JB87" i="2"/>
  <c r="DV111" i="2"/>
  <c r="JA81" i="2"/>
  <c r="IV40" i="2"/>
  <c r="IV34" i="2"/>
  <c r="IV32" i="2"/>
  <c r="IV27" i="2"/>
  <c r="DN23" i="2"/>
  <c r="IW4" i="2"/>
  <c r="IW41" i="2" s="1"/>
  <c r="JG118" i="2" l="1"/>
  <c r="JG119" i="2"/>
  <c r="OR141" i="2"/>
  <c r="OR140" i="2"/>
  <c r="JF150" i="2"/>
  <c r="JF144" i="2"/>
  <c r="JF126" i="2"/>
  <c r="OR138" i="2"/>
  <c r="OS119" i="2"/>
  <c r="OR136" i="2"/>
  <c r="OS117" i="2"/>
  <c r="JF128" i="2"/>
  <c r="OR144" i="2"/>
  <c r="OR139" i="2"/>
  <c r="JF141" i="2"/>
  <c r="OS114" i="2"/>
  <c r="JG116" i="2"/>
  <c r="JF129" i="2"/>
  <c r="JF137" i="2"/>
  <c r="OR129" i="2"/>
  <c r="OS115" i="2"/>
  <c r="OR137" i="2"/>
  <c r="JF138" i="2"/>
  <c r="OS116" i="2"/>
  <c r="JF136" i="2"/>
  <c r="OR128" i="2"/>
  <c r="JG117" i="2"/>
  <c r="JG115" i="2"/>
  <c r="JF139" i="2"/>
  <c r="JF127" i="2"/>
  <c r="OR126" i="2"/>
  <c r="JF142" i="2"/>
  <c r="OR127" i="2"/>
  <c r="DV110" i="2"/>
  <c r="DV107" i="2" s="1"/>
  <c r="IZ2" i="2"/>
  <c r="IY199" i="2"/>
  <c r="IY193" i="2" s="1"/>
  <c r="IW26" i="2"/>
  <c r="IW33" i="2"/>
  <c r="OS124" i="2"/>
  <c r="OS141" i="2" s="1"/>
  <c r="OS134" i="2"/>
  <c r="JH112" i="2"/>
  <c r="JH114" i="2" s="1"/>
  <c r="JI113" i="2"/>
  <c r="JG124" i="2"/>
  <c r="JG140" i="2" s="1"/>
  <c r="JG134" i="2"/>
  <c r="OR150" i="2"/>
  <c r="IW48" i="2"/>
  <c r="OT135" i="2"/>
  <c r="IW23" i="2"/>
  <c r="OH4" i="2"/>
  <c r="JL135" i="2"/>
  <c r="OU125" i="2"/>
  <c r="JJ125" i="2"/>
  <c r="OT113" i="2"/>
  <c r="OT112" i="2" s="1"/>
  <c r="OT118" i="2" s="1"/>
  <c r="JC87" i="2"/>
  <c r="DW111" i="2"/>
  <c r="JB81" i="2"/>
  <c r="IW40" i="2"/>
  <c r="IW34" i="2"/>
  <c r="IW32" i="2"/>
  <c r="IW27" i="2"/>
  <c r="DO23" i="2"/>
  <c r="IX4" i="2"/>
  <c r="IX41" i="2" s="1"/>
  <c r="JG127" i="2" l="1"/>
  <c r="JG139" i="2"/>
  <c r="JG137" i="2"/>
  <c r="JG136" i="2"/>
  <c r="OS127" i="2"/>
  <c r="JG129" i="2"/>
  <c r="JG142" i="2"/>
  <c r="JH117" i="2"/>
  <c r="JG128" i="2"/>
  <c r="JG150" i="2"/>
  <c r="OS128" i="2"/>
  <c r="OT117" i="2"/>
  <c r="OS140" i="2"/>
  <c r="JH116" i="2"/>
  <c r="OS136" i="2"/>
  <c r="OS126" i="2"/>
  <c r="OT116" i="2"/>
  <c r="OT114" i="2"/>
  <c r="OT119" i="2"/>
  <c r="JH118" i="2"/>
  <c r="JG138" i="2"/>
  <c r="JH119" i="2"/>
  <c r="OS138" i="2"/>
  <c r="OS137" i="2"/>
  <c r="JG141" i="2"/>
  <c r="JG126" i="2"/>
  <c r="OS142" i="2"/>
  <c r="JH115" i="2"/>
  <c r="OT115" i="2"/>
  <c r="OS139" i="2"/>
  <c r="JG144" i="2"/>
  <c r="OS129" i="2"/>
  <c r="OS144" i="2"/>
  <c r="OS150" i="2"/>
  <c r="JA2" i="2"/>
  <c r="IZ199" i="2"/>
  <c r="IZ193" i="2" s="1"/>
  <c r="DW110" i="2"/>
  <c r="DW107" i="2" s="1"/>
  <c r="IX33" i="2"/>
  <c r="IX26" i="2"/>
  <c r="JI112" i="2"/>
  <c r="JI114" i="2" s="1"/>
  <c r="JJ113" i="2"/>
  <c r="JH134" i="2"/>
  <c r="JH124" i="2"/>
  <c r="JH140" i="2" s="1"/>
  <c r="OT124" i="2"/>
  <c r="OT141" i="2" s="1"/>
  <c r="OT134" i="2"/>
  <c r="IX48" i="2"/>
  <c r="OU135" i="2"/>
  <c r="IX23" i="2"/>
  <c r="OI4" i="2"/>
  <c r="JM135" i="2"/>
  <c r="OV125" i="2"/>
  <c r="JK125" i="2"/>
  <c r="OU113" i="2"/>
  <c r="OU112" i="2" s="1"/>
  <c r="OU118" i="2" s="1"/>
  <c r="JD87" i="2"/>
  <c r="DX111" i="2"/>
  <c r="JC81" i="2"/>
  <c r="IX34" i="2"/>
  <c r="IX40" i="2"/>
  <c r="IX32" i="2"/>
  <c r="IX27" i="2"/>
  <c r="DP23" i="2"/>
  <c r="IY4" i="2"/>
  <c r="IY41" i="2" s="1"/>
  <c r="JH144" i="2" l="1"/>
  <c r="JH126" i="2"/>
  <c r="OT144" i="2"/>
  <c r="OT142" i="2"/>
  <c r="JH127" i="2"/>
  <c r="JI116" i="2"/>
  <c r="JH150" i="2"/>
  <c r="JI118" i="2"/>
  <c r="JH136" i="2"/>
  <c r="JH128" i="2"/>
  <c r="OT129" i="2"/>
  <c r="JH141" i="2"/>
  <c r="OU119" i="2"/>
  <c r="JH142" i="2"/>
  <c r="JH137" i="2"/>
  <c r="OT137" i="2"/>
  <c r="OU114" i="2"/>
  <c r="OT140" i="2"/>
  <c r="JI117" i="2"/>
  <c r="JH139" i="2"/>
  <c r="OU116" i="2"/>
  <c r="OU117" i="2"/>
  <c r="OT139" i="2"/>
  <c r="OT138" i="2"/>
  <c r="OT126" i="2"/>
  <c r="JH129" i="2"/>
  <c r="OU115" i="2"/>
  <c r="JI119" i="2"/>
  <c r="OT128" i="2"/>
  <c r="JI115" i="2"/>
  <c r="JH138" i="2"/>
  <c r="OT136" i="2"/>
  <c r="OT127" i="2"/>
  <c r="DX110" i="2"/>
  <c r="DX107" i="2" s="1"/>
  <c r="JB2" i="2"/>
  <c r="JA199" i="2"/>
  <c r="JA193" i="2" s="1"/>
  <c r="IY33" i="2"/>
  <c r="IY26" i="2"/>
  <c r="OU124" i="2"/>
  <c r="OU141" i="2" s="1"/>
  <c r="OU134" i="2"/>
  <c r="OT150" i="2"/>
  <c r="JJ112" i="2"/>
  <c r="JJ114" i="2" s="1"/>
  <c r="JK113" i="2"/>
  <c r="JI134" i="2"/>
  <c r="JI124" i="2"/>
  <c r="JI140" i="2" s="1"/>
  <c r="IY48" i="2"/>
  <c r="OV135" i="2"/>
  <c r="IY23" i="2"/>
  <c r="OJ4" i="2"/>
  <c r="JN135" i="2"/>
  <c r="OW125" i="2"/>
  <c r="JL125" i="2"/>
  <c r="OV113" i="2"/>
  <c r="OV112" i="2" s="1"/>
  <c r="OV118" i="2" s="1"/>
  <c r="JE87" i="2"/>
  <c r="DY111" i="2"/>
  <c r="JD81" i="2"/>
  <c r="IY32" i="2"/>
  <c r="IY34" i="2"/>
  <c r="IY40" i="2"/>
  <c r="IY27" i="2"/>
  <c r="DQ23" i="2"/>
  <c r="IZ4" i="2"/>
  <c r="IZ41" i="2" s="1"/>
  <c r="JJ115" i="2" l="1"/>
  <c r="JJ117" i="2"/>
  <c r="OU127" i="2"/>
  <c r="OV115" i="2"/>
  <c r="JI144" i="2"/>
  <c r="OV119" i="2"/>
  <c r="JI150" i="2"/>
  <c r="JI129" i="2"/>
  <c r="JI141" i="2"/>
  <c r="JJ116" i="2"/>
  <c r="OU136" i="2"/>
  <c r="OU126" i="2"/>
  <c r="OU140" i="2"/>
  <c r="OU129" i="2"/>
  <c r="JI127" i="2"/>
  <c r="JI138" i="2"/>
  <c r="OU138" i="2"/>
  <c r="OV114" i="2"/>
  <c r="JI128" i="2"/>
  <c r="OU142" i="2"/>
  <c r="OU139" i="2"/>
  <c r="OU137" i="2"/>
  <c r="JI136" i="2"/>
  <c r="OU128" i="2"/>
  <c r="OV117" i="2"/>
  <c r="JJ118" i="2"/>
  <c r="OV116" i="2"/>
  <c r="JI137" i="2"/>
  <c r="JI126" i="2"/>
  <c r="JJ119" i="2"/>
  <c r="JI139" i="2"/>
  <c r="JI142" i="2"/>
  <c r="OU144" i="2"/>
  <c r="OU150" i="2"/>
  <c r="JC2" i="2"/>
  <c r="JB199" i="2"/>
  <c r="JB193" i="2" s="1"/>
  <c r="DY110" i="2"/>
  <c r="DY107" i="2" s="1"/>
  <c r="IZ26" i="2"/>
  <c r="IZ33" i="2"/>
  <c r="OV134" i="2"/>
  <c r="OV124" i="2"/>
  <c r="OV141" i="2" s="1"/>
  <c r="JK112" i="2"/>
  <c r="JK117" i="2" s="1"/>
  <c r="JL113" i="2"/>
  <c r="JJ134" i="2"/>
  <c r="JJ124" i="2"/>
  <c r="JJ140" i="2" s="1"/>
  <c r="IZ48" i="2"/>
  <c r="OW135" i="2"/>
  <c r="IZ23" i="2"/>
  <c r="OK4" i="2"/>
  <c r="JO135" i="2"/>
  <c r="OX125" i="2"/>
  <c r="JM125" i="2"/>
  <c r="OW113" i="2"/>
  <c r="OW112" i="2" s="1"/>
  <c r="OW118" i="2" s="1"/>
  <c r="JF87" i="2"/>
  <c r="DZ111" i="2"/>
  <c r="JE81" i="2"/>
  <c r="IZ40" i="2"/>
  <c r="IZ34" i="2"/>
  <c r="IZ27" i="2"/>
  <c r="IZ32" i="2"/>
  <c r="DR23" i="2"/>
  <c r="JA4" i="2"/>
  <c r="JA41" i="2" s="1"/>
  <c r="JK119" i="2" l="1"/>
  <c r="OV144" i="2"/>
  <c r="JK118" i="2"/>
  <c r="JK115" i="2"/>
  <c r="OV140" i="2"/>
  <c r="JJ150" i="2"/>
  <c r="OV142" i="2"/>
  <c r="OV126" i="2"/>
  <c r="OW119" i="2"/>
  <c r="JJ142" i="2"/>
  <c r="JJ128" i="2"/>
  <c r="OV136" i="2"/>
  <c r="JJ144" i="2"/>
  <c r="JJ139" i="2"/>
  <c r="OW117" i="2"/>
  <c r="OW114" i="2"/>
  <c r="OV127" i="2"/>
  <c r="OW115" i="2"/>
  <c r="OV128" i="2"/>
  <c r="OV138" i="2"/>
  <c r="JK116" i="2"/>
  <c r="JJ126" i="2"/>
  <c r="JJ136" i="2"/>
  <c r="JJ138" i="2"/>
  <c r="JJ141" i="2"/>
  <c r="JK114" i="2"/>
  <c r="JJ137" i="2"/>
  <c r="OV137" i="2"/>
  <c r="JJ127" i="2"/>
  <c r="OW116" i="2"/>
  <c r="OV139" i="2"/>
  <c r="OV129" i="2"/>
  <c r="JJ129" i="2"/>
  <c r="DZ110" i="2"/>
  <c r="DZ107" i="2"/>
  <c r="JD2" i="2"/>
  <c r="JC199" i="2"/>
  <c r="JC193" i="2" s="1"/>
  <c r="JA26" i="2"/>
  <c r="JA33" i="2"/>
  <c r="OW134" i="2"/>
  <c r="OW124" i="2"/>
  <c r="OW144" i="2" s="1"/>
  <c r="OV150" i="2"/>
  <c r="JL112" i="2"/>
  <c r="JL118" i="2" s="1"/>
  <c r="JM113" i="2"/>
  <c r="JK134" i="2"/>
  <c r="JK124" i="2"/>
  <c r="JK140" i="2" s="1"/>
  <c r="JA48" i="2"/>
  <c r="OX135" i="2"/>
  <c r="JA23" i="2"/>
  <c r="OL4" i="2"/>
  <c r="JP135" i="2"/>
  <c r="OY125" i="2"/>
  <c r="JN125" i="2"/>
  <c r="OX113" i="2"/>
  <c r="OX112" i="2" s="1"/>
  <c r="OX118" i="2" s="1"/>
  <c r="JG87" i="2"/>
  <c r="EA111" i="2"/>
  <c r="JF81" i="2"/>
  <c r="JA40" i="2"/>
  <c r="JA32" i="2"/>
  <c r="JA34" i="2"/>
  <c r="JA27" i="2"/>
  <c r="DS23" i="2"/>
  <c r="JB4" i="2"/>
  <c r="JB41" i="2" s="1"/>
  <c r="JL114" i="2" l="1"/>
  <c r="JK129" i="2"/>
  <c r="JL119" i="2"/>
  <c r="JK128" i="2"/>
  <c r="JK150" i="2"/>
  <c r="JK141" i="2"/>
  <c r="OX115" i="2"/>
  <c r="OW140" i="2"/>
  <c r="OW129" i="2"/>
  <c r="JK138" i="2"/>
  <c r="OW127" i="2"/>
  <c r="JK142" i="2"/>
  <c r="JL115" i="2"/>
  <c r="OW139" i="2"/>
  <c r="JK136" i="2"/>
  <c r="OX114" i="2"/>
  <c r="OX119" i="2"/>
  <c r="OX116" i="2"/>
  <c r="JK126" i="2"/>
  <c r="OX117" i="2"/>
  <c r="OW126" i="2"/>
  <c r="OW141" i="2"/>
  <c r="JK127" i="2"/>
  <c r="JL116" i="2"/>
  <c r="JK139" i="2"/>
  <c r="OW142" i="2"/>
  <c r="JL117" i="2"/>
  <c r="OW137" i="2"/>
  <c r="OW138" i="2"/>
  <c r="JK144" i="2"/>
  <c r="JK137" i="2"/>
  <c r="OW128" i="2"/>
  <c r="OW136" i="2"/>
  <c r="EA110" i="2"/>
  <c r="EA107" i="2" s="1"/>
  <c r="JE2" i="2"/>
  <c r="JD199" i="2"/>
  <c r="JD193" i="2" s="1"/>
  <c r="JB33" i="2"/>
  <c r="JB26" i="2"/>
  <c r="OX134" i="2"/>
  <c r="OX124" i="2"/>
  <c r="OX144" i="2" s="1"/>
  <c r="OW150" i="2"/>
  <c r="JM112" i="2"/>
  <c r="JM118" i="2" s="1"/>
  <c r="JN113" i="2"/>
  <c r="JL124" i="2"/>
  <c r="JL129" i="2" s="1"/>
  <c r="JL134" i="2"/>
  <c r="JB48" i="2"/>
  <c r="OY135" i="2"/>
  <c r="JB23" i="2"/>
  <c r="OM4" i="2"/>
  <c r="JQ135" i="2"/>
  <c r="OZ125" i="2"/>
  <c r="JO125" i="2"/>
  <c r="OY113" i="2"/>
  <c r="OY112" i="2" s="1"/>
  <c r="OY118" i="2" s="1"/>
  <c r="JH87" i="2"/>
  <c r="EB111" i="2"/>
  <c r="JG81" i="2"/>
  <c r="JB34" i="2"/>
  <c r="JB40" i="2"/>
  <c r="JB32" i="2"/>
  <c r="JB27" i="2"/>
  <c r="DT23" i="2"/>
  <c r="JC4" i="2"/>
  <c r="JC41" i="2" s="1"/>
  <c r="JL144" i="2" l="1"/>
  <c r="JL139" i="2"/>
  <c r="JM116" i="2"/>
  <c r="OX142" i="2"/>
  <c r="OY116" i="2"/>
  <c r="OX127" i="2"/>
  <c r="JL150" i="2"/>
  <c r="JL138" i="2"/>
  <c r="JL128" i="2"/>
  <c r="OX136" i="2"/>
  <c r="OX128" i="2"/>
  <c r="OY119" i="2"/>
  <c r="OX129" i="2"/>
  <c r="JM119" i="2"/>
  <c r="JL137" i="2"/>
  <c r="JL127" i="2"/>
  <c r="OY114" i="2"/>
  <c r="OX140" i="2"/>
  <c r="JM114" i="2"/>
  <c r="OX141" i="2"/>
  <c r="JL136" i="2"/>
  <c r="JL140" i="2"/>
  <c r="OX138" i="2"/>
  <c r="OX126" i="2"/>
  <c r="OX139" i="2"/>
  <c r="OY115" i="2"/>
  <c r="OX137" i="2"/>
  <c r="OY117" i="2"/>
  <c r="JM115" i="2"/>
  <c r="JL141" i="2"/>
  <c r="JM117" i="2"/>
  <c r="JL126" i="2"/>
  <c r="JL142" i="2"/>
  <c r="JF2" i="2"/>
  <c r="JE199" i="2"/>
  <c r="JE193" i="2" s="1"/>
  <c r="EB110" i="2"/>
  <c r="EB107" i="2"/>
  <c r="OX150" i="2"/>
  <c r="JC33" i="2"/>
  <c r="JC26" i="2"/>
  <c r="JN112" i="2"/>
  <c r="JN118" i="2" s="1"/>
  <c r="JO113" i="2"/>
  <c r="JM124" i="2"/>
  <c r="JM139" i="2" s="1"/>
  <c r="JM134" i="2"/>
  <c r="OY134" i="2"/>
  <c r="OY124" i="2"/>
  <c r="OY144" i="2" s="1"/>
  <c r="JC48" i="2"/>
  <c r="JC23" i="2"/>
  <c r="ON4" i="2"/>
  <c r="OZ135" i="2"/>
  <c r="JR135" i="2"/>
  <c r="PA125" i="2"/>
  <c r="JP125" i="2"/>
  <c r="OZ113" i="2"/>
  <c r="OZ112" i="2" s="1"/>
  <c r="OZ118" i="2" s="1"/>
  <c r="JI87" i="2"/>
  <c r="EC111" i="2"/>
  <c r="JH81" i="2"/>
  <c r="JC40" i="2"/>
  <c r="JC32" i="2"/>
  <c r="JC27" i="2"/>
  <c r="JC34" i="2"/>
  <c r="DU23" i="2"/>
  <c r="JD4" i="2"/>
  <c r="JD41" i="2" s="1"/>
  <c r="JM140" i="2" l="1"/>
  <c r="JM144" i="2"/>
  <c r="JM142" i="2"/>
  <c r="JM126" i="2"/>
  <c r="JM141" i="2"/>
  <c r="JM127" i="2"/>
  <c r="OZ115" i="2"/>
  <c r="OZ119" i="2"/>
  <c r="JM150" i="2"/>
  <c r="OY139" i="2"/>
  <c r="JN114" i="2"/>
  <c r="JN116" i="2"/>
  <c r="OY127" i="2"/>
  <c r="OY126" i="2"/>
  <c r="OY140" i="2"/>
  <c r="OY128" i="2"/>
  <c r="OZ116" i="2"/>
  <c r="JN117" i="2"/>
  <c r="OY138" i="2"/>
  <c r="OZ114" i="2"/>
  <c r="OY136" i="2"/>
  <c r="OY142" i="2"/>
  <c r="JM128" i="2"/>
  <c r="JN115" i="2"/>
  <c r="JM137" i="2"/>
  <c r="JM138" i="2"/>
  <c r="JN138" i="2" s="1"/>
  <c r="OZ117" i="2"/>
  <c r="JM136" i="2"/>
  <c r="JN119" i="2"/>
  <c r="JM129" i="2"/>
  <c r="OY137" i="2"/>
  <c r="OY141" i="2"/>
  <c r="OY129" i="2"/>
  <c r="EC110" i="2"/>
  <c r="EC107" i="2" s="1"/>
  <c r="JG2" i="2"/>
  <c r="JF199" i="2"/>
  <c r="JF193" i="2" s="1"/>
  <c r="JD33" i="2"/>
  <c r="JD26" i="2"/>
  <c r="JN124" i="2"/>
  <c r="JN142" i="2" s="1"/>
  <c r="JN134" i="2"/>
  <c r="OZ124" i="2"/>
  <c r="OZ144" i="2" s="1"/>
  <c r="OZ134" i="2"/>
  <c r="OY150" i="2"/>
  <c r="JO112" i="2"/>
  <c r="JO118" i="2" s="1"/>
  <c r="JP113" i="2"/>
  <c r="JD48" i="2"/>
  <c r="PA135" i="2"/>
  <c r="JD23" i="2"/>
  <c r="OO4" i="2"/>
  <c r="JS135" i="2"/>
  <c r="PB125" i="2"/>
  <c r="JQ125" i="2"/>
  <c r="PA113" i="2"/>
  <c r="PA112" i="2" s="1"/>
  <c r="PA118" i="2" s="1"/>
  <c r="JJ87" i="2"/>
  <c r="ED111" i="2"/>
  <c r="JI81" i="2"/>
  <c r="JD34" i="2"/>
  <c r="JD40" i="2"/>
  <c r="JD32" i="2"/>
  <c r="JD27" i="2"/>
  <c r="DV23" i="2"/>
  <c r="JE4" i="2"/>
  <c r="JE41" i="2" s="1"/>
  <c r="JN129" i="2" l="1"/>
  <c r="OZ129" i="2"/>
  <c r="PA117" i="2"/>
  <c r="JN141" i="2"/>
  <c r="OZ140" i="2"/>
  <c r="JN150" i="2"/>
  <c r="OZ142" i="2"/>
  <c r="OZ126" i="2"/>
  <c r="PA119" i="2"/>
  <c r="OZ141" i="2"/>
  <c r="JN137" i="2"/>
  <c r="OZ136" i="2"/>
  <c r="JN126" i="2"/>
  <c r="JN144" i="2"/>
  <c r="OZ137" i="2"/>
  <c r="PA114" i="2"/>
  <c r="OZ127" i="2"/>
  <c r="PA115" i="2"/>
  <c r="JO115" i="2"/>
  <c r="OZ138" i="2"/>
  <c r="JO116" i="2"/>
  <c r="JN128" i="2"/>
  <c r="JO117" i="2"/>
  <c r="JO114" i="2"/>
  <c r="JN139" i="2"/>
  <c r="JO119" i="2"/>
  <c r="JN127" i="2"/>
  <c r="PA116" i="2"/>
  <c r="OZ139" i="2"/>
  <c r="JN136" i="2"/>
  <c r="JN140" i="2"/>
  <c r="OZ128" i="2"/>
  <c r="ED110" i="2"/>
  <c r="ED107" i="2" s="1"/>
  <c r="JH2" i="2"/>
  <c r="JG199" i="2"/>
  <c r="JG193" i="2" s="1"/>
  <c r="OZ150" i="2"/>
  <c r="JE33" i="2"/>
  <c r="JE26" i="2"/>
  <c r="PA124" i="2"/>
  <c r="PA144" i="2" s="1"/>
  <c r="PA134" i="2"/>
  <c r="JP112" i="2"/>
  <c r="JP118" i="2" s="1"/>
  <c r="JQ113" i="2"/>
  <c r="JO124" i="2"/>
  <c r="JO142" i="2" s="1"/>
  <c r="JO134" i="2"/>
  <c r="JE48" i="2"/>
  <c r="PB135" i="2"/>
  <c r="JE23" i="2"/>
  <c r="OP4" i="2"/>
  <c r="JT135" i="2"/>
  <c r="PC125" i="2"/>
  <c r="JR125" i="2"/>
  <c r="PB113" i="2"/>
  <c r="PB112" i="2" s="1"/>
  <c r="PB118" i="2" s="1"/>
  <c r="JK87" i="2"/>
  <c r="EE111" i="2"/>
  <c r="JJ81" i="2"/>
  <c r="JE32" i="2"/>
  <c r="JE40" i="2"/>
  <c r="JE34" i="2"/>
  <c r="JE27" i="2"/>
  <c r="DW23" i="2"/>
  <c r="JF4" i="2"/>
  <c r="JF41" i="2" s="1"/>
  <c r="JO140" i="2" l="1"/>
  <c r="JP117" i="2"/>
  <c r="JP114" i="2"/>
  <c r="JO139" i="2"/>
  <c r="JO129" i="2"/>
  <c r="PA136" i="2"/>
  <c r="JO150" i="2"/>
  <c r="PA128" i="2"/>
  <c r="PB115" i="2"/>
  <c r="JO137" i="2"/>
  <c r="PA140" i="2"/>
  <c r="PA127" i="2"/>
  <c r="PA141" i="2"/>
  <c r="JO141" i="2"/>
  <c r="JO136" i="2"/>
  <c r="JO128" i="2"/>
  <c r="PB114" i="2"/>
  <c r="JO138" i="2"/>
  <c r="PB117" i="2"/>
  <c r="PA139" i="2"/>
  <c r="PB119" i="2"/>
  <c r="PB116" i="2"/>
  <c r="JP116" i="2"/>
  <c r="PA137" i="2"/>
  <c r="PA126" i="2"/>
  <c r="JO127" i="2"/>
  <c r="PA138" i="2"/>
  <c r="JO144" i="2"/>
  <c r="PA142" i="2"/>
  <c r="JP119" i="2"/>
  <c r="JP115" i="2"/>
  <c r="JO126" i="2"/>
  <c r="PA129" i="2"/>
  <c r="JI2" i="2"/>
  <c r="JH199" i="2"/>
  <c r="JH193" i="2" s="1"/>
  <c r="EE110" i="2"/>
  <c r="EE107" i="2"/>
  <c r="PA150" i="2"/>
  <c r="JF33" i="2"/>
  <c r="JF26" i="2"/>
  <c r="PB124" i="2"/>
  <c r="PB144" i="2" s="1"/>
  <c r="PB134" i="2"/>
  <c r="JQ112" i="2"/>
  <c r="JQ114" i="2" s="1"/>
  <c r="JR113" i="2"/>
  <c r="JP134" i="2"/>
  <c r="JP124" i="2"/>
  <c r="JP142" i="2" s="1"/>
  <c r="JF48" i="2"/>
  <c r="PC135" i="2"/>
  <c r="JF23" i="2"/>
  <c r="OQ4" i="2"/>
  <c r="JU135" i="2"/>
  <c r="PD125" i="2"/>
  <c r="JS125" i="2"/>
  <c r="PC113" i="2"/>
  <c r="PC112" i="2" s="1"/>
  <c r="PC118" i="2" s="1"/>
  <c r="JL87" i="2"/>
  <c r="EF111" i="2"/>
  <c r="JK81" i="2"/>
  <c r="JF32" i="2"/>
  <c r="JF40" i="2"/>
  <c r="JF34" i="2"/>
  <c r="JF27" i="2"/>
  <c r="DX23" i="2"/>
  <c r="JG4" i="2"/>
  <c r="JG41" i="2" s="1"/>
  <c r="JQ115" i="2" l="1"/>
  <c r="JQ119" i="2"/>
  <c r="JP127" i="2"/>
  <c r="PB139" i="2"/>
  <c r="PB127" i="2"/>
  <c r="JP150" i="2"/>
  <c r="PB129" i="2"/>
  <c r="PB126" i="2"/>
  <c r="PC117" i="2"/>
  <c r="JQ117" i="2"/>
  <c r="PB136" i="2"/>
  <c r="JP126" i="2"/>
  <c r="PB137" i="2"/>
  <c r="JP138" i="2"/>
  <c r="JP140" i="2"/>
  <c r="JP129" i="2"/>
  <c r="JQ116" i="2"/>
  <c r="PC114" i="2"/>
  <c r="PB140" i="2"/>
  <c r="JP139" i="2"/>
  <c r="PC116" i="2"/>
  <c r="JP128" i="2"/>
  <c r="JP137" i="2"/>
  <c r="PB142" i="2"/>
  <c r="PC119" i="2"/>
  <c r="JP136" i="2"/>
  <c r="PC115" i="2"/>
  <c r="JQ118" i="2"/>
  <c r="JP144" i="2"/>
  <c r="JP141" i="2"/>
  <c r="PB138" i="2"/>
  <c r="PC138" i="2" s="1"/>
  <c r="PB141" i="2"/>
  <c r="PB128" i="2"/>
  <c r="EF110" i="2"/>
  <c r="EF107" i="2"/>
  <c r="JJ2" i="2"/>
  <c r="JI199" i="2"/>
  <c r="JI193" i="2" s="1"/>
  <c r="PB150" i="2"/>
  <c r="JG26" i="2"/>
  <c r="JG33" i="2"/>
  <c r="JR112" i="2"/>
  <c r="JR114" i="2" s="1"/>
  <c r="JS113" i="2"/>
  <c r="JQ134" i="2"/>
  <c r="JQ124" i="2"/>
  <c r="JQ142" i="2" s="1"/>
  <c r="PC124" i="2"/>
  <c r="PC144" i="2" s="1"/>
  <c r="PC134" i="2"/>
  <c r="JG48" i="2"/>
  <c r="PD135" i="2"/>
  <c r="JG23" i="2"/>
  <c r="OR4" i="2"/>
  <c r="JV135" i="2"/>
  <c r="PE125" i="2"/>
  <c r="JT125" i="2"/>
  <c r="PD113" i="2"/>
  <c r="PD112" i="2" s="1"/>
  <c r="PD118" i="2" s="1"/>
  <c r="JM87" i="2"/>
  <c r="EG111" i="2"/>
  <c r="JL81" i="2"/>
  <c r="JG40" i="2"/>
  <c r="JG34" i="2"/>
  <c r="JG32" i="2"/>
  <c r="JG27" i="2"/>
  <c r="DY23" i="2"/>
  <c r="JH4" i="2"/>
  <c r="JH41" i="2" s="1"/>
  <c r="PC141" i="2" l="1"/>
  <c r="PC142" i="2"/>
  <c r="JQ136" i="2"/>
  <c r="JQ139" i="2"/>
  <c r="PC128" i="2"/>
  <c r="JR118" i="2"/>
  <c r="JR119" i="2"/>
  <c r="JQ138" i="2"/>
  <c r="JQ150" i="2"/>
  <c r="PD115" i="2"/>
  <c r="PC137" i="2"/>
  <c r="PC127" i="2"/>
  <c r="PC140" i="2"/>
  <c r="JQ126" i="2"/>
  <c r="PC139" i="2"/>
  <c r="PD119" i="2"/>
  <c r="PD114" i="2"/>
  <c r="PC136" i="2"/>
  <c r="JQ127" i="2"/>
  <c r="JR116" i="2"/>
  <c r="JR117" i="2"/>
  <c r="JQ141" i="2"/>
  <c r="JQ137" i="2"/>
  <c r="JR115" i="2"/>
  <c r="PD117" i="2"/>
  <c r="JQ128" i="2"/>
  <c r="JQ129" i="2"/>
  <c r="PC126" i="2"/>
  <c r="JQ144" i="2"/>
  <c r="PD116" i="2"/>
  <c r="JQ140" i="2"/>
  <c r="PC129" i="2"/>
  <c r="EG110" i="2"/>
  <c r="EG107" i="2" s="1"/>
  <c r="JK2" i="2"/>
  <c r="JJ199" i="2"/>
  <c r="JJ193" i="2" s="1"/>
  <c r="JH26" i="2"/>
  <c r="JH33" i="2"/>
  <c r="PC150" i="2"/>
  <c r="JR134" i="2"/>
  <c r="JR124" i="2"/>
  <c r="JR142" i="2" s="1"/>
  <c r="PD134" i="2"/>
  <c r="PD124" i="2"/>
  <c r="JS112" i="2"/>
  <c r="JS114" i="2" s="1"/>
  <c r="JT113" i="2"/>
  <c r="JH48" i="2"/>
  <c r="PE135" i="2"/>
  <c r="JH23" i="2"/>
  <c r="OS4" i="2"/>
  <c r="JW135" i="2"/>
  <c r="PF125" i="2"/>
  <c r="JU125" i="2"/>
  <c r="PE113" i="2"/>
  <c r="PE112" i="2" s="1"/>
  <c r="PE118" i="2" s="1"/>
  <c r="JN87" i="2"/>
  <c r="EH111" i="2"/>
  <c r="JM81" i="2"/>
  <c r="JH40" i="2"/>
  <c r="JH34" i="2"/>
  <c r="JH32" i="2"/>
  <c r="JH27" i="2"/>
  <c r="DZ23" i="2"/>
  <c r="JI4" i="2"/>
  <c r="JI41" i="2" s="1"/>
  <c r="PD128" i="2" l="1"/>
  <c r="PD129" i="2"/>
  <c r="JS115" i="2"/>
  <c r="PD138" i="2"/>
  <c r="PD140" i="2"/>
  <c r="JR150" i="2"/>
  <c r="PE117" i="2"/>
  <c r="JR127" i="2"/>
  <c r="JR136" i="2"/>
  <c r="JR138" i="2"/>
  <c r="JR140" i="2"/>
  <c r="PD136" i="2"/>
  <c r="PD141" i="2"/>
  <c r="JS119" i="2"/>
  <c r="PE116" i="2"/>
  <c r="JR137" i="2"/>
  <c r="PE114" i="2"/>
  <c r="PD127" i="2"/>
  <c r="JS118" i="2"/>
  <c r="JR144" i="2"/>
  <c r="JR141" i="2"/>
  <c r="PE119" i="2"/>
  <c r="PD137" i="2"/>
  <c r="PD126" i="2"/>
  <c r="JS117" i="2"/>
  <c r="JR139" i="2"/>
  <c r="JR129" i="2"/>
  <c r="JS116" i="2"/>
  <c r="PD139" i="2"/>
  <c r="PE115" i="2"/>
  <c r="PD144" i="2"/>
  <c r="JR128" i="2"/>
  <c r="PD142" i="2"/>
  <c r="JR126" i="2"/>
  <c r="EH110" i="2"/>
  <c r="EH107" i="2"/>
  <c r="JL2" i="2"/>
  <c r="JK199" i="2"/>
  <c r="JK193" i="2" s="1"/>
  <c r="JI26" i="2"/>
  <c r="JI33" i="2"/>
  <c r="JT112" i="2"/>
  <c r="JT114" i="2" s="1"/>
  <c r="JU113" i="2"/>
  <c r="JS134" i="2"/>
  <c r="JS124" i="2"/>
  <c r="JS142" i="2" s="1"/>
  <c r="PD150" i="2"/>
  <c r="PE134" i="2"/>
  <c r="PE124" i="2"/>
  <c r="JI48" i="2"/>
  <c r="PF135" i="2"/>
  <c r="JI23" i="2"/>
  <c r="OT4" i="2"/>
  <c r="JX135" i="2"/>
  <c r="PG125" i="2"/>
  <c r="JV125" i="2"/>
  <c r="PF113" i="2"/>
  <c r="PF112" i="2" s="1"/>
  <c r="PF118" i="2" s="1"/>
  <c r="JO87" i="2"/>
  <c r="EI111" i="2"/>
  <c r="JN81" i="2"/>
  <c r="JI40" i="2"/>
  <c r="JI34" i="2"/>
  <c r="JI32" i="2"/>
  <c r="JI27" i="2"/>
  <c r="EA23" i="2"/>
  <c r="JJ4" i="2"/>
  <c r="JJ41" i="2" s="1"/>
  <c r="PE129" i="2" l="1"/>
  <c r="JS128" i="2"/>
  <c r="JS129" i="2"/>
  <c r="JS144" i="2"/>
  <c r="JS139" i="2"/>
  <c r="JS126" i="2"/>
  <c r="PE136" i="2"/>
  <c r="JS150" i="2"/>
  <c r="JT118" i="2"/>
  <c r="JT115" i="2"/>
  <c r="PE140" i="2"/>
  <c r="PE142" i="2"/>
  <c r="PE127" i="2"/>
  <c r="JS140" i="2"/>
  <c r="PE138" i="2"/>
  <c r="JT117" i="2"/>
  <c r="PF114" i="2"/>
  <c r="JS138" i="2"/>
  <c r="PE144" i="2"/>
  <c r="PE126" i="2"/>
  <c r="JS137" i="2"/>
  <c r="JS136" i="2"/>
  <c r="PF115" i="2"/>
  <c r="PE137" i="2"/>
  <c r="PF116" i="2"/>
  <c r="JS127" i="2"/>
  <c r="PE139" i="2"/>
  <c r="PF119" i="2"/>
  <c r="JT119" i="2"/>
  <c r="PF117" i="2"/>
  <c r="PE128" i="2"/>
  <c r="JT116" i="2"/>
  <c r="JS141" i="2"/>
  <c r="PE141" i="2"/>
  <c r="EI110" i="2"/>
  <c r="EI107" i="2"/>
  <c r="JM2" i="2"/>
  <c r="JL199" i="2"/>
  <c r="JL193" i="2" s="1"/>
  <c r="JJ33" i="2"/>
  <c r="JJ26" i="2"/>
  <c r="PE150" i="2"/>
  <c r="JT124" i="2"/>
  <c r="JT126" i="2" s="1"/>
  <c r="JT134" i="2"/>
  <c r="JU112" i="2"/>
  <c r="JU114" i="2" s="1"/>
  <c r="JV113" i="2"/>
  <c r="PF134" i="2"/>
  <c r="PF124" i="2"/>
  <c r="PF129" i="2" s="1"/>
  <c r="JJ48" i="2"/>
  <c r="PG135" i="2"/>
  <c r="JJ23" i="2"/>
  <c r="OU4" i="2"/>
  <c r="JY135" i="2"/>
  <c r="PH125" i="2"/>
  <c r="JW125" i="2"/>
  <c r="PG113" i="2"/>
  <c r="PG112" i="2" s="1"/>
  <c r="PG118" i="2" s="1"/>
  <c r="JP87" i="2"/>
  <c r="EJ111" i="2"/>
  <c r="JO81" i="2"/>
  <c r="JJ34" i="2"/>
  <c r="JJ40" i="2"/>
  <c r="JJ32" i="2"/>
  <c r="JJ27" i="2"/>
  <c r="EB23" i="2"/>
  <c r="JK4" i="2"/>
  <c r="JK41" i="2" s="1"/>
  <c r="JU116" i="2" l="1"/>
  <c r="PF139" i="2"/>
  <c r="PF144" i="2"/>
  <c r="PF127" i="2"/>
  <c r="JT150" i="2"/>
  <c r="PF141" i="2"/>
  <c r="JT127" i="2"/>
  <c r="PF136" i="2"/>
  <c r="JT141" i="2"/>
  <c r="PG116" i="2"/>
  <c r="JT138" i="2"/>
  <c r="PF142" i="2"/>
  <c r="JT144" i="2"/>
  <c r="PF137" i="2"/>
  <c r="PG114" i="2"/>
  <c r="PF140" i="2"/>
  <c r="JT129" i="2"/>
  <c r="PF128" i="2"/>
  <c r="PG115" i="2"/>
  <c r="JU117" i="2"/>
  <c r="JU115" i="2"/>
  <c r="JT142" i="2"/>
  <c r="PG117" i="2"/>
  <c r="JT136" i="2"/>
  <c r="JT128" i="2"/>
  <c r="JU118" i="2"/>
  <c r="JU119" i="2"/>
  <c r="JT137" i="2"/>
  <c r="PF138" i="2"/>
  <c r="JT139" i="2"/>
  <c r="JU139" i="2" s="1"/>
  <c r="PG119" i="2"/>
  <c r="PF126" i="2"/>
  <c r="JT140" i="2"/>
  <c r="JN2" i="2"/>
  <c r="JM199" i="2"/>
  <c r="JM193" i="2" s="1"/>
  <c r="EJ110" i="2"/>
  <c r="EJ107" i="2"/>
  <c r="PF150" i="2"/>
  <c r="JK33" i="2"/>
  <c r="JK26" i="2"/>
  <c r="PG134" i="2"/>
  <c r="PG124" i="2"/>
  <c r="PG129" i="2" s="1"/>
  <c r="JV112" i="2"/>
  <c r="JV114" i="2" s="1"/>
  <c r="JW113" i="2"/>
  <c r="JU124" i="2"/>
  <c r="JU126" i="2" s="1"/>
  <c r="JU134" i="2"/>
  <c r="JK48" i="2"/>
  <c r="JK23" i="2"/>
  <c r="OV4" i="2"/>
  <c r="PH135" i="2"/>
  <c r="JZ135" i="2"/>
  <c r="PI125" i="2"/>
  <c r="JX125" i="2"/>
  <c r="PH113" i="2"/>
  <c r="PH112" i="2" s="1"/>
  <c r="PH118" i="2" s="1"/>
  <c r="JQ87" i="2"/>
  <c r="EK111" i="2"/>
  <c r="JP81" i="2"/>
  <c r="JK34" i="2"/>
  <c r="JK40" i="2"/>
  <c r="JK32" i="2"/>
  <c r="JK27" i="2"/>
  <c r="EC23" i="2"/>
  <c r="JL4" i="2"/>
  <c r="JL41" i="2" s="1"/>
  <c r="JV118" i="2" l="1"/>
  <c r="JU128" i="2"/>
  <c r="JU140" i="2"/>
  <c r="PG128" i="2"/>
  <c r="JU138" i="2"/>
  <c r="JU150" i="2"/>
  <c r="JU129" i="2"/>
  <c r="PH116" i="2"/>
  <c r="PG127" i="2"/>
  <c r="PG126" i="2"/>
  <c r="JU136" i="2"/>
  <c r="PG140" i="2"/>
  <c r="JU141" i="2"/>
  <c r="PG144" i="2"/>
  <c r="PH119" i="2"/>
  <c r="PH117" i="2"/>
  <c r="PH114" i="2"/>
  <c r="PG136" i="2"/>
  <c r="PG139" i="2"/>
  <c r="JU142" i="2"/>
  <c r="PG137" i="2"/>
  <c r="PG138" i="2"/>
  <c r="JV115" i="2"/>
  <c r="JV116" i="2"/>
  <c r="JU137" i="2"/>
  <c r="JV117" i="2"/>
  <c r="JU144" i="2"/>
  <c r="JU127" i="2"/>
  <c r="JV127" i="2" s="1"/>
  <c r="JV119" i="2"/>
  <c r="PH115" i="2"/>
  <c r="PG142" i="2"/>
  <c r="PG141" i="2"/>
  <c r="EK110" i="2"/>
  <c r="EK107" i="2"/>
  <c r="JO2" i="2"/>
  <c r="JN199" i="2"/>
  <c r="JN193" i="2" s="1"/>
  <c r="JL26" i="2"/>
  <c r="JL33" i="2"/>
  <c r="JW112" i="2"/>
  <c r="JW114" i="2" s="1"/>
  <c r="JX113" i="2"/>
  <c r="PG150" i="2"/>
  <c r="JV124" i="2"/>
  <c r="JV140" i="2" s="1"/>
  <c r="JV134" i="2"/>
  <c r="PH124" i="2"/>
  <c r="PH129" i="2" s="1"/>
  <c r="PH134" i="2"/>
  <c r="JL48" i="2"/>
  <c r="PI135" i="2"/>
  <c r="JL23" i="2"/>
  <c r="OW4" i="2"/>
  <c r="KA135" i="2"/>
  <c r="PJ125" i="2"/>
  <c r="JY125" i="2"/>
  <c r="PI113" i="2"/>
  <c r="PI112" i="2" s="1"/>
  <c r="PI118" i="2" s="1"/>
  <c r="JR87" i="2"/>
  <c r="EL111" i="2"/>
  <c r="JQ81" i="2"/>
  <c r="JL40" i="2"/>
  <c r="JL34" i="2"/>
  <c r="JL32" i="2"/>
  <c r="JL27" i="2"/>
  <c r="ED23" i="2"/>
  <c r="JM4" i="2"/>
  <c r="JM41" i="2" s="1"/>
  <c r="JV137" i="2" l="1"/>
  <c r="JV136" i="2"/>
  <c r="JV138" i="2"/>
  <c r="JV139" i="2"/>
  <c r="PH141" i="2"/>
  <c r="PH139" i="2"/>
  <c r="PH140" i="2"/>
  <c r="JV150" i="2"/>
  <c r="PH142" i="2"/>
  <c r="JW116" i="2"/>
  <c r="PH136" i="2"/>
  <c r="PH126" i="2"/>
  <c r="PH128" i="2"/>
  <c r="PI115" i="2"/>
  <c r="JW115" i="2"/>
  <c r="PI114" i="2"/>
  <c r="PH127" i="2"/>
  <c r="JW118" i="2"/>
  <c r="JW119" i="2"/>
  <c r="PH138" i="2"/>
  <c r="PI117" i="2"/>
  <c r="PI116" i="2"/>
  <c r="PI119" i="2"/>
  <c r="JV129" i="2"/>
  <c r="JV144" i="2"/>
  <c r="PH137" i="2"/>
  <c r="PH144" i="2"/>
  <c r="JV128" i="2"/>
  <c r="JV126" i="2"/>
  <c r="JW117" i="2"/>
  <c r="JV142" i="2"/>
  <c r="JV141" i="2"/>
  <c r="EL110" i="2"/>
  <c r="EL107" i="2"/>
  <c r="JP2" i="2"/>
  <c r="JO199" i="2"/>
  <c r="JO193" i="2" s="1"/>
  <c r="JM26" i="2"/>
  <c r="JM33" i="2"/>
  <c r="JX112" i="2"/>
  <c r="JX114" i="2" s="1"/>
  <c r="JY113" i="2"/>
  <c r="JW124" i="2"/>
  <c r="JW140" i="2" s="1"/>
  <c r="JW134" i="2"/>
  <c r="PI124" i="2"/>
  <c r="PI141" i="2" s="1"/>
  <c r="PI134" i="2"/>
  <c r="PH150" i="2"/>
  <c r="JM48" i="2"/>
  <c r="PJ135" i="2"/>
  <c r="JM23" i="2"/>
  <c r="OX4" i="2"/>
  <c r="KB135" i="2"/>
  <c r="PK125" i="2"/>
  <c r="JZ125" i="2"/>
  <c r="PJ113" i="2"/>
  <c r="PJ112" i="2" s="1"/>
  <c r="PJ118" i="2" s="1"/>
  <c r="JS87" i="2"/>
  <c r="EM111" i="2"/>
  <c r="JR81" i="2"/>
  <c r="JM34" i="2"/>
  <c r="JM40" i="2"/>
  <c r="JM32" i="2"/>
  <c r="JM27" i="2"/>
  <c r="EE23" i="2"/>
  <c r="JN4" i="2"/>
  <c r="JN41" i="2" s="1"/>
  <c r="JW141" i="2" l="1"/>
  <c r="JW144" i="2"/>
  <c r="JX119" i="2"/>
  <c r="PI136" i="2"/>
  <c r="JW150" i="2"/>
  <c r="JW129" i="2"/>
  <c r="JX118" i="2"/>
  <c r="JX116" i="2"/>
  <c r="PI140" i="2"/>
  <c r="JW142" i="2"/>
  <c r="PJ119" i="2"/>
  <c r="PI127" i="2"/>
  <c r="PI142" i="2"/>
  <c r="JW139" i="2"/>
  <c r="JX117" i="2"/>
  <c r="PJ114" i="2"/>
  <c r="JW137" i="2"/>
  <c r="JW126" i="2"/>
  <c r="JW127" i="2"/>
  <c r="JX115" i="2"/>
  <c r="JW138" i="2"/>
  <c r="PI129" i="2"/>
  <c r="JW128" i="2"/>
  <c r="PJ116" i="2"/>
  <c r="PJ115" i="2"/>
  <c r="JW136" i="2"/>
  <c r="PI144" i="2"/>
  <c r="PJ117" i="2"/>
  <c r="PI128" i="2"/>
  <c r="PI139" i="2"/>
  <c r="PI137" i="2"/>
  <c r="PI138" i="2"/>
  <c r="PI126" i="2"/>
  <c r="JQ2" i="2"/>
  <c r="JP199" i="2"/>
  <c r="JP193" i="2" s="1"/>
  <c r="EM110" i="2"/>
  <c r="EM107" i="2"/>
  <c r="PI150" i="2"/>
  <c r="JN33" i="2"/>
  <c r="JN26" i="2"/>
  <c r="PJ124" i="2"/>
  <c r="PJ141" i="2" s="1"/>
  <c r="PJ134" i="2"/>
  <c r="JY112" i="2"/>
  <c r="JY114" i="2" s="1"/>
  <c r="JZ113" i="2"/>
  <c r="JX134" i="2"/>
  <c r="JX124" i="2"/>
  <c r="JN48" i="2"/>
  <c r="PK135" i="2"/>
  <c r="JN23" i="2"/>
  <c r="OY4" i="2"/>
  <c r="KC135" i="2"/>
  <c r="PL125" i="2"/>
  <c r="KA125" i="2"/>
  <c r="PK113" i="2"/>
  <c r="PK112" i="2" s="1"/>
  <c r="PK118" i="2" s="1"/>
  <c r="JT87" i="2"/>
  <c r="EN111" i="2"/>
  <c r="JS81" i="2"/>
  <c r="JN34" i="2"/>
  <c r="JN40" i="2"/>
  <c r="JN32" i="2"/>
  <c r="JN27" i="2"/>
  <c r="EF23" i="2"/>
  <c r="JO4" i="2"/>
  <c r="JO41" i="2" s="1"/>
  <c r="JX141" i="2" l="1"/>
  <c r="JX136" i="2"/>
  <c r="JX126" i="2"/>
  <c r="PJ127" i="2"/>
  <c r="JX150" i="2"/>
  <c r="PJ126" i="2"/>
  <c r="PK115" i="2"/>
  <c r="JX137" i="2"/>
  <c r="PK119" i="2"/>
  <c r="PJ136" i="2"/>
  <c r="PJ138" i="2"/>
  <c r="PK116" i="2"/>
  <c r="JX142" i="2"/>
  <c r="JY119" i="2"/>
  <c r="PJ137" i="2"/>
  <c r="JX128" i="2"/>
  <c r="PK114" i="2"/>
  <c r="PJ140" i="2"/>
  <c r="JX144" i="2"/>
  <c r="PJ139" i="2"/>
  <c r="PJ129" i="2"/>
  <c r="JY116" i="2"/>
  <c r="PJ128" i="2"/>
  <c r="JX138" i="2"/>
  <c r="JY117" i="2"/>
  <c r="JY118" i="2"/>
  <c r="JX140" i="2"/>
  <c r="PK117" i="2"/>
  <c r="JY115" i="2"/>
  <c r="JX139" i="2"/>
  <c r="JX129" i="2"/>
  <c r="PJ144" i="2"/>
  <c r="JX127" i="2"/>
  <c r="PJ142" i="2"/>
  <c r="EN110" i="2"/>
  <c r="EN107" i="2"/>
  <c r="JR2" i="2"/>
  <c r="JQ199" i="2"/>
  <c r="JQ193" i="2" s="1"/>
  <c r="PJ150" i="2"/>
  <c r="JO26" i="2"/>
  <c r="JO33" i="2"/>
  <c r="PK124" i="2"/>
  <c r="PK141" i="2" s="1"/>
  <c r="PK134" i="2"/>
  <c r="JZ112" i="2"/>
  <c r="JZ114" i="2" s="1"/>
  <c r="KA113" i="2"/>
  <c r="JY134" i="2"/>
  <c r="JY124" i="2"/>
  <c r="JY141" i="2" s="1"/>
  <c r="JO48" i="2"/>
  <c r="PL135" i="2"/>
  <c r="JO23" i="2"/>
  <c r="OZ4" i="2"/>
  <c r="KD135" i="2"/>
  <c r="PM125" i="2"/>
  <c r="KB125" i="2"/>
  <c r="PL113" i="2"/>
  <c r="PL112" i="2" s="1"/>
  <c r="PL118" i="2" s="1"/>
  <c r="JU87" i="2"/>
  <c r="EO111" i="2"/>
  <c r="JT81" i="2"/>
  <c r="JO34" i="2"/>
  <c r="JO40" i="2"/>
  <c r="JO32" i="2"/>
  <c r="JO27" i="2"/>
  <c r="EG23" i="2"/>
  <c r="JP4" i="2"/>
  <c r="JP41" i="2" s="1"/>
  <c r="JZ117" i="2" l="1"/>
  <c r="JZ118" i="2"/>
  <c r="JY127" i="2"/>
  <c r="JY140" i="2"/>
  <c r="PK139" i="2"/>
  <c r="JY150" i="2"/>
  <c r="PK142" i="2"/>
  <c r="JY144" i="2"/>
  <c r="PL116" i="2"/>
  <c r="PK127" i="2"/>
  <c r="PK140" i="2"/>
  <c r="PK138" i="2"/>
  <c r="JY126" i="2"/>
  <c r="PK144" i="2"/>
  <c r="JY138" i="2"/>
  <c r="PL114" i="2"/>
  <c r="PK136" i="2"/>
  <c r="JY136" i="2"/>
  <c r="JY129" i="2"/>
  <c r="PK128" i="2"/>
  <c r="JY128" i="2"/>
  <c r="PL119" i="2"/>
  <c r="JY139" i="2"/>
  <c r="JZ116" i="2"/>
  <c r="PK137" i="2"/>
  <c r="JY137" i="2"/>
  <c r="JZ115" i="2"/>
  <c r="JZ119" i="2"/>
  <c r="PL115" i="2"/>
  <c r="PL117" i="2"/>
  <c r="PK129" i="2"/>
  <c r="JY142" i="2"/>
  <c r="PK126" i="2"/>
  <c r="EO110" i="2"/>
  <c r="EO107" i="2"/>
  <c r="JS2" i="2"/>
  <c r="JR199" i="2"/>
  <c r="JR193" i="2" s="1"/>
  <c r="JP26" i="2"/>
  <c r="JP33" i="2"/>
  <c r="KA112" i="2"/>
  <c r="KA118" i="2" s="1"/>
  <c r="KB113" i="2"/>
  <c r="JZ134" i="2"/>
  <c r="JZ124" i="2"/>
  <c r="JZ141" i="2" s="1"/>
  <c r="PL134" i="2"/>
  <c r="PL124" i="2"/>
  <c r="PL141" i="2" s="1"/>
  <c r="PK150" i="2"/>
  <c r="JP48" i="2"/>
  <c r="PM135" i="2"/>
  <c r="JP23" i="2"/>
  <c r="PA4" i="2"/>
  <c r="KE135" i="2"/>
  <c r="PN125" i="2"/>
  <c r="KC125" i="2"/>
  <c r="PM113" i="2"/>
  <c r="PM112" i="2" s="1"/>
  <c r="PM118" i="2" s="1"/>
  <c r="JV87" i="2"/>
  <c r="EP111" i="2"/>
  <c r="JU81" i="2"/>
  <c r="JP40" i="2"/>
  <c r="JP34" i="2"/>
  <c r="JP32" i="2"/>
  <c r="JP27" i="2"/>
  <c r="EH23" i="2"/>
  <c r="JQ4" i="2"/>
  <c r="JQ41" i="2" s="1"/>
  <c r="JZ137" i="2" l="1"/>
  <c r="PL126" i="2"/>
  <c r="JZ136" i="2"/>
  <c r="JZ142" i="2"/>
  <c r="KA115" i="2"/>
  <c r="JZ129" i="2"/>
  <c r="PL140" i="2"/>
  <c r="JZ150" i="2"/>
  <c r="KA117" i="2"/>
  <c r="PL137" i="2"/>
  <c r="PL136" i="2"/>
  <c r="JZ127" i="2"/>
  <c r="PL139" i="2"/>
  <c r="PL129" i="2"/>
  <c r="KA116" i="2"/>
  <c r="PM114" i="2"/>
  <c r="PL127" i="2"/>
  <c r="JZ140" i="2"/>
  <c r="PM117" i="2"/>
  <c r="JZ139" i="2"/>
  <c r="JZ138" i="2"/>
  <c r="PM116" i="2"/>
  <c r="PM115" i="2"/>
  <c r="PM119" i="2"/>
  <c r="PL144" i="2"/>
  <c r="JZ144" i="2"/>
  <c r="KA114" i="2"/>
  <c r="KA119" i="2"/>
  <c r="JZ128" i="2"/>
  <c r="JZ126" i="2"/>
  <c r="PL128" i="2"/>
  <c r="PL138" i="2"/>
  <c r="PL142" i="2"/>
  <c r="EP110" i="2"/>
  <c r="EP107" i="2"/>
  <c r="JT2" i="2"/>
  <c r="JS199" i="2"/>
  <c r="JS193" i="2" s="1"/>
  <c r="PL150" i="2"/>
  <c r="JQ26" i="2"/>
  <c r="JQ33" i="2"/>
  <c r="PM134" i="2"/>
  <c r="PM124" i="2"/>
  <c r="PM126" i="2" s="1"/>
  <c r="KB112" i="2"/>
  <c r="KB118" i="2" s="1"/>
  <c r="KC113" i="2"/>
  <c r="KA134" i="2"/>
  <c r="KA124" i="2"/>
  <c r="JQ48" i="2"/>
  <c r="PN135" i="2"/>
  <c r="JQ23" i="2"/>
  <c r="PB4" i="2"/>
  <c r="PO125" i="2"/>
  <c r="KD125" i="2"/>
  <c r="PN113" i="2"/>
  <c r="PN112" i="2" s="1"/>
  <c r="PN118" i="2" s="1"/>
  <c r="JW87" i="2"/>
  <c r="EQ111" i="2"/>
  <c r="JV81" i="2"/>
  <c r="JQ40" i="2"/>
  <c r="JQ34" i="2"/>
  <c r="JQ32" i="2"/>
  <c r="JQ27" i="2"/>
  <c r="EI23" i="2"/>
  <c r="JR4" i="2"/>
  <c r="JR41" i="2" s="1"/>
  <c r="KA137" i="2" l="1"/>
  <c r="KB114" i="2"/>
  <c r="KA144" i="2"/>
  <c r="PM142" i="2"/>
  <c r="PN117" i="2"/>
  <c r="PM136" i="2"/>
  <c r="KA150" i="2"/>
  <c r="KA140" i="2"/>
  <c r="PM137" i="2"/>
  <c r="PM140" i="2"/>
  <c r="PM138" i="2"/>
  <c r="PM144" i="2"/>
  <c r="PM127" i="2"/>
  <c r="KA142" i="2"/>
  <c r="KA129" i="2"/>
  <c r="PM128" i="2"/>
  <c r="PN119" i="2"/>
  <c r="PN114" i="2"/>
  <c r="KB115" i="2"/>
  <c r="PN115" i="2"/>
  <c r="KB116" i="2"/>
  <c r="KB117" i="2"/>
  <c r="KA141" i="2"/>
  <c r="KA126" i="2"/>
  <c r="PN116" i="2"/>
  <c r="PO116" i="2" s="1"/>
  <c r="PM129" i="2"/>
  <c r="KA136" i="2"/>
  <c r="PM141" i="2"/>
  <c r="KA128" i="2"/>
  <c r="KA138" i="2"/>
  <c r="KB138" i="2" s="1"/>
  <c r="PM139" i="2"/>
  <c r="KB119" i="2"/>
  <c r="KA139" i="2"/>
  <c r="KA127" i="2"/>
  <c r="EQ110" i="2"/>
  <c r="EQ107" i="2"/>
  <c r="JU2" i="2"/>
  <c r="JT199" i="2"/>
  <c r="JT193" i="2" s="1"/>
  <c r="JR33" i="2"/>
  <c r="JR26" i="2"/>
  <c r="PN134" i="2"/>
  <c r="PN124" i="2"/>
  <c r="PN126" i="2" s="1"/>
  <c r="KC112" i="2"/>
  <c r="KC118" i="2" s="1"/>
  <c r="KD113" i="2"/>
  <c r="KB124" i="2"/>
  <c r="KB134" i="2"/>
  <c r="PM150" i="2"/>
  <c r="JR48" i="2"/>
  <c r="JR23" i="2"/>
  <c r="PC4" i="2"/>
  <c r="PO135" i="2"/>
  <c r="KE125" i="2"/>
  <c r="PO113" i="2"/>
  <c r="PO112" i="2" s="1"/>
  <c r="PO118" i="2" s="1"/>
  <c r="JX87" i="2"/>
  <c r="ER111" i="2"/>
  <c r="JW81" i="2"/>
  <c r="JR40" i="2"/>
  <c r="JR32" i="2"/>
  <c r="JR34" i="2"/>
  <c r="JR27" i="2"/>
  <c r="EJ23" i="2"/>
  <c r="JS4" i="2"/>
  <c r="JS41" i="2" s="1"/>
  <c r="KB137" i="2" l="1"/>
  <c r="KB141" i="2"/>
  <c r="KB136" i="2"/>
  <c r="KB127" i="2"/>
  <c r="KB139" i="2"/>
  <c r="PN127" i="2"/>
  <c r="KB150" i="2"/>
  <c r="PN129" i="2"/>
  <c r="KC115" i="2"/>
  <c r="PN144" i="2"/>
  <c r="PN136" i="2"/>
  <c r="PN138" i="2"/>
  <c r="PO117" i="2"/>
  <c r="KC119" i="2"/>
  <c r="KB126" i="2"/>
  <c r="PO114" i="2"/>
  <c r="PN140" i="2"/>
  <c r="KC114" i="2"/>
  <c r="PN139" i="2"/>
  <c r="PO119" i="2"/>
  <c r="PN137" i="2"/>
  <c r="KC117" i="2"/>
  <c r="PN128" i="2"/>
  <c r="KB140" i="2"/>
  <c r="KB128" i="2"/>
  <c r="KC116" i="2"/>
  <c r="KD116" i="2" s="1"/>
  <c r="KE116" i="2" s="1"/>
  <c r="KB129" i="2"/>
  <c r="KB144" i="2"/>
  <c r="PN141" i="2"/>
  <c r="PO115" i="2"/>
  <c r="KB142" i="2"/>
  <c r="PN142" i="2"/>
  <c r="JV2" i="2"/>
  <c r="JU199" i="2"/>
  <c r="JU193" i="2" s="1"/>
  <c r="ER110" i="2"/>
  <c r="ER107" i="2"/>
  <c r="JS26" i="2"/>
  <c r="JS33" i="2"/>
  <c r="PN150" i="2"/>
  <c r="KD112" i="2"/>
  <c r="KD118" i="2" s="1"/>
  <c r="KE113" i="2"/>
  <c r="KE112" i="2" s="1"/>
  <c r="KC124" i="2"/>
  <c r="KC137" i="2" s="1"/>
  <c r="KC134" i="2"/>
  <c r="PO134" i="2"/>
  <c r="PO124" i="2"/>
  <c r="PO126" i="2" s="1"/>
  <c r="JS48" i="2"/>
  <c r="JS23" i="2"/>
  <c r="PD4" i="2"/>
  <c r="JY87" i="2"/>
  <c r="ES111" i="2"/>
  <c r="JX81" i="2"/>
  <c r="JS40" i="2"/>
  <c r="JS34" i="2"/>
  <c r="JS32" i="2"/>
  <c r="JS27" i="2"/>
  <c r="EK23" i="2"/>
  <c r="JT4" i="2"/>
  <c r="JT41" i="2" s="1"/>
  <c r="KE118" i="2" l="1"/>
  <c r="KC129" i="2"/>
  <c r="KC127" i="2"/>
  <c r="KC141" i="2"/>
  <c r="PO138" i="2"/>
  <c r="KC150" i="2"/>
  <c r="KC128" i="2"/>
  <c r="PO139" i="2"/>
  <c r="PO127" i="2"/>
  <c r="PO142" i="2"/>
  <c r="KC140" i="2"/>
  <c r="KD114" i="2"/>
  <c r="KE114" i="2" s="1"/>
  <c r="KC139" i="2"/>
  <c r="KC142" i="2"/>
  <c r="PO128" i="2"/>
  <c r="PO140" i="2"/>
  <c r="PO136" i="2"/>
  <c r="KC136" i="2"/>
  <c r="KD117" i="2"/>
  <c r="KE117" i="2" s="1"/>
  <c r="PO144" i="2"/>
  <c r="PO141" i="2"/>
  <c r="KC138" i="2"/>
  <c r="KC126" i="2"/>
  <c r="KD115" i="2"/>
  <c r="KE115" i="2" s="1"/>
  <c r="KC144" i="2"/>
  <c r="PO137" i="2"/>
  <c r="KD119" i="2"/>
  <c r="KE119" i="2" s="1"/>
  <c r="PO129" i="2"/>
  <c r="ES110" i="2"/>
  <c r="ES107" i="2"/>
  <c r="JW2" i="2"/>
  <c r="JV199" i="2"/>
  <c r="JV193" i="2" s="1"/>
  <c r="JT26" i="2"/>
  <c r="JT33" i="2"/>
  <c r="PO150" i="2"/>
  <c r="KE124" i="2"/>
  <c r="KE134" i="2"/>
  <c r="KD124" i="2"/>
  <c r="KD137" i="2" s="1"/>
  <c r="KE137" i="2" s="1"/>
  <c r="KD134" i="2"/>
  <c r="JT48" i="2"/>
  <c r="JT23" i="2"/>
  <c r="PE4" i="2"/>
  <c r="JZ87" i="2"/>
  <c r="ET111" i="2"/>
  <c r="JY81" i="2"/>
  <c r="EL23" i="2"/>
  <c r="JU4" i="2"/>
  <c r="JU41" i="2" s="1"/>
  <c r="JT34" i="2"/>
  <c r="JT40" i="2"/>
  <c r="JT32" i="2"/>
  <c r="JT27" i="2"/>
  <c r="KD138" i="2" l="1"/>
  <c r="KE138" i="2" s="1"/>
  <c r="KD142" i="2"/>
  <c r="KE142" i="2" s="1"/>
  <c r="KD128" i="2"/>
  <c r="KE128" i="2" s="1"/>
  <c r="KD139" i="2"/>
  <c r="KE139" i="2" s="1"/>
  <c r="KD150" i="2"/>
  <c r="KE150" i="2" s="1"/>
  <c r="KD136" i="2"/>
  <c r="KE136" i="2" s="1"/>
  <c r="KD140" i="2"/>
  <c r="KE140" i="2" s="1"/>
  <c r="KD141" i="2"/>
  <c r="KE141" i="2" s="1"/>
  <c r="KD144" i="2"/>
  <c r="KE144" i="2" s="1"/>
  <c r="KD127" i="2"/>
  <c r="KE127" i="2" s="1"/>
  <c r="KD129" i="2"/>
  <c r="KE129" i="2" s="1"/>
  <c r="KD126" i="2"/>
  <c r="KE126" i="2" s="1"/>
  <c r="JX2" i="2"/>
  <c r="JW199" i="2"/>
  <c r="JW193" i="2" s="1"/>
  <c r="ET110" i="2"/>
  <c r="ET107" i="2"/>
  <c r="JU33" i="2"/>
  <c r="JU26" i="2"/>
  <c r="JU48" i="2"/>
  <c r="JU23" i="2"/>
  <c r="PF4" i="2"/>
  <c r="KA87" i="2"/>
  <c r="EU111" i="2"/>
  <c r="JZ81" i="2"/>
  <c r="JU34" i="2"/>
  <c r="JU40" i="2"/>
  <c r="JU32" i="2"/>
  <c r="JU27" i="2"/>
  <c r="EM23" i="2"/>
  <c r="JV4" i="2"/>
  <c r="JV41" i="2" s="1"/>
  <c r="EU110" i="2" l="1"/>
  <c r="EU107" i="2"/>
  <c r="JY2" i="2"/>
  <c r="JX199" i="2"/>
  <c r="JX193" i="2" s="1"/>
  <c r="JV26" i="2"/>
  <c r="JV33" i="2"/>
  <c r="JV48" i="2"/>
  <c r="JV23" i="2"/>
  <c r="PG4" i="2"/>
  <c r="KB87" i="2"/>
  <c r="KA81" i="2"/>
  <c r="JV34" i="2"/>
  <c r="JV40" i="2"/>
  <c r="JV32" i="2"/>
  <c r="JV27" i="2"/>
  <c r="EN23" i="2"/>
  <c r="JW4" i="2"/>
  <c r="JW41" i="2" s="1"/>
  <c r="JZ2" i="2" l="1"/>
  <c r="JY199" i="2"/>
  <c r="JY193" i="2" s="1"/>
  <c r="JW33" i="2"/>
  <c r="JW26" i="2"/>
  <c r="JW48" i="2"/>
  <c r="JW23" i="2"/>
  <c r="PH4" i="2"/>
  <c r="KC87" i="2"/>
  <c r="KB81" i="2"/>
  <c r="JW40" i="2"/>
  <c r="JW34" i="2"/>
  <c r="JW32" i="2"/>
  <c r="JW27" i="2"/>
  <c r="EO23" i="2"/>
  <c r="JX4" i="2"/>
  <c r="JX41" i="2" s="1"/>
  <c r="KA2" i="2" l="1"/>
  <c r="JZ199" i="2"/>
  <c r="JZ193" i="2" s="1"/>
  <c r="JX33" i="2"/>
  <c r="JX26" i="2"/>
  <c r="JX48" i="2"/>
  <c r="JX23" i="2"/>
  <c r="PI4" i="2"/>
  <c r="KD87" i="2"/>
  <c r="KC81" i="2"/>
  <c r="JX40" i="2"/>
  <c r="JX34" i="2"/>
  <c r="JX32" i="2"/>
  <c r="JX27" i="2"/>
  <c r="EP23" i="2"/>
  <c r="JY4" i="2"/>
  <c r="JY41" i="2" s="1"/>
  <c r="KB2" i="2" l="1"/>
  <c r="KA199" i="2"/>
  <c r="KA193" i="2" s="1"/>
  <c r="JY33" i="2"/>
  <c r="JY26" i="2"/>
  <c r="JY48" i="2"/>
  <c r="JY23" i="2"/>
  <c r="PJ4" i="2"/>
  <c r="KE87" i="2"/>
  <c r="KD81" i="2"/>
  <c r="JY34" i="2"/>
  <c r="JY40" i="2"/>
  <c r="JY32" i="2"/>
  <c r="JY27" i="2"/>
  <c r="EQ23" i="2"/>
  <c r="JZ4" i="2"/>
  <c r="JZ41" i="2" s="1"/>
  <c r="KC2" i="2" l="1"/>
  <c r="KB199" i="2"/>
  <c r="KB193" i="2" s="1"/>
  <c r="JZ33" i="2"/>
  <c r="JZ26" i="2"/>
  <c r="JZ48" i="2"/>
  <c r="JZ23" i="2"/>
  <c r="PK4" i="2"/>
  <c r="KE81" i="2"/>
  <c r="JZ40" i="2"/>
  <c r="JZ34" i="2"/>
  <c r="JZ32" i="2"/>
  <c r="JZ27" i="2"/>
  <c r="ER23" i="2"/>
  <c r="KA4" i="2"/>
  <c r="KA41" i="2" s="1"/>
  <c r="KD2" i="2" l="1"/>
  <c r="KC199" i="2"/>
  <c r="KC193" i="2" s="1"/>
  <c r="KA33" i="2"/>
  <c r="KA26" i="2"/>
  <c r="KA48" i="2"/>
  <c r="KA23" i="2"/>
  <c r="PL4" i="2"/>
  <c r="KA34" i="2"/>
  <c r="KA40" i="2"/>
  <c r="KA32" i="2"/>
  <c r="KA27" i="2"/>
  <c r="ES23" i="2"/>
  <c r="KB4" i="2"/>
  <c r="KB41" i="2" s="1"/>
  <c r="KE2" i="2" l="1"/>
  <c r="KE199" i="2" s="1"/>
  <c r="KE193" i="2" s="1"/>
  <c r="KD199" i="2"/>
  <c r="KD193" i="2" s="1"/>
  <c r="KB26" i="2"/>
  <c r="KB33" i="2"/>
  <c r="KB48" i="2"/>
  <c r="KB23" i="2"/>
  <c r="PM4" i="2"/>
  <c r="KB40" i="2"/>
  <c r="KB34" i="2"/>
  <c r="KB32" i="2"/>
  <c r="KB27" i="2"/>
  <c r="ET23" i="2"/>
  <c r="KC4" i="2"/>
  <c r="KC41" i="2" s="1"/>
  <c r="KC33" i="2" l="1"/>
  <c r="KC26" i="2"/>
  <c r="KC48" i="2"/>
  <c r="KC23" i="2"/>
  <c r="PN4" i="2"/>
  <c r="KC40" i="2"/>
  <c r="KC34" i="2"/>
  <c r="KC32" i="2"/>
  <c r="KC27" i="2"/>
  <c r="EU23" i="2"/>
  <c r="KD4" i="2"/>
  <c r="KD41" i="2" s="1"/>
  <c r="KD26" i="2" l="1"/>
  <c r="KD33" i="2"/>
  <c r="KD48" i="2"/>
  <c r="KE4" i="2"/>
  <c r="KE41" i="2" s="1"/>
  <c r="KD23" i="2"/>
  <c r="PO4" i="2"/>
  <c r="KD40" i="2"/>
  <c r="KD34" i="2"/>
  <c r="KD32" i="2"/>
  <c r="KD27" i="2"/>
  <c r="KE40" i="2"/>
  <c r="KE34" i="2"/>
  <c r="KE27" i="2" l="1"/>
  <c r="KE32" i="2"/>
  <c r="KE26" i="2"/>
  <c r="KE33" i="2"/>
  <c r="KE23" i="2"/>
  <c r="KE48" i="2"/>
  <c r="T22" i="2"/>
  <c r="F44" i="2"/>
  <c r="E44" i="2"/>
  <c r="J40" i="2"/>
  <c r="F35" i="2"/>
  <c r="E35" i="2"/>
  <c r="J34" i="2"/>
  <c r="I34" i="2"/>
  <c r="F28" i="2"/>
  <c r="E28" i="2"/>
  <c r="J27" i="2"/>
  <c r="I27" i="2"/>
  <c r="F15" i="2"/>
  <c r="D11" i="2"/>
  <c r="F13" i="2" s="1"/>
  <c r="T48" i="2" l="1"/>
  <c r="H70" i="4" s="1"/>
  <c r="H108" i="4" s="1"/>
  <c r="T26" i="2"/>
  <c r="T205" i="2"/>
  <c r="F46" i="2"/>
  <c r="E46" i="2"/>
  <c r="E49" i="2"/>
  <c r="F49" i="2"/>
  <c r="T27" i="2"/>
  <c r="I31" i="2"/>
  <c r="EW31" i="2"/>
  <c r="EW25" i="2"/>
  <c r="EW24" i="2"/>
  <c r="U22" i="2"/>
  <c r="I40" i="2"/>
  <c r="J14" i="2"/>
  <c r="J31" i="2"/>
  <c r="F16" i="2"/>
  <c r="F12" i="2"/>
  <c r="H105" i="4" l="1"/>
  <c r="U48" i="2"/>
  <c r="I70" i="4" s="1"/>
  <c r="I108" i="4" s="1"/>
  <c r="U26" i="2"/>
  <c r="U205" i="2"/>
  <c r="D166" i="2"/>
  <c r="U27" i="2"/>
  <c r="IX24" i="2"/>
  <c r="JR24" i="2"/>
  <c r="HF24" i="2"/>
  <c r="FC24" i="2"/>
  <c r="S24" i="2" s="1"/>
  <c r="JJ24" i="2"/>
  <c r="IA24" i="2"/>
  <c r="FO24" i="2"/>
  <c r="HI24" i="2"/>
  <c r="FS24" i="2"/>
  <c r="HQ24" i="2"/>
  <c r="GA24" i="2"/>
  <c r="GB24" i="2"/>
  <c r="HG24" i="2"/>
  <c r="JI24" i="2"/>
  <c r="GW24" i="2"/>
  <c r="HD24" i="2"/>
  <c r="FN24" i="2"/>
  <c r="FZ24" i="2"/>
  <c r="HB24" i="2"/>
  <c r="JZ24" i="2"/>
  <c r="HO24" i="2"/>
  <c r="JP24" i="2"/>
  <c r="KE24" i="2"/>
  <c r="HS24" i="2"/>
  <c r="FG24" i="2"/>
  <c r="GS24" i="2"/>
  <c r="JX24" i="2"/>
  <c r="HA24" i="2"/>
  <c r="IZ24" i="2"/>
  <c r="FT24" i="2"/>
  <c r="GI24" i="2"/>
  <c r="JA24" i="2"/>
  <c r="GO24" i="2"/>
  <c r="FP24" i="2"/>
  <c r="IF24" i="2"/>
  <c r="JV24" i="2"/>
  <c r="JT24" i="2"/>
  <c r="HN24" i="2"/>
  <c r="GE24" i="2"/>
  <c r="IU24" i="2"/>
  <c r="FR24" i="2"/>
  <c r="GX24" i="2"/>
  <c r="JW24" i="2"/>
  <c r="HK24" i="2"/>
  <c r="GN24" i="2"/>
  <c r="GC24" i="2"/>
  <c r="IR24" i="2"/>
  <c r="GK24" i="2"/>
  <c r="IB24" i="2"/>
  <c r="FL24" i="2"/>
  <c r="FK24" i="2"/>
  <c r="IS24" i="2"/>
  <c r="GG24" i="2"/>
  <c r="IH24" i="2"/>
  <c r="IT24" i="2"/>
  <c r="HJ24" i="2"/>
  <c r="HH24" i="2"/>
  <c r="KD24" i="2"/>
  <c r="JE24" i="2"/>
  <c r="GL24" i="2"/>
  <c r="JO24" i="2"/>
  <c r="HC24" i="2"/>
  <c r="JU24" i="2"/>
  <c r="FM24" i="2"/>
  <c r="HL24" i="2"/>
  <c r="FU24" i="2"/>
  <c r="GV24" i="2"/>
  <c r="FD24" i="2"/>
  <c r="T24" i="2" s="1"/>
  <c r="JH24" i="2"/>
  <c r="IK24" i="2"/>
  <c r="FY24" i="2"/>
  <c r="FV24" i="2"/>
  <c r="GH24" i="2"/>
  <c r="KB24" i="2"/>
  <c r="HV24" i="2"/>
  <c r="GD24" i="2"/>
  <c r="GR24" i="2"/>
  <c r="HX24" i="2"/>
  <c r="JD24" i="2"/>
  <c r="JG24" i="2"/>
  <c r="GU24" i="2"/>
  <c r="JM24" i="2"/>
  <c r="JS24" i="2"/>
  <c r="FX24" i="2"/>
  <c r="FE24" i="2"/>
  <c r="U24" i="2" s="1"/>
  <c r="FH24" i="2"/>
  <c r="KA24" i="2"/>
  <c r="HT24" i="2"/>
  <c r="IC24" i="2"/>
  <c r="FQ24" i="2"/>
  <c r="IN24" i="2"/>
  <c r="HR24" i="2"/>
  <c r="HP24" i="2"/>
  <c r="FJ24" i="2"/>
  <c r="IQ24" i="2"/>
  <c r="JY24" i="2"/>
  <c r="GT24" i="2"/>
  <c r="IP24" i="2"/>
  <c r="IY24" i="2"/>
  <c r="GM24" i="2"/>
  <c r="IW24" i="2"/>
  <c r="IM24" i="2"/>
  <c r="KC24" i="2"/>
  <c r="JC24" i="2"/>
  <c r="GZ24" i="2"/>
  <c r="JK24" i="2"/>
  <c r="GF24" i="2"/>
  <c r="HU24" i="2"/>
  <c r="FI24" i="2"/>
  <c r="JB24" i="2"/>
  <c r="FF24" i="2"/>
  <c r="ID24" i="2"/>
  <c r="JF24" i="2"/>
  <c r="IO24" i="2"/>
  <c r="HM24" i="2"/>
  <c r="IV24" i="2"/>
  <c r="II24" i="2"/>
  <c r="FW24" i="2"/>
  <c r="HY24" i="2"/>
  <c r="GQ24" i="2"/>
  <c r="IG24" i="2"/>
  <c r="GY24" i="2"/>
  <c r="GJ24" i="2"/>
  <c r="IE24" i="2"/>
  <c r="JQ24" i="2"/>
  <c r="HE24" i="2"/>
  <c r="IJ24" i="2"/>
  <c r="HZ24" i="2"/>
  <c r="IL24" i="2"/>
  <c r="JN24" i="2"/>
  <c r="JL24" i="2"/>
  <c r="HW24" i="2"/>
  <c r="GP24" i="2"/>
  <c r="IJ25" i="2"/>
  <c r="FF25" i="2"/>
  <c r="IB25" i="2"/>
  <c r="II25" i="2"/>
  <c r="IR25" i="2"/>
  <c r="FR25" i="2"/>
  <c r="GY25" i="2"/>
  <c r="FK25" i="2"/>
  <c r="GN25" i="2"/>
  <c r="KA25" i="2"/>
  <c r="HP25" i="2"/>
  <c r="GC25" i="2"/>
  <c r="GP25" i="2"/>
  <c r="JE25" i="2"/>
  <c r="FL25" i="2"/>
  <c r="JG25" i="2"/>
  <c r="HU25" i="2"/>
  <c r="HY25" i="2"/>
  <c r="GH25" i="2"/>
  <c r="HR25" i="2"/>
  <c r="GI25" i="2"/>
  <c r="HW25" i="2"/>
  <c r="GQ25" i="2"/>
  <c r="GF25" i="2"/>
  <c r="JK25" i="2"/>
  <c r="HB25" i="2"/>
  <c r="GL25" i="2"/>
  <c r="FQ25" i="2"/>
  <c r="GZ25" i="2"/>
  <c r="IS25" i="2"/>
  <c r="KB25" i="2"/>
  <c r="IZ25" i="2"/>
  <c r="IG25" i="2"/>
  <c r="IW25" i="2"/>
  <c r="KC25" i="2"/>
  <c r="JZ25" i="2"/>
  <c r="JF25" i="2"/>
  <c r="JV25" i="2"/>
  <c r="JR25" i="2"/>
  <c r="IQ25" i="2"/>
  <c r="KE25" i="2"/>
  <c r="IT25" i="2"/>
  <c r="FG25" i="2"/>
  <c r="IU25" i="2"/>
  <c r="JO25" i="2"/>
  <c r="JC25" i="2"/>
  <c r="HH25" i="2"/>
  <c r="GJ25" i="2"/>
  <c r="HN25" i="2"/>
  <c r="IX25" i="2"/>
  <c r="IC25" i="2"/>
  <c r="JL25" i="2"/>
  <c r="FZ25" i="2"/>
  <c r="HJ25" i="2"/>
  <c r="GB25" i="2"/>
  <c r="IV25" i="2"/>
  <c r="FJ25" i="2"/>
  <c r="KD25" i="2"/>
  <c r="GX25" i="2"/>
  <c r="JT25" i="2"/>
  <c r="GS25" i="2"/>
  <c r="FE25" i="2"/>
  <c r="U25" i="2" s="1"/>
  <c r="HL25" i="2"/>
  <c r="HS25" i="2"/>
  <c r="FT25" i="2"/>
  <c r="JP25" i="2"/>
  <c r="HM25" i="2"/>
  <c r="GM25" i="2"/>
  <c r="IL25" i="2"/>
  <c r="FU25" i="2"/>
  <c r="JN25" i="2"/>
  <c r="JS25" i="2"/>
  <c r="GA25" i="2"/>
  <c r="IA25" i="2"/>
  <c r="IF25" i="2"/>
  <c r="HE25" i="2"/>
  <c r="IN25" i="2"/>
  <c r="JY25" i="2"/>
  <c r="GD25" i="2"/>
  <c r="JX25" i="2"/>
  <c r="IY25" i="2"/>
  <c r="HV25" i="2"/>
  <c r="GU25" i="2"/>
  <c r="GV25" i="2"/>
  <c r="HK25" i="2"/>
  <c r="JM25" i="2"/>
  <c r="JI25" i="2"/>
  <c r="HI25" i="2"/>
  <c r="JU25" i="2"/>
  <c r="JA25" i="2"/>
  <c r="GE25" i="2"/>
  <c r="IO25" i="2"/>
  <c r="GO25" i="2"/>
  <c r="IM25" i="2"/>
  <c r="HD25" i="2"/>
  <c r="FN25" i="2"/>
  <c r="JQ25" i="2"/>
  <c r="FV25" i="2"/>
  <c r="HF25" i="2"/>
  <c r="IP25" i="2"/>
  <c r="HG25" i="2"/>
  <c r="GT25" i="2"/>
  <c r="FP25" i="2"/>
  <c r="ID25" i="2"/>
  <c r="FS25" i="2"/>
  <c r="JW25" i="2"/>
  <c r="FM25" i="2"/>
  <c r="IH25" i="2"/>
  <c r="IE25" i="2"/>
  <c r="HX25" i="2"/>
  <c r="JB25" i="2"/>
  <c r="FO25" i="2"/>
  <c r="JJ25" i="2"/>
  <c r="FW25" i="2"/>
  <c r="JH25" i="2"/>
  <c r="IK25" i="2"/>
  <c r="GR25" i="2"/>
  <c r="HC25" i="2"/>
  <c r="HO25" i="2"/>
  <c r="HT25" i="2"/>
  <c r="FD25" i="2"/>
  <c r="T25" i="2" s="1"/>
  <c r="FY25" i="2"/>
  <c r="GW25" i="2"/>
  <c r="FH25" i="2"/>
  <c r="HQ25" i="2"/>
  <c r="JD25" i="2"/>
  <c r="GG25" i="2"/>
  <c r="FI25" i="2"/>
  <c r="HA25" i="2"/>
  <c r="GK25" i="2"/>
  <c r="FX25" i="2"/>
  <c r="HZ25" i="2"/>
  <c r="FC25" i="2"/>
  <c r="S25" i="2" s="1"/>
  <c r="IA31" i="2"/>
  <c r="HU31" i="2"/>
  <c r="GP31" i="2"/>
  <c r="HE31" i="2"/>
  <c r="HI31" i="2"/>
  <c r="JV31" i="2"/>
  <c r="GC31" i="2"/>
  <c r="FO31" i="2"/>
  <c r="JG31" i="2"/>
  <c r="IC31" i="2"/>
  <c r="HV31" i="2"/>
  <c r="HO31" i="2"/>
  <c r="JA31" i="2"/>
  <c r="JD31" i="2"/>
  <c r="IG31" i="2"/>
  <c r="JB31" i="2"/>
  <c r="JM31" i="2"/>
  <c r="IZ31" i="2"/>
  <c r="JU31" i="2"/>
  <c r="HP31" i="2"/>
  <c r="GB31" i="2"/>
  <c r="FH31" i="2"/>
  <c r="IS31" i="2"/>
  <c r="ID31" i="2"/>
  <c r="HW31" i="2"/>
  <c r="FT31" i="2"/>
  <c r="JT31" i="2"/>
  <c r="IO31" i="2"/>
  <c r="JN31" i="2"/>
  <c r="GR31" i="2"/>
  <c r="FJ31" i="2"/>
  <c r="KA31" i="2"/>
  <c r="KC31" i="2"/>
  <c r="GN31" i="2"/>
  <c r="JI31" i="2"/>
  <c r="IT31" i="2"/>
  <c r="IM31" i="2"/>
  <c r="GJ31" i="2"/>
  <c r="KB31" i="2"/>
  <c r="IW31" i="2"/>
  <c r="IU31" i="2"/>
  <c r="FC31" i="2"/>
  <c r="FK31" i="2"/>
  <c r="GV31" i="2"/>
  <c r="FU31" i="2"/>
  <c r="HH31" i="2"/>
  <c r="JH31" i="2"/>
  <c r="GK31" i="2"/>
  <c r="HC31" i="2"/>
  <c r="FI31" i="2"/>
  <c r="GH31" i="2"/>
  <c r="GA31" i="2"/>
  <c r="FQ31" i="2"/>
  <c r="IN31" i="2"/>
  <c r="HA31" i="2"/>
  <c r="GI31" i="2"/>
  <c r="IV31" i="2"/>
  <c r="JS31" i="2"/>
  <c r="FR31" i="2"/>
  <c r="IP31" i="2"/>
  <c r="GF31" i="2"/>
  <c r="JR31" i="2"/>
  <c r="FF31" i="2"/>
  <c r="II31" i="2"/>
  <c r="IL31" i="2"/>
  <c r="HN31" i="2"/>
  <c r="IE31" i="2"/>
  <c r="IX31" i="2"/>
  <c r="HF31" i="2"/>
  <c r="GL31" i="2"/>
  <c r="IR31" i="2"/>
  <c r="GQ31" i="2"/>
  <c r="FW31" i="2"/>
  <c r="JE31" i="2"/>
  <c r="FZ31" i="2"/>
  <c r="GM31" i="2"/>
  <c r="JL31" i="2"/>
  <c r="HX31" i="2"/>
  <c r="HY31" i="2"/>
  <c r="JY31" i="2"/>
  <c r="FN31" i="2"/>
  <c r="IY31" i="2"/>
  <c r="JJ31" i="2"/>
  <c r="IH31" i="2"/>
  <c r="GS31" i="2"/>
  <c r="IK31" i="2"/>
  <c r="GO31" i="2"/>
  <c r="JX31" i="2"/>
  <c r="HS31" i="2"/>
  <c r="JO31" i="2"/>
  <c r="FM31" i="2"/>
  <c r="FV31" i="2"/>
  <c r="GX31" i="2"/>
  <c r="JP31" i="2"/>
  <c r="IQ31" i="2"/>
  <c r="HZ31" i="2"/>
  <c r="HT31" i="2"/>
  <c r="HG31" i="2"/>
  <c r="IF31" i="2"/>
  <c r="IJ31" i="2"/>
  <c r="HM31" i="2"/>
  <c r="HQ31" i="2"/>
  <c r="JQ31" i="2"/>
  <c r="HL31" i="2"/>
  <c r="GZ31" i="2"/>
  <c r="HD31" i="2"/>
  <c r="GT31" i="2"/>
  <c r="GU31" i="2"/>
  <c r="JZ31" i="2"/>
  <c r="FL31" i="2"/>
  <c r="FX31" i="2"/>
  <c r="HB31" i="2"/>
  <c r="FE31" i="2"/>
  <c r="FY31" i="2"/>
  <c r="KE31" i="2"/>
  <c r="GG31" i="2"/>
  <c r="JW31" i="2"/>
  <c r="IB31" i="2"/>
  <c r="GW31" i="2"/>
  <c r="GY31" i="2"/>
  <c r="GE31" i="2"/>
  <c r="GD31" i="2"/>
  <c r="FD31" i="2"/>
  <c r="FP31" i="2"/>
  <c r="FG31" i="2"/>
  <c r="FS31" i="2"/>
  <c r="KD31" i="2"/>
  <c r="JF31" i="2"/>
  <c r="JC31" i="2"/>
  <c r="HR31" i="2"/>
  <c r="HJ31" i="2"/>
  <c r="JK31" i="2"/>
  <c r="HK31" i="2"/>
  <c r="V22" i="2"/>
  <c r="K28" i="2"/>
  <c r="FB201" i="2" s="1"/>
  <c r="J24" i="2"/>
  <c r="I24" i="2"/>
  <c r="J32" i="2"/>
  <c r="J35" i="2" s="1"/>
  <c r="I32" i="2"/>
  <c r="I35" i="2" s="1"/>
  <c r="K35" i="2"/>
  <c r="I105" i="4" l="1"/>
  <c r="HB201" i="2"/>
  <c r="HV201" i="2"/>
  <c r="IH201" i="2"/>
  <c r="GL201" i="2"/>
  <c r="FK201" i="2"/>
  <c r="JC201" i="2"/>
  <c r="GR201" i="2"/>
  <c r="JL201" i="2"/>
  <c r="GS201" i="2"/>
  <c r="JE201" i="2"/>
  <c r="IA201" i="2"/>
  <c r="II201" i="2"/>
  <c r="FX201" i="2"/>
  <c r="IR201" i="2"/>
  <c r="GG201" i="2"/>
  <c r="IS201" i="2"/>
  <c r="GY201" i="2"/>
  <c r="HF201" i="2"/>
  <c r="KA201" i="2"/>
  <c r="HI201" i="2"/>
  <c r="HL201" i="2"/>
  <c r="GN201" i="2"/>
  <c r="JI201" i="2"/>
  <c r="JF201" i="2"/>
  <c r="FD201" i="2"/>
  <c r="FE201" i="2"/>
  <c r="FO201" i="2"/>
  <c r="GV201" i="2"/>
  <c r="JQ201" i="2"/>
  <c r="FH201" i="2"/>
  <c r="FZ201" i="2"/>
  <c r="JD201" i="2"/>
  <c r="FP201" i="2"/>
  <c r="HZ201" i="2"/>
  <c r="FJ201" i="2"/>
  <c r="GP201" i="2"/>
  <c r="HR201" i="2"/>
  <c r="GA201" i="2"/>
  <c r="JS201" i="2"/>
  <c r="GZ201" i="2"/>
  <c r="JT201" i="2"/>
  <c r="HA201" i="2"/>
  <c r="JM201" i="2"/>
  <c r="JO201" i="2"/>
  <c r="IQ201" i="2"/>
  <c r="GF201" i="2"/>
  <c r="IZ201" i="2"/>
  <c r="GO201" i="2"/>
  <c r="JA201" i="2"/>
  <c r="HW201" i="2"/>
  <c r="IP201" i="2"/>
  <c r="IL201" i="2"/>
  <c r="IX201" i="2"/>
  <c r="GQ201" i="2"/>
  <c r="HP201" i="2"/>
  <c r="KB201" i="2"/>
  <c r="JU201" i="2"/>
  <c r="IY201" i="2"/>
  <c r="JH201" i="2"/>
  <c r="GW201" i="2"/>
  <c r="JK201" i="2"/>
  <c r="JV201" i="2"/>
  <c r="GH201" i="2"/>
  <c r="KD201" i="2"/>
  <c r="HG201" i="2"/>
  <c r="HX201" i="2"/>
  <c r="HQ201" i="2"/>
  <c r="KC201" i="2"/>
  <c r="JG201" i="2"/>
  <c r="JP201" i="2"/>
  <c r="HE201" i="2"/>
  <c r="IO201" i="2"/>
  <c r="HK201" i="2"/>
  <c r="FQ201" i="2"/>
  <c r="FS201" i="2"/>
  <c r="GD201" i="2"/>
  <c r="FF201" i="2"/>
  <c r="IU201" i="2"/>
  <c r="GK201" i="2"/>
  <c r="HC201" i="2"/>
  <c r="IJ201" i="2"/>
  <c r="IK201" i="2"/>
  <c r="JB201" i="2"/>
  <c r="FN201" i="2"/>
  <c r="HN201" i="2"/>
  <c r="FR201" i="2"/>
  <c r="HO201" i="2"/>
  <c r="FL201" i="2"/>
  <c r="IF201" i="2"/>
  <c r="FM201" i="2"/>
  <c r="HY201" i="2"/>
  <c r="FG201" i="2"/>
  <c r="GE201" i="2"/>
  <c r="JW201" i="2"/>
  <c r="HD201" i="2"/>
  <c r="JX201" i="2"/>
  <c r="HM201" i="2"/>
  <c r="JY201" i="2"/>
  <c r="FV201" i="2"/>
  <c r="HJ201" i="2"/>
  <c r="IT201" i="2"/>
  <c r="GX201" i="2"/>
  <c r="IE201" i="2"/>
  <c r="FT201" i="2"/>
  <c r="IN201" i="2"/>
  <c r="FU201" i="2"/>
  <c r="IG201" i="2"/>
  <c r="FW201" i="2"/>
  <c r="GU201" i="2"/>
  <c r="KE201" i="2"/>
  <c r="HT201" i="2"/>
  <c r="FI201" i="2"/>
  <c r="HU201" i="2"/>
  <c r="FC201" i="2"/>
  <c r="HH201" i="2"/>
  <c r="JR201" i="2"/>
  <c r="JN201" i="2"/>
  <c r="JZ201" i="2"/>
  <c r="ID201" i="2"/>
  <c r="IM201" i="2"/>
  <c r="GB201" i="2"/>
  <c r="IV201" i="2"/>
  <c r="GC201" i="2"/>
  <c r="GM201" i="2"/>
  <c r="IB201" i="2"/>
  <c r="IC201" i="2"/>
  <c r="GT201" i="2"/>
  <c r="JJ201" i="2"/>
  <c r="GJ201" i="2"/>
  <c r="IW201" i="2"/>
  <c r="HS201" i="2"/>
  <c r="FY201" i="2"/>
  <c r="GI201" i="2"/>
  <c r="V48" i="2"/>
  <c r="J70" i="4" s="1"/>
  <c r="J105" i="4" s="1"/>
  <c r="V26" i="2"/>
  <c r="V205" i="2"/>
  <c r="W205" i="2"/>
  <c r="K31" i="1"/>
  <c r="J31" i="1" s="1"/>
  <c r="I31" i="1" s="1"/>
  <c r="K53" i="2"/>
  <c r="J53" i="2" s="1"/>
  <c r="K30" i="1"/>
  <c r="K39" i="2"/>
  <c r="EW39" i="2" s="1"/>
  <c r="K38" i="2"/>
  <c r="K54" i="2"/>
  <c r="I54" i="2" s="1"/>
  <c r="V27" i="2"/>
  <c r="V25" i="2"/>
  <c r="V24" i="2"/>
  <c r="U28" i="2"/>
  <c r="I65" i="4" s="1"/>
  <c r="T28" i="2"/>
  <c r="H65" i="4" s="1"/>
  <c r="S28" i="2"/>
  <c r="G65" i="4" s="1"/>
  <c r="W22" i="2"/>
  <c r="J25" i="2"/>
  <c r="J28" i="2" s="1"/>
  <c r="I25" i="2"/>
  <c r="I28" i="2" s="1"/>
  <c r="J108" i="4" l="1"/>
  <c r="W26" i="2"/>
  <c r="I53" i="2"/>
  <c r="X205" i="2"/>
  <c r="F19" i="1"/>
  <c r="J30" i="1"/>
  <c r="W24" i="2"/>
  <c r="W48" i="2"/>
  <c r="K70" i="4" s="1"/>
  <c r="D167" i="2"/>
  <c r="J54" i="2"/>
  <c r="V28" i="2"/>
  <c r="J65" i="4" s="1"/>
  <c r="EW38" i="2"/>
  <c r="IH38" i="2" s="1"/>
  <c r="W27" i="2"/>
  <c r="W25" i="2"/>
  <c r="IB39" i="2"/>
  <c r="GB39" i="2"/>
  <c r="JQ39" i="2"/>
  <c r="HG39" i="2"/>
  <c r="FR39" i="2"/>
  <c r="FG39" i="2"/>
  <c r="FD39" i="2"/>
  <c r="GQ39" i="2"/>
  <c r="GP39" i="2"/>
  <c r="IF39" i="2"/>
  <c r="KE39" i="2"/>
  <c r="JJ39" i="2"/>
  <c r="JU39" i="2"/>
  <c r="HL39" i="2"/>
  <c r="IK39" i="2"/>
  <c r="FV39" i="2"/>
  <c r="JP39" i="2"/>
  <c r="GC39" i="2"/>
  <c r="GX39" i="2"/>
  <c r="GD39" i="2"/>
  <c r="JG39" i="2"/>
  <c r="GW39" i="2"/>
  <c r="HQ39" i="2"/>
  <c r="HN39" i="2"/>
  <c r="JM39" i="2"/>
  <c r="FI39" i="2"/>
  <c r="FH39" i="2"/>
  <c r="IR39" i="2"/>
  <c r="HP39" i="2"/>
  <c r="HJ39" i="2"/>
  <c r="HB39" i="2"/>
  <c r="JR39" i="2"/>
  <c r="GK39" i="2"/>
  <c r="FT39" i="2"/>
  <c r="IJ39" i="2"/>
  <c r="KD39" i="2"/>
  <c r="GH39" i="2"/>
  <c r="FE39" i="2"/>
  <c r="HO39" i="2"/>
  <c r="HA39" i="2"/>
  <c r="IA39" i="2"/>
  <c r="HZ39" i="2"/>
  <c r="IH39" i="2"/>
  <c r="HV39" i="2"/>
  <c r="HM39" i="2"/>
  <c r="JA39" i="2"/>
  <c r="GF39" i="2"/>
  <c r="JT39" i="2"/>
  <c r="GA39" i="2"/>
  <c r="KB39" i="2"/>
  <c r="HK39" i="2"/>
  <c r="IQ39" i="2"/>
  <c r="HR39" i="2"/>
  <c r="IS39" i="2"/>
  <c r="IT39" i="2"/>
  <c r="HH39" i="2"/>
  <c r="FK39" i="2"/>
  <c r="IX39" i="2"/>
  <c r="IG39" i="2"/>
  <c r="IW39" i="2"/>
  <c r="FC39" i="2"/>
  <c r="GM39" i="2"/>
  <c r="HX39" i="2"/>
  <c r="FY39" i="2"/>
  <c r="GI39" i="2"/>
  <c r="GR39" i="2"/>
  <c r="GU39" i="2"/>
  <c r="JL39" i="2"/>
  <c r="FO39" i="2"/>
  <c r="FF39" i="2"/>
  <c r="GG39" i="2"/>
  <c r="IU39" i="2"/>
  <c r="IC39" i="2"/>
  <c r="JZ39" i="2"/>
  <c r="GL39" i="2"/>
  <c r="IZ39" i="2"/>
  <c r="FP39" i="2"/>
  <c r="IL39" i="2"/>
  <c r="GE39" i="2"/>
  <c r="HE39" i="2"/>
  <c r="JO39" i="2"/>
  <c r="JX39" i="2"/>
  <c r="JY39" i="2"/>
  <c r="GZ39" i="2"/>
  <c r="FS39" i="2"/>
  <c r="HY39" i="2"/>
  <c r="IY39" i="2"/>
  <c r="JK39" i="2"/>
  <c r="FQ39" i="2"/>
  <c r="FL39" i="2"/>
  <c r="JE39" i="2"/>
  <c r="JB39" i="2"/>
  <c r="JN39" i="2"/>
  <c r="IO39" i="2"/>
  <c r="HI39" i="2"/>
  <c r="GY39" i="2"/>
  <c r="HD39" i="2"/>
  <c r="JH39" i="2"/>
  <c r="JF39" i="2"/>
  <c r="HW39" i="2"/>
  <c r="IN39" i="2"/>
  <c r="JD39" i="2"/>
  <c r="HS39" i="2"/>
  <c r="IM39" i="2"/>
  <c r="JC39" i="2"/>
  <c r="FJ39" i="2"/>
  <c r="FM39" i="2"/>
  <c r="JV39" i="2"/>
  <c r="JI39" i="2"/>
  <c r="II39" i="2"/>
  <c r="KA39" i="2"/>
  <c r="GS39" i="2"/>
  <c r="HC39" i="2"/>
  <c r="GN39" i="2"/>
  <c r="IV39" i="2"/>
  <c r="JW39" i="2"/>
  <c r="HF39" i="2"/>
  <c r="IP39" i="2"/>
  <c r="ID39" i="2"/>
  <c r="FU39" i="2"/>
  <c r="GJ39" i="2"/>
  <c r="HT39" i="2"/>
  <c r="GO39" i="2"/>
  <c r="IE39" i="2"/>
  <c r="KC39" i="2"/>
  <c r="FN39" i="2"/>
  <c r="GT39" i="2"/>
  <c r="HU39" i="2"/>
  <c r="FZ39" i="2"/>
  <c r="JS39" i="2"/>
  <c r="GV39" i="2"/>
  <c r="FW39" i="2"/>
  <c r="FX39" i="2"/>
  <c r="X22" i="2"/>
  <c r="J38" i="2"/>
  <c r="I38" i="2"/>
  <c r="I39" i="2"/>
  <c r="J39" i="2"/>
  <c r="Y19" i="2"/>
  <c r="Y4" i="2" s="1"/>
  <c r="QU118" i="2" l="1"/>
  <c r="SQ114" i="2"/>
  <c r="TT115" i="2"/>
  <c r="DU115" i="2" s="1"/>
  <c r="TF117" i="2"/>
  <c r="RD114" i="2"/>
  <c r="TP114" i="2"/>
  <c r="DQ114" i="2" s="1"/>
  <c r="RT115" i="2"/>
  <c r="BU115" i="2" s="1"/>
  <c r="QJ116" i="2"/>
  <c r="QG117" i="2"/>
  <c r="QD118" i="2"/>
  <c r="RK114" i="2"/>
  <c r="SN115" i="2"/>
  <c r="RJ117" i="2"/>
  <c r="QW114" i="2"/>
  <c r="AX114" i="2" s="1"/>
  <c r="TI114" i="2"/>
  <c r="DJ114" i="2" s="1"/>
  <c r="RK115" i="2"/>
  <c r="BL115" i="2" s="1"/>
  <c r="PU116" i="2"/>
  <c r="US116" i="2"/>
  <c r="UP117" i="2"/>
  <c r="SX119" i="2"/>
  <c r="QL119" i="2"/>
  <c r="TA118" i="2"/>
  <c r="QO118" i="2"/>
  <c r="TD117" i="2"/>
  <c r="QR117" i="2"/>
  <c r="TG116" i="2"/>
  <c r="QU116" i="2"/>
  <c r="TM119" i="2"/>
  <c r="RA119" i="2"/>
  <c r="TP118" i="2"/>
  <c r="UR119" i="2"/>
  <c r="SF119" i="2"/>
  <c r="PT119" i="2"/>
  <c r="SI118" i="2"/>
  <c r="TK119" i="2"/>
  <c r="QY119" i="2"/>
  <c r="TN118" i="2"/>
  <c r="UP119" i="2"/>
  <c r="SD119" i="2"/>
  <c r="US118" i="2"/>
  <c r="SG118" i="2"/>
  <c r="PU118" i="2"/>
  <c r="SJ117" i="2"/>
  <c r="PX117" i="2"/>
  <c r="SM116" i="2"/>
  <c r="QA116" i="2"/>
  <c r="TI119" i="2"/>
  <c r="QW119" i="2"/>
  <c r="TL118" i="2"/>
  <c r="QZ118" i="2"/>
  <c r="TO117" i="2"/>
  <c r="RC117" i="2"/>
  <c r="TR116" i="2"/>
  <c r="RF116" i="2"/>
  <c r="TU115" i="2"/>
  <c r="DV115" i="2" s="1"/>
  <c r="RI115" i="2"/>
  <c r="BJ115" i="2" s="1"/>
  <c r="TX114" i="2"/>
  <c r="SJ119" i="2"/>
  <c r="PX119" i="2"/>
  <c r="SM118" i="2"/>
  <c r="TO119" i="2"/>
  <c r="RC119" i="2"/>
  <c r="TR118" i="2"/>
  <c r="RF118" i="2"/>
  <c r="TU117" i="2"/>
  <c r="RI117" i="2"/>
  <c r="TX116" i="2"/>
  <c r="RL116" i="2"/>
  <c r="UA115" i="2"/>
  <c r="QL114" i="2"/>
  <c r="AM114" i="2" s="1"/>
  <c r="TG114" i="2"/>
  <c r="DH114" i="2" s="1"/>
  <c r="UR115" i="2"/>
  <c r="ES115" i="2" s="1"/>
  <c r="UL117" i="2"/>
  <c r="RL114" i="2"/>
  <c r="TY114" i="2"/>
  <c r="DZ114" i="2" s="1"/>
  <c r="SD115" i="2"/>
  <c r="QZ116" i="2"/>
  <c r="QW117" i="2"/>
  <c r="QT118" i="2"/>
  <c r="SA114" i="2"/>
  <c r="CB114" i="2" s="1"/>
  <c r="TI115" i="2"/>
  <c r="SP117" i="2"/>
  <c r="RE114" i="2"/>
  <c r="BF114" i="2" s="1"/>
  <c r="TQ114" i="2"/>
  <c r="RU115" i="2"/>
  <c r="BV115" i="2" s="1"/>
  <c r="QK116" i="2"/>
  <c r="QH117" i="2"/>
  <c r="QE118" i="2"/>
  <c r="SP119" i="2"/>
  <c r="QD119" i="2"/>
  <c r="SS118" i="2"/>
  <c r="QG118" i="2"/>
  <c r="SV117" i="2"/>
  <c r="QJ117" i="2"/>
  <c r="SY116" i="2"/>
  <c r="QM116" i="2"/>
  <c r="TE119" i="2"/>
  <c r="QS119" i="2"/>
  <c r="TH118" i="2"/>
  <c r="UJ119" i="2"/>
  <c r="RX119" i="2"/>
  <c r="UM118" i="2"/>
  <c r="SA118" i="2"/>
  <c r="TC119" i="2"/>
  <c r="QQ119" i="2"/>
  <c r="TF118" i="2"/>
  <c r="UH119" i="2"/>
  <c r="RV119" i="2"/>
  <c r="UK118" i="2"/>
  <c r="RY118" i="2"/>
  <c r="UN117" i="2"/>
  <c r="SB117" i="2"/>
  <c r="UQ116" i="2"/>
  <c r="SE116" i="2"/>
  <c r="UT115" i="2"/>
  <c r="EU115" i="2" s="1"/>
  <c r="TA119" i="2"/>
  <c r="QO119" i="2"/>
  <c r="TD118" i="2"/>
  <c r="QR118" i="2"/>
  <c r="TG117" i="2"/>
  <c r="QU117" i="2"/>
  <c r="TJ116" i="2"/>
  <c r="QX116" i="2"/>
  <c r="TM115" i="2"/>
  <c r="RA115" i="2"/>
  <c r="BB115" i="2" s="1"/>
  <c r="UN119" i="2"/>
  <c r="SB119" i="2"/>
  <c r="UQ118" i="2"/>
  <c r="SE118" i="2"/>
  <c r="TG119" i="2"/>
  <c r="QU119" i="2"/>
  <c r="TJ118" i="2"/>
  <c r="QX118" i="2"/>
  <c r="TM117" i="2"/>
  <c r="RA117" i="2"/>
  <c r="TP116" i="2"/>
  <c r="RD116" i="2"/>
  <c r="TS115" i="2"/>
  <c r="RG115" i="2"/>
  <c r="BH115" i="2" s="1"/>
  <c r="PZ114" i="2"/>
  <c r="TJ114" i="2"/>
  <c r="RL115" i="2"/>
  <c r="BM115" i="2" s="1"/>
  <c r="PV116" i="2"/>
  <c r="UT116" i="2"/>
  <c r="UQ117" i="2"/>
  <c r="QA114" i="2"/>
  <c r="SM114" i="2"/>
  <c r="CN114" i="2" s="1"/>
  <c r="QG115" i="2"/>
  <c r="TO115" i="2"/>
  <c r="DP115" i="2" s="1"/>
  <c r="TA116" i="2"/>
  <c r="SX117" i="2"/>
  <c r="QJ114" i="2"/>
  <c r="AK114" i="2" s="1"/>
  <c r="RJ114" i="2"/>
  <c r="UH114" i="2"/>
  <c r="QW116" i="2"/>
  <c r="QA118" i="2"/>
  <c r="RT114" i="2"/>
  <c r="BU114" i="2" s="1"/>
  <c r="UI114" i="2"/>
  <c r="EJ114" i="2" s="1"/>
  <c r="SP115" i="2"/>
  <c r="CQ115" i="2" s="1"/>
  <c r="RP116" i="2"/>
  <c r="RM117" i="2"/>
  <c r="PS114" i="2"/>
  <c r="SY114" i="2"/>
  <c r="CZ114" i="2" s="1"/>
  <c r="UF115" i="2"/>
  <c r="TV117" i="2"/>
  <c r="RM114" i="2"/>
  <c r="BN114" i="2" s="1"/>
  <c r="TZ114" i="2"/>
  <c r="EA114" i="2" s="1"/>
  <c r="SF115" i="2"/>
  <c r="CG115" i="2" s="1"/>
  <c r="RA116" i="2"/>
  <c r="QX117" i="2"/>
  <c r="UT119" i="2"/>
  <c r="SH119" i="2"/>
  <c r="PV119" i="2"/>
  <c r="SK118" i="2"/>
  <c r="PY118" i="2"/>
  <c r="SN117" i="2"/>
  <c r="QB117" i="2"/>
  <c r="SQ116" i="2"/>
  <c r="QE116" i="2"/>
  <c r="SW119" i="2"/>
  <c r="QK119" i="2"/>
  <c r="SZ118" i="2"/>
  <c r="UB119" i="2"/>
  <c r="RP119" i="2"/>
  <c r="UE118" i="2"/>
  <c r="RS118" i="2"/>
  <c r="SU119" i="2"/>
  <c r="QI119" i="2"/>
  <c r="SX118" i="2"/>
  <c r="TZ119" i="2"/>
  <c r="RN119" i="2"/>
  <c r="UC118" i="2"/>
  <c r="RQ118" i="2"/>
  <c r="UF117" i="2"/>
  <c r="RT117" i="2"/>
  <c r="UI116" i="2"/>
  <c r="RW116" i="2"/>
  <c r="UL115" i="2"/>
  <c r="EM115" i="2" s="1"/>
  <c r="SS119" i="2"/>
  <c r="QG119" i="2"/>
  <c r="SV118" i="2"/>
  <c r="QJ118" i="2"/>
  <c r="SY117" i="2"/>
  <c r="QM117" i="2"/>
  <c r="TB116" i="2"/>
  <c r="QP116" i="2"/>
  <c r="TE115" i="2"/>
  <c r="DF115" i="2" s="1"/>
  <c r="QS115" i="2"/>
  <c r="AT115" i="2" s="1"/>
  <c r="UF119" i="2"/>
  <c r="RT119" i="2"/>
  <c r="UI118" i="2"/>
  <c r="RW118" i="2"/>
  <c r="SY119" i="2"/>
  <c r="QM119" i="2"/>
  <c r="TB118" i="2"/>
  <c r="QP118" i="2"/>
  <c r="TE117" i="2"/>
  <c r="QS117" i="2"/>
  <c r="TH116" i="2"/>
  <c r="QV116" i="2"/>
  <c r="TK115" i="2"/>
  <c r="DL115" i="2" s="1"/>
  <c r="PW114" i="2"/>
  <c r="X114" i="2" s="1"/>
  <c r="UR114" i="2"/>
  <c r="ES114" i="2" s="1"/>
  <c r="SC116" i="2"/>
  <c r="PS116" i="2"/>
  <c r="SB114" i="2"/>
  <c r="US114" i="2"/>
  <c r="ET114" i="2" s="1"/>
  <c r="SZ115" i="2"/>
  <c r="SF116" i="2"/>
  <c r="SC117" i="2"/>
  <c r="QD114" i="2"/>
  <c r="AE114" i="2" s="1"/>
  <c r="TO114" i="2"/>
  <c r="DP114" i="2" s="1"/>
  <c r="QG116" i="2"/>
  <c r="QQ118" i="2"/>
  <c r="RU114" i="2"/>
  <c r="BV114" i="2" s="1"/>
  <c r="UJ114" i="2"/>
  <c r="EK114" i="2" s="1"/>
  <c r="SQ115" i="2"/>
  <c r="CR115" i="2" s="1"/>
  <c r="RQ116" i="2"/>
  <c r="RN117" i="2"/>
  <c r="UL119" i="2"/>
  <c r="RZ119" i="2"/>
  <c r="UO118" i="2"/>
  <c r="SC118" i="2"/>
  <c r="UR117" i="2"/>
  <c r="SF117" i="2"/>
  <c r="PT117" i="2"/>
  <c r="SI116" i="2"/>
  <c r="PW116" i="2"/>
  <c r="SO119" i="2"/>
  <c r="QC119" i="2"/>
  <c r="SR118" i="2"/>
  <c r="TT119" i="2"/>
  <c r="RH119" i="2"/>
  <c r="TW118" i="2"/>
  <c r="RK118" i="2"/>
  <c r="SM119" i="2"/>
  <c r="QA119" i="2"/>
  <c r="SP118" i="2"/>
  <c r="TR119" i="2"/>
  <c r="RF119" i="2"/>
  <c r="TU118" i="2"/>
  <c r="RI118" i="2"/>
  <c r="TX117" i="2"/>
  <c r="RL117" i="2"/>
  <c r="UA116" i="2"/>
  <c r="RO116" i="2"/>
  <c r="UD115" i="2"/>
  <c r="EE115" i="2" s="1"/>
  <c r="SK119" i="2"/>
  <c r="PY119" i="2"/>
  <c r="SN118" i="2"/>
  <c r="QB118" i="2"/>
  <c r="SQ117" i="2"/>
  <c r="QE117" i="2"/>
  <c r="ST116" i="2"/>
  <c r="QH116" i="2"/>
  <c r="SW115" i="2"/>
  <c r="QK115" i="2"/>
  <c r="AL115" i="2" s="1"/>
  <c r="TX119" i="2"/>
  <c r="RL119" i="2"/>
  <c r="UA118" i="2"/>
  <c r="RO118" i="2"/>
  <c r="SQ119" i="2"/>
  <c r="QE119" i="2"/>
  <c r="ST118" i="2"/>
  <c r="QH118" i="2"/>
  <c r="SW117" i="2"/>
  <c r="QK117" i="2"/>
  <c r="SZ116" i="2"/>
  <c r="QN116" i="2"/>
  <c r="TC115" i="2"/>
  <c r="QQ115" i="2"/>
  <c r="AR115" i="2" s="1"/>
  <c r="QX114" i="2"/>
  <c r="UA114" i="2"/>
  <c r="EB114" i="2" s="1"/>
  <c r="SH115" i="2"/>
  <c r="CI115" i="2" s="1"/>
  <c r="RB116" i="2"/>
  <c r="QY117" i="2"/>
  <c r="QV118" i="2"/>
  <c r="QQ114" i="2"/>
  <c r="TC114" i="2"/>
  <c r="DD114" i="2" s="1"/>
  <c r="RC115" i="2"/>
  <c r="BD115" i="2" s="1"/>
  <c r="UM115" i="2"/>
  <c r="EN115" i="2" s="1"/>
  <c r="UG116" i="2"/>
  <c r="UD117" i="2"/>
  <c r="QZ114" i="2"/>
  <c r="BA114" i="2" s="1"/>
  <c r="QM114" i="2"/>
  <c r="AN114" i="2" s="1"/>
  <c r="QM115" i="2"/>
  <c r="TI116" i="2"/>
  <c r="PX114" i="2"/>
  <c r="SJ114" i="2"/>
  <c r="CK114" i="2" s="1"/>
  <c r="QD115" i="2"/>
  <c r="AE115" i="2" s="1"/>
  <c r="TJ115" i="2"/>
  <c r="DK115" i="2" s="1"/>
  <c r="SV116" i="2"/>
  <c r="SS117" i="2"/>
  <c r="RR114" i="2"/>
  <c r="TW114" i="2"/>
  <c r="DX114" i="2" s="1"/>
  <c r="RM116" i="2"/>
  <c r="PS117" i="2"/>
  <c r="SC114" i="2"/>
  <c r="CD114" i="2" s="1"/>
  <c r="PT115" i="2"/>
  <c r="U115" i="2" s="1"/>
  <c r="TA115" i="2"/>
  <c r="DB115" i="2" s="1"/>
  <c r="SG116" i="2"/>
  <c r="SD117" i="2"/>
  <c r="UD119" i="2"/>
  <c r="RR119" i="2"/>
  <c r="UG118" i="2"/>
  <c r="RU118" i="2"/>
  <c r="UJ117" i="2"/>
  <c r="RX117" i="2"/>
  <c r="UM116" i="2"/>
  <c r="SA116" i="2"/>
  <c r="US119" i="2"/>
  <c r="SG119" i="2"/>
  <c r="PU119" i="2"/>
  <c r="SJ118" i="2"/>
  <c r="TL119" i="2"/>
  <c r="QZ119" i="2"/>
  <c r="TO118" i="2"/>
  <c r="UQ119" i="2"/>
  <c r="SE119" i="2"/>
  <c r="UT118" i="2"/>
  <c r="SH118" i="2"/>
  <c r="TJ119" i="2"/>
  <c r="QX119" i="2"/>
  <c r="TM118" i="2"/>
  <c r="RA118" i="2"/>
  <c r="TP117" i="2"/>
  <c r="RD117" i="2"/>
  <c r="TS116" i="2"/>
  <c r="RG116" i="2"/>
  <c r="UO119" i="2"/>
  <c r="SC119" i="2"/>
  <c r="UR118" i="2"/>
  <c r="SF118" i="2"/>
  <c r="PT118" i="2"/>
  <c r="SI117" i="2"/>
  <c r="PW117" i="2"/>
  <c r="SL116" i="2"/>
  <c r="PZ116" i="2"/>
  <c r="SO115" i="2"/>
  <c r="CP115" i="2" s="1"/>
  <c r="QC115" i="2"/>
  <c r="AD115" i="2" s="1"/>
  <c r="TP119" i="2"/>
  <c r="RD119" i="2"/>
  <c r="TS118" i="2"/>
  <c r="RG118" i="2"/>
  <c r="SI119" i="2"/>
  <c r="PW119" i="2"/>
  <c r="SL118" i="2"/>
  <c r="PZ118" i="2"/>
  <c r="SO117" i="2"/>
  <c r="QC117" i="2"/>
  <c r="SR116" i="2"/>
  <c r="QF116" i="2"/>
  <c r="SU115" i="2"/>
  <c r="CV115" i="2" s="1"/>
  <c r="QI115" i="2"/>
  <c r="AJ115" i="2" s="1"/>
  <c r="RN114" i="2"/>
  <c r="BO114" i="2" s="1"/>
  <c r="UK114" i="2"/>
  <c r="EL114" i="2" s="1"/>
  <c r="SR115" i="2"/>
  <c r="CS115" i="2" s="1"/>
  <c r="RR116" i="2"/>
  <c r="RO117" i="2"/>
  <c r="PS118" i="2"/>
  <c r="QY114" i="2"/>
  <c r="AZ114" i="2" s="1"/>
  <c r="TK114" i="2"/>
  <c r="DL114" i="2" s="1"/>
  <c r="RC114" i="2"/>
  <c r="BD114" i="2" s="1"/>
  <c r="RH115" i="2"/>
  <c r="BI115" i="2" s="1"/>
  <c r="UO116" i="2"/>
  <c r="QF114" i="2"/>
  <c r="SR114" i="2"/>
  <c r="CS114" i="2" s="1"/>
  <c r="QN115" i="2"/>
  <c r="TV115" i="2"/>
  <c r="DW115" i="2" s="1"/>
  <c r="TL116" i="2"/>
  <c r="TI117" i="2"/>
  <c r="PS115" i="2"/>
  <c r="T115" i="2" s="1"/>
  <c r="QB115" i="2"/>
  <c r="AC115" i="2" s="1"/>
  <c r="SS116" i="2"/>
  <c r="PY114" i="2"/>
  <c r="Z114" i="2" s="1"/>
  <c r="SK114" i="2"/>
  <c r="CL114" i="2" s="1"/>
  <c r="QE115" i="2"/>
  <c r="AF115" i="2" s="1"/>
  <c r="TL115" i="2"/>
  <c r="DM115" i="2" s="1"/>
  <c r="SW116" i="2"/>
  <c r="ST117" i="2"/>
  <c r="TV119" i="2"/>
  <c r="RJ119" i="2"/>
  <c r="TY118" i="2"/>
  <c r="RM118" i="2"/>
  <c r="UB117" i="2"/>
  <c r="RP117" i="2"/>
  <c r="UE116" i="2"/>
  <c r="RS116" i="2"/>
  <c r="UK119" i="2"/>
  <c r="RY119" i="2"/>
  <c r="UN118" i="2"/>
  <c r="SB118" i="2"/>
  <c r="TD119" i="2"/>
  <c r="QR119" i="2"/>
  <c r="TG118" i="2"/>
  <c r="UI119" i="2"/>
  <c r="RW119" i="2"/>
  <c r="UL118" i="2"/>
  <c r="RZ118" i="2"/>
  <c r="TB119" i="2"/>
  <c r="QP119" i="2"/>
  <c r="TE118" i="2"/>
  <c r="QS118" i="2"/>
  <c r="TH117" i="2"/>
  <c r="QV117" i="2"/>
  <c r="TK116" i="2"/>
  <c r="QY116" i="2"/>
  <c r="UG119" i="2"/>
  <c r="RU119" i="2"/>
  <c r="UJ118" i="2"/>
  <c r="RX118" i="2"/>
  <c r="UM117" i="2"/>
  <c r="SA117" i="2"/>
  <c r="UP116" i="2"/>
  <c r="SD116" i="2"/>
  <c r="US115" i="2"/>
  <c r="ET115" i="2" s="1"/>
  <c r="SG115" i="2"/>
  <c r="CH115" i="2" s="1"/>
  <c r="PU115" i="2"/>
  <c r="V115" i="2" s="1"/>
  <c r="TH119" i="2"/>
  <c r="QV119" i="2"/>
  <c r="TK118" i="2"/>
  <c r="UM119" i="2"/>
  <c r="SA119" i="2"/>
  <c r="UP118" i="2"/>
  <c r="SD118" i="2"/>
  <c r="US117" i="2"/>
  <c r="SG117" i="2"/>
  <c r="PU117" i="2"/>
  <c r="SJ116" i="2"/>
  <c r="PX116" i="2"/>
  <c r="SM115" i="2"/>
  <c r="CN115" i="2" s="1"/>
  <c r="QA115" i="2"/>
  <c r="AB115" i="2" s="1"/>
  <c r="RV114" i="2"/>
  <c r="BW114" i="2" s="1"/>
  <c r="PV115" i="2"/>
  <c r="W115" i="2" s="1"/>
  <c r="TB115" i="2"/>
  <c r="DC115" i="2" s="1"/>
  <c r="SH116" i="2"/>
  <c r="SE117" i="2"/>
  <c r="QH114" i="2"/>
  <c r="AI114" i="2" s="1"/>
  <c r="RG114" i="2"/>
  <c r="BH114" i="2" s="1"/>
  <c r="TS114" i="2"/>
  <c r="DT114" i="2" s="1"/>
  <c r="RX115" i="2"/>
  <c r="BY115" i="2" s="1"/>
  <c r="QO116" i="2"/>
  <c r="QL117" i="2"/>
  <c r="QI118" i="2"/>
  <c r="RP114" i="2"/>
  <c r="BQ114" i="2" s="1"/>
  <c r="UC114" i="2"/>
  <c r="RS114" i="2"/>
  <c r="BT114" i="2" s="1"/>
  <c r="SC115" i="2"/>
  <c r="CD115" i="2" s="1"/>
  <c r="QT117" i="2"/>
  <c r="QN114" i="2"/>
  <c r="AO114" i="2" s="1"/>
  <c r="SZ114" i="2"/>
  <c r="DA114" i="2" s="1"/>
  <c r="QX115" i="2"/>
  <c r="AY115" i="2" s="1"/>
  <c r="UG115" i="2"/>
  <c r="EH115" i="2" s="1"/>
  <c r="UB116" i="2"/>
  <c r="TY117" i="2"/>
  <c r="QE114" i="2"/>
  <c r="AF114" i="2" s="1"/>
  <c r="QW115" i="2"/>
  <c r="AX115" i="2" s="1"/>
  <c r="TY116" i="2"/>
  <c r="QG114" i="2"/>
  <c r="AH114" i="2" s="1"/>
  <c r="SS114" i="2"/>
  <c r="CT114" i="2" s="1"/>
  <c r="QO115" i="2"/>
  <c r="AP115" i="2" s="1"/>
  <c r="TW115" i="2"/>
  <c r="TM116" i="2"/>
  <c r="TJ117" i="2"/>
  <c r="TN119" i="2"/>
  <c r="RB119" i="2"/>
  <c r="TQ118" i="2"/>
  <c r="RE118" i="2"/>
  <c r="TT117" i="2"/>
  <c r="RH117" i="2"/>
  <c r="TW116" i="2"/>
  <c r="RK116" i="2"/>
  <c r="UC119" i="2"/>
  <c r="RQ119" i="2"/>
  <c r="UF118" i="2"/>
  <c r="RT118" i="2"/>
  <c r="SV119" i="2"/>
  <c r="QJ119" i="2"/>
  <c r="SY118" i="2"/>
  <c r="UA119" i="2"/>
  <c r="RO119" i="2"/>
  <c r="UD118" i="2"/>
  <c r="RR118" i="2"/>
  <c r="ST119" i="2"/>
  <c r="QH119" i="2"/>
  <c r="SW118" i="2"/>
  <c r="QK118" i="2"/>
  <c r="SZ117" i="2"/>
  <c r="QN117" i="2"/>
  <c r="TC116" i="2"/>
  <c r="QQ116" i="2"/>
  <c r="TY119" i="2"/>
  <c r="RM119" i="2"/>
  <c r="UB118" i="2"/>
  <c r="RP118" i="2"/>
  <c r="UE117" i="2"/>
  <c r="RS117" i="2"/>
  <c r="UH116" i="2"/>
  <c r="RV116" i="2"/>
  <c r="UK115" i="2"/>
  <c r="EL115" i="2" s="1"/>
  <c r="RY115" i="2"/>
  <c r="BZ115" i="2" s="1"/>
  <c r="UN114" i="2"/>
  <c r="EO114" i="2" s="1"/>
  <c r="SZ119" i="2"/>
  <c r="QN119" i="2"/>
  <c r="TC118" i="2"/>
  <c r="UE119" i="2"/>
  <c r="RS119" i="2"/>
  <c r="UH118" i="2"/>
  <c r="RV118" i="2"/>
  <c r="UK117" i="2"/>
  <c r="RY117" i="2"/>
  <c r="UN116" i="2"/>
  <c r="SB116" i="2"/>
  <c r="UQ115" i="2"/>
  <c r="ER115" i="2" s="1"/>
  <c r="SE115" i="2"/>
  <c r="CF115" i="2" s="1"/>
  <c r="UT114" i="2"/>
  <c r="EU114" i="2" s="1"/>
  <c r="SD114" i="2"/>
  <c r="CE114" i="2" s="1"/>
  <c r="QF115" i="2"/>
  <c r="AG115" i="2" s="1"/>
  <c r="TN115" i="2"/>
  <c r="DO115" i="2" s="1"/>
  <c r="SX116" i="2"/>
  <c r="SU117" i="2"/>
  <c r="RF114" i="2"/>
  <c r="BG114" i="2" s="1"/>
  <c r="RO114" i="2"/>
  <c r="BP114" i="2" s="1"/>
  <c r="UB114" i="2"/>
  <c r="EC114" i="2" s="1"/>
  <c r="SI115" i="2"/>
  <c r="CJ115" i="2" s="1"/>
  <c r="RE116" i="2"/>
  <c r="RB117" i="2"/>
  <c r="QY118" i="2"/>
  <c r="RX114" i="2"/>
  <c r="BY114" i="2" s="1"/>
  <c r="UO114" i="2"/>
  <c r="EP114" i="2" s="1"/>
  <c r="ST115" i="2"/>
  <c r="CU115" i="2" s="1"/>
  <c r="SI114" i="2"/>
  <c r="CJ114" i="2" s="1"/>
  <c r="UO117" i="2"/>
  <c r="UC116" i="2"/>
  <c r="TO116" i="2"/>
  <c r="SQ118" i="2"/>
  <c r="QC118" i="2"/>
  <c r="RH118" i="2"/>
  <c r="SR119" i="2"/>
  <c r="RQ117" i="2"/>
  <c r="UD114" i="2"/>
  <c r="TX115" i="2"/>
  <c r="DY115" i="2" s="1"/>
  <c r="QF118" i="2"/>
  <c r="PW115" i="2"/>
  <c r="X115" i="2" s="1"/>
  <c r="SK116" i="2"/>
  <c r="QB114" i="2"/>
  <c r="AC114" i="2" s="1"/>
  <c r="TT114" i="2"/>
  <c r="DU114" i="2" s="1"/>
  <c r="TF115" i="2"/>
  <c r="DG115" i="2" s="1"/>
  <c r="SN116" i="2"/>
  <c r="SK117" i="2"/>
  <c r="QC114" i="2"/>
  <c r="AD114" i="2" s="1"/>
  <c r="SO114" i="2"/>
  <c r="CP114" i="2" s="1"/>
  <c r="QJ115" i="2"/>
  <c r="AK115" i="2" s="1"/>
  <c r="TQ115" i="2"/>
  <c r="DR115" i="2" s="1"/>
  <c r="TE116" i="2"/>
  <c r="TB117" i="2"/>
  <c r="RB114" i="2"/>
  <c r="BC114" i="2" s="1"/>
  <c r="UG114" i="2"/>
  <c r="EH114" i="2" s="1"/>
  <c r="SL115" i="2"/>
  <c r="CM115" i="2" s="1"/>
  <c r="RJ116" i="2"/>
  <c r="RG117" i="2"/>
  <c r="RD118" i="2"/>
  <c r="UQ114" i="2"/>
  <c r="ER114" i="2" s="1"/>
  <c r="RW117" i="2"/>
  <c r="UA117" i="2"/>
  <c r="PU114" i="2"/>
  <c r="V114" i="2" s="1"/>
  <c r="TV114" i="2"/>
  <c r="DW114" i="2" s="1"/>
  <c r="SY115" i="2"/>
  <c r="CZ115" i="2" s="1"/>
  <c r="QU114" i="2"/>
  <c r="AV114" i="2" s="1"/>
  <c r="TZ117" i="2"/>
  <c r="RC116" i="2"/>
  <c r="TS119" i="2"/>
  <c r="SR117" i="2"/>
  <c r="TW117" i="2"/>
  <c r="QF119" i="2"/>
  <c r="UF116" i="2"/>
  <c r="QP114" i="2"/>
  <c r="AQ114" i="2" s="1"/>
  <c r="UJ115" i="2"/>
  <c r="EK115" i="2" s="1"/>
  <c r="SL114" i="2"/>
  <c r="CM114" i="2" s="1"/>
  <c r="QR115" i="2"/>
  <c r="AS115" i="2" s="1"/>
  <c r="TQ116" i="2"/>
  <c r="QR114" i="2"/>
  <c r="AS114" i="2" s="1"/>
  <c r="PX115" i="2"/>
  <c r="Y115" i="2" s="1"/>
  <c r="TP115" i="2"/>
  <c r="DQ115" i="2" s="1"/>
  <c r="TD116" i="2"/>
  <c r="TA117" i="2"/>
  <c r="QK114" i="2"/>
  <c r="AL114" i="2" s="1"/>
  <c r="SW114" i="2"/>
  <c r="CX114" i="2" s="1"/>
  <c r="QU115" i="2"/>
  <c r="AV115" i="2" s="1"/>
  <c r="UB115" i="2"/>
  <c r="EC115" i="2" s="1"/>
  <c r="TU116" i="2"/>
  <c r="TR117" i="2"/>
  <c r="RZ114" i="2"/>
  <c r="CA114" i="2" s="1"/>
  <c r="SX115" i="2"/>
  <c r="CY115" i="2" s="1"/>
  <c r="RZ116" i="2"/>
  <c r="PT114" i="2"/>
  <c r="U114" i="2" s="1"/>
  <c r="RX116" i="2"/>
  <c r="TG115" i="2"/>
  <c r="QN118" i="2"/>
  <c r="RZ117" i="2"/>
  <c r="RS115" i="2"/>
  <c r="BT115" i="2" s="1"/>
  <c r="TF119" i="2"/>
  <c r="TU119" i="2"/>
  <c r="RG119" i="2"/>
  <c r="QF117" i="2"/>
  <c r="RK117" i="2"/>
  <c r="SU118" i="2"/>
  <c r="RT116" i="2"/>
  <c r="ST114" i="2"/>
  <c r="CU114" i="2" s="1"/>
  <c r="QL116" i="2"/>
  <c r="PS119" i="2"/>
  <c r="RM115" i="2"/>
  <c r="BN115" i="2" s="1"/>
  <c r="PV117" i="2"/>
  <c r="RH114" i="2"/>
  <c r="BI114" i="2" s="1"/>
  <c r="QH115" i="2"/>
  <c r="AI115" i="2" s="1"/>
  <c r="TZ115" i="2"/>
  <c r="EA115" i="2" s="1"/>
  <c r="TT116" i="2"/>
  <c r="TQ117" i="2"/>
  <c r="QS114" i="2"/>
  <c r="AT114" i="2" s="1"/>
  <c r="TE114" i="2"/>
  <c r="DF114" i="2" s="1"/>
  <c r="RE115" i="2"/>
  <c r="BF115" i="2" s="1"/>
  <c r="UO115" i="2"/>
  <c r="EP115" i="2" s="1"/>
  <c r="UK116" i="2"/>
  <c r="UH117" i="2"/>
  <c r="SH114" i="2"/>
  <c r="CI114" i="2" s="1"/>
  <c r="PZ115" i="2"/>
  <c r="AA115" i="2" s="1"/>
  <c r="TH115" i="2"/>
  <c r="DI115" i="2" s="1"/>
  <c r="SP116" i="2"/>
  <c r="SM117" i="2"/>
  <c r="UJ116" i="2"/>
  <c r="RA114" i="2"/>
  <c r="BB114" i="2" s="1"/>
  <c r="TM114" i="2"/>
  <c r="DN114" i="2" s="1"/>
  <c r="PZ117" i="2"/>
  <c r="QL115" i="2"/>
  <c r="AM115" i="2" s="1"/>
  <c r="TR115" i="2"/>
  <c r="DS115" i="2" s="1"/>
  <c r="TC117" i="2"/>
  <c r="RE117" i="2"/>
  <c r="RY116" i="2"/>
  <c r="RR115" i="2"/>
  <c r="BS115" i="2" s="1"/>
  <c r="QB119" i="2"/>
  <c r="TT118" i="2"/>
  <c r="RV115" i="2"/>
  <c r="BW115" i="2" s="1"/>
  <c r="SJ115" i="2"/>
  <c r="CK115" i="2" s="1"/>
  <c r="PY115" i="2"/>
  <c r="Z115" i="2" s="1"/>
  <c r="SB115" i="2"/>
  <c r="CC115" i="2" s="1"/>
  <c r="QV114" i="2"/>
  <c r="AW114" i="2" s="1"/>
  <c r="QD117" i="2"/>
  <c r="QT119" i="2"/>
  <c r="RI119" i="2"/>
  <c r="TV118" i="2"/>
  <c r="SU116" i="2"/>
  <c r="TZ116" i="2"/>
  <c r="TW119" i="2"/>
  <c r="UI115" i="2"/>
  <c r="EJ115" i="2" s="1"/>
  <c r="TB114" i="2"/>
  <c r="DC114" i="2" s="1"/>
  <c r="TN116" i="2"/>
  <c r="QI114" i="2"/>
  <c r="AJ114" i="2" s="1"/>
  <c r="SS115" i="2"/>
  <c r="CT115" i="2" s="1"/>
  <c r="RR117" i="2"/>
  <c r="SF114" i="2"/>
  <c r="CG114" i="2" s="1"/>
  <c r="QT115" i="2"/>
  <c r="AU115" i="2" s="1"/>
  <c r="UN115" i="2"/>
  <c r="EO115" i="2" s="1"/>
  <c r="UG117" i="2"/>
  <c r="RP115" i="2"/>
  <c r="BQ115" i="2" s="1"/>
  <c r="QC116" i="2"/>
  <c r="PW118" i="2"/>
  <c r="SP114" i="2"/>
  <c r="CQ114" i="2" s="1"/>
  <c r="TF116" i="2"/>
  <c r="RZ115" i="2"/>
  <c r="CA115" i="2" s="1"/>
  <c r="UP114" i="2"/>
  <c r="EQ114" i="2" s="1"/>
  <c r="QA117" i="2"/>
  <c r="UR116" i="2"/>
  <c r="UL114" i="2"/>
  <c r="EM114" i="2" s="1"/>
  <c r="RU117" i="2"/>
  <c r="SL117" i="2"/>
  <c r="TH114" i="2"/>
  <c r="DI114" i="2" s="1"/>
  <c r="QO114" i="2"/>
  <c r="AP114" i="2" s="1"/>
  <c r="TI118" i="2"/>
  <c r="TX118" i="2"/>
  <c r="RJ118" i="2"/>
  <c r="QI116" i="2"/>
  <c r="RN116" i="2"/>
  <c r="RK119" i="2"/>
  <c r="RW115" i="2"/>
  <c r="BX115" i="2" s="1"/>
  <c r="TR114" i="2"/>
  <c r="DS114" i="2" s="1"/>
  <c r="UD116" i="2"/>
  <c r="RW114" i="2"/>
  <c r="BX114" i="2" s="1"/>
  <c r="TD115" i="2"/>
  <c r="DE115" i="2" s="1"/>
  <c r="SH117" i="2"/>
  <c r="SN114" i="2"/>
  <c r="CO114" i="2" s="1"/>
  <c r="RD115" i="2"/>
  <c r="BE115" i="2" s="1"/>
  <c r="QB116" i="2"/>
  <c r="PY117" i="2"/>
  <c r="PV118" i="2"/>
  <c r="RI114" i="2"/>
  <c r="BJ114" i="2" s="1"/>
  <c r="TU114" i="2"/>
  <c r="DV114" i="2" s="1"/>
  <c r="SA115" i="2"/>
  <c r="CB115" i="2" s="1"/>
  <c r="QS116" i="2"/>
  <c r="QP117" i="2"/>
  <c r="QM118" i="2"/>
  <c r="SX114" i="2"/>
  <c r="CY114" i="2" s="1"/>
  <c r="QV115" i="2"/>
  <c r="AW115" i="2" s="1"/>
  <c r="UE115" i="2"/>
  <c r="EF115" i="2" s="1"/>
  <c r="TV116" i="2"/>
  <c r="TS117" i="2"/>
  <c r="SK115" i="2"/>
  <c r="CL115" i="2" s="1"/>
  <c r="RF117" i="2"/>
  <c r="TF114" i="2"/>
  <c r="DG114" i="2" s="1"/>
  <c r="UL116" i="2"/>
  <c r="TK117" i="2"/>
  <c r="UT117" i="2"/>
  <c r="RY114" i="2"/>
  <c r="BZ114" i="2" s="1"/>
  <c r="PV114" i="2"/>
  <c r="W114" i="2" s="1"/>
  <c r="TN114" i="2"/>
  <c r="DO114" i="2" s="1"/>
  <c r="SO118" i="2"/>
  <c r="UC117" i="2"/>
  <c r="TL114" i="2"/>
  <c r="DM114" i="2" s="1"/>
  <c r="QT114" i="2"/>
  <c r="AU114" i="2" s="1"/>
  <c r="QT116" i="2"/>
  <c r="RJ115" i="2"/>
  <c r="BK115" i="2" s="1"/>
  <c r="TA114" i="2"/>
  <c r="DB114" i="2" s="1"/>
  <c r="QW118" i="2"/>
  <c r="RL118" i="2"/>
  <c r="SL119" i="2"/>
  <c r="TQ119" i="2"/>
  <c r="UC115" i="2"/>
  <c r="ED115" i="2" s="1"/>
  <c r="TZ118" i="2"/>
  <c r="RO115" i="2"/>
  <c r="BP115" i="2" s="1"/>
  <c r="QP115" i="2"/>
  <c r="AQ115" i="2" s="1"/>
  <c r="QI117" i="2"/>
  <c r="SE114" i="2"/>
  <c r="CF114" i="2" s="1"/>
  <c r="TY115" i="2"/>
  <c r="DZ115" i="2" s="1"/>
  <c r="TN117" i="2"/>
  <c r="SV114" i="2"/>
  <c r="CW114" i="2" s="1"/>
  <c r="RN115" i="2"/>
  <c r="BO115" i="2" s="1"/>
  <c r="QR116" i="2"/>
  <c r="QO117" i="2"/>
  <c r="QL118" i="2"/>
  <c r="RQ114" i="2"/>
  <c r="BR114" i="2" s="1"/>
  <c r="UE114" i="2"/>
  <c r="EF114" i="2" s="1"/>
  <c r="RI116" i="2"/>
  <c r="RC118" i="2"/>
  <c r="RF115" i="2"/>
  <c r="BG115" i="2" s="1"/>
  <c r="UP115" i="2"/>
  <c r="EQ115" i="2" s="1"/>
  <c r="UI117" i="2"/>
  <c r="PY116" i="2"/>
  <c r="TD114" i="2"/>
  <c r="DE114" i="2" s="1"/>
  <c r="RB118" i="2"/>
  <c r="RV117" i="2"/>
  <c r="QD116" i="2"/>
  <c r="PX118" i="2"/>
  <c r="QZ117" i="2"/>
  <c r="UF114" i="2"/>
  <c r="EG114" i="2" s="1"/>
  <c r="UM114" i="2"/>
  <c r="EN114" i="2" s="1"/>
  <c r="SO116" i="2"/>
  <c r="QQ117" i="2"/>
  <c r="PT116" i="2"/>
  <c r="QZ115" i="2"/>
  <c r="BA115" i="2" s="1"/>
  <c r="TL117" i="2"/>
  <c r="SN119" i="2"/>
  <c r="PZ119" i="2"/>
  <c r="RE119" i="2"/>
  <c r="RQ115" i="2"/>
  <c r="BR115" i="2" s="1"/>
  <c r="RN118" i="2"/>
  <c r="QY115" i="2"/>
  <c r="AZ115" i="2" s="1"/>
  <c r="RB115" i="2"/>
  <c r="BC115" i="2" s="1"/>
  <c r="SU114" i="2"/>
  <c r="CV114" i="2" s="1"/>
  <c r="RH116" i="2"/>
  <c r="SV115" i="2"/>
  <c r="CW115" i="2" s="1"/>
  <c r="UH115" i="2"/>
  <c r="EI115" i="2" s="1"/>
  <c r="RU116" i="2"/>
  <c r="SG114" i="2"/>
  <c r="CH114" i="2" s="1"/>
  <c r="EB115" i="2"/>
  <c r="BM114" i="2"/>
  <c r="CO115" i="2"/>
  <c r="DN115" i="2"/>
  <c r="EI114" i="2"/>
  <c r="DH115" i="2"/>
  <c r="AN115" i="2"/>
  <c r="BL114" i="2"/>
  <c r="AG114" i="2"/>
  <c r="EG115" i="2"/>
  <c r="CE115" i="2"/>
  <c r="CR114" i="2"/>
  <c r="BE114" i="2"/>
  <c r="AA114" i="2"/>
  <c r="DX115" i="2"/>
  <c r="DJ115" i="2"/>
  <c r="DR114" i="2"/>
  <c r="CC114" i="2"/>
  <c r="AR114" i="2"/>
  <c r="BK114" i="2"/>
  <c r="BS114" i="2"/>
  <c r="EE114" i="2"/>
  <c r="DD115" i="2"/>
  <c r="Y114" i="2"/>
  <c r="DY114" i="2"/>
  <c r="AY114" i="2"/>
  <c r="DK114" i="2"/>
  <c r="AB114" i="2"/>
  <c r="DA115" i="2"/>
  <c r="AO115" i="2"/>
  <c r="DT115" i="2"/>
  <c r="AH115" i="2"/>
  <c r="CX115" i="2"/>
  <c r="ED114" i="2"/>
  <c r="K81" i="2"/>
  <c r="J94" i="2" s="1"/>
  <c r="X26" i="2"/>
  <c r="S215" i="2"/>
  <c r="T215" i="2"/>
  <c r="U215" i="2"/>
  <c r="V215" i="2"/>
  <c r="W215" i="2"/>
  <c r="X215" i="2"/>
  <c r="Y205" i="2"/>
  <c r="Y215" i="2"/>
  <c r="K105" i="4"/>
  <c r="K108" i="4"/>
  <c r="K155" i="2"/>
  <c r="J169" i="2"/>
  <c r="K93" i="2"/>
  <c r="K94" i="2"/>
  <c r="S221" i="2"/>
  <c r="I30" i="1"/>
  <c r="J202" i="2"/>
  <c r="X48" i="2"/>
  <c r="L70" i="4" s="1"/>
  <c r="IL38" i="2"/>
  <c r="JI38" i="2"/>
  <c r="FS38" i="2"/>
  <c r="IO38" i="2"/>
  <c r="GH38" i="2"/>
  <c r="GP38" i="2"/>
  <c r="IK38" i="2"/>
  <c r="GO38" i="2"/>
  <c r="GJ38" i="2"/>
  <c r="GR38" i="2"/>
  <c r="IG38" i="2"/>
  <c r="FL38" i="2"/>
  <c r="GZ38" i="2"/>
  <c r="HX38" i="2"/>
  <c r="HC38" i="2"/>
  <c r="JA38" i="2"/>
  <c r="JZ38" i="2"/>
  <c r="JM38" i="2"/>
  <c r="HD38" i="2"/>
  <c r="GT38" i="2"/>
  <c r="IS38" i="2"/>
  <c r="KE38" i="2"/>
  <c r="HZ38" i="2"/>
  <c r="IU38" i="2"/>
  <c r="HT38" i="2"/>
  <c r="FX38" i="2"/>
  <c r="GA38" i="2"/>
  <c r="GW38" i="2"/>
  <c r="JG38" i="2"/>
  <c r="FM38" i="2"/>
  <c r="HU38" i="2"/>
  <c r="GB38" i="2"/>
  <c r="JV38" i="2"/>
  <c r="IV38" i="2"/>
  <c r="FP38" i="2"/>
  <c r="HL38" i="2"/>
  <c r="JS38" i="2"/>
  <c r="FY38" i="2"/>
  <c r="HI38" i="2"/>
  <c r="FK38" i="2"/>
  <c r="JB38" i="2"/>
  <c r="HQ38" i="2"/>
  <c r="GI38" i="2"/>
  <c r="FJ38" i="2"/>
  <c r="GC38" i="2"/>
  <c r="HH38" i="2"/>
  <c r="JW38" i="2"/>
  <c r="IT38" i="2"/>
  <c r="FE38" i="2"/>
  <c r="KD38" i="2"/>
  <c r="JC38" i="2"/>
  <c r="HM38" i="2"/>
  <c r="JO38" i="2"/>
  <c r="IZ38" i="2"/>
  <c r="IE38" i="2"/>
  <c r="FC38" i="2"/>
  <c r="KB38" i="2"/>
  <c r="FG38" i="2"/>
  <c r="FZ38" i="2"/>
  <c r="HS38" i="2"/>
  <c r="GU38" i="2"/>
  <c r="FU38" i="2"/>
  <c r="HK38" i="2"/>
  <c r="JK38" i="2"/>
  <c r="FW38" i="2"/>
  <c r="GG38" i="2"/>
  <c r="HY38" i="2"/>
  <c r="IJ38" i="2"/>
  <c r="IB38" i="2"/>
  <c r="JF38" i="2"/>
  <c r="FQ38" i="2"/>
  <c r="IA38" i="2"/>
  <c r="GX38" i="2"/>
  <c r="IM38" i="2"/>
  <c r="FF38" i="2"/>
  <c r="JJ38" i="2"/>
  <c r="JE38" i="2"/>
  <c r="IX38" i="2"/>
  <c r="JR38" i="2"/>
  <c r="GL38" i="2"/>
  <c r="JQ38" i="2"/>
  <c r="KA38" i="2"/>
  <c r="GS38" i="2"/>
  <c r="HB38" i="2"/>
  <c r="HW38" i="2"/>
  <c r="IW38" i="2"/>
  <c r="GE38" i="2"/>
  <c r="JX38" i="2"/>
  <c r="GY38" i="2"/>
  <c r="ID38" i="2"/>
  <c r="II38" i="2"/>
  <c r="JP38" i="2"/>
  <c r="FH38" i="2"/>
  <c r="IN38" i="2"/>
  <c r="FR38" i="2"/>
  <c r="FN38" i="2"/>
  <c r="IY38" i="2"/>
  <c r="HA38" i="2"/>
  <c r="IR38" i="2"/>
  <c r="HP38" i="2"/>
  <c r="HR38" i="2"/>
  <c r="GK38" i="2"/>
  <c r="FO38" i="2"/>
  <c r="IQ38" i="2"/>
  <c r="HJ38" i="2"/>
  <c r="JT38" i="2"/>
  <c r="JD38" i="2"/>
  <c r="IP38" i="2"/>
  <c r="FT38" i="2"/>
  <c r="JL38" i="2"/>
  <c r="GM38" i="2"/>
  <c r="FI38" i="2"/>
  <c r="KC38" i="2"/>
  <c r="HN38" i="2"/>
  <c r="HE38" i="2"/>
  <c r="JU38" i="2"/>
  <c r="JH38" i="2"/>
  <c r="GN38" i="2"/>
  <c r="HG38" i="2"/>
  <c r="HV38" i="2"/>
  <c r="FD38" i="2"/>
  <c r="GQ38" i="2"/>
  <c r="IF38" i="2"/>
  <c r="GD38" i="2"/>
  <c r="JY38" i="2"/>
  <c r="GF38" i="2"/>
  <c r="FV38" i="2"/>
  <c r="GV38" i="2"/>
  <c r="IC38" i="2"/>
  <c r="HF38" i="2"/>
  <c r="HO38" i="2"/>
  <c r="JN38" i="2"/>
  <c r="X27" i="2"/>
  <c r="X24" i="2"/>
  <c r="X25" i="2"/>
  <c r="W28" i="2"/>
  <c r="K65" i="4" s="1"/>
  <c r="Y22" i="2"/>
  <c r="Y18" i="2"/>
  <c r="Y2" i="2" s="1"/>
  <c r="Z19" i="2"/>
  <c r="Z4" i="2" s="1"/>
  <c r="T114" i="2" l="1"/>
  <c r="Y26" i="2"/>
  <c r="L64" i="4"/>
  <c r="X235" i="2"/>
  <c r="X216" i="2"/>
  <c r="L105" i="4"/>
  <c r="L108" i="4"/>
  <c r="K64" i="4"/>
  <c r="W235" i="2"/>
  <c r="W216" i="2"/>
  <c r="V235" i="2"/>
  <c r="J64" i="4"/>
  <c r="V216" i="2"/>
  <c r="U235" i="2"/>
  <c r="I64" i="4"/>
  <c r="U216" i="2"/>
  <c r="Z205" i="2"/>
  <c r="Z215" i="2"/>
  <c r="T235" i="2"/>
  <c r="H64" i="4"/>
  <c r="T216" i="2"/>
  <c r="M64" i="4"/>
  <c r="Y235" i="2"/>
  <c r="Y216" i="2"/>
  <c r="S216" i="2"/>
  <c r="G64" i="4"/>
  <c r="S235" i="2"/>
  <c r="D16" i="1"/>
  <c r="K202" i="2"/>
  <c r="J208" i="2"/>
  <c r="O31" i="1" s="1"/>
  <c r="K169" i="2"/>
  <c r="B85" i="2"/>
  <c r="D86" i="2" s="1"/>
  <c r="K80" i="2"/>
  <c r="J93" i="2" s="1"/>
  <c r="O27" i="1"/>
  <c r="Y48" i="2"/>
  <c r="M70" i="4" s="1"/>
  <c r="K18" i="2"/>
  <c r="X28" i="2"/>
  <c r="L65" i="4" s="1"/>
  <c r="Y27" i="2"/>
  <c r="Y25" i="2"/>
  <c r="Y24" i="2"/>
  <c r="Z22" i="2"/>
  <c r="AA19" i="2"/>
  <c r="AA4" i="2" s="1"/>
  <c r="Z18" i="2"/>
  <c r="Z2" i="2" s="1"/>
  <c r="Z26" i="2" l="1"/>
  <c r="AA205" i="2"/>
  <c r="AA215" i="2"/>
  <c r="H63" i="4"/>
  <c r="H62" i="4" s="1"/>
  <c r="T236" i="2"/>
  <c r="J63" i="4"/>
  <c r="J62" i="4" s="1"/>
  <c r="V236" i="2"/>
  <c r="M105" i="4"/>
  <c r="M108" i="4"/>
  <c r="L63" i="4"/>
  <c r="L62" i="4" s="1"/>
  <c r="X236" i="2"/>
  <c r="Z235" i="2"/>
  <c r="N64" i="4"/>
  <c r="Z216" i="2"/>
  <c r="G63" i="4"/>
  <c r="G62" i="4" s="1"/>
  <c r="S236" i="2"/>
  <c r="K63" i="4"/>
  <c r="K62" i="4" s="1"/>
  <c r="W236" i="2"/>
  <c r="M63" i="4"/>
  <c r="M62" i="4" s="1"/>
  <c r="Y236" i="2"/>
  <c r="I63" i="4"/>
  <c r="I62" i="4" s="1"/>
  <c r="U236" i="2"/>
  <c r="Z48" i="2"/>
  <c r="N70" i="4" s="1"/>
  <c r="EY75" i="2"/>
  <c r="EY82" i="2" s="1"/>
  <c r="EX75" i="2"/>
  <c r="EX82" i="2" s="1"/>
  <c r="Y28" i="2"/>
  <c r="M65" i="4" s="1"/>
  <c r="Z27" i="2"/>
  <c r="Z25" i="2"/>
  <c r="Z24" i="2"/>
  <c r="AA22" i="2"/>
  <c r="AA18" i="2"/>
  <c r="AA2" i="2" s="1"/>
  <c r="AB19" i="2"/>
  <c r="AB4" i="2" s="1"/>
  <c r="AA26" i="2" l="1"/>
  <c r="AB205" i="2"/>
  <c r="AB215" i="2"/>
  <c r="N63" i="4"/>
  <c r="N62" i="4" s="1"/>
  <c r="Z236" i="2"/>
  <c r="N105" i="4"/>
  <c r="N108" i="4"/>
  <c r="AA235" i="2"/>
  <c r="O64" i="4"/>
  <c r="AA216" i="2"/>
  <c r="AA48" i="2"/>
  <c r="O70" i="4" s="1"/>
  <c r="FB75" i="2"/>
  <c r="F89" i="2"/>
  <c r="EX89" i="2" s="1"/>
  <c r="EX95" i="2" s="1"/>
  <c r="E156" i="2"/>
  <c r="FB88" i="2"/>
  <c r="FB94" i="2" s="1"/>
  <c r="FB89" i="2"/>
  <c r="FB95" i="2" s="1"/>
  <c r="EY76" i="2"/>
  <c r="EY83" i="2" s="1"/>
  <c r="EX76" i="2"/>
  <c r="EX83" i="2" s="1"/>
  <c r="AA27" i="2"/>
  <c r="AA25" i="2"/>
  <c r="AA24" i="2"/>
  <c r="Z28" i="2"/>
  <c r="N65" i="4" s="1"/>
  <c r="AB22" i="2"/>
  <c r="AC19" i="2"/>
  <c r="AC4" i="2" s="1"/>
  <c r="AB18" i="2"/>
  <c r="AB2" i="2" s="1"/>
  <c r="FB82" i="2" l="1"/>
  <c r="F88" i="2"/>
  <c r="EX88" i="2" s="1"/>
  <c r="EX94" i="2" s="1"/>
  <c r="AB26" i="2"/>
  <c r="AC205" i="2"/>
  <c r="AC215" i="2"/>
  <c r="O108" i="4"/>
  <c r="O105" i="4"/>
  <c r="O63" i="4"/>
  <c r="O62" i="4" s="1"/>
  <c r="AA236" i="2"/>
  <c r="AB235" i="2"/>
  <c r="P64" i="4"/>
  <c r="AB216" i="2"/>
  <c r="AB48" i="2"/>
  <c r="P70" i="4" s="1"/>
  <c r="FB76" i="2"/>
  <c r="E157" i="2"/>
  <c r="FA89" i="2"/>
  <c r="FA88" i="2"/>
  <c r="AA28" i="2"/>
  <c r="O65" i="4" s="1"/>
  <c r="AB27" i="2"/>
  <c r="AB25" i="2"/>
  <c r="AB24" i="2"/>
  <c r="AC22" i="2"/>
  <c r="AD19" i="2"/>
  <c r="AD4" i="2" s="1"/>
  <c r="AC18" i="2"/>
  <c r="AC2" i="2" s="1"/>
  <c r="FA94" i="2" l="1"/>
  <c r="EY94" i="2" s="1"/>
  <c r="FA95" i="2"/>
  <c r="EY95" i="2" s="1"/>
  <c r="FB83" i="2"/>
  <c r="AC26" i="2"/>
  <c r="P108" i="4"/>
  <c r="P105" i="4"/>
  <c r="AC235" i="2"/>
  <c r="Q64" i="4"/>
  <c r="AC216" i="2"/>
  <c r="P63" i="4"/>
  <c r="P62" i="4" s="1"/>
  <c r="AB236" i="2"/>
  <c r="AD205" i="2"/>
  <c r="AD215" i="2"/>
  <c r="AC48" i="2"/>
  <c r="Q70" i="4" s="1"/>
  <c r="AC27" i="2"/>
  <c r="AC25" i="2"/>
  <c r="AC24" i="2"/>
  <c r="AB28" i="2"/>
  <c r="P65" i="4" s="1"/>
  <c r="AD22" i="2"/>
  <c r="AE19" i="2"/>
  <c r="AE4" i="2" s="1"/>
  <c r="AD18" i="2"/>
  <c r="AD2" i="2" s="1"/>
  <c r="AD26" i="2" l="1"/>
  <c r="R64" i="4"/>
  <c r="AD235" i="2"/>
  <c r="AD216" i="2"/>
  <c r="Q108" i="4"/>
  <c r="Q105" i="4"/>
  <c r="Q63" i="4"/>
  <c r="Q62" i="4" s="1"/>
  <c r="AC236" i="2"/>
  <c r="AE205" i="2"/>
  <c r="AE215" i="2"/>
  <c r="AD48" i="2"/>
  <c r="R70" i="4" s="1"/>
  <c r="AD27" i="2"/>
  <c r="AD25" i="2"/>
  <c r="AD24" i="2"/>
  <c r="AC28" i="2"/>
  <c r="Q65" i="4" s="1"/>
  <c r="AE22" i="2"/>
  <c r="AE18" i="2"/>
  <c r="AE2" i="2" s="1"/>
  <c r="AF19" i="2"/>
  <c r="AF4" i="2" s="1"/>
  <c r="AE26" i="2" l="1"/>
  <c r="R108" i="4"/>
  <c r="R105" i="4"/>
  <c r="R63" i="4"/>
  <c r="R62" i="4" s="1"/>
  <c r="AD236" i="2"/>
  <c r="AF205" i="2"/>
  <c r="AF215" i="2"/>
  <c r="AE235" i="2"/>
  <c r="S64" i="4"/>
  <c r="AE216" i="2"/>
  <c r="AE48" i="2"/>
  <c r="S70" i="4" s="1"/>
  <c r="AE27" i="2"/>
  <c r="AE24" i="2"/>
  <c r="AE25" i="2"/>
  <c r="AD28" i="2"/>
  <c r="R65" i="4" s="1"/>
  <c r="AF22" i="2"/>
  <c r="AF18" i="2"/>
  <c r="AF2" i="2" s="1"/>
  <c r="AG19" i="2"/>
  <c r="AG4" i="2" s="1"/>
  <c r="AF26" i="2" l="1"/>
  <c r="S105" i="4"/>
  <c r="S108" i="4"/>
  <c r="AF235" i="2"/>
  <c r="T64" i="4"/>
  <c r="AF216" i="2"/>
  <c r="AG205" i="2"/>
  <c r="AG215" i="2"/>
  <c r="S63" i="4"/>
  <c r="S62" i="4" s="1"/>
  <c r="AE236" i="2"/>
  <c r="AF48" i="2"/>
  <c r="T70" i="4" s="1"/>
  <c r="AE28" i="2"/>
  <c r="S65" i="4" s="1"/>
  <c r="AF27" i="2"/>
  <c r="AF24" i="2"/>
  <c r="AF25" i="2"/>
  <c r="AG22" i="2"/>
  <c r="AG18" i="2"/>
  <c r="AG2" i="2" s="1"/>
  <c r="AH19" i="2"/>
  <c r="AH4" i="2" s="1"/>
  <c r="AG26" i="2" l="1"/>
  <c r="AG235" i="2"/>
  <c r="U64" i="4"/>
  <c r="AG216" i="2"/>
  <c r="T105" i="4"/>
  <c r="T108" i="4"/>
  <c r="T63" i="4"/>
  <c r="T62" i="4" s="1"/>
  <c r="AF236" i="2"/>
  <c r="AH205" i="2"/>
  <c r="AH215" i="2"/>
  <c r="AG48" i="2"/>
  <c r="U70" i="4" s="1"/>
  <c r="AF28" i="2"/>
  <c r="T65" i="4" s="1"/>
  <c r="AG27" i="2"/>
  <c r="AG25" i="2"/>
  <c r="AG24" i="2"/>
  <c r="AH22" i="2"/>
  <c r="AI19" i="2"/>
  <c r="AI4" i="2" s="1"/>
  <c r="AH18" i="2"/>
  <c r="AH2" i="2" s="1"/>
  <c r="AH26" i="2" l="1"/>
  <c r="AI205" i="2"/>
  <c r="AI215" i="2"/>
  <c r="U105" i="4"/>
  <c r="U108" i="4"/>
  <c r="U63" i="4"/>
  <c r="U62" i="4" s="1"/>
  <c r="AG236" i="2"/>
  <c r="V64" i="4"/>
  <c r="AH235" i="2"/>
  <c r="AH216" i="2"/>
  <c r="AH48" i="2"/>
  <c r="V70" i="4" s="1"/>
  <c r="AG28" i="2"/>
  <c r="U65" i="4" s="1"/>
  <c r="AH27" i="2"/>
  <c r="AH25" i="2"/>
  <c r="AH24" i="2"/>
  <c r="AI22" i="2"/>
  <c r="AI18" i="2"/>
  <c r="AI2" i="2" s="1"/>
  <c r="AJ19" i="2"/>
  <c r="AJ4" i="2" s="1"/>
  <c r="AI26" i="2" l="1"/>
  <c r="V105" i="4"/>
  <c r="V108" i="4"/>
  <c r="V63" i="4"/>
  <c r="V62" i="4" s="1"/>
  <c r="AH236" i="2"/>
  <c r="W64" i="4"/>
  <c r="AI235" i="2"/>
  <c r="AI216" i="2"/>
  <c r="AJ205" i="2"/>
  <c r="AJ215" i="2"/>
  <c r="AI48" i="2"/>
  <c r="W70" i="4" s="1"/>
  <c r="AH28" i="2"/>
  <c r="V65" i="4" s="1"/>
  <c r="AI27" i="2"/>
  <c r="AI25" i="2"/>
  <c r="AI24" i="2"/>
  <c r="AJ22" i="2"/>
  <c r="AK19" i="2"/>
  <c r="AK4" i="2" s="1"/>
  <c r="AJ18" i="2"/>
  <c r="AJ2" i="2" s="1"/>
  <c r="AJ26" i="2" l="1"/>
  <c r="W63" i="4"/>
  <c r="W62" i="4" s="1"/>
  <c r="AI236" i="2"/>
  <c r="W108" i="4"/>
  <c r="W105" i="4"/>
  <c r="AK205" i="2"/>
  <c r="AK215" i="2"/>
  <c r="AJ235" i="2"/>
  <c r="X64" i="4"/>
  <c r="AJ216" i="2"/>
  <c r="AJ48" i="2"/>
  <c r="X70" i="4" s="1"/>
  <c r="AI28" i="2"/>
  <c r="W65" i="4" s="1"/>
  <c r="AJ27" i="2"/>
  <c r="AJ25" i="2"/>
  <c r="AJ24" i="2"/>
  <c r="AK22" i="2"/>
  <c r="AL19" i="2"/>
  <c r="AL4" i="2" s="1"/>
  <c r="AK18" i="2"/>
  <c r="AK2" i="2" s="1"/>
  <c r="AK26" i="2" l="1"/>
  <c r="AL205" i="2"/>
  <c r="AL215" i="2"/>
  <c r="Y64" i="4"/>
  <c r="AK235" i="2"/>
  <c r="AK216" i="2"/>
  <c r="X108" i="4"/>
  <c r="X105" i="4"/>
  <c r="X63" i="4"/>
  <c r="X62" i="4" s="1"/>
  <c r="AJ236" i="2"/>
  <c r="AK48" i="2"/>
  <c r="Y70" i="4" s="1"/>
  <c r="AK27" i="2"/>
  <c r="AK24" i="2"/>
  <c r="AK25" i="2"/>
  <c r="AJ28" i="2"/>
  <c r="X65" i="4" s="1"/>
  <c r="AL22" i="2"/>
  <c r="AM19" i="2"/>
  <c r="AM4" i="2" s="1"/>
  <c r="AL18" i="2"/>
  <c r="AL2" i="2" s="1"/>
  <c r="AL26" i="2" l="1"/>
  <c r="AM205" i="2"/>
  <c r="AM215" i="2"/>
  <c r="Y63" i="4"/>
  <c r="Y62" i="4" s="1"/>
  <c r="AK236" i="2"/>
  <c r="Y108" i="4"/>
  <c r="Y105" i="4"/>
  <c r="AL235" i="2"/>
  <c r="Z64" i="4"/>
  <c r="AL216" i="2"/>
  <c r="AL48" i="2"/>
  <c r="Z70" i="4" s="1"/>
  <c r="AK28" i="2"/>
  <c r="Y65" i="4" s="1"/>
  <c r="AL27" i="2"/>
  <c r="AL25" i="2"/>
  <c r="AL24" i="2"/>
  <c r="AM22" i="2"/>
  <c r="AM18" i="2"/>
  <c r="AM2" i="2" s="1"/>
  <c r="AN19" i="2"/>
  <c r="AN4" i="2" s="1"/>
  <c r="AM26" i="2" l="1"/>
  <c r="Z108" i="4"/>
  <c r="Z105" i="4"/>
  <c r="Z63" i="4"/>
  <c r="Z62" i="4" s="1"/>
  <c r="AL236" i="2"/>
  <c r="AM235" i="2"/>
  <c r="AA64" i="4"/>
  <c r="AM216" i="2"/>
  <c r="AN205" i="2"/>
  <c r="AN215" i="2"/>
  <c r="AM48" i="2"/>
  <c r="AA70" i="4" s="1"/>
  <c r="AL28" i="2"/>
  <c r="Z65" i="4" s="1"/>
  <c r="AM27" i="2"/>
  <c r="AM25" i="2"/>
  <c r="AM24" i="2"/>
  <c r="AN22" i="2"/>
  <c r="AN18" i="2"/>
  <c r="AN2" i="2" s="1"/>
  <c r="AO19" i="2"/>
  <c r="AO4" i="2" s="1"/>
  <c r="AN26" i="2" l="1"/>
  <c r="AA63" i="4"/>
  <c r="AA62" i="4" s="1"/>
  <c r="AM236" i="2"/>
  <c r="AA105" i="4"/>
  <c r="AA108" i="4"/>
  <c r="AB64" i="4"/>
  <c r="AN235" i="2"/>
  <c r="AN216" i="2"/>
  <c r="AO205" i="2"/>
  <c r="AO215" i="2"/>
  <c r="AN48" i="2"/>
  <c r="AB70" i="4" s="1"/>
  <c r="AM28" i="2"/>
  <c r="AA65" i="4" s="1"/>
  <c r="AN27" i="2"/>
  <c r="AN24" i="2"/>
  <c r="AN25" i="2"/>
  <c r="AO22" i="2"/>
  <c r="AO18" i="2"/>
  <c r="AO2" i="2" s="1"/>
  <c r="AP19" i="2"/>
  <c r="AP4" i="2" s="1"/>
  <c r="AO26" i="2" l="1"/>
  <c r="AB63" i="4"/>
  <c r="AB62" i="4" s="1"/>
  <c r="AN236" i="2"/>
  <c r="AB105" i="4"/>
  <c r="AB108" i="4"/>
  <c r="AO235" i="2"/>
  <c r="AC64" i="4"/>
  <c r="AO216" i="2"/>
  <c r="AP205" i="2"/>
  <c r="AP215" i="2"/>
  <c r="AO48" i="2"/>
  <c r="AC70" i="4" s="1"/>
  <c r="AN28" i="2"/>
  <c r="AB65" i="4" s="1"/>
  <c r="AO27" i="2"/>
  <c r="AO24" i="2"/>
  <c r="AO25" i="2"/>
  <c r="AP22" i="2"/>
  <c r="AP18" i="2"/>
  <c r="AP2" i="2" s="1"/>
  <c r="AQ19" i="2"/>
  <c r="AQ4" i="2" s="1"/>
  <c r="AP26" i="2" l="1"/>
  <c r="AC63" i="4"/>
  <c r="AC62" i="4" s="1"/>
  <c r="AO236" i="2"/>
  <c r="AC105" i="4"/>
  <c r="AC108" i="4"/>
  <c r="AP235" i="2"/>
  <c r="AD64" i="4"/>
  <c r="AP216" i="2"/>
  <c r="AQ205" i="2"/>
  <c r="AQ215" i="2"/>
  <c r="AP48" i="2"/>
  <c r="AD70" i="4" s="1"/>
  <c r="AO28" i="2"/>
  <c r="AC65" i="4" s="1"/>
  <c r="AP27" i="2"/>
  <c r="AP24" i="2"/>
  <c r="AP25" i="2"/>
  <c r="AQ22" i="2"/>
  <c r="AQ18" i="2"/>
  <c r="AQ2" i="2" s="1"/>
  <c r="AR19" i="2"/>
  <c r="AR4" i="2" s="1"/>
  <c r="AQ26" i="2" l="1"/>
  <c r="AD63" i="4"/>
  <c r="AD62" i="4" s="1"/>
  <c r="AP236" i="2"/>
  <c r="AD105" i="4"/>
  <c r="AD108" i="4"/>
  <c r="AQ235" i="2"/>
  <c r="AE64" i="4"/>
  <c r="AQ216" i="2"/>
  <c r="AR205" i="2"/>
  <c r="AR215" i="2"/>
  <c r="AQ48" i="2"/>
  <c r="AE70" i="4" s="1"/>
  <c r="AQ27" i="2"/>
  <c r="AQ24" i="2"/>
  <c r="AQ25" i="2"/>
  <c r="AP28" i="2"/>
  <c r="AD65" i="4" s="1"/>
  <c r="AR22" i="2"/>
  <c r="AS19" i="2"/>
  <c r="AS4" i="2" s="1"/>
  <c r="AR18" i="2"/>
  <c r="AR2" i="2" s="1"/>
  <c r="AR26" i="2" l="1"/>
  <c r="AE63" i="4"/>
  <c r="AE62" i="4" s="1"/>
  <c r="AQ236" i="2"/>
  <c r="AE108" i="4"/>
  <c r="AE105" i="4"/>
  <c r="AS205" i="2"/>
  <c r="AS215" i="2"/>
  <c r="AR235" i="2"/>
  <c r="AF64" i="4"/>
  <c r="AR216" i="2"/>
  <c r="AR48" i="2"/>
  <c r="AF70" i="4" s="1"/>
  <c r="AQ28" i="2"/>
  <c r="AE65" i="4" s="1"/>
  <c r="AR27" i="2"/>
  <c r="AR24" i="2"/>
  <c r="AR25" i="2"/>
  <c r="AS22" i="2"/>
  <c r="AT19" i="2"/>
  <c r="AT4" i="2" s="1"/>
  <c r="AS18" i="2"/>
  <c r="AS2" i="2" s="1"/>
  <c r="AS26" i="2" l="1"/>
  <c r="AT205" i="2"/>
  <c r="AT215" i="2"/>
  <c r="AS235" i="2"/>
  <c r="AG64" i="4"/>
  <c r="AS216" i="2"/>
  <c r="AF108" i="4"/>
  <c r="AF105" i="4"/>
  <c r="AF63" i="4"/>
  <c r="AF62" i="4" s="1"/>
  <c r="AR236" i="2"/>
  <c r="AS48" i="2"/>
  <c r="AG70" i="4" s="1"/>
  <c r="AR28" i="2"/>
  <c r="AF65" i="4" s="1"/>
  <c r="AS27" i="2"/>
  <c r="AS24" i="2"/>
  <c r="AS25" i="2"/>
  <c r="AT22" i="2"/>
  <c r="AU19" i="2"/>
  <c r="AU4" i="2" s="1"/>
  <c r="AT18" i="2"/>
  <c r="AT2" i="2" s="1"/>
  <c r="AT26" i="2" l="1"/>
  <c r="AG63" i="4"/>
  <c r="AG62" i="4" s="1"/>
  <c r="AS236" i="2"/>
  <c r="AG108" i="4"/>
  <c r="AG105" i="4"/>
  <c r="AH64" i="4"/>
  <c r="AT235" i="2"/>
  <c r="AT216" i="2"/>
  <c r="AU205" i="2"/>
  <c r="AU215" i="2"/>
  <c r="AT48" i="2"/>
  <c r="AH70" i="4" s="1"/>
  <c r="AT27" i="2"/>
  <c r="AT25" i="2"/>
  <c r="AT24" i="2"/>
  <c r="AS28" i="2"/>
  <c r="AG65" i="4" s="1"/>
  <c r="AU22" i="2"/>
  <c r="AU18" i="2"/>
  <c r="AU2" i="2" s="1"/>
  <c r="AV19" i="2"/>
  <c r="AV4" i="2" s="1"/>
  <c r="AU26" i="2" l="1"/>
  <c r="AH63" i="4"/>
  <c r="AH62" i="4" s="1"/>
  <c r="AT236" i="2"/>
  <c r="AH108" i="4"/>
  <c r="AH105" i="4"/>
  <c r="AI64" i="4"/>
  <c r="AU235" i="2"/>
  <c r="AU216" i="2"/>
  <c r="AV205" i="2"/>
  <c r="AV215" i="2"/>
  <c r="AU48" i="2"/>
  <c r="AI70" i="4" s="1"/>
  <c r="AU27" i="2"/>
  <c r="AU25" i="2"/>
  <c r="AU24" i="2"/>
  <c r="AT28" i="2"/>
  <c r="AH65" i="4" s="1"/>
  <c r="AV22" i="2"/>
  <c r="AV18" i="2"/>
  <c r="AV2" i="2" s="1"/>
  <c r="AW19" i="2"/>
  <c r="AW4" i="2" s="1"/>
  <c r="AV26" i="2" l="1"/>
  <c r="AI63" i="4"/>
  <c r="AI62" i="4" s="1"/>
  <c r="AU236" i="2"/>
  <c r="AI105" i="4"/>
  <c r="AI108" i="4"/>
  <c r="AJ64" i="4"/>
  <c r="AV235" i="2"/>
  <c r="AV216" i="2"/>
  <c r="AW205" i="2"/>
  <c r="AW215" i="2"/>
  <c r="AV48" i="2"/>
  <c r="AJ70" i="4" s="1"/>
  <c r="AV27" i="2"/>
  <c r="AV25" i="2"/>
  <c r="AV24" i="2"/>
  <c r="AU28" i="2"/>
  <c r="AI65" i="4" s="1"/>
  <c r="AW22" i="2"/>
  <c r="AW18" i="2"/>
  <c r="AW2" i="2" s="1"/>
  <c r="AX19" i="2"/>
  <c r="AX4" i="2" s="1"/>
  <c r="AW26" i="2" l="1"/>
  <c r="AJ63" i="4"/>
  <c r="AJ62" i="4" s="1"/>
  <c r="AV236" i="2"/>
  <c r="AJ105" i="4"/>
  <c r="AJ108" i="4"/>
  <c r="AK64" i="4"/>
  <c r="AW235" i="2"/>
  <c r="AW216" i="2"/>
  <c r="AX205" i="2"/>
  <c r="AX215" i="2"/>
  <c r="AW48" i="2"/>
  <c r="AK70" i="4" s="1"/>
  <c r="AW27" i="2"/>
  <c r="AW25" i="2"/>
  <c r="AW24" i="2"/>
  <c r="AV28" i="2"/>
  <c r="AJ65" i="4" s="1"/>
  <c r="AX22" i="2"/>
  <c r="AY19" i="2"/>
  <c r="AY4" i="2" s="1"/>
  <c r="AX18" i="2"/>
  <c r="AX2" i="2" s="1"/>
  <c r="AX26" i="2" l="1"/>
  <c r="AY205" i="2"/>
  <c r="AY215" i="2"/>
  <c r="AK63" i="4"/>
  <c r="AK62" i="4" s="1"/>
  <c r="AW236" i="2"/>
  <c r="AK105" i="4"/>
  <c r="AK108" i="4"/>
  <c r="AX235" i="2"/>
  <c r="AL64" i="4"/>
  <c r="AX216" i="2"/>
  <c r="AX48" i="2"/>
  <c r="AL70" i="4" s="1"/>
  <c r="AX27" i="2"/>
  <c r="AX25" i="2"/>
  <c r="AX24" i="2"/>
  <c r="AW28" i="2"/>
  <c r="AK65" i="4" s="1"/>
  <c r="AY22" i="2"/>
  <c r="AY18" i="2"/>
  <c r="AY2" i="2" s="1"/>
  <c r="AZ19" i="2"/>
  <c r="AZ4" i="2" s="1"/>
  <c r="AY26" i="2" l="1"/>
  <c r="AL105" i="4"/>
  <c r="AL108" i="4"/>
  <c r="AL63" i="4"/>
  <c r="AL62" i="4" s="1"/>
  <c r="AX236" i="2"/>
  <c r="AM64" i="4"/>
  <c r="AY235" i="2"/>
  <c r="AY216" i="2"/>
  <c r="AZ205" i="2"/>
  <c r="AZ215" i="2"/>
  <c r="AY48" i="2"/>
  <c r="AM70" i="4" s="1"/>
  <c r="AY27" i="2"/>
  <c r="AY24" i="2"/>
  <c r="AY25" i="2"/>
  <c r="AX28" i="2"/>
  <c r="AL65" i="4" s="1"/>
  <c r="AZ22" i="2"/>
  <c r="BA19" i="2"/>
  <c r="BA4" i="2" s="1"/>
  <c r="AZ18" i="2"/>
  <c r="AZ2" i="2" s="1"/>
  <c r="AZ26" i="2" l="1"/>
  <c r="AM63" i="4"/>
  <c r="AM62" i="4" s="1"/>
  <c r="AY236" i="2"/>
  <c r="BA205" i="2"/>
  <c r="BA215" i="2"/>
  <c r="AM108" i="4"/>
  <c r="AM105" i="4"/>
  <c r="AZ235" i="2"/>
  <c r="AN64" i="4"/>
  <c r="AZ216" i="2"/>
  <c r="AZ48" i="2"/>
  <c r="AN70" i="4" s="1"/>
  <c r="AY28" i="2"/>
  <c r="AM65" i="4" s="1"/>
  <c r="AZ27" i="2"/>
  <c r="AZ24" i="2"/>
  <c r="AZ25" i="2"/>
  <c r="BA22" i="2"/>
  <c r="BB19" i="2"/>
  <c r="BB4" i="2" s="1"/>
  <c r="BA18" i="2"/>
  <c r="BA2" i="2" s="1"/>
  <c r="BA26" i="2" l="1"/>
  <c r="AN108" i="4"/>
  <c r="AN105" i="4"/>
  <c r="BA235" i="2"/>
  <c r="AO64" i="4"/>
  <c r="BA216" i="2"/>
  <c r="AN63" i="4"/>
  <c r="AN62" i="4" s="1"/>
  <c r="AZ236" i="2"/>
  <c r="BB205" i="2"/>
  <c r="BB215" i="2"/>
  <c r="BA48" i="2"/>
  <c r="AO70" i="4" s="1"/>
  <c r="AZ28" i="2"/>
  <c r="AN65" i="4" s="1"/>
  <c r="BA27" i="2"/>
  <c r="BA25" i="2"/>
  <c r="BA24" i="2"/>
  <c r="BB22" i="2"/>
  <c r="BC19" i="2"/>
  <c r="BC4" i="2" s="1"/>
  <c r="BB18" i="2"/>
  <c r="BB2" i="2" s="1"/>
  <c r="BB26" i="2" l="1"/>
  <c r="BC205" i="2"/>
  <c r="BC215" i="2"/>
  <c r="AO63" i="4"/>
  <c r="AO62" i="4" s="1"/>
  <c r="BA236" i="2"/>
  <c r="AO108" i="4"/>
  <c r="AO105" i="4"/>
  <c r="AP64" i="4"/>
  <c r="BB235" i="2"/>
  <c r="BB216" i="2"/>
  <c r="BB48" i="2"/>
  <c r="AP70" i="4" s="1"/>
  <c r="BB27" i="2"/>
  <c r="BB25" i="2"/>
  <c r="BB24" i="2"/>
  <c r="BA28" i="2"/>
  <c r="AO65" i="4" s="1"/>
  <c r="BC22" i="2"/>
  <c r="BC18" i="2"/>
  <c r="BC2" i="2" s="1"/>
  <c r="BD19" i="2"/>
  <c r="BD4" i="2" l="1"/>
  <c r="BC26" i="2"/>
  <c r="AP108" i="4"/>
  <c r="AP105" i="4"/>
  <c r="AP63" i="4"/>
  <c r="AP62" i="4" s="1"/>
  <c r="BB236" i="2"/>
  <c r="AQ64" i="4"/>
  <c r="BC235" i="2"/>
  <c r="BC216" i="2"/>
  <c r="BD205" i="2"/>
  <c r="BD215" i="2"/>
  <c r="BC48" i="2"/>
  <c r="AQ70" i="4" s="1"/>
  <c r="BC27" i="2"/>
  <c r="BC24" i="2"/>
  <c r="BC25" i="2"/>
  <c r="BB28" i="2"/>
  <c r="AP65" i="4" s="1"/>
  <c r="BD22" i="2"/>
  <c r="BD18" i="2"/>
  <c r="BD2" i="2" s="1"/>
  <c r="BE19" i="2"/>
  <c r="BE4" i="2" l="1"/>
  <c r="BD26" i="2"/>
  <c r="AQ63" i="4"/>
  <c r="AQ62" i="4" s="1"/>
  <c r="BC236" i="2"/>
  <c r="AQ105" i="4"/>
  <c r="AQ108" i="4"/>
  <c r="AR64" i="4"/>
  <c r="BD235" i="2"/>
  <c r="BD216" i="2"/>
  <c r="BE205" i="2"/>
  <c r="BE215" i="2"/>
  <c r="BD48" i="2"/>
  <c r="AR70" i="4" s="1"/>
  <c r="BC28" i="2"/>
  <c r="AQ65" i="4" s="1"/>
  <c r="BD27" i="2"/>
  <c r="BD24" i="2"/>
  <c r="BD25" i="2"/>
  <c r="BE22" i="2"/>
  <c r="BE18" i="2"/>
  <c r="BE2" i="2" s="1"/>
  <c r="BF19" i="2"/>
  <c r="BF4" i="2" l="1"/>
  <c r="BE26" i="2"/>
  <c r="AR63" i="4"/>
  <c r="AR62" i="4" s="1"/>
  <c r="BD236" i="2"/>
  <c r="AR105" i="4"/>
  <c r="AR108" i="4"/>
  <c r="AS64" i="4"/>
  <c r="BE235" i="2"/>
  <c r="BE216" i="2"/>
  <c r="BF205" i="2"/>
  <c r="BF215" i="2"/>
  <c r="BE48" i="2"/>
  <c r="AS70" i="4" s="1"/>
  <c r="BD28" i="2"/>
  <c r="AR65" i="4" s="1"/>
  <c r="BE27" i="2"/>
  <c r="BE24" i="2"/>
  <c r="BE25" i="2"/>
  <c r="BF22" i="2"/>
  <c r="BF18" i="2"/>
  <c r="BF2" i="2" s="1"/>
  <c r="BG19" i="2"/>
  <c r="BG4" i="2" l="1"/>
  <c r="BF26" i="2"/>
  <c r="AS63" i="4"/>
  <c r="AS62" i="4" s="1"/>
  <c r="BE236" i="2"/>
  <c r="AS105" i="4"/>
  <c r="AS108" i="4"/>
  <c r="AT64" i="4"/>
  <c r="BF235" i="2"/>
  <c r="BF216" i="2"/>
  <c r="BG205" i="2"/>
  <c r="BG215" i="2"/>
  <c r="BF48" i="2"/>
  <c r="AT70" i="4" s="1"/>
  <c r="BF27" i="2"/>
  <c r="BF25" i="2"/>
  <c r="BF24" i="2"/>
  <c r="BE28" i="2"/>
  <c r="AS65" i="4" s="1"/>
  <c r="BG22" i="2"/>
  <c r="BG18" i="2"/>
  <c r="BG2" i="2" s="1"/>
  <c r="BH19" i="2"/>
  <c r="BH4" i="2" l="1"/>
  <c r="BG26" i="2"/>
  <c r="AT63" i="4"/>
  <c r="AT62" i="4" s="1"/>
  <c r="BF236" i="2"/>
  <c r="AT105" i="4"/>
  <c r="AT108" i="4"/>
  <c r="BG235" i="2"/>
  <c r="AU64" i="4"/>
  <c r="BG216" i="2"/>
  <c r="BH205" i="2"/>
  <c r="BH215" i="2"/>
  <c r="BG48" i="2"/>
  <c r="AU70" i="4" s="1"/>
  <c r="BG27" i="2"/>
  <c r="BG24" i="2"/>
  <c r="BG25" i="2"/>
  <c r="BF28" i="2"/>
  <c r="AT65" i="4" s="1"/>
  <c r="BH22" i="2"/>
  <c r="BI19" i="2"/>
  <c r="BH18" i="2"/>
  <c r="BH2" i="2" s="1"/>
  <c r="BI4" i="2" l="1"/>
  <c r="BH26" i="2"/>
  <c r="AU63" i="4"/>
  <c r="AU62" i="4" s="1"/>
  <c r="BG236" i="2"/>
  <c r="AU108" i="4"/>
  <c r="AU105" i="4"/>
  <c r="AV64" i="4"/>
  <c r="BH235" i="2"/>
  <c r="BH216" i="2"/>
  <c r="BI205" i="2"/>
  <c r="BI215" i="2"/>
  <c r="BH48" i="2"/>
  <c r="AV70" i="4" s="1"/>
  <c r="BG28" i="2"/>
  <c r="AU65" i="4" s="1"/>
  <c r="BH27" i="2"/>
  <c r="BH24" i="2"/>
  <c r="BH25" i="2"/>
  <c r="BI22" i="2"/>
  <c r="BJ19" i="2"/>
  <c r="BI18" i="2"/>
  <c r="BI2" i="2" s="1"/>
  <c r="BJ4" i="2" l="1"/>
  <c r="BI26" i="2"/>
  <c r="AV63" i="4"/>
  <c r="AV62" i="4" s="1"/>
  <c r="BH236" i="2"/>
  <c r="BJ205" i="2"/>
  <c r="BJ215" i="2"/>
  <c r="AV108" i="4"/>
  <c r="AV105" i="4"/>
  <c r="BI235" i="2"/>
  <c r="AW64" i="4"/>
  <c r="BI216" i="2"/>
  <c r="BI48" i="2"/>
  <c r="AW70" i="4" s="1"/>
  <c r="BH28" i="2"/>
  <c r="AV65" i="4" s="1"/>
  <c r="BI27" i="2"/>
  <c r="BI25" i="2"/>
  <c r="BI24" i="2"/>
  <c r="BJ22" i="2"/>
  <c r="BK19" i="2"/>
  <c r="BJ18" i="2"/>
  <c r="BJ2" i="2" s="1"/>
  <c r="BK4" i="2" l="1"/>
  <c r="BJ26" i="2"/>
  <c r="BK205" i="2"/>
  <c r="BK215" i="2"/>
  <c r="BJ235" i="2"/>
  <c r="AX64" i="4"/>
  <c r="BJ216" i="2"/>
  <c r="AW108" i="4"/>
  <c r="AW105" i="4"/>
  <c r="AW63" i="4"/>
  <c r="AW62" i="4" s="1"/>
  <c r="BI236" i="2"/>
  <c r="BJ48" i="2"/>
  <c r="AX70" i="4" s="1"/>
  <c r="BJ27" i="2"/>
  <c r="BJ25" i="2"/>
  <c r="BJ24" i="2"/>
  <c r="BI28" i="2"/>
  <c r="AW65" i="4" s="1"/>
  <c r="BK22" i="2"/>
  <c r="BK18" i="2"/>
  <c r="BK2" i="2" s="1"/>
  <c r="BL19" i="2"/>
  <c r="BL4" i="2" l="1"/>
  <c r="BK26" i="2"/>
  <c r="AX63" i="4"/>
  <c r="AX62" i="4" s="1"/>
  <c r="BJ236" i="2"/>
  <c r="AX108" i="4"/>
  <c r="AX105" i="4"/>
  <c r="AY64" i="4"/>
  <c r="BK235" i="2"/>
  <c r="BK216" i="2"/>
  <c r="BL205" i="2"/>
  <c r="BL215" i="2"/>
  <c r="BK48" i="2"/>
  <c r="AY70" i="4" s="1"/>
  <c r="BK27" i="2"/>
  <c r="BK25" i="2"/>
  <c r="BK24" i="2"/>
  <c r="BJ28" i="2"/>
  <c r="AX65" i="4" s="1"/>
  <c r="BL22" i="2"/>
  <c r="BL18" i="2"/>
  <c r="BL2" i="2" s="1"/>
  <c r="BM19" i="2"/>
  <c r="BM4" i="2" l="1"/>
  <c r="BL26" i="2"/>
  <c r="AY63" i="4"/>
  <c r="AY62" i="4" s="1"/>
  <c r="BK236" i="2"/>
  <c r="AY105" i="4"/>
  <c r="AY108" i="4"/>
  <c r="AZ64" i="4"/>
  <c r="BL235" i="2"/>
  <c r="BL216" i="2"/>
  <c r="BM205" i="2"/>
  <c r="BM215" i="2"/>
  <c r="BL48" i="2"/>
  <c r="AZ70" i="4" s="1"/>
  <c r="BK28" i="2"/>
  <c r="AY65" i="4" s="1"/>
  <c r="BL27" i="2"/>
  <c r="BL24" i="2"/>
  <c r="BL25" i="2"/>
  <c r="BM22" i="2"/>
  <c r="BM18" i="2"/>
  <c r="BM2" i="2" s="1"/>
  <c r="BN19" i="2"/>
  <c r="BN4" i="2" l="1"/>
  <c r="BM26" i="2"/>
  <c r="AZ105" i="4"/>
  <c r="AZ108" i="4"/>
  <c r="BA64" i="4"/>
  <c r="BM235" i="2"/>
  <c r="BM216" i="2"/>
  <c r="BN205" i="2"/>
  <c r="BN215" i="2"/>
  <c r="AZ63" i="4"/>
  <c r="AZ62" i="4" s="1"/>
  <c r="BL236" i="2"/>
  <c r="BM48" i="2"/>
  <c r="BA70" i="4" s="1"/>
  <c r="BM27" i="2"/>
  <c r="BM25" i="2"/>
  <c r="BM24" i="2"/>
  <c r="BL28" i="2"/>
  <c r="AZ65" i="4" s="1"/>
  <c r="BN22" i="2"/>
  <c r="BO19" i="2"/>
  <c r="BN18" i="2"/>
  <c r="BN2" i="2" s="1"/>
  <c r="BO4" i="2" l="1"/>
  <c r="BN26" i="2"/>
  <c r="BB64" i="4"/>
  <c r="BN235" i="2"/>
  <c r="BN216" i="2"/>
  <c r="BA63" i="4"/>
  <c r="BA62" i="4" s="1"/>
  <c r="BM236" i="2"/>
  <c r="BO205" i="2"/>
  <c r="BO215" i="2"/>
  <c r="BA105" i="4"/>
  <c r="BA108" i="4"/>
  <c r="BN48" i="2"/>
  <c r="BB70" i="4" s="1"/>
  <c r="BN27" i="2"/>
  <c r="BN25" i="2"/>
  <c r="BN24" i="2"/>
  <c r="BM28" i="2"/>
  <c r="BA65" i="4" s="1"/>
  <c r="BO22" i="2"/>
  <c r="BO18" i="2"/>
  <c r="BO2" i="2" s="1"/>
  <c r="BP19" i="2"/>
  <c r="BP4" i="2" l="1"/>
  <c r="BO26" i="2"/>
  <c r="BC64" i="4"/>
  <c r="BO235" i="2"/>
  <c r="BO216" i="2"/>
  <c r="BB105" i="4"/>
  <c r="BB108" i="4"/>
  <c r="BB63" i="4"/>
  <c r="BB62" i="4" s="1"/>
  <c r="BN236" i="2"/>
  <c r="BP205" i="2"/>
  <c r="BP215" i="2"/>
  <c r="BO48" i="2"/>
  <c r="BC70" i="4" s="1"/>
  <c r="BN28" i="2"/>
  <c r="BB65" i="4" s="1"/>
  <c r="BO27" i="2"/>
  <c r="BO24" i="2"/>
  <c r="BO25" i="2"/>
  <c r="BP22" i="2"/>
  <c r="BQ19" i="2"/>
  <c r="BP18" i="2"/>
  <c r="BP2" i="2" s="1"/>
  <c r="BQ4" i="2" l="1"/>
  <c r="BP26" i="2"/>
  <c r="BQ205" i="2"/>
  <c r="BQ215" i="2"/>
  <c r="BC108" i="4"/>
  <c r="BC105" i="4"/>
  <c r="BC63" i="4"/>
  <c r="BC62" i="4" s="1"/>
  <c r="BO236" i="2"/>
  <c r="BP235" i="2"/>
  <c r="BD64" i="4"/>
  <c r="BP216" i="2"/>
  <c r="BP48" i="2"/>
  <c r="BD70" i="4" s="1"/>
  <c r="BO28" i="2"/>
  <c r="BC65" i="4" s="1"/>
  <c r="BP27" i="2"/>
  <c r="BP24" i="2"/>
  <c r="BP25" i="2"/>
  <c r="BQ22" i="2"/>
  <c r="BR19" i="2"/>
  <c r="BQ18" i="2"/>
  <c r="BQ2" i="2" s="1"/>
  <c r="BR4" i="2" l="1"/>
  <c r="BQ26" i="2"/>
  <c r="BR205" i="2"/>
  <c r="BR215" i="2"/>
  <c r="BD108" i="4"/>
  <c r="BD105" i="4"/>
  <c r="BD63" i="4"/>
  <c r="BD62" i="4" s="1"/>
  <c r="BP236" i="2"/>
  <c r="BQ235" i="2"/>
  <c r="BE64" i="4"/>
  <c r="BQ216" i="2"/>
  <c r="BQ48" i="2"/>
  <c r="BE70" i="4" s="1"/>
  <c r="BP28" i="2"/>
  <c r="BD65" i="4" s="1"/>
  <c r="BQ27" i="2"/>
  <c r="BQ24" i="2"/>
  <c r="BQ25" i="2"/>
  <c r="BR22" i="2"/>
  <c r="BS19" i="2"/>
  <c r="BR18" i="2"/>
  <c r="BR2" i="2" s="1"/>
  <c r="BS4" i="2" l="1"/>
  <c r="BR26" i="2"/>
  <c r="BS205" i="2"/>
  <c r="BS215" i="2"/>
  <c r="BE108" i="4"/>
  <c r="BE105" i="4"/>
  <c r="BE63" i="4"/>
  <c r="BE62" i="4" s="1"/>
  <c r="BQ236" i="2"/>
  <c r="BR235" i="2"/>
  <c r="BF64" i="4"/>
  <c r="BR216" i="2"/>
  <c r="BR48" i="2"/>
  <c r="BF70" i="4" s="1"/>
  <c r="BQ28" i="2"/>
  <c r="BE65" i="4" s="1"/>
  <c r="BR27" i="2"/>
  <c r="BR24" i="2"/>
  <c r="BR25" i="2"/>
  <c r="BS22" i="2"/>
  <c r="BS18" i="2"/>
  <c r="BS2" i="2" s="1"/>
  <c r="BT19" i="2"/>
  <c r="BT4" i="2" l="1"/>
  <c r="BS26" i="2"/>
  <c r="BF108" i="4"/>
  <c r="BF105" i="4"/>
  <c r="BF63" i="4"/>
  <c r="BF62" i="4" s="1"/>
  <c r="BR236" i="2"/>
  <c r="BS235" i="2"/>
  <c r="BG64" i="4"/>
  <c r="BS216" i="2"/>
  <c r="BT205" i="2"/>
  <c r="BT215" i="2"/>
  <c r="BS48" i="2"/>
  <c r="BG70" i="4" s="1"/>
  <c r="BS27" i="2"/>
  <c r="BS24" i="2"/>
  <c r="BS25" i="2"/>
  <c r="BR28" i="2"/>
  <c r="BF65" i="4" s="1"/>
  <c r="BT22" i="2"/>
  <c r="BT18" i="2"/>
  <c r="BT2" i="2" s="1"/>
  <c r="BU19" i="2"/>
  <c r="BU4" i="2" l="1"/>
  <c r="BT26" i="2"/>
  <c r="BG63" i="4"/>
  <c r="BG62" i="4" s="1"/>
  <c r="BS236" i="2"/>
  <c r="BG105" i="4"/>
  <c r="BG108" i="4"/>
  <c r="BT235" i="2"/>
  <c r="BH64" i="4"/>
  <c r="BT216" i="2"/>
  <c r="BU205" i="2"/>
  <c r="BU215" i="2"/>
  <c r="BT48" i="2"/>
  <c r="BH70" i="4" s="1"/>
  <c r="BS28" i="2"/>
  <c r="BG65" i="4" s="1"/>
  <c r="BT27" i="2"/>
  <c r="BT25" i="2"/>
  <c r="BT24" i="2"/>
  <c r="BU22" i="2"/>
  <c r="BU18" i="2"/>
  <c r="BU2" i="2" s="1"/>
  <c r="BV19" i="2"/>
  <c r="BV4" i="2" l="1"/>
  <c r="BU26" i="2"/>
  <c r="BH63" i="4"/>
  <c r="BH62" i="4" s="1"/>
  <c r="BT236" i="2"/>
  <c r="BH105" i="4"/>
  <c r="BH108" i="4"/>
  <c r="BU235" i="2"/>
  <c r="BI64" i="4"/>
  <c r="BU216" i="2"/>
  <c r="BV205" i="2"/>
  <c r="BV215" i="2"/>
  <c r="BU48" i="2"/>
  <c r="BI70" i="4" s="1"/>
  <c r="BT28" i="2"/>
  <c r="BH65" i="4" s="1"/>
  <c r="BU27" i="2"/>
  <c r="BU24" i="2"/>
  <c r="BU25" i="2"/>
  <c r="BV22" i="2"/>
  <c r="BV18" i="2"/>
  <c r="BV2" i="2" s="1"/>
  <c r="BW19" i="2"/>
  <c r="BW4" i="2" l="1"/>
  <c r="BV26" i="2"/>
  <c r="BI63" i="4"/>
  <c r="BI62" i="4" s="1"/>
  <c r="BU236" i="2"/>
  <c r="BI105" i="4"/>
  <c r="BI108" i="4"/>
  <c r="BV235" i="2"/>
  <c r="BJ64" i="4"/>
  <c r="BV216" i="2"/>
  <c r="BW205" i="2"/>
  <c r="BW215" i="2"/>
  <c r="BV48" i="2"/>
  <c r="BJ70" i="4" s="1"/>
  <c r="BU28" i="2"/>
  <c r="BI65" i="4" s="1"/>
  <c r="BV27" i="2"/>
  <c r="BV24" i="2"/>
  <c r="BV25" i="2"/>
  <c r="BW22" i="2"/>
  <c r="BW18" i="2"/>
  <c r="BW2" i="2" s="1"/>
  <c r="BX19" i="2"/>
  <c r="BX4" i="2" l="1"/>
  <c r="BW26" i="2"/>
  <c r="BJ63" i="4"/>
  <c r="BJ62" i="4" s="1"/>
  <c r="BV236" i="2"/>
  <c r="BJ105" i="4"/>
  <c r="BJ108" i="4"/>
  <c r="BK64" i="4"/>
  <c r="BW235" i="2"/>
  <c r="BW216" i="2"/>
  <c r="BX205" i="2"/>
  <c r="BX215" i="2"/>
  <c r="BW48" i="2"/>
  <c r="BK70" i="4" s="1"/>
  <c r="BV28" i="2"/>
  <c r="BJ65" i="4" s="1"/>
  <c r="BW27" i="2"/>
  <c r="BW24" i="2"/>
  <c r="BW25" i="2"/>
  <c r="BX22" i="2"/>
  <c r="BY19" i="2"/>
  <c r="BX18" i="2"/>
  <c r="BX2" i="2" s="1"/>
  <c r="BY4" i="2" l="1"/>
  <c r="BX26" i="2"/>
  <c r="BK63" i="4"/>
  <c r="BK62" i="4" s="1"/>
  <c r="BW236" i="2"/>
  <c r="BK108" i="4"/>
  <c r="BK105" i="4"/>
  <c r="BY205" i="2"/>
  <c r="BY215" i="2"/>
  <c r="BX235" i="2"/>
  <c r="BL64" i="4"/>
  <c r="BX216" i="2"/>
  <c r="BX48" i="2"/>
  <c r="BL70" i="4" s="1"/>
  <c r="BW28" i="2"/>
  <c r="BK65" i="4" s="1"/>
  <c r="BX27" i="2"/>
  <c r="BX25" i="2"/>
  <c r="BX24" i="2"/>
  <c r="BY22" i="2"/>
  <c r="BZ19" i="2"/>
  <c r="BY18" i="2"/>
  <c r="BY2" i="2" s="1"/>
  <c r="BZ4" i="2" l="1"/>
  <c r="BY26" i="2"/>
  <c r="BY235" i="2"/>
  <c r="BM64" i="4"/>
  <c r="BY216" i="2"/>
  <c r="BZ205" i="2"/>
  <c r="BZ215" i="2"/>
  <c r="BL108" i="4"/>
  <c r="BL105" i="4"/>
  <c r="BL63" i="4"/>
  <c r="BL62" i="4" s="1"/>
  <c r="BX236" i="2"/>
  <c r="BY48" i="2"/>
  <c r="BM70" i="4" s="1"/>
  <c r="BX28" i="2"/>
  <c r="BL65" i="4" s="1"/>
  <c r="BY27" i="2"/>
  <c r="BY25" i="2"/>
  <c r="BY24" i="2"/>
  <c r="BZ22" i="2"/>
  <c r="CA19" i="2"/>
  <c r="BZ18" i="2"/>
  <c r="BZ2" i="2" s="1"/>
  <c r="CA4" i="2" l="1"/>
  <c r="BZ26" i="2"/>
  <c r="CA205" i="2"/>
  <c r="CA215" i="2"/>
  <c r="BN64" i="4"/>
  <c r="BZ235" i="2"/>
  <c r="BZ216" i="2"/>
  <c r="BM108" i="4"/>
  <c r="BM105" i="4"/>
  <c r="BM63" i="4"/>
  <c r="BM62" i="4" s="1"/>
  <c r="BY236" i="2"/>
  <c r="BZ48" i="2"/>
  <c r="BN70" i="4" s="1"/>
  <c r="BZ27" i="2"/>
  <c r="BZ24" i="2"/>
  <c r="BZ25" i="2"/>
  <c r="BY28" i="2"/>
  <c r="BM65" i="4" s="1"/>
  <c r="CA22" i="2"/>
  <c r="CA18" i="2"/>
  <c r="CA2" i="2" s="1"/>
  <c r="CB19" i="2"/>
  <c r="CB4" i="2" l="1"/>
  <c r="CA26" i="2"/>
  <c r="BN63" i="4"/>
  <c r="BN62" i="4" s="1"/>
  <c r="BZ236" i="2"/>
  <c r="BN108" i="4"/>
  <c r="BN105" i="4"/>
  <c r="CA235" i="2"/>
  <c r="BO64" i="4"/>
  <c r="CA216" i="2"/>
  <c r="CB205" i="2"/>
  <c r="CB215" i="2"/>
  <c r="CA48" i="2"/>
  <c r="BO70" i="4" s="1"/>
  <c r="CA27" i="2"/>
  <c r="CA24" i="2"/>
  <c r="CA25" i="2"/>
  <c r="BZ28" i="2"/>
  <c r="BN65" i="4" s="1"/>
  <c r="CB22" i="2"/>
  <c r="CB18" i="2"/>
  <c r="CB2" i="2" s="1"/>
  <c r="CC19" i="2"/>
  <c r="CC4" i="2" l="1"/>
  <c r="CB26" i="2"/>
  <c r="BO63" i="4"/>
  <c r="BO62" i="4" s="1"/>
  <c r="CA236" i="2"/>
  <c r="BO105" i="4"/>
  <c r="BO108" i="4"/>
  <c r="BP64" i="4"/>
  <c r="CB235" i="2"/>
  <c r="CB216" i="2"/>
  <c r="CC205" i="2"/>
  <c r="CC215" i="2"/>
  <c r="CB48" i="2"/>
  <c r="BP70" i="4" s="1"/>
  <c r="CB27" i="2"/>
  <c r="CB24" i="2"/>
  <c r="CB25" i="2"/>
  <c r="CA28" i="2"/>
  <c r="BO65" i="4" s="1"/>
  <c r="CC22" i="2"/>
  <c r="CC18" i="2"/>
  <c r="CC2" i="2" s="1"/>
  <c r="CD19" i="2"/>
  <c r="CD4" i="2" l="1"/>
  <c r="CC26" i="2"/>
  <c r="BP63" i="4"/>
  <c r="BP62" i="4" s="1"/>
  <c r="CB236" i="2"/>
  <c r="BP105" i="4"/>
  <c r="BP108" i="4"/>
  <c r="BQ64" i="4"/>
  <c r="CC235" i="2"/>
  <c r="CC216" i="2"/>
  <c r="CD205" i="2"/>
  <c r="CD215" i="2"/>
  <c r="CC48" i="2"/>
  <c r="BQ70" i="4" s="1"/>
  <c r="CB28" i="2"/>
  <c r="BP65" i="4" s="1"/>
  <c r="CC27" i="2"/>
  <c r="CC24" i="2"/>
  <c r="CC25" i="2"/>
  <c r="CD22" i="2"/>
  <c r="CE19" i="2"/>
  <c r="CD18" i="2"/>
  <c r="CD2" i="2" s="1"/>
  <c r="CE4" i="2" l="1"/>
  <c r="CD26" i="2"/>
  <c r="BQ63" i="4"/>
  <c r="BQ62" i="4" s="1"/>
  <c r="CC236" i="2"/>
  <c r="CE205" i="2"/>
  <c r="CE215" i="2"/>
  <c r="BQ105" i="4"/>
  <c r="BQ108" i="4"/>
  <c r="CD235" i="2"/>
  <c r="BR64" i="4"/>
  <c r="CD216" i="2"/>
  <c r="CD48" i="2"/>
  <c r="BR70" i="4" s="1"/>
  <c r="CC28" i="2"/>
  <c r="BQ65" i="4" s="1"/>
  <c r="CD27" i="2"/>
  <c r="CD25" i="2"/>
  <c r="CD24" i="2"/>
  <c r="CE22" i="2"/>
  <c r="CE18" i="2"/>
  <c r="CE2" i="2" s="1"/>
  <c r="CF19" i="2"/>
  <c r="CF4" i="2" l="1"/>
  <c r="CE26" i="2"/>
  <c r="CE235" i="2"/>
  <c r="BS64" i="4"/>
  <c r="CE216" i="2"/>
  <c r="BR105" i="4"/>
  <c r="BR108" i="4"/>
  <c r="BR63" i="4"/>
  <c r="BR62" i="4" s="1"/>
  <c r="CD236" i="2"/>
  <c r="CF205" i="2"/>
  <c r="CF215" i="2"/>
  <c r="CE48" i="2"/>
  <c r="BS70" i="4" s="1"/>
  <c r="CE27" i="2"/>
  <c r="CE24" i="2"/>
  <c r="CE25" i="2"/>
  <c r="CD28" i="2"/>
  <c r="BR65" i="4" s="1"/>
  <c r="CF22" i="2"/>
  <c r="CG19" i="2"/>
  <c r="CF18" i="2"/>
  <c r="CF2" i="2" s="1"/>
  <c r="CG4" i="2" l="1"/>
  <c r="CF26" i="2"/>
  <c r="CG205" i="2"/>
  <c r="CG215" i="2"/>
  <c r="BS108" i="4"/>
  <c r="BS105" i="4"/>
  <c r="BS63" i="4"/>
  <c r="BS62" i="4" s="1"/>
  <c r="CE236" i="2"/>
  <c r="BT64" i="4"/>
  <c r="CF235" i="2"/>
  <c r="CF216" i="2"/>
  <c r="CF48" i="2"/>
  <c r="BT70" i="4" s="1"/>
  <c r="CE28" i="2"/>
  <c r="BS65" i="4" s="1"/>
  <c r="CF27" i="2"/>
  <c r="CF24" i="2"/>
  <c r="CF25" i="2"/>
  <c r="CG22" i="2"/>
  <c r="CH19" i="2"/>
  <c r="CG18" i="2"/>
  <c r="CG2" i="2" s="1"/>
  <c r="CH4" i="2" l="1"/>
  <c r="CG26" i="2"/>
  <c r="CH205" i="2"/>
  <c r="CH215" i="2"/>
  <c r="BT108" i="4"/>
  <c r="BT105" i="4"/>
  <c r="BT63" i="4"/>
  <c r="BT62" i="4" s="1"/>
  <c r="CF236" i="2"/>
  <c r="CG235" i="2"/>
  <c r="BU64" i="4"/>
  <c r="CG216" i="2"/>
  <c r="CG48" i="2"/>
  <c r="BU70" i="4" s="1"/>
  <c r="CG27" i="2"/>
  <c r="CG24" i="2"/>
  <c r="CG25" i="2"/>
  <c r="CF28" i="2"/>
  <c r="BT65" i="4" s="1"/>
  <c r="CH22" i="2"/>
  <c r="CI19" i="2"/>
  <c r="CH18" i="2"/>
  <c r="CH2" i="2" s="1"/>
  <c r="CI4" i="2" l="1"/>
  <c r="CH26" i="2"/>
  <c r="BU108" i="4"/>
  <c r="BU105" i="4"/>
  <c r="CI205" i="2"/>
  <c r="CI215" i="2"/>
  <c r="CH235" i="2"/>
  <c r="BV64" i="4"/>
  <c r="CH216" i="2"/>
  <c r="BU63" i="4"/>
  <c r="BU62" i="4" s="1"/>
  <c r="CG236" i="2"/>
  <c r="CH48" i="2"/>
  <c r="BV70" i="4" s="1"/>
  <c r="CG28" i="2"/>
  <c r="BU65" i="4" s="1"/>
  <c r="CH27" i="2"/>
  <c r="CH25" i="2"/>
  <c r="CH24" i="2"/>
  <c r="CI22" i="2"/>
  <c r="CI18" i="2"/>
  <c r="CI2" i="2" s="1"/>
  <c r="CJ19" i="2"/>
  <c r="CJ4" i="2" l="1"/>
  <c r="CI26" i="2"/>
  <c r="BV63" i="4"/>
  <c r="BV62" i="4" s="1"/>
  <c r="CH236" i="2"/>
  <c r="BW64" i="4"/>
  <c r="CI235" i="2"/>
  <c r="CI216" i="2"/>
  <c r="BV108" i="4"/>
  <c r="BV105" i="4"/>
  <c r="CJ205" i="2"/>
  <c r="CJ215" i="2"/>
  <c r="CI48" i="2"/>
  <c r="BW70" i="4" s="1"/>
  <c r="CH28" i="2"/>
  <c r="BV65" i="4" s="1"/>
  <c r="CI27" i="2"/>
  <c r="CI25" i="2"/>
  <c r="CI24" i="2"/>
  <c r="CJ22" i="2"/>
  <c r="CJ18" i="2"/>
  <c r="CJ2" i="2" s="1"/>
  <c r="CK19" i="2"/>
  <c r="CK4" i="2" l="1"/>
  <c r="CJ26" i="2"/>
  <c r="BW63" i="4"/>
  <c r="BW62" i="4" s="1"/>
  <c r="CI236" i="2"/>
  <c r="BW105" i="4"/>
  <c r="BW108" i="4"/>
  <c r="BX64" i="4"/>
  <c r="CJ235" i="2"/>
  <c r="CJ216" i="2"/>
  <c r="CK205" i="2"/>
  <c r="CK215" i="2"/>
  <c r="CJ48" i="2"/>
  <c r="BX70" i="4" s="1"/>
  <c r="CI28" i="2"/>
  <c r="BW65" i="4" s="1"/>
  <c r="CJ27" i="2"/>
  <c r="CJ24" i="2"/>
  <c r="CJ25" i="2"/>
  <c r="CK22" i="2"/>
  <c r="CK18" i="2"/>
  <c r="CK2" i="2" s="1"/>
  <c r="CL19" i="2"/>
  <c r="CL4" i="2" l="1"/>
  <c r="CK26" i="2"/>
  <c r="BX63" i="4"/>
  <c r="BX62" i="4" s="1"/>
  <c r="CJ236" i="2"/>
  <c r="BX105" i="4"/>
  <c r="BX108" i="4"/>
  <c r="BY64" i="4"/>
  <c r="CK235" i="2"/>
  <c r="CK216" i="2"/>
  <c r="CL205" i="2"/>
  <c r="CL215" i="2"/>
  <c r="CK48" i="2"/>
  <c r="BY70" i="4" s="1"/>
  <c r="CK27" i="2"/>
  <c r="CK25" i="2"/>
  <c r="CK24" i="2"/>
  <c r="CJ28" i="2"/>
  <c r="BX65" i="4" s="1"/>
  <c r="CL22" i="2"/>
  <c r="CL18" i="2"/>
  <c r="CL2" i="2" s="1"/>
  <c r="CM19" i="2"/>
  <c r="CM4" i="2" l="1"/>
  <c r="CL26" i="2"/>
  <c r="BY63" i="4"/>
  <c r="BY62" i="4" s="1"/>
  <c r="CK236" i="2"/>
  <c r="BY105" i="4"/>
  <c r="BY108" i="4"/>
  <c r="BZ64" i="4"/>
  <c r="CL235" i="2"/>
  <c r="CL216" i="2"/>
  <c r="CM205" i="2"/>
  <c r="CM215" i="2"/>
  <c r="CL48" i="2"/>
  <c r="BZ70" i="4" s="1"/>
  <c r="CL27" i="2"/>
  <c r="CL24" i="2"/>
  <c r="CL25" i="2"/>
  <c r="CK28" i="2"/>
  <c r="BY65" i="4" s="1"/>
  <c r="CM22" i="2"/>
  <c r="CM18" i="2"/>
  <c r="CM2" i="2" s="1"/>
  <c r="CN19" i="2"/>
  <c r="CN4" i="2" l="1"/>
  <c r="CM26" i="2"/>
  <c r="BZ63" i="4"/>
  <c r="BZ62" i="4" s="1"/>
  <c r="CL236" i="2"/>
  <c r="BZ105" i="4"/>
  <c r="BZ108" i="4"/>
  <c r="CA64" i="4"/>
  <c r="CM235" i="2"/>
  <c r="CM216" i="2"/>
  <c r="CN205" i="2"/>
  <c r="CN215" i="2"/>
  <c r="CM48" i="2"/>
  <c r="CA70" i="4" s="1"/>
  <c r="CL28" i="2"/>
  <c r="BZ65" i="4" s="1"/>
  <c r="CM27" i="2"/>
  <c r="CM24" i="2"/>
  <c r="CM25" i="2"/>
  <c r="CN22" i="2"/>
  <c r="CO19" i="2"/>
  <c r="CN18" i="2"/>
  <c r="CN2" i="2" s="1"/>
  <c r="CO4" i="2" l="1"/>
  <c r="CN26" i="2"/>
  <c r="CA63" i="4"/>
  <c r="CA62" i="4" s="1"/>
  <c r="CM236" i="2"/>
  <c r="CO205" i="2"/>
  <c r="CO215" i="2"/>
  <c r="CA108" i="4"/>
  <c r="CA105" i="4"/>
  <c r="CN235" i="2"/>
  <c r="CB64" i="4"/>
  <c r="CN216" i="2"/>
  <c r="CN48" i="2"/>
  <c r="CB70" i="4" s="1"/>
  <c r="CM28" i="2"/>
  <c r="CA65" i="4" s="1"/>
  <c r="CN27" i="2"/>
  <c r="CN24" i="2"/>
  <c r="CN25" i="2"/>
  <c r="CO22" i="2"/>
  <c r="CP19" i="2"/>
  <c r="CO18" i="2"/>
  <c r="CO2" i="2" s="1"/>
  <c r="CP4" i="2" l="1"/>
  <c r="CO26" i="2"/>
  <c r="CO235" i="2"/>
  <c r="CC64" i="4"/>
  <c r="CO216" i="2"/>
  <c r="CP205" i="2"/>
  <c r="CP215" i="2"/>
  <c r="CB108" i="4"/>
  <c r="CB105" i="4"/>
  <c r="CB63" i="4"/>
  <c r="CB62" i="4" s="1"/>
  <c r="CN236" i="2"/>
  <c r="CO48" i="2"/>
  <c r="CC70" i="4" s="1"/>
  <c r="CN28" i="2"/>
  <c r="CB65" i="4" s="1"/>
  <c r="CO27" i="2"/>
  <c r="CO24" i="2"/>
  <c r="CO25" i="2"/>
  <c r="CP22" i="2"/>
  <c r="CQ19" i="2"/>
  <c r="CP18" i="2"/>
  <c r="CP2" i="2" s="1"/>
  <c r="CQ4" i="2" l="1"/>
  <c r="CP26" i="2"/>
  <c r="CQ205" i="2"/>
  <c r="CQ215" i="2"/>
  <c r="CP235" i="2"/>
  <c r="CD64" i="4"/>
  <c r="CP216" i="2"/>
  <c r="CC108" i="4"/>
  <c r="CC105" i="4"/>
  <c r="CC63" i="4"/>
  <c r="CC62" i="4" s="1"/>
  <c r="CO236" i="2"/>
  <c r="CP48" i="2"/>
  <c r="CD70" i="4" s="1"/>
  <c r="CO28" i="2"/>
  <c r="CC65" i="4" s="1"/>
  <c r="CP27" i="2"/>
  <c r="CP25" i="2"/>
  <c r="CP24" i="2"/>
  <c r="CQ22" i="2"/>
  <c r="CQ18" i="2"/>
  <c r="CQ2" i="2" s="1"/>
  <c r="CR19" i="2"/>
  <c r="CR4" i="2" l="1"/>
  <c r="CQ26" i="2"/>
  <c r="CD63" i="4"/>
  <c r="CD62" i="4" s="1"/>
  <c r="CP236" i="2"/>
  <c r="CD108" i="4"/>
  <c r="CD105" i="4"/>
  <c r="CE64" i="4"/>
  <c r="CQ235" i="2"/>
  <c r="CQ216" i="2"/>
  <c r="CR205" i="2"/>
  <c r="CR215" i="2"/>
  <c r="CQ48" i="2"/>
  <c r="CE70" i="4" s="1"/>
  <c r="CP28" i="2"/>
  <c r="CD65" i="4" s="1"/>
  <c r="CQ27" i="2"/>
  <c r="CQ24" i="2"/>
  <c r="CQ25" i="2"/>
  <c r="CR22" i="2"/>
  <c r="CR18" i="2"/>
  <c r="CR2" i="2" s="1"/>
  <c r="CS19" i="2"/>
  <c r="CS4" i="2" l="1"/>
  <c r="CR26" i="2"/>
  <c r="CE63" i="4"/>
  <c r="CE62" i="4" s="1"/>
  <c r="CQ236" i="2"/>
  <c r="CE105" i="4"/>
  <c r="CE108" i="4"/>
  <c r="CF64" i="4"/>
  <c r="CR235" i="2"/>
  <c r="CR216" i="2"/>
  <c r="CS205" i="2"/>
  <c r="CS215" i="2"/>
  <c r="CR48" i="2"/>
  <c r="CF70" i="4" s="1"/>
  <c r="CR27" i="2"/>
  <c r="CR24" i="2"/>
  <c r="CR25" i="2"/>
  <c r="CQ28" i="2"/>
  <c r="CE65" i="4" s="1"/>
  <c r="CS22" i="2"/>
  <c r="CS18" i="2"/>
  <c r="CS2" i="2" s="1"/>
  <c r="CT19" i="2"/>
  <c r="CT4" i="2" l="1"/>
  <c r="CS26" i="2"/>
  <c r="CF63" i="4"/>
  <c r="CF62" i="4" s="1"/>
  <c r="CR236" i="2"/>
  <c r="CF105" i="4"/>
  <c r="CF108" i="4"/>
  <c r="CS235" i="2"/>
  <c r="CG64" i="4"/>
  <c r="CS216" i="2"/>
  <c r="CT205" i="2"/>
  <c r="CT215" i="2"/>
  <c r="CS48" i="2"/>
  <c r="CG70" i="4" s="1"/>
  <c r="CS27" i="2"/>
  <c r="CS25" i="2"/>
  <c r="CS24" i="2"/>
  <c r="CR28" i="2"/>
  <c r="CF65" i="4" s="1"/>
  <c r="CT22" i="2"/>
  <c r="CU19" i="2"/>
  <c r="CT18" i="2"/>
  <c r="CT2" i="2" s="1"/>
  <c r="CU4" i="2" l="1"/>
  <c r="CT26" i="2"/>
  <c r="CG63" i="4"/>
  <c r="CG62" i="4" s="1"/>
  <c r="CS236" i="2"/>
  <c r="CG105" i="4"/>
  <c r="CG108" i="4"/>
  <c r="CU205" i="2"/>
  <c r="CU215" i="2"/>
  <c r="CH64" i="4"/>
  <c r="CT235" i="2"/>
  <c r="CT216" i="2"/>
  <c r="CT48" i="2"/>
  <c r="CH70" i="4" s="1"/>
  <c r="CT27" i="2"/>
  <c r="CT24" i="2"/>
  <c r="CT25" i="2"/>
  <c r="CS28" i="2"/>
  <c r="CG65" i="4" s="1"/>
  <c r="CU22" i="2"/>
  <c r="CU18" i="2"/>
  <c r="CU2" i="2" s="1"/>
  <c r="CV19" i="2"/>
  <c r="CV4" i="2" l="1"/>
  <c r="CU26" i="2"/>
  <c r="CU235" i="2"/>
  <c r="CI64" i="4"/>
  <c r="CU216" i="2"/>
  <c r="CH105" i="4"/>
  <c r="CH108" i="4"/>
  <c r="CH63" i="4"/>
  <c r="CH62" i="4" s="1"/>
  <c r="CT236" i="2"/>
  <c r="CV205" i="2"/>
  <c r="CV215" i="2"/>
  <c r="CU48" i="2"/>
  <c r="CI70" i="4" s="1"/>
  <c r="CT28" i="2"/>
  <c r="CH65" i="4" s="1"/>
  <c r="CU27" i="2"/>
  <c r="CU25" i="2"/>
  <c r="CU24" i="2"/>
  <c r="CV22" i="2"/>
  <c r="CW19" i="2"/>
  <c r="CV18" i="2"/>
  <c r="CV2" i="2" s="1"/>
  <c r="CW4" i="2" l="1"/>
  <c r="CV26" i="2"/>
  <c r="CW205" i="2"/>
  <c r="CW215" i="2"/>
  <c r="CI108" i="4"/>
  <c r="CI105" i="4"/>
  <c r="CI63" i="4"/>
  <c r="CI62" i="4" s="1"/>
  <c r="CU236" i="2"/>
  <c r="CJ64" i="4"/>
  <c r="CV235" i="2"/>
  <c r="CV216" i="2"/>
  <c r="CV48" i="2"/>
  <c r="CJ70" i="4" s="1"/>
  <c r="CU28" i="2"/>
  <c r="CI65" i="4" s="1"/>
  <c r="CV27" i="2"/>
  <c r="CV25" i="2"/>
  <c r="CV24" i="2"/>
  <c r="CW22" i="2"/>
  <c r="CX19" i="2"/>
  <c r="CW18" i="2"/>
  <c r="CW2" i="2" s="1"/>
  <c r="CX4" i="2" l="1"/>
  <c r="CW26" i="2"/>
  <c r="CX205" i="2"/>
  <c r="CX215" i="2"/>
  <c r="CJ108" i="4"/>
  <c r="CJ105" i="4"/>
  <c r="CJ63" i="4"/>
  <c r="CJ62" i="4" s="1"/>
  <c r="CV236" i="2"/>
  <c r="CW235" i="2"/>
  <c r="CK64" i="4"/>
  <c r="CW216" i="2"/>
  <c r="CW48" i="2"/>
  <c r="CK70" i="4" s="1"/>
  <c r="CV28" i="2"/>
  <c r="CJ65" i="4" s="1"/>
  <c r="CW27" i="2"/>
  <c r="CW24" i="2"/>
  <c r="CW25" i="2"/>
  <c r="CX22" i="2"/>
  <c r="CY19" i="2"/>
  <c r="CX18" i="2"/>
  <c r="CX2" i="2" s="1"/>
  <c r="CY4" i="2" l="1"/>
  <c r="CX26" i="2"/>
  <c r="CY205" i="2"/>
  <c r="CY215" i="2"/>
  <c r="CK108" i="4"/>
  <c r="CK105" i="4"/>
  <c r="CK63" i="4"/>
  <c r="CK62" i="4" s="1"/>
  <c r="CW236" i="2"/>
  <c r="CL64" i="4"/>
  <c r="CX235" i="2"/>
  <c r="CX216" i="2"/>
  <c r="CX48" i="2"/>
  <c r="CL70" i="4" s="1"/>
  <c r="CW28" i="2"/>
  <c r="CK65" i="4" s="1"/>
  <c r="CX27" i="2"/>
  <c r="CX24" i="2"/>
  <c r="CX25" i="2"/>
  <c r="CY22" i="2"/>
  <c r="CY18" i="2"/>
  <c r="CY2" i="2" s="1"/>
  <c r="CZ19" i="2"/>
  <c r="CZ4" i="2" l="1"/>
  <c r="CY26" i="2"/>
  <c r="CL108" i="4"/>
  <c r="CL105" i="4"/>
  <c r="CL63" i="4"/>
  <c r="CL62" i="4" s="1"/>
  <c r="CX236" i="2"/>
  <c r="CY235" i="2"/>
  <c r="CM64" i="4"/>
  <c r="CY216" i="2"/>
  <c r="CZ205" i="2"/>
  <c r="CZ215" i="2"/>
  <c r="CY48" i="2"/>
  <c r="CM70" i="4" s="1"/>
  <c r="CX28" i="2"/>
  <c r="CL65" i="4" s="1"/>
  <c r="CY27" i="2"/>
  <c r="CY25" i="2"/>
  <c r="CY24" i="2"/>
  <c r="CZ22" i="2"/>
  <c r="CZ18" i="2"/>
  <c r="CZ2" i="2" s="1"/>
  <c r="DA19" i="2"/>
  <c r="DA4" i="2" l="1"/>
  <c r="CZ26" i="2"/>
  <c r="CM63" i="4"/>
  <c r="CM62" i="4" s="1"/>
  <c r="CY236" i="2"/>
  <c r="CM105" i="4"/>
  <c r="CM108" i="4"/>
  <c r="CN64" i="4"/>
  <c r="CZ235" i="2"/>
  <c r="CZ216" i="2"/>
  <c r="DA205" i="2"/>
  <c r="DA215" i="2"/>
  <c r="CZ48" i="2"/>
  <c r="CN70" i="4" s="1"/>
  <c r="CZ27" i="2"/>
  <c r="CZ25" i="2"/>
  <c r="CZ24" i="2"/>
  <c r="CY28" i="2"/>
  <c r="CM65" i="4" s="1"/>
  <c r="DA22" i="2"/>
  <c r="DA18" i="2"/>
  <c r="DA2" i="2" s="1"/>
  <c r="DB19" i="2"/>
  <c r="DB4" i="2" l="1"/>
  <c r="DA26" i="2"/>
  <c r="CN63" i="4"/>
  <c r="CN62" i="4" s="1"/>
  <c r="CZ236" i="2"/>
  <c r="CN105" i="4"/>
  <c r="CN108" i="4"/>
  <c r="CO64" i="4"/>
  <c r="DA235" i="2"/>
  <c r="DA216" i="2"/>
  <c r="DB205" i="2"/>
  <c r="DB215" i="2"/>
  <c r="DA48" i="2"/>
  <c r="CO70" i="4" s="1"/>
  <c r="CZ28" i="2"/>
  <c r="CN65" i="4" s="1"/>
  <c r="DA27" i="2"/>
  <c r="DA24" i="2"/>
  <c r="DA25" i="2"/>
  <c r="DB22" i="2"/>
  <c r="DB18" i="2"/>
  <c r="DB2" i="2" s="1"/>
  <c r="DC19" i="2"/>
  <c r="DC4" i="2" l="1"/>
  <c r="DB26" i="2"/>
  <c r="CO63" i="4"/>
  <c r="CO62" i="4" s="1"/>
  <c r="DA236" i="2"/>
  <c r="CO105" i="4"/>
  <c r="CO108" i="4"/>
  <c r="DB235" i="2"/>
  <c r="CP64" i="4"/>
  <c r="DB216" i="2"/>
  <c r="DC205" i="2"/>
  <c r="DC215" i="2"/>
  <c r="DB48" i="2"/>
  <c r="CP70" i="4" s="1"/>
  <c r="DB27" i="2"/>
  <c r="DB25" i="2"/>
  <c r="DB24" i="2"/>
  <c r="DA28" i="2"/>
  <c r="CO65" i="4" s="1"/>
  <c r="DC22" i="2"/>
  <c r="DC18" i="2"/>
  <c r="DC2" i="2" s="1"/>
  <c r="DD19" i="2"/>
  <c r="DD4" i="2" l="1"/>
  <c r="DC26" i="2"/>
  <c r="CP63" i="4"/>
  <c r="CP62" i="4" s="1"/>
  <c r="DB236" i="2"/>
  <c r="CP105" i="4"/>
  <c r="CP108" i="4"/>
  <c r="CQ64" i="4"/>
  <c r="DC235" i="2"/>
  <c r="DC216" i="2"/>
  <c r="DD205" i="2"/>
  <c r="DD215" i="2"/>
  <c r="DC48" i="2"/>
  <c r="CQ70" i="4" s="1"/>
  <c r="DC27" i="2"/>
  <c r="DC25" i="2"/>
  <c r="DC24" i="2"/>
  <c r="DB28" i="2"/>
  <c r="CP65" i="4" s="1"/>
  <c r="DD22" i="2"/>
  <c r="DE19" i="2"/>
  <c r="DD18" i="2"/>
  <c r="DD2" i="2" s="1"/>
  <c r="DE4" i="2" l="1"/>
  <c r="DD26" i="2"/>
  <c r="CQ63" i="4"/>
  <c r="CQ62" i="4" s="1"/>
  <c r="DC236" i="2"/>
  <c r="CQ108" i="4"/>
  <c r="CQ105" i="4"/>
  <c r="DD235" i="2"/>
  <c r="CR64" i="4"/>
  <c r="DD216" i="2"/>
  <c r="DE205" i="2"/>
  <c r="DE215" i="2"/>
  <c r="DD48" i="2"/>
  <c r="CR70" i="4" s="1"/>
  <c r="DD27" i="2"/>
  <c r="DD24" i="2"/>
  <c r="DD25" i="2"/>
  <c r="DC28" i="2"/>
  <c r="CQ65" i="4" s="1"/>
  <c r="DE22" i="2"/>
  <c r="DF19" i="2"/>
  <c r="DE18" i="2"/>
  <c r="DE2" i="2" s="1"/>
  <c r="DF4" i="2" l="1"/>
  <c r="DE26" i="2"/>
  <c r="CR63" i="4"/>
  <c r="CR62" i="4" s="1"/>
  <c r="DD236" i="2"/>
  <c r="CR108" i="4"/>
  <c r="CR105" i="4"/>
  <c r="DF205" i="2"/>
  <c r="DF215" i="2"/>
  <c r="CS64" i="4"/>
  <c r="DE235" i="2"/>
  <c r="DE216" i="2"/>
  <c r="DE48" i="2"/>
  <c r="CS70" i="4" s="1"/>
  <c r="DD28" i="2"/>
  <c r="CR65" i="4" s="1"/>
  <c r="DE27" i="2"/>
  <c r="DE25" i="2"/>
  <c r="DE24" i="2"/>
  <c r="DF22" i="2"/>
  <c r="DG19" i="2"/>
  <c r="DF18" i="2"/>
  <c r="DF2" i="2" s="1"/>
  <c r="DG4" i="2" l="1"/>
  <c r="DF26" i="2"/>
  <c r="DG205" i="2"/>
  <c r="DG215" i="2"/>
  <c r="CT64" i="4"/>
  <c r="DF235" i="2"/>
  <c r="DF216" i="2"/>
  <c r="CS108" i="4"/>
  <c r="CS105" i="4"/>
  <c r="CS63" i="4"/>
  <c r="CS62" i="4" s="1"/>
  <c r="DE236" i="2"/>
  <c r="DF48" i="2"/>
  <c r="CT70" i="4" s="1"/>
  <c r="DF27" i="2"/>
  <c r="DF24" i="2"/>
  <c r="DF25" i="2"/>
  <c r="DE28" i="2"/>
  <c r="CS65" i="4" s="1"/>
  <c r="DG22" i="2"/>
  <c r="DG18" i="2"/>
  <c r="DG2" i="2" s="1"/>
  <c r="DH19" i="2"/>
  <c r="DH4" i="2" l="1"/>
  <c r="DG26" i="2"/>
  <c r="CT63" i="4"/>
  <c r="CT62" i="4" s="1"/>
  <c r="DF236" i="2"/>
  <c r="CT108" i="4"/>
  <c r="CT105" i="4"/>
  <c r="CU64" i="4"/>
  <c r="DG235" i="2"/>
  <c r="DG216" i="2"/>
  <c r="DH205" i="2"/>
  <c r="DH215" i="2"/>
  <c r="DG48" i="2"/>
  <c r="CU70" i="4" s="1"/>
  <c r="DG27" i="2"/>
  <c r="DG25" i="2"/>
  <c r="DG24" i="2"/>
  <c r="DF28" i="2"/>
  <c r="CT65" i="4" s="1"/>
  <c r="DH22" i="2"/>
  <c r="DH18" i="2"/>
  <c r="DH2" i="2" s="1"/>
  <c r="DI19" i="2"/>
  <c r="DI4" i="2" l="1"/>
  <c r="DH26" i="2"/>
  <c r="CU63" i="4"/>
  <c r="CU62" i="4" s="1"/>
  <c r="DG236" i="2"/>
  <c r="CU105" i="4"/>
  <c r="CU108" i="4"/>
  <c r="DH235" i="2"/>
  <c r="CV64" i="4"/>
  <c r="DH216" i="2"/>
  <c r="DI205" i="2"/>
  <c r="DI215" i="2"/>
  <c r="DH48" i="2"/>
  <c r="CV70" i="4" s="1"/>
  <c r="DH27" i="2"/>
  <c r="DH25" i="2"/>
  <c r="DH24" i="2"/>
  <c r="DG28" i="2"/>
  <c r="CU65" i="4" s="1"/>
  <c r="DI22" i="2"/>
  <c r="DI18" i="2"/>
  <c r="DI2" i="2" s="1"/>
  <c r="DJ19" i="2"/>
  <c r="DJ4" i="2" l="1"/>
  <c r="DI26" i="2"/>
  <c r="CV63" i="4"/>
  <c r="CV62" i="4" s="1"/>
  <c r="DH236" i="2"/>
  <c r="CV105" i="4"/>
  <c r="CV108" i="4"/>
  <c r="CW64" i="4"/>
  <c r="DI235" i="2"/>
  <c r="DI216" i="2"/>
  <c r="DJ205" i="2"/>
  <c r="DJ215" i="2"/>
  <c r="DI48" i="2"/>
  <c r="CW70" i="4" s="1"/>
  <c r="DI27" i="2"/>
  <c r="DI24" i="2"/>
  <c r="DI25" i="2"/>
  <c r="DH28" i="2"/>
  <c r="CV65" i="4" s="1"/>
  <c r="DJ22" i="2"/>
  <c r="DJ18" i="2"/>
  <c r="DJ2" i="2" s="1"/>
  <c r="DK19" i="2"/>
  <c r="DK4" i="2" l="1"/>
  <c r="DJ26" i="2"/>
  <c r="CW63" i="4"/>
  <c r="CW62" i="4" s="1"/>
  <c r="DI236" i="2"/>
  <c r="CW105" i="4"/>
  <c r="CW108" i="4"/>
  <c r="DJ235" i="2"/>
  <c r="CX64" i="4"/>
  <c r="DJ216" i="2"/>
  <c r="DK205" i="2"/>
  <c r="DK215" i="2"/>
  <c r="DJ48" i="2"/>
  <c r="CX70" i="4" s="1"/>
  <c r="DI28" i="2"/>
  <c r="CW65" i="4" s="1"/>
  <c r="DJ27" i="2"/>
  <c r="DJ24" i="2"/>
  <c r="DJ25" i="2"/>
  <c r="DK22" i="2"/>
  <c r="DK18" i="2"/>
  <c r="DK2" i="2" s="1"/>
  <c r="DL19" i="2"/>
  <c r="DL4" i="2" l="1"/>
  <c r="DK26" i="2"/>
  <c r="CX63" i="4"/>
  <c r="CX62" i="4" s="1"/>
  <c r="DJ236" i="2"/>
  <c r="CX105" i="4"/>
  <c r="CX108" i="4"/>
  <c r="CY64" i="4"/>
  <c r="DK235" i="2"/>
  <c r="DK216" i="2"/>
  <c r="DL205" i="2"/>
  <c r="DL215" i="2"/>
  <c r="DK48" i="2"/>
  <c r="CY70" i="4" s="1"/>
  <c r="DJ28" i="2"/>
  <c r="CX65" i="4" s="1"/>
  <c r="DK27" i="2"/>
  <c r="DK24" i="2"/>
  <c r="DK25" i="2"/>
  <c r="DL22" i="2"/>
  <c r="DM19" i="2"/>
  <c r="DL18" i="2"/>
  <c r="DL2" i="2" s="1"/>
  <c r="DM4" i="2" l="1"/>
  <c r="DL26" i="2"/>
  <c r="CY63" i="4"/>
  <c r="CY62" i="4" s="1"/>
  <c r="DK236" i="2"/>
  <c r="CY108" i="4"/>
  <c r="CY105" i="4"/>
  <c r="CZ64" i="4"/>
  <c r="DL235" i="2"/>
  <c r="DL216" i="2"/>
  <c r="DM205" i="2"/>
  <c r="DM215" i="2"/>
  <c r="DL48" i="2"/>
  <c r="CZ70" i="4" s="1"/>
  <c r="DK28" i="2"/>
  <c r="CY65" i="4" s="1"/>
  <c r="DL27" i="2"/>
  <c r="DL25" i="2"/>
  <c r="DL24" i="2"/>
  <c r="DM22" i="2"/>
  <c r="DN19" i="2"/>
  <c r="DM18" i="2"/>
  <c r="DM2" i="2" s="1"/>
  <c r="DN4" i="2" l="1"/>
  <c r="DM26" i="2"/>
  <c r="CZ63" i="4"/>
  <c r="CZ62" i="4" s="1"/>
  <c r="DL236" i="2"/>
  <c r="CZ108" i="4"/>
  <c r="CZ105" i="4"/>
  <c r="DA64" i="4"/>
  <c r="DM235" i="2"/>
  <c r="DM216" i="2"/>
  <c r="DN205" i="2"/>
  <c r="DN215" i="2"/>
  <c r="DM48" i="2"/>
  <c r="DA70" i="4" s="1"/>
  <c r="DL28" i="2"/>
  <c r="CZ65" i="4" s="1"/>
  <c r="DM27" i="2"/>
  <c r="DM24" i="2"/>
  <c r="DM25" i="2"/>
  <c r="DN22" i="2"/>
  <c r="DO19" i="2"/>
  <c r="DN18" i="2"/>
  <c r="DN2" i="2" s="1"/>
  <c r="DO4" i="2" l="1"/>
  <c r="DN26" i="2"/>
  <c r="DA63" i="4"/>
  <c r="DA62" i="4" s="1"/>
  <c r="DM236" i="2"/>
  <c r="DO205" i="2"/>
  <c r="DO215" i="2"/>
  <c r="DA108" i="4"/>
  <c r="DA105" i="4"/>
  <c r="DB64" i="4"/>
  <c r="DN235" i="2"/>
  <c r="DN216" i="2"/>
  <c r="DN48" i="2"/>
  <c r="DB70" i="4" s="1"/>
  <c r="DN27" i="2"/>
  <c r="DN25" i="2"/>
  <c r="DN24" i="2"/>
  <c r="DM28" i="2"/>
  <c r="DA65" i="4" s="1"/>
  <c r="DO22" i="2"/>
  <c r="DO18" i="2"/>
  <c r="DO2" i="2" s="1"/>
  <c r="DP19" i="2"/>
  <c r="DP4" i="2" l="1"/>
  <c r="DO26" i="2"/>
  <c r="DC64" i="4"/>
  <c r="DO235" i="2"/>
  <c r="DO216" i="2"/>
  <c r="DB108" i="4"/>
  <c r="DB105" i="4"/>
  <c r="DB63" i="4"/>
  <c r="DB62" i="4" s="1"/>
  <c r="DN236" i="2"/>
  <c r="DP205" i="2"/>
  <c r="DP215" i="2"/>
  <c r="DO48" i="2"/>
  <c r="DC70" i="4" s="1"/>
  <c r="DO27" i="2"/>
  <c r="DO24" i="2"/>
  <c r="DO25" i="2"/>
  <c r="DN28" i="2"/>
  <c r="DB65" i="4" s="1"/>
  <c r="DP22" i="2"/>
  <c r="DP18" i="2"/>
  <c r="DP2" i="2" s="1"/>
  <c r="DQ19" i="2"/>
  <c r="DQ4" i="2" l="1"/>
  <c r="DP26" i="2"/>
  <c r="DC105" i="4"/>
  <c r="DC108" i="4"/>
  <c r="DC63" i="4"/>
  <c r="DC62" i="4" s="1"/>
  <c r="DO236" i="2"/>
  <c r="DP235" i="2"/>
  <c r="DD64" i="4"/>
  <c r="DP216" i="2"/>
  <c r="DQ205" i="2"/>
  <c r="DQ215" i="2"/>
  <c r="DP48" i="2"/>
  <c r="DD70" i="4" s="1"/>
  <c r="DO28" i="2"/>
  <c r="DC65" i="4" s="1"/>
  <c r="DP27" i="2"/>
  <c r="DP25" i="2"/>
  <c r="DP24" i="2"/>
  <c r="DQ22" i="2"/>
  <c r="DQ18" i="2"/>
  <c r="DQ2" i="2" s="1"/>
  <c r="DR19" i="2"/>
  <c r="DR4" i="2" l="1"/>
  <c r="DQ26" i="2"/>
  <c r="DD63" i="4"/>
  <c r="DD62" i="4" s="1"/>
  <c r="DP236" i="2"/>
  <c r="DD105" i="4"/>
  <c r="DD108" i="4"/>
  <c r="DQ235" i="2"/>
  <c r="DE64" i="4"/>
  <c r="DQ216" i="2"/>
  <c r="DR205" i="2"/>
  <c r="DR215" i="2"/>
  <c r="DQ48" i="2"/>
  <c r="DE70" i="4" s="1"/>
  <c r="DP28" i="2"/>
  <c r="DD65" i="4" s="1"/>
  <c r="DQ27" i="2"/>
  <c r="DQ24" i="2"/>
  <c r="DQ25" i="2"/>
  <c r="DR22" i="2"/>
  <c r="DR18" i="2"/>
  <c r="DR2" i="2" s="1"/>
  <c r="DS19" i="2"/>
  <c r="DS4" i="2" l="1"/>
  <c r="DR26" i="2"/>
  <c r="DE63" i="4"/>
  <c r="DE62" i="4" s="1"/>
  <c r="DQ236" i="2"/>
  <c r="DE105" i="4"/>
  <c r="DE108" i="4"/>
  <c r="DR235" i="2"/>
  <c r="DF64" i="4"/>
  <c r="DR216" i="2"/>
  <c r="DS205" i="2"/>
  <c r="DS215" i="2"/>
  <c r="DR48" i="2"/>
  <c r="DF70" i="4" s="1"/>
  <c r="DQ28" i="2"/>
  <c r="DE65" i="4" s="1"/>
  <c r="DR27" i="2"/>
  <c r="DR24" i="2"/>
  <c r="DR25" i="2"/>
  <c r="DS22" i="2"/>
  <c r="DS18" i="2"/>
  <c r="DS2" i="2" s="1"/>
  <c r="DT19" i="2"/>
  <c r="DT4" i="2" l="1"/>
  <c r="DS26" i="2"/>
  <c r="DF63" i="4"/>
  <c r="DF62" i="4" s="1"/>
  <c r="DR236" i="2"/>
  <c r="DF105" i="4"/>
  <c r="DF108" i="4"/>
  <c r="DG64" i="4"/>
  <c r="DS235" i="2"/>
  <c r="DS216" i="2"/>
  <c r="DT205" i="2"/>
  <c r="DT215" i="2"/>
  <c r="DS48" i="2"/>
  <c r="DG70" i="4" s="1"/>
  <c r="DR28" i="2"/>
  <c r="DF65" i="4" s="1"/>
  <c r="DS27" i="2"/>
  <c r="DS24" i="2"/>
  <c r="DS25" i="2"/>
  <c r="DT22" i="2"/>
  <c r="DU19" i="2"/>
  <c r="DT18" i="2"/>
  <c r="DT2" i="2" s="1"/>
  <c r="DU4" i="2" l="1"/>
  <c r="DT26" i="2"/>
  <c r="DG63" i="4"/>
  <c r="DG62" i="4" s="1"/>
  <c r="DS236" i="2"/>
  <c r="DU205" i="2"/>
  <c r="DU215" i="2"/>
  <c r="DG108" i="4"/>
  <c r="DG105" i="4"/>
  <c r="DH64" i="4"/>
  <c r="DT235" i="2"/>
  <c r="DT216" i="2"/>
  <c r="DT48" i="2"/>
  <c r="DH70" i="4" s="1"/>
  <c r="DS28" i="2"/>
  <c r="DG65" i="4" s="1"/>
  <c r="DT27" i="2"/>
  <c r="DT24" i="2"/>
  <c r="DT25" i="2"/>
  <c r="DU22" i="2"/>
  <c r="DV19" i="2"/>
  <c r="DU18" i="2"/>
  <c r="DU2" i="2" s="1"/>
  <c r="DV4" i="2" l="1"/>
  <c r="DU26" i="2"/>
  <c r="DV205" i="2"/>
  <c r="DV215" i="2"/>
  <c r="DU235" i="2"/>
  <c r="DI64" i="4"/>
  <c r="DU216" i="2"/>
  <c r="DH108" i="4"/>
  <c r="DH105" i="4"/>
  <c r="DH63" i="4"/>
  <c r="DH62" i="4" s="1"/>
  <c r="DT236" i="2"/>
  <c r="DU48" i="2"/>
  <c r="DI70" i="4" s="1"/>
  <c r="DT28" i="2"/>
  <c r="DH65" i="4" s="1"/>
  <c r="DU27" i="2"/>
  <c r="DU25" i="2"/>
  <c r="DU24" i="2"/>
  <c r="DV22" i="2"/>
  <c r="DW19" i="2"/>
  <c r="DV18" i="2"/>
  <c r="DV2" i="2" s="1"/>
  <c r="DW4" i="2" l="1"/>
  <c r="DV26" i="2"/>
  <c r="DW205" i="2"/>
  <c r="DW215" i="2"/>
  <c r="DI63" i="4"/>
  <c r="DI62" i="4" s="1"/>
  <c r="DU236" i="2"/>
  <c r="DI108" i="4"/>
  <c r="DI105" i="4"/>
  <c r="DV235" i="2"/>
  <c r="DJ64" i="4"/>
  <c r="DV216" i="2"/>
  <c r="DV48" i="2"/>
  <c r="DJ70" i="4" s="1"/>
  <c r="DV27" i="2"/>
  <c r="DV24" i="2"/>
  <c r="DV25" i="2"/>
  <c r="DU28" i="2"/>
  <c r="DI65" i="4" s="1"/>
  <c r="DW22" i="2"/>
  <c r="DW18" i="2"/>
  <c r="DW2" i="2" s="1"/>
  <c r="DX19" i="2"/>
  <c r="DX4" i="2" l="1"/>
  <c r="DW26" i="2"/>
  <c r="DJ108" i="4"/>
  <c r="DJ105" i="4"/>
  <c r="DJ63" i="4"/>
  <c r="DJ62" i="4" s="1"/>
  <c r="DV236" i="2"/>
  <c r="DW235" i="2"/>
  <c r="DK64" i="4"/>
  <c r="DW216" i="2"/>
  <c r="DX205" i="2"/>
  <c r="DX215" i="2"/>
  <c r="DW48" i="2"/>
  <c r="DK70" i="4" s="1"/>
  <c r="DV28" i="2"/>
  <c r="DJ65" i="4" s="1"/>
  <c r="DW27" i="2"/>
  <c r="DW25" i="2"/>
  <c r="DW24" i="2"/>
  <c r="DX22" i="2"/>
  <c r="DX18" i="2"/>
  <c r="DX2" i="2" s="1"/>
  <c r="DY19" i="2"/>
  <c r="DY4" i="2" l="1"/>
  <c r="DX26" i="2"/>
  <c r="DK63" i="4"/>
  <c r="DK62" i="4" s="1"/>
  <c r="DW236" i="2"/>
  <c r="DK105" i="4"/>
  <c r="DK108" i="4"/>
  <c r="DX235" i="2"/>
  <c r="DL64" i="4"/>
  <c r="DX216" i="2"/>
  <c r="DY205" i="2"/>
  <c r="DY215" i="2"/>
  <c r="DX48" i="2"/>
  <c r="DL70" i="4" s="1"/>
  <c r="DX27" i="2"/>
  <c r="DX25" i="2"/>
  <c r="DX24" i="2"/>
  <c r="DW28" i="2"/>
  <c r="DK65" i="4" s="1"/>
  <c r="DY22" i="2"/>
  <c r="DY18" i="2"/>
  <c r="DY2" i="2" s="1"/>
  <c r="DZ19" i="2"/>
  <c r="DZ4" i="2" l="1"/>
  <c r="DY26" i="2"/>
  <c r="DL63" i="4"/>
  <c r="DL62" i="4" s="1"/>
  <c r="DX236" i="2"/>
  <c r="DL105" i="4"/>
  <c r="DL108" i="4"/>
  <c r="DM64" i="4"/>
  <c r="DY235" i="2"/>
  <c r="DY216" i="2"/>
  <c r="DZ205" i="2"/>
  <c r="DZ215" i="2"/>
  <c r="DY48" i="2"/>
  <c r="DM70" i="4" s="1"/>
  <c r="DX28" i="2"/>
  <c r="DL65" i="4" s="1"/>
  <c r="DY27" i="2"/>
  <c r="DY25" i="2"/>
  <c r="DY24" i="2"/>
  <c r="DZ22" i="2"/>
  <c r="EA19" i="2"/>
  <c r="DZ18" i="2"/>
  <c r="DZ2" i="2" s="1"/>
  <c r="EA4" i="2" l="1"/>
  <c r="DZ26" i="2"/>
  <c r="DM63" i="4"/>
  <c r="DM62" i="4" s="1"/>
  <c r="DY236" i="2"/>
  <c r="DM105" i="4"/>
  <c r="DM108" i="4"/>
  <c r="EA205" i="2"/>
  <c r="EA215" i="2"/>
  <c r="DN64" i="4"/>
  <c r="DZ235" i="2"/>
  <c r="DZ216" i="2"/>
  <c r="DZ48" i="2"/>
  <c r="DN70" i="4" s="1"/>
  <c r="DY28" i="2"/>
  <c r="DM65" i="4" s="1"/>
  <c r="DZ27" i="2"/>
  <c r="DZ25" i="2"/>
  <c r="DZ24" i="2"/>
  <c r="EA22" i="2"/>
  <c r="EA18" i="2"/>
  <c r="EA2" i="2" s="1"/>
  <c r="EB19" i="2"/>
  <c r="EB4" i="2" l="1"/>
  <c r="EA26" i="2"/>
  <c r="EA235" i="2"/>
  <c r="DO64" i="4"/>
  <c r="EA216" i="2"/>
  <c r="DN105" i="4"/>
  <c r="DN108" i="4"/>
  <c r="DN63" i="4"/>
  <c r="DN62" i="4" s="1"/>
  <c r="DZ236" i="2"/>
  <c r="EB205" i="2"/>
  <c r="EB215" i="2"/>
  <c r="EA48" i="2"/>
  <c r="DO70" i="4" s="1"/>
  <c r="EA27" i="2"/>
  <c r="EA24" i="2"/>
  <c r="EA25" i="2"/>
  <c r="DZ28" i="2"/>
  <c r="DN65" i="4" s="1"/>
  <c r="EB22" i="2"/>
  <c r="EC19" i="2"/>
  <c r="EB18" i="2"/>
  <c r="EB2" i="2" s="1"/>
  <c r="EC4" i="2" l="1"/>
  <c r="EB26" i="2"/>
  <c r="EC205" i="2"/>
  <c r="EC215" i="2"/>
  <c r="DO108" i="4"/>
  <c r="DO105" i="4"/>
  <c r="DO63" i="4"/>
  <c r="DO62" i="4" s="1"/>
  <c r="EA236" i="2"/>
  <c r="EB235" i="2"/>
  <c r="DP64" i="4"/>
  <c r="EB216" i="2"/>
  <c r="EB48" i="2"/>
  <c r="DP70" i="4" s="1"/>
  <c r="EA28" i="2"/>
  <c r="DO65" i="4" s="1"/>
  <c r="EB27" i="2"/>
  <c r="EB25" i="2"/>
  <c r="EB24" i="2"/>
  <c r="EC22" i="2"/>
  <c r="ED19" i="2"/>
  <c r="EC18" i="2"/>
  <c r="EC2" i="2" s="1"/>
  <c r="ED4" i="2" l="1"/>
  <c r="EC26" i="2"/>
  <c r="ED205" i="2"/>
  <c r="ED215" i="2"/>
  <c r="DP108" i="4"/>
  <c r="DP105" i="4"/>
  <c r="DP63" i="4"/>
  <c r="DP62" i="4" s="1"/>
  <c r="EB236" i="2"/>
  <c r="DQ64" i="4"/>
  <c r="EC235" i="2"/>
  <c r="EC216" i="2"/>
  <c r="EC48" i="2"/>
  <c r="DQ70" i="4" s="1"/>
  <c r="EB28" i="2"/>
  <c r="DP65" i="4" s="1"/>
  <c r="EC27" i="2"/>
  <c r="EC25" i="2"/>
  <c r="EC24" i="2"/>
  <c r="ED22" i="2"/>
  <c r="EE19" i="2"/>
  <c r="ED18" i="2"/>
  <c r="ED2" i="2" s="1"/>
  <c r="EE4" i="2" l="1"/>
  <c r="ED26" i="2"/>
  <c r="DQ108" i="4"/>
  <c r="DQ105" i="4"/>
  <c r="EE205" i="2"/>
  <c r="EE215" i="2"/>
  <c r="ED235" i="2"/>
  <c r="DR64" i="4"/>
  <c r="ED216" i="2"/>
  <c r="DQ63" i="4"/>
  <c r="DQ62" i="4" s="1"/>
  <c r="EC236" i="2"/>
  <c r="ED48" i="2"/>
  <c r="DR70" i="4" s="1"/>
  <c r="ED27" i="2"/>
  <c r="ED24" i="2"/>
  <c r="ED25" i="2"/>
  <c r="EC28" i="2"/>
  <c r="DQ65" i="4" s="1"/>
  <c r="EE22" i="2"/>
  <c r="EE18" i="2"/>
  <c r="EE2" i="2" s="1"/>
  <c r="EF19" i="2"/>
  <c r="EF4" i="2" l="1"/>
  <c r="EE26" i="2"/>
  <c r="DR63" i="4"/>
  <c r="DR62" i="4" s="1"/>
  <c r="ED236" i="2"/>
  <c r="EE235" i="2"/>
  <c r="DS64" i="4"/>
  <c r="EE216" i="2"/>
  <c r="DR108" i="4"/>
  <c r="DR105" i="4"/>
  <c r="EF205" i="2"/>
  <c r="EF215" i="2"/>
  <c r="EE48" i="2"/>
  <c r="DS70" i="4" s="1"/>
  <c r="ED28" i="2"/>
  <c r="DR65" i="4" s="1"/>
  <c r="EE27" i="2"/>
  <c r="EE25" i="2"/>
  <c r="EE24" i="2"/>
  <c r="EF22" i="2"/>
  <c r="EF18" i="2"/>
  <c r="EF2" i="2" s="1"/>
  <c r="EG19" i="2"/>
  <c r="EG4" i="2" l="1"/>
  <c r="EF26" i="2"/>
  <c r="DS63" i="4"/>
  <c r="DS62" i="4" s="1"/>
  <c r="EE236" i="2"/>
  <c r="DS105" i="4"/>
  <c r="DS108" i="4"/>
  <c r="DT64" i="4"/>
  <c r="EF235" i="2"/>
  <c r="EF216" i="2"/>
  <c r="EG205" i="2"/>
  <c r="EG215" i="2"/>
  <c r="EF48" i="2"/>
  <c r="DT70" i="4" s="1"/>
  <c r="EE28" i="2"/>
  <c r="DS65" i="4" s="1"/>
  <c r="EF27" i="2"/>
  <c r="EF25" i="2"/>
  <c r="EF24" i="2"/>
  <c r="EG22" i="2"/>
  <c r="EG18" i="2"/>
  <c r="EG2" i="2" s="1"/>
  <c r="EH19" i="2"/>
  <c r="EH4" i="2" l="1"/>
  <c r="EG26" i="2"/>
  <c r="DT63" i="4"/>
  <c r="DT62" i="4" s="1"/>
  <c r="EF236" i="2"/>
  <c r="DT105" i="4"/>
  <c r="DT108" i="4"/>
  <c r="EG235" i="2"/>
  <c r="DU64" i="4"/>
  <c r="EG216" i="2"/>
  <c r="EH205" i="2"/>
  <c r="EH215" i="2"/>
  <c r="EG48" i="2"/>
  <c r="DU70" i="4" s="1"/>
  <c r="EG27" i="2"/>
  <c r="EG25" i="2"/>
  <c r="EG24" i="2"/>
  <c r="EF28" i="2"/>
  <c r="DT65" i="4" s="1"/>
  <c r="EH22" i="2"/>
  <c r="EH18" i="2"/>
  <c r="EH2" i="2" s="1"/>
  <c r="EI19" i="2"/>
  <c r="EI4" i="2" l="1"/>
  <c r="EH26" i="2"/>
  <c r="DU63" i="4"/>
  <c r="DU62" i="4" s="1"/>
  <c r="EG236" i="2"/>
  <c r="DU105" i="4"/>
  <c r="DU108" i="4"/>
  <c r="EH235" i="2"/>
  <c r="DV64" i="4"/>
  <c r="EH216" i="2"/>
  <c r="EI205" i="2"/>
  <c r="EI215" i="2"/>
  <c r="EH48" i="2"/>
  <c r="DV70" i="4" s="1"/>
  <c r="EH27" i="2"/>
  <c r="EH24" i="2"/>
  <c r="EH25" i="2"/>
  <c r="EG28" i="2"/>
  <c r="DU65" i="4" s="1"/>
  <c r="EI22" i="2"/>
  <c r="EI18" i="2"/>
  <c r="EI2" i="2" s="1"/>
  <c r="EJ19" i="2"/>
  <c r="EJ218" i="2" l="1"/>
  <c r="EJ229" i="2"/>
  <c r="EJ225" i="2"/>
  <c r="EJ215" i="2"/>
  <c r="EJ216" i="2" s="1"/>
  <c r="EJ4" i="2"/>
  <c r="EI26" i="2"/>
  <c r="DV63" i="4"/>
  <c r="DV62" i="4" s="1"/>
  <c r="EH236" i="2"/>
  <c r="DV105" i="4"/>
  <c r="DV108" i="4"/>
  <c r="EI235" i="2"/>
  <c r="DW64" i="4"/>
  <c r="EI216" i="2"/>
  <c r="E16" i="1" s="1"/>
  <c r="DX64" i="4"/>
  <c r="EJ226" i="2"/>
  <c r="EJ205" i="2"/>
  <c r="EJ219" i="2"/>
  <c r="EJ228" i="2"/>
  <c r="DX115" i="4" s="1"/>
  <c r="EJ224" i="2"/>
  <c r="EJ221" i="2"/>
  <c r="EJ217" i="2"/>
  <c r="EJ222" i="2"/>
  <c r="EI48" i="2"/>
  <c r="DW70" i="4" s="1"/>
  <c r="EI27" i="2"/>
  <c r="EI24" i="2"/>
  <c r="EI25" i="2"/>
  <c r="EH28" i="2"/>
  <c r="DV65" i="4" s="1"/>
  <c r="EJ22" i="2"/>
  <c r="EK19" i="2"/>
  <c r="EJ18" i="2"/>
  <c r="EJ2" i="2" s="1"/>
  <c r="EJ235" i="2" l="1"/>
  <c r="DX116" i="4"/>
  <c r="EJ231" i="2"/>
  <c r="EJ232" i="2"/>
  <c r="EK218" i="2"/>
  <c r="EK225" i="2"/>
  <c r="EK229" i="2"/>
  <c r="EK215" i="2"/>
  <c r="EK216" i="2" s="1"/>
  <c r="EK4" i="2"/>
  <c r="EJ26" i="2"/>
  <c r="DW63" i="4"/>
  <c r="DW62" i="4" s="1"/>
  <c r="EI236" i="2"/>
  <c r="DW108" i="4"/>
  <c r="DW105" i="4"/>
  <c r="DX63" i="4"/>
  <c r="DX62" i="4" s="1"/>
  <c r="EJ236" i="2"/>
  <c r="EJ249" i="2"/>
  <c r="EJ254" i="2"/>
  <c r="JT207" i="2"/>
  <c r="JT208" i="2" s="1"/>
  <c r="JT209" i="2"/>
  <c r="JT223" i="2" s="1"/>
  <c r="EJ256" i="2"/>
  <c r="EJ238" i="2"/>
  <c r="EJ251" i="2"/>
  <c r="EJ248" i="2"/>
  <c r="EJ255" i="2"/>
  <c r="EJ239" i="2"/>
  <c r="EJ237" i="2"/>
  <c r="EJ250" i="2"/>
  <c r="EK219" i="2"/>
  <c r="EK226" i="2"/>
  <c r="EK205" i="2"/>
  <c r="EK228" i="2"/>
  <c r="DY115" i="4" s="1"/>
  <c r="EK217" i="2"/>
  <c r="EK222" i="2"/>
  <c r="EK221" i="2"/>
  <c r="EK224" i="2"/>
  <c r="EJ48" i="2"/>
  <c r="DX70" i="4" s="1"/>
  <c r="EI28" i="2"/>
  <c r="DW65" i="4" s="1"/>
  <c r="EJ27" i="2"/>
  <c r="EJ24" i="2"/>
  <c r="EJ25" i="2"/>
  <c r="EK22" i="2"/>
  <c r="EL19" i="2"/>
  <c r="EK18" i="2"/>
  <c r="EK2" i="2" s="1"/>
  <c r="EK235" i="2" l="1"/>
  <c r="DY116" i="4"/>
  <c r="EK231" i="2"/>
  <c r="EK232" i="2"/>
  <c r="DY64" i="4"/>
  <c r="EL218" i="2"/>
  <c r="EL229" i="2"/>
  <c r="DZ116" i="4" s="1"/>
  <c r="EL225" i="2"/>
  <c r="EL215" i="2"/>
  <c r="EL216" i="2" s="1"/>
  <c r="EL4" i="2"/>
  <c r="JT222" i="2"/>
  <c r="JT215" i="2"/>
  <c r="EK26" i="2"/>
  <c r="DY63" i="4"/>
  <c r="DY62" i="4" s="1"/>
  <c r="EK236" i="2"/>
  <c r="DX108" i="4"/>
  <c r="DX105" i="4"/>
  <c r="EK249" i="2"/>
  <c r="EK254" i="2"/>
  <c r="JT224" i="2"/>
  <c r="JT220" i="2"/>
  <c r="JT221" i="2"/>
  <c r="JT226" i="2"/>
  <c r="JU207" i="2"/>
  <c r="JU208" i="2" s="1"/>
  <c r="JU209" i="2"/>
  <c r="JU223" i="2" s="1"/>
  <c r="JT254" i="2"/>
  <c r="JT256" i="2" s="1"/>
  <c r="JT217" i="2"/>
  <c r="JT216" i="2"/>
  <c r="JT214" i="2"/>
  <c r="JT241" i="2"/>
  <c r="JT218" i="2"/>
  <c r="JT210" i="2"/>
  <c r="JT229" i="2"/>
  <c r="EK256" i="2"/>
  <c r="EK238" i="2"/>
  <c r="EK251" i="2"/>
  <c r="EK248" i="2"/>
  <c r="EK255" i="2"/>
  <c r="EK239" i="2"/>
  <c r="EK237" i="2"/>
  <c r="EK250" i="2"/>
  <c r="EL219" i="2"/>
  <c r="EL226" i="2"/>
  <c r="EL205" i="2"/>
  <c r="EL228" i="2"/>
  <c r="DZ115" i="4" s="1"/>
  <c r="EL217" i="2"/>
  <c r="EL222" i="2"/>
  <c r="EL224" i="2"/>
  <c r="EL221" i="2"/>
  <c r="EK48" i="2"/>
  <c r="DY70" i="4" s="1"/>
  <c r="EJ28" i="2"/>
  <c r="DX65" i="4" s="1"/>
  <c r="EK27" i="2"/>
  <c r="EK24" i="2"/>
  <c r="EK25" i="2"/>
  <c r="EL22" i="2"/>
  <c r="EM19" i="2"/>
  <c r="EL18" i="2"/>
  <c r="EL2" i="2" s="1"/>
  <c r="EL231" i="2" l="1"/>
  <c r="EL232" i="2"/>
  <c r="DZ64" i="4"/>
  <c r="EL235" i="2"/>
  <c r="EM218" i="2"/>
  <c r="EM225" i="2"/>
  <c r="EM229" i="2"/>
  <c r="EM215" i="2"/>
  <c r="EA64" i="4" s="1"/>
  <c r="EM4" i="2"/>
  <c r="JU222" i="2"/>
  <c r="JU215" i="2"/>
  <c r="EL26" i="2"/>
  <c r="DZ63" i="4"/>
  <c r="DZ62" i="4" s="1"/>
  <c r="EL236" i="2"/>
  <c r="DY108" i="4"/>
  <c r="DY105" i="4"/>
  <c r="EL254" i="2"/>
  <c r="EL249" i="2"/>
  <c r="JU224" i="2"/>
  <c r="JU221" i="2"/>
  <c r="JU226" i="2"/>
  <c r="JU220" i="2"/>
  <c r="JT255" i="2"/>
  <c r="JV209" i="2"/>
  <c r="JV223" i="2" s="1"/>
  <c r="JV207" i="2"/>
  <c r="JV208" i="2" s="1"/>
  <c r="JT243" i="2"/>
  <c r="JT252" i="2"/>
  <c r="JU254" i="2"/>
  <c r="JU255" i="2" s="1"/>
  <c r="JT231" i="2"/>
  <c r="JT239" i="2"/>
  <c r="JU229" i="2"/>
  <c r="JU233" i="2" s="1"/>
  <c r="JU217" i="2"/>
  <c r="JT236" i="2"/>
  <c r="JT232" i="2"/>
  <c r="JT235" i="2"/>
  <c r="JT233" i="2"/>
  <c r="JT234" i="2"/>
  <c r="JT245" i="2"/>
  <c r="JT246" i="2"/>
  <c r="JT248" i="2"/>
  <c r="JT247" i="2"/>
  <c r="JT242" i="2"/>
  <c r="JT244" i="2"/>
  <c r="JU214" i="2"/>
  <c r="JU216" i="2"/>
  <c r="JU210" i="2"/>
  <c r="JU241" i="2"/>
  <c r="JU218" i="2"/>
  <c r="EL255" i="2"/>
  <c r="EL239" i="2"/>
  <c r="EL237" i="2"/>
  <c r="EL250" i="2"/>
  <c r="EL256" i="2"/>
  <c r="EL238" i="2"/>
  <c r="EL251" i="2"/>
  <c r="EL248" i="2"/>
  <c r="EM219" i="2"/>
  <c r="EM226" i="2"/>
  <c r="EM205" i="2"/>
  <c r="EM228" i="2"/>
  <c r="EA115" i="4" s="1"/>
  <c r="EM224" i="2"/>
  <c r="EM221" i="2"/>
  <c r="EM222" i="2"/>
  <c r="EM217" i="2"/>
  <c r="EL48" i="2"/>
  <c r="DZ70" i="4" s="1"/>
  <c r="EL27" i="2"/>
  <c r="EL24" i="2"/>
  <c r="EL25" i="2"/>
  <c r="EK28" i="2"/>
  <c r="DY65" i="4" s="1"/>
  <c r="EM22" i="2"/>
  <c r="EM18" i="2"/>
  <c r="EM2" i="2" s="1"/>
  <c r="EN19" i="2"/>
  <c r="EA116" i="4" l="1"/>
  <c r="EM231" i="2"/>
  <c r="EM232" i="2"/>
  <c r="EN218" i="2"/>
  <c r="EN229" i="2"/>
  <c r="EN225" i="2"/>
  <c r="EM216" i="2"/>
  <c r="EM236" i="2" s="1"/>
  <c r="EM235" i="2"/>
  <c r="EN215" i="2"/>
  <c r="EN235" i="2" s="1"/>
  <c r="EN4" i="2"/>
  <c r="JV222" i="2"/>
  <c r="JV215" i="2"/>
  <c r="EM26" i="2"/>
  <c r="DZ108" i="4"/>
  <c r="DZ105" i="4"/>
  <c r="EM254" i="2"/>
  <c r="EM249" i="2"/>
  <c r="JV221" i="2"/>
  <c r="JV226" i="2"/>
  <c r="JV224" i="2"/>
  <c r="JV220" i="2"/>
  <c r="JW209" i="2"/>
  <c r="JW223" i="2" s="1"/>
  <c r="JW207" i="2"/>
  <c r="JW208" i="2" s="1"/>
  <c r="JU256" i="2"/>
  <c r="JU232" i="2"/>
  <c r="JU235" i="2"/>
  <c r="JU236" i="2"/>
  <c r="JU234" i="2"/>
  <c r="JU231" i="2"/>
  <c r="JU239" i="2"/>
  <c r="JV254" i="2"/>
  <c r="JV256" i="2" s="1"/>
  <c r="JU244" i="2"/>
  <c r="JU252" i="2"/>
  <c r="JV218" i="2"/>
  <c r="JV214" i="2"/>
  <c r="JV216" i="2"/>
  <c r="JU242" i="2"/>
  <c r="JU246" i="2"/>
  <c r="JU248" i="2"/>
  <c r="JU247" i="2"/>
  <c r="JU245" i="2"/>
  <c r="JU243" i="2"/>
  <c r="JV241" i="2"/>
  <c r="JV229" i="2"/>
  <c r="JV210" i="2"/>
  <c r="JV217" i="2"/>
  <c r="EM255" i="2"/>
  <c r="EM239" i="2"/>
  <c r="EM237" i="2"/>
  <c r="EM250" i="2"/>
  <c r="EM256" i="2"/>
  <c r="EM238" i="2"/>
  <c r="EM251" i="2"/>
  <c r="EM248" i="2"/>
  <c r="EN219" i="2"/>
  <c r="EN226" i="2"/>
  <c r="EN205" i="2"/>
  <c r="EN228" i="2"/>
  <c r="EB115" i="4" s="1"/>
  <c r="EN222" i="2"/>
  <c r="EN221" i="2"/>
  <c r="EN217" i="2"/>
  <c r="EN224" i="2"/>
  <c r="EM48" i="2"/>
  <c r="EA70" i="4" s="1"/>
  <c r="EL28" i="2"/>
  <c r="DZ65" i="4" s="1"/>
  <c r="EM27" i="2"/>
  <c r="EM25" i="2"/>
  <c r="EM24" i="2"/>
  <c r="EN22" i="2"/>
  <c r="EN18" i="2"/>
  <c r="EN2" i="2" s="1"/>
  <c r="EO19" i="2"/>
  <c r="EB116" i="4" l="1"/>
  <c r="EN231" i="2"/>
  <c r="EN232" i="2"/>
  <c r="EA63" i="4"/>
  <c r="EA62" i="4" s="1"/>
  <c r="EN216" i="2"/>
  <c r="EB64" i="4"/>
  <c r="EO218" i="2"/>
  <c r="EO225" i="2"/>
  <c r="EO229" i="2"/>
  <c r="EO215" i="2"/>
  <c r="EO235" i="2" s="1"/>
  <c r="EO4" i="2"/>
  <c r="JW222" i="2"/>
  <c r="JW215" i="2"/>
  <c r="EN26" i="2"/>
  <c r="EB63" i="4"/>
  <c r="EB62" i="4" s="1"/>
  <c r="EN236" i="2"/>
  <c r="EA105" i="4"/>
  <c r="EA108" i="4"/>
  <c r="EN249" i="2"/>
  <c r="EN254" i="2"/>
  <c r="JW220" i="2"/>
  <c r="JW226" i="2"/>
  <c r="JW224" i="2"/>
  <c r="JW221" i="2"/>
  <c r="JX207" i="2"/>
  <c r="JX208" i="2" s="1"/>
  <c r="JX209" i="2"/>
  <c r="JX223" i="2" s="1"/>
  <c r="JV255" i="2"/>
  <c r="JV235" i="2"/>
  <c r="JV239" i="2"/>
  <c r="JW254" i="2"/>
  <c r="JW256" i="2" s="1"/>
  <c r="JV242" i="2"/>
  <c r="JV252" i="2"/>
  <c r="JV245" i="2"/>
  <c r="JV232" i="2"/>
  <c r="JV236" i="2"/>
  <c r="JV234" i="2"/>
  <c r="JV248" i="2"/>
  <c r="JV244" i="2"/>
  <c r="JV246" i="2"/>
  <c r="JV233" i="2"/>
  <c r="JV243" i="2"/>
  <c r="JV247" i="2"/>
  <c r="JV231" i="2"/>
  <c r="JW218" i="2"/>
  <c r="JW210" i="2"/>
  <c r="JW229" i="2"/>
  <c r="JW217" i="2"/>
  <c r="JW214" i="2"/>
  <c r="JW241" i="2"/>
  <c r="JW216" i="2"/>
  <c r="EN255" i="2"/>
  <c r="EN239" i="2"/>
  <c r="EN237" i="2"/>
  <c r="EN250" i="2"/>
  <c r="EN256" i="2"/>
  <c r="EN238" i="2"/>
  <c r="EN251" i="2"/>
  <c r="EN248" i="2"/>
  <c r="EO219" i="2"/>
  <c r="EO226" i="2"/>
  <c r="EO205" i="2"/>
  <c r="EO228" i="2"/>
  <c r="EC115" i="4" s="1"/>
  <c r="EO217" i="2"/>
  <c r="EO224" i="2"/>
  <c r="EO221" i="2"/>
  <c r="EO222" i="2"/>
  <c r="EN48" i="2"/>
  <c r="EB70" i="4" s="1"/>
  <c r="EN27" i="2"/>
  <c r="EN24" i="2"/>
  <c r="EN25" i="2"/>
  <c r="EM28" i="2"/>
  <c r="EA65" i="4" s="1"/>
  <c r="EO22" i="2"/>
  <c r="EO18" i="2"/>
  <c r="EO2" i="2" s="1"/>
  <c r="EP19" i="2"/>
  <c r="EC116" i="4" l="1"/>
  <c r="EO231" i="2"/>
  <c r="EO232" i="2"/>
  <c r="EP218" i="2"/>
  <c r="EP229" i="2"/>
  <c r="ED116" i="4" s="1"/>
  <c r="EP225" i="2"/>
  <c r="EO216" i="2"/>
  <c r="EO236" i="2" s="1"/>
  <c r="EC64" i="4"/>
  <c r="EP215" i="2"/>
  <c r="EP235" i="2" s="1"/>
  <c r="EP4" i="2"/>
  <c r="JX215" i="2"/>
  <c r="JX222" i="2"/>
  <c r="EO26" i="2"/>
  <c r="EB105" i="4"/>
  <c r="EB108" i="4"/>
  <c r="EO249" i="2"/>
  <c r="EO254" i="2"/>
  <c r="JX226" i="2"/>
  <c r="JX224" i="2"/>
  <c r="JX220" i="2"/>
  <c r="JX221" i="2"/>
  <c r="JY207" i="2"/>
  <c r="JY208" i="2" s="1"/>
  <c r="JY209" i="2"/>
  <c r="JY223" i="2" s="1"/>
  <c r="JW255" i="2"/>
  <c r="JW239" i="2"/>
  <c r="JX254" i="2"/>
  <c r="JX256" i="2" s="1"/>
  <c r="JW252" i="2"/>
  <c r="JX216" i="2"/>
  <c r="JW231" i="2"/>
  <c r="JW235" i="2"/>
  <c r="JW233" i="2"/>
  <c r="JW236" i="2"/>
  <c r="JW232" i="2"/>
  <c r="JW234" i="2"/>
  <c r="JW243" i="2"/>
  <c r="JW245" i="2"/>
  <c r="JW242" i="2"/>
  <c r="JW247" i="2"/>
  <c r="JW246" i="2"/>
  <c r="JW248" i="2"/>
  <c r="JX217" i="2"/>
  <c r="JW244" i="2"/>
  <c r="JX214" i="2"/>
  <c r="JX210" i="2"/>
  <c r="JX241" i="2"/>
  <c r="EO255" i="2"/>
  <c r="EO239" i="2"/>
  <c r="EO237" i="2"/>
  <c r="EO250" i="2"/>
  <c r="EO256" i="2"/>
  <c r="EO238" i="2"/>
  <c r="EO251" i="2"/>
  <c r="EO248" i="2"/>
  <c r="JX229" i="2"/>
  <c r="JX239" i="2" s="1"/>
  <c r="JX218" i="2"/>
  <c r="EP226" i="2"/>
  <c r="EP205" i="2"/>
  <c r="EP219" i="2"/>
  <c r="EP228" i="2"/>
  <c r="ED115" i="4" s="1"/>
  <c r="EP224" i="2"/>
  <c r="EP221" i="2"/>
  <c r="EP222" i="2"/>
  <c r="EP217" i="2"/>
  <c r="EO48" i="2"/>
  <c r="EC70" i="4" s="1"/>
  <c r="EN28" i="2"/>
  <c r="EB65" i="4" s="1"/>
  <c r="EO27" i="2"/>
  <c r="EO25" i="2"/>
  <c r="EO24" i="2"/>
  <c r="EP22" i="2"/>
  <c r="EQ19" i="2"/>
  <c r="EP18" i="2"/>
  <c r="EP2" i="2" s="1"/>
  <c r="EP232" i="2" l="1"/>
  <c r="EP231" i="2"/>
  <c r="EC63" i="4"/>
  <c r="EC62" i="4" s="1"/>
  <c r="EP216" i="2"/>
  <c r="ED63" i="4" s="1"/>
  <c r="ED62" i="4" s="1"/>
  <c r="EQ218" i="2"/>
  <c r="EQ229" i="2"/>
  <c r="EQ225" i="2"/>
  <c r="ED64" i="4"/>
  <c r="EQ215" i="2"/>
  <c r="EE64" i="4" s="1"/>
  <c r="EQ4" i="2"/>
  <c r="JY222" i="2"/>
  <c r="JY215" i="2"/>
  <c r="EP26" i="2"/>
  <c r="EC105" i="4"/>
  <c r="EC108" i="4"/>
  <c r="EP249" i="2"/>
  <c r="EP254" i="2"/>
  <c r="JY221" i="2"/>
  <c r="JY224" i="2"/>
  <c r="JY226" i="2"/>
  <c r="JY220" i="2"/>
  <c r="JZ209" i="2"/>
  <c r="JZ223" i="2" s="1"/>
  <c r="JZ207" i="2"/>
  <c r="JZ208" i="2" s="1"/>
  <c r="JX255" i="2"/>
  <c r="JX252" i="2"/>
  <c r="JY254" i="2"/>
  <c r="JY256" i="2" s="1"/>
  <c r="JX242" i="2"/>
  <c r="JY218" i="2"/>
  <c r="JX248" i="2"/>
  <c r="JY214" i="2"/>
  <c r="JX243" i="2"/>
  <c r="JX244" i="2"/>
  <c r="JX246" i="2"/>
  <c r="JY210" i="2"/>
  <c r="JX234" i="2"/>
  <c r="JX245" i="2"/>
  <c r="JX232" i="2"/>
  <c r="JX247" i="2"/>
  <c r="JX236" i="2"/>
  <c r="JY217" i="2"/>
  <c r="EP256" i="2"/>
  <c r="EP238" i="2"/>
  <c r="EP251" i="2"/>
  <c r="EP248" i="2"/>
  <c r="EP255" i="2"/>
  <c r="EP239" i="2"/>
  <c r="EP237" i="2"/>
  <c r="EP250" i="2"/>
  <c r="JX231" i="2"/>
  <c r="JY241" i="2"/>
  <c r="JX235" i="2"/>
  <c r="JY229" i="2"/>
  <c r="JY216" i="2"/>
  <c r="JX233" i="2"/>
  <c r="EQ226" i="2"/>
  <c r="EQ205" i="2"/>
  <c r="EQ219" i="2"/>
  <c r="EQ228" i="2"/>
  <c r="EE115" i="4" s="1"/>
  <c r="EQ222" i="2"/>
  <c r="EQ224" i="2"/>
  <c r="EQ221" i="2"/>
  <c r="EQ217" i="2"/>
  <c r="EP48" i="2"/>
  <c r="ED70" i="4" s="1"/>
  <c r="EO28" i="2"/>
  <c r="EC65" i="4" s="1"/>
  <c r="EP27" i="2"/>
  <c r="EP24" i="2"/>
  <c r="EP25" i="2"/>
  <c r="EQ22" i="2"/>
  <c r="EQ18" i="2"/>
  <c r="EQ2" i="2" s="1"/>
  <c r="ER19" i="2"/>
  <c r="EP236" i="2" l="1"/>
  <c r="EE116" i="4"/>
  <c r="EQ232" i="2"/>
  <c r="EQ231" i="2"/>
  <c r="EQ216" i="2"/>
  <c r="ER218" i="2"/>
  <c r="ER229" i="2"/>
  <c r="EF116" i="4" s="1"/>
  <c r="ER225" i="2"/>
  <c r="EQ235" i="2"/>
  <c r="ER215" i="2"/>
  <c r="ER235" i="2" s="1"/>
  <c r="ER4" i="2"/>
  <c r="JZ222" i="2"/>
  <c r="JZ215" i="2"/>
  <c r="EQ26" i="2"/>
  <c r="EE63" i="4"/>
  <c r="EE62" i="4" s="1"/>
  <c r="EQ236" i="2"/>
  <c r="ED105" i="4"/>
  <c r="ED108" i="4"/>
  <c r="EQ249" i="2"/>
  <c r="EQ254" i="2"/>
  <c r="JZ226" i="2"/>
  <c r="JZ224" i="2"/>
  <c r="JZ220" i="2"/>
  <c r="JZ221" i="2"/>
  <c r="KA209" i="2"/>
  <c r="KA223" i="2" s="1"/>
  <c r="KA207" i="2"/>
  <c r="KA208" i="2" s="1"/>
  <c r="JY255" i="2"/>
  <c r="JY236" i="2"/>
  <c r="JY239" i="2"/>
  <c r="JZ254" i="2"/>
  <c r="JZ255" i="2" s="1"/>
  <c r="JY246" i="2"/>
  <c r="JY252" i="2"/>
  <c r="JZ216" i="2"/>
  <c r="JZ214" i="2"/>
  <c r="JY235" i="2"/>
  <c r="JZ217" i="2"/>
  <c r="JY248" i="2"/>
  <c r="JY233" i="2"/>
  <c r="JY234" i="2"/>
  <c r="JY247" i="2"/>
  <c r="JY232" i="2"/>
  <c r="JZ218" i="2"/>
  <c r="JZ241" i="2"/>
  <c r="JZ210" i="2"/>
  <c r="JZ229" i="2"/>
  <c r="JY243" i="2"/>
  <c r="JY242" i="2"/>
  <c r="JY244" i="2"/>
  <c r="JY245" i="2"/>
  <c r="EQ238" i="2"/>
  <c r="EQ248" i="2"/>
  <c r="EQ256" i="2"/>
  <c r="EQ251" i="2"/>
  <c r="EQ255" i="2"/>
  <c r="EQ239" i="2"/>
  <c r="EQ237" i="2"/>
  <c r="EQ250" i="2"/>
  <c r="JY231" i="2"/>
  <c r="ER226" i="2"/>
  <c r="ER205" i="2"/>
  <c r="ER219" i="2"/>
  <c r="ER228" i="2"/>
  <c r="EF115" i="4" s="1"/>
  <c r="ER224" i="2"/>
  <c r="ER221" i="2"/>
  <c r="ER217" i="2"/>
  <c r="ER222" i="2"/>
  <c r="EQ48" i="2"/>
  <c r="EE70" i="4" s="1"/>
  <c r="EQ27" i="2"/>
  <c r="EQ25" i="2"/>
  <c r="EQ24" i="2"/>
  <c r="EP28" i="2"/>
  <c r="ED65" i="4" s="1"/>
  <c r="ER22" i="2"/>
  <c r="ES19" i="2"/>
  <c r="ER18" i="2"/>
  <c r="ER2" i="2" s="1"/>
  <c r="ER232" i="2" l="1"/>
  <c r="ER231" i="2"/>
  <c r="ES218" i="2"/>
  <c r="ES229" i="2"/>
  <c r="EG116" i="4" s="1"/>
  <c r="ES225" i="2"/>
  <c r="ER216" i="2"/>
  <c r="EF63" i="4" s="1"/>
  <c r="EF62" i="4" s="1"/>
  <c r="EF64" i="4"/>
  <c r="ES215" i="2"/>
  <c r="ES235" i="2" s="1"/>
  <c r="ES4" i="2"/>
  <c r="KA222" i="2"/>
  <c r="KA215" i="2"/>
  <c r="ER26" i="2"/>
  <c r="EE108" i="4"/>
  <c r="EE105" i="4"/>
  <c r="ER249" i="2"/>
  <c r="ER254" i="2"/>
  <c r="KA226" i="2"/>
  <c r="KA220" i="2"/>
  <c r="KA224" i="2"/>
  <c r="KA221" i="2"/>
  <c r="KB207" i="2"/>
  <c r="KB208" i="2" s="1"/>
  <c r="KB209" i="2"/>
  <c r="KB223" i="2" s="1"/>
  <c r="JZ256" i="2"/>
  <c r="JZ231" i="2"/>
  <c r="JZ239" i="2"/>
  <c r="JZ247" i="2"/>
  <c r="JZ252" i="2"/>
  <c r="KA254" i="2"/>
  <c r="KA256" i="2" s="1"/>
  <c r="JZ242" i="2"/>
  <c r="JZ243" i="2"/>
  <c r="JZ233" i="2"/>
  <c r="JZ235" i="2"/>
  <c r="JZ232" i="2"/>
  <c r="JZ244" i="2"/>
  <c r="JZ246" i="2"/>
  <c r="JZ245" i="2"/>
  <c r="KA218" i="2"/>
  <c r="KA210" i="2"/>
  <c r="KA217" i="2"/>
  <c r="JZ234" i="2"/>
  <c r="KA214" i="2"/>
  <c r="KA216" i="2"/>
  <c r="KA229" i="2"/>
  <c r="JZ248" i="2"/>
  <c r="KA241" i="2"/>
  <c r="JZ236" i="2"/>
  <c r="ER256" i="2"/>
  <c r="ER238" i="2"/>
  <c r="ER251" i="2"/>
  <c r="ER248" i="2"/>
  <c r="ER255" i="2"/>
  <c r="ER239" i="2"/>
  <c r="ER237" i="2"/>
  <c r="ER250" i="2"/>
  <c r="ES205" i="2"/>
  <c r="ES219" i="2"/>
  <c r="ES226" i="2"/>
  <c r="ES228" i="2"/>
  <c r="EG115" i="4" s="1"/>
  <c r="ES217" i="2"/>
  <c r="ES222" i="2"/>
  <c r="ES221" i="2"/>
  <c r="ES224" i="2"/>
  <c r="ER48" i="2"/>
  <c r="EF70" i="4" s="1"/>
  <c r="ER27" i="2"/>
  <c r="ER25" i="2"/>
  <c r="ER24" i="2"/>
  <c r="EQ28" i="2"/>
  <c r="EE65" i="4" s="1"/>
  <c r="ES22" i="2"/>
  <c r="ET19" i="2"/>
  <c r="ES18" i="2"/>
  <c r="ES2" i="2" s="1"/>
  <c r="ER236" i="2" l="1"/>
  <c r="ES232" i="2"/>
  <c r="ES231" i="2"/>
  <c r="EG64" i="4"/>
  <c r="ET218" i="2"/>
  <c r="ET229" i="2"/>
  <c r="ET225" i="2"/>
  <c r="ES216" i="2"/>
  <c r="ES236" i="2" s="1"/>
  <c r="ET215" i="2"/>
  <c r="EH64" i="4" s="1"/>
  <c r="ET4" i="2"/>
  <c r="KB222" i="2"/>
  <c r="KB215" i="2"/>
  <c r="ES26" i="2"/>
  <c r="EF108" i="4"/>
  <c r="EF105" i="4"/>
  <c r="ES249" i="2"/>
  <c r="ES254" i="2"/>
  <c r="KB224" i="2"/>
  <c r="KB220" i="2"/>
  <c r="KB221" i="2"/>
  <c r="KB226" i="2"/>
  <c r="KC207" i="2"/>
  <c r="KC208" i="2" s="1"/>
  <c r="KC209" i="2"/>
  <c r="KC223" i="2" s="1"/>
  <c r="KA255" i="2"/>
  <c r="KA231" i="2"/>
  <c r="KA239" i="2"/>
  <c r="KB254" i="2"/>
  <c r="KB256" i="2" s="1"/>
  <c r="KA252" i="2"/>
  <c r="KB216" i="2"/>
  <c r="KA232" i="2"/>
  <c r="KB210" i="2"/>
  <c r="KA236" i="2"/>
  <c r="KA233" i="2"/>
  <c r="KA247" i="2"/>
  <c r="KA244" i="2"/>
  <c r="KA246" i="2"/>
  <c r="KA242" i="2"/>
  <c r="KA234" i="2"/>
  <c r="KA243" i="2"/>
  <c r="KA248" i="2"/>
  <c r="KB217" i="2"/>
  <c r="KA235" i="2"/>
  <c r="KA245" i="2"/>
  <c r="KB241" i="2"/>
  <c r="KB214" i="2"/>
  <c r="KB229" i="2"/>
  <c r="KB218" i="2"/>
  <c r="ES256" i="2"/>
  <c r="ES238" i="2"/>
  <c r="ES251" i="2"/>
  <c r="ES248" i="2"/>
  <c r="ES255" i="2"/>
  <c r="ES239" i="2"/>
  <c r="ES237" i="2"/>
  <c r="ES250" i="2"/>
  <c r="ET219" i="2"/>
  <c r="ET226" i="2"/>
  <c r="ET205" i="2"/>
  <c r="ET228" i="2"/>
  <c r="EH115" i="4" s="1"/>
  <c r="ET217" i="2"/>
  <c r="ET222" i="2"/>
  <c r="ET224" i="2"/>
  <c r="ET221" i="2"/>
  <c r="ES48" i="2"/>
  <c r="EG70" i="4" s="1"/>
  <c r="ES27" i="2"/>
  <c r="ES25" i="2"/>
  <c r="ES24" i="2"/>
  <c r="ER28" i="2"/>
  <c r="EF65" i="4" s="1"/>
  <c r="ET22" i="2"/>
  <c r="EU19" i="2"/>
  <c r="ET18" i="2"/>
  <c r="ET2" i="2" s="1"/>
  <c r="EG63" i="4" l="1"/>
  <c r="EG62" i="4" s="1"/>
  <c r="EH116" i="4"/>
  <c r="ET231" i="2"/>
  <c r="ET232" i="2"/>
  <c r="ET216" i="2"/>
  <c r="ET236" i="2" s="1"/>
  <c r="EU218" i="2"/>
  <c r="EU225" i="2"/>
  <c r="EU229" i="2"/>
  <c r="EI116" i="4" s="1"/>
  <c r="ET235" i="2"/>
  <c r="EU215" i="2"/>
  <c r="EI64" i="4" s="1"/>
  <c r="EU4" i="2"/>
  <c r="KC222" i="2"/>
  <c r="KC215" i="2"/>
  <c r="ET26" i="2"/>
  <c r="EG108" i="4"/>
  <c r="EG105" i="4"/>
  <c r="ET254" i="2"/>
  <c r="ET249" i="2"/>
  <c r="KC224" i="2"/>
  <c r="KC221" i="2"/>
  <c r="KC220" i="2"/>
  <c r="KC226" i="2"/>
  <c r="KD209" i="2"/>
  <c r="KD223" i="2" s="1"/>
  <c r="KD207" i="2"/>
  <c r="KD208" i="2" s="1"/>
  <c r="KB255" i="2"/>
  <c r="KB233" i="2"/>
  <c r="KB239" i="2"/>
  <c r="KC254" i="2"/>
  <c r="KC255" i="2" s="1"/>
  <c r="KB244" i="2"/>
  <c r="KB252" i="2"/>
  <c r="KB242" i="2"/>
  <c r="KB243" i="2"/>
  <c r="KB247" i="2"/>
  <c r="KB232" i="2"/>
  <c r="KB236" i="2"/>
  <c r="KB234" i="2"/>
  <c r="KB245" i="2"/>
  <c r="KB246" i="2"/>
  <c r="KC214" i="2"/>
  <c r="KC217" i="2"/>
  <c r="KC241" i="2"/>
  <c r="KC229" i="2"/>
  <c r="KB231" i="2"/>
  <c r="KC216" i="2"/>
  <c r="KC218" i="2"/>
  <c r="KC210" i="2"/>
  <c r="KB248" i="2"/>
  <c r="KB235" i="2"/>
  <c r="ET255" i="2"/>
  <c r="ET239" i="2"/>
  <c r="ET237" i="2"/>
  <c r="ET250" i="2"/>
  <c r="ET256" i="2"/>
  <c r="ET238" i="2"/>
  <c r="ET251" i="2"/>
  <c r="ET248" i="2"/>
  <c r="EU219" i="2"/>
  <c r="EU226" i="2"/>
  <c r="EU205" i="2"/>
  <c r="EU228" i="2"/>
  <c r="EI115" i="4" s="1"/>
  <c r="EU18" i="2"/>
  <c r="EU2" i="2" s="1"/>
  <c r="EU224" i="2"/>
  <c r="EU221" i="2"/>
  <c r="EU222" i="2"/>
  <c r="EU217" i="2"/>
  <c r="ET48" i="2"/>
  <c r="EH70" i="4" s="1"/>
  <c r="ES28" i="2"/>
  <c r="EG65" i="4" s="1"/>
  <c r="ET27" i="2"/>
  <c r="ET25" i="2"/>
  <c r="ET24" i="2"/>
  <c r="EU22" i="2"/>
  <c r="EH63" i="4" l="1"/>
  <c r="EH62" i="4" s="1"/>
  <c r="EU231" i="2"/>
  <c r="EU232" i="2"/>
  <c r="EU216" i="2"/>
  <c r="EI63" i="4" s="1"/>
  <c r="EI62" i="4" s="1"/>
  <c r="EU235" i="2"/>
  <c r="KD222" i="2"/>
  <c r="KD215" i="2"/>
  <c r="EU26" i="2"/>
  <c r="R26" i="2" s="1"/>
  <c r="EH108" i="4"/>
  <c r="EH105" i="4"/>
  <c r="EU254" i="2"/>
  <c r="EU249" i="2"/>
  <c r="KD221" i="2"/>
  <c r="KD226" i="2"/>
  <c r="KD224" i="2"/>
  <c r="KD220" i="2"/>
  <c r="KE209" i="2"/>
  <c r="KE223" i="2" s="1"/>
  <c r="KE207" i="2"/>
  <c r="KE208" i="2" s="1"/>
  <c r="KC256" i="2"/>
  <c r="KC235" i="2"/>
  <c r="KC239" i="2"/>
  <c r="KC246" i="2"/>
  <c r="KC252" i="2"/>
  <c r="KD254" i="2"/>
  <c r="KD256" i="2" s="1"/>
  <c r="KC243" i="2"/>
  <c r="KC247" i="2"/>
  <c r="KC242" i="2"/>
  <c r="KC245" i="2"/>
  <c r="KD217" i="2"/>
  <c r="KD216" i="2"/>
  <c r="KC234" i="2"/>
  <c r="KC233" i="2"/>
  <c r="KD241" i="2"/>
  <c r="KC244" i="2"/>
  <c r="KC248" i="2"/>
  <c r="KC231" i="2"/>
  <c r="KD210" i="2"/>
  <c r="KD229" i="2"/>
  <c r="KC232" i="2"/>
  <c r="KC236" i="2"/>
  <c r="KD218" i="2"/>
  <c r="EU255" i="2"/>
  <c r="EU239" i="2"/>
  <c r="EU237" i="2"/>
  <c r="EU250" i="2"/>
  <c r="EU256" i="2"/>
  <c r="EU238" i="2"/>
  <c r="EU251" i="2"/>
  <c r="EU248" i="2"/>
  <c r="KD214" i="2"/>
  <c r="EU48" i="2"/>
  <c r="EU27" i="2"/>
  <c r="R27" i="2" s="1"/>
  <c r="EU25" i="2"/>
  <c r="R25" i="2" s="1"/>
  <c r="EU24" i="2"/>
  <c r="R24" i="2" s="1"/>
  <c r="ET28" i="2"/>
  <c r="EH65" i="4" s="1"/>
  <c r="EU236" i="2" l="1"/>
  <c r="KE222" i="2"/>
  <c r="KE215" i="2"/>
  <c r="R48" i="2"/>
  <c r="EI70" i="4"/>
  <c r="G29" i="4"/>
  <c r="G30" i="4"/>
  <c r="G28" i="4"/>
  <c r="G42" i="4"/>
  <c r="G34" i="4"/>
  <c r="G32" i="4"/>
  <c r="G36" i="4"/>
  <c r="G8" i="4"/>
  <c r="G22" i="4"/>
  <c r="G35" i="4"/>
  <c r="H5" i="4"/>
  <c r="G33" i="4"/>
  <c r="G31" i="4"/>
  <c r="G37" i="4"/>
  <c r="G51" i="4"/>
  <c r="G48" i="4"/>
  <c r="G13" i="4"/>
  <c r="G24" i="4"/>
  <c r="G21" i="4"/>
  <c r="KE220" i="2"/>
  <c r="KE226" i="2"/>
  <c r="KE221" i="2"/>
  <c r="KE224" i="2"/>
  <c r="KD255" i="2"/>
  <c r="KD231" i="2"/>
  <c r="KD239" i="2"/>
  <c r="KE254" i="2"/>
  <c r="KE256" i="2" s="1"/>
  <c r="KD243" i="2"/>
  <c r="KD252" i="2"/>
  <c r="KD235" i="2"/>
  <c r="KD247" i="2"/>
  <c r="KD244" i="2"/>
  <c r="KD234" i="2"/>
  <c r="KE214" i="2"/>
  <c r="KE218" i="2"/>
  <c r="KD248" i="2"/>
  <c r="KD246" i="2"/>
  <c r="KD242" i="2"/>
  <c r="KD232" i="2"/>
  <c r="KD236" i="2"/>
  <c r="KE229" i="2"/>
  <c r="KD245" i="2"/>
  <c r="KE216" i="2"/>
  <c r="KD233" i="2"/>
  <c r="KE217" i="2"/>
  <c r="KE210" i="2"/>
  <c r="KE241" i="2"/>
  <c r="EU28" i="2"/>
  <c r="J42" i="2"/>
  <c r="I42" i="2"/>
  <c r="EW42" i="2"/>
  <c r="JM42" i="2" s="1"/>
  <c r="G23" i="4" l="1"/>
  <c r="G25" i="4" s="1"/>
  <c r="I5" i="4"/>
  <c r="H6" i="4" s="1"/>
  <c r="H13" i="4"/>
  <c r="H51" i="4"/>
  <c r="H48" i="4"/>
  <c r="H8" i="4"/>
  <c r="G38" i="4"/>
  <c r="R28" i="2"/>
  <c r="EI65" i="4"/>
  <c r="EI105" i="4"/>
  <c r="EI108" i="4"/>
  <c r="KE255" i="2"/>
  <c r="KE231" i="2"/>
  <c r="KE239" i="2"/>
  <c r="KE244" i="2"/>
  <c r="KE252" i="2"/>
  <c r="KE234" i="2"/>
  <c r="KE232" i="2"/>
  <c r="KE236" i="2"/>
  <c r="KE233" i="2"/>
  <c r="KE235" i="2"/>
  <c r="KE243" i="2"/>
  <c r="KE247" i="2"/>
  <c r="KE248" i="2"/>
  <c r="KE242" i="2"/>
  <c r="KE246" i="2"/>
  <c r="KE245" i="2"/>
  <c r="K44" i="2"/>
  <c r="KE42" i="2"/>
  <c r="JU42" i="2"/>
  <c r="JW42" i="2"/>
  <c r="FC42" i="2"/>
  <c r="KB42" i="2"/>
  <c r="JR42" i="2"/>
  <c r="JB42" i="2"/>
  <c r="IS42" i="2"/>
  <c r="JZ42" i="2"/>
  <c r="JH42" i="2"/>
  <c r="JS42" i="2"/>
  <c r="IT42" i="2"/>
  <c r="IY42" i="2"/>
  <c r="KC42" i="2"/>
  <c r="JQ42" i="2"/>
  <c r="JC42" i="2"/>
  <c r="FD42" i="2"/>
  <c r="FG42" i="2"/>
  <c r="FJ42" i="2"/>
  <c r="FE42" i="2"/>
  <c r="FQ42" i="2"/>
  <c r="FR42" i="2"/>
  <c r="FI42" i="2"/>
  <c r="FW42" i="2"/>
  <c r="GC42" i="2"/>
  <c r="GD42" i="2"/>
  <c r="FO42" i="2"/>
  <c r="FH42" i="2"/>
  <c r="GM42" i="2"/>
  <c r="GS42" i="2"/>
  <c r="GW42" i="2"/>
  <c r="HD42" i="2"/>
  <c r="GP42" i="2"/>
  <c r="GX42" i="2"/>
  <c r="FL42" i="2"/>
  <c r="GE42" i="2"/>
  <c r="FZ42" i="2"/>
  <c r="GA42" i="2"/>
  <c r="HJ42" i="2"/>
  <c r="FT42" i="2"/>
  <c r="FK42" i="2"/>
  <c r="HC42" i="2"/>
  <c r="FV42" i="2"/>
  <c r="FF42" i="2"/>
  <c r="GG42" i="2"/>
  <c r="FN42" i="2"/>
  <c r="GF42" i="2"/>
  <c r="GK42" i="2"/>
  <c r="GO42" i="2"/>
  <c r="FP42" i="2"/>
  <c r="FU42" i="2"/>
  <c r="GY42" i="2"/>
  <c r="GV42" i="2"/>
  <c r="FM42" i="2"/>
  <c r="FS42" i="2"/>
  <c r="FX42" i="2"/>
  <c r="GQ42" i="2"/>
  <c r="GI42" i="2"/>
  <c r="GJ42" i="2"/>
  <c r="HN42" i="2"/>
  <c r="HR42" i="2"/>
  <c r="HS42" i="2"/>
  <c r="HT42" i="2"/>
  <c r="HV42" i="2"/>
  <c r="HY42" i="2"/>
  <c r="HO42" i="2"/>
  <c r="GL42" i="2"/>
  <c r="HI42" i="2"/>
  <c r="HE42" i="2"/>
  <c r="HW42" i="2"/>
  <c r="GZ42" i="2"/>
  <c r="FY42" i="2"/>
  <c r="GR42" i="2"/>
  <c r="GB42" i="2"/>
  <c r="HF42" i="2"/>
  <c r="HP42" i="2"/>
  <c r="HQ42" i="2"/>
  <c r="HZ42" i="2"/>
  <c r="IJ42" i="2"/>
  <c r="GT42" i="2"/>
  <c r="HX42" i="2"/>
  <c r="HU42" i="2"/>
  <c r="ID42" i="2"/>
  <c r="GN42" i="2"/>
  <c r="HL42" i="2"/>
  <c r="HG42" i="2"/>
  <c r="IG42" i="2"/>
  <c r="II42" i="2"/>
  <c r="HB42" i="2"/>
  <c r="GH42" i="2"/>
  <c r="GU42" i="2"/>
  <c r="HK42" i="2"/>
  <c r="HH42" i="2"/>
  <c r="HM42" i="2"/>
  <c r="HA42" i="2"/>
  <c r="IO42" i="2"/>
  <c r="IC42" i="2"/>
  <c r="JO42" i="2"/>
  <c r="JG42" i="2"/>
  <c r="JA42" i="2"/>
  <c r="IL42" i="2"/>
  <c r="IX42" i="2"/>
  <c r="JD42" i="2"/>
  <c r="JF42" i="2"/>
  <c r="IZ42" i="2"/>
  <c r="IN42" i="2"/>
  <c r="JE42" i="2"/>
  <c r="JL42" i="2"/>
  <c r="JK42" i="2"/>
  <c r="JV42" i="2"/>
  <c r="IF42" i="2"/>
  <c r="IA42" i="2"/>
  <c r="IW42" i="2"/>
  <c r="JJ42" i="2"/>
  <c r="JT42" i="2"/>
  <c r="IP42" i="2"/>
  <c r="IK42" i="2"/>
  <c r="IV42" i="2"/>
  <c r="JP42" i="2"/>
  <c r="IH42" i="2"/>
  <c r="IE42" i="2"/>
  <c r="IM42" i="2"/>
  <c r="IQ42" i="2"/>
  <c r="JN42" i="2"/>
  <c r="IU42" i="2"/>
  <c r="KD42" i="2"/>
  <c r="JX42" i="2"/>
  <c r="IB42" i="2"/>
  <c r="IR42" i="2"/>
  <c r="KA42" i="2"/>
  <c r="JY42" i="2"/>
  <c r="JI42" i="2"/>
  <c r="J43" i="2"/>
  <c r="J44" i="2" s="1"/>
  <c r="J46" i="2" s="1"/>
  <c r="J49" i="2" s="1"/>
  <c r="C43" i="2"/>
  <c r="I43" i="2"/>
  <c r="I44" i="2" s="1"/>
  <c r="I46" i="2" s="1"/>
  <c r="I49" i="2" s="1"/>
  <c r="G40" i="4" l="1"/>
  <c r="G44" i="4" s="1"/>
  <c r="G52" i="4" s="1"/>
  <c r="H4" i="4"/>
  <c r="J5" i="4"/>
  <c r="I6" i="4" s="1"/>
  <c r="I4" i="4" s="1"/>
  <c r="I13" i="4"/>
  <c r="I48" i="4"/>
  <c r="I8" i="4"/>
  <c r="I51" i="4"/>
  <c r="K32" i="1"/>
  <c r="J32" i="1" s="1"/>
  <c r="K46" i="2"/>
  <c r="K55" i="2"/>
  <c r="J51" i="4" l="1"/>
  <c r="J13" i="4"/>
  <c r="J48" i="4"/>
  <c r="J8" i="4"/>
  <c r="K5" i="4"/>
  <c r="J6" i="4" s="1"/>
  <c r="J4" i="4" s="1"/>
  <c r="I32" i="1"/>
  <c r="J55" i="2"/>
  <c r="I55" i="2"/>
  <c r="FD73" i="2"/>
  <c r="K8" i="4" l="1"/>
  <c r="K13" i="4"/>
  <c r="K51" i="4"/>
  <c r="L5" i="4"/>
  <c r="K6" i="4" s="1"/>
  <c r="K4" i="4" s="1"/>
  <c r="K48" i="4"/>
  <c r="FE73" i="2"/>
  <c r="L48" i="4" l="1"/>
  <c r="M5" i="4"/>
  <c r="L6" i="4" s="1"/>
  <c r="L4" i="4" s="1"/>
  <c r="L13" i="4"/>
  <c r="L8" i="4"/>
  <c r="L51" i="4"/>
  <c r="FF73" i="2"/>
  <c r="M51" i="4" l="1"/>
  <c r="M48" i="4"/>
  <c r="N5" i="4"/>
  <c r="M6" i="4" s="1"/>
  <c r="M4" i="4" s="1"/>
  <c r="M13" i="4"/>
  <c r="M8" i="4"/>
  <c r="FG73" i="2"/>
  <c r="N51" i="4" l="1"/>
  <c r="N48" i="4"/>
  <c r="N8" i="4"/>
  <c r="O5" i="4"/>
  <c r="N6" i="4" s="1"/>
  <c r="N4" i="4" s="1"/>
  <c r="N13" i="4"/>
  <c r="FH73" i="2"/>
  <c r="O13" i="4" l="1"/>
  <c r="P5" i="4"/>
  <c r="O6" i="4" s="1"/>
  <c r="O4" i="4" s="1"/>
  <c r="O51" i="4"/>
  <c r="O8" i="4"/>
  <c r="O48" i="4"/>
  <c r="FI73" i="2"/>
  <c r="P8" i="4" l="1"/>
  <c r="P13" i="4"/>
  <c r="Q5" i="4"/>
  <c r="P6" i="4" s="1"/>
  <c r="P4" i="4" s="1"/>
  <c r="P51" i="4"/>
  <c r="P48" i="4"/>
  <c r="FJ73" i="2"/>
  <c r="Q48" i="4" l="1"/>
  <c r="Q8" i="4"/>
  <c r="R5" i="4"/>
  <c r="Q6" i="4" s="1"/>
  <c r="Q4" i="4" s="1"/>
  <c r="Q13" i="4"/>
  <c r="Q51" i="4"/>
  <c r="FK73" i="2"/>
  <c r="R50" i="4" l="1"/>
  <c r="R24" i="4"/>
  <c r="R29" i="4"/>
  <c r="R47" i="4"/>
  <c r="R13" i="4"/>
  <c r="R52" i="4"/>
  <c r="R56" i="4"/>
  <c r="R55" i="4"/>
  <c r="R58" i="4"/>
  <c r="R42" i="4"/>
  <c r="R22" i="4"/>
  <c r="R21" i="4"/>
  <c r="R25" i="4"/>
  <c r="R38" i="4"/>
  <c r="R40" i="4"/>
  <c r="R15" i="4"/>
  <c r="R18" i="4" s="1"/>
  <c r="R54" i="4"/>
  <c r="R17" i="4"/>
  <c r="R36" i="4"/>
  <c r="R9" i="4"/>
  <c r="R59" i="4"/>
  <c r="R37" i="4"/>
  <c r="R10" i="4"/>
  <c r="R34" i="4"/>
  <c r="R4" i="4"/>
  <c r="R44" i="4"/>
  <c r="R35" i="4"/>
  <c r="R8" i="4"/>
  <c r="R32" i="4"/>
  <c r="R6" i="4"/>
  <c r="R51" i="4"/>
  <c r="R33" i="4"/>
  <c r="R11" i="4"/>
  <c r="R30" i="4"/>
  <c r="R48" i="4"/>
  <c r="R31" i="4"/>
  <c r="R23" i="4"/>
  <c r="R28" i="4"/>
  <c r="FL73" i="2"/>
  <c r="FM73" i="2" l="1"/>
  <c r="FN73" i="2" l="1"/>
  <c r="FO73" i="2" l="1"/>
  <c r="FP73" i="2" l="1"/>
  <c r="FQ73" i="2" l="1"/>
  <c r="FR73" i="2" l="1"/>
  <c r="FS73" i="2" l="1"/>
  <c r="FT73" i="2" l="1"/>
  <c r="FU73" i="2" l="1"/>
  <c r="FV73" i="2" l="1"/>
  <c r="FW73" i="2" l="1"/>
  <c r="FX73" i="2" l="1"/>
  <c r="FY73" i="2" l="1"/>
  <c r="FZ73" i="2" l="1"/>
  <c r="GA73" i="2" l="1"/>
  <c r="GB73" i="2" l="1"/>
  <c r="GC73" i="2" l="1"/>
  <c r="GD73" i="2" l="1"/>
  <c r="GE73" i="2" l="1"/>
  <c r="GF73" i="2" l="1"/>
  <c r="GG73" i="2" l="1"/>
  <c r="GH73" i="2" l="1"/>
  <c r="GI73" i="2" l="1"/>
  <c r="GJ73" i="2" l="1"/>
  <c r="GK73" i="2" l="1"/>
  <c r="GL73" i="2" l="1"/>
  <c r="GM73" i="2" l="1"/>
  <c r="GN73" i="2" l="1"/>
  <c r="GO73" i="2" l="1"/>
  <c r="GP73" i="2" l="1"/>
  <c r="GQ73" i="2" l="1"/>
  <c r="GR73" i="2" l="1"/>
  <c r="GS73" i="2" l="1"/>
  <c r="GT73" i="2" l="1"/>
  <c r="GU73" i="2" l="1"/>
  <c r="GV73" i="2" l="1"/>
  <c r="GW73" i="2" l="1"/>
  <c r="GX73" i="2" l="1"/>
  <c r="GY73" i="2" l="1"/>
  <c r="GZ73" i="2" l="1"/>
  <c r="HA73" i="2" l="1"/>
  <c r="HB73" i="2" l="1"/>
  <c r="HC73" i="2" l="1"/>
  <c r="HD73" i="2" l="1"/>
  <c r="HE73" i="2" l="1"/>
  <c r="HF73" i="2" l="1"/>
  <c r="HG73" i="2" l="1"/>
  <c r="HH73" i="2" l="1"/>
  <c r="HI73" i="2" l="1"/>
  <c r="HJ73" i="2" l="1"/>
  <c r="HK73" i="2" l="1"/>
  <c r="HL73" i="2" l="1"/>
  <c r="HM73" i="2" l="1"/>
  <c r="HN73" i="2" l="1"/>
  <c r="HO73" i="2" l="1"/>
  <c r="HP73" i="2" l="1"/>
  <c r="HQ73" i="2" l="1"/>
  <c r="HR73" i="2" l="1"/>
  <c r="HS73" i="2" l="1"/>
  <c r="HT73" i="2" l="1"/>
  <c r="HU73" i="2" l="1"/>
  <c r="HV73" i="2" l="1"/>
  <c r="HW73" i="2" l="1"/>
  <c r="HX73" i="2" l="1"/>
  <c r="HY73" i="2" l="1"/>
  <c r="HZ73" i="2" l="1"/>
  <c r="IA73" i="2" l="1"/>
  <c r="IB73" i="2" l="1"/>
  <c r="IC73" i="2" l="1"/>
  <c r="ID73" i="2" l="1"/>
  <c r="IE73" i="2" l="1"/>
  <c r="IF73" i="2" l="1"/>
  <c r="IG73" i="2" l="1"/>
  <c r="IH73" i="2" l="1"/>
  <c r="II73" i="2" l="1"/>
  <c r="IJ73" i="2" l="1"/>
  <c r="IK73" i="2" l="1"/>
  <c r="IL73" i="2" l="1"/>
  <c r="IM73" i="2" l="1"/>
  <c r="IN73" i="2" l="1"/>
  <c r="IO73" i="2" l="1"/>
  <c r="IP73" i="2" l="1"/>
  <c r="IQ73" i="2" l="1"/>
  <c r="IR73" i="2" l="1"/>
  <c r="IS73" i="2" l="1"/>
  <c r="IT73" i="2" l="1"/>
  <c r="IU73" i="2" l="1"/>
  <c r="IV73" i="2" l="1"/>
  <c r="IW73" i="2" l="1"/>
  <c r="IX73" i="2" l="1"/>
  <c r="IY73" i="2" l="1"/>
  <c r="IZ73" i="2" l="1"/>
  <c r="JA73" i="2" l="1"/>
  <c r="JB73" i="2" l="1"/>
  <c r="JC73" i="2" l="1"/>
  <c r="JD73" i="2" l="1"/>
  <c r="JE73" i="2" l="1"/>
  <c r="JF73" i="2" l="1"/>
  <c r="JG73" i="2" l="1"/>
  <c r="JH73" i="2" l="1"/>
  <c r="JI73" i="2" l="1"/>
  <c r="JJ73" i="2" l="1"/>
  <c r="JK73" i="2" l="1"/>
  <c r="JL73" i="2" l="1"/>
  <c r="JM73" i="2" l="1"/>
  <c r="JN73" i="2" l="1"/>
  <c r="JO73" i="2" l="1"/>
  <c r="JP73" i="2" l="1"/>
  <c r="JQ73" i="2" l="1"/>
  <c r="JR73" i="2" l="1"/>
  <c r="JS73" i="2" l="1"/>
  <c r="JT73" i="2" l="1"/>
  <c r="JU73" i="2" l="1"/>
  <c r="JV73" i="2" l="1"/>
  <c r="JW73" i="2" l="1"/>
  <c r="JX73" i="2" l="1"/>
  <c r="JY73" i="2" l="1"/>
  <c r="JZ73" i="2" l="1"/>
  <c r="KA73" i="2" l="1"/>
  <c r="KB73" i="2" l="1"/>
  <c r="KC73" i="2" l="1"/>
  <c r="KD73" i="2" l="1"/>
  <c r="KE73" i="2" l="1"/>
  <c r="F120" i="2" l="1"/>
  <c r="G120" i="2"/>
  <c r="E21" i="1" l="1"/>
  <c r="K234" i="2" l="1"/>
  <c r="P28" i="1" s="1"/>
  <c r="JU230" i="2" l="1"/>
  <c r="JV230" i="2" l="1"/>
  <c r="JW230" i="2" l="1"/>
  <c r="JX230" i="2" l="1"/>
  <c r="JY230" i="2" l="1"/>
  <c r="JZ230" i="2" l="1"/>
  <c r="KA230" i="2" l="1"/>
  <c r="KB230" i="2" l="1"/>
  <c r="KC230" i="2" l="1"/>
  <c r="KD230" i="2" l="1"/>
  <c r="KE230" i="2" l="1"/>
  <c r="JT230" i="2" l="1"/>
  <c r="FA82" i="2" l="1"/>
  <c r="K232" i="2" l="1"/>
  <c r="P26" i="1" s="1"/>
  <c r="P25" i="1" s="1"/>
  <c r="E129" i="5"/>
  <c r="G129" i="5" s="1"/>
  <c r="E130" i="5"/>
  <c r="E127" i="5"/>
  <c r="E128" i="5"/>
  <c r="E126" i="5"/>
  <c r="F126" i="5" s="1"/>
  <c r="G127" i="5" l="1"/>
  <c r="F127" i="5"/>
  <c r="E131" i="5"/>
  <c r="G126" i="5"/>
  <c r="F128" i="5"/>
  <c r="G128" i="5"/>
  <c r="G130" i="5"/>
  <c r="F130" i="5"/>
  <c r="F129" i="5"/>
  <c r="F131" i="5" l="1"/>
  <c r="G131" i="5"/>
  <c r="FC145" i="2" l="1"/>
  <c r="FD145" i="2" s="1"/>
  <c r="FE145" i="2" s="1"/>
  <c r="FF145" i="2" s="1"/>
  <c r="FG145" i="2" s="1"/>
  <c r="FH145" i="2" s="1"/>
  <c r="FI145" i="2" s="1"/>
  <c r="FJ145" i="2" s="1"/>
  <c r="FK145" i="2" s="1"/>
  <c r="FL145" i="2" s="1"/>
  <c r="FM145" i="2" s="1"/>
  <c r="FN145" i="2" s="1"/>
  <c r="FO145" i="2" s="1"/>
  <c r="FP145" i="2" s="1"/>
  <c r="FQ145" i="2" s="1"/>
  <c r="FR145" i="2" s="1"/>
  <c r="FS145" i="2" s="1"/>
  <c r="FT145" i="2" s="1"/>
  <c r="FU145" i="2" s="1"/>
  <c r="FV145" i="2" s="1"/>
  <c r="FW145" i="2" s="1"/>
  <c r="FX145" i="2" s="1"/>
  <c r="FY145" i="2" s="1"/>
  <c r="FZ145" i="2" s="1"/>
  <c r="GA145" i="2" s="1"/>
  <c r="GB145" i="2" s="1"/>
  <c r="GC145" i="2" s="1"/>
  <c r="GD145" i="2" s="1"/>
  <c r="GE145" i="2" s="1"/>
  <c r="GF145" i="2" s="1"/>
  <c r="GG145" i="2" s="1"/>
  <c r="GH145" i="2" s="1"/>
  <c r="GI145" i="2" s="1"/>
  <c r="GJ145" i="2" s="1"/>
  <c r="GK145" i="2" s="1"/>
  <c r="GL145" i="2" s="1"/>
  <c r="GM145" i="2" s="1"/>
  <c r="GN145" i="2" s="1"/>
  <c r="GO145" i="2" s="1"/>
  <c r="GP145" i="2" s="1"/>
  <c r="GQ145" i="2" s="1"/>
  <c r="GR145" i="2" s="1"/>
  <c r="GS145" i="2" s="1"/>
  <c r="GT145" i="2" s="1"/>
  <c r="GU145" i="2" s="1"/>
  <c r="GV145" i="2" s="1"/>
  <c r="GW145" i="2" s="1"/>
  <c r="GX145" i="2" s="1"/>
  <c r="GY145" i="2" s="1"/>
  <c r="GZ145" i="2" s="1"/>
  <c r="HA145" i="2" s="1"/>
  <c r="HB145" i="2" s="1"/>
  <c r="HC145" i="2" s="1"/>
  <c r="HD145" i="2" s="1"/>
  <c r="HE145" i="2" s="1"/>
  <c r="HF145" i="2" s="1"/>
  <c r="HG145" i="2" s="1"/>
  <c r="HH145" i="2" s="1"/>
  <c r="HI145" i="2" s="1"/>
  <c r="HJ145" i="2" s="1"/>
  <c r="HK145" i="2" s="1"/>
  <c r="HL145" i="2" s="1"/>
  <c r="HM145" i="2" s="1"/>
  <c r="HN145" i="2" s="1"/>
  <c r="HO145" i="2" s="1"/>
  <c r="HP145" i="2" s="1"/>
  <c r="HQ145" i="2" s="1"/>
  <c r="HR145" i="2" s="1"/>
  <c r="HS145" i="2" s="1"/>
  <c r="HT145" i="2" s="1"/>
  <c r="HU145" i="2" s="1"/>
  <c r="HV145" i="2" s="1"/>
  <c r="HW145" i="2" s="1"/>
  <c r="HX145" i="2" s="1"/>
  <c r="HY145" i="2" s="1"/>
  <c r="HZ145" i="2" s="1"/>
  <c r="IA145" i="2" s="1"/>
  <c r="IB145" i="2" s="1"/>
  <c r="IC145" i="2" s="1"/>
  <c r="ID145" i="2" s="1"/>
  <c r="IE145" i="2" s="1"/>
  <c r="IF145" i="2" s="1"/>
  <c r="IG145" i="2" s="1"/>
  <c r="IH145" i="2" s="1"/>
  <c r="II145" i="2" s="1"/>
  <c r="IJ145" i="2" s="1"/>
  <c r="IK145" i="2" s="1"/>
  <c r="IL145" i="2" s="1"/>
  <c r="IM145" i="2" s="1"/>
  <c r="IN145" i="2" s="1"/>
  <c r="IO145" i="2" s="1"/>
  <c r="IP145" i="2" s="1"/>
  <c r="IQ145" i="2" s="1"/>
  <c r="IR145" i="2" s="1"/>
  <c r="IS145" i="2" s="1"/>
  <c r="IT145" i="2" s="1"/>
  <c r="IU145" i="2" s="1"/>
  <c r="IV145" i="2" s="1"/>
  <c r="IW145" i="2" s="1"/>
  <c r="IX145" i="2" s="1"/>
  <c r="IY145" i="2" s="1"/>
  <c r="IZ145" i="2" s="1"/>
  <c r="JA145" i="2" s="1"/>
  <c r="JB145" i="2" s="1"/>
  <c r="JC145" i="2" s="1"/>
  <c r="JD145" i="2" s="1"/>
  <c r="JE145" i="2" s="1"/>
  <c r="JF145" i="2" s="1"/>
  <c r="JG145" i="2" s="1"/>
  <c r="JH145" i="2" s="1"/>
  <c r="JI145" i="2" s="1"/>
  <c r="JJ145" i="2" s="1"/>
  <c r="JK145" i="2" s="1"/>
  <c r="JL145" i="2" s="1"/>
  <c r="JM145" i="2" s="1"/>
  <c r="JN145" i="2" s="1"/>
  <c r="JO145" i="2" s="1"/>
  <c r="JP145" i="2" s="1"/>
  <c r="JQ145" i="2" s="1"/>
  <c r="JR145" i="2" s="1"/>
  <c r="JS145" i="2" s="1"/>
  <c r="JT145" i="2" s="1"/>
  <c r="JU145" i="2" s="1"/>
  <c r="JV145" i="2" s="1"/>
  <c r="JW145" i="2" s="1"/>
  <c r="JX145" i="2" s="1"/>
  <c r="JY145" i="2" s="1"/>
  <c r="JZ145" i="2" s="1"/>
  <c r="KA145" i="2" s="1"/>
  <c r="KB145" i="2" s="1"/>
  <c r="KC145" i="2" s="1"/>
  <c r="KD145" i="2" s="1"/>
  <c r="KE145" i="2" s="1"/>
  <c r="L128" i="5" l="1"/>
  <c r="M128" i="5" s="1"/>
  <c r="L127" i="5"/>
  <c r="N127" i="5" s="1"/>
  <c r="L129" i="5"/>
  <c r="L130" i="5"/>
  <c r="N130" i="5" s="1"/>
  <c r="L126" i="5"/>
  <c r="M126" i="5" s="1"/>
  <c r="N126" i="5" l="1"/>
  <c r="L131" i="5"/>
  <c r="N129" i="5"/>
  <c r="M129" i="5"/>
  <c r="M130" i="5"/>
  <c r="N128" i="5"/>
  <c r="M127" i="5"/>
  <c r="M131" i="5" l="1"/>
  <c r="M133" i="5" s="1"/>
  <c r="N131" i="5"/>
  <c r="K145" i="2" l="1"/>
  <c r="J145" i="2"/>
  <c r="KM145" i="2"/>
  <c r="KN145" i="2" s="1"/>
  <c r="KO145" i="2" s="1"/>
  <c r="KP145" i="2" s="1"/>
  <c r="KQ145" i="2" s="1"/>
  <c r="KR145" i="2" s="1"/>
  <c r="KS145" i="2" s="1"/>
  <c r="KT145" i="2" s="1"/>
  <c r="KU145" i="2" s="1"/>
  <c r="KV145" i="2" s="1"/>
  <c r="KW145" i="2" s="1"/>
  <c r="KX145" i="2" s="1"/>
  <c r="KY145" i="2" s="1"/>
  <c r="KZ145" i="2" s="1"/>
  <c r="LA145" i="2" s="1"/>
  <c r="LB145" i="2" s="1"/>
  <c r="LC145" i="2" s="1"/>
  <c r="LD145" i="2" s="1"/>
  <c r="LE145" i="2" s="1"/>
  <c r="LF145" i="2" s="1"/>
  <c r="LG145" i="2" s="1"/>
  <c r="LH145" i="2" s="1"/>
  <c r="LI145" i="2" s="1"/>
  <c r="LJ145" i="2" s="1"/>
  <c r="LK145" i="2" s="1"/>
  <c r="LL145" i="2" s="1"/>
  <c r="LM145" i="2" s="1"/>
  <c r="LN145" i="2" s="1"/>
  <c r="LO145" i="2" s="1"/>
  <c r="LP145" i="2" s="1"/>
  <c r="LQ145" i="2" s="1"/>
  <c r="LR145" i="2" s="1"/>
  <c r="LS145" i="2" s="1"/>
  <c r="LT145" i="2" s="1"/>
  <c r="LU145" i="2" s="1"/>
  <c r="LV145" i="2" s="1"/>
  <c r="LW145" i="2" s="1"/>
  <c r="LX145" i="2" s="1"/>
  <c r="LY145" i="2" s="1"/>
  <c r="LZ145" i="2" s="1"/>
  <c r="MA145" i="2" s="1"/>
  <c r="MB145" i="2" s="1"/>
  <c r="MC145" i="2" s="1"/>
  <c r="MD145" i="2" s="1"/>
  <c r="ME145" i="2" s="1"/>
  <c r="MF145" i="2" s="1"/>
  <c r="MG145" i="2" s="1"/>
  <c r="MH145" i="2" s="1"/>
  <c r="MI145" i="2" s="1"/>
  <c r="MJ145" i="2" s="1"/>
  <c r="MK145" i="2" s="1"/>
  <c r="ML145" i="2" s="1"/>
  <c r="MM145" i="2" s="1"/>
  <c r="MN145" i="2" s="1"/>
  <c r="MO145" i="2" s="1"/>
  <c r="MP145" i="2" s="1"/>
  <c r="MQ145" i="2" s="1"/>
  <c r="MR145" i="2" s="1"/>
  <c r="MS145" i="2" s="1"/>
  <c r="MT145" i="2" s="1"/>
  <c r="MU145" i="2" s="1"/>
  <c r="MV145" i="2" s="1"/>
  <c r="MW145" i="2" s="1"/>
  <c r="MX145" i="2" s="1"/>
  <c r="MY145" i="2" s="1"/>
  <c r="MZ145" i="2" s="1"/>
  <c r="NA145" i="2" s="1"/>
  <c r="NB145" i="2" s="1"/>
  <c r="NC145" i="2" s="1"/>
  <c r="ND145" i="2" s="1"/>
  <c r="NE145" i="2" s="1"/>
  <c r="NF145" i="2" s="1"/>
  <c r="NG145" i="2" s="1"/>
  <c r="NH145" i="2" s="1"/>
  <c r="NI145" i="2" s="1"/>
  <c r="NJ145" i="2" s="1"/>
  <c r="NK145" i="2" s="1"/>
  <c r="NL145" i="2" s="1"/>
  <c r="NM145" i="2" s="1"/>
  <c r="NN145" i="2" s="1"/>
  <c r="NO145" i="2" s="1"/>
  <c r="NP145" i="2" s="1"/>
  <c r="NQ145" i="2" s="1"/>
  <c r="NR145" i="2" s="1"/>
  <c r="NS145" i="2" s="1"/>
  <c r="NT145" i="2" s="1"/>
  <c r="NU145" i="2" s="1"/>
  <c r="NV145" i="2" s="1"/>
  <c r="NW145" i="2" s="1"/>
  <c r="NX145" i="2" s="1"/>
  <c r="NY145" i="2" s="1"/>
  <c r="NZ145" i="2" s="1"/>
  <c r="OA145" i="2" s="1"/>
  <c r="OB145" i="2" s="1"/>
  <c r="OC145" i="2" s="1"/>
  <c r="OD145" i="2" s="1"/>
  <c r="OE145" i="2" s="1"/>
  <c r="OF145" i="2" s="1"/>
  <c r="OG145" i="2" s="1"/>
  <c r="OH145" i="2" s="1"/>
  <c r="OI145" i="2" s="1"/>
  <c r="OJ145" i="2" s="1"/>
  <c r="OK145" i="2" s="1"/>
  <c r="OL145" i="2" s="1"/>
  <c r="OM145" i="2" s="1"/>
  <c r="ON145" i="2" s="1"/>
  <c r="OO145" i="2" s="1"/>
  <c r="OP145" i="2" s="1"/>
  <c r="OQ145" i="2" s="1"/>
  <c r="OR145" i="2" s="1"/>
  <c r="OS145" i="2" s="1"/>
  <c r="OT145" i="2" s="1"/>
  <c r="OU145" i="2" s="1"/>
  <c r="OV145" i="2" s="1"/>
  <c r="OW145" i="2" s="1"/>
  <c r="OX145" i="2" s="1"/>
  <c r="OY145" i="2" s="1"/>
  <c r="OZ145" i="2" s="1"/>
  <c r="PA145" i="2" s="1"/>
  <c r="PB145" i="2" s="1"/>
  <c r="PC145" i="2" s="1"/>
  <c r="PD145" i="2" s="1"/>
  <c r="PE145" i="2" s="1"/>
  <c r="PF145" i="2" s="1"/>
  <c r="PG145" i="2" s="1"/>
  <c r="PH145" i="2" s="1"/>
  <c r="PI145" i="2" s="1"/>
  <c r="PJ145" i="2" s="1"/>
  <c r="PK145" i="2" s="1"/>
  <c r="PL145" i="2" s="1"/>
  <c r="PM145" i="2" s="1"/>
  <c r="PN145" i="2" s="1"/>
  <c r="PO145" i="2" s="1"/>
  <c r="M135" i="5"/>
  <c r="L133" i="5"/>
  <c r="N133" i="5" l="1"/>
  <c r="L135" i="5"/>
  <c r="N135" i="5" s="1"/>
  <c r="V29" i="5"/>
  <c r="I196" i="2"/>
  <c r="W29" i="5"/>
  <c r="W30" i="5" s="1"/>
  <c r="W33" i="5" s="1"/>
  <c r="K146" i="2"/>
  <c r="F24" i="1" l="1"/>
  <c r="F23" i="1"/>
  <c r="K148" i="2"/>
  <c r="K153" i="2" l="1"/>
  <c r="T117" i="2" l="1"/>
  <c r="T119" i="2"/>
  <c r="T118" i="2"/>
  <c r="T116" i="2"/>
  <c r="PS120" i="2"/>
  <c r="T109" i="2" s="1"/>
  <c r="T112" i="2" l="1"/>
  <c r="T113" i="2"/>
  <c r="T108" i="2"/>
  <c r="T120" i="2"/>
  <c r="T128" i="2"/>
  <c r="T127" i="2"/>
  <c r="T129" i="2"/>
  <c r="T141" i="2"/>
  <c r="T137" i="2"/>
  <c r="T150" i="2"/>
  <c r="T145" i="2"/>
  <c r="T139" i="2"/>
  <c r="T144" i="2"/>
  <c r="T140" i="2"/>
  <c r="T142" i="2"/>
  <c r="T138" i="2"/>
  <c r="T136" i="2"/>
  <c r="T126" i="2"/>
  <c r="T121" i="2" l="1"/>
  <c r="T122" i="2"/>
  <c r="T123" i="2"/>
  <c r="T106" i="2"/>
  <c r="T130" i="2"/>
  <c r="H85" i="4"/>
  <c r="H86" i="4"/>
  <c r="U118" i="2"/>
  <c r="U119" i="2"/>
  <c r="U117" i="2"/>
  <c r="H94" i="4"/>
  <c r="T152" i="2"/>
  <c r="H99" i="4" s="1"/>
  <c r="H87" i="4"/>
  <c r="H90" i="4"/>
  <c r="H89" i="4"/>
  <c r="H91" i="4"/>
  <c r="H93" i="4"/>
  <c r="J122" i="2"/>
  <c r="H88" i="4"/>
  <c r="T124" i="2" l="1"/>
  <c r="H78" i="4" s="1"/>
  <c r="J123" i="2"/>
  <c r="V12" i="5" s="1"/>
  <c r="U116" i="2"/>
  <c r="U120" i="2" s="1"/>
  <c r="PT120" i="2"/>
  <c r="U109" i="2" s="1"/>
  <c r="H79" i="4"/>
  <c r="V11" i="5"/>
  <c r="I173" i="2"/>
  <c r="J124" i="2"/>
  <c r="I174" i="2"/>
  <c r="U113" i="2" l="1"/>
  <c r="T131" i="2"/>
  <c r="T104" i="2"/>
  <c r="I175" i="2"/>
  <c r="I182" i="2" s="1"/>
  <c r="V13" i="5"/>
  <c r="V15" i="5" s="1"/>
  <c r="G124" i="2"/>
  <c r="F124" i="2"/>
  <c r="J131" i="2"/>
  <c r="U136" i="2"/>
  <c r="U142" i="2"/>
  <c r="U150" i="2"/>
  <c r="U144" i="2"/>
  <c r="U122" i="2"/>
  <c r="U138" i="2"/>
  <c r="U141" i="2"/>
  <c r="U139" i="2"/>
  <c r="U140" i="2"/>
  <c r="U137" i="2"/>
  <c r="U112" i="2"/>
  <c r="U128" i="2"/>
  <c r="U127" i="2"/>
  <c r="U145" i="2"/>
  <c r="U123" i="2"/>
  <c r="U129" i="2"/>
  <c r="U126" i="2"/>
  <c r="U108" i="2"/>
  <c r="H80" i="4"/>
  <c r="T132" i="2" l="1"/>
  <c r="T133" i="2"/>
  <c r="I88" i="4"/>
  <c r="H81" i="4"/>
  <c r="H82" i="4" s="1"/>
  <c r="T103" i="2"/>
  <c r="I87" i="4"/>
  <c r="T134" i="2"/>
  <c r="FD196" i="2" s="1"/>
  <c r="V119" i="2"/>
  <c r="V117" i="2"/>
  <c r="V118" i="2"/>
  <c r="U121" i="2"/>
  <c r="U124" i="2" s="1"/>
  <c r="I93" i="4"/>
  <c r="U106" i="2"/>
  <c r="U130" i="2"/>
  <c r="U152" i="2"/>
  <c r="I99" i="4" s="1"/>
  <c r="J133" i="2"/>
  <c r="J132" i="2"/>
  <c r="I183" i="2" s="1"/>
  <c r="I86" i="4"/>
  <c r="I91" i="4"/>
  <c r="I94" i="4"/>
  <c r="I90" i="4"/>
  <c r="I89" i="4"/>
  <c r="I85" i="4"/>
  <c r="V16" i="5" l="1"/>
  <c r="I79" i="4"/>
  <c r="U131" i="2"/>
  <c r="U133" i="2" s="1"/>
  <c r="V116" i="2"/>
  <c r="V120" i="2" s="1"/>
  <c r="PU120" i="2"/>
  <c r="V109" i="2" s="1"/>
  <c r="J134" i="2"/>
  <c r="I78" i="4"/>
  <c r="U104" i="2"/>
  <c r="T143" i="2"/>
  <c r="V17" i="5"/>
  <c r="I184" i="2"/>
  <c r="V113" i="2" l="1"/>
  <c r="V141" i="2"/>
  <c r="V112" i="2"/>
  <c r="V142" i="2"/>
  <c r="V150" i="2"/>
  <c r="V122" i="2"/>
  <c r="V144" i="2"/>
  <c r="V136" i="2"/>
  <c r="V145" i="2"/>
  <c r="V139" i="2"/>
  <c r="V140" i="2"/>
  <c r="V138" i="2"/>
  <c r="V127" i="2"/>
  <c r="V128" i="2"/>
  <c r="V137" i="2"/>
  <c r="V123" i="2"/>
  <c r="V129" i="2"/>
  <c r="V108" i="2"/>
  <c r="V126" i="2"/>
  <c r="U132" i="2"/>
  <c r="U134" i="2" s="1"/>
  <c r="FE196" i="2" s="1"/>
  <c r="H92" i="4"/>
  <c r="T146" i="2"/>
  <c r="I80" i="4"/>
  <c r="E108" i="5"/>
  <c r="J143" i="2"/>
  <c r="I185" i="2"/>
  <c r="V18" i="5"/>
  <c r="J86" i="4" l="1"/>
  <c r="J85" i="4"/>
  <c r="U143" i="2"/>
  <c r="J93" i="4"/>
  <c r="G108" i="5"/>
  <c r="F108" i="5"/>
  <c r="F133" i="5" s="1"/>
  <c r="T105" i="2"/>
  <c r="T148" i="2"/>
  <c r="T153" i="2" s="1"/>
  <c r="V152" i="2"/>
  <c r="J99" i="4" s="1"/>
  <c r="H95" i="4"/>
  <c r="H97" i="4" s="1"/>
  <c r="H101" i="4" s="1"/>
  <c r="H109" i="4" s="1"/>
  <c r="V106" i="2"/>
  <c r="V130" i="2"/>
  <c r="J87" i="4"/>
  <c r="I19" i="1"/>
  <c r="V121" i="2"/>
  <c r="V124" i="2" s="1"/>
  <c r="J89" i="4"/>
  <c r="J91" i="4"/>
  <c r="J88" i="4"/>
  <c r="W119" i="2"/>
  <c r="W117" i="2"/>
  <c r="W118" i="2"/>
  <c r="V27" i="5"/>
  <c r="V30" i="5" s="1"/>
  <c r="V33" i="5" s="1"/>
  <c r="J146" i="2"/>
  <c r="I194" i="2"/>
  <c r="I197" i="2" s="1"/>
  <c r="I199" i="2" s="1"/>
  <c r="I81" i="4"/>
  <c r="U103" i="2"/>
  <c r="J94" i="4"/>
  <c r="J90" i="4"/>
  <c r="I209" i="2" l="1"/>
  <c r="I210" i="2" s="1"/>
  <c r="I204" i="2"/>
  <c r="J79" i="4"/>
  <c r="V131" i="2"/>
  <c r="V133" i="2" s="1"/>
  <c r="I92" i="4"/>
  <c r="U146" i="2"/>
  <c r="W116" i="2"/>
  <c r="W120" i="2" s="1"/>
  <c r="PV120" i="2"/>
  <c r="W109" i="2" s="1"/>
  <c r="V104" i="2"/>
  <c r="J78" i="4"/>
  <c r="C5" i="5"/>
  <c r="I20" i="1"/>
  <c r="I21" i="1" s="1"/>
  <c r="E23" i="1"/>
  <c r="E24" i="1"/>
  <c r="J148" i="2"/>
  <c r="J153" i="2" s="1"/>
  <c r="I82" i="4"/>
  <c r="F135" i="5"/>
  <c r="E133" i="5"/>
  <c r="T221" i="2"/>
  <c r="W113" i="2" l="1"/>
  <c r="N30" i="1"/>
  <c r="I23" i="1"/>
  <c r="I95" i="4"/>
  <c r="I97" i="4" s="1"/>
  <c r="I101" i="4" s="1"/>
  <c r="I109" i="4" s="1"/>
  <c r="V132" i="2"/>
  <c r="J80" i="4"/>
  <c r="U105" i="2"/>
  <c r="U148" i="2"/>
  <c r="U153" i="2" s="1"/>
  <c r="G133" i="5"/>
  <c r="E135" i="5"/>
  <c r="G135" i="5" s="1"/>
  <c r="W141" i="2"/>
  <c r="W139" i="2"/>
  <c r="W145" i="2"/>
  <c r="W137" i="2"/>
  <c r="W122" i="2"/>
  <c r="W127" i="2"/>
  <c r="W136" i="2"/>
  <c r="W112" i="2"/>
  <c r="W142" i="2"/>
  <c r="W144" i="2"/>
  <c r="W123" i="2"/>
  <c r="W128" i="2"/>
  <c r="W150" i="2"/>
  <c r="W138" i="2"/>
  <c r="W140" i="2"/>
  <c r="W129" i="2"/>
  <c r="W108" i="2"/>
  <c r="W126" i="2"/>
  <c r="D145" i="2"/>
  <c r="N32" i="1"/>
  <c r="I211" i="2"/>
  <c r="I212" i="2" s="1"/>
  <c r="G5" i="5"/>
  <c r="F196" i="2"/>
  <c r="V134" i="2" l="1"/>
  <c r="K89" i="4"/>
  <c r="U221" i="2"/>
  <c r="W152" i="2"/>
  <c r="K99" i="4" s="1"/>
  <c r="K86" i="4"/>
  <c r="W106" i="2"/>
  <c r="W130" i="2"/>
  <c r="K94" i="4"/>
  <c r="K85" i="4"/>
  <c r="W121" i="2"/>
  <c r="W124" i="2" s="1"/>
  <c r="K88" i="4"/>
  <c r="K87" i="4"/>
  <c r="N34" i="1"/>
  <c r="K91" i="4"/>
  <c r="J81" i="4"/>
  <c r="J82" i="4" s="1"/>
  <c r="V103" i="2"/>
  <c r="K93" i="4"/>
  <c r="X117" i="2"/>
  <c r="X118" i="2"/>
  <c r="X119" i="2"/>
  <c r="K90" i="4"/>
  <c r="V143" i="2" l="1"/>
  <c r="J92" i="4" s="1"/>
  <c r="FF196" i="2"/>
  <c r="X116" i="2"/>
  <c r="X120" i="2" s="1"/>
  <c r="PW120" i="2"/>
  <c r="X109" i="2" s="1"/>
  <c r="K79" i="4"/>
  <c r="W131" i="2"/>
  <c r="W133" i="2" s="1"/>
  <c r="K78" i="4"/>
  <c r="W104" i="2"/>
  <c r="V146" i="2"/>
  <c r="X113" i="2" l="1"/>
  <c r="W132" i="2"/>
  <c r="J95" i="4"/>
  <c r="J97" i="4" s="1"/>
  <c r="J101" i="4" s="1"/>
  <c r="J109" i="4" s="1"/>
  <c r="X122" i="2"/>
  <c r="X145" i="2"/>
  <c r="X137" i="2"/>
  <c r="X136" i="2"/>
  <c r="X138" i="2"/>
  <c r="X141" i="2"/>
  <c r="X140" i="2"/>
  <c r="X150" i="2"/>
  <c r="X139" i="2"/>
  <c r="X144" i="2"/>
  <c r="X142" i="2"/>
  <c r="X128" i="2"/>
  <c r="X123" i="2"/>
  <c r="X127" i="2"/>
  <c r="X129" i="2"/>
  <c r="X112" i="2"/>
  <c r="X126" i="2"/>
  <c r="X108" i="2"/>
  <c r="V105" i="2"/>
  <c r="V148" i="2"/>
  <c r="V153" i="2" s="1"/>
  <c r="K80" i="4"/>
  <c r="L88" i="4" l="1"/>
  <c r="L94" i="4"/>
  <c r="X152" i="2"/>
  <c r="L99" i="4" s="1"/>
  <c r="L86" i="4"/>
  <c r="L90" i="4"/>
  <c r="K81" i="4"/>
  <c r="K82" i="4" s="1"/>
  <c r="W103" i="2"/>
  <c r="L89" i="4"/>
  <c r="L91" i="4"/>
  <c r="L87" i="4"/>
  <c r="X106" i="2"/>
  <c r="X130" i="2"/>
  <c r="Y119" i="2"/>
  <c r="Y117" i="2"/>
  <c r="Y118" i="2"/>
  <c r="V221" i="2"/>
  <c r="X121" i="2"/>
  <c r="X124" i="2" s="1"/>
  <c r="L93" i="4"/>
  <c r="L85" i="4"/>
  <c r="W134" i="2"/>
  <c r="FG196" i="2" s="1"/>
  <c r="L78" i="4" l="1"/>
  <c r="X104" i="2"/>
  <c r="L79" i="4"/>
  <c r="X131" i="2"/>
  <c r="X133" i="2" s="1"/>
  <c r="Y116" i="2"/>
  <c r="Y120" i="2" s="1"/>
  <c r="PX120" i="2"/>
  <c r="Y109" i="2" s="1"/>
  <c r="W143" i="2"/>
  <c r="Y113" i="2" l="1"/>
  <c r="Y141" i="2"/>
  <c r="M90" i="4" s="1"/>
  <c r="Y144" i="2"/>
  <c r="M93" i="4" s="1"/>
  <c r="Y122" i="2"/>
  <c r="Y150" i="2"/>
  <c r="Y152" i="2" s="1"/>
  <c r="M99" i="4" s="1"/>
  <c r="Y138" i="2"/>
  <c r="M87" i="4" s="1"/>
  <c r="Y137" i="2"/>
  <c r="M86" i="4" s="1"/>
  <c r="Y142" i="2"/>
  <c r="M91" i="4" s="1"/>
  <c r="Y140" i="2"/>
  <c r="M89" i="4" s="1"/>
  <c r="Y112" i="2"/>
  <c r="Y145" i="2"/>
  <c r="M94" i="4" s="1"/>
  <c r="Y123" i="2"/>
  <c r="Y128" i="2"/>
  <c r="Y139" i="2"/>
  <c r="M88" i="4" s="1"/>
  <c r="Y129" i="2"/>
  <c r="Y136" i="2"/>
  <c r="Y127" i="2"/>
  <c r="Y126" i="2"/>
  <c r="Y108" i="2"/>
  <c r="X132" i="2"/>
  <c r="L80" i="4"/>
  <c r="K92" i="4"/>
  <c r="W146" i="2"/>
  <c r="L81" i="4" l="1"/>
  <c r="L82" i="4" s="1"/>
  <c r="X103" i="2"/>
  <c r="X134" i="2"/>
  <c r="FH196" i="2" s="1"/>
  <c r="Y121" i="2"/>
  <c r="Y124" i="2" s="1"/>
  <c r="K95" i="4"/>
  <c r="K97" i="4" s="1"/>
  <c r="K101" i="4" s="1"/>
  <c r="K109" i="4" s="1"/>
  <c r="Y106" i="2"/>
  <c r="Y130" i="2"/>
  <c r="W105" i="2"/>
  <c r="W148" i="2"/>
  <c r="W153" i="2" s="1"/>
  <c r="Z119" i="2"/>
  <c r="Z118" i="2"/>
  <c r="Z117" i="2"/>
  <c r="M85" i="4"/>
  <c r="W221" i="2" l="1"/>
  <c r="M78" i="4"/>
  <c r="Y104" i="2"/>
  <c r="M79" i="4"/>
  <c r="Y131" i="2"/>
  <c r="Y133" i="2" s="1"/>
  <c r="X143" i="2"/>
  <c r="Z116" i="2"/>
  <c r="Z120" i="2" s="1"/>
  <c r="PY120" i="2"/>
  <c r="Z109" i="2" s="1"/>
  <c r="Z113" i="2" l="1"/>
  <c r="Y132" i="2"/>
  <c r="M80" i="4"/>
  <c r="Z144" i="2"/>
  <c r="N93" i="4" s="1"/>
  <c r="Z137" i="2"/>
  <c r="N86" i="4" s="1"/>
  <c r="Z141" i="2"/>
  <c r="N90" i="4" s="1"/>
  <c r="Z140" i="2"/>
  <c r="N89" i="4" s="1"/>
  <c r="Z122" i="2"/>
  <c r="Z112" i="2"/>
  <c r="Z145" i="2"/>
  <c r="N94" i="4" s="1"/>
  <c r="Z136" i="2"/>
  <c r="Z150" i="2"/>
  <c r="Z152" i="2" s="1"/>
  <c r="N99" i="4" s="1"/>
  <c r="Z138" i="2"/>
  <c r="N87" i="4" s="1"/>
  <c r="Z142" i="2"/>
  <c r="N91" i="4" s="1"/>
  <c r="Z127" i="2"/>
  <c r="Z123" i="2"/>
  <c r="Z139" i="2"/>
  <c r="N88" i="4" s="1"/>
  <c r="Z128" i="2"/>
  <c r="Z129" i="2"/>
  <c r="Z126" i="2"/>
  <c r="Z108" i="2"/>
  <c r="L92" i="4"/>
  <c r="X146" i="2"/>
  <c r="N85" i="4" l="1"/>
  <c r="Z121" i="2"/>
  <c r="Z124" i="2" s="1"/>
  <c r="Z106" i="2"/>
  <c r="Z130" i="2"/>
  <c r="M81" i="4"/>
  <c r="M82" i="4" s="1"/>
  <c r="Y103" i="2"/>
  <c r="X105" i="2"/>
  <c r="X148" i="2"/>
  <c r="X153" i="2" s="1"/>
  <c r="AA117" i="2"/>
  <c r="AA118" i="2"/>
  <c r="AA119" i="2"/>
  <c r="L95" i="4"/>
  <c r="L97" i="4" s="1"/>
  <c r="L101" i="4" s="1"/>
  <c r="L109" i="4" s="1"/>
  <c r="Y134" i="2"/>
  <c r="FI196" i="2" s="1"/>
  <c r="AA116" i="2" l="1"/>
  <c r="AA120" i="2" s="1"/>
  <c r="PZ120" i="2"/>
  <c r="AA109" i="2" s="1"/>
  <c r="N79" i="4"/>
  <c r="Z131" i="2"/>
  <c r="Z133" i="2" s="1"/>
  <c r="Y143" i="2"/>
  <c r="X221" i="2"/>
  <c r="Z104" i="2"/>
  <c r="N78" i="4"/>
  <c r="AA113" i="2" l="1"/>
  <c r="Z132" i="2"/>
  <c r="M92" i="4"/>
  <c r="M95" i="4" s="1"/>
  <c r="M97" i="4" s="1"/>
  <c r="M101" i="4" s="1"/>
  <c r="M109" i="4" s="1"/>
  <c r="Y146" i="2"/>
  <c r="AA140" i="2"/>
  <c r="O89" i="4" s="1"/>
  <c r="AA144" i="2"/>
  <c r="O93" i="4" s="1"/>
  <c r="AA142" i="2"/>
  <c r="O91" i="4" s="1"/>
  <c r="AA141" i="2"/>
  <c r="O90" i="4" s="1"/>
  <c r="AA145" i="2"/>
  <c r="O94" i="4" s="1"/>
  <c r="AA122" i="2"/>
  <c r="AA138" i="2"/>
  <c r="O87" i="4" s="1"/>
  <c r="AA139" i="2"/>
  <c r="O88" i="4" s="1"/>
  <c r="AA137" i="2"/>
  <c r="O86" i="4" s="1"/>
  <c r="AA150" i="2"/>
  <c r="AA152" i="2" s="1"/>
  <c r="O99" i="4" s="1"/>
  <c r="AA128" i="2"/>
  <c r="AA127" i="2"/>
  <c r="AA112" i="2"/>
  <c r="AA136" i="2"/>
  <c r="AA129" i="2"/>
  <c r="AA123" i="2"/>
  <c r="AA126" i="2"/>
  <c r="AA108" i="2"/>
  <c r="N80" i="4"/>
  <c r="Y105" i="2" l="1"/>
  <c r="Y148" i="2"/>
  <c r="Y153" i="2" s="1"/>
  <c r="AB119" i="2"/>
  <c r="AB117" i="2"/>
  <c r="AB118" i="2"/>
  <c r="N81" i="4"/>
  <c r="N82" i="4" s="1"/>
  <c r="Z103" i="2"/>
  <c r="AA106" i="2"/>
  <c r="AA130" i="2"/>
  <c r="O85" i="4"/>
  <c r="AA121" i="2"/>
  <c r="AA124" i="2" s="1"/>
  <c r="Z134" i="2"/>
  <c r="FJ196" i="2" s="1"/>
  <c r="AB116" i="2" l="1"/>
  <c r="AB120" i="2" s="1"/>
  <c r="QA120" i="2"/>
  <c r="AB109" i="2" s="1"/>
  <c r="O79" i="4"/>
  <c r="AA131" i="2"/>
  <c r="AA133" i="2" s="1"/>
  <c r="Y221" i="2"/>
  <c r="Z143" i="2"/>
  <c r="O78" i="4"/>
  <c r="AA104" i="2"/>
  <c r="AB113" i="2" l="1"/>
  <c r="AA132" i="2"/>
  <c r="O80" i="4"/>
  <c r="AB150" i="2"/>
  <c r="AB152" i="2" s="1"/>
  <c r="P99" i="4" s="1"/>
  <c r="AB144" i="2"/>
  <c r="P93" i="4" s="1"/>
  <c r="AB136" i="2"/>
  <c r="AB141" i="2"/>
  <c r="P90" i="4" s="1"/>
  <c r="AB112" i="2"/>
  <c r="AB140" i="2"/>
  <c r="P89" i="4" s="1"/>
  <c r="AB137" i="2"/>
  <c r="P86" i="4" s="1"/>
  <c r="AB138" i="2"/>
  <c r="P87" i="4" s="1"/>
  <c r="AB122" i="2"/>
  <c r="AB142" i="2"/>
  <c r="P91" i="4" s="1"/>
  <c r="AB139" i="2"/>
  <c r="P88" i="4" s="1"/>
  <c r="AB145" i="2"/>
  <c r="P94" i="4" s="1"/>
  <c r="AB129" i="2"/>
  <c r="AB127" i="2"/>
  <c r="AB123" i="2"/>
  <c r="AB128" i="2"/>
  <c r="AB126" i="2"/>
  <c r="AB108" i="2"/>
  <c r="N92" i="4"/>
  <c r="N95" i="4" s="1"/>
  <c r="N97" i="4" s="1"/>
  <c r="N101" i="4" s="1"/>
  <c r="N109" i="4" s="1"/>
  <c r="Z146" i="2"/>
  <c r="AB106" i="2" l="1"/>
  <c r="AB130" i="2"/>
  <c r="P85" i="4"/>
  <c r="Z105" i="2"/>
  <c r="Z148" i="2"/>
  <c r="Z153" i="2" s="1"/>
  <c r="O81" i="4"/>
  <c r="O82" i="4" s="1"/>
  <c r="AA103" i="2"/>
  <c r="AC118" i="2"/>
  <c r="AC117" i="2"/>
  <c r="AC119" i="2"/>
  <c r="AB121" i="2"/>
  <c r="AB124" i="2" s="1"/>
  <c r="AA134" i="2"/>
  <c r="FK196" i="2" s="1"/>
  <c r="Z221" i="2" l="1"/>
  <c r="P78" i="4"/>
  <c r="AB104" i="2"/>
  <c r="AC116" i="2"/>
  <c r="AC120" i="2" s="1"/>
  <c r="QB120" i="2"/>
  <c r="AC109" i="2" s="1"/>
  <c r="AA143" i="2"/>
  <c r="P79" i="4"/>
  <c r="AB131" i="2"/>
  <c r="AB133" i="2" s="1"/>
  <c r="AC113" i="2" l="1"/>
  <c r="P80" i="4"/>
  <c r="AC150" i="2"/>
  <c r="AC152" i="2" s="1"/>
  <c r="Q99" i="4" s="1"/>
  <c r="AC112" i="2"/>
  <c r="AC144" i="2"/>
  <c r="Q93" i="4" s="1"/>
  <c r="AC140" i="2"/>
  <c r="Q89" i="4" s="1"/>
  <c r="AC141" i="2"/>
  <c r="Q90" i="4" s="1"/>
  <c r="AC122" i="2"/>
  <c r="AC138" i="2"/>
  <c r="Q87" i="4" s="1"/>
  <c r="AC136" i="2"/>
  <c r="AC139" i="2"/>
  <c r="Q88" i="4" s="1"/>
  <c r="AC142" i="2"/>
  <c r="Q91" i="4" s="1"/>
  <c r="AC129" i="2"/>
  <c r="AC137" i="2"/>
  <c r="Q86" i="4" s="1"/>
  <c r="AC127" i="2"/>
  <c r="AC145" i="2"/>
  <c r="Q94" i="4" s="1"/>
  <c r="AC123" i="2"/>
  <c r="AC128" i="2"/>
  <c r="AC126" i="2"/>
  <c r="AC108" i="2"/>
  <c r="AB132" i="2"/>
  <c r="O92" i="4"/>
  <c r="O95" i="4" s="1"/>
  <c r="O97" i="4" s="1"/>
  <c r="O101" i="4" s="1"/>
  <c r="O109" i="4" s="1"/>
  <c r="AA146" i="2"/>
  <c r="P81" i="4" l="1"/>
  <c r="P82" i="4" s="1"/>
  <c r="AB103" i="2"/>
  <c r="AC121" i="2"/>
  <c r="AC124" i="2" s="1"/>
  <c r="AA105" i="2"/>
  <c r="AA148" i="2"/>
  <c r="AA153" i="2" s="1"/>
  <c r="AD119" i="2"/>
  <c r="AD117" i="2"/>
  <c r="AD118" i="2"/>
  <c r="AB134" i="2"/>
  <c r="FL196" i="2" s="1"/>
  <c r="AC106" i="2"/>
  <c r="AC130" i="2"/>
  <c r="Q85" i="4"/>
  <c r="AA221" i="2" l="1"/>
  <c r="AB143" i="2"/>
  <c r="Q78" i="4"/>
  <c r="AC104" i="2"/>
  <c r="Q79" i="4"/>
  <c r="AC131" i="2"/>
  <c r="AC133" i="2" s="1"/>
  <c r="AD116" i="2"/>
  <c r="AD120" i="2" s="1"/>
  <c r="QC120" i="2"/>
  <c r="AD109" i="2" s="1"/>
  <c r="AD113" i="2" l="1"/>
  <c r="Q80" i="4"/>
  <c r="P92" i="4"/>
  <c r="P95" i="4" s="1"/>
  <c r="P97" i="4" s="1"/>
  <c r="P101" i="4" s="1"/>
  <c r="P109" i="4" s="1"/>
  <c r="AB146" i="2"/>
  <c r="AC132" i="2"/>
  <c r="AD122" i="2"/>
  <c r="AD150" i="2"/>
  <c r="AD152" i="2" s="1"/>
  <c r="R99" i="4" s="1"/>
  <c r="AD138" i="2"/>
  <c r="R87" i="4" s="1"/>
  <c r="AD144" i="2"/>
  <c r="R93" i="4" s="1"/>
  <c r="AD139" i="2"/>
  <c r="R88" i="4" s="1"/>
  <c r="AD145" i="2"/>
  <c r="R94" i="4" s="1"/>
  <c r="AD140" i="2"/>
  <c r="R89" i="4" s="1"/>
  <c r="AD136" i="2"/>
  <c r="AD137" i="2"/>
  <c r="R86" i="4" s="1"/>
  <c r="AD127" i="2"/>
  <c r="AD141" i="2"/>
  <c r="R90" i="4" s="1"/>
  <c r="AD142" i="2"/>
  <c r="R91" i="4" s="1"/>
  <c r="AD123" i="2"/>
  <c r="AD128" i="2"/>
  <c r="AD129" i="2"/>
  <c r="AD112" i="2"/>
  <c r="AD126" i="2"/>
  <c r="AD108" i="2"/>
  <c r="Q81" i="4" l="1"/>
  <c r="Q82" i="4" s="1"/>
  <c r="AC103" i="2"/>
  <c r="R85" i="4"/>
  <c r="AC134" i="2"/>
  <c r="FM196" i="2" s="1"/>
  <c r="AB105" i="2"/>
  <c r="AB148" i="2"/>
  <c r="AB153" i="2" s="1"/>
  <c r="AE118" i="2"/>
  <c r="AE119" i="2"/>
  <c r="AE117" i="2"/>
  <c r="AD121" i="2"/>
  <c r="AD124" i="2" s="1"/>
  <c r="AD106" i="2"/>
  <c r="AD130" i="2"/>
  <c r="AD104" i="2" l="1"/>
  <c r="R78" i="4"/>
  <c r="AC143" i="2"/>
  <c r="AB221" i="2"/>
  <c r="AE116" i="2"/>
  <c r="AE120" i="2" s="1"/>
  <c r="QD120" i="2"/>
  <c r="AE109" i="2" s="1"/>
  <c r="R79" i="4"/>
  <c r="AD131" i="2"/>
  <c r="AD133" i="2" s="1"/>
  <c r="AE113" i="2" l="1"/>
  <c r="Q92" i="4"/>
  <c r="Q95" i="4" s="1"/>
  <c r="Q97" i="4" s="1"/>
  <c r="Q101" i="4" s="1"/>
  <c r="Q109" i="4" s="1"/>
  <c r="AC146" i="2"/>
  <c r="AD132" i="2"/>
  <c r="R80" i="4"/>
  <c r="AE145" i="2"/>
  <c r="AE112" i="2"/>
  <c r="AE140" i="2"/>
  <c r="AE141" i="2"/>
  <c r="AE150" i="2"/>
  <c r="AE138" i="2"/>
  <c r="AE142" i="2"/>
  <c r="AE137" i="2"/>
  <c r="AE122" i="2"/>
  <c r="AE136" i="2"/>
  <c r="AE139" i="2"/>
  <c r="AE144" i="2"/>
  <c r="AE123" i="2"/>
  <c r="AE127" i="2"/>
  <c r="AE129" i="2"/>
  <c r="AE128" i="2"/>
  <c r="AE126" i="2"/>
  <c r="AE108" i="2"/>
  <c r="K47" i="2" l="1"/>
  <c r="K33" i="1" s="1"/>
  <c r="S87" i="4"/>
  <c r="S93" i="4"/>
  <c r="S90" i="4"/>
  <c r="R81" i="4"/>
  <c r="R82" i="4" s="1"/>
  <c r="AD103" i="2"/>
  <c r="AE121" i="2"/>
  <c r="AE124" i="2" s="1"/>
  <c r="S88" i="4"/>
  <c r="S89" i="4"/>
  <c r="AE152" i="2"/>
  <c r="S99" i="4" s="1"/>
  <c r="AE106" i="2"/>
  <c r="AE130" i="2"/>
  <c r="S85" i="4"/>
  <c r="AF117" i="2"/>
  <c r="AF119" i="2"/>
  <c r="AF118" i="2"/>
  <c r="AD134" i="2"/>
  <c r="FN196" i="2" s="1"/>
  <c r="S91" i="4"/>
  <c r="S94" i="4"/>
  <c r="AC105" i="2"/>
  <c r="AC148" i="2"/>
  <c r="AC153" i="2" s="1"/>
  <c r="S86" i="4"/>
  <c r="BR225" i="2" l="1"/>
  <c r="K56" i="2"/>
  <c r="AK225" i="2"/>
  <c r="BM225" i="2"/>
  <c r="AN225" i="2"/>
  <c r="BL225" i="2"/>
  <c r="BQ225" i="2"/>
  <c r="Y225" i="2"/>
  <c r="CA225" i="2"/>
  <c r="BK225" i="2"/>
  <c r="BN225" i="2"/>
  <c r="BJ225" i="2"/>
  <c r="AL225" i="2"/>
  <c r="S225" i="2"/>
  <c r="AG225" i="2"/>
  <c r="AU225" i="2"/>
  <c r="BY225" i="2"/>
  <c r="BI225" i="2"/>
  <c r="X225" i="2"/>
  <c r="W225" i="2"/>
  <c r="AZ225" i="2"/>
  <c r="AX225" i="2"/>
  <c r="AD225" i="2"/>
  <c r="BX225" i="2"/>
  <c r="BH225" i="2"/>
  <c r="AM225" i="2"/>
  <c r="AI225" i="2"/>
  <c r="BZ225" i="2"/>
  <c r="AS225" i="2"/>
  <c r="AC225" i="2"/>
  <c r="BW225" i="2"/>
  <c r="BG225" i="2"/>
  <c r="BO225" i="2"/>
  <c r="AH225" i="2"/>
  <c r="AR225" i="2"/>
  <c r="AB225" i="2"/>
  <c r="BV225" i="2"/>
  <c r="BF225" i="2"/>
  <c r="BC225" i="2"/>
  <c r="BA225" i="2"/>
  <c r="AF225" i="2"/>
  <c r="AT225" i="2"/>
  <c r="AQ225" i="2"/>
  <c r="AA225" i="2"/>
  <c r="BU225" i="2"/>
  <c r="BE225" i="2"/>
  <c r="BP225" i="2"/>
  <c r="AJ225" i="2"/>
  <c r="T225" i="2"/>
  <c r="AW225" i="2"/>
  <c r="AE225" i="2"/>
  <c r="AP225" i="2"/>
  <c r="Z225" i="2"/>
  <c r="BT225" i="2"/>
  <c r="BD225" i="2"/>
  <c r="U225" i="2"/>
  <c r="BB225" i="2"/>
  <c r="AY225" i="2"/>
  <c r="AV225" i="2"/>
  <c r="AO225" i="2"/>
  <c r="V225" i="2"/>
  <c r="BS225" i="2"/>
  <c r="CB225" i="2"/>
  <c r="CC225" i="2"/>
  <c r="CD225" i="2"/>
  <c r="CE225" i="2"/>
  <c r="CF225" i="2"/>
  <c r="CG225" i="2"/>
  <c r="CH225" i="2"/>
  <c r="CI225" i="2"/>
  <c r="CJ225" i="2"/>
  <c r="CK225" i="2"/>
  <c r="CL225" i="2"/>
  <c r="CM225" i="2"/>
  <c r="CN225" i="2"/>
  <c r="CO225" i="2"/>
  <c r="CP225" i="2"/>
  <c r="CQ225" i="2"/>
  <c r="CR225" i="2"/>
  <c r="CS225" i="2"/>
  <c r="CT225" i="2"/>
  <c r="CU225" i="2"/>
  <c r="CV225" i="2"/>
  <c r="CW225" i="2"/>
  <c r="CX225" i="2"/>
  <c r="CY225" i="2"/>
  <c r="CZ225" i="2"/>
  <c r="DA225" i="2"/>
  <c r="DB225" i="2"/>
  <c r="DC225" i="2"/>
  <c r="DD225" i="2"/>
  <c r="DE225" i="2"/>
  <c r="DF225" i="2"/>
  <c r="DG225" i="2"/>
  <c r="DH225" i="2"/>
  <c r="DI225" i="2"/>
  <c r="DJ225" i="2"/>
  <c r="DK225" i="2"/>
  <c r="DL225" i="2"/>
  <c r="DM225" i="2"/>
  <c r="DN225" i="2"/>
  <c r="DO225" i="2"/>
  <c r="DP225" i="2"/>
  <c r="DQ225" i="2"/>
  <c r="DR225" i="2"/>
  <c r="DS225" i="2"/>
  <c r="DT225" i="2"/>
  <c r="DU225" i="2"/>
  <c r="DV225" i="2"/>
  <c r="DW225" i="2"/>
  <c r="DX225" i="2"/>
  <c r="DY225" i="2"/>
  <c r="DZ225" i="2"/>
  <c r="EA225" i="2"/>
  <c r="EB225" i="2"/>
  <c r="EC225" i="2"/>
  <c r="ED225" i="2"/>
  <c r="EE225" i="2"/>
  <c r="EF225" i="2"/>
  <c r="EG225" i="2"/>
  <c r="EH225" i="2"/>
  <c r="EI225" i="2"/>
  <c r="J33" i="1"/>
  <c r="K34" i="1"/>
  <c r="I56" i="2"/>
  <c r="I58" i="2" s="1"/>
  <c r="J56" i="2"/>
  <c r="J58" i="2" s="1"/>
  <c r="K58" i="2"/>
  <c r="AC221" i="2"/>
  <c r="AD143" i="2"/>
  <c r="S78" i="4"/>
  <c r="AE104" i="2"/>
  <c r="S79" i="4"/>
  <c r="AE131" i="2"/>
  <c r="AE133" i="2" s="1"/>
  <c r="AF116" i="2"/>
  <c r="AF120" i="2" s="1"/>
  <c r="QE120" i="2"/>
  <c r="AF109" i="2" s="1"/>
  <c r="AF113" i="2" l="1"/>
  <c r="K225" i="2"/>
  <c r="R225" i="2" s="1"/>
  <c r="H33" i="1"/>
  <c r="H34" i="1"/>
  <c r="H31" i="1"/>
  <c r="H32" i="1"/>
  <c r="H30" i="1"/>
  <c r="N33" i="1"/>
  <c r="I33" i="1"/>
  <c r="I34" i="1" s="1"/>
  <c r="J34" i="1"/>
  <c r="K67" i="2"/>
  <c r="K68" i="2"/>
  <c r="S80" i="4"/>
  <c r="R92" i="4"/>
  <c r="R95" i="4" s="1"/>
  <c r="R97" i="4" s="1"/>
  <c r="R101" i="4" s="1"/>
  <c r="R109" i="4" s="1"/>
  <c r="AD146" i="2"/>
  <c r="AE132" i="2"/>
  <c r="AF142" i="2"/>
  <c r="AF141" i="2"/>
  <c r="AF139" i="2"/>
  <c r="AF140" i="2"/>
  <c r="AF122" i="2"/>
  <c r="AF137" i="2"/>
  <c r="AF112" i="2"/>
  <c r="AF138" i="2"/>
  <c r="AF144" i="2"/>
  <c r="AF128" i="2"/>
  <c r="AF129" i="2"/>
  <c r="AF150" i="2"/>
  <c r="AF136" i="2"/>
  <c r="AF145" i="2"/>
  <c r="AF127" i="2"/>
  <c r="AF123" i="2"/>
  <c r="AF108" i="2"/>
  <c r="AF126" i="2"/>
  <c r="J68" i="2" l="1"/>
  <c r="G68" i="2"/>
  <c r="I68" i="2"/>
  <c r="H81" i="2"/>
  <c r="EY64" i="2"/>
  <c r="F31" i="1"/>
  <c r="H80" i="2"/>
  <c r="H82" i="2" s="1"/>
  <c r="J67" i="2"/>
  <c r="G67" i="2"/>
  <c r="K69" i="2"/>
  <c r="I67" i="2"/>
  <c r="F30" i="1"/>
  <c r="EY63" i="2"/>
  <c r="AE134" i="2"/>
  <c r="S81" i="4"/>
  <c r="S82" i="4" s="1"/>
  <c r="AE103" i="2"/>
  <c r="AF152" i="2"/>
  <c r="T99" i="4" s="1"/>
  <c r="T89" i="4"/>
  <c r="AD105" i="2"/>
  <c r="AD148" i="2"/>
  <c r="AD153" i="2" s="1"/>
  <c r="T94" i="4"/>
  <c r="T88" i="4"/>
  <c r="T85" i="4"/>
  <c r="AF121" i="2"/>
  <c r="AF124" i="2" s="1"/>
  <c r="T93" i="4"/>
  <c r="T90" i="4"/>
  <c r="AG118" i="2"/>
  <c r="AG117" i="2"/>
  <c r="AG119" i="2"/>
  <c r="T86" i="4"/>
  <c r="T87" i="4"/>
  <c r="T91" i="4"/>
  <c r="AF106" i="2"/>
  <c r="AF130" i="2"/>
  <c r="AE143" i="2" l="1"/>
  <c r="FO196" i="2"/>
  <c r="I69" i="2"/>
  <c r="J69" i="2"/>
  <c r="E31" i="1"/>
  <c r="EZ63" i="2"/>
  <c r="FB63" i="2"/>
  <c r="EY62" i="2"/>
  <c r="EY61" i="2"/>
  <c r="FB64" i="2"/>
  <c r="EZ64" i="2"/>
  <c r="E30" i="1"/>
  <c r="K63" i="2"/>
  <c r="G69" i="2"/>
  <c r="H69" i="2"/>
  <c r="K62" i="2"/>
  <c r="T78" i="4"/>
  <c r="AF104" i="2"/>
  <c r="AG116" i="2"/>
  <c r="AG120" i="2" s="1"/>
  <c r="QF120" i="2"/>
  <c r="AG109" i="2" s="1"/>
  <c r="AD221" i="2"/>
  <c r="T79" i="4"/>
  <c r="AF131" i="2"/>
  <c r="AF133" i="2" s="1"/>
  <c r="S92" i="4"/>
  <c r="S95" i="4" s="1"/>
  <c r="S97" i="4" s="1"/>
  <c r="S101" i="4" s="1"/>
  <c r="S109" i="4" s="1"/>
  <c r="AE146" i="2"/>
  <c r="AG113" i="2" l="1"/>
  <c r="F32" i="1"/>
  <c r="J62" i="2"/>
  <c r="I62" i="2"/>
  <c r="K64" i="2"/>
  <c r="K71" i="2" s="1"/>
  <c r="FB61" i="2"/>
  <c r="EZ61" i="2"/>
  <c r="EZ62" i="2"/>
  <c r="FB62" i="2"/>
  <c r="F33" i="1"/>
  <c r="I63" i="2"/>
  <c r="I71" i="2" s="1"/>
  <c r="J63" i="2"/>
  <c r="J71" i="2" s="1"/>
  <c r="AG141" i="2"/>
  <c r="AG144" i="2"/>
  <c r="AG122" i="2"/>
  <c r="AG137" i="2"/>
  <c r="AG140" i="2"/>
  <c r="AG112" i="2"/>
  <c r="AG145" i="2"/>
  <c r="AG142" i="2"/>
  <c r="AG139" i="2"/>
  <c r="AG127" i="2"/>
  <c r="AG129" i="2"/>
  <c r="AG138" i="2"/>
  <c r="AG123" i="2"/>
  <c r="AG150" i="2"/>
  <c r="AG128" i="2"/>
  <c r="AG136" i="2"/>
  <c r="AG126" i="2"/>
  <c r="AG108" i="2"/>
  <c r="AE105" i="2"/>
  <c r="AE148" i="2"/>
  <c r="AE153" i="2" s="1"/>
  <c r="AF132" i="2"/>
  <c r="T80" i="4"/>
  <c r="J64" i="2" l="1"/>
  <c r="I64" i="2"/>
  <c r="E33" i="1"/>
  <c r="E32" i="1"/>
  <c r="E34" i="1" s="1"/>
  <c r="F34" i="1"/>
  <c r="U86" i="4"/>
  <c r="U89" i="4"/>
  <c r="U85" i="4"/>
  <c r="U88" i="4"/>
  <c r="U93" i="4"/>
  <c r="U87" i="4"/>
  <c r="T81" i="4"/>
  <c r="T82" i="4" s="1"/>
  <c r="AF103" i="2"/>
  <c r="AG106" i="2"/>
  <c r="AG130" i="2"/>
  <c r="AF134" i="2"/>
  <c r="FP196" i="2" s="1"/>
  <c r="U91" i="4"/>
  <c r="U90" i="4"/>
  <c r="U94" i="4"/>
  <c r="AG152" i="2"/>
  <c r="U99" i="4" s="1"/>
  <c r="AG121" i="2"/>
  <c r="AG124" i="2" s="1"/>
  <c r="AE221" i="2"/>
  <c r="AH118" i="2"/>
  <c r="AH119" i="2"/>
  <c r="AH117" i="2"/>
  <c r="D32" i="1" l="1"/>
  <c r="D34" i="1"/>
  <c r="D31" i="1"/>
  <c r="D30" i="1"/>
  <c r="D33" i="1"/>
  <c r="AG131" i="2"/>
  <c r="AG133" i="2" s="1"/>
  <c r="U79" i="4"/>
  <c r="U78" i="4"/>
  <c r="AG104" i="2"/>
  <c r="AF143" i="2"/>
  <c r="AH116" i="2"/>
  <c r="AH120" i="2" s="1"/>
  <c r="QG120" i="2"/>
  <c r="AH109" i="2" s="1"/>
  <c r="AH113" i="2" l="1"/>
  <c r="U80" i="4"/>
  <c r="T92" i="4"/>
  <c r="AF146" i="2"/>
  <c r="AH145" i="2"/>
  <c r="AH140" i="2"/>
  <c r="AH150" i="2"/>
  <c r="AH138" i="2"/>
  <c r="AH141" i="2"/>
  <c r="AH112" i="2"/>
  <c r="AH142" i="2"/>
  <c r="AH122" i="2"/>
  <c r="AH144" i="2"/>
  <c r="AH139" i="2"/>
  <c r="AH136" i="2"/>
  <c r="AH137" i="2"/>
  <c r="AH128" i="2"/>
  <c r="AH129" i="2"/>
  <c r="AH123" i="2"/>
  <c r="AH127" i="2"/>
  <c r="AH126" i="2"/>
  <c r="AH108" i="2"/>
  <c r="AG132" i="2"/>
  <c r="V91" i="4" l="1"/>
  <c r="V89" i="4"/>
  <c r="V90" i="4"/>
  <c r="V86" i="4"/>
  <c r="V87" i="4"/>
  <c r="AF105" i="2"/>
  <c r="AF148" i="2"/>
  <c r="AF153" i="2" s="1"/>
  <c r="AH121" i="2"/>
  <c r="AH124" i="2" s="1"/>
  <c r="V85" i="4"/>
  <c r="T95" i="4"/>
  <c r="T97" i="4" s="1"/>
  <c r="T101" i="4" s="1"/>
  <c r="T109" i="4" s="1"/>
  <c r="V93" i="4"/>
  <c r="V94" i="4"/>
  <c r="U81" i="4"/>
  <c r="AG103" i="2"/>
  <c r="AI118" i="2"/>
  <c r="AI117" i="2"/>
  <c r="AI119" i="2"/>
  <c r="AG134" i="2"/>
  <c r="FQ196" i="2" s="1"/>
  <c r="AH106" i="2"/>
  <c r="AH130" i="2"/>
  <c r="V88" i="4"/>
  <c r="AH152" i="2"/>
  <c r="V99" i="4" s="1"/>
  <c r="U82" i="4" l="1"/>
  <c r="AF221" i="2"/>
  <c r="AI116" i="2"/>
  <c r="AI120" i="2" s="1"/>
  <c r="QH120" i="2"/>
  <c r="AI109" i="2" s="1"/>
  <c r="AG143" i="2"/>
  <c r="AH131" i="2"/>
  <c r="AH133" i="2" s="1"/>
  <c r="V79" i="4"/>
  <c r="V78" i="4"/>
  <c r="AH104" i="2"/>
  <c r="AI113" i="2" l="1"/>
  <c r="V80" i="4"/>
  <c r="U92" i="4"/>
  <c r="AG146" i="2"/>
  <c r="AI122" i="2"/>
  <c r="AI141" i="2"/>
  <c r="AI112" i="2"/>
  <c r="AI150" i="2"/>
  <c r="AI140" i="2"/>
  <c r="AI144" i="2"/>
  <c r="AI142" i="2"/>
  <c r="AI139" i="2"/>
  <c r="AI138" i="2"/>
  <c r="AI136" i="2"/>
  <c r="AI137" i="2"/>
  <c r="AI123" i="2"/>
  <c r="AI127" i="2"/>
  <c r="AI145" i="2"/>
  <c r="AI128" i="2"/>
  <c r="AI129" i="2"/>
  <c r="AI126" i="2"/>
  <c r="AI108" i="2"/>
  <c r="AH132" i="2"/>
  <c r="U95" i="4" l="1"/>
  <c r="U97" i="4" s="1"/>
  <c r="U101" i="4" s="1"/>
  <c r="U109" i="4" s="1"/>
  <c r="AI106" i="2"/>
  <c r="AI130" i="2"/>
  <c r="W85" i="4"/>
  <c r="W90" i="4"/>
  <c r="W86" i="4"/>
  <c r="W87" i="4"/>
  <c r="V81" i="4"/>
  <c r="AH103" i="2"/>
  <c r="W88" i="4"/>
  <c r="AH134" i="2"/>
  <c r="FR196" i="2" s="1"/>
  <c r="W93" i="4"/>
  <c r="W91" i="4"/>
  <c r="W89" i="4"/>
  <c r="AG105" i="2"/>
  <c r="AG148" i="2"/>
  <c r="AG153" i="2" s="1"/>
  <c r="AG221" i="2" s="1"/>
  <c r="AJ118" i="2"/>
  <c r="AJ119" i="2"/>
  <c r="AJ117" i="2"/>
  <c r="W94" i="4"/>
  <c r="AI121" i="2"/>
  <c r="AI124" i="2" s="1"/>
  <c r="AI152" i="2"/>
  <c r="W99" i="4" s="1"/>
  <c r="V82" i="4" l="1"/>
  <c r="AH143" i="2"/>
  <c r="W78" i="4"/>
  <c r="AI104" i="2"/>
  <c r="W79" i="4"/>
  <c r="AI131" i="2"/>
  <c r="AI133" i="2" s="1"/>
  <c r="AJ116" i="2"/>
  <c r="AJ120" i="2" s="1"/>
  <c r="QI120" i="2"/>
  <c r="AJ109" i="2" s="1"/>
  <c r="AJ113" i="2" l="1"/>
  <c r="W80" i="4"/>
  <c r="AJ142" i="2"/>
  <c r="AJ138" i="2"/>
  <c r="AJ137" i="2"/>
  <c r="AJ150" i="2"/>
  <c r="AJ112" i="2"/>
  <c r="AJ145" i="2"/>
  <c r="AJ122" i="2"/>
  <c r="AJ144" i="2"/>
  <c r="AJ139" i="2"/>
  <c r="AJ136" i="2"/>
  <c r="AJ141" i="2"/>
  <c r="AJ129" i="2"/>
  <c r="AJ128" i="2"/>
  <c r="AJ140" i="2"/>
  <c r="AJ123" i="2"/>
  <c r="AJ127" i="2"/>
  <c r="AJ126" i="2"/>
  <c r="AJ108" i="2"/>
  <c r="V92" i="4"/>
  <c r="AH146" i="2"/>
  <c r="AI132" i="2"/>
  <c r="V95" i="4" l="1"/>
  <c r="V97" i="4" s="1"/>
  <c r="V101" i="4" s="1"/>
  <c r="V109" i="4" s="1"/>
  <c r="AK119" i="2"/>
  <c r="AK117" i="2"/>
  <c r="AK118" i="2"/>
  <c r="X90" i="4"/>
  <c r="X86" i="4"/>
  <c r="X89" i="4"/>
  <c r="AJ152" i="2"/>
  <c r="X99" i="4" s="1"/>
  <c r="X85" i="4"/>
  <c r="X88" i="4"/>
  <c r="X87" i="4"/>
  <c r="X94" i="4"/>
  <c r="W81" i="4"/>
  <c r="AI103" i="2"/>
  <c r="AJ106" i="2"/>
  <c r="AJ130" i="2"/>
  <c r="AI134" i="2"/>
  <c r="FS196" i="2" s="1"/>
  <c r="X93" i="4"/>
  <c r="X91" i="4"/>
  <c r="AH105" i="2"/>
  <c r="AH148" i="2"/>
  <c r="AH153" i="2" s="1"/>
  <c r="AH221" i="2" s="1"/>
  <c r="AJ121" i="2"/>
  <c r="AJ124" i="2" s="1"/>
  <c r="W82" i="4" l="1"/>
  <c r="AI143" i="2"/>
  <c r="AK116" i="2"/>
  <c r="AK120" i="2" s="1"/>
  <c r="QJ120" i="2"/>
  <c r="AK109" i="2" s="1"/>
  <c r="X78" i="4"/>
  <c r="AJ104" i="2"/>
  <c r="AJ131" i="2"/>
  <c r="AJ133" i="2" s="1"/>
  <c r="X79" i="4"/>
  <c r="AK113" i="2" l="1"/>
  <c r="X80" i="4"/>
  <c r="AK142" i="2"/>
  <c r="Y91" i="4" s="1"/>
  <c r="AK145" i="2"/>
  <c r="Y94" i="4" s="1"/>
  <c r="AK140" i="2"/>
  <c r="Y89" i="4" s="1"/>
  <c r="AK141" i="2"/>
  <c r="Y90" i="4" s="1"/>
  <c r="AK144" i="2"/>
  <c r="Y93" i="4" s="1"/>
  <c r="AK139" i="2"/>
  <c r="Y88" i="4" s="1"/>
  <c r="AK137" i="2"/>
  <c r="Y86" i="4" s="1"/>
  <c r="AK138" i="2"/>
  <c r="Y87" i="4" s="1"/>
  <c r="AK136" i="2"/>
  <c r="AK150" i="2"/>
  <c r="AK152" i="2" s="1"/>
  <c r="Y99" i="4" s="1"/>
  <c r="AK122" i="2"/>
  <c r="AK112" i="2"/>
  <c r="AK128" i="2"/>
  <c r="AK127" i="2"/>
  <c r="AK123" i="2"/>
  <c r="AK129" i="2"/>
  <c r="AK126" i="2"/>
  <c r="AK108" i="2"/>
  <c r="W92" i="4"/>
  <c r="AI146" i="2"/>
  <c r="AJ132" i="2"/>
  <c r="W95" i="4" l="1"/>
  <c r="W97" i="4" s="1"/>
  <c r="W101" i="4" s="1"/>
  <c r="W109" i="4" s="1"/>
  <c r="Y85" i="4"/>
  <c r="AK121" i="2"/>
  <c r="AK124" i="2" s="1"/>
  <c r="AL119" i="2"/>
  <c r="AL118" i="2"/>
  <c r="AL117" i="2"/>
  <c r="AI105" i="2"/>
  <c r="AI148" i="2"/>
  <c r="AI153" i="2" s="1"/>
  <c r="AI221" i="2" s="1"/>
  <c r="X81" i="4"/>
  <c r="AJ103" i="2"/>
  <c r="AK106" i="2"/>
  <c r="AK130" i="2"/>
  <c r="AJ134" i="2"/>
  <c r="FT196" i="2" s="1"/>
  <c r="X82" i="4" l="1"/>
  <c r="AK104" i="2"/>
  <c r="Y78" i="4"/>
  <c r="AJ143" i="2"/>
  <c r="AK131" i="2"/>
  <c r="AK133" i="2" s="1"/>
  <c r="Y79" i="4"/>
  <c r="AL116" i="2"/>
  <c r="AL120" i="2" s="1"/>
  <c r="QK120" i="2"/>
  <c r="AL109" i="2" s="1"/>
  <c r="AL113" i="2" l="1"/>
  <c r="Y80" i="4"/>
  <c r="AK132" i="2"/>
  <c r="X92" i="4"/>
  <c r="AJ146" i="2"/>
  <c r="AL138" i="2"/>
  <c r="Z87" i="4" s="1"/>
  <c r="AL140" i="2"/>
  <c r="Z89" i="4" s="1"/>
  <c r="AL141" i="2"/>
  <c r="Z90" i="4" s="1"/>
  <c r="AL142" i="2"/>
  <c r="Z91" i="4" s="1"/>
  <c r="AL144" i="2"/>
  <c r="Z93" i="4" s="1"/>
  <c r="AL150" i="2"/>
  <c r="AL152" i="2" s="1"/>
  <c r="Z99" i="4" s="1"/>
  <c r="AL145" i="2"/>
  <c r="Z94" i="4" s="1"/>
  <c r="AL137" i="2"/>
  <c r="Z86" i="4" s="1"/>
  <c r="AL122" i="2"/>
  <c r="AL139" i="2"/>
  <c r="Z88" i="4" s="1"/>
  <c r="AL112" i="2"/>
  <c r="AL129" i="2"/>
  <c r="AL127" i="2"/>
  <c r="AL123" i="2"/>
  <c r="AL136" i="2"/>
  <c r="AL128" i="2"/>
  <c r="AL126" i="2"/>
  <c r="AL108" i="2"/>
  <c r="X95" i="4" l="1"/>
  <c r="X97" i="4" s="1"/>
  <c r="X101" i="4" s="1"/>
  <c r="X109" i="4" s="1"/>
  <c r="Z85" i="4"/>
  <c r="AJ105" i="2"/>
  <c r="AJ148" i="2"/>
  <c r="AJ153" i="2" s="1"/>
  <c r="AJ221" i="2" s="1"/>
  <c r="Y81" i="4"/>
  <c r="AK103" i="2"/>
  <c r="AM118" i="2"/>
  <c r="AM119" i="2"/>
  <c r="AM117" i="2"/>
  <c r="AL121" i="2"/>
  <c r="AL124" i="2" s="1"/>
  <c r="AL106" i="2"/>
  <c r="AL130" i="2"/>
  <c r="AK134" i="2"/>
  <c r="FU196" i="2" s="1"/>
  <c r="Y82" i="4" l="1"/>
  <c r="AK143" i="2"/>
  <c r="AL131" i="2"/>
  <c r="AL133" i="2" s="1"/>
  <c r="Z79" i="4"/>
  <c r="AL104" i="2"/>
  <c r="Z78" i="4"/>
  <c r="AM116" i="2"/>
  <c r="AM120" i="2" s="1"/>
  <c r="QL120" i="2"/>
  <c r="AM109" i="2" s="1"/>
  <c r="AM113" i="2" l="1"/>
  <c r="AM138" i="2"/>
  <c r="AA87" i="4" s="1"/>
  <c r="AM145" i="2"/>
  <c r="AA94" i="4" s="1"/>
  <c r="AM139" i="2"/>
  <c r="AA88" i="4" s="1"/>
  <c r="AM142" i="2"/>
  <c r="AA91" i="4" s="1"/>
  <c r="AM137" i="2"/>
  <c r="AA86" i="4" s="1"/>
  <c r="AM140" i="2"/>
  <c r="AA89" i="4" s="1"/>
  <c r="AM150" i="2"/>
  <c r="AM152" i="2" s="1"/>
  <c r="AA99" i="4" s="1"/>
  <c r="AM144" i="2"/>
  <c r="AA93" i="4" s="1"/>
  <c r="AM122" i="2"/>
  <c r="AM128" i="2"/>
  <c r="AM136" i="2"/>
  <c r="AM112" i="2"/>
  <c r="AM127" i="2"/>
  <c r="AM129" i="2"/>
  <c r="AM141" i="2"/>
  <c r="AA90" i="4" s="1"/>
  <c r="AM123" i="2"/>
  <c r="AM126" i="2"/>
  <c r="AM108" i="2"/>
  <c r="AL132" i="2"/>
  <c r="Y92" i="4"/>
  <c r="AK146" i="2"/>
  <c r="Z80" i="4"/>
  <c r="AL134" i="2" l="1"/>
  <c r="Y95" i="4"/>
  <c r="Y97" i="4" s="1"/>
  <c r="Y101" i="4" s="1"/>
  <c r="Y109" i="4" s="1"/>
  <c r="AM121" i="2"/>
  <c r="AM124" i="2" s="1"/>
  <c r="AA85" i="4"/>
  <c r="AN118" i="2"/>
  <c r="AN117" i="2"/>
  <c r="AN119" i="2"/>
  <c r="AM106" i="2"/>
  <c r="AM130" i="2"/>
  <c r="Z81" i="4"/>
  <c r="AL103" i="2"/>
  <c r="AK105" i="2"/>
  <c r="AK148" i="2"/>
  <c r="AK153" i="2" s="1"/>
  <c r="AK221" i="2" s="1"/>
  <c r="AL143" i="2" l="1"/>
  <c r="Z92" i="4" s="1"/>
  <c r="FV196" i="2"/>
  <c r="Z82" i="4"/>
  <c r="AN116" i="2"/>
  <c r="AN120" i="2" s="1"/>
  <c r="QM120" i="2"/>
  <c r="AN109" i="2" s="1"/>
  <c r="AA79" i="4"/>
  <c r="AM131" i="2"/>
  <c r="AM133" i="2" s="1"/>
  <c r="AA78" i="4"/>
  <c r="AM104" i="2"/>
  <c r="AL146" i="2"/>
  <c r="AN113" i="2" l="1"/>
  <c r="Z95" i="4"/>
  <c r="Z97" i="4" s="1"/>
  <c r="Z101" i="4" s="1"/>
  <c r="Z109" i="4" s="1"/>
  <c r="AA80" i="4"/>
  <c r="AM132" i="2"/>
  <c r="AL105" i="2"/>
  <c r="AL148" i="2"/>
  <c r="AL153" i="2" s="1"/>
  <c r="AL221" i="2" s="1"/>
  <c r="AN144" i="2"/>
  <c r="AB93" i="4" s="1"/>
  <c r="AN140" i="2"/>
  <c r="AB89" i="4" s="1"/>
  <c r="AN145" i="2"/>
  <c r="AB94" i="4" s="1"/>
  <c r="AN142" i="2"/>
  <c r="AB91" i="4" s="1"/>
  <c r="AN139" i="2"/>
  <c r="AB88" i="4" s="1"/>
  <c r="AN112" i="2"/>
  <c r="AN150" i="2"/>
  <c r="AN152" i="2" s="1"/>
  <c r="AB99" i="4" s="1"/>
  <c r="AN122" i="2"/>
  <c r="AN137" i="2"/>
  <c r="AB86" i="4" s="1"/>
  <c r="AN138" i="2"/>
  <c r="AB87" i="4" s="1"/>
  <c r="AN123" i="2"/>
  <c r="AN141" i="2"/>
  <c r="AB90" i="4" s="1"/>
  <c r="AN129" i="2"/>
  <c r="AN128" i="2"/>
  <c r="AN136" i="2"/>
  <c r="AN127" i="2"/>
  <c r="AN126" i="2"/>
  <c r="AN108" i="2"/>
  <c r="AN106" i="2" l="1"/>
  <c r="AN130" i="2"/>
  <c r="AB85" i="4"/>
  <c r="AO118" i="2"/>
  <c r="AO119" i="2"/>
  <c r="AO117" i="2"/>
  <c r="AA81" i="4"/>
  <c r="AM103" i="2"/>
  <c r="AN121" i="2"/>
  <c r="AN124" i="2" s="1"/>
  <c r="AM134" i="2"/>
  <c r="FW196" i="2" s="1"/>
  <c r="AA82" i="4" l="1"/>
  <c r="AO116" i="2"/>
  <c r="AO120" i="2" s="1"/>
  <c r="QN120" i="2"/>
  <c r="AO109" i="2" s="1"/>
  <c r="AB78" i="4"/>
  <c r="AN104" i="2"/>
  <c r="AN131" i="2"/>
  <c r="AN133" i="2" s="1"/>
  <c r="AB79" i="4"/>
  <c r="AM143" i="2"/>
  <c r="AO113" i="2" l="1"/>
  <c r="AO142" i="2"/>
  <c r="AC91" i="4" s="1"/>
  <c r="AO141" i="2"/>
  <c r="AC90" i="4" s="1"/>
  <c r="AO112" i="2"/>
  <c r="AO144" i="2"/>
  <c r="AC93" i="4" s="1"/>
  <c r="AO139" i="2"/>
  <c r="AC88" i="4" s="1"/>
  <c r="AO145" i="2"/>
  <c r="AC94" i="4" s="1"/>
  <c r="AO150" i="2"/>
  <c r="AO152" i="2" s="1"/>
  <c r="AC99" i="4" s="1"/>
  <c r="AO122" i="2"/>
  <c r="AO137" i="2"/>
  <c r="AC86" i="4" s="1"/>
  <c r="AO136" i="2"/>
  <c r="AO140" i="2"/>
  <c r="AC89" i="4" s="1"/>
  <c r="AO123" i="2"/>
  <c r="AO138" i="2"/>
  <c r="AC87" i="4" s="1"/>
  <c r="AO128" i="2"/>
  <c r="AO129" i="2"/>
  <c r="AO127" i="2"/>
  <c r="AO126" i="2"/>
  <c r="AO108" i="2"/>
  <c r="AN132" i="2"/>
  <c r="AB80" i="4"/>
  <c r="AA92" i="4"/>
  <c r="AM146" i="2"/>
  <c r="AA95" i="4" l="1"/>
  <c r="AA97" i="4" s="1"/>
  <c r="AA101" i="4" s="1"/>
  <c r="AA109" i="4" s="1"/>
  <c r="AN134" i="2"/>
  <c r="AO121" i="2"/>
  <c r="AO124" i="2" s="1"/>
  <c r="AB81" i="4"/>
  <c r="AN103" i="2"/>
  <c r="AO106" i="2"/>
  <c r="AO130" i="2"/>
  <c r="AP118" i="2"/>
  <c r="AP117" i="2"/>
  <c r="AP119" i="2"/>
  <c r="AM105" i="2"/>
  <c r="AM148" i="2"/>
  <c r="AM153" i="2" s="1"/>
  <c r="AM221" i="2" s="1"/>
  <c r="AC85" i="4"/>
  <c r="AN143" i="2" l="1"/>
  <c r="FX196" i="2"/>
  <c r="AB82" i="4"/>
  <c r="AO104" i="2"/>
  <c r="AC78" i="4"/>
  <c r="AC79" i="4"/>
  <c r="AO131" i="2"/>
  <c r="AO133" i="2" s="1"/>
  <c r="AB92" i="4"/>
  <c r="AN146" i="2"/>
  <c r="AP116" i="2"/>
  <c r="AP120" i="2" s="1"/>
  <c r="QO120" i="2"/>
  <c r="AP109" i="2" s="1"/>
  <c r="AP113" i="2" l="1"/>
  <c r="AB95" i="4"/>
  <c r="AB97" i="4" s="1"/>
  <c r="AB101" i="4" s="1"/>
  <c r="AB109" i="4" s="1"/>
  <c r="AO132" i="2"/>
  <c r="AP142" i="2"/>
  <c r="AD91" i="4" s="1"/>
  <c r="AP145" i="2"/>
  <c r="AD94" i="4" s="1"/>
  <c r="AP141" i="2"/>
  <c r="AD90" i="4" s="1"/>
  <c r="AP140" i="2"/>
  <c r="AD89" i="4" s="1"/>
  <c r="AP144" i="2"/>
  <c r="AD93" i="4" s="1"/>
  <c r="AP150" i="2"/>
  <c r="AP152" i="2" s="1"/>
  <c r="AD99" i="4" s="1"/>
  <c r="AP136" i="2"/>
  <c r="AP138" i="2"/>
  <c r="AD87" i="4" s="1"/>
  <c r="AP137" i="2"/>
  <c r="AD86" i="4" s="1"/>
  <c r="AP123" i="2"/>
  <c r="AP112" i="2"/>
  <c r="AP122" i="2"/>
  <c r="AP128" i="2"/>
  <c r="AP127" i="2"/>
  <c r="AP139" i="2"/>
  <c r="AD88" i="4" s="1"/>
  <c r="AP129" i="2"/>
  <c r="AP126" i="2"/>
  <c r="AP108" i="2"/>
  <c r="AC80" i="4"/>
  <c r="AN105" i="2"/>
  <c r="AN148" i="2"/>
  <c r="AN153" i="2" s="1"/>
  <c r="AN221" i="2" s="1"/>
  <c r="AP121" i="2" l="1"/>
  <c r="AP124" i="2" s="1"/>
  <c r="AD85" i="4"/>
  <c r="AC81" i="4"/>
  <c r="AO103" i="2"/>
  <c r="AQ117" i="2"/>
  <c r="AQ118" i="2"/>
  <c r="AQ119" i="2"/>
  <c r="AP106" i="2"/>
  <c r="AP130" i="2"/>
  <c r="AO134" i="2"/>
  <c r="FY196" i="2" s="1"/>
  <c r="AC82" i="4" l="1"/>
  <c r="AP131" i="2"/>
  <c r="AP133" i="2" s="1"/>
  <c r="AD79" i="4"/>
  <c r="AO143" i="2"/>
  <c r="AP104" i="2"/>
  <c r="AD78" i="4"/>
  <c r="AD80" i="4" s="1"/>
  <c r="AQ116" i="2"/>
  <c r="AQ120" i="2" s="1"/>
  <c r="QP120" i="2"/>
  <c r="AQ109" i="2" s="1"/>
  <c r="AQ113" i="2" l="1"/>
  <c r="AC92" i="4"/>
  <c r="AO146" i="2"/>
  <c r="AP132" i="2"/>
  <c r="AQ122" i="2"/>
  <c r="AQ139" i="2"/>
  <c r="AQ137" i="2"/>
  <c r="AQ142" i="2"/>
  <c r="AQ112" i="2"/>
  <c r="AQ138" i="2"/>
  <c r="AQ150" i="2"/>
  <c r="AQ140" i="2"/>
  <c r="AQ128" i="2"/>
  <c r="AQ145" i="2"/>
  <c r="AQ141" i="2"/>
  <c r="AQ129" i="2"/>
  <c r="AQ144" i="2"/>
  <c r="AQ136" i="2"/>
  <c r="AQ123" i="2"/>
  <c r="AQ127" i="2"/>
  <c r="AQ126" i="2"/>
  <c r="AQ108" i="2"/>
  <c r="AP134" i="2" l="1"/>
  <c r="AC95" i="4"/>
  <c r="AC97" i="4" s="1"/>
  <c r="AC101" i="4" s="1"/>
  <c r="AC109" i="4" s="1"/>
  <c r="AE85" i="4"/>
  <c r="AE93" i="4"/>
  <c r="AR119" i="2"/>
  <c r="AR118" i="2"/>
  <c r="AR117" i="2"/>
  <c r="AE88" i="4"/>
  <c r="AE89" i="4"/>
  <c r="AE91" i="4"/>
  <c r="AO105" i="2"/>
  <c r="AO148" i="2"/>
  <c r="AO153" i="2" s="1"/>
  <c r="AO221" i="2" s="1"/>
  <c r="AQ152" i="2"/>
  <c r="AE99" i="4" s="1"/>
  <c r="AE87" i="4"/>
  <c r="AQ121" i="2"/>
  <c r="AQ124" i="2" s="1"/>
  <c r="AD81" i="4"/>
  <c r="AD82" i="4" s="1"/>
  <c r="AP103" i="2"/>
  <c r="AE90" i="4"/>
  <c r="AQ106" i="2"/>
  <c r="AQ130" i="2"/>
  <c r="AE94" i="4"/>
  <c r="AE86" i="4"/>
  <c r="AP143" i="2" l="1"/>
  <c r="AD92" i="4" s="1"/>
  <c r="AD95" i="4" s="1"/>
  <c r="AD97" i="4" s="1"/>
  <c r="AD101" i="4" s="1"/>
  <c r="AD109" i="4" s="1"/>
  <c r="FZ196" i="2"/>
  <c r="AR116" i="2"/>
  <c r="AR120" i="2" s="1"/>
  <c r="QQ120" i="2"/>
  <c r="AR109" i="2" s="1"/>
  <c r="AE79" i="4"/>
  <c r="AQ131" i="2"/>
  <c r="AQ133" i="2" s="1"/>
  <c r="AE78" i="4"/>
  <c r="AQ104" i="2"/>
  <c r="AR113" i="2" l="1"/>
  <c r="AP146" i="2"/>
  <c r="AP105" i="2" s="1"/>
  <c r="AE80" i="4"/>
  <c r="AR139" i="2"/>
  <c r="AR138" i="2"/>
  <c r="AR145" i="2"/>
  <c r="AR112" i="2"/>
  <c r="AR142" i="2"/>
  <c r="AR140" i="2"/>
  <c r="AR141" i="2"/>
  <c r="AR122" i="2"/>
  <c r="AR127" i="2"/>
  <c r="AR128" i="2"/>
  <c r="AR150" i="2"/>
  <c r="AR137" i="2"/>
  <c r="AR129" i="2"/>
  <c r="AR136" i="2"/>
  <c r="AR144" i="2"/>
  <c r="AR123" i="2"/>
  <c r="AR126" i="2"/>
  <c r="AR108" i="2"/>
  <c r="AQ132" i="2"/>
  <c r="AP148" i="2" l="1"/>
  <c r="AP153" i="2" s="1"/>
  <c r="AP221" i="2" s="1"/>
  <c r="AF89" i="4"/>
  <c r="AF86" i="4"/>
  <c r="AF91" i="4"/>
  <c r="AR152" i="2"/>
  <c r="AF99" i="4" s="1"/>
  <c r="AF94" i="4"/>
  <c r="AF87" i="4"/>
  <c r="AF88" i="4"/>
  <c r="AF93" i="4"/>
  <c r="AF90" i="4"/>
  <c r="AS118" i="2"/>
  <c r="AS119" i="2"/>
  <c r="AS117" i="2"/>
  <c r="AE81" i="4"/>
  <c r="AE82" i="4" s="1"/>
  <c r="AQ103" i="2"/>
  <c r="AQ134" i="2"/>
  <c r="GA196" i="2" s="1"/>
  <c r="AF85" i="4"/>
  <c r="AR121" i="2"/>
  <c r="AR124" i="2" s="1"/>
  <c r="AR106" i="2"/>
  <c r="AR130" i="2"/>
  <c r="AF78" i="4" l="1"/>
  <c r="AR104" i="2"/>
  <c r="AS116" i="2"/>
  <c r="AS120" i="2" s="1"/>
  <c r="QR120" i="2"/>
  <c r="AS109" i="2" s="1"/>
  <c r="AQ143" i="2"/>
  <c r="AR131" i="2"/>
  <c r="AR133" i="2" s="1"/>
  <c r="AF79" i="4"/>
  <c r="AS113" i="2" l="1"/>
  <c r="AF80" i="4"/>
  <c r="AS145" i="2"/>
  <c r="AS142" i="2"/>
  <c r="AS141" i="2"/>
  <c r="AS138" i="2"/>
  <c r="AS112" i="2"/>
  <c r="AS139" i="2"/>
  <c r="AS140" i="2"/>
  <c r="AS122" i="2"/>
  <c r="AS150" i="2"/>
  <c r="AS144" i="2"/>
  <c r="AS137" i="2"/>
  <c r="AS136" i="2"/>
  <c r="AS129" i="2"/>
  <c r="AS123" i="2"/>
  <c r="AS127" i="2"/>
  <c r="AS128" i="2"/>
  <c r="AS126" i="2"/>
  <c r="AS108" i="2"/>
  <c r="AE92" i="4"/>
  <c r="AE95" i="4" s="1"/>
  <c r="AE97" i="4" s="1"/>
  <c r="AE101" i="4" s="1"/>
  <c r="AE109" i="4" s="1"/>
  <c r="AQ146" i="2"/>
  <c r="AR132" i="2"/>
  <c r="AG88" i="4" l="1"/>
  <c r="AG87" i="4"/>
  <c r="AG86" i="4"/>
  <c r="AG90" i="4"/>
  <c r="AG93" i="4"/>
  <c r="AG91" i="4"/>
  <c r="AS152" i="2"/>
  <c r="AG99" i="4" s="1"/>
  <c r="AG94" i="4"/>
  <c r="AG89" i="4"/>
  <c r="AR134" i="2"/>
  <c r="AS121" i="2"/>
  <c r="AS124" i="2" s="1"/>
  <c r="AS106" i="2"/>
  <c r="AS130" i="2"/>
  <c r="AG85" i="4"/>
  <c r="AQ105" i="2"/>
  <c r="AQ148" i="2"/>
  <c r="AQ153" i="2" s="1"/>
  <c r="AQ221" i="2" s="1"/>
  <c r="AT117" i="2"/>
  <c r="AT118" i="2"/>
  <c r="AT119" i="2"/>
  <c r="AF81" i="4"/>
  <c r="AR103" i="2"/>
  <c r="AR143" i="2" l="1"/>
  <c r="AF92" i="4" s="1"/>
  <c r="GB196" i="2"/>
  <c r="AF82" i="4"/>
  <c r="AS104" i="2"/>
  <c r="AG78" i="4"/>
  <c r="AR146" i="2"/>
  <c r="AT116" i="2"/>
  <c r="AT120" i="2" s="1"/>
  <c r="QS120" i="2"/>
  <c r="AT109" i="2" s="1"/>
  <c r="AG79" i="4"/>
  <c r="AS131" i="2"/>
  <c r="AS133" i="2" s="1"/>
  <c r="AT113" i="2" l="1"/>
  <c r="AF95" i="4"/>
  <c r="AF97" i="4" s="1"/>
  <c r="AF101" i="4" s="1"/>
  <c r="AF109" i="4" s="1"/>
  <c r="AT139" i="2"/>
  <c r="AT140" i="2"/>
  <c r="AT150" i="2"/>
  <c r="AT142" i="2"/>
  <c r="AT141" i="2"/>
  <c r="AT138" i="2"/>
  <c r="AT137" i="2"/>
  <c r="AT145" i="2"/>
  <c r="AT144" i="2"/>
  <c r="AT122" i="2"/>
  <c r="AT123" i="2"/>
  <c r="AT112" i="2"/>
  <c r="AT127" i="2"/>
  <c r="AT128" i="2"/>
  <c r="AT136" i="2"/>
  <c r="AT129" i="2"/>
  <c r="AT126" i="2"/>
  <c r="AT108" i="2"/>
  <c r="AS132" i="2"/>
  <c r="AG80" i="4"/>
  <c r="AR105" i="2"/>
  <c r="AR148" i="2"/>
  <c r="AR153" i="2" s="1"/>
  <c r="AR221" i="2" s="1"/>
  <c r="AH86" i="4" l="1"/>
  <c r="AH87" i="4"/>
  <c r="AH90" i="4"/>
  <c r="AS134" i="2"/>
  <c r="AH91" i="4"/>
  <c r="AT152" i="2"/>
  <c r="AH99" i="4" s="1"/>
  <c r="AH89" i="4"/>
  <c r="AH93" i="4"/>
  <c r="AH88" i="4"/>
  <c r="AH94" i="4"/>
  <c r="AG81" i="4"/>
  <c r="AS103" i="2"/>
  <c r="AT106" i="2"/>
  <c r="AT130" i="2"/>
  <c r="AU119" i="2"/>
  <c r="AU117" i="2"/>
  <c r="AU118" i="2"/>
  <c r="AH85" i="4"/>
  <c r="AT121" i="2"/>
  <c r="AT124" i="2" s="1"/>
  <c r="AS143" i="2" l="1"/>
  <c r="GC196" i="2"/>
  <c r="AG82" i="4"/>
  <c r="AT131" i="2"/>
  <c r="AT133" i="2" s="1"/>
  <c r="AH79" i="4"/>
  <c r="AT104" i="2"/>
  <c r="AH78" i="4"/>
  <c r="AU116" i="2"/>
  <c r="AU120" i="2" s="1"/>
  <c r="QT120" i="2"/>
  <c r="AU109" i="2" s="1"/>
  <c r="AG92" i="4"/>
  <c r="AS146" i="2"/>
  <c r="AU113" i="2" l="1"/>
  <c r="AH80" i="4"/>
  <c r="AG95" i="4"/>
  <c r="AG97" i="4" s="1"/>
  <c r="AG101" i="4" s="1"/>
  <c r="AG109" i="4" s="1"/>
  <c r="AT132" i="2"/>
  <c r="AU150" i="2"/>
  <c r="AU139" i="2"/>
  <c r="AU138" i="2"/>
  <c r="AU141" i="2"/>
  <c r="AU145" i="2"/>
  <c r="AU142" i="2"/>
  <c r="AU122" i="2"/>
  <c r="AU144" i="2"/>
  <c r="AU137" i="2"/>
  <c r="AU140" i="2"/>
  <c r="AU112" i="2"/>
  <c r="AU127" i="2"/>
  <c r="AU128" i="2"/>
  <c r="AU123" i="2"/>
  <c r="AU136" i="2"/>
  <c r="AU129" i="2"/>
  <c r="AU126" i="2"/>
  <c r="AU108" i="2"/>
  <c r="AS105" i="2"/>
  <c r="AS148" i="2"/>
  <c r="AS153" i="2" s="1"/>
  <c r="AS221" i="2" s="1"/>
  <c r="AI90" i="4" l="1"/>
  <c r="AI87" i="4"/>
  <c r="AI89" i="4"/>
  <c r="AI88" i="4"/>
  <c r="AI86" i="4"/>
  <c r="AU152" i="2"/>
  <c r="AI99" i="4" s="1"/>
  <c r="AI93" i="4"/>
  <c r="AI91" i="4"/>
  <c r="AI94" i="4"/>
  <c r="AU121" i="2"/>
  <c r="AU124" i="2" s="1"/>
  <c r="AU106" i="2"/>
  <c r="AU130" i="2"/>
  <c r="AV119" i="2"/>
  <c r="AV117" i="2"/>
  <c r="AV118" i="2"/>
  <c r="AH81" i="4"/>
  <c r="AT103" i="2"/>
  <c r="AI85" i="4"/>
  <c r="AT134" i="2"/>
  <c r="GD196" i="2" s="1"/>
  <c r="AH82" i="4" l="1"/>
  <c r="AI79" i="4"/>
  <c r="AU131" i="2"/>
  <c r="AU133" i="2" s="1"/>
  <c r="AT143" i="2"/>
  <c r="AV116" i="2"/>
  <c r="AV120" i="2" s="1"/>
  <c r="QU120" i="2"/>
  <c r="AV109" i="2" s="1"/>
  <c r="AI78" i="4"/>
  <c r="AU104" i="2"/>
  <c r="AV113" i="2" l="1"/>
  <c r="AI80" i="4"/>
  <c r="AH92" i="4"/>
  <c r="AT146" i="2"/>
  <c r="AU132" i="2"/>
  <c r="AV150" i="2"/>
  <c r="AV152" i="2" s="1"/>
  <c r="AJ99" i="4" s="1"/>
  <c r="AV144" i="2"/>
  <c r="AJ93" i="4" s="1"/>
  <c r="AV142" i="2"/>
  <c r="AJ91" i="4" s="1"/>
  <c r="AV112" i="2"/>
  <c r="AV122" i="2"/>
  <c r="AV137" i="2"/>
  <c r="AJ86" i="4" s="1"/>
  <c r="AV145" i="2"/>
  <c r="AJ94" i="4" s="1"/>
  <c r="AV123" i="2"/>
  <c r="AV138" i="2"/>
  <c r="AJ87" i="4" s="1"/>
  <c r="AV140" i="2"/>
  <c r="AJ89" i="4" s="1"/>
  <c r="AV139" i="2"/>
  <c r="AJ88" i="4" s="1"/>
  <c r="AV127" i="2"/>
  <c r="AV128" i="2"/>
  <c r="AV129" i="2"/>
  <c r="AV136" i="2"/>
  <c r="AV141" i="2"/>
  <c r="AJ90" i="4" s="1"/>
  <c r="AV126" i="2"/>
  <c r="AV108" i="2"/>
  <c r="AH95" i="4" l="1"/>
  <c r="AH97" i="4" s="1"/>
  <c r="AH101" i="4" s="1"/>
  <c r="AH109" i="4" s="1"/>
  <c r="AJ85" i="4"/>
  <c r="AI81" i="4"/>
  <c r="AU103" i="2"/>
  <c r="AW118" i="2"/>
  <c r="AW117" i="2"/>
  <c r="AW119" i="2"/>
  <c r="AU134" i="2"/>
  <c r="GE196" i="2" s="1"/>
  <c r="AV121" i="2"/>
  <c r="AV124" i="2" s="1"/>
  <c r="AV106" i="2"/>
  <c r="AV130" i="2"/>
  <c r="AT105" i="2"/>
  <c r="AT148" i="2"/>
  <c r="AT153" i="2" s="1"/>
  <c r="AT221" i="2" s="1"/>
  <c r="AI82" i="4" l="1"/>
  <c r="AV131" i="2"/>
  <c r="AV133" i="2" s="1"/>
  <c r="AJ79" i="4"/>
  <c r="AJ78" i="4"/>
  <c r="AV104" i="2"/>
  <c r="AU143" i="2"/>
  <c r="AW116" i="2"/>
  <c r="AW120" i="2" s="1"/>
  <c r="QV120" i="2"/>
  <c r="AW109" i="2" s="1"/>
  <c r="AW113" i="2" l="1"/>
  <c r="AJ80" i="4"/>
  <c r="AW141" i="2"/>
  <c r="AK90" i="4" s="1"/>
  <c r="AW145" i="2"/>
  <c r="AK94" i="4" s="1"/>
  <c r="AW112" i="2"/>
  <c r="AW122" i="2"/>
  <c r="AW150" i="2"/>
  <c r="AW152" i="2" s="1"/>
  <c r="AK99" i="4" s="1"/>
  <c r="AW123" i="2"/>
  <c r="AW138" i="2"/>
  <c r="AK87" i="4" s="1"/>
  <c r="AW137" i="2"/>
  <c r="AK86" i="4" s="1"/>
  <c r="AW139" i="2"/>
  <c r="AK88" i="4" s="1"/>
  <c r="AW128" i="2"/>
  <c r="AW144" i="2"/>
  <c r="AK93" i="4" s="1"/>
  <c r="AW142" i="2"/>
  <c r="AK91" i="4" s="1"/>
  <c r="AW129" i="2"/>
  <c r="AW140" i="2"/>
  <c r="AK89" i="4" s="1"/>
  <c r="AW127" i="2"/>
  <c r="AW136" i="2"/>
  <c r="AW126" i="2"/>
  <c r="AW108" i="2"/>
  <c r="AI92" i="4"/>
  <c r="AU146" i="2"/>
  <c r="AV132" i="2"/>
  <c r="AI95" i="4" l="1"/>
  <c r="AI97" i="4" s="1"/>
  <c r="AI101" i="4" s="1"/>
  <c r="AI109" i="4" s="1"/>
  <c r="AU105" i="2"/>
  <c r="AU148" i="2"/>
  <c r="AU153" i="2" s="1"/>
  <c r="AU221" i="2" s="1"/>
  <c r="AX118" i="2"/>
  <c r="AX117" i="2"/>
  <c r="AX119" i="2"/>
  <c r="AJ81" i="4"/>
  <c r="AV103" i="2"/>
  <c r="AK85" i="4"/>
  <c r="AW121" i="2"/>
  <c r="AW124" i="2" s="1"/>
  <c r="AW106" i="2"/>
  <c r="AW130" i="2"/>
  <c r="AV134" i="2"/>
  <c r="GF196" i="2" s="1"/>
  <c r="AJ82" i="4" l="1"/>
  <c r="AK78" i="4"/>
  <c r="AW104" i="2"/>
  <c r="AX116" i="2"/>
  <c r="AX120" i="2" s="1"/>
  <c r="QW120" i="2"/>
  <c r="AX109" i="2" s="1"/>
  <c r="AV143" i="2"/>
  <c r="AK79" i="4"/>
  <c r="AW131" i="2"/>
  <c r="AW133" i="2" s="1"/>
  <c r="AX113" i="2" l="1"/>
  <c r="AJ92" i="4"/>
  <c r="AV146" i="2"/>
  <c r="AW132" i="2"/>
  <c r="AX140" i="2"/>
  <c r="AL89" i="4" s="1"/>
  <c r="AX122" i="2"/>
  <c r="AX145" i="2"/>
  <c r="AL94" i="4" s="1"/>
  <c r="AX137" i="2"/>
  <c r="AL86" i="4" s="1"/>
  <c r="AX144" i="2"/>
  <c r="AL93" i="4" s="1"/>
  <c r="AX112" i="2"/>
  <c r="AX150" i="2"/>
  <c r="AX152" i="2" s="1"/>
  <c r="AL99" i="4" s="1"/>
  <c r="AX139" i="2"/>
  <c r="AL88" i="4" s="1"/>
  <c r="AX127" i="2"/>
  <c r="AX136" i="2"/>
  <c r="AX141" i="2"/>
  <c r="AL90" i="4" s="1"/>
  <c r="AX129" i="2"/>
  <c r="AX142" i="2"/>
  <c r="AL91" i="4" s="1"/>
  <c r="AX128" i="2"/>
  <c r="AX123" i="2"/>
  <c r="AX138" i="2"/>
  <c r="AL87" i="4" s="1"/>
  <c r="AX126" i="2"/>
  <c r="AX108" i="2"/>
  <c r="AK80" i="4"/>
  <c r="AJ95" i="4" l="1"/>
  <c r="AJ97" i="4" s="1"/>
  <c r="AJ101" i="4" s="1"/>
  <c r="AJ109" i="4" s="1"/>
  <c r="AW134" i="2"/>
  <c r="AK81" i="4"/>
  <c r="AK82" i="4" s="1"/>
  <c r="AW103" i="2"/>
  <c r="AX121" i="2"/>
  <c r="AX124" i="2" s="1"/>
  <c r="AV105" i="2"/>
  <c r="AV148" i="2"/>
  <c r="AV153" i="2" s="1"/>
  <c r="AV221" i="2" s="1"/>
  <c r="AY117" i="2"/>
  <c r="AY119" i="2"/>
  <c r="AY118" i="2"/>
  <c r="AX106" i="2"/>
  <c r="AX130" i="2"/>
  <c r="AL85" i="4"/>
  <c r="AW143" i="2" l="1"/>
  <c r="AK92" i="4" s="1"/>
  <c r="AK95" i="4" s="1"/>
  <c r="AK97" i="4" s="1"/>
  <c r="AK101" i="4" s="1"/>
  <c r="AK109" i="4" s="1"/>
  <c r="GG196" i="2"/>
  <c r="AL78" i="4"/>
  <c r="AX104" i="2"/>
  <c r="AY116" i="2"/>
  <c r="AY120" i="2" s="1"/>
  <c r="QX120" i="2"/>
  <c r="AY109" i="2" s="1"/>
  <c r="AW146" i="2"/>
  <c r="AX131" i="2"/>
  <c r="AX133" i="2" s="1"/>
  <c r="AL79" i="4"/>
  <c r="AY113" i="2" l="1"/>
  <c r="AY141" i="2"/>
  <c r="AM90" i="4" s="1"/>
  <c r="AY137" i="2"/>
  <c r="AM86" i="4" s="1"/>
  <c r="AY128" i="2"/>
  <c r="AY142" i="2"/>
  <c r="AM91" i="4" s="1"/>
  <c r="AY140" i="2"/>
  <c r="AM89" i="4" s="1"/>
  <c r="AY122" i="2"/>
  <c r="AY129" i="2"/>
  <c r="AY136" i="2"/>
  <c r="AY138" i="2"/>
  <c r="AM87" i="4" s="1"/>
  <c r="AY150" i="2"/>
  <c r="AY152" i="2" s="1"/>
  <c r="AM99" i="4" s="1"/>
  <c r="AY139" i="2"/>
  <c r="AM88" i="4" s="1"/>
  <c r="AY144" i="2"/>
  <c r="AM93" i="4" s="1"/>
  <c r="AY145" i="2"/>
  <c r="AM94" i="4" s="1"/>
  <c r="AY127" i="2"/>
  <c r="AY123" i="2"/>
  <c r="AY112" i="2"/>
  <c r="AY126" i="2"/>
  <c r="AY108" i="2"/>
  <c r="AX132" i="2"/>
  <c r="AW105" i="2"/>
  <c r="AW148" i="2"/>
  <c r="AW153" i="2" s="1"/>
  <c r="AW221" i="2" s="1"/>
  <c r="AL80" i="4"/>
  <c r="AL81" i="4" l="1"/>
  <c r="AL82" i="4" s="1"/>
  <c r="AX103" i="2"/>
  <c r="AY121" i="2"/>
  <c r="AY124" i="2" s="1"/>
  <c r="AZ117" i="2"/>
  <c r="AZ119" i="2"/>
  <c r="AZ118" i="2"/>
  <c r="AM85" i="4"/>
  <c r="AX134" i="2"/>
  <c r="GH196" i="2" s="1"/>
  <c r="AY106" i="2"/>
  <c r="AY130" i="2"/>
  <c r="AZ116" i="2" l="1"/>
  <c r="AZ120" i="2" s="1"/>
  <c r="QY120" i="2"/>
  <c r="AZ109" i="2" s="1"/>
  <c r="AX143" i="2"/>
  <c r="AM78" i="4"/>
  <c r="AY104" i="2"/>
  <c r="AM79" i="4"/>
  <c r="AY131" i="2"/>
  <c r="AY133" i="2" s="1"/>
  <c r="AZ113" i="2" l="1"/>
  <c r="AM80" i="4"/>
  <c r="AL92" i="4"/>
  <c r="AL95" i="4" s="1"/>
  <c r="AL97" i="4" s="1"/>
  <c r="AL101" i="4" s="1"/>
  <c r="AL109" i="4" s="1"/>
  <c r="AX146" i="2"/>
  <c r="AZ112" i="2"/>
  <c r="AZ140" i="2"/>
  <c r="AN89" i="4" s="1"/>
  <c r="AZ122" i="2"/>
  <c r="AZ141" i="2"/>
  <c r="AN90" i="4" s="1"/>
  <c r="AZ128" i="2"/>
  <c r="AZ145" i="2"/>
  <c r="AN94" i="4" s="1"/>
  <c r="AZ127" i="2"/>
  <c r="AZ137" i="2"/>
  <c r="AN86" i="4" s="1"/>
  <c r="AZ144" i="2"/>
  <c r="AN93" i="4" s="1"/>
  <c r="AZ136" i="2"/>
  <c r="AZ142" i="2"/>
  <c r="AN91" i="4" s="1"/>
  <c r="AZ129" i="2"/>
  <c r="AZ138" i="2"/>
  <c r="AN87" i="4" s="1"/>
  <c r="AZ139" i="2"/>
  <c r="AN88" i="4" s="1"/>
  <c r="AZ150" i="2"/>
  <c r="AZ152" i="2" s="1"/>
  <c r="AN99" i="4" s="1"/>
  <c r="AZ123" i="2"/>
  <c r="AZ126" i="2"/>
  <c r="AZ108" i="2"/>
  <c r="AY132" i="2"/>
  <c r="AY134" i="2" l="1"/>
  <c r="AZ121" i="2"/>
  <c r="AZ124" i="2" s="1"/>
  <c r="AZ106" i="2"/>
  <c r="AZ130" i="2"/>
  <c r="BA118" i="2"/>
  <c r="BA119" i="2"/>
  <c r="BA117" i="2"/>
  <c r="AX105" i="2"/>
  <c r="AX148" i="2"/>
  <c r="AX153" i="2" s="1"/>
  <c r="AX221" i="2" s="1"/>
  <c r="AN85" i="4"/>
  <c r="AM81" i="4"/>
  <c r="AM82" i="4" s="1"/>
  <c r="AY103" i="2"/>
  <c r="AY143" i="2" l="1"/>
  <c r="AM92" i="4" s="1"/>
  <c r="AM95" i="4" s="1"/>
  <c r="AM97" i="4" s="1"/>
  <c r="AM101" i="4" s="1"/>
  <c r="AM109" i="4" s="1"/>
  <c r="GI196" i="2"/>
  <c r="BA116" i="2"/>
  <c r="BA120" i="2" s="1"/>
  <c r="QZ120" i="2"/>
  <c r="BA109" i="2" s="1"/>
  <c r="AZ131" i="2"/>
  <c r="AZ133" i="2" s="1"/>
  <c r="AN79" i="4"/>
  <c r="AN78" i="4"/>
  <c r="AZ104" i="2"/>
  <c r="BA113" i="2" l="1"/>
  <c r="AY146" i="2"/>
  <c r="AY105" i="2" s="1"/>
  <c r="AN80" i="4"/>
  <c r="AY148" i="2"/>
  <c r="AY153" i="2" s="1"/>
  <c r="AY221" i="2" s="1"/>
  <c r="AZ132" i="2"/>
  <c r="BA145" i="2"/>
  <c r="AO94" i="4" s="1"/>
  <c r="BA112" i="2"/>
  <c r="BA142" i="2"/>
  <c r="AO91" i="4" s="1"/>
  <c r="BA127" i="2"/>
  <c r="BA144" i="2"/>
  <c r="AO93" i="4" s="1"/>
  <c r="BA141" i="2"/>
  <c r="AO90" i="4" s="1"/>
  <c r="BA150" i="2"/>
  <c r="BA152" i="2" s="1"/>
  <c r="AO99" i="4" s="1"/>
  <c r="BA136" i="2"/>
  <c r="BA139" i="2"/>
  <c r="AO88" i="4" s="1"/>
  <c r="BA123" i="2"/>
  <c r="BA137" i="2"/>
  <c r="AO86" i="4" s="1"/>
  <c r="BA128" i="2"/>
  <c r="BA140" i="2"/>
  <c r="AO89" i="4" s="1"/>
  <c r="BA138" i="2"/>
  <c r="AO87" i="4" s="1"/>
  <c r="BA122" i="2"/>
  <c r="BA129" i="2"/>
  <c r="BA126" i="2"/>
  <c r="BA108" i="2"/>
  <c r="AN81" i="4" l="1"/>
  <c r="AN82" i="4" s="1"/>
  <c r="AZ103" i="2"/>
  <c r="BB117" i="2"/>
  <c r="BB119" i="2"/>
  <c r="BB118" i="2"/>
  <c r="BA106" i="2"/>
  <c r="BA130" i="2"/>
  <c r="AO85" i="4"/>
  <c r="AZ134" i="2"/>
  <c r="GJ196" i="2" s="1"/>
  <c r="BA121" i="2"/>
  <c r="BA124" i="2" s="1"/>
  <c r="BB116" i="2" l="1"/>
  <c r="BB120" i="2" s="1"/>
  <c r="J171" i="2" s="1"/>
  <c r="RA120" i="2"/>
  <c r="BB109" i="2" s="1"/>
  <c r="AZ143" i="2"/>
  <c r="AO78" i="4"/>
  <c r="BA104" i="2"/>
  <c r="AO79" i="4"/>
  <c r="BA131" i="2"/>
  <c r="BA133" i="2" s="1"/>
  <c r="BB113" i="2" l="1"/>
  <c r="AN92" i="4"/>
  <c r="AN95" i="4" s="1"/>
  <c r="AN97" i="4" s="1"/>
  <c r="AN101" i="4" s="1"/>
  <c r="AN109" i="4" s="1"/>
  <c r="AZ146" i="2"/>
  <c r="BB145" i="2"/>
  <c r="BB150" i="2"/>
  <c r="BB144" i="2"/>
  <c r="BB122" i="2"/>
  <c r="J173" i="2" s="1"/>
  <c r="BB141" i="2"/>
  <c r="BB127" i="2"/>
  <c r="J178" i="2" s="1"/>
  <c r="BB136" i="2"/>
  <c r="J187" i="2" s="1"/>
  <c r="BB138" i="2"/>
  <c r="BB142" i="2"/>
  <c r="BB137" i="2"/>
  <c r="BB140" i="2"/>
  <c r="BB112" i="2"/>
  <c r="BB139" i="2"/>
  <c r="BB129" i="2"/>
  <c r="J180" i="2" s="1"/>
  <c r="BB123" i="2"/>
  <c r="J174" i="2" s="1"/>
  <c r="BB128" i="2"/>
  <c r="J179" i="2" s="1"/>
  <c r="BB126" i="2"/>
  <c r="J177" i="2" s="1"/>
  <c r="BB108" i="2"/>
  <c r="AO80" i="4"/>
  <c r="BA132" i="2"/>
  <c r="J181" i="2" l="1"/>
  <c r="BA134" i="2"/>
  <c r="GK196" i="2" s="1"/>
  <c r="J175" i="2"/>
  <c r="AP93" i="4"/>
  <c r="J195" i="2"/>
  <c r="AP89" i="4"/>
  <c r="J191" i="2"/>
  <c r="AP86" i="4"/>
  <c r="J188" i="2"/>
  <c r="BB152" i="2"/>
  <c r="AP99" i="4" s="1"/>
  <c r="J201" i="2"/>
  <c r="J203" i="2" s="1"/>
  <c r="J22" i="1" s="1"/>
  <c r="AP91" i="4"/>
  <c r="J193" i="2"/>
  <c r="AP94" i="4"/>
  <c r="J196" i="2"/>
  <c r="AP88" i="4"/>
  <c r="J190" i="2"/>
  <c r="AP87" i="4"/>
  <c r="J189" i="2"/>
  <c r="AP90" i="4"/>
  <c r="J192" i="2"/>
  <c r="BA143" i="2"/>
  <c r="BB121" i="2"/>
  <c r="BB124" i="2" s="1"/>
  <c r="BB106" i="2"/>
  <c r="BB130" i="2"/>
  <c r="AO81" i="4"/>
  <c r="AO82" i="4" s="1"/>
  <c r="BA103" i="2"/>
  <c r="AP85" i="4"/>
  <c r="AZ105" i="2"/>
  <c r="AZ148" i="2"/>
  <c r="AZ153" i="2" s="1"/>
  <c r="AZ221" i="2" s="1"/>
  <c r="BC119" i="2"/>
  <c r="BC117" i="2"/>
  <c r="BC118" i="2"/>
  <c r="J182" i="2" l="1"/>
  <c r="AP78" i="4"/>
  <c r="BB104" i="2"/>
  <c r="AO92" i="4"/>
  <c r="AO95" i="4" s="1"/>
  <c r="AO97" i="4" s="1"/>
  <c r="AO101" i="4" s="1"/>
  <c r="AO109" i="4" s="1"/>
  <c r="BA146" i="2"/>
  <c r="BC116" i="2"/>
  <c r="BC120" i="2" s="1"/>
  <c r="RB120" i="2"/>
  <c r="BC109" i="2" s="1"/>
  <c r="BB131" i="2"/>
  <c r="BB133" i="2" s="1"/>
  <c r="AP79" i="4"/>
  <c r="BC113" i="2" l="1"/>
  <c r="BA105" i="2"/>
  <c r="BA148" i="2"/>
  <c r="BA153" i="2" s="1"/>
  <c r="BA221" i="2" s="1"/>
  <c r="AP80" i="4"/>
  <c r="J184" i="2"/>
  <c r="BB132" i="2"/>
  <c r="J183" i="2" s="1"/>
  <c r="BC150" i="2"/>
  <c r="BC142" i="2"/>
  <c r="BC138" i="2"/>
  <c r="BC140" i="2"/>
  <c r="BC139" i="2"/>
  <c r="BC145" i="2"/>
  <c r="BC141" i="2"/>
  <c r="BC128" i="2"/>
  <c r="BC112" i="2"/>
  <c r="BC127" i="2"/>
  <c r="BC144" i="2"/>
  <c r="BC122" i="2"/>
  <c r="BC136" i="2"/>
  <c r="BC137" i="2"/>
  <c r="BC123" i="2"/>
  <c r="BC129" i="2"/>
  <c r="BC126" i="2"/>
  <c r="BC108" i="2"/>
  <c r="J185" i="2" l="1"/>
  <c r="J19" i="1" s="1"/>
  <c r="AQ90" i="4"/>
  <c r="AQ86" i="4"/>
  <c r="AQ94" i="4"/>
  <c r="BC152" i="2"/>
  <c r="AQ99" i="4" s="1"/>
  <c r="AQ89" i="4"/>
  <c r="AQ91" i="4"/>
  <c r="AQ88" i="4"/>
  <c r="AQ93" i="4"/>
  <c r="AQ87" i="4"/>
  <c r="AP81" i="4"/>
  <c r="AP82" i="4" s="1"/>
  <c r="BB103" i="2"/>
  <c r="BB134" i="2"/>
  <c r="GL196" i="2" s="1"/>
  <c r="BC121" i="2"/>
  <c r="BC124" i="2" s="1"/>
  <c r="AQ85" i="4"/>
  <c r="BC106" i="2"/>
  <c r="BC130" i="2"/>
  <c r="BD118" i="2"/>
  <c r="BD117" i="2"/>
  <c r="BD119" i="2"/>
  <c r="AQ78" i="4" l="1"/>
  <c r="BC104" i="2"/>
  <c r="AQ79" i="4"/>
  <c r="BC131" i="2"/>
  <c r="BC133" i="2" s="1"/>
  <c r="BB143" i="2"/>
  <c r="J194" i="2" s="1"/>
  <c r="J197" i="2" s="1"/>
  <c r="BD116" i="2"/>
  <c r="BD120" i="2" s="1"/>
  <c r="RC120" i="2"/>
  <c r="BD109" i="2" s="1"/>
  <c r="BD113" i="2" l="1"/>
  <c r="J5" i="5"/>
  <c r="J20" i="1"/>
  <c r="J21" i="1" s="1"/>
  <c r="J199" i="2"/>
  <c r="AQ80" i="4"/>
  <c r="AP92" i="4"/>
  <c r="AP95" i="4" s="1"/>
  <c r="AP97" i="4" s="1"/>
  <c r="AP101" i="4" s="1"/>
  <c r="AP109" i="4" s="1"/>
  <c r="BB146" i="2"/>
  <c r="BC132" i="2"/>
  <c r="BD140" i="2"/>
  <c r="BD137" i="2"/>
  <c r="BD145" i="2"/>
  <c r="BD141" i="2"/>
  <c r="BD138" i="2"/>
  <c r="BD139" i="2"/>
  <c r="BD122" i="2"/>
  <c r="BD127" i="2"/>
  <c r="BD112" i="2"/>
  <c r="BD123" i="2"/>
  <c r="BD150" i="2"/>
  <c r="BD136" i="2"/>
  <c r="BD142" i="2"/>
  <c r="BD144" i="2"/>
  <c r="BD129" i="2"/>
  <c r="BD128" i="2"/>
  <c r="BD126" i="2"/>
  <c r="BD108" i="2"/>
  <c r="AR91" i="4" l="1"/>
  <c r="AR90" i="4"/>
  <c r="AR88" i="4"/>
  <c r="BD152" i="2"/>
  <c r="AR99" i="4" s="1"/>
  <c r="AR94" i="4"/>
  <c r="AR86" i="4"/>
  <c r="J209" i="2"/>
  <c r="J210" i="2" s="1"/>
  <c r="J204" i="2"/>
  <c r="AR93" i="4"/>
  <c r="AR87" i="4"/>
  <c r="AR89" i="4"/>
  <c r="J23" i="1"/>
  <c r="O30" i="1"/>
  <c r="BE117" i="2"/>
  <c r="BE118" i="2"/>
  <c r="BE119" i="2"/>
  <c r="AQ81" i="4"/>
  <c r="AQ82" i="4" s="1"/>
  <c r="BC103" i="2"/>
  <c r="AR85" i="4"/>
  <c r="BC134" i="2"/>
  <c r="GM196" i="2" s="1"/>
  <c r="BB105" i="2"/>
  <c r="BB148" i="2"/>
  <c r="BB153" i="2" s="1"/>
  <c r="BB221" i="2" s="1"/>
  <c r="BD121" i="2"/>
  <c r="BD124" i="2" s="1"/>
  <c r="BD106" i="2"/>
  <c r="BD130" i="2"/>
  <c r="N5" i="5" l="1"/>
  <c r="E145" i="2"/>
  <c r="O32" i="1"/>
  <c r="J211" i="2"/>
  <c r="J212" i="2" s="1"/>
  <c r="G196" i="2"/>
  <c r="AR78" i="4"/>
  <c r="BD104" i="2"/>
  <c r="BC143" i="2"/>
  <c r="BE116" i="2"/>
  <c r="BE120" i="2" s="1"/>
  <c r="RD120" i="2"/>
  <c r="BE109" i="2" s="1"/>
  <c r="BD131" i="2"/>
  <c r="BD133" i="2" s="1"/>
  <c r="AR79" i="4"/>
  <c r="BE113" i="2" l="1"/>
  <c r="O33" i="1"/>
  <c r="O34" i="1"/>
  <c r="AR80" i="4"/>
  <c r="BE139" i="2"/>
  <c r="BE136" i="2"/>
  <c r="BE142" i="2"/>
  <c r="BE112" i="2"/>
  <c r="BE137" i="2"/>
  <c r="BE141" i="2"/>
  <c r="BE150" i="2"/>
  <c r="BE140" i="2"/>
  <c r="BE123" i="2"/>
  <c r="BE145" i="2"/>
  <c r="BE128" i="2"/>
  <c r="BE122" i="2"/>
  <c r="BE138" i="2"/>
  <c r="BE127" i="2"/>
  <c r="BE144" i="2"/>
  <c r="BE129" i="2"/>
  <c r="BE126" i="2"/>
  <c r="BE108" i="2"/>
  <c r="AQ92" i="4"/>
  <c r="AQ95" i="4" s="1"/>
  <c r="AQ97" i="4" s="1"/>
  <c r="AQ101" i="4" s="1"/>
  <c r="AQ109" i="4" s="1"/>
  <c r="BC146" i="2"/>
  <c r="BD132" i="2"/>
  <c r="AS91" i="4" l="1"/>
  <c r="AS88" i="4"/>
  <c r="AS94" i="4"/>
  <c r="AS89" i="4"/>
  <c r="BE152" i="2"/>
  <c r="AS99" i="4" s="1"/>
  <c r="BD134" i="2"/>
  <c r="AS90" i="4"/>
  <c r="AS93" i="4"/>
  <c r="AS87" i="4"/>
  <c r="AS86" i="4"/>
  <c r="BF117" i="2"/>
  <c r="BF119" i="2"/>
  <c r="BF118" i="2"/>
  <c r="BE106" i="2"/>
  <c r="BE130" i="2"/>
  <c r="BC105" i="2"/>
  <c r="BC148" i="2"/>
  <c r="BC153" i="2" s="1"/>
  <c r="BC221" i="2" s="1"/>
  <c r="AR81" i="4"/>
  <c r="BD103" i="2"/>
  <c r="AS85" i="4"/>
  <c r="BE121" i="2"/>
  <c r="BE124" i="2" s="1"/>
  <c r="BD143" i="2" l="1"/>
  <c r="GN196" i="2"/>
  <c r="AR82" i="4"/>
  <c r="BF116" i="2"/>
  <c r="BF120" i="2" s="1"/>
  <c r="RE120" i="2"/>
  <c r="BF109" i="2" s="1"/>
  <c r="AS79" i="4"/>
  <c r="BE131" i="2"/>
  <c r="BE133" i="2" s="1"/>
  <c r="AR92" i="4"/>
  <c r="BD146" i="2"/>
  <c r="AS78" i="4"/>
  <c r="BE104" i="2"/>
  <c r="BF113" i="2" l="1"/>
  <c r="AR95" i="4"/>
  <c r="AR97" i="4" s="1"/>
  <c r="AR101" i="4" s="1"/>
  <c r="AR109" i="4" s="1"/>
  <c r="BF150" i="2"/>
  <c r="BF144" i="2"/>
  <c r="BF141" i="2"/>
  <c r="BF136" i="2"/>
  <c r="BF138" i="2"/>
  <c r="BF145" i="2"/>
  <c r="BF129" i="2"/>
  <c r="BF139" i="2"/>
  <c r="BF142" i="2"/>
  <c r="BF140" i="2"/>
  <c r="BF128" i="2"/>
  <c r="BF123" i="2"/>
  <c r="BF112" i="2"/>
  <c r="BF122" i="2"/>
  <c r="BF127" i="2"/>
  <c r="BF137" i="2"/>
  <c r="BF126" i="2"/>
  <c r="BF108" i="2"/>
  <c r="BE132" i="2"/>
  <c r="AS80" i="4"/>
  <c r="BD105" i="2"/>
  <c r="BD148" i="2"/>
  <c r="BD153" i="2" s="1"/>
  <c r="BD221" i="2" s="1"/>
  <c r="AT88" i="4" l="1"/>
  <c r="AT87" i="4"/>
  <c r="AT94" i="4"/>
  <c r="BE134" i="2"/>
  <c r="AT90" i="4"/>
  <c r="AT89" i="4"/>
  <c r="AT93" i="4"/>
  <c r="AT86" i="4"/>
  <c r="AT91" i="4"/>
  <c r="BF152" i="2"/>
  <c r="AT99" i="4" s="1"/>
  <c r="BF121" i="2"/>
  <c r="BF124" i="2" s="1"/>
  <c r="AT85" i="4"/>
  <c r="BF106" i="2"/>
  <c r="BF130" i="2"/>
  <c r="AS81" i="4"/>
  <c r="BE103" i="2"/>
  <c r="BG118" i="2"/>
  <c r="BG117" i="2"/>
  <c r="BG119" i="2"/>
  <c r="BE143" i="2" l="1"/>
  <c r="GO196" i="2"/>
  <c r="AS82" i="4"/>
  <c r="BF131" i="2"/>
  <c r="BF133" i="2" s="1"/>
  <c r="AT79" i="4"/>
  <c r="BF104" i="2"/>
  <c r="AT78" i="4"/>
  <c r="BG116" i="2"/>
  <c r="BG120" i="2" s="1"/>
  <c r="RF120" i="2"/>
  <c r="BG109" i="2" s="1"/>
  <c r="AS92" i="4"/>
  <c r="BE146" i="2"/>
  <c r="BG113" i="2" l="1"/>
  <c r="AS95" i="4"/>
  <c r="AS97" i="4" s="1"/>
  <c r="AS101" i="4" s="1"/>
  <c r="AS109" i="4" s="1"/>
  <c r="AT80" i="4"/>
  <c r="BG112" i="2"/>
  <c r="BG138" i="2"/>
  <c r="BG140" i="2"/>
  <c r="BG142" i="2"/>
  <c r="BG129" i="2"/>
  <c r="BG137" i="2"/>
  <c r="BG145" i="2"/>
  <c r="BG144" i="2"/>
  <c r="BG122" i="2"/>
  <c r="BG150" i="2"/>
  <c r="BG127" i="2"/>
  <c r="BG136" i="2"/>
  <c r="BG141" i="2"/>
  <c r="BG139" i="2"/>
  <c r="BG128" i="2"/>
  <c r="BG123" i="2"/>
  <c r="BG126" i="2"/>
  <c r="BG108" i="2"/>
  <c r="BF132" i="2"/>
  <c r="BE105" i="2"/>
  <c r="BE148" i="2"/>
  <c r="BE153" i="2" s="1"/>
  <c r="BE221" i="2" s="1"/>
  <c r="AU86" i="4" l="1"/>
  <c r="AU93" i="4"/>
  <c r="AU90" i="4"/>
  <c r="AU89" i="4"/>
  <c r="AU94" i="4"/>
  <c r="AU91" i="4"/>
  <c r="BG152" i="2"/>
  <c r="AU99" i="4" s="1"/>
  <c r="AU87" i="4"/>
  <c r="AU88" i="4"/>
  <c r="BG121" i="2"/>
  <c r="BG124" i="2" s="1"/>
  <c r="AU85" i="4"/>
  <c r="AT81" i="4"/>
  <c r="BF103" i="2"/>
  <c r="BF134" i="2"/>
  <c r="GP196" i="2" s="1"/>
  <c r="BG106" i="2"/>
  <c r="BG130" i="2"/>
  <c r="BH118" i="2"/>
  <c r="BH119" i="2"/>
  <c r="BH117" i="2"/>
  <c r="AT82" i="4" l="1"/>
  <c r="BH116" i="2"/>
  <c r="BH120" i="2" s="1"/>
  <c r="RG120" i="2"/>
  <c r="BH109" i="2" s="1"/>
  <c r="AU79" i="4"/>
  <c r="BG131" i="2"/>
  <c r="BG133" i="2" s="1"/>
  <c r="BF143" i="2"/>
  <c r="AU78" i="4"/>
  <c r="BG104" i="2"/>
  <c r="BH113" i="2" l="1"/>
  <c r="AU80" i="4"/>
  <c r="AT92" i="4"/>
  <c r="BF146" i="2"/>
  <c r="BG132" i="2"/>
  <c r="BH122" i="2"/>
  <c r="BH150" i="2"/>
  <c r="BH152" i="2" s="1"/>
  <c r="AV99" i="4" s="1"/>
  <c r="BH137" i="2"/>
  <c r="AV86" i="4" s="1"/>
  <c r="BH139" i="2"/>
  <c r="AV88" i="4" s="1"/>
  <c r="BH145" i="2"/>
  <c r="AV94" i="4" s="1"/>
  <c r="BH140" i="2"/>
  <c r="AV89" i="4" s="1"/>
  <c r="BH141" i="2"/>
  <c r="AV90" i="4" s="1"/>
  <c r="BH144" i="2"/>
  <c r="AV93" i="4" s="1"/>
  <c r="BH129" i="2"/>
  <c r="BH138" i="2"/>
  <c r="AV87" i="4" s="1"/>
  <c r="BH142" i="2"/>
  <c r="AV91" i="4" s="1"/>
  <c r="BH123" i="2"/>
  <c r="BH112" i="2"/>
  <c r="BH127" i="2"/>
  <c r="BH136" i="2"/>
  <c r="BH128" i="2"/>
  <c r="BH126" i="2"/>
  <c r="BH108" i="2"/>
  <c r="AT95" i="4" l="1"/>
  <c r="AT97" i="4" s="1"/>
  <c r="AT101" i="4" s="1"/>
  <c r="AT109" i="4" s="1"/>
  <c r="BH106" i="2"/>
  <c r="BH130" i="2"/>
  <c r="AV85" i="4"/>
  <c r="AU81" i="4"/>
  <c r="BG103" i="2"/>
  <c r="BI118" i="2"/>
  <c r="BI117" i="2"/>
  <c r="BI119" i="2"/>
  <c r="BG134" i="2"/>
  <c r="GQ196" i="2" s="1"/>
  <c r="BF105" i="2"/>
  <c r="BF148" i="2"/>
  <c r="BF153" i="2" s="1"/>
  <c r="BF221" i="2" s="1"/>
  <c r="BH121" i="2"/>
  <c r="BH124" i="2" s="1"/>
  <c r="AU82" i="4" l="1"/>
  <c r="BG143" i="2"/>
  <c r="BH131" i="2"/>
  <c r="BH133" i="2" s="1"/>
  <c r="AV79" i="4"/>
  <c r="AV78" i="4"/>
  <c r="BH104" i="2"/>
  <c r="BI116" i="2"/>
  <c r="BI120" i="2" s="1"/>
  <c r="RH120" i="2"/>
  <c r="BI109" i="2" s="1"/>
  <c r="BI113" i="2" l="1"/>
  <c r="AV80" i="4"/>
  <c r="AU92" i="4"/>
  <c r="BG146" i="2"/>
  <c r="BH132" i="2"/>
  <c r="BI140" i="2"/>
  <c r="AW89" i="4" s="1"/>
  <c r="BI112" i="2"/>
  <c r="BI144" i="2"/>
  <c r="AW93" i="4" s="1"/>
  <c r="BI141" i="2"/>
  <c r="AW90" i="4" s="1"/>
  <c r="BI150" i="2"/>
  <c r="BI152" i="2" s="1"/>
  <c r="AW99" i="4" s="1"/>
  <c r="BI145" i="2"/>
  <c r="AW94" i="4" s="1"/>
  <c r="BI136" i="2"/>
  <c r="BI138" i="2"/>
  <c r="AW87" i="4" s="1"/>
  <c r="BI137" i="2"/>
  <c r="AW86" i="4" s="1"/>
  <c r="BI139" i="2"/>
  <c r="AW88" i="4" s="1"/>
  <c r="BI128" i="2"/>
  <c r="BI122" i="2"/>
  <c r="BI142" i="2"/>
  <c r="AW91" i="4" s="1"/>
  <c r="BI123" i="2"/>
  <c r="BI127" i="2"/>
  <c r="BI129" i="2"/>
  <c r="BI126" i="2"/>
  <c r="BI108" i="2"/>
  <c r="AU95" i="4" l="1"/>
  <c r="AU97" i="4" s="1"/>
  <c r="AU101" i="4" s="1"/>
  <c r="AU109" i="4" s="1"/>
  <c r="AV81" i="4"/>
  <c r="BH103" i="2"/>
  <c r="BH134" i="2"/>
  <c r="GR196" i="2" s="1"/>
  <c r="AW85" i="4"/>
  <c r="BI121" i="2"/>
  <c r="BI124" i="2" s="1"/>
  <c r="BG105" i="2"/>
  <c r="BG148" i="2"/>
  <c r="BG153" i="2" s="1"/>
  <c r="BG221" i="2" s="1"/>
  <c r="BI106" i="2"/>
  <c r="BI130" i="2"/>
  <c r="BJ117" i="2"/>
  <c r="BJ118" i="2"/>
  <c r="BJ119" i="2"/>
  <c r="AV82" i="4" l="1"/>
  <c r="BJ116" i="2"/>
  <c r="BJ120" i="2" s="1"/>
  <c r="RI120" i="2"/>
  <c r="BJ109" i="2" s="1"/>
  <c r="AW79" i="4"/>
  <c r="BI131" i="2"/>
  <c r="BI133" i="2" s="1"/>
  <c r="BH143" i="2"/>
  <c r="AW78" i="4"/>
  <c r="AW80" i="4" s="1"/>
  <c r="BI104" i="2"/>
  <c r="BJ113" i="2" l="1"/>
  <c r="BI132" i="2"/>
  <c r="AV92" i="4"/>
  <c r="BH146" i="2"/>
  <c r="BJ141" i="2"/>
  <c r="AX90" i="4" s="1"/>
  <c r="BJ122" i="2"/>
  <c r="BJ139" i="2"/>
  <c r="AX88" i="4" s="1"/>
  <c r="BJ140" i="2"/>
  <c r="AX89" i="4" s="1"/>
  <c r="BJ150" i="2"/>
  <c r="BJ152" i="2" s="1"/>
  <c r="AX99" i="4" s="1"/>
  <c r="BJ138" i="2"/>
  <c r="AX87" i="4" s="1"/>
  <c r="BJ137" i="2"/>
  <c r="AX86" i="4" s="1"/>
  <c r="BJ123" i="2"/>
  <c r="BJ145" i="2"/>
  <c r="AX94" i="4" s="1"/>
  <c r="BJ144" i="2"/>
  <c r="AX93" i="4" s="1"/>
  <c r="BJ112" i="2"/>
  <c r="BJ127" i="2"/>
  <c r="BJ128" i="2"/>
  <c r="BJ129" i="2"/>
  <c r="BJ136" i="2"/>
  <c r="BJ142" i="2"/>
  <c r="AX91" i="4" s="1"/>
  <c r="BJ126" i="2"/>
  <c r="BJ108" i="2"/>
  <c r="BI134" i="2" l="1"/>
  <c r="AV95" i="4"/>
  <c r="AV97" i="4" s="1"/>
  <c r="AV101" i="4" s="1"/>
  <c r="AV109" i="4" s="1"/>
  <c r="BK117" i="2"/>
  <c r="BK118" i="2"/>
  <c r="BK119" i="2"/>
  <c r="BJ106" i="2"/>
  <c r="BJ130" i="2"/>
  <c r="BH105" i="2"/>
  <c r="BH148" i="2"/>
  <c r="BH153" i="2" s="1"/>
  <c r="BH221" i="2" s="1"/>
  <c r="AX85" i="4"/>
  <c r="AW81" i="4"/>
  <c r="AW82" i="4" s="1"/>
  <c r="BI103" i="2"/>
  <c r="BJ121" i="2"/>
  <c r="BJ124" i="2" s="1"/>
  <c r="BI143" i="2" l="1"/>
  <c r="GS196" i="2"/>
  <c r="BJ131" i="2"/>
  <c r="BJ133" i="2" s="1"/>
  <c r="AX79" i="4"/>
  <c r="BJ104" i="2"/>
  <c r="AX78" i="4"/>
  <c r="AW92" i="4"/>
  <c r="AW95" i="4" s="1"/>
  <c r="AW97" i="4" s="1"/>
  <c r="AW101" i="4" s="1"/>
  <c r="AW109" i="4" s="1"/>
  <c r="BI146" i="2"/>
  <c r="BK116" i="2"/>
  <c r="BK120" i="2" s="1"/>
  <c r="RJ120" i="2"/>
  <c r="BK109" i="2" s="1"/>
  <c r="BK113" i="2" l="1"/>
  <c r="AX80" i="4"/>
  <c r="BI105" i="2"/>
  <c r="BI148" i="2"/>
  <c r="BI153" i="2" s="1"/>
  <c r="BI221" i="2" s="1"/>
  <c r="BJ132" i="2"/>
  <c r="BK142" i="2"/>
  <c r="AY91" i="4" s="1"/>
  <c r="BK137" i="2"/>
  <c r="AY86" i="4" s="1"/>
  <c r="BK141" i="2"/>
  <c r="AY90" i="4" s="1"/>
  <c r="BK112" i="2"/>
  <c r="BK138" i="2"/>
  <c r="AY87" i="4" s="1"/>
  <c r="BK136" i="2"/>
  <c r="BK140" i="2"/>
  <c r="AY89" i="4" s="1"/>
  <c r="BK122" i="2"/>
  <c r="BK144" i="2"/>
  <c r="AY93" i="4" s="1"/>
  <c r="BK145" i="2"/>
  <c r="AY94" i="4" s="1"/>
  <c r="BK139" i="2"/>
  <c r="AY88" i="4" s="1"/>
  <c r="BK128" i="2"/>
  <c r="BK129" i="2"/>
  <c r="BK127" i="2"/>
  <c r="BK150" i="2"/>
  <c r="BK152" i="2" s="1"/>
  <c r="AY99" i="4" s="1"/>
  <c r="BK123" i="2"/>
  <c r="BK126" i="2"/>
  <c r="BK108" i="2"/>
  <c r="AX81" i="4" l="1"/>
  <c r="AX82" i="4" s="1"/>
  <c r="BJ103" i="2"/>
  <c r="AY85" i="4"/>
  <c r="BJ134" i="2"/>
  <c r="GT196" i="2" s="1"/>
  <c r="BL117" i="2"/>
  <c r="BL118" i="2"/>
  <c r="BL119" i="2"/>
  <c r="BK121" i="2"/>
  <c r="BK124" i="2" s="1"/>
  <c r="BK106" i="2"/>
  <c r="BK130" i="2"/>
  <c r="AY78" i="4" l="1"/>
  <c r="BK104" i="2"/>
  <c r="BJ143" i="2"/>
  <c r="BL116" i="2"/>
  <c r="BL120" i="2" s="1"/>
  <c r="RK120" i="2"/>
  <c r="BL109" i="2" s="1"/>
  <c r="AY79" i="4"/>
  <c r="BK131" i="2"/>
  <c r="BK133" i="2" s="1"/>
  <c r="BL113" i="2" l="1"/>
  <c r="BL142" i="2"/>
  <c r="AZ91" i="4" s="1"/>
  <c r="BL145" i="2"/>
  <c r="AZ94" i="4" s="1"/>
  <c r="BL122" i="2"/>
  <c r="BL139" i="2"/>
  <c r="AZ88" i="4" s="1"/>
  <c r="BL150" i="2"/>
  <c r="BL152" i="2" s="1"/>
  <c r="AZ99" i="4" s="1"/>
  <c r="BL140" i="2"/>
  <c r="AZ89" i="4" s="1"/>
  <c r="BL138" i="2"/>
  <c r="AZ87" i="4" s="1"/>
  <c r="BL141" i="2"/>
  <c r="AZ90" i="4" s="1"/>
  <c r="BL112" i="2"/>
  <c r="BL136" i="2"/>
  <c r="BL144" i="2"/>
  <c r="AZ93" i="4" s="1"/>
  <c r="BL137" i="2"/>
  <c r="AZ86" i="4" s="1"/>
  <c r="BL129" i="2"/>
  <c r="BL128" i="2"/>
  <c r="BL123" i="2"/>
  <c r="BL127" i="2"/>
  <c r="BL126" i="2"/>
  <c r="BL108" i="2"/>
  <c r="AY80" i="4"/>
  <c r="AX92" i="4"/>
  <c r="AX95" i="4" s="1"/>
  <c r="AX97" i="4" s="1"/>
  <c r="AX101" i="4" s="1"/>
  <c r="AX109" i="4" s="1"/>
  <c r="BJ146" i="2"/>
  <c r="BK132" i="2"/>
  <c r="BK134" i="2" l="1"/>
  <c r="BL121" i="2"/>
  <c r="BL124" i="2" s="1"/>
  <c r="BL106" i="2"/>
  <c r="BL130" i="2"/>
  <c r="AZ85" i="4"/>
  <c r="BJ105" i="2"/>
  <c r="BJ148" i="2"/>
  <c r="BJ153" i="2" s="1"/>
  <c r="BJ221" i="2" s="1"/>
  <c r="AY81" i="4"/>
  <c r="AY82" i="4" s="1"/>
  <c r="BK103" i="2"/>
  <c r="BM119" i="2"/>
  <c r="BM117" i="2"/>
  <c r="BM118" i="2"/>
  <c r="BK143" i="2" l="1"/>
  <c r="AY92" i="4" s="1"/>
  <c r="AY95" i="4" s="1"/>
  <c r="AY97" i="4" s="1"/>
  <c r="AY101" i="4" s="1"/>
  <c r="AY109" i="4" s="1"/>
  <c r="GU196" i="2"/>
  <c r="BL131" i="2"/>
  <c r="BL133" i="2" s="1"/>
  <c r="AZ79" i="4"/>
  <c r="AZ78" i="4"/>
  <c r="BL104" i="2"/>
  <c r="BM116" i="2"/>
  <c r="BM120" i="2" s="1"/>
  <c r="RL120" i="2"/>
  <c r="BM109" i="2" s="1"/>
  <c r="BM113" i="2" l="1"/>
  <c r="BK146" i="2"/>
  <c r="AZ80" i="4"/>
  <c r="BM122" i="2"/>
  <c r="BM142" i="2"/>
  <c r="BA91" i="4" s="1"/>
  <c r="BM150" i="2"/>
  <c r="BM152" i="2" s="1"/>
  <c r="BA99" i="4" s="1"/>
  <c r="BM136" i="2"/>
  <c r="BM145" i="2"/>
  <c r="BA94" i="4" s="1"/>
  <c r="BM140" i="2"/>
  <c r="BA89" i="4" s="1"/>
  <c r="BM139" i="2"/>
  <c r="BA88" i="4" s="1"/>
  <c r="BM112" i="2"/>
  <c r="BM144" i="2"/>
  <c r="BA93" i="4" s="1"/>
  <c r="BM137" i="2"/>
  <c r="BA86" i="4" s="1"/>
  <c r="BM141" i="2"/>
  <c r="BA90" i="4" s="1"/>
  <c r="BM128" i="2"/>
  <c r="BM138" i="2"/>
  <c r="BA87" i="4" s="1"/>
  <c r="BM123" i="2"/>
  <c r="BM127" i="2"/>
  <c r="BM129" i="2"/>
  <c r="BM126" i="2"/>
  <c r="BM108" i="2"/>
  <c r="BK105" i="2"/>
  <c r="BK148" i="2"/>
  <c r="BK153" i="2" s="1"/>
  <c r="BK221" i="2" s="1"/>
  <c r="BL132" i="2"/>
  <c r="BL134" i="2" l="1"/>
  <c r="BN117" i="2"/>
  <c r="BN119" i="2"/>
  <c r="BN118" i="2"/>
  <c r="BM121" i="2"/>
  <c r="BM124" i="2" s="1"/>
  <c r="BA85" i="4"/>
  <c r="AZ81" i="4"/>
  <c r="AZ82" i="4" s="1"/>
  <c r="BL103" i="2"/>
  <c r="BM106" i="2"/>
  <c r="BM130" i="2"/>
  <c r="BL143" i="2" l="1"/>
  <c r="BL146" i="2" s="1"/>
  <c r="GV196" i="2"/>
  <c r="BA79" i="4"/>
  <c r="BM131" i="2"/>
  <c r="BM133" i="2" s="1"/>
  <c r="BA78" i="4"/>
  <c r="BM104" i="2"/>
  <c r="BN116" i="2"/>
  <c r="BN120" i="2" s="1"/>
  <c r="RM120" i="2"/>
  <c r="BN109" i="2" s="1"/>
  <c r="BN113" i="2" l="1"/>
  <c r="AZ92" i="4"/>
  <c r="AZ95" i="4" s="1"/>
  <c r="AZ97" i="4" s="1"/>
  <c r="AZ101" i="4" s="1"/>
  <c r="AZ109" i="4" s="1"/>
  <c r="BN142" i="2"/>
  <c r="BN112" i="2"/>
  <c r="BN137" i="2"/>
  <c r="BN144" i="2"/>
  <c r="BN140" i="2"/>
  <c r="BN138" i="2"/>
  <c r="BN141" i="2"/>
  <c r="BN139" i="2"/>
  <c r="BN122" i="2"/>
  <c r="BN145" i="2"/>
  <c r="BN136" i="2"/>
  <c r="BN150" i="2"/>
  <c r="BN123" i="2"/>
  <c r="BN129" i="2"/>
  <c r="BN127" i="2"/>
  <c r="BN128" i="2"/>
  <c r="BN126" i="2"/>
  <c r="BN108" i="2"/>
  <c r="BA80" i="4"/>
  <c r="BL105" i="2"/>
  <c r="BL148" i="2"/>
  <c r="BL153" i="2" s="1"/>
  <c r="BL221" i="2" s="1"/>
  <c r="BM132" i="2"/>
  <c r="BB90" i="4" l="1"/>
  <c r="BB89" i="4"/>
  <c r="BN152" i="2"/>
  <c r="BB99" i="4" s="1"/>
  <c r="BB93" i="4"/>
  <c r="BB87" i="4"/>
  <c r="BB86" i="4"/>
  <c r="BB94" i="4"/>
  <c r="BB91" i="4"/>
  <c r="BB88" i="4"/>
  <c r="BM134" i="2"/>
  <c r="BB85" i="4"/>
  <c r="BN121" i="2"/>
  <c r="BN124" i="2" s="1"/>
  <c r="BA81" i="4"/>
  <c r="BA82" i="4" s="1"/>
  <c r="BM103" i="2"/>
  <c r="BN106" i="2"/>
  <c r="BN130" i="2"/>
  <c r="BO119" i="2"/>
  <c r="BO117" i="2"/>
  <c r="BO118" i="2"/>
  <c r="BM143" i="2" l="1"/>
  <c r="BA92" i="4" s="1"/>
  <c r="BA95" i="4" s="1"/>
  <c r="BA97" i="4" s="1"/>
  <c r="BA101" i="4" s="1"/>
  <c r="BA109" i="4" s="1"/>
  <c r="GW196" i="2"/>
  <c r="BO116" i="2"/>
  <c r="BO120" i="2" s="1"/>
  <c r="RN120" i="2"/>
  <c r="BO109" i="2" s="1"/>
  <c r="BN104" i="2"/>
  <c r="BB78" i="4"/>
  <c r="BN131" i="2"/>
  <c r="BN133" i="2" s="1"/>
  <c r="BB79" i="4"/>
  <c r="BO113" i="2" l="1"/>
  <c r="BM146" i="2"/>
  <c r="BM105" i="2" s="1"/>
  <c r="BB80" i="4"/>
  <c r="BO112" i="2"/>
  <c r="BO141" i="2"/>
  <c r="BC90" i="4" s="1"/>
  <c r="BO142" i="2"/>
  <c r="BC91" i="4" s="1"/>
  <c r="BO145" i="2"/>
  <c r="BC94" i="4" s="1"/>
  <c r="BO139" i="2"/>
  <c r="BC88" i="4" s="1"/>
  <c r="BO140" i="2"/>
  <c r="BC89" i="4" s="1"/>
  <c r="BO137" i="2"/>
  <c r="BC86" i="4" s="1"/>
  <c r="BO144" i="2"/>
  <c r="BC93" i="4" s="1"/>
  <c r="BO150" i="2"/>
  <c r="BO152" i="2" s="1"/>
  <c r="BC99" i="4" s="1"/>
  <c r="BO138" i="2"/>
  <c r="BC87" i="4" s="1"/>
  <c r="BO122" i="2"/>
  <c r="BO136" i="2"/>
  <c r="BO129" i="2"/>
  <c r="BO123" i="2"/>
  <c r="BO127" i="2"/>
  <c r="BO128" i="2"/>
  <c r="BO126" i="2"/>
  <c r="BO108" i="2"/>
  <c r="BN132" i="2"/>
  <c r="BM148" i="2" l="1"/>
  <c r="BM153" i="2" s="1"/>
  <c r="BM221" i="2" s="1"/>
  <c r="BC85" i="4"/>
  <c r="BP117" i="2"/>
  <c r="BP119" i="2"/>
  <c r="BP118" i="2"/>
  <c r="BB81" i="4"/>
  <c r="BB82" i="4" s="1"/>
  <c r="BN103" i="2"/>
  <c r="BO121" i="2"/>
  <c r="BO124" i="2" s="1"/>
  <c r="BO106" i="2"/>
  <c r="BO130" i="2"/>
  <c r="BN134" i="2"/>
  <c r="GX196" i="2" s="1"/>
  <c r="BC79" i="4" l="1"/>
  <c r="BO131" i="2"/>
  <c r="BO133" i="2" s="1"/>
  <c r="BC78" i="4"/>
  <c r="BO104" i="2"/>
  <c r="BP116" i="2"/>
  <c r="BP120" i="2" s="1"/>
  <c r="RO120" i="2"/>
  <c r="BP109" i="2" s="1"/>
  <c r="BN143" i="2"/>
  <c r="BP113" i="2" l="1"/>
  <c r="BC80" i="4"/>
  <c r="BB92" i="4"/>
  <c r="BB95" i="4" s="1"/>
  <c r="BB97" i="4" s="1"/>
  <c r="BB101" i="4" s="1"/>
  <c r="BB109" i="4" s="1"/>
  <c r="BN146" i="2"/>
  <c r="BO132" i="2"/>
  <c r="BP141" i="2"/>
  <c r="BD90" i="4" s="1"/>
  <c r="BP142" i="2"/>
  <c r="BD91" i="4" s="1"/>
  <c r="BP145" i="2"/>
  <c r="BD94" i="4" s="1"/>
  <c r="BP139" i="2"/>
  <c r="BD88" i="4" s="1"/>
  <c r="BP150" i="2"/>
  <c r="BP152" i="2" s="1"/>
  <c r="BD99" i="4" s="1"/>
  <c r="BP144" i="2"/>
  <c r="BD93" i="4" s="1"/>
  <c r="BP122" i="2"/>
  <c r="BP138" i="2"/>
  <c r="BD87" i="4" s="1"/>
  <c r="BP137" i="2"/>
  <c r="BD86" i="4" s="1"/>
  <c r="BP112" i="2"/>
  <c r="BP140" i="2"/>
  <c r="BD89" i="4" s="1"/>
  <c r="BP123" i="2"/>
  <c r="BP129" i="2"/>
  <c r="BP128" i="2"/>
  <c r="BP127" i="2"/>
  <c r="BP136" i="2"/>
  <c r="BP126" i="2"/>
  <c r="BP108" i="2"/>
  <c r="BC81" i="4" l="1"/>
  <c r="BC82" i="4" s="1"/>
  <c r="BO103" i="2"/>
  <c r="BO134" i="2"/>
  <c r="GY196" i="2" s="1"/>
  <c r="BN105" i="2"/>
  <c r="BN148" i="2"/>
  <c r="BN153" i="2" s="1"/>
  <c r="BN221" i="2" s="1"/>
  <c r="BP121" i="2"/>
  <c r="BP124" i="2" s="1"/>
  <c r="BP106" i="2"/>
  <c r="BP130" i="2"/>
  <c r="BD85" i="4"/>
  <c r="BQ117" i="2"/>
  <c r="BQ118" i="2"/>
  <c r="BQ119" i="2"/>
  <c r="BQ116" i="2" l="1"/>
  <c r="BQ120" i="2" s="1"/>
  <c r="RP120" i="2"/>
  <c r="BQ109" i="2" s="1"/>
  <c r="BP104" i="2"/>
  <c r="BD78" i="4"/>
  <c r="BO143" i="2"/>
  <c r="BP131" i="2"/>
  <c r="BP133" i="2" s="1"/>
  <c r="BD79" i="4"/>
  <c r="BQ113" i="2" l="1"/>
  <c r="BC92" i="4"/>
  <c r="BC95" i="4" s="1"/>
  <c r="BC97" i="4" s="1"/>
  <c r="BC101" i="4" s="1"/>
  <c r="BC109" i="4" s="1"/>
  <c r="BO146" i="2"/>
  <c r="BD80" i="4"/>
  <c r="BQ150" i="2"/>
  <c r="BQ152" i="2" s="1"/>
  <c r="BE99" i="4" s="1"/>
  <c r="BQ141" i="2"/>
  <c r="BE90" i="4" s="1"/>
  <c r="BQ140" i="2"/>
  <c r="BE89" i="4" s="1"/>
  <c r="BQ137" i="2"/>
  <c r="BE86" i="4" s="1"/>
  <c r="BQ122" i="2"/>
  <c r="BQ145" i="2"/>
  <c r="BE94" i="4" s="1"/>
  <c r="BQ142" i="2"/>
  <c r="BE91" i="4" s="1"/>
  <c r="BQ138" i="2"/>
  <c r="BE87" i="4" s="1"/>
  <c r="BQ112" i="2"/>
  <c r="BQ144" i="2"/>
  <c r="BE93" i="4" s="1"/>
  <c r="BQ139" i="2"/>
  <c r="BE88" i="4" s="1"/>
  <c r="BQ128" i="2"/>
  <c r="BQ129" i="2"/>
  <c r="BQ127" i="2"/>
  <c r="BQ136" i="2"/>
  <c r="BQ123" i="2"/>
  <c r="BQ126" i="2"/>
  <c r="BQ108" i="2"/>
  <c r="BP132" i="2"/>
  <c r="BP134" i="2" l="1"/>
  <c r="BR117" i="2"/>
  <c r="BR119" i="2"/>
  <c r="BR118" i="2"/>
  <c r="BE85" i="4"/>
  <c r="BQ121" i="2"/>
  <c r="BQ124" i="2" s="1"/>
  <c r="BD81" i="4"/>
  <c r="BP103" i="2"/>
  <c r="BO105" i="2"/>
  <c r="BO148" i="2"/>
  <c r="BO153" i="2" s="1"/>
  <c r="BO221" i="2" s="1"/>
  <c r="BQ106" i="2"/>
  <c r="BQ130" i="2"/>
  <c r="BP143" i="2" l="1"/>
  <c r="GZ196" i="2"/>
  <c r="BD82" i="4"/>
  <c r="BR116" i="2"/>
  <c r="BR120" i="2" s="1"/>
  <c r="RQ120" i="2"/>
  <c r="BR109" i="2" s="1"/>
  <c r="BE79" i="4"/>
  <c r="BQ131" i="2"/>
  <c r="BQ133" i="2" s="1"/>
  <c r="BQ104" i="2"/>
  <c r="BE78" i="4"/>
  <c r="BD92" i="4"/>
  <c r="BP146" i="2"/>
  <c r="BR113" i="2" l="1"/>
  <c r="BD95" i="4"/>
  <c r="BD97" i="4" s="1"/>
  <c r="BD101" i="4" s="1"/>
  <c r="BD109" i="4" s="1"/>
  <c r="BE80" i="4"/>
  <c r="BP105" i="2"/>
  <c r="BP148" i="2"/>
  <c r="BP153" i="2" s="1"/>
  <c r="BP221" i="2" s="1"/>
  <c r="BR137" i="2"/>
  <c r="BF86" i="4" s="1"/>
  <c r="BR136" i="2"/>
  <c r="BR140" i="2"/>
  <c r="BF89" i="4" s="1"/>
  <c r="BR144" i="2"/>
  <c r="BF93" i="4" s="1"/>
  <c r="BR142" i="2"/>
  <c r="BF91" i="4" s="1"/>
  <c r="BR122" i="2"/>
  <c r="BR145" i="2"/>
  <c r="BF94" i="4" s="1"/>
  <c r="BR138" i="2"/>
  <c r="BF87" i="4" s="1"/>
  <c r="BR141" i="2"/>
  <c r="BF90" i="4" s="1"/>
  <c r="BR123" i="2"/>
  <c r="BR112" i="2"/>
  <c r="BR139" i="2"/>
  <c r="BF88" i="4" s="1"/>
  <c r="BR127" i="2"/>
  <c r="BR150" i="2"/>
  <c r="BR152" i="2" s="1"/>
  <c r="BF99" i="4" s="1"/>
  <c r="BR128" i="2"/>
  <c r="BR129" i="2"/>
  <c r="BR126" i="2"/>
  <c r="BR108" i="2"/>
  <c r="BQ132" i="2"/>
  <c r="BQ134" i="2" l="1"/>
  <c r="BS119" i="2"/>
  <c r="BS117" i="2"/>
  <c r="BS118" i="2"/>
  <c r="BR121" i="2"/>
  <c r="BR124" i="2" s="1"/>
  <c r="BF85" i="4"/>
  <c r="BR106" i="2"/>
  <c r="BR130" i="2"/>
  <c r="BE81" i="4"/>
  <c r="BQ103" i="2"/>
  <c r="BQ143" i="2" l="1"/>
  <c r="BE92" i="4" s="1"/>
  <c r="HA196" i="2"/>
  <c r="BE82" i="4"/>
  <c r="BR131" i="2"/>
  <c r="BR133" i="2" s="1"/>
  <c r="BF79" i="4"/>
  <c r="BR104" i="2"/>
  <c r="BF78" i="4"/>
  <c r="BS116" i="2"/>
  <c r="BS120" i="2" s="1"/>
  <c r="RR120" i="2"/>
  <c r="BS109" i="2" s="1"/>
  <c r="BS113" i="2" l="1"/>
  <c r="BQ146" i="2"/>
  <c r="BE95" i="4"/>
  <c r="BE97" i="4" s="1"/>
  <c r="BE101" i="4" s="1"/>
  <c r="BE109" i="4" s="1"/>
  <c r="BF80" i="4"/>
  <c r="BR132" i="2"/>
  <c r="BQ105" i="2"/>
  <c r="BQ148" i="2"/>
  <c r="BQ153" i="2" s="1"/>
  <c r="BQ221" i="2" s="1"/>
  <c r="BS140" i="2"/>
  <c r="BG89" i="4" s="1"/>
  <c r="BS145" i="2"/>
  <c r="BG94" i="4" s="1"/>
  <c r="BS112" i="2"/>
  <c r="BS122" i="2"/>
  <c r="BS141" i="2"/>
  <c r="BG90" i="4" s="1"/>
  <c r="BS144" i="2"/>
  <c r="BG93" i="4" s="1"/>
  <c r="BS142" i="2"/>
  <c r="BG91" i="4" s="1"/>
  <c r="BS139" i="2"/>
  <c r="BG88" i="4" s="1"/>
  <c r="BS138" i="2"/>
  <c r="BG87" i="4" s="1"/>
  <c r="BS128" i="2"/>
  <c r="BS137" i="2"/>
  <c r="BG86" i="4" s="1"/>
  <c r="BS127" i="2"/>
  <c r="BS150" i="2"/>
  <c r="BS152" i="2" s="1"/>
  <c r="BG99" i="4" s="1"/>
  <c r="BS136" i="2"/>
  <c r="BS123" i="2"/>
  <c r="BS129" i="2"/>
  <c r="BS126" i="2"/>
  <c r="BS108" i="2"/>
  <c r="BF81" i="4" l="1"/>
  <c r="BR103" i="2"/>
  <c r="BG85" i="4"/>
  <c r="BS121" i="2"/>
  <c r="BS124" i="2" s="1"/>
  <c r="BT118" i="2"/>
  <c r="BT119" i="2"/>
  <c r="BT117" i="2"/>
  <c r="BR134" i="2"/>
  <c r="HB196" i="2" s="1"/>
  <c r="BS106" i="2"/>
  <c r="BS130" i="2"/>
  <c r="BF82" i="4" l="1"/>
  <c r="BR143" i="2"/>
  <c r="BT116" i="2"/>
  <c r="BT120" i="2" s="1"/>
  <c r="RS120" i="2"/>
  <c r="BT109" i="2" s="1"/>
  <c r="BG79" i="4"/>
  <c r="BS131" i="2"/>
  <c r="BS133" i="2" s="1"/>
  <c r="BS104" i="2"/>
  <c r="BG78" i="4"/>
  <c r="BT113" i="2" l="1"/>
  <c r="BS132" i="2"/>
  <c r="BT150" i="2"/>
  <c r="BT152" i="2" s="1"/>
  <c r="BH99" i="4" s="1"/>
  <c r="BT139" i="2"/>
  <c r="BH88" i="4" s="1"/>
  <c r="BT122" i="2"/>
  <c r="BT136" i="2"/>
  <c r="BT137" i="2"/>
  <c r="BH86" i="4" s="1"/>
  <c r="BT112" i="2"/>
  <c r="BT141" i="2"/>
  <c r="BH90" i="4" s="1"/>
  <c r="BT142" i="2"/>
  <c r="BH91" i="4" s="1"/>
  <c r="BT140" i="2"/>
  <c r="BH89" i="4" s="1"/>
  <c r="BT128" i="2"/>
  <c r="BT144" i="2"/>
  <c r="BH93" i="4" s="1"/>
  <c r="BT129" i="2"/>
  <c r="BT145" i="2"/>
  <c r="BH94" i="4" s="1"/>
  <c r="BT123" i="2"/>
  <c r="BT127" i="2"/>
  <c r="BT138" i="2"/>
  <c r="BH87" i="4" s="1"/>
  <c r="BT126" i="2"/>
  <c r="BT108" i="2"/>
  <c r="BF92" i="4"/>
  <c r="BR146" i="2"/>
  <c r="BG80" i="4"/>
  <c r="BF95" i="4" l="1"/>
  <c r="BF97" i="4" s="1"/>
  <c r="BF101" i="4" s="1"/>
  <c r="BF109" i="4" s="1"/>
  <c r="BT121" i="2"/>
  <c r="BT124" i="2" s="1"/>
  <c r="BH85" i="4"/>
  <c r="BU119" i="2"/>
  <c r="BU118" i="2"/>
  <c r="BU117" i="2"/>
  <c r="BG81" i="4"/>
  <c r="BS103" i="2"/>
  <c r="BT106" i="2"/>
  <c r="BT130" i="2"/>
  <c r="BR105" i="2"/>
  <c r="BR148" i="2"/>
  <c r="BR153" i="2" s="1"/>
  <c r="BR221" i="2" s="1"/>
  <c r="BS134" i="2"/>
  <c r="HC196" i="2" s="1"/>
  <c r="BG82" i="4" l="1"/>
  <c r="BS143" i="2"/>
  <c r="BT131" i="2"/>
  <c r="BT133" i="2" s="1"/>
  <c r="BH79" i="4"/>
  <c r="BU116" i="2"/>
  <c r="BU120" i="2" s="1"/>
  <c r="RT120" i="2"/>
  <c r="BU109" i="2" s="1"/>
  <c r="BT104" i="2"/>
  <c r="BH78" i="4"/>
  <c r="BU113" i="2" l="1"/>
  <c r="BH80" i="4"/>
  <c r="BG92" i="4"/>
  <c r="BS146" i="2"/>
  <c r="BT132" i="2"/>
  <c r="BU112" i="2"/>
  <c r="BU144" i="2"/>
  <c r="BI93" i="4" s="1"/>
  <c r="BU142" i="2"/>
  <c r="BI91" i="4" s="1"/>
  <c r="BU140" i="2"/>
  <c r="BI89" i="4" s="1"/>
  <c r="BU145" i="2"/>
  <c r="BI94" i="4" s="1"/>
  <c r="BU150" i="2"/>
  <c r="BU152" i="2" s="1"/>
  <c r="BI99" i="4" s="1"/>
  <c r="BU141" i="2"/>
  <c r="BI90" i="4" s="1"/>
  <c r="BU137" i="2"/>
  <c r="BI86" i="4" s="1"/>
  <c r="BU138" i="2"/>
  <c r="BI87" i="4" s="1"/>
  <c r="BU123" i="2"/>
  <c r="BU128" i="2"/>
  <c r="BU122" i="2"/>
  <c r="BU139" i="2"/>
  <c r="BI88" i="4" s="1"/>
  <c r="BU129" i="2"/>
  <c r="BU127" i="2"/>
  <c r="BU136" i="2"/>
  <c r="BU126" i="2"/>
  <c r="BU108" i="2"/>
  <c r="BT134" i="2" l="1"/>
  <c r="BG95" i="4"/>
  <c r="BG97" i="4" s="1"/>
  <c r="BG101" i="4" s="1"/>
  <c r="BG109" i="4" s="1"/>
  <c r="BV119" i="2"/>
  <c r="BV118" i="2"/>
  <c r="BV117" i="2"/>
  <c r="BH81" i="4"/>
  <c r="BT103" i="2"/>
  <c r="BS105" i="2"/>
  <c r="BS148" i="2"/>
  <c r="BS153" i="2" s="1"/>
  <c r="BS221" i="2" s="1"/>
  <c r="BU106" i="2"/>
  <c r="BU130" i="2"/>
  <c r="BU121" i="2"/>
  <c r="BU124" i="2" s="1"/>
  <c r="BI85" i="4"/>
  <c r="BT143" i="2" l="1"/>
  <c r="HD196" i="2"/>
  <c r="BH82" i="4"/>
  <c r="BV116" i="2"/>
  <c r="BV120" i="2" s="1"/>
  <c r="RU120" i="2"/>
  <c r="BV109" i="2" s="1"/>
  <c r="BI79" i="4"/>
  <c r="BU131" i="2"/>
  <c r="BU133" i="2" s="1"/>
  <c r="BH92" i="4"/>
  <c r="BT146" i="2"/>
  <c r="BU104" i="2"/>
  <c r="BI78" i="4"/>
  <c r="BV113" i="2" l="1"/>
  <c r="BH95" i="4"/>
  <c r="BH97" i="4" s="1"/>
  <c r="BH101" i="4" s="1"/>
  <c r="BH109" i="4" s="1"/>
  <c r="BI80" i="4"/>
  <c r="BV139" i="2"/>
  <c r="BJ88" i="4" s="1"/>
  <c r="BV140" i="2"/>
  <c r="BJ89" i="4" s="1"/>
  <c r="BV142" i="2"/>
  <c r="BJ91" i="4" s="1"/>
  <c r="BV138" i="2"/>
  <c r="BJ87" i="4" s="1"/>
  <c r="BV122" i="2"/>
  <c r="BV144" i="2"/>
  <c r="BJ93" i="4" s="1"/>
  <c r="BV141" i="2"/>
  <c r="BJ90" i="4" s="1"/>
  <c r="BV150" i="2"/>
  <c r="BV152" i="2" s="1"/>
  <c r="BJ99" i="4" s="1"/>
  <c r="BV145" i="2"/>
  <c r="BJ94" i="4" s="1"/>
  <c r="BV137" i="2"/>
  <c r="BJ86" i="4" s="1"/>
  <c r="BV136" i="2"/>
  <c r="BV129" i="2"/>
  <c r="BV112" i="2"/>
  <c r="BV128" i="2"/>
  <c r="BV123" i="2"/>
  <c r="BV127" i="2"/>
  <c r="BV126" i="2"/>
  <c r="BV108" i="2"/>
  <c r="BU132" i="2"/>
  <c r="BT105" i="2"/>
  <c r="BT148" i="2"/>
  <c r="BT153" i="2" s="1"/>
  <c r="BT221" i="2" s="1"/>
  <c r="BU134" i="2" l="1"/>
  <c r="BW119" i="2"/>
  <c r="BW118" i="2"/>
  <c r="BW117" i="2"/>
  <c r="BV121" i="2"/>
  <c r="BV124" i="2" s="1"/>
  <c r="BJ85" i="4"/>
  <c r="BV106" i="2"/>
  <c r="BV130" i="2"/>
  <c r="BI81" i="4"/>
  <c r="BI82" i="4" s="1"/>
  <c r="BU103" i="2"/>
  <c r="BU143" i="2" l="1"/>
  <c r="BI92" i="4" s="1"/>
  <c r="BI95" i="4" s="1"/>
  <c r="BI97" i="4" s="1"/>
  <c r="BI101" i="4" s="1"/>
  <c r="BI109" i="4" s="1"/>
  <c r="HE196" i="2"/>
  <c r="BW116" i="2"/>
  <c r="BW120" i="2" s="1"/>
  <c r="RV120" i="2"/>
  <c r="BW109" i="2" s="1"/>
  <c r="BV104" i="2"/>
  <c r="BJ78" i="4"/>
  <c r="BV131" i="2"/>
  <c r="BV133" i="2" s="1"/>
  <c r="BJ79" i="4"/>
  <c r="BW113" i="2" l="1"/>
  <c r="BU146" i="2"/>
  <c r="BU105" i="2" s="1"/>
  <c r="BV132" i="2"/>
  <c r="BJ80" i="4"/>
  <c r="BW144" i="2"/>
  <c r="BK93" i="4" s="1"/>
  <c r="BW150" i="2"/>
  <c r="BW152" i="2" s="1"/>
  <c r="BK99" i="4" s="1"/>
  <c r="BW112" i="2"/>
  <c r="BW139" i="2"/>
  <c r="BK88" i="4" s="1"/>
  <c r="BW141" i="2"/>
  <c r="BK90" i="4" s="1"/>
  <c r="BW138" i="2"/>
  <c r="BK87" i="4" s="1"/>
  <c r="BW142" i="2"/>
  <c r="BK91" i="4" s="1"/>
  <c r="BW140" i="2"/>
  <c r="BK89" i="4" s="1"/>
  <c r="BW137" i="2"/>
  <c r="BK86" i="4" s="1"/>
  <c r="BW128" i="2"/>
  <c r="BW136" i="2"/>
  <c r="BW129" i="2"/>
  <c r="BW123" i="2"/>
  <c r="BW122" i="2"/>
  <c r="BW127" i="2"/>
  <c r="BW145" i="2"/>
  <c r="BK94" i="4" s="1"/>
  <c r="BW126" i="2"/>
  <c r="BW108" i="2"/>
  <c r="BU148" i="2" l="1"/>
  <c r="BU153" i="2" s="1"/>
  <c r="BU221" i="2" s="1"/>
  <c r="BW106" i="2"/>
  <c r="BW130" i="2"/>
  <c r="BW121" i="2"/>
  <c r="BW124" i="2" s="1"/>
  <c r="BJ81" i="4"/>
  <c r="BJ82" i="4" s="1"/>
  <c r="BV103" i="2"/>
  <c r="BX118" i="2"/>
  <c r="BX117" i="2"/>
  <c r="BX119" i="2"/>
  <c r="BK85" i="4"/>
  <c r="BV134" i="2"/>
  <c r="HF196" i="2" s="1"/>
  <c r="BX116" i="2" l="1"/>
  <c r="BX120" i="2" s="1"/>
  <c r="RW120" i="2"/>
  <c r="BX109" i="2" s="1"/>
  <c r="BK78" i="4"/>
  <c r="BW104" i="2"/>
  <c r="BK79" i="4"/>
  <c r="BW131" i="2"/>
  <c r="BW133" i="2" s="1"/>
  <c r="BV143" i="2"/>
  <c r="BX113" i="2" l="1"/>
  <c r="BW132" i="2"/>
  <c r="BX141" i="2"/>
  <c r="BL90" i="4" s="1"/>
  <c r="BX144" i="2"/>
  <c r="BL93" i="4" s="1"/>
  <c r="BX150" i="2"/>
  <c r="BX152" i="2" s="1"/>
  <c r="BL99" i="4" s="1"/>
  <c r="BX142" i="2"/>
  <c r="BL91" i="4" s="1"/>
  <c r="BX140" i="2"/>
  <c r="BL89" i="4" s="1"/>
  <c r="BX138" i="2"/>
  <c r="BL87" i="4" s="1"/>
  <c r="BX139" i="2"/>
  <c r="BL88" i="4" s="1"/>
  <c r="BX122" i="2"/>
  <c r="BX127" i="2"/>
  <c r="BX123" i="2"/>
  <c r="BX129" i="2"/>
  <c r="BX128" i="2"/>
  <c r="BX137" i="2"/>
  <c r="BL86" i="4" s="1"/>
  <c r="BX136" i="2"/>
  <c r="BX112" i="2"/>
  <c r="BX145" i="2"/>
  <c r="BL94" i="4" s="1"/>
  <c r="BX126" i="2"/>
  <c r="BX108" i="2"/>
  <c r="BK80" i="4"/>
  <c r="BJ92" i="4"/>
  <c r="BJ95" i="4" s="1"/>
  <c r="BJ97" i="4" s="1"/>
  <c r="BJ101" i="4" s="1"/>
  <c r="BJ109" i="4" s="1"/>
  <c r="BV146" i="2"/>
  <c r="BX121" i="2" l="1"/>
  <c r="BX124" i="2" s="1"/>
  <c r="BV105" i="2"/>
  <c r="BV148" i="2"/>
  <c r="BV153" i="2" s="1"/>
  <c r="BV221" i="2" s="1"/>
  <c r="BL85" i="4"/>
  <c r="BK81" i="4"/>
  <c r="BK82" i="4" s="1"/>
  <c r="BW103" i="2"/>
  <c r="BX106" i="2"/>
  <c r="BX130" i="2"/>
  <c r="BY117" i="2"/>
  <c r="BY118" i="2"/>
  <c r="BY119" i="2"/>
  <c r="BW134" i="2"/>
  <c r="HG196" i="2" s="1"/>
  <c r="BW143" i="2" l="1"/>
  <c r="BY116" i="2"/>
  <c r="BY120" i="2" s="1"/>
  <c r="RX120" i="2"/>
  <c r="BY109" i="2" s="1"/>
  <c r="BX131" i="2"/>
  <c r="BX133" i="2" s="1"/>
  <c r="BL79" i="4"/>
  <c r="BX104" i="2"/>
  <c r="BL78" i="4"/>
  <c r="BY113" i="2" l="1"/>
  <c r="BX132" i="2"/>
  <c r="BY138" i="2"/>
  <c r="BM87" i="4" s="1"/>
  <c r="BY142" i="2"/>
  <c r="BM91" i="4" s="1"/>
  <c r="BY139" i="2"/>
  <c r="BM88" i="4" s="1"/>
  <c r="BY122" i="2"/>
  <c r="BY141" i="2"/>
  <c r="BM90" i="4" s="1"/>
  <c r="BY144" i="2"/>
  <c r="BM93" i="4" s="1"/>
  <c r="BY150" i="2"/>
  <c r="BY152" i="2" s="1"/>
  <c r="BM99" i="4" s="1"/>
  <c r="BY140" i="2"/>
  <c r="BM89" i="4" s="1"/>
  <c r="BY128" i="2"/>
  <c r="BY129" i="2"/>
  <c r="BY127" i="2"/>
  <c r="BY112" i="2"/>
  <c r="BY137" i="2"/>
  <c r="BM86" i="4" s="1"/>
  <c r="BY145" i="2"/>
  <c r="BM94" i="4" s="1"/>
  <c r="BY136" i="2"/>
  <c r="BY123" i="2"/>
  <c r="BY126" i="2"/>
  <c r="BY108" i="2"/>
  <c r="BL80" i="4"/>
  <c r="BK92" i="4"/>
  <c r="BK95" i="4" s="1"/>
  <c r="BK97" i="4" s="1"/>
  <c r="BK101" i="4" s="1"/>
  <c r="BK109" i="4" s="1"/>
  <c r="BW146" i="2"/>
  <c r="BY121" i="2" l="1"/>
  <c r="BY124" i="2" s="1"/>
  <c r="BM85" i="4"/>
  <c r="BY106" i="2"/>
  <c r="BY130" i="2"/>
  <c r="BL81" i="4"/>
  <c r="BL82" i="4" s="1"/>
  <c r="BX103" i="2"/>
  <c r="BW105" i="2"/>
  <c r="BW148" i="2"/>
  <c r="BW153" i="2" s="1"/>
  <c r="BW221" i="2" s="1"/>
  <c r="BZ118" i="2"/>
  <c r="BZ119" i="2"/>
  <c r="BZ117" i="2"/>
  <c r="BX134" i="2"/>
  <c r="HH196" i="2" s="1"/>
  <c r="BM79" i="4" l="1"/>
  <c r="BY131" i="2"/>
  <c r="BY133" i="2" s="1"/>
  <c r="BY104" i="2"/>
  <c r="BM78" i="4"/>
  <c r="BX143" i="2"/>
  <c r="BZ116" i="2"/>
  <c r="BZ120" i="2" s="1"/>
  <c r="RY120" i="2"/>
  <c r="BZ109" i="2" s="1"/>
  <c r="BZ113" i="2" l="1"/>
  <c r="BM80" i="4"/>
  <c r="BL92" i="4"/>
  <c r="BL95" i="4" s="1"/>
  <c r="BL97" i="4" s="1"/>
  <c r="BL101" i="4" s="1"/>
  <c r="BL109" i="4" s="1"/>
  <c r="BX146" i="2"/>
  <c r="BZ137" i="2"/>
  <c r="BN86" i="4" s="1"/>
  <c r="BZ136" i="2"/>
  <c r="BZ150" i="2"/>
  <c r="BZ152" i="2" s="1"/>
  <c r="BN99" i="4" s="1"/>
  <c r="BZ142" i="2"/>
  <c r="BN91" i="4" s="1"/>
  <c r="BZ140" i="2"/>
  <c r="BN89" i="4" s="1"/>
  <c r="BZ139" i="2"/>
  <c r="BN88" i="4" s="1"/>
  <c r="BZ112" i="2"/>
  <c r="BZ144" i="2"/>
  <c r="BN93" i="4" s="1"/>
  <c r="BZ122" i="2"/>
  <c r="BZ141" i="2"/>
  <c r="BN90" i="4" s="1"/>
  <c r="BZ129" i="2"/>
  <c r="BZ145" i="2"/>
  <c r="BN94" i="4" s="1"/>
  <c r="BZ128" i="2"/>
  <c r="BZ127" i="2"/>
  <c r="BZ123" i="2"/>
  <c r="BZ138" i="2"/>
  <c r="BN87" i="4" s="1"/>
  <c r="BZ126" i="2"/>
  <c r="BZ108" i="2"/>
  <c r="BY132" i="2"/>
  <c r="BY134" i="2" l="1"/>
  <c r="BN85" i="4"/>
  <c r="BZ121" i="2"/>
  <c r="BZ124" i="2" s="1"/>
  <c r="BM81" i="4"/>
  <c r="BM82" i="4" s="1"/>
  <c r="BY103" i="2"/>
  <c r="BX105" i="2"/>
  <c r="BX148" i="2"/>
  <c r="BX153" i="2" s="1"/>
  <c r="BX221" i="2" s="1"/>
  <c r="BZ106" i="2"/>
  <c r="BZ130" i="2"/>
  <c r="CA118" i="2"/>
  <c r="CA117" i="2"/>
  <c r="CA119" i="2"/>
  <c r="BY143" i="2" l="1"/>
  <c r="BM92" i="4" s="1"/>
  <c r="BM95" i="4" s="1"/>
  <c r="BM97" i="4" s="1"/>
  <c r="BM101" i="4" s="1"/>
  <c r="BM109" i="4" s="1"/>
  <c r="HI196" i="2"/>
  <c r="BZ104" i="2"/>
  <c r="BN78" i="4"/>
  <c r="BZ131" i="2"/>
  <c r="BZ133" i="2" s="1"/>
  <c r="BN79" i="4"/>
  <c r="CA116" i="2"/>
  <c r="CA120" i="2" s="1"/>
  <c r="RZ120" i="2"/>
  <c r="CA109" i="2" s="1"/>
  <c r="CA113" i="2" l="1"/>
  <c r="BY146" i="2"/>
  <c r="CA112" i="2"/>
  <c r="CA150" i="2"/>
  <c r="CA144" i="2"/>
  <c r="CA137" i="2"/>
  <c r="CA138" i="2"/>
  <c r="CA142" i="2"/>
  <c r="CA140" i="2"/>
  <c r="CA122" i="2"/>
  <c r="CA139" i="2"/>
  <c r="CA141" i="2"/>
  <c r="CA145" i="2"/>
  <c r="CA127" i="2"/>
  <c r="CA136" i="2"/>
  <c r="CA123" i="2"/>
  <c r="CA128" i="2"/>
  <c r="CA129" i="2"/>
  <c r="CA126" i="2"/>
  <c r="CA108" i="2"/>
  <c r="BZ132" i="2"/>
  <c r="BY105" i="2"/>
  <c r="BY148" i="2"/>
  <c r="BY153" i="2" s="1"/>
  <c r="BY221" i="2" s="1"/>
  <c r="BN80" i="4"/>
  <c r="BO91" i="4" l="1"/>
  <c r="BO89" i="4"/>
  <c r="BO87" i="4"/>
  <c r="BO94" i="4"/>
  <c r="BO93" i="4"/>
  <c r="BO86" i="4"/>
  <c r="BO90" i="4"/>
  <c r="CA152" i="2"/>
  <c r="BO99" i="4" s="1"/>
  <c r="BO88" i="4"/>
  <c r="BN81" i="4"/>
  <c r="BN82" i="4" s="1"/>
  <c r="BZ103" i="2"/>
  <c r="BO85" i="4"/>
  <c r="CA121" i="2"/>
  <c r="CA124" i="2" s="1"/>
  <c r="CA106" i="2"/>
  <c r="CA130" i="2"/>
  <c r="BZ134" i="2"/>
  <c r="HJ196" i="2" s="1"/>
  <c r="CB119" i="2"/>
  <c r="CB117" i="2"/>
  <c r="CB118" i="2"/>
  <c r="BZ143" i="2" l="1"/>
  <c r="BO78" i="4"/>
  <c r="CA104" i="2"/>
  <c r="BO79" i="4"/>
  <c r="CA131" i="2"/>
  <c r="CA133" i="2" s="1"/>
  <c r="CB116" i="2"/>
  <c r="CB120" i="2" s="1"/>
  <c r="SA120" i="2"/>
  <c r="CB109" i="2" s="1"/>
  <c r="CB113" i="2" l="1"/>
  <c r="BO80" i="4"/>
  <c r="BN92" i="4"/>
  <c r="BN95" i="4" s="1"/>
  <c r="BN97" i="4" s="1"/>
  <c r="BN101" i="4" s="1"/>
  <c r="BN109" i="4" s="1"/>
  <c r="BZ146" i="2"/>
  <c r="CB140" i="2"/>
  <c r="CB142" i="2"/>
  <c r="CB150" i="2"/>
  <c r="CB141" i="2"/>
  <c r="CB136" i="2"/>
  <c r="CB138" i="2"/>
  <c r="CB122" i="2"/>
  <c r="CB137" i="2"/>
  <c r="CB112" i="2"/>
  <c r="CB128" i="2"/>
  <c r="CB127" i="2"/>
  <c r="CB139" i="2"/>
  <c r="CB129" i="2"/>
  <c r="CB123" i="2"/>
  <c r="CB145" i="2"/>
  <c r="CB144" i="2"/>
  <c r="CB126" i="2"/>
  <c r="CB108" i="2"/>
  <c r="CA132" i="2"/>
  <c r="BP91" i="4" l="1"/>
  <c r="BP88" i="4"/>
  <c r="BP89" i="4"/>
  <c r="BP90" i="4"/>
  <c r="BP93" i="4"/>
  <c r="BP86" i="4"/>
  <c r="CB152" i="2"/>
  <c r="BP99" i="4" s="1"/>
  <c r="BP94" i="4"/>
  <c r="BP87" i="4"/>
  <c r="CA134" i="2"/>
  <c r="BP85" i="4"/>
  <c r="CB121" i="2"/>
  <c r="CB124" i="2" s="1"/>
  <c r="CB106" i="2"/>
  <c r="CB130" i="2"/>
  <c r="CC119" i="2"/>
  <c r="CC118" i="2"/>
  <c r="CC117" i="2"/>
  <c r="BZ105" i="2"/>
  <c r="BZ148" i="2"/>
  <c r="BZ153" i="2" s="1"/>
  <c r="BZ221" i="2" s="1"/>
  <c r="BO81" i="4"/>
  <c r="BO82" i="4" s="1"/>
  <c r="CA103" i="2"/>
  <c r="CA143" i="2" l="1"/>
  <c r="HK196" i="2"/>
  <c r="CB131" i="2"/>
  <c r="CB133" i="2" s="1"/>
  <c r="BP79" i="4"/>
  <c r="CB104" i="2"/>
  <c r="BP78" i="4"/>
  <c r="CC116" i="2"/>
  <c r="CC120" i="2" s="1"/>
  <c r="SB120" i="2"/>
  <c r="CC109" i="2" s="1"/>
  <c r="BO92" i="4"/>
  <c r="BO95" i="4" s="1"/>
  <c r="BO97" i="4" s="1"/>
  <c r="BO101" i="4" s="1"/>
  <c r="BO109" i="4" s="1"/>
  <c r="CA146" i="2"/>
  <c r="CC113" i="2" l="1"/>
  <c r="BP80" i="4"/>
  <c r="CA105" i="2"/>
  <c r="CA148" i="2"/>
  <c r="CA153" i="2" s="1"/>
  <c r="CA221" i="2" s="1"/>
  <c r="CB132" i="2"/>
  <c r="CC122" i="2"/>
  <c r="CC144" i="2"/>
  <c r="CC150" i="2"/>
  <c r="CC142" i="2"/>
  <c r="CC141" i="2"/>
  <c r="CC145" i="2"/>
  <c r="CC140" i="2"/>
  <c r="CC137" i="2"/>
  <c r="CC127" i="2"/>
  <c r="CC129" i="2"/>
  <c r="CC136" i="2"/>
  <c r="CC128" i="2"/>
  <c r="CC112" i="2"/>
  <c r="CC123" i="2"/>
  <c r="CC139" i="2"/>
  <c r="CC138" i="2"/>
  <c r="CC126" i="2"/>
  <c r="CC108" i="2"/>
  <c r="BQ89" i="4" l="1"/>
  <c r="BQ86" i="4"/>
  <c r="CC152" i="2"/>
  <c r="BQ99" i="4" s="1"/>
  <c r="BQ87" i="4"/>
  <c r="BQ90" i="4"/>
  <c r="BQ93" i="4"/>
  <c r="BQ88" i="4"/>
  <c r="BQ94" i="4"/>
  <c r="BQ91" i="4"/>
  <c r="BP81" i="4"/>
  <c r="CB103" i="2"/>
  <c r="CB134" i="2"/>
  <c r="HL196" i="2" s="1"/>
  <c r="CC121" i="2"/>
  <c r="CC124" i="2" s="1"/>
  <c r="BQ85" i="4"/>
  <c r="CD117" i="2"/>
  <c r="CD119" i="2"/>
  <c r="CD118" i="2"/>
  <c r="CC106" i="2"/>
  <c r="CC130" i="2"/>
  <c r="BP82" i="4" l="1"/>
  <c r="CC104" i="2"/>
  <c r="BQ78" i="4"/>
  <c r="CD116" i="2"/>
  <c r="CD120" i="2" s="1"/>
  <c r="SC120" i="2"/>
  <c r="CD109" i="2" s="1"/>
  <c r="CB143" i="2"/>
  <c r="BQ79" i="4"/>
  <c r="CC131" i="2"/>
  <c r="CC133" i="2" s="1"/>
  <c r="CD113" i="2" l="1"/>
  <c r="BQ80" i="4"/>
  <c r="BP92" i="4"/>
  <c r="CB146" i="2"/>
  <c r="CD144" i="2"/>
  <c r="CD112" i="2"/>
  <c r="CD122" i="2"/>
  <c r="CD142" i="2"/>
  <c r="CD140" i="2"/>
  <c r="CD139" i="2"/>
  <c r="CD141" i="2"/>
  <c r="CD150" i="2"/>
  <c r="CD136" i="2"/>
  <c r="CD137" i="2"/>
  <c r="CD138" i="2"/>
  <c r="CD145" i="2"/>
  <c r="CD128" i="2"/>
  <c r="CD127" i="2"/>
  <c r="CD129" i="2"/>
  <c r="CD123" i="2"/>
  <c r="CD126" i="2"/>
  <c r="CD108" i="2"/>
  <c r="CC132" i="2"/>
  <c r="BR89" i="4" l="1"/>
  <c r="BR94" i="4"/>
  <c r="BR87" i="4"/>
  <c r="BR93" i="4"/>
  <c r="BR86" i="4"/>
  <c r="CD152" i="2"/>
  <c r="BR99" i="4" s="1"/>
  <c r="BR90" i="4"/>
  <c r="BR91" i="4"/>
  <c r="BR88" i="4"/>
  <c r="BP95" i="4"/>
  <c r="BP97" i="4" s="1"/>
  <c r="BP101" i="4" s="1"/>
  <c r="BP109" i="4" s="1"/>
  <c r="CC134" i="2"/>
  <c r="CD106" i="2"/>
  <c r="CD130" i="2"/>
  <c r="BR85" i="4"/>
  <c r="CE119" i="2"/>
  <c r="CE117" i="2"/>
  <c r="CE118" i="2"/>
  <c r="CD121" i="2"/>
  <c r="CD124" i="2" s="1"/>
  <c r="BQ81" i="4"/>
  <c r="CC103" i="2"/>
  <c r="CB105" i="2"/>
  <c r="CB148" i="2"/>
  <c r="CB153" i="2" s="1"/>
  <c r="CB221" i="2" s="1"/>
  <c r="CC143" i="2" l="1"/>
  <c r="BQ92" i="4" s="1"/>
  <c r="HM196" i="2"/>
  <c r="BQ82" i="4"/>
  <c r="BR78" i="4"/>
  <c r="CD104" i="2"/>
  <c r="CD131" i="2"/>
  <c r="CD133" i="2" s="1"/>
  <c r="BR79" i="4"/>
  <c r="CE116" i="2"/>
  <c r="CE120" i="2" s="1"/>
  <c r="SD120" i="2"/>
  <c r="CE109" i="2" s="1"/>
  <c r="CE113" i="2" l="1"/>
  <c r="CC146" i="2"/>
  <c r="CC148" i="2" s="1"/>
  <c r="CC153" i="2" s="1"/>
  <c r="CC221" i="2" s="1"/>
  <c r="BQ95" i="4"/>
  <c r="BQ97" i="4" s="1"/>
  <c r="BQ101" i="4" s="1"/>
  <c r="BQ109" i="4" s="1"/>
  <c r="BR80" i="4"/>
  <c r="CE142" i="2"/>
  <c r="CE145" i="2"/>
  <c r="CE137" i="2"/>
  <c r="CE122" i="2"/>
  <c r="CE140" i="2"/>
  <c r="CE136" i="2"/>
  <c r="CE150" i="2"/>
  <c r="CE144" i="2"/>
  <c r="CE139" i="2"/>
  <c r="CE141" i="2"/>
  <c r="CE112" i="2"/>
  <c r="CE127" i="2"/>
  <c r="CE128" i="2"/>
  <c r="CE129" i="2"/>
  <c r="CE138" i="2"/>
  <c r="CE123" i="2"/>
  <c r="CE126" i="2"/>
  <c r="CE108" i="2"/>
  <c r="CD132" i="2"/>
  <c r="CC105" i="2" l="1"/>
  <c r="BS88" i="4"/>
  <c r="BS93" i="4"/>
  <c r="BS86" i="4"/>
  <c r="BS94" i="4"/>
  <c r="BS91" i="4"/>
  <c r="BS87" i="4"/>
  <c r="CE152" i="2"/>
  <c r="BS99" i="4" s="1"/>
  <c r="BS90" i="4"/>
  <c r="BS89" i="4"/>
  <c r="CD134" i="2"/>
  <c r="BS85" i="4"/>
  <c r="CE121" i="2"/>
  <c r="CE124" i="2" s="1"/>
  <c r="CE106" i="2"/>
  <c r="CE130" i="2"/>
  <c r="CF118" i="2"/>
  <c r="CF119" i="2"/>
  <c r="CF117" i="2"/>
  <c r="BR81" i="4"/>
  <c r="CD103" i="2"/>
  <c r="CD143" i="2" l="1"/>
  <c r="HN196" i="2"/>
  <c r="BR82" i="4"/>
  <c r="CE104" i="2"/>
  <c r="BS78" i="4"/>
  <c r="BS79" i="4"/>
  <c r="CE131" i="2"/>
  <c r="CE133" i="2" s="1"/>
  <c r="BR92" i="4"/>
  <c r="CD146" i="2"/>
  <c r="CF116" i="2"/>
  <c r="CF120" i="2" s="1"/>
  <c r="SE120" i="2"/>
  <c r="CF109" i="2" s="1"/>
  <c r="CF113" i="2" l="1"/>
  <c r="BR95" i="4"/>
  <c r="BR97" i="4" s="1"/>
  <c r="BR101" i="4" s="1"/>
  <c r="BR109" i="4" s="1"/>
  <c r="CD105" i="2"/>
  <c r="CD148" i="2"/>
  <c r="CD153" i="2" s="1"/>
  <c r="CD221" i="2" s="1"/>
  <c r="CE132" i="2"/>
  <c r="BS80" i="4"/>
  <c r="CF139" i="2"/>
  <c r="BT88" i="4" s="1"/>
  <c r="CF145" i="2"/>
  <c r="BT94" i="4" s="1"/>
  <c r="CF138" i="2"/>
  <c r="BT87" i="4" s="1"/>
  <c r="CF112" i="2"/>
  <c r="CF141" i="2"/>
  <c r="BT90" i="4" s="1"/>
  <c r="CF136" i="2"/>
  <c r="CF142" i="2"/>
  <c r="BT91" i="4" s="1"/>
  <c r="CF140" i="2"/>
  <c r="BT89" i="4" s="1"/>
  <c r="CF150" i="2"/>
  <c r="CF152" i="2" s="1"/>
  <c r="BT99" i="4" s="1"/>
  <c r="CF137" i="2"/>
  <c r="BT86" i="4" s="1"/>
  <c r="CF144" i="2"/>
  <c r="BT93" i="4" s="1"/>
  <c r="CF122" i="2"/>
  <c r="CF129" i="2"/>
  <c r="CF123" i="2"/>
  <c r="CF128" i="2"/>
  <c r="CF127" i="2"/>
  <c r="CF126" i="2"/>
  <c r="CF108" i="2"/>
  <c r="BS81" i="4" l="1"/>
  <c r="BS82" i="4" s="1"/>
  <c r="CE103" i="2"/>
  <c r="BT85" i="4"/>
  <c r="CE134" i="2"/>
  <c r="HO196" i="2" s="1"/>
  <c r="CF121" i="2"/>
  <c r="CF124" i="2" s="1"/>
  <c r="CG118" i="2"/>
  <c r="CG119" i="2"/>
  <c r="CG117" i="2"/>
  <c r="CF106" i="2"/>
  <c r="CF130" i="2"/>
  <c r="CE143" i="2" l="1"/>
  <c r="CG116" i="2"/>
  <c r="CG120" i="2" s="1"/>
  <c r="SF120" i="2"/>
  <c r="CG109" i="2" s="1"/>
  <c r="CF131" i="2"/>
  <c r="CF133" i="2" s="1"/>
  <c r="BT79" i="4"/>
  <c r="CF104" i="2"/>
  <c r="BT78" i="4"/>
  <c r="CG113" i="2" l="1"/>
  <c r="CF132" i="2"/>
  <c r="CG122" i="2"/>
  <c r="CG142" i="2"/>
  <c r="BU91" i="4" s="1"/>
  <c r="CG112" i="2"/>
  <c r="CG139" i="2"/>
  <c r="BU88" i="4" s="1"/>
  <c r="CG144" i="2"/>
  <c r="BU93" i="4" s="1"/>
  <c r="CG141" i="2"/>
  <c r="BU90" i="4" s="1"/>
  <c r="CG140" i="2"/>
  <c r="BU89" i="4" s="1"/>
  <c r="CG145" i="2"/>
  <c r="BU94" i="4" s="1"/>
  <c r="CG138" i="2"/>
  <c r="BU87" i="4" s="1"/>
  <c r="CG123" i="2"/>
  <c r="CG150" i="2"/>
  <c r="CG152" i="2" s="1"/>
  <c r="BU99" i="4" s="1"/>
  <c r="CG136" i="2"/>
  <c r="CG129" i="2"/>
  <c r="CG137" i="2"/>
  <c r="BU86" i="4" s="1"/>
  <c r="CG128" i="2"/>
  <c r="CG127" i="2"/>
  <c r="CG126" i="2"/>
  <c r="CG108" i="2"/>
  <c r="BS92" i="4"/>
  <c r="CE146" i="2"/>
  <c r="BT80" i="4"/>
  <c r="BS95" i="4" l="1"/>
  <c r="BS97" i="4" s="1"/>
  <c r="BS101" i="4" s="1"/>
  <c r="BS109" i="4" s="1"/>
  <c r="CH119" i="2"/>
  <c r="CH117" i="2"/>
  <c r="CH118" i="2"/>
  <c r="CG106" i="2"/>
  <c r="CG130" i="2"/>
  <c r="BT81" i="4"/>
  <c r="BT82" i="4" s="1"/>
  <c r="CF103" i="2"/>
  <c r="CE105" i="2"/>
  <c r="CE148" i="2"/>
  <c r="CE153" i="2" s="1"/>
  <c r="CE221" i="2" s="1"/>
  <c r="CG121" i="2"/>
  <c r="CG124" i="2" s="1"/>
  <c r="BU85" i="4"/>
  <c r="CF134" i="2"/>
  <c r="HP196" i="2" s="1"/>
  <c r="BU79" i="4" l="1"/>
  <c r="CG131" i="2"/>
  <c r="CG133" i="2" s="1"/>
  <c r="CG104" i="2"/>
  <c r="BU78" i="4"/>
  <c r="CH116" i="2"/>
  <c r="CH120" i="2" s="1"/>
  <c r="SG120" i="2"/>
  <c r="CH109" i="2" s="1"/>
  <c r="CF143" i="2"/>
  <c r="CH113" i="2" l="1"/>
  <c r="BU80" i="4"/>
  <c r="CH139" i="2"/>
  <c r="BV88" i="4" s="1"/>
  <c r="CH140" i="2"/>
  <c r="BV89" i="4" s="1"/>
  <c r="CH138" i="2"/>
  <c r="BV87" i="4" s="1"/>
  <c r="CH122" i="2"/>
  <c r="CH150" i="2"/>
  <c r="CH152" i="2" s="1"/>
  <c r="BV99" i="4" s="1"/>
  <c r="CH145" i="2"/>
  <c r="BV94" i="4" s="1"/>
  <c r="CH137" i="2"/>
  <c r="BV86" i="4" s="1"/>
  <c r="CH142" i="2"/>
  <c r="BV91" i="4" s="1"/>
  <c r="CH136" i="2"/>
  <c r="CH144" i="2"/>
  <c r="BV93" i="4" s="1"/>
  <c r="CH129" i="2"/>
  <c r="CH128" i="2"/>
  <c r="CH127" i="2"/>
  <c r="CH123" i="2"/>
  <c r="CH112" i="2"/>
  <c r="CH141" i="2"/>
  <c r="BV90" i="4" s="1"/>
  <c r="CH126" i="2"/>
  <c r="CH108" i="2"/>
  <c r="CG132" i="2"/>
  <c r="BT92" i="4"/>
  <c r="CF146" i="2"/>
  <c r="BT95" i="4" l="1"/>
  <c r="BT97" i="4" s="1"/>
  <c r="BT101" i="4" s="1"/>
  <c r="BT109" i="4" s="1"/>
  <c r="CG134" i="2"/>
  <c r="CH121" i="2"/>
  <c r="CH124" i="2" s="1"/>
  <c r="CF105" i="2"/>
  <c r="CF148" i="2"/>
  <c r="CF153" i="2" s="1"/>
  <c r="CF221" i="2" s="1"/>
  <c r="CH106" i="2"/>
  <c r="CH130" i="2"/>
  <c r="BV85" i="4"/>
  <c r="CI118" i="2"/>
  <c r="CI117" i="2"/>
  <c r="CI119" i="2"/>
  <c r="BU81" i="4"/>
  <c r="BU82" i="4" s="1"/>
  <c r="CG103" i="2"/>
  <c r="CG143" i="2" l="1"/>
  <c r="BU92" i="4" s="1"/>
  <c r="BU95" i="4" s="1"/>
  <c r="BU97" i="4" s="1"/>
  <c r="BU101" i="4" s="1"/>
  <c r="BU109" i="4" s="1"/>
  <c r="HQ196" i="2"/>
  <c r="CI116" i="2"/>
  <c r="CI120" i="2" s="1"/>
  <c r="SH120" i="2"/>
  <c r="CI109" i="2" s="1"/>
  <c r="CH104" i="2"/>
  <c r="BV78" i="4"/>
  <c r="CH131" i="2"/>
  <c r="CH133" i="2" s="1"/>
  <c r="BV79" i="4"/>
  <c r="CG146" i="2"/>
  <c r="CI113" i="2" l="1"/>
  <c r="BV80" i="4"/>
  <c r="CH132" i="2"/>
  <c r="CG105" i="2"/>
  <c r="CG148" i="2"/>
  <c r="CG153" i="2" s="1"/>
  <c r="CG221" i="2" s="1"/>
  <c r="CI122" i="2"/>
  <c r="CI112" i="2"/>
  <c r="CI138" i="2"/>
  <c r="BW87" i="4" s="1"/>
  <c r="CI140" i="2"/>
  <c r="BW89" i="4" s="1"/>
  <c r="CI142" i="2"/>
  <c r="BW91" i="4" s="1"/>
  <c r="CI144" i="2"/>
  <c r="BW93" i="4" s="1"/>
  <c r="CI145" i="2"/>
  <c r="BW94" i="4" s="1"/>
  <c r="CI139" i="2"/>
  <c r="BW88" i="4" s="1"/>
  <c r="CI137" i="2"/>
  <c r="BW86" i="4" s="1"/>
  <c r="CI127" i="2"/>
  <c r="CI128" i="2"/>
  <c r="CI150" i="2"/>
  <c r="CI152" i="2" s="1"/>
  <c r="BW99" i="4" s="1"/>
  <c r="CI123" i="2"/>
  <c r="CI141" i="2"/>
  <c r="BW90" i="4" s="1"/>
  <c r="CI129" i="2"/>
  <c r="CI136" i="2"/>
  <c r="CI126" i="2"/>
  <c r="CI108" i="2"/>
  <c r="BW85" i="4" l="1"/>
  <c r="BV81" i="4"/>
  <c r="BV82" i="4" s="1"/>
  <c r="CH103" i="2"/>
  <c r="CI121" i="2"/>
  <c r="CI124" i="2" s="1"/>
  <c r="CH134" i="2"/>
  <c r="HR196" i="2" s="1"/>
  <c r="CJ118" i="2"/>
  <c r="CJ117" i="2"/>
  <c r="CJ119" i="2"/>
  <c r="CI106" i="2"/>
  <c r="CI130" i="2"/>
  <c r="BW78" i="4" l="1"/>
  <c r="CI104" i="2"/>
  <c r="CJ116" i="2"/>
  <c r="CJ120" i="2" s="1"/>
  <c r="SI120" i="2"/>
  <c r="CJ109" i="2" s="1"/>
  <c r="CH143" i="2"/>
  <c r="BW79" i="4"/>
  <c r="CI131" i="2"/>
  <c r="CI133" i="2" s="1"/>
  <c r="CJ113" i="2" l="1"/>
  <c r="BV92" i="4"/>
  <c r="BV95" i="4" s="1"/>
  <c r="BV97" i="4" s="1"/>
  <c r="BV101" i="4" s="1"/>
  <c r="BV109" i="4" s="1"/>
  <c r="CH146" i="2"/>
  <c r="CJ138" i="2"/>
  <c r="BX87" i="4" s="1"/>
  <c r="CJ141" i="2"/>
  <c r="BX90" i="4" s="1"/>
  <c r="CJ144" i="2"/>
  <c r="BX93" i="4" s="1"/>
  <c r="CJ140" i="2"/>
  <c r="BX89" i="4" s="1"/>
  <c r="CJ139" i="2"/>
  <c r="BX88" i="4" s="1"/>
  <c r="CJ137" i="2"/>
  <c r="BX86" i="4" s="1"/>
  <c r="CJ145" i="2"/>
  <c r="BX94" i="4" s="1"/>
  <c r="CJ129" i="2"/>
  <c r="CJ122" i="2"/>
  <c r="CJ136" i="2"/>
  <c r="CJ127" i="2"/>
  <c r="CJ123" i="2"/>
  <c r="CJ112" i="2"/>
  <c r="CJ142" i="2"/>
  <c r="BX91" i="4" s="1"/>
  <c r="CJ128" i="2"/>
  <c r="CJ150" i="2"/>
  <c r="CJ152" i="2" s="1"/>
  <c r="BX99" i="4" s="1"/>
  <c r="CJ126" i="2"/>
  <c r="CJ108" i="2"/>
  <c r="CI132" i="2"/>
  <c r="BW80" i="4"/>
  <c r="CI134" i="2" l="1"/>
  <c r="HS196" i="2" s="1"/>
  <c r="CJ121" i="2"/>
  <c r="CJ124" i="2" s="1"/>
  <c r="CK119" i="2"/>
  <c r="CK117" i="2"/>
  <c r="CK118" i="2"/>
  <c r="CJ106" i="2"/>
  <c r="CJ130" i="2"/>
  <c r="BX85" i="4"/>
  <c r="BW81" i="4"/>
  <c r="BW82" i="4" s="1"/>
  <c r="CI103" i="2"/>
  <c r="CH105" i="2"/>
  <c r="CH148" i="2"/>
  <c r="CH153" i="2" s="1"/>
  <c r="CH221" i="2" s="1"/>
  <c r="CI143" i="2" l="1"/>
  <c r="BW92" i="4" s="1"/>
  <c r="BW95" i="4" s="1"/>
  <c r="BW97" i="4" s="1"/>
  <c r="BW101" i="4" s="1"/>
  <c r="BW109" i="4" s="1"/>
  <c r="CK116" i="2"/>
  <c r="CK120" i="2" s="1"/>
  <c r="SJ120" i="2"/>
  <c r="CK109" i="2" s="1"/>
  <c r="BX78" i="4"/>
  <c r="CJ104" i="2"/>
  <c r="CJ131" i="2"/>
  <c r="CJ133" i="2" s="1"/>
  <c r="BX79" i="4"/>
  <c r="CK113" i="2" l="1"/>
  <c r="CI146" i="2"/>
  <c r="CI105" i="2" s="1"/>
  <c r="BX80" i="4"/>
  <c r="CK142" i="2"/>
  <c r="BY91" i="4" s="1"/>
  <c r="CK137" i="2"/>
  <c r="BY86" i="4" s="1"/>
  <c r="CK145" i="2"/>
  <c r="BY94" i="4" s="1"/>
  <c r="CK138" i="2"/>
  <c r="BY87" i="4" s="1"/>
  <c r="CK141" i="2"/>
  <c r="BY90" i="4" s="1"/>
  <c r="CK129" i="2"/>
  <c r="CK122" i="2"/>
  <c r="CK139" i="2"/>
  <c r="BY88" i="4" s="1"/>
  <c r="CK144" i="2"/>
  <c r="BY93" i="4" s="1"/>
  <c r="CK140" i="2"/>
  <c r="BY89" i="4" s="1"/>
  <c r="CK150" i="2"/>
  <c r="CK152" i="2" s="1"/>
  <c r="BY99" i="4" s="1"/>
  <c r="CK128" i="2"/>
  <c r="CK112" i="2"/>
  <c r="CK127" i="2"/>
  <c r="CK136" i="2"/>
  <c r="CK123" i="2"/>
  <c r="CK126" i="2"/>
  <c r="CK108" i="2"/>
  <c r="CJ132" i="2"/>
  <c r="CI148" i="2" l="1"/>
  <c r="CI153" i="2" s="1"/>
  <c r="CI221" i="2" s="1"/>
  <c r="CJ134" i="2"/>
  <c r="CK121" i="2"/>
  <c r="CK124" i="2" s="1"/>
  <c r="CK106" i="2"/>
  <c r="CK130" i="2"/>
  <c r="BX81" i="4"/>
  <c r="BX82" i="4" s="1"/>
  <c r="CJ103" i="2"/>
  <c r="CL117" i="2"/>
  <c r="CL118" i="2"/>
  <c r="CL119" i="2"/>
  <c r="BY85" i="4"/>
  <c r="CJ143" i="2" l="1"/>
  <c r="HT196" i="2"/>
  <c r="BY79" i="4"/>
  <c r="CK131" i="2"/>
  <c r="CK133" i="2" s="1"/>
  <c r="CL116" i="2"/>
  <c r="CL120" i="2" s="1"/>
  <c r="SK120" i="2"/>
  <c r="CL109" i="2" s="1"/>
  <c r="CK104" i="2"/>
  <c r="BY78" i="4"/>
  <c r="BX92" i="4"/>
  <c r="BX95" i="4" s="1"/>
  <c r="BX97" i="4" s="1"/>
  <c r="BX101" i="4" s="1"/>
  <c r="BX109" i="4" s="1"/>
  <c r="CJ146" i="2"/>
  <c r="CL113" i="2" l="1"/>
  <c r="BY80" i="4"/>
  <c r="CJ105" i="2"/>
  <c r="CJ148" i="2"/>
  <c r="CJ153" i="2" s="1"/>
  <c r="CJ221" i="2" s="1"/>
  <c r="CK132" i="2"/>
  <c r="CK134" i="2" s="1"/>
  <c r="HU196" i="2" s="1"/>
  <c r="CL145" i="2"/>
  <c r="CL150" i="2"/>
  <c r="CL137" i="2"/>
  <c r="CL139" i="2"/>
  <c r="CL129" i="2"/>
  <c r="CL142" i="2"/>
  <c r="CL128" i="2"/>
  <c r="CL112" i="2"/>
  <c r="CL123" i="2"/>
  <c r="CL127" i="2"/>
  <c r="CL141" i="2"/>
  <c r="CL136" i="2"/>
  <c r="CL122" i="2"/>
  <c r="CL144" i="2"/>
  <c r="CL138" i="2"/>
  <c r="CL140" i="2"/>
  <c r="CL126" i="2"/>
  <c r="CL108" i="2"/>
  <c r="BZ86" i="4" l="1"/>
  <c r="BZ94" i="4"/>
  <c r="BZ87" i="4"/>
  <c r="BZ93" i="4"/>
  <c r="BZ91" i="4"/>
  <c r="BZ90" i="4"/>
  <c r="CL152" i="2"/>
  <c r="BZ99" i="4" s="1"/>
  <c r="BZ89" i="4"/>
  <c r="BZ88" i="4"/>
  <c r="CK143" i="2"/>
  <c r="CM118" i="2"/>
  <c r="CM119" i="2"/>
  <c r="CM117" i="2"/>
  <c r="CL121" i="2"/>
  <c r="CL124" i="2" s="1"/>
  <c r="BZ85" i="4"/>
  <c r="BY81" i="4"/>
  <c r="BY82" i="4" s="1"/>
  <c r="CK103" i="2"/>
  <c r="CL106" i="2"/>
  <c r="CL130" i="2"/>
  <c r="CM116" i="2" l="1"/>
  <c r="CM120" i="2" s="1"/>
  <c r="SL120" i="2"/>
  <c r="CM109" i="2" s="1"/>
  <c r="CL131" i="2"/>
  <c r="CL133" i="2" s="1"/>
  <c r="BZ79" i="4"/>
  <c r="BZ78" i="4"/>
  <c r="CL104" i="2"/>
  <c r="BY92" i="4"/>
  <c r="BY95" i="4" s="1"/>
  <c r="BY97" i="4" s="1"/>
  <c r="BY101" i="4" s="1"/>
  <c r="BY109" i="4" s="1"/>
  <c r="CK146" i="2"/>
  <c r="CM113" i="2" l="1"/>
  <c r="BZ80" i="4"/>
  <c r="CL132" i="2"/>
  <c r="CK105" i="2"/>
  <c r="CK148" i="2"/>
  <c r="CK153" i="2" s="1"/>
  <c r="CK221" i="2" s="1"/>
  <c r="CM129" i="2"/>
  <c r="CM136" i="2"/>
  <c r="CM145" i="2"/>
  <c r="CA94" i="4" s="1"/>
  <c r="CM127" i="2"/>
  <c r="CM144" i="2"/>
  <c r="CA93" i="4" s="1"/>
  <c r="CM150" i="2"/>
  <c r="CM152" i="2" s="1"/>
  <c r="CA99" i="4" s="1"/>
  <c r="CM139" i="2"/>
  <c r="CA88" i="4" s="1"/>
  <c r="CM142" i="2"/>
  <c r="CA91" i="4" s="1"/>
  <c r="CM112" i="2"/>
  <c r="CM138" i="2"/>
  <c r="CA87" i="4" s="1"/>
  <c r="CM122" i="2"/>
  <c r="CM128" i="2"/>
  <c r="CM137" i="2"/>
  <c r="CA86" i="4" s="1"/>
  <c r="CM140" i="2"/>
  <c r="CA89" i="4" s="1"/>
  <c r="CM141" i="2"/>
  <c r="CA90" i="4" s="1"/>
  <c r="CM123" i="2"/>
  <c r="CM126" i="2"/>
  <c r="CM108" i="2"/>
  <c r="CN118" i="2" l="1"/>
  <c r="CN117" i="2"/>
  <c r="CN119" i="2"/>
  <c r="CA85" i="4"/>
  <c r="BZ81" i="4"/>
  <c r="BZ82" i="4" s="1"/>
  <c r="CL103" i="2"/>
  <c r="CM121" i="2"/>
  <c r="CM124" i="2" s="1"/>
  <c r="CL134" i="2"/>
  <c r="HV196" i="2" s="1"/>
  <c r="CM106" i="2"/>
  <c r="CM130" i="2"/>
  <c r="CL143" i="2" l="1"/>
  <c r="CM104" i="2"/>
  <c r="CA78" i="4"/>
  <c r="CN116" i="2"/>
  <c r="CN120" i="2" s="1"/>
  <c r="SM120" i="2"/>
  <c r="CN109" i="2" s="1"/>
  <c r="CA79" i="4"/>
  <c r="CM131" i="2"/>
  <c r="CM133" i="2" s="1"/>
  <c r="CN113" i="2" l="1"/>
  <c r="CN128" i="2"/>
  <c r="CN137" i="2"/>
  <c r="CB86" i="4" s="1"/>
  <c r="CN127" i="2"/>
  <c r="CN145" i="2"/>
  <c r="CB94" i="4" s="1"/>
  <c r="CN144" i="2"/>
  <c r="CB93" i="4" s="1"/>
  <c r="CN123" i="2"/>
  <c r="CN140" i="2"/>
  <c r="CB89" i="4" s="1"/>
  <c r="CN122" i="2"/>
  <c r="CN141" i="2"/>
  <c r="CB90" i="4" s="1"/>
  <c r="CN142" i="2"/>
  <c r="CB91" i="4" s="1"/>
  <c r="CN136" i="2"/>
  <c r="CN129" i="2"/>
  <c r="CN138" i="2"/>
  <c r="CB87" i="4" s="1"/>
  <c r="CN150" i="2"/>
  <c r="CN152" i="2" s="1"/>
  <c r="CB99" i="4" s="1"/>
  <c r="CN112" i="2"/>
  <c r="CN139" i="2"/>
  <c r="CB88" i="4" s="1"/>
  <c r="CN126" i="2"/>
  <c r="CN108" i="2"/>
  <c r="CA80" i="4"/>
  <c r="BZ92" i="4"/>
  <c r="BZ95" i="4" s="1"/>
  <c r="BZ97" i="4" s="1"/>
  <c r="BZ101" i="4" s="1"/>
  <c r="BZ109" i="4" s="1"/>
  <c r="CL146" i="2"/>
  <c r="CM132" i="2"/>
  <c r="CB85" i="4" l="1"/>
  <c r="CA81" i="4"/>
  <c r="CA82" i="4" s="1"/>
  <c r="CM103" i="2"/>
  <c r="CN106" i="2"/>
  <c r="CN130" i="2"/>
  <c r="CL105" i="2"/>
  <c r="CL148" i="2"/>
  <c r="CL153" i="2" s="1"/>
  <c r="CL221" i="2" s="1"/>
  <c r="CN121" i="2"/>
  <c r="CN124" i="2" s="1"/>
  <c r="CM134" i="2"/>
  <c r="HW196" i="2" s="1"/>
  <c r="CO117" i="2"/>
  <c r="CO118" i="2"/>
  <c r="CO119" i="2"/>
  <c r="CN131" i="2" l="1"/>
  <c r="CN133" i="2" s="1"/>
  <c r="CB79" i="4"/>
  <c r="CO116" i="2"/>
  <c r="CO120" i="2" s="1"/>
  <c r="SN120" i="2"/>
  <c r="CO109" i="2" s="1"/>
  <c r="CM143" i="2"/>
  <c r="CN104" i="2"/>
  <c r="CB78" i="4"/>
  <c r="CO113" i="2" l="1"/>
  <c r="CO122" i="2"/>
  <c r="CO127" i="2"/>
  <c r="CO137" i="2"/>
  <c r="CC86" i="4" s="1"/>
  <c r="CO140" i="2"/>
  <c r="CC89" i="4" s="1"/>
  <c r="CO136" i="2"/>
  <c r="CO142" i="2"/>
  <c r="CC91" i="4" s="1"/>
  <c r="CO112" i="2"/>
  <c r="CO123" i="2"/>
  <c r="CO150" i="2"/>
  <c r="CO152" i="2" s="1"/>
  <c r="CC99" i="4" s="1"/>
  <c r="CO129" i="2"/>
  <c r="CO144" i="2"/>
  <c r="CC93" i="4" s="1"/>
  <c r="CO128" i="2"/>
  <c r="CO138" i="2"/>
  <c r="CC87" i="4" s="1"/>
  <c r="CO141" i="2"/>
  <c r="CC90" i="4" s="1"/>
  <c r="CO145" i="2"/>
  <c r="CC94" i="4" s="1"/>
  <c r="CO139" i="2"/>
  <c r="CC88" i="4" s="1"/>
  <c r="CO126" i="2"/>
  <c r="CO108" i="2"/>
  <c r="CN132" i="2"/>
  <c r="CA92" i="4"/>
  <c r="CA95" i="4" s="1"/>
  <c r="CA97" i="4" s="1"/>
  <c r="CA101" i="4" s="1"/>
  <c r="CA109" i="4" s="1"/>
  <c r="CM146" i="2"/>
  <c r="CB80" i="4"/>
  <c r="CB81" i="4" l="1"/>
  <c r="CN103" i="2"/>
  <c r="CP119" i="2"/>
  <c r="CP118" i="2"/>
  <c r="CP117" i="2"/>
  <c r="CC85" i="4"/>
  <c r="CO121" i="2"/>
  <c r="CO124" i="2" s="1"/>
  <c r="CN134" i="2"/>
  <c r="HX196" i="2" s="1"/>
  <c r="CO106" i="2"/>
  <c r="CO130" i="2"/>
  <c r="CM105" i="2"/>
  <c r="CM148" i="2"/>
  <c r="CM153" i="2" s="1"/>
  <c r="CM221" i="2" s="1"/>
  <c r="CB82" i="4" l="1"/>
  <c r="CP116" i="2"/>
  <c r="CP120" i="2" s="1"/>
  <c r="SO120" i="2"/>
  <c r="CP109" i="2" s="1"/>
  <c r="CC79" i="4"/>
  <c r="CO131" i="2"/>
  <c r="CO133" i="2" s="1"/>
  <c r="CC78" i="4"/>
  <c r="CO104" i="2"/>
  <c r="CN143" i="2"/>
  <c r="CP113" i="2" l="1"/>
  <c r="CC80" i="4"/>
  <c r="CO132" i="2"/>
  <c r="CP141" i="2"/>
  <c r="CD90" i="4" s="1"/>
  <c r="CP145" i="2"/>
  <c r="CD94" i="4" s="1"/>
  <c r="CP122" i="2"/>
  <c r="CP127" i="2"/>
  <c r="CP129" i="2"/>
  <c r="CP150" i="2"/>
  <c r="CP152" i="2" s="1"/>
  <c r="CD99" i="4" s="1"/>
  <c r="CP112" i="2"/>
  <c r="CP137" i="2"/>
  <c r="CD86" i="4" s="1"/>
  <c r="CP136" i="2"/>
  <c r="CP138" i="2"/>
  <c r="CD87" i="4" s="1"/>
  <c r="CP128" i="2"/>
  <c r="CP144" i="2"/>
  <c r="CD93" i="4" s="1"/>
  <c r="CP140" i="2"/>
  <c r="CD89" i="4" s="1"/>
  <c r="CP139" i="2"/>
  <c r="CD88" i="4" s="1"/>
  <c r="CP142" i="2"/>
  <c r="CD91" i="4" s="1"/>
  <c r="CP123" i="2"/>
  <c r="CP126" i="2"/>
  <c r="CP108" i="2"/>
  <c r="CB92" i="4"/>
  <c r="CN146" i="2"/>
  <c r="CB95" i="4" l="1"/>
  <c r="CB97" i="4" s="1"/>
  <c r="CB101" i="4" s="1"/>
  <c r="CB109" i="4" s="1"/>
  <c r="CP121" i="2"/>
  <c r="CP124" i="2" s="1"/>
  <c r="CQ119" i="2"/>
  <c r="CQ118" i="2"/>
  <c r="CQ117" i="2"/>
  <c r="CC81" i="4"/>
  <c r="CO103" i="2"/>
  <c r="CP106" i="2"/>
  <c r="CP130" i="2"/>
  <c r="CD85" i="4"/>
  <c r="CN105" i="2"/>
  <c r="CN148" i="2"/>
  <c r="CN153" i="2" s="1"/>
  <c r="CN221" i="2" s="1"/>
  <c r="CO134" i="2"/>
  <c r="HY196" i="2" s="1"/>
  <c r="CC82" i="4" l="1"/>
  <c r="CD78" i="4"/>
  <c r="CP104" i="2"/>
  <c r="CP131" i="2"/>
  <c r="CP133" i="2" s="1"/>
  <c r="CD79" i="4"/>
  <c r="CQ116" i="2"/>
  <c r="CQ120" i="2" s="1"/>
  <c r="SP120" i="2"/>
  <c r="CQ109" i="2" s="1"/>
  <c r="CO143" i="2"/>
  <c r="CQ113" i="2" l="1"/>
  <c r="CP132" i="2"/>
  <c r="CC92" i="4"/>
  <c r="CO146" i="2"/>
  <c r="CQ123" i="2"/>
  <c r="CQ141" i="2"/>
  <c r="CE90" i="4" s="1"/>
  <c r="CQ129" i="2"/>
  <c r="CQ145" i="2"/>
  <c r="CE94" i="4" s="1"/>
  <c r="CQ128" i="2"/>
  <c r="CQ122" i="2"/>
  <c r="CQ139" i="2"/>
  <c r="CE88" i="4" s="1"/>
  <c r="CQ136" i="2"/>
  <c r="CQ137" i="2"/>
  <c r="CE86" i="4" s="1"/>
  <c r="CQ138" i="2"/>
  <c r="CE87" i="4" s="1"/>
  <c r="CQ144" i="2"/>
  <c r="CE93" i="4" s="1"/>
  <c r="CQ150" i="2"/>
  <c r="CQ152" i="2" s="1"/>
  <c r="CE99" i="4" s="1"/>
  <c r="CQ112" i="2"/>
  <c r="CQ142" i="2"/>
  <c r="CE91" i="4" s="1"/>
  <c r="CQ140" i="2"/>
  <c r="CE89" i="4" s="1"/>
  <c r="CQ127" i="2"/>
  <c r="CQ126" i="2"/>
  <c r="CQ108" i="2"/>
  <c r="CD80" i="4"/>
  <c r="CC95" i="4" l="1"/>
  <c r="CC97" i="4" s="1"/>
  <c r="CC101" i="4" s="1"/>
  <c r="CC109" i="4" s="1"/>
  <c r="CO105" i="2"/>
  <c r="CO148" i="2"/>
  <c r="CO153" i="2" s="1"/>
  <c r="CO221" i="2" s="1"/>
  <c r="CD81" i="4"/>
  <c r="CP103" i="2"/>
  <c r="CR119" i="2"/>
  <c r="CR118" i="2"/>
  <c r="CR117" i="2"/>
  <c r="CE85" i="4"/>
  <c r="CP134" i="2"/>
  <c r="HZ196" i="2" s="1"/>
  <c r="CQ121" i="2"/>
  <c r="CQ124" i="2" s="1"/>
  <c r="CQ106" i="2"/>
  <c r="CQ130" i="2"/>
  <c r="CD82" i="4" l="1"/>
  <c r="CR116" i="2"/>
  <c r="CR120" i="2" s="1"/>
  <c r="SQ120" i="2"/>
  <c r="CR109" i="2" s="1"/>
  <c r="CP143" i="2"/>
  <c r="CE79" i="4"/>
  <c r="CQ131" i="2"/>
  <c r="CQ133" i="2" s="1"/>
  <c r="CE78" i="4"/>
  <c r="CQ104" i="2"/>
  <c r="CR113" i="2" l="1"/>
  <c r="CD92" i="4"/>
  <c r="CP146" i="2"/>
  <c r="CR128" i="2"/>
  <c r="CR137" i="2"/>
  <c r="CF86" i="4" s="1"/>
  <c r="CR150" i="2"/>
  <c r="CR152" i="2" s="1"/>
  <c r="CF99" i="4" s="1"/>
  <c r="CR145" i="2"/>
  <c r="CF94" i="4" s="1"/>
  <c r="CR141" i="2"/>
  <c r="CF90" i="4" s="1"/>
  <c r="CR142" i="2"/>
  <c r="CF91" i="4" s="1"/>
  <c r="CR140" i="2"/>
  <c r="CF89" i="4" s="1"/>
  <c r="CR122" i="2"/>
  <c r="CR139" i="2"/>
  <c r="CF88" i="4" s="1"/>
  <c r="CR127" i="2"/>
  <c r="CR138" i="2"/>
  <c r="CF87" i="4" s="1"/>
  <c r="CR144" i="2"/>
  <c r="CF93" i="4" s="1"/>
  <c r="CR123" i="2"/>
  <c r="CR112" i="2"/>
  <c r="CR136" i="2"/>
  <c r="CR129" i="2"/>
  <c r="CR126" i="2"/>
  <c r="CR108" i="2"/>
  <c r="CQ132" i="2"/>
  <c r="CE80" i="4"/>
  <c r="CQ134" i="2" l="1"/>
  <c r="CD95" i="4"/>
  <c r="CD97" i="4" s="1"/>
  <c r="CD101" i="4" s="1"/>
  <c r="CD109" i="4" s="1"/>
  <c r="CR106" i="2"/>
  <c r="CR130" i="2"/>
  <c r="CF85" i="4"/>
  <c r="CE81" i="4"/>
  <c r="CQ103" i="2"/>
  <c r="CP105" i="2"/>
  <c r="CP148" i="2"/>
  <c r="CP153" i="2" s="1"/>
  <c r="CP221" i="2" s="1"/>
  <c r="CR121" i="2"/>
  <c r="CR124" i="2" s="1"/>
  <c r="CS118" i="2"/>
  <c r="CS117" i="2"/>
  <c r="CS119" i="2"/>
  <c r="CQ143" i="2" l="1"/>
  <c r="CE92" i="4" s="1"/>
  <c r="IA196" i="2"/>
  <c r="CE82" i="4"/>
  <c r="CF78" i="4"/>
  <c r="CR104" i="2"/>
  <c r="CR131" i="2"/>
  <c r="CR133" i="2" s="1"/>
  <c r="CF79" i="4"/>
  <c r="CS116" i="2"/>
  <c r="CS120" i="2" s="1"/>
  <c r="SR120" i="2"/>
  <c r="CS109" i="2" s="1"/>
  <c r="CS113" i="2" l="1"/>
  <c r="CQ146" i="2"/>
  <c r="CE95" i="4"/>
  <c r="CE97" i="4" s="1"/>
  <c r="CE101" i="4" s="1"/>
  <c r="CE109" i="4" s="1"/>
  <c r="CR132" i="2"/>
  <c r="CS137" i="2"/>
  <c r="CG86" i="4" s="1"/>
  <c r="CS150" i="2"/>
  <c r="CS152" i="2" s="1"/>
  <c r="CG99" i="4" s="1"/>
  <c r="CS112" i="2"/>
  <c r="CS122" i="2"/>
  <c r="CS139" i="2"/>
  <c r="CG88" i="4" s="1"/>
  <c r="CS140" i="2"/>
  <c r="CG89" i="4" s="1"/>
  <c r="CS144" i="2"/>
  <c r="CG93" i="4" s="1"/>
  <c r="CS129" i="2"/>
  <c r="CS145" i="2"/>
  <c r="CG94" i="4" s="1"/>
  <c r="CS128" i="2"/>
  <c r="CS123" i="2"/>
  <c r="CS138" i="2"/>
  <c r="CG87" i="4" s="1"/>
  <c r="CS136" i="2"/>
  <c r="CS142" i="2"/>
  <c r="CG91" i="4" s="1"/>
  <c r="CS127" i="2"/>
  <c r="CS141" i="2"/>
  <c r="CG90" i="4" s="1"/>
  <c r="CS126" i="2"/>
  <c r="CS108" i="2"/>
  <c r="CQ105" i="2"/>
  <c r="CQ148" i="2"/>
  <c r="CQ153" i="2" s="1"/>
  <c r="CQ221" i="2" s="1"/>
  <c r="CF80" i="4"/>
  <c r="CT117" i="2" l="1"/>
  <c r="CT118" i="2"/>
  <c r="CT119" i="2"/>
  <c r="CF81" i="4"/>
  <c r="CR103" i="2"/>
  <c r="CS121" i="2"/>
  <c r="CS124" i="2" s="1"/>
  <c r="CS106" i="2"/>
  <c r="CS130" i="2"/>
  <c r="CG85" i="4"/>
  <c r="CR134" i="2"/>
  <c r="IB196" i="2" s="1"/>
  <c r="CF82" i="4" l="1"/>
  <c r="CT116" i="2"/>
  <c r="CT120" i="2" s="1"/>
  <c r="SS120" i="2"/>
  <c r="CT109" i="2" s="1"/>
  <c r="CG79" i="4"/>
  <c r="CS131" i="2"/>
  <c r="CS133" i="2" s="1"/>
  <c r="CR143" i="2"/>
  <c r="CG78" i="4"/>
  <c r="CS104" i="2"/>
  <c r="CT113" i="2" l="1"/>
  <c r="CS132" i="2"/>
  <c r="CT112" i="2"/>
  <c r="CT128" i="2"/>
  <c r="CT144" i="2"/>
  <c r="CH93" i="4" s="1"/>
  <c r="CT150" i="2"/>
  <c r="CT152" i="2" s="1"/>
  <c r="CH99" i="4" s="1"/>
  <c r="CT129" i="2"/>
  <c r="CT122" i="2"/>
  <c r="CT137" i="2"/>
  <c r="CH86" i="4" s="1"/>
  <c r="CT136" i="2"/>
  <c r="CT140" i="2"/>
  <c r="CH89" i="4" s="1"/>
  <c r="CT127" i="2"/>
  <c r="CT145" i="2"/>
  <c r="CH94" i="4" s="1"/>
  <c r="CT141" i="2"/>
  <c r="CH90" i="4" s="1"/>
  <c r="CT142" i="2"/>
  <c r="CH91" i="4" s="1"/>
  <c r="CT138" i="2"/>
  <c r="CH87" i="4" s="1"/>
  <c r="CT139" i="2"/>
  <c r="CH88" i="4" s="1"/>
  <c r="CT123" i="2"/>
  <c r="CT126" i="2"/>
  <c r="CT108" i="2"/>
  <c r="CF92" i="4"/>
  <c r="CR146" i="2"/>
  <c r="CG80" i="4"/>
  <c r="CF95" i="4" l="1"/>
  <c r="CF97" i="4" s="1"/>
  <c r="CF101" i="4" s="1"/>
  <c r="CF109" i="4" s="1"/>
  <c r="CH85" i="4"/>
  <c r="CU119" i="2"/>
  <c r="CU118" i="2"/>
  <c r="CU117" i="2"/>
  <c r="CT106" i="2"/>
  <c r="CT130" i="2"/>
  <c r="CG81" i="4"/>
  <c r="CG82" i="4" s="1"/>
  <c r="CS103" i="2"/>
  <c r="CT121" i="2"/>
  <c r="CT124" i="2" s="1"/>
  <c r="CR105" i="2"/>
  <c r="CR148" i="2"/>
  <c r="CR153" i="2" s="1"/>
  <c r="CR221" i="2" s="1"/>
  <c r="CS134" i="2"/>
  <c r="IC196" i="2" s="1"/>
  <c r="CH78" i="4" l="1"/>
  <c r="CT104" i="2"/>
  <c r="CU116" i="2"/>
  <c r="CU120" i="2" s="1"/>
  <c r="ST120" i="2"/>
  <c r="CU109" i="2" s="1"/>
  <c r="CS143" i="2"/>
  <c r="CT131" i="2"/>
  <c r="CT133" i="2" s="1"/>
  <c r="CH79" i="4"/>
  <c r="CU113" i="2" l="1"/>
  <c r="CG92" i="4"/>
  <c r="CG95" i="4" s="1"/>
  <c r="CG97" i="4" s="1"/>
  <c r="CG101" i="4" s="1"/>
  <c r="CG109" i="4" s="1"/>
  <c r="CS146" i="2"/>
  <c r="CU112" i="2"/>
  <c r="CU137" i="2"/>
  <c r="CI86" i="4" s="1"/>
  <c r="CU136" i="2"/>
  <c r="CU144" i="2"/>
  <c r="CI93" i="4" s="1"/>
  <c r="CU123" i="2"/>
  <c r="CU139" i="2"/>
  <c r="CI88" i="4" s="1"/>
  <c r="CU141" i="2"/>
  <c r="CI90" i="4" s="1"/>
  <c r="CU140" i="2"/>
  <c r="CI89" i="4" s="1"/>
  <c r="CU142" i="2"/>
  <c r="CI91" i="4" s="1"/>
  <c r="CU128" i="2"/>
  <c r="CU145" i="2"/>
  <c r="CI94" i="4" s="1"/>
  <c r="CU138" i="2"/>
  <c r="CI87" i="4" s="1"/>
  <c r="CU150" i="2"/>
  <c r="CU152" i="2" s="1"/>
  <c r="CI99" i="4" s="1"/>
  <c r="CU127" i="2"/>
  <c r="CU129" i="2"/>
  <c r="CU122" i="2"/>
  <c r="CU126" i="2"/>
  <c r="CU108" i="2"/>
  <c r="CH80" i="4"/>
  <c r="CT132" i="2"/>
  <c r="CT134" i="2" l="1"/>
  <c r="CI85" i="4"/>
  <c r="CH81" i="4"/>
  <c r="CH82" i="4" s="1"/>
  <c r="CT103" i="2"/>
  <c r="CV118" i="2"/>
  <c r="CV119" i="2"/>
  <c r="CV117" i="2"/>
  <c r="CU121" i="2"/>
  <c r="CU124" i="2" s="1"/>
  <c r="CU106" i="2"/>
  <c r="CU130" i="2"/>
  <c r="CS105" i="2"/>
  <c r="CS148" i="2"/>
  <c r="CS153" i="2" s="1"/>
  <c r="CS221" i="2" s="1"/>
  <c r="CT143" i="2" l="1"/>
  <c r="ID196" i="2"/>
  <c r="CI79" i="4"/>
  <c r="CU131" i="2"/>
  <c r="CU133" i="2" s="1"/>
  <c r="CH92" i="4"/>
  <c r="CH95" i="4" s="1"/>
  <c r="CH97" i="4" s="1"/>
  <c r="CH101" i="4" s="1"/>
  <c r="CH109" i="4" s="1"/>
  <c r="CT146" i="2"/>
  <c r="CU104" i="2"/>
  <c r="CI78" i="4"/>
  <c r="CV116" i="2"/>
  <c r="CV120" i="2" s="1"/>
  <c r="SU120" i="2"/>
  <c r="CV109" i="2" s="1"/>
  <c r="CV113" i="2" l="1"/>
  <c r="CU132" i="2"/>
  <c r="CT105" i="2"/>
  <c r="CT148" i="2"/>
  <c r="CT153" i="2" s="1"/>
  <c r="CT221" i="2" s="1"/>
  <c r="CV144" i="2"/>
  <c r="CJ93" i="4" s="1"/>
  <c r="CV129" i="2"/>
  <c r="CV150" i="2"/>
  <c r="CV152" i="2" s="1"/>
  <c r="CJ99" i="4" s="1"/>
  <c r="CV140" i="2"/>
  <c r="CJ89" i="4" s="1"/>
  <c r="CV139" i="2"/>
  <c r="CJ88" i="4" s="1"/>
  <c r="CV122" i="2"/>
  <c r="CV141" i="2"/>
  <c r="CJ90" i="4" s="1"/>
  <c r="CV145" i="2"/>
  <c r="CJ94" i="4" s="1"/>
  <c r="CV136" i="2"/>
  <c r="CV138" i="2"/>
  <c r="CJ87" i="4" s="1"/>
  <c r="CV137" i="2"/>
  <c r="CJ86" i="4" s="1"/>
  <c r="CV123" i="2"/>
  <c r="CV142" i="2"/>
  <c r="CJ91" i="4" s="1"/>
  <c r="CV112" i="2"/>
  <c r="CV128" i="2"/>
  <c r="CV127" i="2"/>
  <c r="CV126" i="2"/>
  <c r="CV108" i="2"/>
  <c r="CI80" i="4"/>
  <c r="CW118" i="2" l="1"/>
  <c r="CW119" i="2"/>
  <c r="CW117" i="2"/>
  <c r="CI81" i="4"/>
  <c r="CI82" i="4" s="1"/>
  <c r="CU103" i="2"/>
  <c r="CJ85" i="4"/>
  <c r="CV121" i="2"/>
  <c r="CV124" i="2" s="1"/>
  <c r="CV106" i="2"/>
  <c r="CV130" i="2"/>
  <c r="CU134" i="2"/>
  <c r="IE196" i="2" s="1"/>
  <c r="CJ78" i="4" l="1"/>
  <c r="CV104" i="2"/>
  <c r="CW116" i="2"/>
  <c r="CW120" i="2" s="1"/>
  <c r="SV120" i="2"/>
  <c r="CW109" i="2" s="1"/>
  <c r="CU143" i="2"/>
  <c r="CV131" i="2"/>
  <c r="CV133" i="2" s="1"/>
  <c r="CJ79" i="4"/>
  <c r="CW113" i="2" l="1"/>
  <c r="CI92" i="4"/>
  <c r="CI95" i="4" s="1"/>
  <c r="CI97" i="4" s="1"/>
  <c r="CI101" i="4" s="1"/>
  <c r="CI109" i="4" s="1"/>
  <c r="CU146" i="2"/>
  <c r="CW141" i="2"/>
  <c r="CK90" i="4" s="1"/>
  <c r="CW140" i="2"/>
  <c r="CK89" i="4" s="1"/>
  <c r="CW145" i="2"/>
  <c r="CK94" i="4" s="1"/>
  <c r="CW139" i="2"/>
  <c r="CK88" i="4" s="1"/>
  <c r="CW122" i="2"/>
  <c r="CW144" i="2"/>
  <c r="CK93" i="4" s="1"/>
  <c r="CW123" i="2"/>
  <c r="CW127" i="2"/>
  <c r="CW137" i="2"/>
  <c r="CK86" i="4" s="1"/>
  <c r="CW142" i="2"/>
  <c r="CK91" i="4" s="1"/>
  <c r="CW150" i="2"/>
  <c r="CW152" i="2" s="1"/>
  <c r="CK99" i="4" s="1"/>
  <c r="CW128" i="2"/>
  <c r="CW136" i="2"/>
  <c r="CW112" i="2"/>
  <c r="CW138" i="2"/>
  <c r="CK87" i="4" s="1"/>
  <c r="CW129" i="2"/>
  <c r="CW126" i="2"/>
  <c r="CW108" i="2"/>
  <c r="CJ80" i="4"/>
  <c r="CV132" i="2"/>
  <c r="CJ81" i="4" l="1"/>
  <c r="CJ82" i="4" s="1"/>
  <c r="CV103" i="2"/>
  <c r="CW121" i="2"/>
  <c r="CW124" i="2" s="1"/>
  <c r="CX117" i="2"/>
  <c r="CX119" i="2"/>
  <c r="CX118" i="2"/>
  <c r="CU105" i="2"/>
  <c r="CU148" i="2"/>
  <c r="CU153" i="2" s="1"/>
  <c r="CU221" i="2" s="1"/>
  <c r="CW106" i="2"/>
  <c r="CW130" i="2"/>
  <c r="CV134" i="2"/>
  <c r="IF196" i="2" s="1"/>
  <c r="CK85" i="4"/>
  <c r="CV143" i="2" l="1"/>
  <c r="CK79" i="4"/>
  <c r="CW131" i="2"/>
  <c r="CW133" i="2" s="1"/>
  <c r="CW104" i="2"/>
  <c r="CK78" i="4"/>
  <c r="CX116" i="2"/>
  <c r="CX120" i="2" s="1"/>
  <c r="SW120" i="2"/>
  <c r="CX109" i="2" s="1"/>
  <c r="CX113" i="2" l="1"/>
  <c r="CK80" i="4"/>
  <c r="CW132" i="2"/>
  <c r="CJ92" i="4"/>
  <c r="CJ95" i="4" s="1"/>
  <c r="CJ97" i="4" s="1"/>
  <c r="CJ101" i="4" s="1"/>
  <c r="CJ109" i="4" s="1"/>
  <c r="CV146" i="2"/>
  <c r="CX139" i="2"/>
  <c r="CL88" i="4" s="1"/>
  <c r="CX128" i="2"/>
  <c r="CX123" i="2"/>
  <c r="CX112" i="2"/>
  <c r="CX144" i="2"/>
  <c r="CL93" i="4" s="1"/>
  <c r="CX129" i="2"/>
  <c r="CX140" i="2"/>
  <c r="CL89" i="4" s="1"/>
  <c r="CX150" i="2"/>
  <c r="CX152" i="2" s="1"/>
  <c r="CL99" i="4" s="1"/>
  <c r="CX142" i="2"/>
  <c r="CL91" i="4" s="1"/>
  <c r="CX145" i="2"/>
  <c r="CL94" i="4" s="1"/>
  <c r="CX122" i="2"/>
  <c r="CX136" i="2"/>
  <c r="CX138" i="2"/>
  <c r="CL87" i="4" s="1"/>
  <c r="CX137" i="2"/>
  <c r="CL86" i="4" s="1"/>
  <c r="CX141" i="2"/>
  <c r="CL90" i="4" s="1"/>
  <c r="CX127" i="2"/>
  <c r="CX126" i="2"/>
  <c r="CX108" i="2"/>
  <c r="CV105" i="2" l="1"/>
  <c r="CV148" i="2"/>
  <c r="CV153" i="2" s="1"/>
  <c r="CV221" i="2" s="1"/>
  <c r="CL85" i="4"/>
  <c r="CK81" i="4"/>
  <c r="CK82" i="4" s="1"/>
  <c r="CW103" i="2"/>
  <c r="CX121" i="2"/>
  <c r="CX124" i="2" s="1"/>
  <c r="CY118" i="2"/>
  <c r="CY117" i="2"/>
  <c r="CY119" i="2"/>
  <c r="CX106" i="2"/>
  <c r="CX130" i="2"/>
  <c r="CW134" i="2"/>
  <c r="IG196" i="2" s="1"/>
  <c r="CX104" i="2" l="1"/>
  <c r="CL78" i="4"/>
  <c r="CY116" i="2"/>
  <c r="CY120" i="2" s="1"/>
  <c r="SX120" i="2"/>
  <c r="CY109" i="2" s="1"/>
  <c r="CX131" i="2"/>
  <c r="CX133" i="2" s="1"/>
  <c r="CL79" i="4"/>
  <c r="CW143" i="2"/>
  <c r="CY113" i="2" l="1"/>
  <c r="CX132" i="2"/>
  <c r="CY140" i="2"/>
  <c r="CM89" i="4" s="1"/>
  <c r="CY142" i="2"/>
  <c r="CM91" i="4" s="1"/>
  <c r="CY129" i="2"/>
  <c r="CY141" i="2"/>
  <c r="CM90" i="4" s="1"/>
  <c r="CY122" i="2"/>
  <c r="CY150" i="2"/>
  <c r="CY152" i="2" s="1"/>
  <c r="CM99" i="4" s="1"/>
  <c r="CY137" i="2"/>
  <c r="CM86" i="4" s="1"/>
  <c r="CY136" i="2"/>
  <c r="CY138" i="2"/>
  <c r="CM87" i="4" s="1"/>
  <c r="CY144" i="2"/>
  <c r="CM93" i="4" s="1"/>
  <c r="CY112" i="2"/>
  <c r="CY139" i="2"/>
  <c r="CM88" i="4" s="1"/>
  <c r="CY127" i="2"/>
  <c r="CY128" i="2"/>
  <c r="CY145" i="2"/>
  <c r="CM94" i="4" s="1"/>
  <c r="CY123" i="2"/>
  <c r="CY126" i="2"/>
  <c r="CY108" i="2"/>
  <c r="CL80" i="4"/>
  <c r="CK92" i="4"/>
  <c r="CK95" i="4" s="1"/>
  <c r="CK97" i="4" s="1"/>
  <c r="CK101" i="4" s="1"/>
  <c r="CK109" i="4" s="1"/>
  <c r="CW146" i="2"/>
  <c r="CZ118" i="2" l="1"/>
  <c r="CZ119" i="2"/>
  <c r="CZ117" i="2"/>
  <c r="CY121" i="2"/>
  <c r="CY124" i="2" s="1"/>
  <c r="CM85" i="4"/>
  <c r="CY106" i="2"/>
  <c r="CY130" i="2"/>
  <c r="CW105" i="2"/>
  <c r="CW148" i="2"/>
  <c r="CW153" i="2" s="1"/>
  <c r="CW221" i="2" s="1"/>
  <c r="CL81" i="4"/>
  <c r="CL82" i="4" s="1"/>
  <c r="CX103" i="2"/>
  <c r="CX134" i="2"/>
  <c r="IH196" i="2" s="1"/>
  <c r="CM79" i="4" l="1"/>
  <c r="CY131" i="2"/>
  <c r="CY133" i="2" s="1"/>
  <c r="CY104" i="2"/>
  <c r="CM78" i="4"/>
  <c r="CM80" i="4" s="1"/>
  <c r="CZ116" i="2"/>
  <c r="CZ120" i="2" s="1"/>
  <c r="SY120" i="2"/>
  <c r="CZ109" i="2" s="1"/>
  <c r="CX143" i="2"/>
  <c r="CZ113" i="2" l="1"/>
  <c r="CZ112" i="2"/>
  <c r="CZ138" i="2"/>
  <c r="CN87" i="4" s="1"/>
  <c r="CZ140" i="2"/>
  <c r="CN89" i="4" s="1"/>
  <c r="CZ145" i="2"/>
  <c r="CN94" i="4" s="1"/>
  <c r="CZ129" i="2"/>
  <c r="CZ141" i="2"/>
  <c r="CN90" i="4" s="1"/>
  <c r="CZ127" i="2"/>
  <c r="CZ139" i="2"/>
  <c r="CN88" i="4" s="1"/>
  <c r="CZ137" i="2"/>
  <c r="CN86" i="4" s="1"/>
  <c r="CZ122" i="2"/>
  <c r="CZ144" i="2"/>
  <c r="CN93" i="4" s="1"/>
  <c r="CZ128" i="2"/>
  <c r="CZ150" i="2"/>
  <c r="CZ152" i="2" s="1"/>
  <c r="CN99" i="4" s="1"/>
  <c r="CZ136" i="2"/>
  <c r="CZ142" i="2"/>
  <c r="CN91" i="4" s="1"/>
  <c r="CZ123" i="2"/>
  <c r="CZ126" i="2"/>
  <c r="CZ108" i="2"/>
  <c r="CY132" i="2"/>
  <c r="CL92" i="4"/>
  <c r="CL95" i="4" s="1"/>
  <c r="CL97" i="4" s="1"/>
  <c r="CL101" i="4" s="1"/>
  <c r="CL109" i="4" s="1"/>
  <c r="CX146" i="2"/>
  <c r="CM81" i="4" l="1"/>
  <c r="CM82" i="4" s="1"/>
  <c r="CY103" i="2"/>
  <c r="CZ121" i="2"/>
  <c r="CZ124" i="2" s="1"/>
  <c r="CX105" i="2"/>
  <c r="CX148" i="2"/>
  <c r="CX153" i="2" s="1"/>
  <c r="CX221" i="2" s="1"/>
  <c r="CZ106" i="2"/>
  <c r="CZ130" i="2"/>
  <c r="CN85" i="4"/>
  <c r="DA118" i="2"/>
  <c r="DA117" i="2"/>
  <c r="DA119" i="2"/>
  <c r="CY134" i="2"/>
  <c r="II196" i="2" s="1"/>
  <c r="DA116" i="2" l="1"/>
  <c r="DA120" i="2" s="1"/>
  <c r="SZ120" i="2"/>
  <c r="DA109" i="2" s="1"/>
  <c r="CY143" i="2"/>
  <c r="CZ131" i="2"/>
  <c r="CZ133" i="2" s="1"/>
  <c r="CN79" i="4"/>
  <c r="CZ104" i="2"/>
  <c r="CN78" i="4"/>
  <c r="DA113" i="2" l="1"/>
  <c r="CM92" i="4"/>
  <c r="CM95" i="4" s="1"/>
  <c r="CM97" i="4" s="1"/>
  <c r="CM101" i="4" s="1"/>
  <c r="CM109" i="4" s="1"/>
  <c r="CY146" i="2"/>
  <c r="DA112" i="2"/>
  <c r="DA136" i="2"/>
  <c r="DA128" i="2"/>
  <c r="DA145" i="2"/>
  <c r="CO94" i="4" s="1"/>
  <c r="DA144" i="2"/>
  <c r="CO93" i="4" s="1"/>
  <c r="DA129" i="2"/>
  <c r="DA139" i="2"/>
  <c r="CO88" i="4" s="1"/>
  <c r="DA142" i="2"/>
  <c r="CO91" i="4" s="1"/>
  <c r="DA122" i="2"/>
  <c r="DA138" i="2"/>
  <c r="CO87" i="4" s="1"/>
  <c r="DA150" i="2"/>
  <c r="DA152" i="2" s="1"/>
  <c r="CO99" i="4" s="1"/>
  <c r="DA140" i="2"/>
  <c r="CO89" i="4" s="1"/>
  <c r="DA141" i="2"/>
  <c r="CO90" i="4" s="1"/>
  <c r="DA137" i="2"/>
  <c r="CO86" i="4" s="1"/>
  <c r="DA127" i="2"/>
  <c r="DA123" i="2"/>
  <c r="DA126" i="2"/>
  <c r="DA108" i="2"/>
  <c r="CZ132" i="2"/>
  <c r="CN80" i="4"/>
  <c r="CZ134" i="2" l="1"/>
  <c r="DA121" i="2"/>
  <c r="DA124" i="2" s="1"/>
  <c r="CO85" i="4"/>
  <c r="DA106" i="2"/>
  <c r="DA130" i="2"/>
  <c r="DB119" i="2"/>
  <c r="DB118" i="2"/>
  <c r="DB117" i="2"/>
  <c r="CN81" i="4"/>
  <c r="CZ103" i="2"/>
  <c r="CY105" i="2"/>
  <c r="CY148" i="2"/>
  <c r="CY153" i="2" s="1"/>
  <c r="CY221" i="2" s="1"/>
  <c r="CZ143" i="2" l="1"/>
  <c r="CN92" i="4" s="1"/>
  <c r="IJ196" i="2"/>
  <c r="CN82" i="4"/>
  <c r="DB116" i="2"/>
  <c r="DB120" i="2" s="1"/>
  <c r="TA120" i="2"/>
  <c r="DB109" i="2" s="1"/>
  <c r="CO79" i="4"/>
  <c r="DA131" i="2"/>
  <c r="DA133" i="2" s="1"/>
  <c r="CO78" i="4"/>
  <c r="DA104" i="2"/>
  <c r="CZ146" i="2"/>
  <c r="DB113" i="2" l="1"/>
  <c r="CN95" i="4"/>
  <c r="CN97" i="4" s="1"/>
  <c r="CN101" i="4" s="1"/>
  <c r="CN109" i="4" s="1"/>
  <c r="CO80" i="4"/>
  <c r="DB141" i="2"/>
  <c r="CP90" i="4" s="1"/>
  <c r="DB128" i="2"/>
  <c r="DB136" i="2"/>
  <c r="DB137" i="2"/>
  <c r="CP86" i="4" s="1"/>
  <c r="DB140" i="2"/>
  <c r="CP89" i="4" s="1"/>
  <c r="DB123" i="2"/>
  <c r="DB139" i="2"/>
  <c r="CP88" i="4" s="1"/>
  <c r="DB138" i="2"/>
  <c r="CP87" i="4" s="1"/>
  <c r="DB144" i="2"/>
  <c r="CP93" i="4" s="1"/>
  <c r="DB150" i="2"/>
  <c r="DB152" i="2" s="1"/>
  <c r="CP99" i="4" s="1"/>
  <c r="DB145" i="2"/>
  <c r="CP94" i="4" s="1"/>
  <c r="DB142" i="2"/>
  <c r="CP91" i="4" s="1"/>
  <c r="DB122" i="2"/>
  <c r="DB129" i="2"/>
  <c r="DB127" i="2"/>
  <c r="DB112" i="2"/>
  <c r="DB126" i="2"/>
  <c r="DB108" i="2"/>
  <c r="CZ105" i="2"/>
  <c r="CZ148" i="2"/>
  <c r="CZ153" i="2" s="1"/>
  <c r="CZ221" i="2" s="1"/>
  <c r="DA132" i="2"/>
  <c r="CO81" i="4" l="1"/>
  <c r="DA103" i="2"/>
  <c r="DB106" i="2"/>
  <c r="DB130" i="2"/>
  <c r="CP85" i="4"/>
  <c r="DC118" i="2"/>
  <c r="DC117" i="2"/>
  <c r="DC119" i="2"/>
  <c r="DB121" i="2"/>
  <c r="DB124" i="2" s="1"/>
  <c r="DA134" i="2"/>
  <c r="IK196" i="2" s="1"/>
  <c r="CO82" i="4" l="1"/>
  <c r="DB131" i="2"/>
  <c r="DB133" i="2" s="1"/>
  <c r="CP79" i="4"/>
  <c r="DC116" i="2"/>
  <c r="DC120" i="2" s="1"/>
  <c r="TB120" i="2"/>
  <c r="DC109" i="2" s="1"/>
  <c r="DA143" i="2"/>
  <c r="DB104" i="2"/>
  <c r="CP78" i="4"/>
  <c r="DC113" i="2" l="1"/>
  <c r="CP80" i="4"/>
  <c r="DC128" i="2"/>
  <c r="DC142" i="2"/>
  <c r="CQ91" i="4" s="1"/>
  <c r="DC144" i="2"/>
  <c r="CQ93" i="4" s="1"/>
  <c r="DC141" i="2"/>
  <c r="CQ90" i="4" s="1"/>
  <c r="DC112" i="2"/>
  <c r="DC137" i="2"/>
  <c r="CQ86" i="4" s="1"/>
  <c r="DC139" i="2"/>
  <c r="CQ88" i="4" s="1"/>
  <c r="DC150" i="2"/>
  <c r="DC152" i="2" s="1"/>
  <c r="CQ99" i="4" s="1"/>
  <c r="DC123" i="2"/>
  <c r="DC138" i="2"/>
  <c r="CQ87" i="4" s="1"/>
  <c r="DC140" i="2"/>
  <c r="CQ89" i="4" s="1"/>
  <c r="DC122" i="2"/>
  <c r="DC145" i="2"/>
  <c r="CQ94" i="4" s="1"/>
  <c r="DC129" i="2"/>
  <c r="DC127" i="2"/>
  <c r="DC136" i="2"/>
  <c r="DC126" i="2"/>
  <c r="DC108" i="2"/>
  <c r="DB132" i="2"/>
  <c r="CO92" i="4"/>
  <c r="DA146" i="2"/>
  <c r="CO95" i="4" l="1"/>
  <c r="CO97" i="4" s="1"/>
  <c r="CO101" i="4" s="1"/>
  <c r="CO109" i="4" s="1"/>
  <c r="DB134" i="2"/>
  <c r="DD117" i="2"/>
  <c r="DD118" i="2"/>
  <c r="DD119" i="2"/>
  <c r="DA105" i="2"/>
  <c r="DA148" i="2"/>
  <c r="DA153" i="2" s="1"/>
  <c r="DA221" i="2" s="1"/>
  <c r="DC106" i="2"/>
  <c r="DC130" i="2"/>
  <c r="DC121" i="2"/>
  <c r="DC124" i="2" s="1"/>
  <c r="CQ85" i="4"/>
  <c r="CP81" i="4"/>
  <c r="DB103" i="2"/>
  <c r="DB143" i="2" l="1"/>
  <c r="CP92" i="4" s="1"/>
  <c r="IL196" i="2"/>
  <c r="CP82" i="4"/>
  <c r="DC104" i="2"/>
  <c r="CQ78" i="4"/>
  <c r="DD116" i="2"/>
  <c r="DD120" i="2" s="1"/>
  <c r="TC120" i="2"/>
  <c r="DD109" i="2" s="1"/>
  <c r="CQ79" i="4"/>
  <c r="DC131" i="2"/>
  <c r="DC133" i="2" s="1"/>
  <c r="DD113" i="2" l="1"/>
  <c r="DB146" i="2"/>
  <c r="CP95" i="4"/>
  <c r="CP97" i="4" s="1"/>
  <c r="CP101" i="4" s="1"/>
  <c r="CP109" i="4" s="1"/>
  <c r="DC132" i="2"/>
  <c r="DD142" i="2"/>
  <c r="CR91" i="4" s="1"/>
  <c r="DD136" i="2"/>
  <c r="DD150" i="2"/>
  <c r="DD152" i="2" s="1"/>
  <c r="CR99" i="4" s="1"/>
  <c r="DD112" i="2"/>
  <c r="DD141" i="2"/>
  <c r="CR90" i="4" s="1"/>
  <c r="DD137" i="2"/>
  <c r="CR86" i="4" s="1"/>
  <c r="DD139" i="2"/>
  <c r="CR88" i="4" s="1"/>
  <c r="DD144" i="2"/>
  <c r="CR93" i="4" s="1"/>
  <c r="DD122" i="2"/>
  <c r="DD140" i="2"/>
  <c r="CR89" i="4" s="1"/>
  <c r="DD127" i="2"/>
  <c r="DD129" i="2"/>
  <c r="DD128" i="2"/>
  <c r="DD138" i="2"/>
  <c r="CR87" i="4" s="1"/>
  <c r="DD123" i="2"/>
  <c r="DD145" i="2"/>
  <c r="CR94" i="4" s="1"/>
  <c r="DD126" i="2"/>
  <c r="DD108" i="2"/>
  <c r="CQ80" i="4"/>
  <c r="DB105" i="2"/>
  <c r="DB148" i="2"/>
  <c r="DB153" i="2" s="1"/>
  <c r="DB221" i="2" s="1"/>
  <c r="DD121" i="2" l="1"/>
  <c r="DD124" i="2" s="1"/>
  <c r="DD106" i="2"/>
  <c r="DD130" i="2"/>
  <c r="CR85" i="4"/>
  <c r="CQ81" i="4"/>
  <c r="DC103" i="2"/>
  <c r="DE118" i="2"/>
  <c r="DE117" i="2"/>
  <c r="DE119" i="2"/>
  <c r="DC134" i="2"/>
  <c r="IM196" i="2" s="1"/>
  <c r="CQ82" i="4" l="1"/>
  <c r="DE116" i="2"/>
  <c r="DE120" i="2" s="1"/>
  <c r="TD120" i="2"/>
  <c r="DE109" i="2" s="1"/>
  <c r="CR78" i="4"/>
  <c r="DD104" i="2"/>
  <c r="DD131" i="2"/>
  <c r="DD133" i="2" s="1"/>
  <c r="CR79" i="4"/>
  <c r="DC143" i="2"/>
  <c r="DE113" i="2" l="1"/>
  <c r="CR80" i="4"/>
  <c r="DE138" i="2"/>
  <c r="CS87" i="4" s="1"/>
  <c r="DE141" i="2"/>
  <c r="CS90" i="4" s="1"/>
  <c r="DE122" i="2"/>
  <c r="DE150" i="2"/>
  <c r="DE152" i="2" s="1"/>
  <c r="CS99" i="4" s="1"/>
  <c r="DE137" i="2"/>
  <c r="CS86" i="4" s="1"/>
  <c r="DE140" i="2"/>
  <c r="CS89" i="4" s="1"/>
  <c r="DE142" i="2"/>
  <c r="CS91" i="4" s="1"/>
  <c r="DE144" i="2"/>
  <c r="CS93" i="4" s="1"/>
  <c r="DE128" i="2"/>
  <c r="DE129" i="2"/>
  <c r="DE112" i="2"/>
  <c r="DE145" i="2"/>
  <c r="CS94" i="4" s="1"/>
  <c r="DE127" i="2"/>
  <c r="DE139" i="2"/>
  <c r="CS88" i="4" s="1"/>
  <c r="DE136" i="2"/>
  <c r="DE123" i="2"/>
  <c r="DE126" i="2"/>
  <c r="DE108" i="2"/>
  <c r="DD132" i="2"/>
  <c r="CQ92" i="4"/>
  <c r="DC146" i="2"/>
  <c r="CQ95" i="4" l="1"/>
  <c r="CQ97" i="4" s="1"/>
  <c r="CQ101" i="4" s="1"/>
  <c r="CQ109" i="4" s="1"/>
  <c r="CS85" i="4"/>
  <c r="CR81" i="4"/>
  <c r="DD103" i="2"/>
  <c r="DD134" i="2"/>
  <c r="IN196" i="2" s="1"/>
  <c r="DE121" i="2"/>
  <c r="DE124" i="2" s="1"/>
  <c r="DC105" i="2"/>
  <c r="DC148" i="2"/>
  <c r="DC153" i="2" s="1"/>
  <c r="DC221" i="2" s="1"/>
  <c r="DE106" i="2"/>
  <c r="DE130" i="2"/>
  <c r="DF119" i="2"/>
  <c r="DF117" i="2"/>
  <c r="DF118" i="2"/>
  <c r="CR82" i="4" l="1"/>
  <c r="DE104" i="2"/>
  <c r="CS78" i="4"/>
  <c r="DD143" i="2"/>
  <c r="CS79" i="4"/>
  <c r="DE131" i="2"/>
  <c r="DE133" i="2" s="1"/>
  <c r="DF116" i="2"/>
  <c r="DF120" i="2" s="1"/>
  <c r="TE120" i="2"/>
  <c r="DF109" i="2" s="1"/>
  <c r="DF113" i="2" l="1"/>
  <c r="DE132" i="2"/>
  <c r="DF140" i="2"/>
  <c r="CT89" i="4" s="1"/>
  <c r="DF137" i="2"/>
  <c r="CT86" i="4" s="1"/>
  <c r="DF138" i="2"/>
  <c r="CT87" i="4" s="1"/>
  <c r="DF139" i="2"/>
  <c r="CT88" i="4" s="1"/>
  <c r="DF150" i="2"/>
  <c r="DF152" i="2" s="1"/>
  <c r="CT99" i="4" s="1"/>
  <c r="DF144" i="2"/>
  <c r="CT93" i="4" s="1"/>
  <c r="DF142" i="2"/>
  <c r="CT91" i="4" s="1"/>
  <c r="DF141" i="2"/>
  <c r="CT90" i="4" s="1"/>
  <c r="DF112" i="2"/>
  <c r="DF136" i="2"/>
  <c r="DF129" i="2"/>
  <c r="DF128" i="2"/>
  <c r="DF145" i="2"/>
  <c r="CT94" i="4" s="1"/>
  <c r="DF127" i="2"/>
  <c r="DF122" i="2"/>
  <c r="DF123" i="2"/>
  <c r="DF126" i="2"/>
  <c r="DF108" i="2"/>
  <c r="CR92" i="4"/>
  <c r="DD146" i="2"/>
  <c r="CS80" i="4"/>
  <c r="CR95" i="4" l="1"/>
  <c r="CR97" i="4" s="1"/>
  <c r="CR101" i="4" s="1"/>
  <c r="CR109" i="4" s="1"/>
  <c r="CT85" i="4"/>
  <c r="DG119" i="2"/>
  <c r="DG117" i="2"/>
  <c r="DG118" i="2"/>
  <c r="CS81" i="4"/>
  <c r="CS82" i="4" s="1"/>
  <c r="DE103" i="2"/>
  <c r="DF106" i="2"/>
  <c r="DF130" i="2"/>
  <c r="DF121" i="2"/>
  <c r="DF124" i="2" s="1"/>
  <c r="DD105" i="2"/>
  <c r="DD148" i="2"/>
  <c r="DD153" i="2" s="1"/>
  <c r="DD221" i="2" s="1"/>
  <c r="DE134" i="2"/>
  <c r="IO196" i="2" s="1"/>
  <c r="DF104" i="2" l="1"/>
  <c r="CT78" i="4"/>
  <c r="DG116" i="2"/>
  <c r="DG120" i="2" s="1"/>
  <c r="TF120" i="2"/>
  <c r="DG109" i="2" s="1"/>
  <c r="DF131" i="2"/>
  <c r="DF133" i="2" s="1"/>
  <c r="CT79" i="4"/>
  <c r="DE143" i="2"/>
  <c r="DG113" i="2" l="1"/>
  <c r="DG141" i="2"/>
  <c r="CU90" i="4" s="1"/>
  <c r="DG145" i="2"/>
  <c r="CU94" i="4" s="1"/>
  <c r="DG137" i="2"/>
  <c r="CU86" i="4" s="1"/>
  <c r="DG123" i="2"/>
  <c r="DG138" i="2"/>
  <c r="CU87" i="4" s="1"/>
  <c r="DG127" i="2"/>
  <c r="DG150" i="2"/>
  <c r="DG152" i="2" s="1"/>
  <c r="CU99" i="4" s="1"/>
  <c r="DG112" i="2"/>
  <c r="DG140" i="2"/>
  <c r="CU89" i="4" s="1"/>
  <c r="DG142" i="2"/>
  <c r="CU91" i="4" s="1"/>
  <c r="DG129" i="2"/>
  <c r="DG128" i="2"/>
  <c r="DG144" i="2"/>
  <c r="CU93" i="4" s="1"/>
  <c r="DG139" i="2"/>
  <c r="CU88" i="4" s="1"/>
  <c r="DG122" i="2"/>
  <c r="DG136" i="2"/>
  <c r="DG126" i="2"/>
  <c r="DG108" i="2"/>
  <c r="CT80" i="4"/>
  <c r="DF132" i="2"/>
  <c r="CS92" i="4"/>
  <c r="CS95" i="4" s="1"/>
  <c r="CS97" i="4" s="1"/>
  <c r="CS101" i="4" s="1"/>
  <c r="CS109" i="4" s="1"/>
  <c r="DE146" i="2"/>
  <c r="DF134" i="2" l="1"/>
  <c r="DH118" i="2"/>
  <c r="DH119" i="2"/>
  <c r="DH117" i="2"/>
  <c r="DG121" i="2"/>
  <c r="DG124" i="2" s="1"/>
  <c r="DE105" i="2"/>
  <c r="DE148" i="2"/>
  <c r="DE153" i="2" s="1"/>
  <c r="DE221" i="2" s="1"/>
  <c r="DG106" i="2"/>
  <c r="DG130" i="2"/>
  <c r="CU85" i="4"/>
  <c r="CT81" i="4"/>
  <c r="CT82" i="4" s="1"/>
  <c r="DF103" i="2"/>
  <c r="DF143" i="2" l="1"/>
  <c r="CT92" i="4" s="1"/>
  <c r="CT95" i="4" s="1"/>
  <c r="CT97" i="4" s="1"/>
  <c r="CT101" i="4" s="1"/>
  <c r="CT109" i="4" s="1"/>
  <c r="IP196" i="2"/>
  <c r="CU79" i="4"/>
  <c r="DG131" i="2"/>
  <c r="DG133" i="2" s="1"/>
  <c r="DH116" i="2"/>
  <c r="DH120" i="2" s="1"/>
  <c r="TG120" i="2"/>
  <c r="DH109" i="2" s="1"/>
  <c r="CU78" i="4"/>
  <c r="CU80" i="4" s="1"/>
  <c r="DG104" i="2"/>
  <c r="DH113" i="2" l="1"/>
  <c r="DF146" i="2"/>
  <c r="DF105" i="2" s="1"/>
  <c r="DH150" i="2"/>
  <c r="DH152" i="2" s="1"/>
  <c r="CV99" i="4" s="1"/>
  <c r="DH144" i="2"/>
  <c r="CV93" i="4" s="1"/>
  <c r="DH137" i="2"/>
  <c r="CV86" i="4" s="1"/>
  <c r="DH140" i="2"/>
  <c r="CV89" i="4" s="1"/>
  <c r="DH145" i="2"/>
  <c r="CV94" i="4" s="1"/>
  <c r="DH142" i="2"/>
  <c r="CV91" i="4" s="1"/>
  <c r="DH127" i="2"/>
  <c r="DH112" i="2"/>
  <c r="DH141" i="2"/>
  <c r="CV90" i="4" s="1"/>
  <c r="DH122" i="2"/>
  <c r="DH136" i="2"/>
  <c r="DH128" i="2"/>
  <c r="DH139" i="2"/>
  <c r="CV88" i="4" s="1"/>
  <c r="DH138" i="2"/>
  <c r="CV87" i="4" s="1"/>
  <c r="DH123" i="2"/>
  <c r="DH129" i="2"/>
  <c r="DH126" i="2"/>
  <c r="DH108" i="2"/>
  <c r="DG132" i="2"/>
  <c r="DF148" i="2" l="1"/>
  <c r="DF153" i="2" s="1"/>
  <c r="DF221" i="2" s="1"/>
  <c r="DG134" i="2"/>
  <c r="DH106" i="2"/>
  <c r="DH130" i="2"/>
  <c r="CV85" i="4"/>
  <c r="DI119" i="2"/>
  <c r="DI117" i="2"/>
  <c r="DI118" i="2"/>
  <c r="DH121" i="2"/>
  <c r="DH124" i="2" s="1"/>
  <c r="CU81" i="4"/>
  <c r="CU82" i="4" s="1"/>
  <c r="DG103" i="2"/>
  <c r="DG143" i="2" l="1"/>
  <c r="IQ196" i="2"/>
  <c r="DH131" i="2"/>
  <c r="DH133" i="2" s="1"/>
  <c r="CV79" i="4"/>
  <c r="DI116" i="2"/>
  <c r="DI120" i="2" s="1"/>
  <c r="TH120" i="2"/>
  <c r="DI109" i="2" s="1"/>
  <c r="CU92" i="4"/>
  <c r="CU95" i="4" s="1"/>
  <c r="CU97" i="4" s="1"/>
  <c r="CU101" i="4" s="1"/>
  <c r="CU109" i="4" s="1"/>
  <c r="DG146" i="2"/>
  <c r="CV78" i="4"/>
  <c r="CV80" i="4" s="1"/>
  <c r="DH104" i="2"/>
  <c r="DI113" i="2" l="1"/>
  <c r="DG105" i="2"/>
  <c r="DG148" i="2"/>
  <c r="DG153" i="2" s="1"/>
  <c r="DG221" i="2" s="1"/>
  <c r="DH132" i="2"/>
  <c r="DI139" i="2"/>
  <c r="CW88" i="4" s="1"/>
  <c r="DI127" i="2"/>
  <c r="DI138" i="2"/>
  <c r="CW87" i="4" s="1"/>
  <c r="DI142" i="2"/>
  <c r="CW91" i="4" s="1"/>
  <c r="DI141" i="2"/>
  <c r="CW90" i="4" s="1"/>
  <c r="DI136" i="2"/>
  <c r="DI144" i="2"/>
  <c r="CW93" i="4" s="1"/>
  <c r="DI137" i="2"/>
  <c r="CW86" i="4" s="1"/>
  <c r="DI112" i="2"/>
  <c r="DI128" i="2"/>
  <c r="DI140" i="2"/>
  <c r="CW89" i="4" s="1"/>
  <c r="DI122" i="2"/>
  <c r="DI150" i="2"/>
  <c r="DI152" i="2" s="1"/>
  <c r="CW99" i="4" s="1"/>
  <c r="DI129" i="2"/>
  <c r="DI145" i="2"/>
  <c r="CW94" i="4" s="1"/>
  <c r="DI123" i="2"/>
  <c r="DI126" i="2"/>
  <c r="DI108" i="2"/>
  <c r="CV81" i="4" l="1"/>
  <c r="CV82" i="4" s="1"/>
  <c r="DH103" i="2"/>
  <c r="CW85" i="4"/>
  <c r="DH134" i="2"/>
  <c r="IR196" i="2" s="1"/>
  <c r="DJ119" i="2"/>
  <c r="DJ118" i="2"/>
  <c r="DJ117" i="2"/>
  <c r="DI121" i="2"/>
  <c r="DI124" i="2" s="1"/>
  <c r="DI106" i="2"/>
  <c r="DI130" i="2"/>
  <c r="DI104" i="2" l="1"/>
  <c r="CW78" i="4"/>
  <c r="CW79" i="4"/>
  <c r="DI131" i="2"/>
  <c r="DI133" i="2" s="1"/>
  <c r="DH143" i="2"/>
  <c r="DJ116" i="2"/>
  <c r="DJ120" i="2" s="1"/>
  <c r="TI120" i="2"/>
  <c r="DJ109" i="2" s="1"/>
  <c r="DJ113" i="2" l="1"/>
  <c r="DJ122" i="2"/>
  <c r="DJ150" i="2"/>
  <c r="DJ152" i="2" s="1"/>
  <c r="CX99" i="4" s="1"/>
  <c r="DJ142" i="2"/>
  <c r="CX91" i="4" s="1"/>
  <c r="DJ145" i="2"/>
  <c r="CX94" i="4" s="1"/>
  <c r="DJ141" i="2"/>
  <c r="CX90" i="4" s="1"/>
  <c r="DJ138" i="2"/>
  <c r="CX87" i="4" s="1"/>
  <c r="DJ129" i="2"/>
  <c r="DJ144" i="2"/>
  <c r="CX93" i="4" s="1"/>
  <c r="DJ139" i="2"/>
  <c r="CX88" i="4" s="1"/>
  <c r="DJ127" i="2"/>
  <c r="DJ136" i="2"/>
  <c r="DJ128" i="2"/>
  <c r="DJ112" i="2"/>
  <c r="DJ140" i="2"/>
  <c r="CX89" i="4" s="1"/>
  <c r="DJ137" i="2"/>
  <c r="CX86" i="4" s="1"/>
  <c r="DJ123" i="2"/>
  <c r="DJ126" i="2"/>
  <c r="DJ108" i="2"/>
  <c r="CV92" i="4"/>
  <c r="CV95" i="4" s="1"/>
  <c r="CV97" i="4" s="1"/>
  <c r="CV101" i="4" s="1"/>
  <c r="CV109" i="4" s="1"/>
  <c r="DH146" i="2"/>
  <c r="DI132" i="2"/>
  <c r="CW80" i="4"/>
  <c r="DI134" i="2" l="1"/>
  <c r="DH105" i="2"/>
  <c r="DH148" i="2"/>
  <c r="DH153" i="2" s="1"/>
  <c r="DH221" i="2" s="1"/>
  <c r="DJ121" i="2"/>
  <c r="DJ124" i="2" s="1"/>
  <c r="DJ106" i="2"/>
  <c r="DJ130" i="2"/>
  <c r="CX85" i="4"/>
  <c r="DK117" i="2"/>
  <c r="DK119" i="2"/>
  <c r="DK118" i="2"/>
  <c r="CW81" i="4"/>
  <c r="CW82" i="4" s="1"/>
  <c r="DI103" i="2"/>
  <c r="DI143" i="2" l="1"/>
  <c r="IS196" i="2"/>
  <c r="DK116" i="2"/>
  <c r="DK120" i="2" s="1"/>
  <c r="TJ120" i="2"/>
  <c r="DK109" i="2" s="1"/>
  <c r="CX78" i="4"/>
  <c r="DJ104" i="2"/>
  <c r="DJ131" i="2"/>
  <c r="DJ133" i="2" s="1"/>
  <c r="CX79" i="4"/>
  <c r="CW92" i="4"/>
  <c r="CW95" i="4" s="1"/>
  <c r="CW97" i="4" s="1"/>
  <c r="CW101" i="4" s="1"/>
  <c r="CW109" i="4" s="1"/>
  <c r="DI146" i="2"/>
  <c r="DK113" i="2" l="1"/>
  <c r="CX80" i="4"/>
  <c r="DK127" i="2"/>
  <c r="DK144" i="2"/>
  <c r="CY93" i="4" s="1"/>
  <c r="DK123" i="2"/>
  <c r="DK145" i="2"/>
  <c r="CY94" i="4" s="1"/>
  <c r="DK129" i="2"/>
  <c r="DK122" i="2"/>
  <c r="DK137" i="2"/>
  <c r="CY86" i="4" s="1"/>
  <c r="DK128" i="2"/>
  <c r="DK138" i="2"/>
  <c r="CY87" i="4" s="1"/>
  <c r="DK141" i="2"/>
  <c r="CY90" i="4" s="1"/>
  <c r="DK136" i="2"/>
  <c r="DK112" i="2"/>
  <c r="DK140" i="2"/>
  <c r="CY89" i="4" s="1"/>
  <c r="DK139" i="2"/>
  <c r="CY88" i="4" s="1"/>
  <c r="DK150" i="2"/>
  <c r="DK152" i="2" s="1"/>
  <c r="CY99" i="4" s="1"/>
  <c r="DK142" i="2"/>
  <c r="CY91" i="4" s="1"/>
  <c r="DK126" i="2"/>
  <c r="DK108" i="2"/>
  <c r="DI105" i="2"/>
  <c r="DI148" i="2"/>
  <c r="DI153" i="2" s="1"/>
  <c r="DI221" i="2" s="1"/>
  <c r="DJ132" i="2"/>
  <c r="DK121" i="2" l="1"/>
  <c r="DK124" i="2" s="1"/>
  <c r="CY85" i="4"/>
  <c r="DK106" i="2"/>
  <c r="DK130" i="2"/>
  <c r="CX81" i="4"/>
  <c r="CX82" i="4" s="1"/>
  <c r="DJ103" i="2"/>
  <c r="DL118" i="2"/>
  <c r="DL117" i="2"/>
  <c r="DL119" i="2"/>
  <c r="DJ134" i="2"/>
  <c r="IT196" i="2" s="1"/>
  <c r="DL116" i="2" l="1"/>
  <c r="DL120" i="2" s="1"/>
  <c r="TK120" i="2"/>
  <c r="DL109" i="2" s="1"/>
  <c r="CY79" i="4"/>
  <c r="DK131" i="2"/>
  <c r="DK133" i="2" s="1"/>
  <c r="DJ143" i="2"/>
  <c r="CY78" i="4"/>
  <c r="CY80" i="4" s="1"/>
  <c r="DK104" i="2"/>
  <c r="DL113" i="2" l="1"/>
  <c r="CX92" i="4"/>
  <c r="CX95" i="4" s="1"/>
  <c r="CX97" i="4" s="1"/>
  <c r="CX101" i="4" s="1"/>
  <c r="CX109" i="4" s="1"/>
  <c r="DJ146" i="2"/>
  <c r="DK132" i="2"/>
  <c r="DL139" i="2"/>
  <c r="CZ88" i="4" s="1"/>
  <c r="DL140" i="2"/>
  <c r="CZ89" i="4" s="1"/>
  <c r="DL137" i="2"/>
  <c r="CZ86" i="4" s="1"/>
  <c r="DL142" i="2"/>
  <c r="CZ91" i="4" s="1"/>
  <c r="DL138" i="2"/>
  <c r="CZ87" i="4" s="1"/>
  <c r="DL145" i="2"/>
  <c r="CZ94" i="4" s="1"/>
  <c r="DL141" i="2"/>
  <c r="CZ90" i="4" s="1"/>
  <c r="DL144" i="2"/>
  <c r="CZ93" i="4" s="1"/>
  <c r="DL112" i="2"/>
  <c r="DL150" i="2"/>
  <c r="DL152" i="2" s="1"/>
  <c r="CZ99" i="4" s="1"/>
  <c r="DL127" i="2"/>
  <c r="DL123" i="2"/>
  <c r="DL122" i="2"/>
  <c r="DL128" i="2"/>
  <c r="DL129" i="2"/>
  <c r="DL136" i="2"/>
  <c r="DL126" i="2"/>
  <c r="DL108" i="2"/>
  <c r="DL106" i="2" l="1"/>
  <c r="DL130" i="2"/>
  <c r="CZ85" i="4"/>
  <c r="CY81" i="4"/>
  <c r="CY82" i="4" s="1"/>
  <c r="DK103" i="2"/>
  <c r="DM118" i="2"/>
  <c r="DM119" i="2"/>
  <c r="DM117" i="2"/>
  <c r="DK134" i="2"/>
  <c r="IU196" i="2" s="1"/>
  <c r="DJ105" i="2"/>
  <c r="DJ148" i="2"/>
  <c r="DJ153" i="2" s="1"/>
  <c r="DJ221" i="2" s="1"/>
  <c r="DL121" i="2"/>
  <c r="DL124" i="2" s="1"/>
  <c r="CZ78" i="4" l="1"/>
  <c r="DL104" i="2"/>
  <c r="DK143" i="2"/>
  <c r="DM116" i="2"/>
  <c r="DM120" i="2" s="1"/>
  <c r="TL120" i="2"/>
  <c r="DM109" i="2" s="1"/>
  <c r="DL131" i="2"/>
  <c r="DL133" i="2" s="1"/>
  <c r="CZ79" i="4"/>
  <c r="DM113" i="2" l="1"/>
  <c r="DM150" i="2"/>
  <c r="DM152" i="2" s="1"/>
  <c r="DA99" i="4" s="1"/>
  <c r="DM128" i="2"/>
  <c r="DM140" i="2"/>
  <c r="DA89" i="4" s="1"/>
  <c r="DM122" i="2"/>
  <c r="DM138" i="2"/>
  <c r="DA87" i="4" s="1"/>
  <c r="DM145" i="2"/>
  <c r="DA94" i="4" s="1"/>
  <c r="DM139" i="2"/>
  <c r="DA88" i="4" s="1"/>
  <c r="DM141" i="2"/>
  <c r="DA90" i="4" s="1"/>
  <c r="DM137" i="2"/>
  <c r="DA86" i="4" s="1"/>
  <c r="DM144" i="2"/>
  <c r="DA93" i="4" s="1"/>
  <c r="DM123" i="2"/>
  <c r="DM136" i="2"/>
  <c r="DM142" i="2"/>
  <c r="DA91" i="4" s="1"/>
  <c r="DM127" i="2"/>
  <c r="DM112" i="2"/>
  <c r="DM129" i="2"/>
  <c r="DM126" i="2"/>
  <c r="DM108" i="2"/>
  <c r="CY92" i="4"/>
  <c r="CY95" i="4" s="1"/>
  <c r="CY97" i="4" s="1"/>
  <c r="CY101" i="4" s="1"/>
  <c r="CY109" i="4" s="1"/>
  <c r="DK146" i="2"/>
  <c r="CZ80" i="4"/>
  <c r="DL132" i="2"/>
  <c r="DL134" i="2" l="1"/>
  <c r="DA85" i="4"/>
  <c r="DK105" i="2"/>
  <c r="DK148" i="2"/>
  <c r="DK153" i="2" s="1"/>
  <c r="DK221" i="2" s="1"/>
  <c r="CZ81" i="4"/>
  <c r="DL103" i="2"/>
  <c r="DM106" i="2"/>
  <c r="DM130" i="2"/>
  <c r="DM121" i="2"/>
  <c r="DM124" i="2" s="1"/>
  <c r="DN119" i="2"/>
  <c r="DN117" i="2"/>
  <c r="DN118" i="2"/>
  <c r="DL143" i="2" l="1"/>
  <c r="CZ92" i="4" s="1"/>
  <c r="IV196" i="2"/>
  <c r="CZ82" i="4"/>
  <c r="DA78" i="4"/>
  <c r="DM104" i="2"/>
  <c r="DA79" i="4"/>
  <c r="DM131" i="2"/>
  <c r="DM133" i="2" s="1"/>
  <c r="DN116" i="2"/>
  <c r="DN120" i="2" s="1"/>
  <c r="TM120" i="2"/>
  <c r="DN109" i="2" s="1"/>
  <c r="DL146" i="2"/>
  <c r="DN113" i="2" l="1"/>
  <c r="CZ95" i="4"/>
  <c r="CZ97" i="4" s="1"/>
  <c r="CZ101" i="4" s="1"/>
  <c r="CZ109" i="4" s="1"/>
  <c r="DL105" i="2"/>
  <c r="DL148" i="2"/>
  <c r="DL153" i="2" s="1"/>
  <c r="DL221" i="2" s="1"/>
  <c r="DM132" i="2"/>
  <c r="DN145" i="2"/>
  <c r="DB94" i="4" s="1"/>
  <c r="DN112" i="2"/>
  <c r="DN150" i="2"/>
  <c r="DN152" i="2" s="1"/>
  <c r="DB99" i="4" s="1"/>
  <c r="DN129" i="2"/>
  <c r="DN128" i="2"/>
  <c r="DN139" i="2"/>
  <c r="DB88" i="4" s="1"/>
  <c r="DN144" i="2"/>
  <c r="DB93" i="4" s="1"/>
  <c r="DN136" i="2"/>
  <c r="DN141" i="2"/>
  <c r="DB90" i="4" s="1"/>
  <c r="DN142" i="2"/>
  <c r="DB91" i="4" s="1"/>
  <c r="DN127" i="2"/>
  <c r="DN137" i="2"/>
  <c r="DB86" i="4" s="1"/>
  <c r="DN138" i="2"/>
  <c r="DB87" i="4" s="1"/>
  <c r="DN122" i="2"/>
  <c r="DN140" i="2"/>
  <c r="DB89" i="4" s="1"/>
  <c r="DN123" i="2"/>
  <c r="DN126" i="2"/>
  <c r="DN108" i="2"/>
  <c r="DA80" i="4"/>
  <c r="DO118" i="2" l="1"/>
  <c r="DO117" i="2"/>
  <c r="DO119" i="2"/>
  <c r="DB85" i="4"/>
  <c r="DA81" i="4"/>
  <c r="DM103" i="2"/>
  <c r="DM134" i="2"/>
  <c r="IW196" i="2" s="1"/>
  <c r="DN121" i="2"/>
  <c r="DN124" i="2" s="1"/>
  <c r="DN106" i="2"/>
  <c r="DN130" i="2"/>
  <c r="DA82" i="4" l="1"/>
  <c r="DN104" i="2"/>
  <c r="DB78" i="4"/>
  <c r="DO116" i="2"/>
  <c r="DO120" i="2" s="1"/>
  <c r="TN120" i="2"/>
  <c r="DO109" i="2" s="1"/>
  <c r="DN131" i="2"/>
  <c r="DN133" i="2" s="1"/>
  <c r="DB79" i="4"/>
  <c r="DM143" i="2"/>
  <c r="DO113" i="2" l="1"/>
  <c r="DN132" i="2"/>
  <c r="DO112" i="2"/>
  <c r="DO144" i="2"/>
  <c r="DC93" i="4" s="1"/>
  <c r="DO127" i="2"/>
  <c r="DO122" i="2"/>
  <c r="DO136" i="2"/>
  <c r="DO145" i="2"/>
  <c r="DC94" i="4" s="1"/>
  <c r="DO150" i="2"/>
  <c r="DO152" i="2" s="1"/>
  <c r="DC99" i="4" s="1"/>
  <c r="DO137" i="2"/>
  <c r="DC86" i="4" s="1"/>
  <c r="DO138" i="2"/>
  <c r="DC87" i="4" s="1"/>
  <c r="DO139" i="2"/>
  <c r="DC88" i="4" s="1"/>
  <c r="DO140" i="2"/>
  <c r="DC89" i="4" s="1"/>
  <c r="DO129" i="2"/>
  <c r="DO141" i="2"/>
  <c r="DC90" i="4" s="1"/>
  <c r="DO128" i="2"/>
  <c r="DO142" i="2"/>
  <c r="DC91" i="4" s="1"/>
  <c r="DO123" i="2"/>
  <c r="DO126" i="2"/>
  <c r="DO108" i="2"/>
  <c r="DB80" i="4"/>
  <c r="DA92" i="4"/>
  <c r="DM146" i="2"/>
  <c r="DA95" i="4" l="1"/>
  <c r="DA97" i="4" s="1"/>
  <c r="DA101" i="4" s="1"/>
  <c r="DA109" i="4" s="1"/>
  <c r="DO121" i="2"/>
  <c r="DO124" i="2" s="1"/>
  <c r="DP119" i="2"/>
  <c r="DP117" i="2"/>
  <c r="DP118" i="2"/>
  <c r="DO106" i="2"/>
  <c r="DO130" i="2"/>
  <c r="DM105" i="2"/>
  <c r="DM148" i="2"/>
  <c r="DM153" i="2" s="1"/>
  <c r="DM221" i="2" s="1"/>
  <c r="DC85" i="4"/>
  <c r="DB81" i="4"/>
  <c r="DN103" i="2"/>
  <c r="DN134" i="2"/>
  <c r="IX196" i="2" s="1"/>
  <c r="DB82" i="4" l="1"/>
  <c r="DP116" i="2"/>
  <c r="DP120" i="2" s="1"/>
  <c r="TO120" i="2"/>
  <c r="DP109" i="2" s="1"/>
  <c r="DC79" i="4"/>
  <c r="DO131" i="2"/>
  <c r="DO133" i="2" s="1"/>
  <c r="DC78" i="4"/>
  <c r="DC80" i="4" s="1"/>
  <c r="DO104" i="2"/>
  <c r="DN143" i="2"/>
  <c r="DP113" i="2" l="1"/>
  <c r="DO132" i="2"/>
  <c r="DP122" i="2"/>
  <c r="DP137" i="2"/>
  <c r="DD86" i="4" s="1"/>
  <c r="DP140" i="2"/>
  <c r="DD89" i="4" s="1"/>
  <c r="DP142" i="2"/>
  <c r="DD91" i="4" s="1"/>
  <c r="DP123" i="2"/>
  <c r="DP138" i="2"/>
  <c r="DD87" i="4" s="1"/>
  <c r="DP129" i="2"/>
  <c r="DP136" i="2"/>
  <c r="DP150" i="2"/>
  <c r="DP152" i="2" s="1"/>
  <c r="DD99" i="4" s="1"/>
  <c r="DP127" i="2"/>
  <c r="DP112" i="2"/>
  <c r="DP128" i="2"/>
  <c r="DP145" i="2"/>
  <c r="DD94" i="4" s="1"/>
  <c r="DP139" i="2"/>
  <c r="DD88" i="4" s="1"/>
  <c r="DP141" i="2"/>
  <c r="DD90" i="4" s="1"/>
  <c r="DP144" i="2"/>
  <c r="DD93" i="4" s="1"/>
  <c r="DP126" i="2"/>
  <c r="DP108" i="2"/>
  <c r="DB92" i="4"/>
  <c r="DN146" i="2"/>
  <c r="DB95" i="4" l="1"/>
  <c r="DB97" i="4" s="1"/>
  <c r="DB101" i="4" s="1"/>
  <c r="DB109" i="4" s="1"/>
  <c r="DQ118" i="2"/>
  <c r="DQ119" i="2"/>
  <c r="DQ117" i="2"/>
  <c r="DP121" i="2"/>
  <c r="DP124" i="2" s="1"/>
  <c r="DP106" i="2"/>
  <c r="DP130" i="2"/>
  <c r="DN105" i="2"/>
  <c r="DN148" i="2"/>
  <c r="DN153" i="2" s="1"/>
  <c r="DN221" i="2" s="1"/>
  <c r="DD85" i="4"/>
  <c r="DC81" i="4"/>
  <c r="DO103" i="2"/>
  <c r="DO134" i="2"/>
  <c r="IY196" i="2" s="1"/>
  <c r="DC82" i="4" l="1"/>
  <c r="DD78" i="4"/>
  <c r="DP104" i="2"/>
  <c r="DQ116" i="2"/>
  <c r="DQ120" i="2" s="1"/>
  <c r="TP120" i="2"/>
  <c r="DQ109" i="2" s="1"/>
  <c r="DO143" i="2"/>
  <c r="DP131" i="2"/>
  <c r="DP133" i="2" s="1"/>
  <c r="DD79" i="4"/>
  <c r="DQ113" i="2" l="1"/>
  <c r="DQ112" i="2"/>
  <c r="DQ144" i="2"/>
  <c r="DE93" i="4" s="1"/>
  <c r="DQ123" i="2"/>
  <c r="DQ138" i="2"/>
  <c r="DE87" i="4" s="1"/>
  <c r="DQ129" i="2"/>
  <c r="DQ142" i="2"/>
  <c r="DE91" i="4" s="1"/>
  <c r="DQ128" i="2"/>
  <c r="DQ139" i="2"/>
  <c r="DE88" i="4" s="1"/>
  <c r="DQ141" i="2"/>
  <c r="DE90" i="4" s="1"/>
  <c r="DQ137" i="2"/>
  <c r="DE86" i="4" s="1"/>
  <c r="DQ150" i="2"/>
  <c r="DQ152" i="2" s="1"/>
  <c r="DE99" i="4" s="1"/>
  <c r="DQ122" i="2"/>
  <c r="DQ140" i="2"/>
  <c r="DE89" i="4" s="1"/>
  <c r="DQ145" i="2"/>
  <c r="DE94" i="4" s="1"/>
  <c r="DQ127" i="2"/>
  <c r="DQ136" i="2"/>
  <c r="DQ126" i="2"/>
  <c r="DQ108" i="2"/>
  <c r="DD80" i="4"/>
  <c r="DP132" i="2"/>
  <c r="DC92" i="4"/>
  <c r="DO146" i="2"/>
  <c r="DC95" i="4" l="1"/>
  <c r="DC97" i="4" s="1"/>
  <c r="DC101" i="4" s="1"/>
  <c r="DC109" i="4" s="1"/>
  <c r="DP134" i="2"/>
  <c r="DQ121" i="2"/>
  <c r="DQ124" i="2" s="1"/>
  <c r="DO105" i="2"/>
  <c r="DO148" i="2"/>
  <c r="DO153" i="2" s="1"/>
  <c r="DO221" i="2" s="1"/>
  <c r="DQ106" i="2"/>
  <c r="DQ130" i="2"/>
  <c r="DE85" i="4"/>
  <c r="DD81" i="4"/>
  <c r="DP103" i="2"/>
  <c r="DR119" i="2"/>
  <c r="DR118" i="2"/>
  <c r="DR117" i="2"/>
  <c r="DP143" i="2" l="1"/>
  <c r="IZ196" i="2"/>
  <c r="DD82" i="4"/>
  <c r="DE79" i="4"/>
  <c r="DQ131" i="2"/>
  <c r="DQ133" i="2" s="1"/>
  <c r="DD92" i="4"/>
  <c r="DP146" i="2"/>
  <c r="DR116" i="2"/>
  <c r="DR120" i="2" s="1"/>
  <c r="TQ120" i="2"/>
  <c r="DR109" i="2" s="1"/>
  <c r="DE78" i="4"/>
  <c r="DQ104" i="2"/>
  <c r="DR113" i="2" l="1"/>
  <c r="DD95" i="4"/>
  <c r="DD97" i="4" s="1"/>
  <c r="DD101" i="4" s="1"/>
  <c r="DD109" i="4" s="1"/>
  <c r="DP105" i="2"/>
  <c r="DP148" i="2"/>
  <c r="DP153" i="2" s="1"/>
  <c r="DP221" i="2" s="1"/>
  <c r="DQ132" i="2"/>
  <c r="DE80" i="4"/>
  <c r="DR127" i="2"/>
  <c r="DR144" i="2"/>
  <c r="DF93" i="4" s="1"/>
  <c r="DR139" i="2"/>
  <c r="DF88" i="4" s="1"/>
  <c r="DR122" i="2"/>
  <c r="DR142" i="2"/>
  <c r="DF91" i="4" s="1"/>
  <c r="DR112" i="2"/>
  <c r="DR150" i="2"/>
  <c r="DR152" i="2" s="1"/>
  <c r="DF99" i="4" s="1"/>
  <c r="DR138" i="2"/>
  <c r="DF87" i="4" s="1"/>
  <c r="DR141" i="2"/>
  <c r="DF90" i="4" s="1"/>
  <c r="DR123" i="2"/>
  <c r="DR140" i="2"/>
  <c r="DF89" i="4" s="1"/>
  <c r="DR129" i="2"/>
  <c r="DR136" i="2"/>
  <c r="DR145" i="2"/>
  <c r="DF94" i="4" s="1"/>
  <c r="DR137" i="2"/>
  <c r="DF86" i="4" s="1"/>
  <c r="DR128" i="2"/>
  <c r="DR126" i="2"/>
  <c r="DR108" i="2"/>
  <c r="DE81" i="4" l="1"/>
  <c r="DE82" i="4" s="1"/>
  <c r="DQ103" i="2"/>
  <c r="DS117" i="2"/>
  <c r="DS118" i="2"/>
  <c r="DS119" i="2"/>
  <c r="DQ134" i="2"/>
  <c r="JA196" i="2" s="1"/>
  <c r="DR121" i="2"/>
  <c r="DR124" i="2" s="1"/>
  <c r="DF85" i="4"/>
  <c r="DR106" i="2"/>
  <c r="DR130" i="2"/>
  <c r="DQ143" i="2" l="1"/>
  <c r="DF78" i="4"/>
  <c r="DR104" i="2"/>
  <c r="DS116" i="2"/>
  <c r="DS120" i="2" s="1"/>
  <c r="TR120" i="2"/>
  <c r="DS109" i="2" s="1"/>
  <c r="DR131" i="2"/>
  <c r="DR133" i="2" s="1"/>
  <c r="DF79" i="4"/>
  <c r="DS113" i="2" l="1"/>
  <c r="DF80" i="4"/>
  <c r="DS142" i="2"/>
  <c r="DG91" i="4" s="1"/>
  <c r="DS138" i="2"/>
  <c r="DG87" i="4" s="1"/>
  <c r="DS128" i="2"/>
  <c r="DS144" i="2"/>
  <c r="DG93" i="4" s="1"/>
  <c r="DS129" i="2"/>
  <c r="DS141" i="2"/>
  <c r="DG90" i="4" s="1"/>
  <c r="DS140" i="2"/>
  <c r="DG89" i="4" s="1"/>
  <c r="DS123" i="2"/>
  <c r="DS145" i="2"/>
  <c r="DG94" i="4" s="1"/>
  <c r="DS139" i="2"/>
  <c r="DG88" i="4" s="1"/>
  <c r="DS150" i="2"/>
  <c r="DS152" i="2" s="1"/>
  <c r="DG99" i="4" s="1"/>
  <c r="DS127" i="2"/>
  <c r="DS136" i="2"/>
  <c r="DS112" i="2"/>
  <c r="DS122" i="2"/>
  <c r="DS137" i="2"/>
  <c r="DG86" i="4" s="1"/>
  <c r="DS126" i="2"/>
  <c r="DS108" i="2"/>
  <c r="DE92" i="4"/>
  <c r="DE95" i="4" s="1"/>
  <c r="DE97" i="4" s="1"/>
  <c r="DE101" i="4" s="1"/>
  <c r="DE109" i="4" s="1"/>
  <c r="DQ146" i="2"/>
  <c r="DR132" i="2"/>
  <c r="DR134" i="2" l="1"/>
  <c r="DG85" i="4"/>
  <c r="DS121" i="2"/>
  <c r="DS124" i="2" s="1"/>
  <c r="DF81" i="4"/>
  <c r="DF82" i="4" s="1"/>
  <c r="DR103" i="2"/>
  <c r="DS106" i="2"/>
  <c r="DS130" i="2"/>
  <c r="DQ105" i="2"/>
  <c r="DQ148" i="2"/>
  <c r="DQ153" i="2" s="1"/>
  <c r="DQ221" i="2" s="1"/>
  <c r="DT119" i="2"/>
  <c r="DT118" i="2"/>
  <c r="DT117" i="2"/>
  <c r="DR143" i="2" l="1"/>
  <c r="DF92" i="4" s="1"/>
  <c r="DF95" i="4" s="1"/>
  <c r="DF97" i="4" s="1"/>
  <c r="DF101" i="4" s="1"/>
  <c r="DF109" i="4" s="1"/>
  <c r="JB196" i="2"/>
  <c r="DS104" i="2"/>
  <c r="DG78" i="4"/>
  <c r="DG79" i="4"/>
  <c r="DS131" i="2"/>
  <c r="DS133" i="2" s="1"/>
  <c r="DR146" i="2"/>
  <c r="DT116" i="2"/>
  <c r="DT120" i="2" s="1"/>
  <c r="TS120" i="2"/>
  <c r="DT109" i="2" s="1"/>
  <c r="DT113" i="2" l="1"/>
  <c r="DS132" i="2"/>
  <c r="DT129" i="2"/>
  <c r="DT137" i="2"/>
  <c r="DH86" i="4" s="1"/>
  <c r="DT138" i="2"/>
  <c r="DH87" i="4" s="1"/>
  <c r="DT122" i="2"/>
  <c r="DT145" i="2"/>
  <c r="DH94" i="4" s="1"/>
  <c r="DT140" i="2"/>
  <c r="DH89" i="4" s="1"/>
  <c r="DT136" i="2"/>
  <c r="DT144" i="2"/>
  <c r="DH93" i="4" s="1"/>
  <c r="DT142" i="2"/>
  <c r="DH91" i="4" s="1"/>
  <c r="DT112" i="2"/>
  <c r="DT127" i="2"/>
  <c r="DT141" i="2"/>
  <c r="DH90" i="4" s="1"/>
  <c r="DT150" i="2"/>
  <c r="DT152" i="2" s="1"/>
  <c r="DH99" i="4" s="1"/>
  <c r="DT128" i="2"/>
  <c r="DT139" i="2"/>
  <c r="DH88" i="4" s="1"/>
  <c r="DT123" i="2"/>
  <c r="DT126" i="2"/>
  <c r="DT108" i="2"/>
  <c r="DG80" i="4"/>
  <c r="DR105" i="2"/>
  <c r="DR148" i="2"/>
  <c r="DR153" i="2" s="1"/>
  <c r="DR221" i="2" s="1"/>
  <c r="DT106" i="2" l="1"/>
  <c r="DT130" i="2"/>
  <c r="DT121" i="2"/>
  <c r="DT124" i="2" s="1"/>
  <c r="DG81" i="4"/>
  <c r="DG82" i="4" s="1"/>
  <c r="DS103" i="2"/>
  <c r="DH85" i="4"/>
  <c r="DU119" i="2"/>
  <c r="DU118" i="2"/>
  <c r="DU117" i="2"/>
  <c r="DS134" i="2"/>
  <c r="JC196" i="2" s="1"/>
  <c r="DH78" i="4" l="1"/>
  <c r="DT104" i="2"/>
  <c r="DS143" i="2"/>
  <c r="DT131" i="2"/>
  <c r="DT133" i="2" s="1"/>
  <c r="DH79" i="4"/>
  <c r="DU116" i="2"/>
  <c r="DU120" i="2" s="1"/>
  <c r="TT120" i="2"/>
  <c r="DU109" i="2" s="1"/>
  <c r="DU113" i="2" l="1"/>
  <c r="DT132" i="2"/>
  <c r="DG92" i="4"/>
  <c r="DG95" i="4" s="1"/>
  <c r="DG97" i="4" s="1"/>
  <c r="DG101" i="4" s="1"/>
  <c r="DG109" i="4" s="1"/>
  <c r="DS146" i="2"/>
  <c r="DU140" i="2"/>
  <c r="DI89" i="4" s="1"/>
  <c r="DU141" i="2"/>
  <c r="DI90" i="4" s="1"/>
  <c r="DU142" i="2"/>
  <c r="DI91" i="4" s="1"/>
  <c r="DU127" i="2"/>
  <c r="DU144" i="2"/>
  <c r="DI93" i="4" s="1"/>
  <c r="DU122" i="2"/>
  <c r="DU123" i="2"/>
  <c r="DU139" i="2"/>
  <c r="DI88" i="4" s="1"/>
  <c r="DU128" i="2"/>
  <c r="DU137" i="2"/>
  <c r="DI86" i="4" s="1"/>
  <c r="DU145" i="2"/>
  <c r="DI94" i="4" s="1"/>
  <c r="DU129" i="2"/>
  <c r="DU150" i="2"/>
  <c r="DU152" i="2" s="1"/>
  <c r="DI99" i="4" s="1"/>
  <c r="DU112" i="2"/>
  <c r="DU136" i="2"/>
  <c r="DU138" i="2"/>
  <c r="DI87" i="4" s="1"/>
  <c r="DU126" i="2"/>
  <c r="DU108" i="2"/>
  <c r="DH80" i="4"/>
  <c r="DU106" i="2" l="1"/>
  <c r="DU130" i="2"/>
  <c r="DV117" i="2"/>
  <c r="DV119" i="2"/>
  <c r="DV118" i="2"/>
  <c r="DS105" i="2"/>
  <c r="DS148" i="2"/>
  <c r="DS153" i="2" s="1"/>
  <c r="DS221" i="2" s="1"/>
  <c r="DH81" i="4"/>
  <c r="DH82" i="4" s="1"/>
  <c r="DT103" i="2"/>
  <c r="DI85" i="4"/>
  <c r="DU121" i="2"/>
  <c r="DU124" i="2" s="1"/>
  <c r="DT134" i="2"/>
  <c r="JD196" i="2" s="1"/>
  <c r="DV116" i="2" l="1"/>
  <c r="DV120" i="2" s="1"/>
  <c r="TU120" i="2"/>
  <c r="DV109" i="2" s="1"/>
  <c r="DT143" i="2"/>
  <c r="DU104" i="2"/>
  <c r="DI78" i="4"/>
  <c r="DI79" i="4"/>
  <c r="DU131" i="2"/>
  <c r="DU133" i="2" s="1"/>
  <c r="DV113" i="2" l="1"/>
  <c r="DI80" i="4"/>
  <c r="DH92" i="4"/>
  <c r="DH95" i="4" s="1"/>
  <c r="DH97" i="4" s="1"/>
  <c r="DH101" i="4" s="1"/>
  <c r="DH109" i="4" s="1"/>
  <c r="DT146" i="2"/>
  <c r="DV150" i="2"/>
  <c r="DV152" i="2" s="1"/>
  <c r="DJ99" i="4" s="1"/>
  <c r="DV140" i="2"/>
  <c r="DJ89" i="4" s="1"/>
  <c r="DV137" i="2"/>
  <c r="DJ86" i="4" s="1"/>
  <c r="DV141" i="2"/>
  <c r="DJ90" i="4" s="1"/>
  <c r="DV138" i="2"/>
  <c r="DJ87" i="4" s="1"/>
  <c r="DV136" i="2"/>
  <c r="DV128" i="2"/>
  <c r="DV129" i="2"/>
  <c r="DV139" i="2"/>
  <c r="DJ88" i="4" s="1"/>
  <c r="DV144" i="2"/>
  <c r="DJ93" i="4" s="1"/>
  <c r="DV127" i="2"/>
  <c r="DV112" i="2"/>
  <c r="DV123" i="2"/>
  <c r="DV145" i="2"/>
  <c r="DJ94" i="4" s="1"/>
  <c r="DV142" i="2"/>
  <c r="DJ91" i="4" s="1"/>
  <c r="DV122" i="2"/>
  <c r="DV126" i="2"/>
  <c r="DV108" i="2"/>
  <c r="DU132" i="2"/>
  <c r="DV121" i="2" l="1"/>
  <c r="DV124" i="2" s="1"/>
  <c r="DI81" i="4"/>
  <c r="DI82" i="4" s="1"/>
  <c r="DU103" i="2"/>
  <c r="DJ85" i="4"/>
  <c r="DT105" i="2"/>
  <c r="DT148" i="2"/>
  <c r="DT153" i="2" s="1"/>
  <c r="DT221" i="2" s="1"/>
  <c r="DV106" i="2"/>
  <c r="DV130" i="2"/>
  <c r="DU134" i="2"/>
  <c r="JE196" i="2" s="1"/>
  <c r="DW119" i="2"/>
  <c r="DW118" i="2"/>
  <c r="DW117" i="2"/>
  <c r="DW116" i="2" l="1"/>
  <c r="DW120" i="2" s="1"/>
  <c r="TV120" i="2"/>
  <c r="DW109" i="2" s="1"/>
  <c r="DU143" i="2"/>
  <c r="DV131" i="2"/>
  <c r="DV133" i="2" s="1"/>
  <c r="DJ79" i="4"/>
  <c r="DJ78" i="4"/>
  <c r="DV104" i="2"/>
  <c r="DW113" i="2" l="1"/>
  <c r="DJ80" i="4"/>
  <c r="DV132" i="2"/>
  <c r="DI92" i="4"/>
  <c r="DI95" i="4" s="1"/>
  <c r="DI97" i="4" s="1"/>
  <c r="DI101" i="4" s="1"/>
  <c r="DI109" i="4" s="1"/>
  <c r="DU146" i="2"/>
  <c r="DW137" i="2"/>
  <c r="DK86" i="4" s="1"/>
  <c r="DW112" i="2"/>
  <c r="DW138" i="2"/>
  <c r="DK87" i="4" s="1"/>
  <c r="DW141" i="2"/>
  <c r="DK90" i="4" s="1"/>
  <c r="DW127" i="2"/>
  <c r="DW122" i="2"/>
  <c r="DW150" i="2"/>
  <c r="DW152" i="2" s="1"/>
  <c r="DK99" i="4" s="1"/>
  <c r="DW140" i="2"/>
  <c r="DK89" i="4" s="1"/>
  <c r="DW145" i="2"/>
  <c r="DK94" i="4" s="1"/>
  <c r="DW144" i="2"/>
  <c r="DK93" i="4" s="1"/>
  <c r="DW123" i="2"/>
  <c r="DW139" i="2"/>
  <c r="DK88" i="4" s="1"/>
  <c r="DW128" i="2"/>
  <c r="DW142" i="2"/>
  <c r="DK91" i="4" s="1"/>
  <c r="DW136" i="2"/>
  <c r="DW129" i="2"/>
  <c r="DW126" i="2"/>
  <c r="DW108" i="2"/>
  <c r="DK85" i="4" l="1"/>
  <c r="DU105" i="2"/>
  <c r="DU148" i="2"/>
  <c r="DU153" i="2" s="1"/>
  <c r="DU221" i="2" s="1"/>
  <c r="DW106" i="2"/>
  <c r="DW130" i="2"/>
  <c r="DJ81" i="4"/>
  <c r="DJ82" i="4" s="1"/>
  <c r="DV103" i="2"/>
  <c r="DX117" i="2"/>
  <c r="DX119" i="2"/>
  <c r="DX118" i="2"/>
  <c r="DW121" i="2"/>
  <c r="DW124" i="2" s="1"/>
  <c r="DV134" i="2"/>
  <c r="JF196" i="2" s="1"/>
  <c r="DK78" i="4" l="1"/>
  <c r="DW104" i="2"/>
  <c r="DK79" i="4"/>
  <c r="DW131" i="2"/>
  <c r="DW133" i="2" s="1"/>
  <c r="DX116" i="2"/>
  <c r="DX120" i="2" s="1"/>
  <c r="TW120" i="2"/>
  <c r="DX109" i="2" s="1"/>
  <c r="DV143" i="2"/>
  <c r="DX113" i="2" l="1"/>
  <c r="DW132" i="2"/>
  <c r="DJ92" i="4"/>
  <c r="DJ95" i="4" s="1"/>
  <c r="DJ97" i="4" s="1"/>
  <c r="DJ101" i="4" s="1"/>
  <c r="DJ109" i="4" s="1"/>
  <c r="DV146" i="2"/>
  <c r="DX142" i="2"/>
  <c r="DL91" i="4" s="1"/>
  <c r="DX144" i="2"/>
  <c r="DL93" i="4" s="1"/>
  <c r="DX136" i="2"/>
  <c r="DX150" i="2"/>
  <c r="DX152" i="2" s="1"/>
  <c r="DL99" i="4" s="1"/>
  <c r="DX145" i="2"/>
  <c r="DL94" i="4" s="1"/>
  <c r="DX138" i="2"/>
  <c r="DL87" i="4" s="1"/>
  <c r="DX127" i="2"/>
  <c r="DX122" i="2"/>
  <c r="DX137" i="2"/>
  <c r="DL86" i="4" s="1"/>
  <c r="DX140" i="2"/>
  <c r="DL89" i="4" s="1"/>
  <c r="DX129" i="2"/>
  <c r="DX141" i="2"/>
  <c r="DL90" i="4" s="1"/>
  <c r="DX112" i="2"/>
  <c r="DX123" i="2"/>
  <c r="DX139" i="2"/>
  <c r="DL88" i="4" s="1"/>
  <c r="DX128" i="2"/>
  <c r="DX126" i="2"/>
  <c r="DX108" i="2"/>
  <c r="DK80" i="4"/>
  <c r="DV105" i="2" l="1"/>
  <c r="DV148" i="2"/>
  <c r="DV153" i="2" s="1"/>
  <c r="DV221" i="2" s="1"/>
  <c r="DK81" i="4"/>
  <c r="DK82" i="4" s="1"/>
  <c r="DW103" i="2"/>
  <c r="DW134" i="2"/>
  <c r="JG196" i="2" s="1"/>
  <c r="DY119" i="2"/>
  <c r="DY118" i="2"/>
  <c r="DY117" i="2"/>
  <c r="DX121" i="2"/>
  <c r="DX124" i="2" s="1"/>
  <c r="DX106" i="2"/>
  <c r="DX130" i="2"/>
  <c r="DL85" i="4"/>
  <c r="DW143" i="2" l="1"/>
  <c r="DX131" i="2"/>
  <c r="DX133" i="2" s="1"/>
  <c r="DL79" i="4"/>
  <c r="DL78" i="4"/>
  <c r="DX104" i="2"/>
  <c r="DY116" i="2"/>
  <c r="DY120" i="2" s="1"/>
  <c r="TX120" i="2"/>
  <c r="DY109" i="2" s="1"/>
  <c r="DY113" i="2" l="1"/>
  <c r="DL80" i="4"/>
  <c r="DX132" i="2"/>
  <c r="DY138" i="2"/>
  <c r="DM87" i="4" s="1"/>
  <c r="DY144" i="2"/>
  <c r="DM93" i="4" s="1"/>
  <c r="DY137" i="2"/>
  <c r="DM86" i="4" s="1"/>
  <c r="DY112" i="2"/>
  <c r="DY141" i="2"/>
  <c r="DM90" i="4" s="1"/>
  <c r="DY127" i="2"/>
  <c r="DY136" i="2"/>
  <c r="DY140" i="2"/>
  <c r="DM89" i="4" s="1"/>
  <c r="DY129" i="2"/>
  <c r="DY139" i="2"/>
  <c r="DM88" i="4" s="1"/>
  <c r="DY145" i="2"/>
  <c r="DM94" i="4" s="1"/>
  <c r="DY142" i="2"/>
  <c r="DM91" i="4" s="1"/>
  <c r="DY150" i="2"/>
  <c r="DY152" i="2" s="1"/>
  <c r="DM99" i="4" s="1"/>
  <c r="DY128" i="2"/>
  <c r="DY123" i="2"/>
  <c r="DY122" i="2"/>
  <c r="DY126" i="2"/>
  <c r="DY108" i="2"/>
  <c r="DK92" i="4"/>
  <c r="DK95" i="4" s="1"/>
  <c r="DK97" i="4" s="1"/>
  <c r="DK101" i="4" s="1"/>
  <c r="DK109" i="4" s="1"/>
  <c r="DW146" i="2"/>
  <c r="DY121" i="2" l="1"/>
  <c r="DY124" i="2" s="1"/>
  <c r="DY106" i="2"/>
  <c r="DY130" i="2"/>
  <c r="DL81" i="4"/>
  <c r="DX103" i="2"/>
  <c r="DM85" i="4"/>
  <c r="DW105" i="2"/>
  <c r="DW148" i="2"/>
  <c r="DW153" i="2" s="1"/>
  <c r="DW221" i="2" s="1"/>
  <c r="DX134" i="2"/>
  <c r="JH196" i="2" s="1"/>
  <c r="DZ118" i="2"/>
  <c r="DZ119" i="2"/>
  <c r="DZ117" i="2"/>
  <c r="DL82" i="4" l="1"/>
  <c r="DZ116" i="2"/>
  <c r="DZ120" i="2" s="1"/>
  <c r="TY120" i="2"/>
  <c r="DZ109" i="2" s="1"/>
  <c r="DM79" i="4"/>
  <c r="DY131" i="2"/>
  <c r="DY133" i="2" s="1"/>
  <c r="DX143" i="2"/>
  <c r="DM78" i="4"/>
  <c r="DY104" i="2"/>
  <c r="DZ113" i="2" l="1"/>
  <c r="DM80" i="4"/>
  <c r="DY132" i="2"/>
  <c r="DZ142" i="2"/>
  <c r="DN91" i="4" s="1"/>
  <c r="DZ137" i="2"/>
  <c r="DN86" i="4" s="1"/>
  <c r="DZ141" i="2"/>
  <c r="DN90" i="4" s="1"/>
  <c r="DZ112" i="2"/>
  <c r="DZ138" i="2"/>
  <c r="DN87" i="4" s="1"/>
  <c r="DZ139" i="2"/>
  <c r="DN88" i="4" s="1"/>
  <c r="DZ150" i="2"/>
  <c r="DZ152" i="2" s="1"/>
  <c r="DN99" i="4" s="1"/>
  <c r="DZ144" i="2"/>
  <c r="DN93" i="4" s="1"/>
  <c r="DZ140" i="2"/>
  <c r="DN89" i="4" s="1"/>
  <c r="DZ145" i="2"/>
  <c r="DN94" i="4" s="1"/>
  <c r="DZ128" i="2"/>
  <c r="DZ136" i="2"/>
  <c r="DZ122" i="2"/>
  <c r="DZ129" i="2"/>
  <c r="DZ127" i="2"/>
  <c r="DZ123" i="2"/>
  <c r="DZ126" i="2"/>
  <c r="DZ108" i="2"/>
  <c r="DL92" i="4"/>
  <c r="DX146" i="2"/>
  <c r="DL95" i="4" l="1"/>
  <c r="DL97" i="4" s="1"/>
  <c r="DL101" i="4" s="1"/>
  <c r="DL109" i="4" s="1"/>
  <c r="DZ106" i="2"/>
  <c r="DZ130" i="2"/>
  <c r="DN85" i="4"/>
  <c r="DX105" i="2"/>
  <c r="DX148" i="2"/>
  <c r="DX153" i="2" s="1"/>
  <c r="DX221" i="2" s="1"/>
  <c r="DM81" i="4"/>
  <c r="DY103" i="2"/>
  <c r="DZ121" i="2"/>
  <c r="DZ124" i="2" s="1"/>
  <c r="EA119" i="2"/>
  <c r="EA118" i="2"/>
  <c r="EA117" i="2"/>
  <c r="DY134" i="2"/>
  <c r="JI196" i="2" s="1"/>
  <c r="DM82" i="4" l="1"/>
  <c r="EA116" i="2"/>
  <c r="EA120" i="2" s="1"/>
  <c r="TZ120" i="2"/>
  <c r="EA109" i="2" s="1"/>
  <c r="DY143" i="2"/>
  <c r="DZ104" i="2"/>
  <c r="DN78" i="4"/>
  <c r="DZ131" i="2"/>
  <c r="DZ133" i="2" s="1"/>
  <c r="DN79" i="4"/>
  <c r="EA113" i="2" l="1"/>
  <c r="DM92" i="4"/>
  <c r="DY146" i="2"/>
  <c r="EA144" i="2"/>
  <c r="DO93" i="4" s="1"/>
  <c r="EA140" i="2"/>
  <c r="DO89" i="4" s="1"/>
  <c r="EA145" i="2"/>
  <c r="DO94" i="4" s="1"/>
  <c r="EA122" i="2"/>
  <c r="EA142" i="2"/>
  <c r="DO91" i="4" s="1"/>
  <c r="EA150" i="2"/>
  <c r="EA152" i="2" s="1"/>
  <c r="DO99" i="4" s="1"/>
  <c r="EA139" i="2"/>
  <c r="DO88" i="4" s="1"/>
  <c r="EA141" i="2"/>
  <c r="DO90" i="4" s="1"/>
  <c r="EA128" i="2"/>
  <c r="EA112" i="2"/>
  <c r="EA137" i="2"/>
  <c r="DO86" i="4" s="1"/>
  <c r="EA136" i="2"/>
  <c r="EA138" i="2"/>
  <c r="DO87" i="4" s="1"/>
  <c r="EA127" i="2"/>
  <c r="EA123" i="2"/>
  <c r="EA129" i="2"/>
  <c r="EA126" i="2"/>
  <c r="EA108" i="2"/>
  <c r="DZ132" i="2"/>
  <c r="DN80" i="4"/>
  <c r="DM95" i="4" l="1"/>
  <c r="DM97" i="4" s="1"/>
  <c r="DM101" i="4" s="1"/>
  <c r="DM109" i="4" s="1"/>
  <c r="DZ134" i="2"/>
  <c r="DO85" i="4"/>
  <c r="EB117" i="2"/>
  <c r="EB118" i="2"/>
  <c r="EB119" i="2"/>
  <c r="EA121" i="2"/>
  <c r="EA124" i="2" s="1"/>
  <c r="EA106" i="2"/>
  <c r="EA130" i="2"/>
  <c r="DY105" i="2"/>
  <c r="DY148" i="2"/>
  <c r="DY153" i="2" s="1"/>
  <c r="DY221" i="2" s="1"/>
  <c r="DN81" i="4"/>
  <c r="DZ103" i="2"/>
  <c r="DZ143" i="2" l="1"/>
  <c r="DN92" i="4" s="1"/>
  <c r="JJ196" i="2"/>
  <c r="DN82" i="4"/>
  <c r="DO79" i="4"/>
  <c r="EA131" i="2"/>
  <c r="EA133" i="2" s="1"/>
  <c r="DO78" i="4"/>
  <c r="EA104" i="2"/>
  <c r="DZ146" i="2"/>
  <c r="EB116" i="2"/>
  <c r="EB120" i="2" s="1"/>
  <c r="UA120" i="2"/>
  <c r="EB109" i="2" s="1"/>
  <c r="EB113" i="2" l="1"/>
  <c r="DN95" i="4"/>
  <c r="DN97" i="4" s="1"/>
  <c r="DN101" i="4" s="1"/>
  <c r="DN109" i="4" s="1"/>
  <c r="DO80" i="4"/>
  <c r="EA132" i="2"/>
  <c r="EB140" i="2"/>
  <c r="DP89" i="4" s="1"/>
  <c r="EB144" i="2"/>
  <c r="DP93" i="4" s="1"/>
  <c r="EB138" i="2"/>
  <c r="DP87" i="4" s="1"/>
  <c r="EB139" i="2"/>
  <c r="DP88" i="4" s="1"/>
  <c r="EB122" i="2"/>
  <c r="EB137" i="2"/>
  <c r="DP86" i="4" s="1"/>
  <c r="EB141" i="2"/>
  <c r="DP90" i="4" s="1"/>
  <c r="EB142" i="2"/>
  <c r="DP91" i="4" s="1"/>
  <c r="EB150" i="2"/>
  <c r="EB152" i="2" s="1"/>
  <c r="DP99" i="4" s="1"/>
  <c r="EB128" i="2"/>
  <c r="EB145" i="2"/>
  <c r="DP94" i="4" s="1"/>
  <c r="EB123" i="2"/>
  <c r="EB129" i="2"/>
  <c r="EB136" i="2"/>
  <c r="EB127" i="2"/>
  <c r="EB112" i="2"/>
  <c r="EB126" i="2"/>
  <c r="EB108" i="2"/>
  <c r="DZ105" i="2"/>
  <c r="DZ148" i="2"/>
  <c r="DZ153" i="2" s="1"/>
  <c r="DZ221" i="2" s="1"/>
  <c r="EB106" i="2" l="1"/>
  <c r="EB130" i="2"/>
  <c r="DP85" i="4"/>
  <c r="DO81" i="4"/>
  <c r="EA103" i="2"/>
  <c r="EC119" i="2"/>
  <c r="EC118" i="2"/>
  <c r="EC117" i="2"/>
  <c r="EB121" i="2"/>
  <c r="EB124" i="2" s="1"/>
  <c r="EA134" i="2"/>
  <c r="JK196" i="2" s="1"/>
  <c r="DO82" i="4" l="1"/>
  <c r="EA143" i="2"/>
  <c r="DP78" i="4"/>
  <c r="EB104" i="2"/>
  <c r="EC116" i="2"/>
  <c r="EC120" i="2" s="1"/>
  <c r="UB120" i="2"/>
  <c r="EC109" i="2" s="1"/>
  <c r="EB131" i="2"/>
  <c r="EB133" i="2" s="1"/>
  <c r="DP79" i="4"/>
  <c r="EC113" i="2" l="1"/>
  <c r="DP80" i="4"/>
  <c r="EC112" i="2"/>
  <c r="EC137" i="2"/>
  <c r="DQ86" i="4" s="1"/>
  <c r="EC139" i="2"/>
  <c r="DQ88" i="4" s="1"/>
  <c r="EC122" i="2"/>
  <c r="EC138" i="2"/>
  <c r="DQ87" i="4" s="1"/>
  <c r="EC128" i="2"/>
  <c r="EC141" i="2"/>
  <c r="DQ90" i="4" s="1"/>
  <c r="EC140" i="2"/>
  <c r="DQ89" i="4" s="1"/>
  <c r="EC142" i="2"/>
  <c r="DQ91" i="4" s="1"/>
  <c r="EC127" i="2"/>
  <c r="EC145" i="2"/>
  <c r="DQ94" i="4" s="1"/>
  <c r="EC123" i="2"/>
  <c r="EC136" i="2"/>
  <c r="EC150" i="2"/>
  <c r="EC152" i="2" s="1"/>
  <c r="DQ99" i="4" s="1"/>
  <c r="EC144" i="2"/>
  <c r="DQ93" i="4" s="1"/>
  <c r="EC129" i="2"/>
  <c r="EC126" i="2"/>
  <c r="EC108" i="2"/>
  <c r="DO92" i="4"/>
  <c r="EA146" i="2"/>
  <c r="EB132" i="2"/>
  <c r="DO95" i="4" l="1"/>
  <c r="DO97" i="4" s="1"/>
  <c r="DO101" i="4" s="1"/>
  <c r="DO109" i="4" s="1"/>
  <c r="DQ85" i="4"/>
  <c r="DP81" i="4"/>
  <c r="EB103" i="2"/>
  <c r="EC106" i="2"/>
  <c r="EC130" i="2"/>
  <c r="EA105" i="2"/>
  <c r="EA148" i="2"/>
  <c r="EA153" i="2" s="1"/>
  <c r="EA221" i="2" s="1"/>
  <c r="EC121" i="2"/>
  <c r="EC124" i="2" s="1"/>
  <c r="EB134" i="2"/>
  <c r="JL196" i="2" s="1"/>
  <c r="ED118" i="2"/>
  <c r="ED119" i="2"/>
  <c r="ED117" i="2"/>
  <c r="DP82" i="4" l="1"/>
  <c r="ED116" i="2"/>
  <c r="ED120" i="2" s="1"/>
  <c r="UC120" i="2"/>
  <c r="ED109" i="2" s="1"/>
  <c r="EC104" i="2"/>
  <c r="DQ78" i="4"/>
  <c r="DQ79" i="4"/>
  <c r="EC131" i="2"/>
  <c r="EC133" i="2" s="1"/>
  <c r="EB143" i="2"/>
  <c r="ED113" i="2" l="1"/>
  <c r="ED145" i="2"/>
  <c r="DR94" i="4" s="1"/>
  <c r="ED122" i="2"/>
  <c r="ED144" i="2"/>
  <c r="DR93" i="4" s="1"/>
  <c r="ED150" i="2"/>
  <c r="ED152" i="2" s="1"/>
  <c r="DR99" i="4" s="1"/>
  <c r="ED137" i="2"/>
  <c r="DR86" i="4" s="1"/>
  <c r="ED123" i="2"/>
  <c r="ED112" i="2"/>
  <c r="ED139" i="2"/>
  <c r="DR88" i="4" s="1"/>
  <c r="ED127" i="2"/>
  <c r="ED142" i="2"/>
  <c r="DR91" i="4" s="1"/>
  <c r="ED129" i="2"/>
  <c r="ED128" i="2"/>
  <c r="ED140" i="2"/>
  <c r="DR89" i="4" s="1"/>
  <c r="ED136" i="2"/>
  <c r="ED138" i="2"/>
  <c r="DR87" i="4" s="1"/>
  <c r="ED141" i="2"/>
  <c r="DR90" i="4" s="1"/>
  <c r="ED126" i="2"/>
  <c r="ED108" i="2"/>
  <c r="DP92" i="4"/>
  <c r="EB146" i="2"/>
  <c r="EC132" i="2"/>
  <c r="DQ80" i="4"/>
  <c r="DP95" i="4" l="1"/>
  <c r="DP97" i="4" s="1"/>
  <c r="DP101" i="4" s="1"/>
  <c r="DP109" i="4" s="1"/>
  <c r="EC134" i="2"/>
  <c r="EE119" i="2"/>
  <c r="EE117" i="2"/>
  <c r="EE118" i="2"/>
  <c r="DR85" i="4"/>
  <c r="EB105" i="2"/>
  <c r="EB148" i="2"/>
  <c r="EB153" i="2" s="1"/>
  <c r="EB221" i="2" s="1"/>
  <c r="ED121" i="2"/>
  <c r="ED124" i="2" s="1"/>
  <c r="ED106" i="2"/>
  <c r="ED130" i="2"/>
  <c r="DQ81" i="4"/>
  <c r="DQ82" i="4" s="1"/>
  <c r="EC103" i="2"/>
  <c r="EC143" i="2" l="1"/>
  <c r="JM196" i="2"/>
  <c r="EE116" i="2"/>
  <c r="EE120" i="2" s="1"/>
  <c r="UD120" i="2"/>
  <c r="EE109" i="2" s="1"/>
  <c r="DR78" i="4"/>
  <c r="ED104" i="2"/>
  <c r="ED131" i="2"/>
  <c r="ED133" i="2" s="1"/>
  <c r="DR79" i="4"/>
  <c r="DQ92" i="4"/>
  <c r="DQ95" i="4" s="1"/>
  <c r="DQ97" i="4" s="1"/>
  <c r="DQ101" i="4" s="1"/>
  <c r="DQ109" i="4" s="1"/>
  <c r="EC146" i="2"/>
  <c r="EE113" i="2" l="1"/>
  <c r="DR80" i="4"/>
  <c r="EE138" i="2"/>
  <c r="DS87" i="4" s="1"/>
  <c r="EE112" i="2"/>
  <c r="EE139" i="2"/>
  <c r="DS88" i="4" s="1"/>
  <c r="EE136" i="2"/>
  <c r="EE137" i="2"/>
  <c r="DS86" i="4" s="1"/>
  <c r="EE145" i="2"/>
  <c r="DS94" i="4" s="1"/>
  <c r="EE142" i="2"/>
  <c r="DS91" i="4" s="1"/>
  <c r="EE150" i="2"/>
  <c r="EE152" i="2" s="1"/>
  <c r="DS99" i="4" s="1"/>
  <c r="EE128" i="2"/>
  <c r="EE141" i="2"/>
  <c r="DS90" i="4" s="1"/>
  <c r="EE129" i="2"/>
  <c r="EE122" i="2"/>
  <c r="EE140" i="2"/>
  <c r="DS89" i="4" s="1"/>
  <c r="EE127" i="2"/>
  <c r="EE144" i="2"/>
  <c r="DS93" i="4" s="1"/>
  <c r="EE123" i="2"/>
  <c r="EE126" i="2"/>
  <c r="EE108" i="2"/>
  <c r="ED132" i="2"/>
  <c r="EC105" i="2"/>
  <c r="EC148" i="2"/>
  <c r="EC153" i="2" s="1"/>
  <c r="EC221" i="2" s="1"/>
  <c r="ED134" i="2" l="1"/>
  <c r="DS85" i="4"/>
  <c r="EE106" i="2"/>
  <c r="EE130" i="2"/>
  <c r="EF119" i="2"/>
  <c r="EF118" i="2"/>
  <c r="EF117" i="2"/>
  <c r="EE121" i="2"/>
  <c r="EE124" i="2" s="1"/>
  <c r="DR81" i="4"/>
  <c r="DR82" i="4" s="1"/>
  <c r="ED103" i="2"/>
  <c r="ED143" i="2" l="1"/>
  <c r="JN196" i="2"/>
  <c r="DS79" i="4"/>
  <c r="EE131" i="2"/>
  <c r="EE133" i="2" s="1"/>
  <c r="DS78" i="4"/>
  <c r="EE104" i="2"/>
  <c r="EF116" i="2"/>
  <c r="EF120" i="2" s="1"/>
  <c r="UE120" i="2"/>
  <c r="EF109" i="2" s="1"/>
  <c r="DR92" i="4"/>
  <c r="DR95" i="4" s="1"/>
  <c r="DR97" i="4" s="1"/>
  <c r="DR101" i="4" s="1"/>
  <c r="DR109" i="4" s="1"/>
  <c r="ED146" i="2"/>
  <c r="EF113" i="2" l="1"/>
  <c r="DS80" i="4"/>
  <c r="EF137" i="2"/>
  <c r="DT86" i="4" s="1"/>
  <c r="EF122" i="2"/>
  <c r="EF150" i="2"/>
  <c r="EF152" i="2" s="1"/>
  <c r="DT99" i="4" s="1"/>
  <c r="EF144" i="2"/>
  <c r="DT93" i="4" s="1"/>
  <c r="EF112" i="2"/>
  <c r="EF138" i="2"/>
  <c r="DT87" i="4" s="1"/>
  <c r="EF129" i="2"/>
  <c r="EF142" i="2"/>
  <c r="DT91" i="4" s="1"/>
  <c r="EF123" i="2"/>
  <c r="EF127" i="2"/>
  <c r="EF140" i="2"/>
  <c r="DT89" i="4" s="1"/>
  <c r="EF136" i="2"/>
  <c r="EF145" i="2"/>
  <c r="DT94" i="4" s="1"/>
  <c r="EF139" i="2"/>
  <c r="DT88" i="4" s="1"/>
  <c r="EF141" i="2"/>
  <c r="DT90" i="4" s="1"/>
  <c r="EF128" i="2"/>
  <c r="EF126" i="2"/>
  <c r="EF108" i="2"/>
  <c r="EE132" i="2"/>
  <c r="ED105" i="2"/>
  <c r="ED148" i="2"/>
  <c r="ED153" i="2" s="1"/>
  <c r="ED221" i="2" s="1"/>
  <c r="EE134" i="2" l="1"/>
  <c r="DT85" i="4"/>
  <c r="EG119" i="2"/>
  <c r="EG117" i="2"/>
  <c r="EG118" i="2"/>
  <c r="EF106" i="2"/>
  <c r="EF130" i="2"/>
  <c r="EF121" i="2"/>
  <c r="EF124" i="2" s="1"/>
  <c r="DS81" i="4"/>
  <c r="DS82" i="4" s="1"/>
  <c r="EE103" i="2"/>
  <c r="EE143" i="2" l="1"/>
  <c r="JO196" i="2"/>
  <c r="EG116" i="2"/>
  <c r="EG120" i="2" s="1"/>
  <c r="UF120" i="2"/>
  <c r="EG109" i="2" s="1"/>
  <c r="EF131" i="2"/>
  <c r="EF133" i="2" s="1"/>
  <c r="DT79" i="4"/>
  <c r="DT78" i="4"/>
  <c r="EF104" i="2"/>
  <c r="DS92" i="4"/>
  <c r="DS95" i="4" s="1"/>
  <c r="DS97" i="4" s="1"/>
  <c r="DS101" i="4" s="1"/>
  <c r="DS109" i="4" s="1"/>
  <c r="EE146" i="2"/>
  <c r="EG113" i="2" l="1"/>
  <c r="DT80" i="4"/>
  <c r="EF132" i="2"/>
  <c r="EG141" i="2"/>
  <c r="DU90" i="4" s="1"/>
  <c r="EG150" i="2"/>
  <c r="EG152" i="2" s="1"/>
  <c r="DU99" i="4" s="1"/>
  <c r="EG140" i="2"/>
  <c r="DU89" i="4" s="1"/>
  <c r="EG112" i="2"/>
  <c r="EG142" i="2"/>
  <c r="DU91" i="4" s="1"/>
  <c r="EG137" i="2"/>
  <c r="DU86" i="4" s="1"/>
  <c r="EG123" i="2"/>
  <c r="EG127" i="2"/>
  <c r="EG144" i="2"/>
  <c r="DU93" i="4" s="1"/>
  <c r="EG122" i="2"/>
  <c r="EG129" i="2"/>
  <c r="EG138" i="2"/>
  <c r="DU87" i="4" s="1"/>
  <c r="EG128" i="2"/>
  <c r="EG145" i="2"/>
  <c r="DU94" i="4" s="1"/>
  <c r="EG136" i="2"/>
  <c r="EG139" i="2"/>
  <c r="DU88" i="4" s="1"/>
  <c r="EG126" i="2"/>
  <c r="EG108" i="2"/>
  <c r="EE105" i="2"/>
  <c r="EE148" i="2"/>
  <c r="EE153" i="2" s="1"/>
  <c r="EE221" i="2" s="1"/>
  <c r="DT81" i="4" l="1"/>
  <c r="DT82" i="4" s="1"/>
  <c r="EF103" i="2"/>
  <c r="EG106" i="2"/>
  <c r="EG130" i="2"/>
  <c r="DU85" i="4"/>
  <c r="EF134" i="2"/>
  <c r="JP196" i="2" s="1"/>
  <c r="EG121" i="2"/>
  <c r="EG124" i="2" s="1"/>
  <c r="EH118" i="2"/>
  <c r="EH117" i="2"/>
  <c r="EH119" i="2"/>
  <c r="DU79" i="4" l="1"/>
  <c r="EG131" i="2"/>
  <c r="EG133" i="2" s="1"/>
  <c r="EG104" i="2"/>
  <c r="DU78" i="4"/>
  <c r="EH116" i="2"/>
  <c r="EH120" i="2" s="1"/>
  <c r="UG120" i="2"/>
  <c r="EH109" i="2" s="1"/>
  <c r="EF143" i="2"/>
  <c r="EH113" i="2" l="1"/>
  <c r="DU80" i="4"/>
  <c r="EH139" i="2"/>
  <c r="DV88" i="4" s="1"/>
  <c r="EH137" i="2"/>
  <c r="DV86" i="4" s="1"/>
  <c r="EH142" i="2"/>
  <c r="DV91" i="4" s="1"/>
  <c r="EH145" i="2"/>
  <c r="DV94" i="4" s="1"/>
  <c r="EH140" i="2"/>
  <c r="DV89" i="4" s="1"/>
  <c r="EH150" i="2"/>
  <c r="EH152" i="2" s="1"/>
  <c r="DV99" i="4" s="1"/>
  <c r="EH127" i="2"/>
  <c r="EH141" i="2"/>
  <c r="DV90" i="4" s="1"/>
  <c r="EH138" i="2"/>
  <c r="DV87" i="4" s="1"/>
  <c r="EH122" i="2"/>
  <c r="EH128" i="2"/>
  <c r="EH129" i="2"/>
  <c r="EH144" i="2"/>
  <c r="DV93" i="4" s="1"/>
  <c r="EH112" i="2"/>
  <c r="EH136" i="2"/>
  <c r="EH123" i="2"/>
  <c r="EH126" i="2"/>
  <c r="EH108" i="2"/>
  <c r="EG132" i="2"/>
  <c r="DT92" i="4"/>
  <c r="DT95" i="4" s="1"/>
  <c r="DT97" i="4" s="1"/>
  <c r="DT101" i="4" s="1"/>
  <c r="DT109" i="4" s="1"/>
  <c r="EF146" i="2"/>
  <c r="DU81" i="4" l="1"/>
  <c r="DU82" i="4" s="1"/>
  <c r="EG103" i="2"/>
  <c r="EH121" i="2"/>
  <c r="EH124" i="2" s="1"/>
  <c r="EH106" i="2"/>
  <c r="EH130" i="2"/>
  <c r="EI117" i="2"/>
  <c r="EI118" i="2"/>
  <c r="EI119" i="2"/>
  <c r="EG134" i="2"/>
  <c r="JQ196" i="2" s="1"/>
  <c r="EF105" i="2"/>
  <c r="EF148" i="2"/>
  <c r="EF153" i="2" s="1"/>
  <c r="EF221" i="2" s="1"/>
  <c r="DV85" i="4"/>
  <c r="EG143" i="2" l="1"/>
  <c r="DV78" i="4"/>
  <c r="EH104" i="2"/>
  <c r="EI116" i="2"/>
  <c r="EI120" i="2" s="1"/>
  <c r="UH120" i="2"/>
  <c r="EI109" i="2" s="1"/>
  <c r="EH131" i="2"/>
  <c r="EH133" i="2" s="1"/>
  <c r="DV79" i="4"/>
  <c r="EI113" i="2" l="1"/>
  <c r="DV80" i="4"/>
  <c r="EI137" i="2"/>
  <c r="EI136" i="2"/>
  <c r="EI141" i="2"/>
  <c r="EI112" i="2"/>
  <c r="EI139" i="2"/>
  <c r="EI144" i="2"/>
  <c r="EI127" i="2"/>
  <c r="EI122" i="2"/>
  <c r="EI150" i="2"/>
  <c r="EI128" i="2"/>
  <c r="EI138" i="2"/>
  <c r="EI123" i="2"/>
  <c r="EI129" i="2"/>
  <c r="EI145" i="2"/>
  <c r="EI140" i="2"/>
  <c r="EI142" i="2"/>
  <c r="EI126" i="2"/>
  <c r="EI108" i="2"/>
  <c r="EH132" i="2"/>
  <c r="DU92" i="4"/>
  <c r="DU95" i="4" s="1"/>
  <c r="DU97" i="4" s="1"/>
  <c r="DU101" i="4" s="1"/>
  <c r="DU109" i="4" s="1"/>
  <c r="EG146" i="2"/>
  <c r="DW94" i="4" l="1"/>
  <c r="DW93" i="4"/>
  <c r="EI152" i="2"/>
  <c r="DW99" i="4" s="1"/>
  <c r="DW88" i="4"/>
  <c r="DW90" i="4"/>
  <c r="DW86" i="4"/>
  <c r="DW87" i="4"/>
  <c r="DW91" i="4"/>
  <c r="DW89" i="4"/>
  <c r="EJ117" i="2"/>
  <c r="EJ119" i="2"/>
  <c r="EJ118" i="2"/>
  <c r="EI121" i="2"/>
  <c r="EI124" i="2" s="1"/>
  <c r="EG105" i="2"/>
  <c r="EG148" i="2"/>
  <c r="EG153" i="2" s="1"/>
  <c r="EG221" i="2" s="1"/>
  <c r="EI106" i="2"/>
  <c r="EI130" i="2"/>
  <c r="DW85" i="4"/>
  <c r="DV81" i="4"/>
  <c r="DV82" i="4" s="1"/>
  <c r="EH103" i="2"/>
  <c r="EH134" i="2"/>
  <c r="JR196" i="2" s="1"/>
  <c r="EJ116" i="2" l="1"/>
  <c r="EJ120" i="2" s="1"/>
  <c r="UI120" i="2"/>
  <c r="EJ109" i="2" s="1"/>
  <c r="DW78" i="4"/>
  <c r="EI104" i="2"/>
  <c r="DW79" i="4"/>
  <c r="EI131" i="2"/>
  <c r="EI133" i="2" s="1"/>
  <c r="EH143" i="2"/>
  <c r="EJ113" i="2" l="1"/>
  <c r="EI132" i="2"/>
  <c r="DW80" i="4"/>
  <c r="EJ140" i="2"/>
  <c r="EJ138" i="2"/>
  <c r="EJ142" i="2"/>
  <c r="EJ112" i="2"/>
  <c r="EJ139" i="2"/>
  <c r="EJ136" i="2"/>
  <c r="EJ145" i="2"/>
  <c r="EJ129" i="2"/>
  <c r="EJ122" i="2"/>
  <c r="EJ123" i="2"/>
  <c r="EJ127" i="2"/>
  <c r="EJ141" i="2"/>
  <c r="EJ128" i="2"/>
  <c r="EJ150" i="2"/>
  <c r="EJ137" i="2"/>
  <c r="EJ144" i="2"/>
  <c r="EJ126" i="2"/>
  <c r="EJ108" i="2"/>
  <c r="DV92" i="4"/>
  <c r="DV95" i="4" s="1"/>
  <c r="DV97" i="4" s="1"/>
  <c r="DV101" i="4" s="1"/>
  <c r="DV109" i="4" s="1"/>
  <c r="EH146" i="2"/>
  <c r="DX90" i="4" l="1"/>
  <c r="DX88" i="4"/>
  <c r="DX91" i="4"/>
  <c r="DX89" i="4"/>
  <c r="DX93" i="4"/>
  <c r="DX87" i="4"/>
  <c r="DX86" i="4"/>
  <c r="EJ152" i="2"/>
  <c r="DX99" i="4" s="1"/>
  <c r="DX94" i="4"/>
  <c r="EJ121" i="2"/>
  <c r="EJ124" i="2" s="1"/>
  <c r="EJ106" i="2"/>
  <c r="EJ130" i="2"/>
  <c r="DW81" i="4"/>
  <c r="DW82" i="4" s="1"/>
  <c r="EI103" i="2"/>
  <c r="EH105" i="2"/>
  <c r="EH148" i="2"/>
  <c r="EH153" i="2" s="1"/>
  <c r="EH221" i="2" s="1"/>
  <c r="DX85" i="4"/>
  <c r="EK118" i="2"/>
  <c r="EK119" i="2"/>
  <c r="EK117" i="2"/>
  <c r="EI134" i="2"/>
  <c r="JS196" i="2" s="1"/>
  <c r="EJ131" i="2" l="1"/>
  <c r="EJ133" i="2" s="1"/>
  <c r="DX79" i="4"/>
  <c r="DX78" i="4"/>
  <c r="EJ104" i="2"/>
  <c r="EI143" i="2"/>
  <c r="EK116" i="2"/>
  <c r="EK120" i="2" s="1"/>
  <c r="UJ120" i="2"/>
  <c r="EK109" i="2" s="1"/>
  <c r="EK113" i="2" l="1"/>
  <c r="DX80" i="4"/>
  <c r="DW92" i="4"/>
  <c r="DW95" i="4" s="1"/>
  <c r="DW97" i="4" s="1"/>
  <c r="DW101" i="4" s="1"/>
  <c r="DW109" i="4" s="1"/>
  <c r="EI146" i="2"/>
  <c r="EJ132" i="2"/>
  <c r="EK122" i="2"/>
  <c r="EK150" i="2"/>
  <c r="EK141" i="2"/>
  <c r="EK140" i="2"/>
  <c r="EK144" i="2"/>
  <c r="EK136" i="2"/>
  <c r="EK127" i="2"/>
  <c r="EK142" i="2"/>
  <c r="EK129" i="2"/>
  <c r="EK112" i="2"/>
  <c r="EK138" i="2"/>
  <c r="EK128" i="2"/>
  <c r="EK123" i="2"/>
  <c r="EK139" i="2"/>
  <c r="EK137" i="2"/>
  <c r="EK145" i="2"/>
  <c r="EK126" i="2"/>
  <c r="EK108" i="2"/>
  <c r="DY90" i="4" l="1"/>
  <c r="DY93" i="4"/>
  <c r="DY89" i="4"/>
  <c r="DY91" i="4"/>
  <c r="EK152" i="2"/>
  <c r="DY99" i="4" s="1"/>
  <c r="DY88" i="4"/>
  <c r="DY94" i="4"/>
  <c r="DY86" i="4"/>
  <c r="DY87" i="4"/>
  <c r="DX81" i="4"/>
  <c r="DX82" i="4" s="1"/>
  <c r="EJ103" i="2"/>
  <c r="DY85" i="4"/>
  <c r="EJ134" i="2"/>
  <c r="JT196" i="2" s="1"/>
  <c r="EK121" i="2"/>
  <c r="EK124" i="2" s="1"/>
  <c r="EI105" i="2"/>
  <c r="EI148" i="2"/>
  <c r="EI153" i="2" s="1"/>
  <c r="EI221" i="2" s="1"/>
  <c r="K221" i="2" s="1"/>
  <c r="EK106" i="2"/>
  <c r="EK130" i="2"/>
  <c r="EL119" i="2"/>
  <c r="EL118" i="2"/>
  <c r="EL117" i="2"/>
  <c r="EL116" i="2" l="1"/>
  <c r="EL120" i="2" s="1"/>
  <c r="UK120" i="2"/>
  <c r="EL109" i="2" s="1"/>
  <c r="DY79" i="4"/>
  <c r="EK131" i="2"/>
  <c r="EK133" i="2" s="1"/>
  <c r="EJ143" i="2"/>
  <c r="EK104" i="2"/>
  <c r="DY78" i="4"/>
  <c r="EL113" i="2" l="1"/>
  <c r="DX92" i="4"/>
  <c r="DX95" i="4" s="1"/>
  <c r="DX97" i="4" s="1"/>
  <c r="DX101" i="4" s="1"/>
  <c r="DX109" i="4" s="1"/>
  <c r="EJ146" i="2"/>
  <c r="EK132" i="2"/>
  <c r="EL142" i="2"/>
  <c r="EL145" i="2"/>
  <c r="EL140" i="2"/>
  <c r="EL137" i="2"/>
  <c r="EL122" i="2"/>
  <c r="EL138" i="2"/>
  <c r="EL150" i="2"/>
  <c r="EL112" i="2"/>
  <c r="EL141" i="2"/>
  <c r="EL123" i="2"/>
  <c r="EL129" i="2"/>
  <c r="EL136" i="2"/>
  <c r="EL144" i="2"/>
  <c r="EL128" i="2"/>
  <c r="EL139" i="2"/>
  <c r="EL127" i="2"/>
  <c r="EL126" i="2"/>
  <c r="EL108" i="2"/>
  <c r="DY80" i="4"/>
  <c r="DZ90" i="4" l="1"/>
  <c r="DZ86" i="4"/>
  <c r="DZ89" i="4"/>
  <c r="DZ87" i="4"/>
  <c r="DZ94" i="4"/>
  <c r="DZ88" i="4"/>
  <c r="EL152" i="2"/>
  <c r="DZ99" i="4" s="1"/>
  <c r="DZ91" i="4"/>
  <c r="DZ93" i="4"/>
  <c r="EL106" i="2"/>
  <c r="EL130" i="2"/>
  <c r="DY81" i="4"/>
  <c r="DY82" i="4" s="1"/>
  <c r="EK103" i="2"/>
  <c r="EM118" i="2"/>
  <c r="EM119" i="2"/>
  <c r="EM117" i="2"/>
  <c r="EK134" i="2"/>
  <c r="JU196" i="2" s="1"/>
  <c r="DZ85" i="4"/>
  <c r="EJ105" i="2"/>
  <c r="EJ148" i="2"/>
  <c r="EJ153" i="2" s="1"/>
  <c r="EL121" i="2"/>
  <c r="EL124" i="2" s="1"/>
  <c r="EL104" i="2" l="1"/>
  <c r="DZ78" i="4"/>
  <c r="EM116" i="2"/>
  <c r="EM120" i="2" s="1"/>
  <c r="UL120" i="2"/>
  <c r="EM109" i="2" s="1"/>
  <c r="EK143" i="2"/>
  <c r="EL131" i="2"/>
  <c r="EL133" i="2" s="1"/>
  <c r="DZ79" i="4"/>
  <c r="EM113" i="2" l="1"/>
  <c r="EM141" i="2"/>
  <c r="EM142" i="2"/>
  <c r="EM112" i="2"/>
  <c r="EM138" i="2"/>
  <c r="EM122" i="2"/>
  <c r="EM128" i="2"/>
  <c r="EM144" i="2"/>
  <c r="EM127" i="2"/>
  <c r="EM140" i="2"/>
  <c r="EM139" i="2"/>
  <c r="EM150" i="2"/>
  <c r="EM137" i="2"/>
  <c r="EM123" i="2"/>
  <c r="EM136" i="2"/>
  <c r="EM145" i="2"/>
  <c r="EM129" i="2"/>
  <c r="EM126" i="2"/>
  <c r="EM108" i="2"/>
  <c r="DZ80" i="4"/>
  <c r="EL132" i="2"/>
  <c r="DY92" i="4"/>
  <c r="DY95" i="4" s="1"/>
  <c r="DY97" i="4" s="1"/>
  <c r="DY101" i="4" s="1"/>
  <c r="DY109" i="4" s="1"/>
  <c r="EK146" i="2"/>
  <c r="EA88" i="4" l="1"/>
  <c r="EA86" i="4"/>
  <c r="EA87" i="4"/>
  <c r="EM152" i="2"/>
  <c r="EA99" i="4" s="1"/>
  <c r="EA93" i="4"/>
  <c r="EA94" i="4"/>
  <c r="EA89" i="4"/>
  <c r="EA91" i="4"/>
  <c r="EA90" i="4"/>
  <c r="EL134" i="2"/>
  <c r="EK105" i="2"/>
  <c r="EK148" i="2"/>
  <c r="EK153" i="2" s="1"/>
  <c r="EM106" i="2"/>
  <c r="EM130" i="2"/>
  <c r="EN117" i="2"/>
  <c r="EN119" i="2"/>
  <c r="EN118" i="2"/>
  <c r="EA85" i="4"/>
  <c r="EM121" i="2"/>
  <c r="EM124" i="2" s="1"/>
  <c r="DZ81" i="4"/>
  <c r="DZ82" i="4" s="1"/>
  <c r="EL103" i="2"/>
  <c r="EL143" i="2" l="1"/>
  <c r="JV196" i="2"/>
  <c r="EA79" i="4"/>
  <c r="EM131" i="2"/>
  <c r="EM133" i="2" s="1"/>
  <c r="EA78" i="4"/>
  <c r="EM104" i="2"/>
  <c r="EN116" i="2"/>
  <c r="EN120" i="2" s="1"/>
  <c r="UM120" i="2"/>
  <c r="EN109" i="2" s="1"/>
  <c r="DZ92" i="4"/>
  <c r="DZ95" i="4" s="1"/>
  <c r="DZ97" i="4" s="1"/>
  <c r="DZ101" i="4" s="1"/>
  <c r="DZ109" i="4" s="1"/>
  <c r="EL146" i="2"/>
  <c r="EN113" i="2" l="1"/>
  <c r="EA80" i="4"/>
  <c r="EL105" i="2"/>
  <c r="EL148" i="2"/>
  <c r="EL153" i="2" s="1"/>
  <c r="EM132" i="2"/>
  <c r="EN138" i="2"/>
  <c r="EB87" i="4" s="1"/>
  <c r="EN137" i="2"/>
  <c r="EB86" i="4" s="1"/>
  <c r="EN112" i="2"/>
  <c r="EN139" i="2"/>
  <c r="EB88" i="4" s="1"/>
  <c r="EN141" i="2"/>
  <c r="EB90" i="4" s="1"/>
  <c r="EN144" i="2"/>
  <c r="EB93" i="4" s="1"/>
  <c r="EN145" i="2"/>
  <c r="EB94" i="4" s="1"/>
  <c r="EN142" i="2"/>
  <c r="EB91" i="4" s="1"/>
  <c r="EN140" i="2"/>
  <c r="EB89" i="4" s="1"/>
  <c r="EN123" i="2"/>
  <c r="EN129" i="2"/>
  <c r="EN128" i="2"/>
  <c r="EN136" i="2"/>
  <c r="EN150" i="2"/>
  <c r="EN152" i="2" s="1"/>
  <c r="EB99" i="4" s="1"/>
  <c r="EN122" i="2"/>
  <c r="EN127" i="2"/>
  <c r="EN126" i="2"/>
  <c r="EN108" i="2"/>
  <c r="EM134" i="2" l="1"/>
  <c r="EA81" i="4"/>
  <c r="EA82" i="4" s="1"/>
  <c r="EM103" i="2"/>
  <c r="EB85" i="4"/>
  <c r="EN121" i="2"/>
  <c r="EN124" i="2" s="1"/>
  <c r="EN106" i="2"/>
  <c r="EN130" i="2"/>
  <c r="EO117" i="2"/>
  <c r="EO118" i="2"/>
  <c r="EO119" i="2"/>
  <c r="EM143" i="2" l="1"/>
  <c r="EA92" i="4" s="1"/>
  <c r="EA95" i="4" s="1"/>
  <c r="EA97" i="4" s="1"/>
  <c r="EA101" i="4" s="1"/>
  <c r="EA109" i="4" s="1"/>
  <c r="JW196" i="2"/>
  <c r="EB79" i="4"/>
  <c r="EN131" i="2"/>
  <c r="EN133" i="2" s="1"/>
  <c r="EB78" i="4"/>
  <c r="EN104" i="2"/>
  <c r="EO116" i="2"/>
  <c r="EO120" i="2" s="1"/>
  <c r="UN120" i="2"/>
  <c r="EO109" i="2" s="1"/>
  <c r="EO113" i="2" l="1"/>
  <c r="EM146" i="2"/>
  <c r="EB80" i="4"/>
  <c r="EO138" i="2"/>
  <c r="EC87" i="4" s="1"/>
  <c r="EO137" i="2"/>
  <c r="EC86" i="4" s="1"/>
  <c r="EO112" i="2"/>
  <c r="EO150" i="2"/>
  <c r="EO152" i="2" s="1"/>
  <c r="EC99" i="4" s="1"/>
  <c r="EO142" i="2"/>
  <c r="EC91" i="4" s="1"/>
  <c r="EO139" i="2"/>
  <c r="EC88" i="4" s="1"/>
  <c r="EO128" i="2"/>
  <c r="EO129" i="2"/>
  <c r="EO144" i="2"/>
  <c r="EC93" i="4" s="1"/>
  <c r="EO145" i="2"/>
  <c r="EC94" i="4" s="1"/>
  <c r="EO136" i="2"/>
  <c r="EO123" i="2"/>
  <c r="EO127" i="2"/>
  <c r="EO140" i="2"/>
  <c r="EC89" i="4" s="1"/>
  <c r="EO141" i="2"/>
  <c r="EC90" i="4" s="1"/>
  <c r="EO122" i="2"/>
  <c r="EO126" i="2"/>
  <c r="EO108" i="2"/>
  <c r="EN132" i="2"/>
  <c r="EM105" i="2"/>
  <c r="EM148" i="2"/>
  <c r="EM153" i="2" s="1"/>
  <c r="EN134" i="2" l="1"/>
  <c r="EC85" i="4"/>
  <c r="EO106" i="2"/>
  <c r="EO130" i="2"/>
  <c r="EP118" i="2"/>
  <c r="EP117" i="2"/>
  <c r="EP119" i="2"/>
  <c r="EB81" i="4"/>
  <c r="EB82" i="4" s="1"/>
  <c r="EN103" i="2"/>
  <c r="EO121" i="2"/>
  <c r="EO124" i="2" s="1"/>
  <c r="EN143" i="2" l="1"/>
  <c r="EB92" i="4" s="1"/>
  <c r="EB95" i="4" s="1"/>
  <c r="EB97" i="4" s="1"/>
  <c r="EB101" i="4" s="1"/>
  <c r="EB109" i="4" s="1"/>
  <c r="JX196" i="2"/>
  <c r="EO131" i="2"/>
  <c r="EO133" i="2" s="1"/>
  <c r="EC79" i="4"/>
  <c r="EP116" i="2"/>
  <c r="EP120" i="2" s="1"/>
  <c r="UO120" i="2"/>
  <c r="EP109" i="2" s="1"/>
  <c r="EN146" i="2"/>
  <c r="EO104" i="2"/>
  <c r="EC78" i="4"/>
  <c r="EC80" i="4" s="1"/>
  <c r="EP113" i="2" l="1"/>
  <c r="EP140" i="2"/>
  <c r="ED89" i="4" s="1"/>
  <c r="EP112" i="2"/>
  <c r="EP144" i="2"/>
  <c r="ED93" i="4" s="1"/>
  <c r="EP139" i="2"/>
  <c r="ED88" i="4" s="1"/>
  <c r="EP142" i="2"/>
  <c r="ED91" i="4" s="1"/>
  <c r="EP141" i="2"/>
  <c r="ED90" i="4" s="1"/>
  <c r="EP145" i="2"/>
  <c r="ED94" i="4" s="1"/>
  <c r="EP136" i="2"/>
  <c r="EP129" i="2"/>
  <c r="EP127" i="2"/>
  <c r="EP137" i="2"/>
  <c r="ED86" i="4" s="1"/>
  <c r="EP150" i="2"/>
  <c r="EP152" i="2" s="1"/>
  <c r="ED99" i="4" s="1"/>
  <c r="EP128" i="2"/>
  <c r="EP122" i="2"/>
  <c r="EP138" i="2"/>
  <c r="ED87" i="4" s="1"/>
  <c r="EP123" i="2"/>
  <c r="EP126" i="2"/>
  <c r="EP108" i="2"/>
  <c r="EN105" i="2"/>
  <c r="EN148" i="2"/>
  <c r="EN153" i="2" s="1"/>
  <c r="EO132" i="2"/>
  <c r="ED85" i="4" l="1"/>
  <c r="EP106" i="2"/>
  <c r="EP130" i="2"/>
  <c r="EC81" i="4"/>
  <c r="EC82" i="4" s="1"/>
  <c r="EO103" i="2"/>
  <c r="EP121" i="2"/>
  <c r="EP124" i="2" s="1"/>
  <c r="EQ119" i="2"/>
  <c r="EQ118" i="2"/>
  <c r="EQ117" i="2"/>
  <c r="EO134" i="2"/>
  <c r="JY196" i="2" s="1"/>
  <c r="EQ116" i="2" l="1"/>
  <c r="EQ120" i="2" s="1"/>
  <c r="UP120" i="2"/>
  <c r="EQ109" i="2" s="1"/>
  <c r="ED79" i="4"/>
  <c r="EP131" i="2"/>
  <c r="EP133" i="2" s="1"/>
  <c r="ED78" i="4"/>
  <c r="EP104" i="2"/>
  <c r="EO143" i="2"/>
  <c r="EQ113" i="2" l="1"/>
  <c r="ED80" i="4"/>
  <c r="EP132" i="2"/>
  <c r="EQ145" i="2"/>
  <c r="EE94" i="4" s="1"/>
  <c r="EQ137" i="2"/>
  <c r="EE86" i="4" s="1"/>
  <c r="EQ142" i="2"/>
  <c r="EE91" i="4" s="1"/>
  <c r="EQ138" i="2"/>
  <c r="EE87" i="4" s="1"/>
  <c r="EQ122" i="2"/>
  <c r="EQ141" i="2"/>
  <c r="EE90" i="4" s="1"/>
  <c r="EQ127" i="2"/>
  <c r="EQ144" i="2"/>
  <c r="EE93" i="4" s="1"/>
  <c r="EQ139" i="2"/>
  <c r="EE88" i="4" s="1"/>
  <c r="EQ129" i="2"/>
  <c r="EQ112" i="2"/>
  <c r="EQ128" i="2"/>
  <c r="EQ140" i="2"/>
  <c r="EE89" i="4" s="1"/>
  <c r="EQ123" i="2"/>
  <c r="EQ150" i="2"/>
  <c r="EQ152" i="2" s="1"/>
  <c r="EE99" i="4" s="1"/>
  <c r="EQ136" i="2"/>
  <c r="EQ126" i="2"/>
  <c r="EQ108" i="2"/>
  <c r="EC92" i="4"/>
  <c r="EC95" i="4" s="1"/>
  <c r="EC97" i="4" s="1"/>
  <c r="EC101" i="4" s="1"/>
  <c r="EC109" i="4" s="1"/>
  <c r="EO146" i="2"/>
  <c r="EQ106" i="2" l="1"/>
  <c r="EQ130" i="2"/>
  <c r="ED81" i="4"/>
  <c r="ED82" i="4" s="1"/>
  <c r="EP103" i="2"/>
  <c r="ER117" i="2"/>
  <c r="ER118" i="2"/>
  <c r="ER119" i="2"/>
  <c r="EO105" i="2"/>
  <c r="EO148" i="2"/>
  <c r="EO153" i="2" s="1"/>
  <c r="EP134" i="2"/>
  <c r="JZ196" i="2" s="1"/>
  <c r="EQ121" i="2"/>
  <c r="EQ124" i="2" s="1"/>
  <c r="EE85" i="4"/>
  <c r="EQ104" i="2" l="1"/>
  <c r="EE78" i="4"/>
  <c r="EP143" i="2"/>
  <c r="EQ131" i="2"/>
  <c r="EQ133" i="2" s="1"/>
  <c r="EE79" i="4"/>
  <c r="ER116" i="2"/>
  <c r="ER120" i="2" s="1"/>
  <c r="UQ120" i="2"/>
  <c r="ER109" i="2" s="1"/>
  <c r="ER113" i="2" l="1"/>
  <c r="EE80" i="4"/>
  <c r="ED92" i="4"/>
  <c r="ED95" i="4" s="1"/>
  <c r="ED97" i="4" s="1"/>
  <c r="ED101" i="4" s="1"/>
  <c r="ED109" i="4" s="1"/>
  <c r="EP146" i="2"/>
  <c r="EQ132" i="2"/>
  <c r="ER139" i="2"/>
  <c r="EF88" i="4" s="1"/>
  <c r="ER140" i="2"/>
  <c r="EF89" i="4" s="1"/>
  <c r="ER122" i="2"/>
  <c r="ER136" i="2"/>
  <c r="ER128" i="2"/>
  <c r="ER137" i="2"/>
  <c r="EF86" i="4" s="1"/>
  <c r="ER142" i="2"/>
  <c r="EF91" i="4" s="1"/>
  <c r="ER144" i="2"/>
  <c r="EF93" i="4" s="1"/>
  <c r="ER112" i="2"/>
  <c r="ER127" i="2"/>
  <c r="ER123" i="2"/>
  <c r="ER145" i="2"/>
  <c r="EF94" i="4" s="1"/>
  <c r="ER141" i="2"/>
  <c r="EF90" i="4" s="1"/>
  <c r="ER138" i="2"/>
  <c r="EF87" i="4" s="1"/>
  <c r="ER150" i="2"/>
  <c r="ER152" i="2" s="1"/>
  <c r="EF99" i="4" s="1"/>
  <c r="ER129" i="2"/>
  <c r="ER126" i="2"/>
  <c r="ER108" i="2"/>
  <c r="ES119" i="2" l="1"/>
  <c r="ES118" i="2"/>
  <c r="ES117" i="2"/>
  <c r="EE81" i="4"/>
  <c r="EE82" i="4" s="1"/>
  <c r="EQ103" i="2"/>
  <c r="EF85" i="4"/>
  <c r="EQ134" i="2"/>
  <c r="KA196" i="2" s="1"/>
  <c r="EP105" i="2"/>
  <c r="EP148" i="2"/>
  <c r="EP153" i="2" s="1"/>
  <c r="ER121" i="2"/>
  <c r="ER124" i="2" s="1"/>
  <c r="ER106" i="2"/>
  <c r="ER130" i="2"/>
  <c r="EF78" i="4" l="1"/>
  <c r="ER104" i="2"/>
  <c r="EQ143" i="2"/>
  <c r="ES116" i="2"/>
  <c r="ES120" i="2" s="1"/>
  <c r="UR120" i="2"/>
  <c r="ES109" i="2" s="1"/>
  <c r="ER131" i="2"/>
  <c r="ER133" i="2" s="1"/>
  <c r="EF79" i="4"/>
  <c r="ES113" i="2" l="1"/>
  <c r="ES144" i="2"/>
  <c r="EG93" i="4" s="1"/>
  <c r="ES150" i="2"/>
  <c r="ES152" i="2" s="1"/>
  <c r="EG99" i="4" s="1"/>
  <c r="ES122" i="2"/>
  <c r="ES139" i="2"/>
  <c r="EG88" i="4" s="1"/>
  <c r="ES141" i="2"/>
  <c r="EG90" i="4" s="1"/>
  <c r="ES128" i="2"/>
  <c r="ES140" i="2"/>
  <c r="EG89" i="4" s="1"/>
  <c r="ES129" i="2"/>
  <c r="ES123" i="2"/>
  <c r="ES137" i="2"/>
  <c r="EG86" i="4" s="1"/>
  <c r="ES142" i="2"/>
  <c r="EG91" i="4" s="1"/>
  <c r="ES145" i="2"/>
  <c r="EG94" i="4" s="1"/>
  <c r="ES138" i="2"/>
  <c r="EG87" i="4" s="1"/>
  <c r="ES112" i="2"/>
  <c r="ES136" i="2"/>
  <c r="ES127" i="2"/>
  <c r="ES126" i="2"/>
  <c r="ES108" i="2"/>
  <c r="EF80" i="4"/>
  <c r="EE92" i="4"/>
  <c r="EE95" i="4" s="1"/>
  <c r="EE97" i="4" s="1"/>
  <c r="EE101" i="4" s="1"/>
  <c r="EE109" i="4" s="1"/>
  <c r="EQ146" i="2"/>
  <c r="ER132" i="2"/>
  <c r="ET119" i="2" l="1"/>
  <c r="ET118" i="2"/>
  <c r="ET117" i="2"/>
  <c r="EQ105" i="2"/>
  <c r="EQ148" i="2"/>
  <c r="EQ153" i="2" s="1"/>
  <c r="EF81" i="4"/>
  <c r="EF82" i="4" s="1"/>
  <c r="ER103" i="2"/>
  <c r="ES106" i="2"/>
  <c r="ES130" i="2"/>
  <c r="ES121" i="2"/>
  <c r="ES124" i="2" s="1"/>
  <c r="ER134" i="2"/>
  <c r="KB196" i="2" s="1"/>
  <c r="EG85" i="4"/>
  <c r="ES131" i="2" l="1"/>
  <c r="ES133" i="2" s="1"/>
  <c r="EG79" i="4"/>
  <c r="ET116" i="2"/>
  <c r="ET120" i="2" s="1"/>
  <c r="K171" i="2" s="1"/>
  <c r="US120" i="2"/>
  <c r="ET109" i="2" s="1"/>
  <c r="EG78" i="4"/>
  <c r="EG80" i="4" s="1"/>
  <c r="ES104" i="2"/>
  <c r="ER143" i="2"/>
  <c r="ET113" i="2" l="1"/>
  <c r="ET137" i="2"/>
  <c r="ET144" i="2"/>
  <c r="ET150" i="2"/>
  <c r="ET139" i="2"/>
  <c r="ET112" i="2"/>
  <c r="ET141" i="2"/>
  <c r="ET140" i="2"/>
  <c r="ET145" i="2"/>
  <c r="ET138" i="2"/>
  <c r="ET142" i="2"/>
  <c r="ET128" i="2"/>
  <c r="K179" i="2" s="1"/>
  <c r="ET136" i="2"/>
  <c r="K187" i="2" s="1"/>
  <c r="ET122" i="2"/>
  <c r="K173" i="2" s="1"/>
  <c r="ET129" i="2"/>
  <c r="K180" i="2" s="1"/>
  <c r="ET127" i="2"/>
  <c r="K178" i="2" s="1"/>
  <c r="ET123" i="2"/>
  <c r="K174" i="2" s="1"/>
  <c r="ET126" i="2"/>
  <c r="K177" i="2" s="1"/>
  <c r="ET108" i="2"/>
  <c r="ES132" i="2"/>
  <c r="EF92" i="4"/>
  <c r="EF95" i="4" s="1"/>
  <c r="EF97" i="4" s="1"/>
  <c r="EF101" i="4" s="1"/>
  <c r="EF109" i="4" s="1"/>
  <c r="ER146" i="2"/>
  <c r="K175" i="2" l="1"/>
  <c r="ET152" i="2"/>
  <c r="EH99" i="4" s="1"/>
  <c r="K201" i="2"/>
  <c r="K203" i="2" s="1"/>
  <c r="K22" i="1" s="1"/>
  <c r="EH94" i="4"/>
  <c r="K196" i="2"/>
  <c r="EH93" i="4"/>
  <c r="K195" i="2"/>
  <c r="EH91" i="4"/>
  <c r="K193" i="2"/>
  <c r="EH89" i="4"/>
  <c r="K191" i="2"/>
  <c r="K181" i="2"/>
  <c r="EH86" i="4"/>
  <c r="K188" i="2"/>
  <c r="EH87" i="4"/>
  <c r="K189" i="2"/>
  <c r="EH90" i="4"/>
  <c r="K192" i="2"/>
  <c r="EH88" i="4"/>
  <c r="K190" i="2"/>
  <c r="ES134" i="2"/>
  <c r="EU118" i="2"/>
  <c r="EU117" i="2"/>
  <c r="EU119" i="2"/>
  <c r="EH85" i="4"/>
  <c r="ER105" i="2"/>
  <c r="ER148" i="2"/>
  <c r="ER153" i="2" s="1"/>
  <c r="ET106" i="2"/>
  <c r="ET130" i="2"/>
  <c r="EG81" i="4"/>
  <c r="EG82" i="4" s="1"/>
  <c r="ES103" i="2"/>
  <c r="ET121" i="2"/>
  <c r="ET124" i="2" s="1"/>
  <c r="K182" i="2" l="1"/>
  <c r="ES143" i="2"/>
  <c r="KC196" i="2"/>
  <c r="ET104" i="2"/>
  <c r="EH78" i="4"/>
  <c r="EU116" i="2"/>
  <c r="EU120" i="2" s="1"/>
  <c r="UT120" i="2"/>
  <c r="EU109" i="2" s="1"/>
  <c r="ET131" i="2"/>
  <c r="ET133" i="2" s="1"/>
  <c r="EH79" i="4"/>
  <c r="EG92" i="4"/>
  <c r="EG95" i="4" s="1"/>
  <c r="EG97" i="4" s="1"/>
  <c r="EG101" i="4" s="1"/>
  <c r="EG109" i="4" s="1"/>
  <c r="ES146" i="2"/>
  <c r="EU113" i="2" l="1"/>
  <c r="EY108" i="2"/>
  <c r="D15" i="1" s="1"/>
  <c r="E15" i="1" s="1"/>
  <c r="K184" i="2"/>
  <c r="ET132" i="2"/>
  <c r="K183" i="2" s="1"/>
  <c r="EU140" i="2"/>
  <c r="EI89" i="4" s="1"/>
  <c r="EU138" i="2"/>
  <c r="EI87" i="4" s="1"/>
  <c r="EU137" i="2"/>
  <c r="EI86" i="4" s="1"/>
  <c r="EU142" i="2"/>
  <c r="EI91" i="4" s="1"/>
  <c r="EU141" i="2"/>
  <c r="EI90" i="4" s="1"/>
  <c r="EU139" i="2"/>
  <c r="EI88" i="4" s="1"/>
  <c r="EU145" i="2"/>
  <c r="EI94" i="4" s="1"/>
  <c r="EU144" i="2"/>
  <c r="EI93" i="4" s="1"/>
  <c r="EU150" i="2"/>
  <c r="EU152" i="2" s="1"/>
  <c r="EI99" i="4" s="1"/>
  <c r="EU112" i="2"/>
  <c r="EU128" i="2"/>
  <c r="EU129" i="2"/>
  <c r="EU136" i="2"/>
  <c r="EU122" i="2"/>
  <c r="EU123" i="2"/>
  <c r="EU127" i="2"/>
  <c r="EU126" i="2"/>
  <c r="EU108" i="2"/>
  <c r="EH80" i="4"/>
  <c r="ES105" i="2"/>
  <c r="ES148" i="2"/>
  <c r="ES153" i="2" s="1"/>
  <c r="F19" i="2" l="1"/>
  <c r="K185" i="2"/>
  <c r="K19" i="1" s="1"/>
  <c r="J33" i="4"/>
  <c r="K33" i="4"/>
  <c r="L33" i="4"/>
  <c r="M33" i="4"/>
  <c r="N33" i="4"/>
  <c r="O33" i="4"/>
  <c r="P33" i="4"/>
  <c r="Q33" i="4"/>
  <c r="J34" i="4"/>
  <c r="K34" i="4"/>
  <c r="L34" i="4"/>
  <c r="M34" i="4"/>
  <c r="N34" i="4"/>
  <c r="O34" i="4"/>
  <c r="P34" i="4"/>
  <c r="Q34" i="4"/>
  <c r="J30" i="4"/>
  <c r="K30" i="4"/>
  <c r="L30" i="4"/>
  <c r="M30" i="4"/>
  <c r="N30" i="4"/>
  <c r="O30" i="4"/>
  <c r="P30" i="4"/>
  <c r="Q30" i="4"/>
  <c r="J37" i="4"/>
  <c r="K37" i="4"/>
  <c r="L37" i="4"/>
  <c r="M37" i="4"/>
  <c r="N37" i="4"/>
  <c r="O37" i="4"/>
  <c r="P37" i="4"/>
  <c r="Q37" i="4"/>
  <c r="J29" i="4"/>
  <c r="K29" i="4"/>
  <c r="L29" i="4"/>
  <c r="M29" i="4"/>
  <c r="N29" i="4"/>
  <c r="O29" i="4"/>
  <c r="P29" i="4"/>
  <c r="Q29" i="4"/>
  <c r="J42" i="4"/>
  <c r="K42" i="4"/>
  <c r="L42" i="4"/>
  <c r="M42" i="4"/>
  <c r="N42" i="4"/>
  <c r="O42" i="4"/>
  <c r="P42" i="4"/>
  <c r="Q42" i="4"/>
  <c r="J32" i="4"/>
  <c r="K32" i="4"/>
  <c r="L32" i="4"/>
  <c r="M32" i="4"/>
  <c r="N32" i="4"/>
  <c r="O32" i="4"/>
  <c r="P32" i="4"/>
  <c r="Q32" i="4"/>
  <c r="J36" i="4"/>
  <c r="K36" i="4"/>
  <c r="L36" i="4"/>
  <c r="M36" i="4"/>
  <c r="N36" i="4"/>
  <c r="O36" i="4"/>
  <c r="P36" i="4"/>
  <c r="Q36" i="4"/>
  <c r="J31" i="4"/>
  <c r="K31" i="4"/>
  <c r="L31" i="4"/>
  <c r="M31" i="4"/>
  <c r="N31" i="4"/>
  <c r="O31" i="4"/>
  <c r="P31" i="4"/>
  <c r="Q31" i="4"/>
  <c r="ET41" i="2"/>
  <c r="ET43" i="2"/>
  <c r="ET40" i="2"/>
  <c r="ET42" i="2"/>
  <c r="ET33" i="2"/>
  <c r="ET39" i="2"/>
  <c r="ET34" i="2"/>
  <c r="ET32" i="2"/>
  <c r="ET38" i="2"/>
  <c r="ET31" i="2"/>
  <c r="EU33" i="2"/>
  <c r="S43" i="2"/>
  <c r="EU32" i="2"/>
  <c r="EU38" i="2"/>
  <c r="S33" i="2"/>
  <c r="EU31" i="2"/>
  <c r="S42" i="2"/>
  <c r="S32" i="2"/>
  <c r="EU43" i="2"/>
  <c r="S34" i="2"/>
  <c r="S39" i="2"/>
  <c r="EU39" i="2"/>
  <c r="EU34" i="2"/>
  <c r="S40" i="2"/>
  <c r="EU42" i="2"/>
  <c r="S41" i="2"/>
  <c r="S31" i="2"/>
  <c r="S38" i="2"/>
  <c r="EU40" i="2"/>
  <c r="EU41" i="2"/>
  <c r="T41" i="2"/>
  <c r="T39" i="2"/>
  <c r="T32" i="2"/>
  <c r="T33" i="2"/>
  <c r="T38" i="2"/>
  <c r="T40" i="2"/>
  <c r="T31" i="2"/>
  <c r="T42" i="2"/>
  <c r="T43" i="2"/>
  <c r="T34" i="2"/>
  <c r="U40" i="2"/>
  <c r="U43" i="2"/>
  <c r="U39" i="2"/>
  <c r="U34" i="2"/>
  <c r="U31" i="2"/>
  <c r="U41" i="2"/>
  <c r="U42" i="2"/>
  <c r="U32" i="2"/>
  <c r="U38" i="2"/>
  <c r="U33" i="2"/>
  <c r="V39" i="2"/>
  <c r="V38" i="2"/>
  <c r="V31" i="2"/>
  <c r="V32" i="2"/>
  <c r="V41" i="2"/>
  <c r="V42" i="2"/>
  <c r="V40" i="2"/>
  <c r="V34" i="2"/>
  <c r="V43" i="2"/>
  <c r="V33" i="2"/>
  <c r="W40" i="2"/>
  <c r="W41" i="2"/>
  <c r="W33" i="2"/>
  <c r="W42" i="2"/>
  <c r="W32" i="2"/>
  <c r="W39" i="2"/>
  <c r="W34" i="2"/>
  <c r="W31" i="2"/>
  <c r="W43" i="2"/>
  <c r="W38" i="2"/>
  <c r="X31" i="2"/>
  <c r="X40" i="2"/>
  <c r="X39" i="2"/>
  <c r="X33" i="2"/>
  <c r="X43" i="2"/>
  <c r="X38" i="2"/>
  <c r="X32" i="2"/>
  <c r="X41" i="2"/>
  <c r="X42" i="2"/>
  <c r="X34" i="2"/>
  <c r="Y40" i="2"/>
  <c r="Y39" i="2"/>
  <c r="Y32" i="2"/>
  <c r="Y31" i="2"/>
  <c r="Y34" i="2"/>
  <c r="Y42" i="2"/>
  <c r="Y33" i="2"/>
  <c r="Y41" i="2"/>
  <c r="Y43" i="2"/>
  <c r="Y38" i="2"/>
  <c r="Z40" i="2"/>
  <c r="Z41" i="2"/>
  <c r="Z43" i="2"/>
  <c r="Z38" i="2"/>
  <c r="Z31" i="2"/>
  <c r="Z32" i="2"/>
  <c r="Z42" i="2"/>
  <c r="Z34" i="2"/>
  <c r="Z39" i="2"/>
  <c r="Z33" i="2"/>
  <c r="AA33" i="2"/>
  <c r="AA43" i="2"/>
  <c r="AA40" i="2"/>
  <c r="AA32" i="2"/>
  <c r="AA31" i="2"/>
  <c r="AA39" i="2"/>
  <c r="AA41" i="2"/>
  <c r="AA38" i="2"/>
  <c r="AA34" i="2"/>
  <c r="AA42" i="2"/>
  <c r="AB39" i="2"/>
  <c r="AB31" i="2"/>
  <c r="AB38" i="2"/>
  <c r="AB43" i="2"/>
  <c r="AB42" i="2"/>
  <c r="AB33" i="2"/>
  <c r="AB34" i="2"/>
  <c r="AB32" i="2"/>
  <c r="AB41" i="2"/>
  <c r="AB40" i="2"/>
  <c r="AC31" i="2"/>
  <c r="AC40" i="2"/>
  <c r="AC43" i="2"/>
  <c r="AC32" i="2"/>
  <c r="AC38" i="2"/>
  <c r="AC34" i="2"/>
  <c r="AC42" i="2"/>
  <c r="AC33" i="2"/>
  <c r="AC39" i="2"/>
  <c r="AC41" i="2"/>
  <c r="AD39" i="2"/>
  <c r="AD41" i="2"/>
  <c r="AD42" i="2"/>
  <c r="AD34" i="2"/>
  <c r="AD33" i="2"/>
  <c r="AD38" i="2"/>
  <c r="AD43" i="2"/>
  <c r="AD40" i="2"/>
  <c r="AD31" i="2"/>
  <c r="AD32" i="2"/>
  <c r="AE39" i="2"/>
  <c r="AE41" i="2"/>
  <c r="AE33" i="2"/>
  <c r="AE38" i="2"/>
  <c r="AE32" i="2"/>
  <c r="AE40" i="2"/>
  <c r="AE42" i="2"/>
  <c r="AE43" i="2"/>
  <c r="AE31" i="2"/>
  <c r="AE34" i="2"/>
  <c r="AF34" i="2"/>
  <c r="AF43" i="2"/>
  <c r="AF33" i="2"/>
  <c r="AF32" i="2"/>
  <c r="AF41" i="2"/>
  <c r="AF40" i="2"/>
  <c r="AF42" i="2"/>
  <c r="AF38" i="2"/>
  <c r="AF31" i="2"/>
  <c r="AF39" i="2"/>
  <c r="AG38" i="2"/>
  <c r="AG41" i="2"/>
  <c r="AG43" i="2"/>
  <c r="AG32" i="2"/>
  <c r="AG33" i="2"/>
  <c r="AG39" i="2"/>
  <c r="AG42" i="2"/>
  <c r="AG40" i="2"/>
  <c r="AG34" i="2"/>
  <c r="AG31" i="2"/>
  <c r="AH33" i="2"/>
  <c r="AH38" i="2"/>
  <c r="AH43" i="2"/>
  <c r="AH41" i="2"/>
  <c r="AH39" i="2"/>
  <c r="AH40" i="2"/>
  <c r="AH31" i="2"/>
  <c r="AH32" i="2"/>
  <c r="AH34" i="2"/>
  <c r="AH42" i="2"/>
  <c r="AI42" i="2"/>
  <c r="AI32" i="2"/>
  <c r="AI38" i="2"/>
  <c r="AI34" i="2"/>
  <c r="AI39" i="2"/>
  <c r="AI43" i="2"/>
  <c r="AI33" i="2"/>
  <c r="AI41" i="2"/>
  <c r="AI40" i="2"/>
  <c r="AI31" i="2"/>
  <c r="AJ34" i="2"/>
  <c r="AJ32" i="2"/>
  <c r="AJ43" i="2"/>
  <c r="AJ33" i="2"/>
  <c r="AJ31" i="2"/>
  <c r="AJ38" i="2"/>
  <c r="AJ42" i="2"/>
  <c r="AJ39" i="2"/>
  <c r="AJ40" i="2"/>
  <c r="AJ41" i="2"/>
  <c r="AK33" i="2"/>
  <c r="AK41" i="2"/>
  <c r="AK32" i="2"/>
  <c r="AK40" i="2"/>
  <c r="AK38" i="2"/>
  <c r="AK42" i="2"/>
  <c r="AK31" i="2"/>
  <c r="AK43" i="2"/>
  <c r="AK39" i="2"/>
  <c r="AK34" i="2"/>
  <c r="AL31" i="2"/>
  <c r="AL40" i="2"/>
  <c r="AL34" i="2"/>
  <c r="AL33" i="2"/>
  <c r="AL42" i="2"/>
  <c r="AL39" i="2"/>
  <c r="AL38" i="2"/>
  <c r="AL32" i="2"/>
  <c r="AL41" i="2"/>
  <c r="AL43" i="2"/>
  <c r="AM34" i="2"/>
  <c r="AM39" i="2"/>
  <c r="AM41" i="2"/>
  <c r="AM31" i="2"/>
  <c r="AM32" i="2"/>
  <c r="AM38" i="2"/>
  <c r="AM43" i="2"/>
  <c r="AM42" i="2"/>
  <c r="AM33" i="2"/>
  <c r="AM40" i="2"/>
  <c r="AN32" i="2"/>
  <c r="AN31" i="2"/>
  <c r="AN40" i="2"/>
  <c r="AN41" i="2"/>
  <c r="AN33" i="2"/>
  <c r="AN43" i="2"/>
  <c r="AN34" i="2"/>
  <c r="AN39" i="2"/>
  <c r="AN42" i="2"/>
  <c r="AN38" i="2"/>
  <c r="AO33" i="2"/>
  <c r="AO38" i="2"/>
  <c r="AO41" i="2"/>
  <c r="AO39" i="2"/>
  <c r="AO40" i="2"/>
  <c r="AO32" i="2"/>
  <c r="AO31" i="2"/>
  <c r="AO43" i="2"/>
  <c r="AO34" i="2"/>
  <c r="AO42" i="2"/>
  <c r="AP31" i="2"/>
  <c r="AP40" i="2"/>
  <c r="AP32" i="2"/>
  <c r="AP34" i="2"/>
  <c r="AP43" i="2"/>
  <c r="AP33" i="2"/>
  <c r="AP42" i="2"/>
  <c r="AP39" i="2"/>
  <c r="AP38" i="2"/>
  <c r="AP41" i="2"/>
  <c r="AQ34" i="2"/>
  <c r="AQ32" i="2"/>
  <c r="AQ31" i="2"/>
  <c r="AQ40" i="2"/>
  <c r="AQ43" i="2"/>
  <c r="AQ42" i="2"/>
  <c r="AQ39" i="2"/>
  <c r="AQ38" i="2"/>
  <c r="AQ41" i="2"/>
  <c r="AQ33" i="2"/>
  <c r="AR32" i="2"/>
  <c r="AR41" i="2"/>
  <c r="AR40" i="2"/>
  <c r="AR33" i="2"/>
  <c r="AR43" i="2"/>
  <c r="AR31" i="2"/>
  <c r="AR42" i="2"/>
  <c r="AR38" i="2"/>
  <c r="AR34" i="2"/>
  <c r="AR39" i="2"/>
  <c r="AS39" i="2"/>
  <c r="AS38" i="2"/>
  <c r="AS31" i="2"/>
  <c r="AS43" i="2"/>
  <c r="AS33" i="2"/>
  <c r="AS41" i="2"/>
  <c r="AS34" i="2"/>
  <c r="AS32" i="2"/>
  <c r="AS42" i="2"/>
  <c r="AS40" i="2"/>
  <c r="AT38" i="2"/>
  <c r="AT31" i="2"/>
  <c r="AT42" i="2"/>
  <c r="AT33" i="2"/>
  <c r="AT34" i="2"/>
  <c r="AT32" i="2"/>
  <c r="AT43" i="2"/>
  <c r="AT39" i="2"/>
  <c r="AT41" i="2"/>
  <c r="AT40" i="2"/>
  <c r="AU39" i="2"/>
  <c r="AU42" i="2"/>
  <c r="AU31" i="2"/>
  <c r="AU38" i="2"/>
  <c r="AU40" i="2"/>
  <c r="AU41" i="2"/>
  <c r="AU33" i="2"/>
  <c r="AU32" i="2"/>
  <c r="AU34" i="2"/>
  <c r="AU43" i="2"/>
  <c r="AV43" i="2"/>
  <c r="AV34" i="2"/>
  <c r="AV31" i="2"/>
  <c r="AV41" i="2"/>
  <c r="AV42" i="2"/>
  <c r="AV32" i="2"/>
  <c r="AV38" i="2"/>
  <c r="AV39" i="2"/>
  <c r="AV40" i="2"/>
  <c r="AV33" i="2"/>
  <c r="AW32" i="2"/>
  <c r="AW39" i="2"/>
  <c r="AW42" i="2"/>
  <c r="AW34" i="2"/>
  <c r="AW38" i="2"/>
  <c r="AW43" i="2"/>
  <c r="AW41" i="2"/>
  <c r="AW40" i="2"/>
  <c r="AW31" i="2"/>
  <c r="AW33" i="2"/>
  <c r="AX42" i="2"/>
  <c r="AX32" i="2"/>
  <c r="AX43" i="2"/>
  <c r="AX39" i="2"/>
  <c r="AX41" i="2"/>
  <c r="AX31" i="2"/>
  <c r="AX33" i="2"/>
  <c r="AX38" i="2"/>
  <c r="AX34" i="2"/>
  <c r="AX40" i="2"/>
  <c r="AY41" i="2"/>
  <c r="AY38" i="2"/>
  <c r="AY42" i="2"/>
  <c r="AY39" i="2"/>
  <c r="AY32" i="2"/>
  <c r="AY43" i="2"/>
  <c r="AY40" i="2"/>
  <c r="AY33" i="2"/>
  <c r="AY31" i="2"/>
  <c r="AY34" i="2"/>
  <c r="AZ41" i="2"/>
  <c r="AZ38" i="2"/>
  <c r="AZ32" i="2"/>
  <c r="AZ42" i="2"/>
  <c r="AZ40" i="2"/>
  <c r="AZ43" i="2"/>
  <c r="AZ31" i="2"/>
  <c r="AZ34" i="2"/>
  <c r="AZ33" i="2"/>
  <c r="AZ39" i="2"/>
  <c r="BA33" i="2"/>
  <c r="BA39" i="2"/>
  <c r="BA32" i="2"/>
  <c r="BA43" i="2"/>
  <c r="BA42" i="2"/>
  <c r="BA41" i="2"/>
  <c r="BA31" i="2"/>
  <c r="BA38" i="2"/>
  <c r="BA34" i="2"/>
  <c r="BA40" i="2"/>
  <c r="BB40" i="2"/>
  <c r="BB42" i="2"/>
  <c r="BB32" i="2"/>
  <c r="BB33" i="2"/>
  <c r="BB34" i="2"/>
  <c r="BB31" i="2"/>
  <c r="BB38" i="2"/>
  <c r="BB41" i="2"/>
  <c r="BB39" i="2"/>
  <c r="BB43" i="2"/>
  <c r="BC43" i="2"/>
  <c r="BC34" i="2"/>
  <c r="BC39" i="2"/>
  <c r="BC32" i="2"/>
  <c r="BC40" i="2"/>
  <c r="BC42" i="2"/>
  <c r="BC41" i="2"/>
  <c r="BC38" i="2"/>
  <c r="BC33" i="2"/>
  <c r="BC31" i="2"/>
  <c r="BD39" i="2"/>
  <c r="BD41" i="2"/>
  <c r="BD40" i="2"/>
  <c r="BD34" i="2"/>
  <c r="BD42" i="2"/>
  <c r="BD31" i="2"/>
  <c r="BD32" i="2"/>
  <c r="BD33" i="2"/>
  <c r="BD38" i="2"/>
  <c r="BD43" i="2"/>
  <c r="BE40" i="2"/>
  <c r="BE42" i="2"/>
  <c r="BE33" i="2"/>
  <c r="BE32" i="2"/>
  <c r="BE39" i="2"/>
  <c r="BE43" i="2"/>
  <c r="BE38" i="2"/>
  <c r="BE31" i="2"/>
  <c r="BE34" i="2"/>
  <c r="BE41" i="2"/>
  <c r="BF33" i="2"/>
  <c r="BF32" i="2"/>
  <c r="BF43" i="2"/>
  <c r="BF31" i="2"/>
  <c r="BF42" i="2"/>
  <c r="BF38" i="2"/>
  <c r="BF39" i="2"/>
  <c r="BF40" i="2"/>
  <c r="BF41" i="2"/>
  <c r="BF34" i="2"/>
  <c r="BG41" i="2"/>
  <c r="BG40" i="2"/>
  <c r="BG42" i="2"/>
  <c r="BG32" i="2"/>
  <c r="BG31" i="2"/>
  <c r="BG39" i="2"/>
  <c r="BG43" i="2"/>
  <c r="BG33" i="2"/>
  <c r="BG38" i="2"/>
  <c r="BG34" i="2"/>
  <c r="BH42" i="2"/>
  <c r="BH38" i="2"/>
  <c r="BH33" i="2"/>
  <c r="BH31" i="2"/>
  <c r="BH34" i="2"/>
  <c r="BH39" i="2"/>
  <c r="BH40" i="2"/>
  <c r="BH32" i="2"/>
  <c r="BH43" i="2"/>
  <c r="BH41" i="2"/>
  <c r="BI38" i="2"/>
  <c r="BI42" i="2"/>
  <c r="BI32" i="2"/>
  <c r="BI39" i="2"/>
  <c r="BI40" i="2"/>
  <c r="BI41" i="2"/>
  <c r="BI31" i="2"/>
  <c r="BI34" i="2"/>
  <c r="BI43" i="2"/>
  <c r="BI33" i="2"/>
  <c r="BJ34" i="2"/>
  <c r="BJ41" i="2"/>
  <c r="BJ31" i="2"/>
  <c r="BJ42" i="2"/>
  <c r="BJ33" i="2"/>
  <c r="BJ43" i="2"/>
  <c r="BJ40" i="2"/>
  <c r="BJ38" i="2"/>
  <c r="BJ32" i="2"/>
  <c r="BJ39" i="2"/>
  <c r="BK41" i="2"/>
  <c r="BK42" i="2"/>
  <c r="BK33" i="2"/>
  <c r="BK39" i="2"/>
  <c r="BK43" i="2"/>
  <c r="BK32" i="2"/>
  <c r="BK38" i="2"/>
  <c r="BK40" i="2"/>
  <c r="BK34" i="2"/>
  <c r="BK31" i="2"/>
  <c r="BL40" i="2"/>
  <c r="BL41" i="2"/>
  <c r="BL33" i="2"/>
  <c r="BL34" i="2"/>
  <c r="BL42" i="2"/>
  <c r="BL31" i="2"/>
  <c r="BL43" i="2"/>
  <c r="BL39" i="2"/>
  <c r="BL32" i="2"/>
  <c r="BL38" i="2"/>
  <c r="BM43" i="2"/>
  <c r="BM32" i="2"/>
  <c r="BM34" i="2"/>
  <c r="BM33" i="2"/>
  <c r="BM42" i="2"/>
  <c r="BM41" i="2"/>
  <c r="BM38" i="2"/>
  <c r="BM31" i="2"/>
  <c r="BM40" i="2"/>
  <c r="BM39" i="2"/>
  <c r="BN34" i="2"/>
  <c r="BN39" i="2"/>
  <c r="BN41" i="2"/>
  <c r="BN38" i="2"/>
  <c r="BN31" i="2"/>
  <c r="BN33" i="2"/>
  <c r="BN42" i="2"/>
  <c r="BN32" i="2"/>
  <c r="BN40" i="2"/>
  <c r="BN43" i="2"/>
  <c r="BO42" i="2"/>
  <c r="BO31" i="2"/>
  <c r="BO32" i="2"/>
  <c r="BO40" i="2"/>
  <c r="BO39" i="2"/>
  <c r="BO43" i="2"/>
  <c r="BO34" i="2"/>
  <c r="BO38" i="2"/>
  <c r="BO33" i="2"/>
  <c r="BO41" i="2"/>
  <c r="BP38" i="2"/>
  <c r="BP41" i="2"/>
  <c r="BP43" i="2"/>
  <c r="BP31" i="2"/>
  <c r="BP33" i="2"/>
  <c r="BP42" i="2"/>
  <c r="BP40" i="2"/>
  <c r="BP39" i="2"/>
  <c r="BP32" i="2"/>
  <c r="BP34" i="2"/>
  <c r="BQ42" i="2"/>
  <c r="BQ31" i="2"/>
  <c r="BQ39" i="2"/>
  <c r="BQ34" i="2"/>
  <c r="BQ32" i="2"/>
  <c r="BQ38" i="2"/>
  <c r="BQ43" i="2"/>
  <c r="BQ41" i="2"/>
  <c r="BQ33" i="2"/>
  <c r="BQ40" i="2"/>
  <c r="BR42" i="2"/>
  <c r="BR32" i="2"/>
  <c r="BR40" i="2"/>
  <c r="BR31" i="2"/>
  <c r="BR43" i="2"/>
  <c r="BR33" i="2"/>
  <c r="BR41" i="2"/>
  <c r="BR38" i="2"/>
  <c r="BR34" i="2"/>
  <c r="BR39" i="2"/>
  <c r="BS38" i="2"/>
  <c r="BS43" i="2"/>
  <c r="BS40" i="2"/>
  <c r="BS34" i="2"/>
  <c r="BS33" i="2"/>
  <c r="BS41" i="2"/>
  <c r="BS39" i="2"/>
  <c r="BS42" i="2"/>
  <c r="BS32" i="2"/>
  <c r="BS31" i="2"/>
  <c r="BT39" i="2"/>
  <c r="BT43" i="2"/>
  <c r="BT41" i="2"/>
  <c r="BT42" i="2"/>
  <c r="BT32" i="2"/>
  <c r="BT34" i="2"/>
  <c r="BT40" i="2"/>
  <c r="BT31" i="2"/>
  <c r="BT38" i="2"/>
  <c r="BT33" i="2"/>
  <c r="BU31" i="2"/>
  <c r="BU43" i="2"/>
  <c r="BU38" i="2"/>
  <c r="BU34" i="2"/>
  <c r="BU32" i="2"/>
  <c r="BU42" i="2"/>
  <c r="BU40" i="2"/>
  <c r="BU39" i="2"/>
  <c r="BU33" i="2"/>
  <c r="BU41" i="2"/>
  <c r="BV38" i="2"/>
  <c r="BV34" i="2"/>
  <c r="BV39" i="2"/>
  <c r="BV42" i="2"/>
  <c r="BV32" i="2"/>
  <c r="BV33" i="2"/>
  <c r="BV43" i="2"/>
  <c r="BV31" i="2"/>
  <c r="BV40" i="2"/>
  <c r="BV41" i="2"/>
  <c r="BW42" i="2"/>
  <c r="BW41" i="2"/>
  <c r="BW33" i="2"/>
  <c r="BW40" i="2"/>
  <c r="BW39" i="2"/>
  <c r="BW32" i="2"/>
  <c r="BW31" i="2"/>
  <c r="BW43" i="2"/>
  <c r="BW38" i="2"/>
  <c r="BW34" i="2"/>
  <c r="BX38" i="2"/>
  <c r="BX43" i="2"/>
  <c r="BX33" i="2"/>
  <c r="BX39" i="2"/>
  <c r="BX41" i="2"/>
  <c r="BX42" i="2"/>
  <c r="BX34" i="2"/>
  <c r="BX32" i="2"/>
  <c r="BX40" i="2"/>
  <c r="BX31" i="2"/>
  <c r="BY38" i="2"/>
  <c r="BY33" i="2"/>
  <c r="BY42" i="2"/>
  <c r="BY41" i="2"/>
  <c r="BY40" i="2"/>
  <c r="BY43" i="2"/>
  <c r="BY34" i="2"/>
  <c r="BY39" i="2"/>
  <c r="BY31" i="2"/>
  <c r="BY32" i="2"/>
  <c r="BZ40" i="2"/>
  <c r="BZ39" i="2"/>
  <c r="BZ38" i="2"/>
  <c r="BZ33" i="2"/>
  <c r="BZ32" i="2"/>
  <c r="BZ34" i="2"/>
  <c r="BZ43" i="2"/>
  <c r="BZ42" i="2"/>
  <c r="BZ31" i="2"/>
  <c r="BZ41" i="2"/>
  <c r="CA34" i="2"/>
  <c r="CA32" i="2"/>
  <c r="CA40" i="2"/>
  <c r="CA33" i="2"/>
  <c r="CA31" i="2"/>
  <c r="CA38" i="2"/>
  <c r="CA43" i="2"/>
  <c r="CA42" i="2"/>
  <c r="CA39" i="2"/>
  <c r="CA41" i="2"/>
  <c r="CB33" i="2"/>
  <c r="CB39" i="2"/>
  <c r="CB40" i="2"/>
  <c r="CB43" i="2"/>
  <c r="CB42" i="2"/>
  <c r="CB38" i="2"/>
  <c r="CB34" i="2"/>
  <c r="CB31" i="2"/>
  <c r="CB32" i="2"/>
  <c r="CB41" i="2"/>
  <c r="CC32" i="2"/>
  <c r="CC34" i="2"/>
  <c r="CC42" i="2"/>
  <c r="CC41" i="2"/>
  <c r="CC33" i="2"/>
  <c r="CC40" i="2"/>
  <c r="CC43" i="2"/>
  <c r="CC38" i="2"/>
  <c r="CC39" i="2"/>
  <c r="CC31" i="2"/>
  <c r="CD33" i="2"/>
  <c r="CD38" i="2"/>
  <c r="CD32" i="2"/>
  <c r="CD39" i="2"/>
  <c r="CD41" i="2"/>
  <c r="CD34" i="2"/>
  <c r="CD43" i="2"/>
  <c r="CD31" i="2"/>
  <c r="CD40" i="2"/>
  <c r="CD42" i="2"/>
  <c r="CE33" i="2"/>
  <c r="CE32" i="2"/>
  <c r="CE31" i="2"/>
  <c r="CE38" i="2"/>
  <c r="CE39" i="2"/>
  <c r="CE40" i="2"/>
  <c r="CE34" i="2"/>
  <c r="CE43" i="2"/>
  <c r="CE42" i="2"/>
  <c r="CE41" i="2"/>
  <c r="CF39" i="2"/>
  <c r="CF38" i="2"/>
  <c r="CF34" i="2"/>
  <c r="CF32" i="2"/>
  <c r="CF41" i="2"/>
  <c r="CF40" i="2"/>
  <c r="CF43" i="2"/>
  <c r="CF31" i="2"/>
  <c r="CF42" i="2"/>
  <c r="CF33" i="2"/>
  <c r="CG39" i="2"/>
  <c r="CG38" i="2"/>
  <c r="CG42" i="2"/>
  <c r="CG31" i="2"/>
  <c r="CG43" i="2"/>
  <c r="CG34" i="2"/>
  <c r="CG41" i="2"/>
  <c r="CG40" i="2"/>
  <c r="CG33" i="2"/>
  <c r="CG32" i="2"/>
  <c r="CH40" i="2"/>
  <c r="CH33" i="2"/>
  <c r="CH39" i="2"/>
  <c r="CH31" i="2"/>
  <c r="CH34" i="2"/>
  <c r="CH43" i="2"/>
  <c r="CH42" i="2"/>
  <c r="CH38" i="2"/>
  <c r="CH41" i="2"/>
  <c r="CH32" i="2"/>
  <c r="CI41" i="2"/>
  <c r="CI43" i="2"/>
  <c r="CI31" i="2"/>
  <c r="CI39" i="2"/>
  <c r="CI38" i="2"/>
  <c r="CI34" i="2"/>
  <c r="CI40" i="2"/>
  <c r="CI42" i="2"/>
  <c r="CI32" i="2"/>
  <c r="CI33" i="2"/>
  <c r="CJ31" i="2"/>
  <c r="CJ34" i="2"/>
  <c r="CJ43" i="2"/>
  <c r="CJ42" i="2"/>
  <c r="CJ38" i="2"/>
  <c r="CJ39" i="2"/>
  <c r="CJ41" i="2"/>
  <c r="CJ32" i="2"/>
  <c r="CJ40" i="2"/>
  <c r="CJ33" i="2"/>
  <c r="CK39" i="2"/>
  <c r="CK41" i="2"/>
  <c r="CK43" i="2"/>
  <c r="CK33" i="2"/>
  <c r="CK42" i="2"/>
  <c r="CK34" i="2"/>
  <c r="CK32" i="2"/>
  <c r="CK31" i="2"/>
  <c r="CK40" i="2"/>
  <c r="CK38" i="2"/>
  <c r="CL33" i="2"/>
  <c r="CL43" i="2"/>
  <c r="CL41" i="2"/>
  <c r="CL42" i="2"/>
  <c r="CL39" i="2"/>
  <c r="CL40" i="2"/>
  <c r="CL31" i="2"/>
  <c r="CL32" i="2"/>
  <c r="CL38" i="2"/>
  <c r="CL34" i="2"/>
  <c r="CM40" i="2"/>
  <c r="CM31" i="2"/>
  <c r="CM32" i="2"/>
  <c r="CM41" i="2"/>
  <c r="CM38" i="2"/>
  <c r="CM42" i="2"/>
  <c r="CM34" i="2"/>
  <c r="CM39" i="2"/>
  <c r="CM43" i="2"/>
  <c r="CM33" i="2"/>
  <c r="CN34" i="2"/>
  <c r="CN40" i="2"/>
  <c r="CN41" i="2"/>
  <c r="CN33" i="2"/>
  <c r="CN32" i="2"/>
  <c r="CN31" i="2"/>
  <c r="CN39" i="2"/>
  <c r="CN42" i="2"/>
  <c r="CN43" i="2"/>
  <c r="CN38" i="2"/>
  <c r="CO40" i="2"/>
  <c r="CO39" i="2"/>
  <c r="CO41" i="2"/>
  <c r="CO34" i="2"/>
  <c r="CO33" i="2"/>
  <c r="CO38" i="2"/>
  <c r="CO43" i="2"/>
  <c r="CO31" i="2"/>
  <c r="CO32" i="2"/>
  <c r="CO42" i="2"/>
  <c r="CP42" i="2"/>
  <c r="CP34" i="2"/>
  <c r="CP33" i="2"/>
  <c r="CP41" i="2"/>
  <c r="CP31" i="2"/>
  <c r="CP43" i="2"/>
  <c r="CP32" i="2"/>
  <c r="CP38" i="2"/>
  <c r="CP40" i="2"/>
  <c r="CP39" i="2"/>
  <c r="CQ43" i="2"/>
  <c r="CQ32" i="2"/>
  <c r="CQ33" i="2"/>
  <c r="CQ34" i="2"/>
  <c r="CQ39" i="2"/>
  <c r="CQ42" i="2"/>
  <c r="CQ41" i="2"/>
  <c r="CQ38" i="2"/>
  <c r="CQ40" i="2"/>
  <c r="CQ31" i="2"/>
  <c r="CR32" i="2"/>
  <c r="CR43" i="2"/>
  <c r="CR38" i="2"/>
  <c r="CR42" i="2"/>
  <c r="CR34" i="2"/>
  <c r="CR40" i="2"/>
  <c r="CR39" i="2"/>
  <c r="CR33" i="2"/>
  <c r="CR41" i="2"/>
  <c r="CR31" i="2"/>
  <c r="CS38" i="2"/>
  <c r="CS31" i="2"/>
  <c r="CS42" i="2"/>
  <c r="CS32" i="2"/>
  <c r="CS40" i="2"/>
  <c r="CS33" i="2"/>
  <c r="CS34" i="2"/>
  <c r="CS39" i="2"/>
  <c r="CS41" i="2"/>
  <c r="CS43" i="2"/>
  <c r="CT31" i="2"/>
  <c r="CT39" i="2"/>
  <c r="CT33" i="2"/>
  <c r="CT41" i="2"/>
  <c r="CT34" i="2"/>
  <c r="CT42" i="2"/>
  <c r="CT40" i="2"/>
  <c r="CT43" i="2"/>
  <c r="CT32" i="2"/>
  <c r="CT38" i="2"/>
  <c r="CU33" i="2"/>
  <c r="CU34" i="2"/>
  <c r="CU31" i="2"/>
  <c r="CU43" i="2"/>
  <c r="CU39" i="2"/>
  <c r="CU38" i="2"/>
  <c r="CU41" i="2"/>
  <c r="CU32" i="2"/>
  <c r="CU42" i="2"/>
  <c r="CU40" i="2"/>
  <c r="CV33" i="2"/>
  <c r="CV32" i="2"/>
  <c r="CV38" i="2"/>
  <c r="CV31" i="2"/>
  <c r="CV43" i="2"/>
  <c r="CV40" i="2"/>
  <c r="CV39" i="2"/>
  <c r="CV41" i="2"/>
  <c r="CV34" i="2"/>
  <c r="CV42" i="2"/>
  <c r="CW38" i="2"/>
  <c r="CW34" i="2"/>
  <c r="CW40" i="2"/>
  <c r="CW39" i="2"/>
  <c r="CW43" i="2"/>
  <c r="CW31" i="2"/>
  <c r="CW32" i="2"/>
  <c r="CW33" i="2"/>
  <c r="CW41" i="2"/>
  <c r="CW42" i="2"/>
  <c r="CX43" i="2"/>
  <c r="CX38" i="2"/>
  <c r="CX40" i="2"/>
  <c r="CX33" i="2"/>
  <c r="CX41" i="2"/>
  <c r="CX39" i="2"/>
  <c r="CX32" i="2"/>
  <c r="CX34" i="2"/>
  <c r="CX42" i="2"/>
  <c r="CX31" i="2"/>
  <c r="CY42" i="2"/>
  <c r="CY41" i="2"/>
  <c r="CY39" i="2"/>
  <c r="CY38" i="2"/>
  <c r="CY40" i="2"/>
  <c r="CY32" i="2"/>
  <c r="CY31" i="2"/>
  <c r="CY33" i="2"/>
  <c r="CY43" i="2"/>
  <c r="CY34" i="2"/>
  <c r="CZ34" i="2"/>
  <c r="CZ41" i="2"/>
  <c r="CZ38" i="2"/>
  <c r="CZ39" i="2"/>
  <c r="CZ31" i="2"/>
  <c r="CZ42" i="2"/>
  <c r="CZ43" i="2"/>
  <c r="CZ40" i="2"/>
  <c r="CZ33" i="2"/>
  <c r="CZ32" i="2"/>
  <c r="DA43" i="2"/>
  <c r="DA31" i="2"/>
  <c r="DA42" i="2"/>
  <c r="DA39" i="2"/>
  <c r="DA34" i="2"/>
  <c r="DA38" i="2"/>
  <c r="DA40" i="2"/>
  <c r="DA33" i="2"/>
  <c r="DA32" i="2"/>
  <c r="DA41" i="2"/>
  <c r="DB31" i="2"/>
  <c r="DB43" i="2"/>
  <c r="DB40" i="2"/>
  <c r="DB38" i="2"/>
  <c r="DB34" i="2"/>
  <c r="DB32" i="2"/>
  <c r="DB42" i="2"/>
  <c r="DB39" i="2"/>
  <c r="DB33" i="2"/>
  <c r="DB41" i="2"/>
  <c r="DC39" i="2"/>
  <c r="DC34" i="2"/>
  <c r="DC42" i="2"/>
  <c r="DC31" i="2"/>
  <c r="DC40" i="2"/>
  <c r="DC43" i="2"/>
  <c r="DC41" i="2"/>
  <c r="DC38" i="2"/>
  <c r="DC32" i="2"/>
  <c r="DC33" i="2"/>
  <c r="DD40" i="2"/>
  <c r="DD33" i="2"/>
  <c r="DD43" i="2"/>
  <c r="DD34" i="2"/>
  <c r="DD42" i="2"/>
  <c r="DD31" i="2"/>
  <c r="DD32" i="2"/>
  <c r="DD39" i="2"/>
  <c r="DD41" i="2"/>
  <c r="DD38" i="2"/>
  <c r="DE33" i="2"/>
  <c r="DE40" i="2"/>
  <c r="DE41" i="2"/>
  <c r="DE32" i="2"/>
  <c r="DE39" i="2"/>
  <c r="DE42" i="2"/>
  <c r="DE34" i="2"/>
  <c r="DE43" i="2"/>
  <c r="DE31" i="2"/>
  <c r="DE38" i="2"/>
  <c r="DF40" i="2"/>
  <c r="DF39" i="2"/>
  <c r="DF38" i="2"/>
  <c r="DF33" i="2"/>
  <c r="DF31" i="2"/>
  <c r="DF43" i="2"/>
  <c r="DF32" i="2"/>
  <c r="DF42" i="2"/>
  <c r="DF34" i="2"/>
  <c r="DF41" i="2"/>
  <c r="DG42" i="2"/>
  <c r="DG34" i="2"/>
  <c r="DG43" i="2"/>
  <c r="DG31" i="2"/>
  <c r="DG39" i="2"/>
  <c r="DG32" i="2"/>
  <c r="DG38" i="2"/>
  <c r="DG41" i="2"/>
  <c r="DG40" i="2"/>
  <c r="DG33" i="2"/>
  <c r="DH34" i="2"/>
  <c r="DH43" i="2"/>
  <c r="DH32" i="2"/>
  <c r="DH33" i="2"/>
  <c r="DH39" i="2"/>
  <c r="DH40" i="2"/>
  <c r="DH31" i="2"/>
  <c r="DH38" i="2"/>
  <c r="DH42" i="2"/>
  <c r="DH41" i="2"/>
  <c r="DI40" i="2"/>
  <c r="DI33" i="2"/>
  <c r="DI41" i="2"/>
  <c r="DI31" i="2"/>
  <c r="DI34" i="2"/>
  <c r="DI39" i="2"/>
  <c r="DI43" i="2"/>
  <c r="DI32" i="2"/>
  <c r="DI42" i="2"/>
  <c r="DI38" i="2"/>
  <c r="DJ41" i="2"/>
  <c r="DJ43" i="2"/>
  <c r="DJ42" i="2"/>
  <c r="DJ31" i="2"/>
  <c r="DJ38" i="2"/>
  <c r="DJ40" i="2"/>
  <c r="DJ39" i="2"/>
  <c r="DJ34" i="2"/>
  <c r="DJ33" i="2"/>
  <c r="DJ32" i="2"/>
  <c r="DK39" i="2"/>
  <c r="DK33" i="2"/>
  <c r="DK40" i="2"/>
  <c r="DK32" i="2"/>
  <c r="DK42" i="2"/>
  <c r="DK34" i="2"/>
  <c r="DK41" i="2"/>
  <c r="DK43" i="2"/>
  <c r="DK38" i="2"/>
  <c r="DK31" i="2"/>
  <c r="DL41" i="2"/>
  <c r="DL43" i="2"/>
  <c r="DL34" i="2"/>
  <c r="DL32" i="2"/>
  <c r="DL38" i="2"/>
  <c r="DL33" i="2"/>
  <c r="DL40" i="2"/>
  <c r="DL39" i="2"/>
  <c r="DL31" i="2"/>
  <c r="DL42" i="2"/>
  <c r="DM40" i="2"/>
  <c r="DM34" i="2"/>
  <c r="DM42" i="2"/>
  <c r="DM32" i="2"/>
  <c r="DM43" i="2"/>
  <c r="DM31" i="2"/>
  <c r="DM33" i="2"/>
  <c r="DM41" i="2"/>
  <c r="DM38" i="2"/>
  <c r="DM39" i="2"/>
  <c r="DN42" i="2"/>
  <c r="DN31" i="2"/>
  <c r="DN40" i="2"/>
  <c r="DN33" i="2"/>
  <c r="DN43" i="2"/>
  <c r="DN41" i="2"/>
  <c r="DN32" i="2"/>
  <c r="DN39" i="2"/>
  <c r="DN38" i="2"/>
  <c r="DN34" i="2"/>
  <c r="DO39" i="2"/>
  <c r="DO32" i="2"/>
  <c r="DO38" i="2"/>
  <c r="DO41" i="2"/>
  <c r="DO31" i="2"/>
  <c r="DO33" i="2"/>
  <c r="DO43" i="2"/>
  <c r="DO42" i="2"/>
  <c r="DO34" i="2"/>
  <c r="DO40" i="2"/>
  <c r="DP41" i="2"/>
  <c r="DP38" i="2"/>
  <c r="DP33" i="2"/>
  <c r="DP34" i="2"/>
  <c r="DP42" i="2"/>
  <c r="DP39" i="2"/>
  <c r="DP43" i="2"/>
  <c r="DP31" i="2"/>
  <c r="DP32" i="2"/>
  <c r="DP40" i="2"/>
  <c r="DQ40" i="2"/>
  <c r="DQ32" i="2"/>
  <c r="DQ39" i="2"/>
  <c r="DQ38" i="2"/>
  <c r="DQ43" i="2"/>
  <c r="DQ34" i="2"/>
  <c r="DQ41" i="2"/>
  <c r="DQ33" i="2"/>
  <c r="DQ42" i="2"/>
  <c r="DQ31" i="2"/>
  <c r="DR38" i="2"/>
  <c r="DR34" i="2"/>
  <c r="DR40" i="2"/>
  <c r="DR43" i="2"/>
  <c r="DR32" i="2"/>
  <c r="DR41" i="2"/>
  <c r="DR42" i="2"/>
  <c r="DR39" i="2"/>
  <c r="DR31" i="2"/>
  <c r="DR33" i="2"/>
  <c r="DS41" i="2"/>
  <c r="DS34" i="2"/>
  <c r="DS31" i="2"/>
  <c r="DS32" i="2"/>
  <c r="DS43" i="2"/>
  <c r="DS38" i="2"/>
  <c r="DS42" i="2"/>
  <c r="DS40" i="2"/>
  <c r="DS39" i="2"/>
  <c r="DS33" i="2"/>
  <c r="DT34" i="2"/>
  <c r="DT42" i="2"/>
  <c r="DT31" i="2"/>
  <c r="DT38" i="2"/>
  <c r="DT32" i="2"/>
  <c r="DT39" i="2"/>
  <c r="DT43" i="2"/>
  <c r="DT33" i="2"/>
  <c r="DT41" i="2"/>
  <c r="DT40" i="2"/>
  <c r="DU43" i="2"/>
  <c r="DU38" i="2"/>
  <c r="DU40" i="2"/>
  <c r="DU31" i="2"/>
  <c r="DU34" i="2"/>
  <c r="DU32" i="2"/>
  <c r="DU42" i="2"/>
  <c r="DU33" i="2"/>
  <c r="DU41" i="2"/>
  <c r="DU39" i="2"/>
  <c r="DV40" i="2"/>
  <c r="DV42" i="2"/>
  <c r="DV33" i="2"/>
  <c r="DV39" i="2"/>
  <c r="DV43" i="2"/>
  <c r="DV38" i="2"/>
  <c r="DV31" i="2"/>
  <c r="DV34" i="2"/>
  <c r="DV41" i="2"/>
  <c r="DV32" i="2"/>
  <c r="DW33" i="2"/>
  <c r="DW31" i="2"/>
  <c r="DW32" i="2"/>
  <c r="DW41" i="2"/>
  <c r="DW38" i="2"/>
  <c r="DW39" i="2"/>
  <c r="DW42" i="2"/>
  <c r="DW34" i="2"/>
  <c r="DW43" i="2"/>
  <c r="DW40" i="2"/>
  <c r="DX41" i="2"/>
  <c r="DX32" i="2"/>
  <c r="DX33" i="2"/>
  <c r="DX42" i="2"/>
  <c r="DX39" i="2"/>
  <c r="DX34" i="2"/>
  <c r="DX40" i="2"/>
  <c r="DX31" i="2"/>
  <c r="DX43" i="2"/>
  <c r="DX38" i="2"/>
  <c r="DY32" i="2"/>
  <c r="DY31" i="2"/>
  <c r="DY38" i="2"/>
  <c r="DY42" i="2"/>
  <c r="DY41" i="2"/>
  <c r="DY34" i="2"/>
  <c r="DY33" i="2"/>
  <c r="DY39" i="2"/>
  <c r="DY40" i="2"/>
  <c r="DY43" i="2"/>
  <c r="DZ41" i="2"/>
  <c r="DZ31" i="2"/>
  <c r="DZ38" i="2"/>
  <c r="DZ33" i="2"/>
  <c r="DZ32" i="2"/>
  <c r="DZ42" i="2"/>
  <c r="DZ43" i="2"/>
  <c r="DZ34" i="2"/>
  <c r="DZ39" i="2"/>
  <c r="DZ40" i="2"/>
  <c r="EA43" i="2"/>
  <c r="EA34" i="2"/>
  <c r="EA32" i="2"/>
  <c r="EA40" i="2"/>
  <c r="EA33" i="2"/>
  <c r="EA38" i="2"/>
  <c r="EA31" i="2"/>
  <c r="EA39" i="2"/>
  <c r="EA42" i="2"/>
  <c r="EA41" i="2"/>
  <c r="EB39" i="2"/>
  <c r="EB42" i="2"/>
  <c r="EB40" i="2"/>
  <c r="EB31" i="2"/>
  <c r="EB41" i="2"/>
  <c r="EB43" i="2"/>
  <c r="EB33" i="2"/>
  <c r="EB34" i="2"/>
  <c r="EB38" i="2"/>
  <c r="EB32" i="2"/>
  <c r="EC42" i="2"/>
  <c r="EC43" i="2"/>
  <c r="EC31" i="2"/>
  <c r="EC33" i="2"/>
  <c r="EC32" i="2"/>
  <c r="EC41" i="2"/>
  <c r="EC39" i="2"/>
  <c r="EC38" i="2"/>
  <c r="EC40" i="2"/>
  <c r="EC34" i="2"/>
  <c r="ED33" i="2"/>
  <c r="ED31" i="2"/>
  <c r="ED43" i="2"/>
  <c r="ED39" i="2"/>
  <c r="ED34" i="2"/>
  <c r="ED32" i="2"/>
  <c r="ED41" i="2"/>
  <c r="ED38" i="2"/>
  <c r="ED42" i="2"/>
  <c r="ED40" i="2"/>
  <c r="EE40" i="2"/>
  <c r="EE34" i="2"/>
  <c r="EE31" i="2"/>
  <c r="EE42" i="2"/>
  <c r="EE32" i="2"/>
  <c r="EE33" i="2"/>
  <c r="EE41" i="2"/>
  <c r="EE43" i="2"/>
  <c r="EE38" i="2"/>
  <c r="EE39" i="2"/>
  <c r="EF41" i="2"/>
  <c r="EF31" i="2"/>
  <c r="EF43" i="2"/>
  <c r="EF34" i="2"/>
  <c r="EF32" i="2"/>
  <c r="EF40" i="2"/>
  <c r="EF33" i="2"/>
  <c r="EF42" i="2"/>
  <c r="EF39" i="2"/>
  <c r="EF38" i="2"/>
  <c r="EG34" i="2"/>
  <c r="EG32" i="2"/>
  <c r="EG38" i="2"/>
  <c r="EG40" i="2"/>
  <c r="EG33" i="2"/>
  <c r="EG43" i="2"/>
  <c r="EG41" i="2"/>
  <c r="EG31" i="2"/>
  <c r="EG42" i="2"/>
  <c r="EG39" i="2"/>
  <c r="EH41" i="2"/>
  <c r="EH39" i="2"/>
  <c r="EH42" i="2"/>
  <c r="EH43" i="2"/>
  <c r="EH32" i="2"/>
  <c r="EH33" i="2"/>
  <c r="EH31" i="2"/>
  <c r="EH38" i="2"/>
  <c r="EH40" i="2"/>
  <c r="EH34" i="2"/>
  <c r="EI39" i="2"/>
  <c r="EI41" i="2"/>
  <c r="EI42" i="2"/>
  <c r="EI40" i="2"/>
  <c r="EI32" i="2"/>
  <c r="EI33" i="2"/>
  <c r="EI31" i="2"/>
  <c r="EI38" i="2"/>
  <c r="EI34" i="2"/>
  <c r="EI43" i="2"/>
  <c r="EJ40" i="2"/>
  <c r="EJ34" i="2"/>
  <c r="EJ43" i="2"/>
  <c r="EJ38" i="2"/>
  <c r="EJ31" i="2"/>
  <c r="EJ42" i="2"/>
  <c r="EJ41" i="2"/>
  <c r="EJ32" i="2"/>
  <c r="EJ33" i="2"/>
  <c r="EJ39" i="2"/>
  <c r="EK33" i="2"/>
  <c r="EK32" i="2"/>
  <c r="EK40" i="2"/>
  <c r="EK34" i="2"/>
  <c r="EK31" i="2"/>
  <c r="EK43" i="2"/>
  <c r="EK38" i="2"/>
  <c r="EK39" i="2"/>
  <c r="EK42" i="2"/>
  <c r="EK41" i="2"/>
  <c r="EL42" i="2"/>
  <c r="EL41" i="2"/>
  <c r="EL33" i="2"/>
  <c r="EL38" i="2"/>
  <c r="EL34" i="2"/>
  <c r="EL39" i="2"/>
  <c r="EL31" i="2"/>
  <c r="EL32" i="2"/>
  <c r="EL43" i="2"/>
  <c r="EL40" i="2"/>
  <c r="EM43" i="2"/>
  <c r="EM38" i="2"/>
  <c r="EM33" i="2"/>
  <c r="EM42" i="2"/>
  <c r="EM41" i="2"/>
  <c r="EM31" i="2"/>
  <c r="EM32" i="2"/>
  <c r="EM40" i="2"/>
  <c r="EM39" i="2"/>
  <c r="EM34" i="2"/>
  <c r="EN41" i="2"/>
  <c r="EN39" i="2"/>
  <c r="EN33" i="2"/>
  <c r="EN38" i="2"/>
  <c r="EN31" i="2"/>
  <c r="EN32" i="2"/>
  <c r="EN42" i="2"/>
  <c r="EN40" i="2"/>
  <c r="EN43" i="2"/>
  <c r="EN34" i="2"/>
  <c r="EO38" i="2"/>
  <c r="EO34" i="2"/>
  <c r="EO40" i="2"/>
  <c r="EO42" i="2"/>
  <c r="EO33" i="2"/>
  <c r="EO43" i="2"/>
  <c r="EO41" i="2"/>
  <c r="EO39" i="2"/>
  <c r="EO31" i="2"/>
  <c r="EO32" i="2"/>
  <c r="ES41" i="2"/>
  <c r="ES38" i="2"/>
  <c r="EQ39" i="2"/>
  <c r="EP39" i="2"/>
  <c r="EP32" i="2"/>
  <c r="ES40" i="2"/>
  <c r="ES34" i="2"/>
  <c r="EP40" i="2"/>
  <c r="ER39" i="2"/>
  <c r="ER32" i="2"/>
  <c r="ES43" i="2"/>
  <c r="ER42" i="2"/>
  <c r="ER40" i="2"/>
  <c r="EP41" i="2"/>
  <c r="EQ38" i="2"/>
  <c r="ES39" i="2"/>
  <c r="ER43" i="2"/>
  <c r="EQ43" i="2"/>
  <c r="EP38" i="2"/>
  <c r="EQ42" i="2"/>
  <c r="ES42" i="2"/>
  <c r="EP42" i="2"/>
  <c r="EP43" i="2"/>
  <c r="EQ33" i="2"/>
  <c r="ER34" i="2"/>
  <c r="ES32" i="2"/>
  <c r="EQ34" i="2"/>
  <c r="ER41" i="2"/>
  <c r="ER33" i="2"/>
  <c r="EQ31" i="2"/>
  <c r="ES33" i="2"/>
  <c r="ER38" i="2"/>
  <c r="EQ32" i="2"/>
  <c r="EP33" i="2"/>
  <c r="EP31" i="2"/>
  <c r="ES31" i="2"/>
  <c r="ER31" i="2"/>
  <c r="EQ40" i="2"/>
  <c r="EQ41" i="2"/>
  <c r="EP34" i="2"/>
  <c r="H34" i="4"/>
  <c r="I34" i="4"/>
  <c r="H31" i="4"/>
  <c r="I31" i="4"/>
  <c r="H29" i="4"/>
  <c r="I29" i="4"/>
  <c r="H30" i="4"/>
  <c r="I30" i="4"/>
  <c r="H42" i="4"/>
  <c r="I42" i="4"/>
  <c r="H32" i="4"/>
  <c r="I32" i="4"/>
  <c r="H33" i="4"/>
  <c r="I33" i="4"/>
  <c r="H36" i="4"/>
  <c r="I36" i="4"/>
  <c r="H37" i="4"/>
  <c r="I37" i="4"/>
  <c r="EU106" i="2"/>
  <c r="EU130" i="2"/>
  <c r="EU121" i="2"/>
  <c r="EU124" i="2" s="1"/>
  <c r="EI85" i="4"/>
  <c r="EH81" i="4"/>
  <c r="EH82" i="4" s="1"/>
  <c r="ET103" i="2"/>
  <c r="ET134" i="2"/>
  <c r="KD196" i="2" s="1"/>
  <c r="K28" i="4" l="1"/>
  <c r="L28" i="4"/>
  <c r="M28" i="4"/>
  <c r="N28" i="4"/>
  <c r="O28" i="4"/>
  <c r="P28" i="4"/>
  <c r="Q28" i="4"/>
  <c r="AG35" i="2"/>
  <c r="U66" i="4" s="1"/>
  <c r="I28" i="4"/>
  <c r="J28" i="4"/>
  <c r="AV35" i="2"/>
  <c r="AJ66" i="4" s="1"/>
  <c r="EQ35" i="2"/>
  <c r="EE66" i="4" s="1"/>
  <c r="EN35" i="2"/>
  <c r="EB66" i="4" s="1"/>
  <c r="DR35" i="2"/>
  <c r="DF66" i="4" s="1"/>
  <c r="DF35" i="2"/>
  <c r="CT66" i="4" s="1"/>
  <c r="CY44" i="2"/>
  <c r="CM67" i="4" s="1"/>
  <c r="CL35" i="2"/>
  <c r="BZ66" i="4" s="1"/>
  <c r="CG35" i="2"/>
  <c r="BU66" i="4" s="1"/>
  <c r="BY35" i="2"/>
  <c r="BM66" i="4" s="1"/>
  <c r="AZ35" i="2"/>
  <c r="AN66" i="4" s="1"/>
  <c r="DH35" i="2"/>
  <c r="CV66" i="4" s="1"/>
  <c r="CB35" i="2"/>
  <c r="BP66" i="4" s="1"/>
  <c r="BH35" i="2"/>
  <c r="AV66" i="4" s="1"/>
  <c r="EJ35" i="2"/>
  <c r="DX66" i="4" s="1"/>
  <c r="CE35" i="2"/>
  <c r="BS66" i="4" s="1"/>
  <c r="BT35" i="2"/>
  <c r="BH66" i="4" s="1"/>
  <c r="AY35" i="2"/>
  <c r="AM66" i="4" s="1"/>
  <c r="AA35" i="2"/>
  <c r="O66" i="4" s="1"/>
  <c r="ER35" i="2"/>
  <c r="EF66" i="4" s="1"/>
  <c r="DW35" i="2"/>
  <c r="DK66" i="4" s="1"/>
  <c r="DP44" i="2"/>
  <c r="DD67" i="4" s="1"/>
  <c r="DO44" i="2"/>
  <c r="DC67" i="4" s="1"/>
  <c r="DN35" i="2"/>
  <c r="DB66" i="4" s="1"/>
  <c r="DM35" i="2"/>
  <c r="DA66" i="4" s="1"/>
  <c r="DI35" i="2"/>
  <c r="CW66" i="4" s="1"/>
  <c r="CQ35" i="2"/>
  <c r="CE66" i="4" s="1"/>
  <c r="CE44" i="2"/>
  <c r="BS67" i="4" s="1"/>
  <c r="CD35" i="2"/>
  <c r="BR66" i="4" s="1"/>
  <c r="CB44" i="2"/>
  <c r="BP67" i="4" s="1"/>
  <c r="BZ35" i="2"/>
  <c r="BN66" i="4" s="1"/>
  <c r="BX44" i="2"/>
  <c r="BL67" i="4" s="1"/>
  <c r="BV35" i="2"/>
  <c r="BJ66" i="4" s="1"/>
  <c r="BT44" i="2"/>
  <c r="BH67" i="4" s="1"/>
  <c r="BR35" i="2"/>
  <c r="BF66" i="4" s="1"/>
  <c r="BB35" i="2"/>
  <c r="AP66" i="4" s="1"/>
  <c r="AX35" i="2"/>
  <c r="AL66" i="4" s="1"/>
  <c r="AW35" i="2"/>
  <c r="AK66" i="4" s="1"/>
  <c r="AS35" i="2"/>
  <c r="AG66" i="4" s="1"/>
  <c r="AR44" i="2"/>
  <c r="AF67" i="4" s="1"/>
  <c r="AP44" i="2"/>
  <c r="AD67" i="4" s="1"/>
  <c r="AL35" i="2"/>
  <c r="Z66" i="4" s="1"/>
  <c r="AB44" i="2"/>
  <c r="P67" i="4" s="1"/>
  <c r="AA44" i="2"/>
  <c r="O67" i="4" s="1"/>
  <c r="EK35" i="2"/>
  <c r="DY66" i="4" s="1"/>
  <c r="BP35" i="2"/>
  <c r="BD66" i="4" s="1"/>
  <c r="BI35" i="2"/>
  <c r="AW66" i="4" s="1"/>
  <c r="AM35" i="2"/>
  <c r="AA66" i="4" s="1"/>
  <c r="AC35" i="2"/>
  <c r="Q66" i="4" s="1"/>
  <c r="R33" i="2"/>
  <c r="ER44" i="2"/>
  <c r="EM44" i="2"/>
  <c r="DZ44" i="2"/>
  <c r="DY35" i="2"/>
  <c r="DM66" i="4" s="1"/>
  <c r="DQ44" i="2"/>
  <c r="DM44" i="2"/>
  <c r="DL35" i="2"/>
  <c r="CZ66" i="4" s="1"/>
  <c r="DJ44" i="2"/>
  <c r="CY35" i="2"/>
  <c r="CM66" i="4" s="1"/>
  <c r="CX35" i="2"/>
  <c r="CL66" i="4" s="1"/>
  <c r="CW44" i="2"/>
  <c r="CU44" i="2"/>
  <c r="CT35" i="2"/>
  <c r="CH66" i="4" s="1"/>
  <c r="CS44" i="2"/>
  <c r="CN35" i="2"/>
  <c r="CB66" i="4" s="1"/>
  <c r="CK35" i="2"/>
  <c r="BY66" i="4" s="1"/>
  <c r="CJ35" i="2"/>
  <c r="BX66" i="4" s="1"/>
  <c r="CG44" i="2"/>
  <c r="CF35" i="2"/>
  <c r="BT66" i="4" s="1"/>
  <c r="BW35" i="2"/>
  <c r="BK66" i="4" s="1"/>
  <c r="BR44" i="2"/>
  <c r="BP44" i="2"/>
  <c r="BI44" i="2"/>
  <c r="BG44" i="2"/>
  <c r="BF44" i="2"/>
  <c r="BE44" i="2"/>
  <c r="BC44" i="2"/>
  <c r="AW44" i="2"/>
  <c r="AU35" i="2"/>
  <c r="AI66" i="4" s="1"/>
  <c r="AQ35" i="2"/>
  <c r="AE66" i="4" s="1"/>
  <c r="AP35" i="2"/>
  <c r="AD66" i="4" s="1"/>
  <c r="AO44" i="2"/>
  <c r="AK35" i="2"/>
  <c r="Y66" i="4" s="1"/>
  <c r="AJ35" i="2"/>
  <c r="X66" i="4" s="1"/>
  <c r="AI35" i="2"/>
  <c r="W66" i="4" s="1"/>
  <c r="W44" i="2"/>
  <c r="T35" i="2"/>
  <c r="H66" i="4" s="1"/>
  <c r="R39" i="2"/>
  <c r="R32" i="2"/>
  <c r="ET44" i="2"/>
  <c r="EU104" i="2"/>
  <c r="EI78" i="4"/>
  <c r="EP44" i="2"/>
  <c r="EA44" i="2"/>
  <c r="DX35" i="2"/>
  <c r="DL66" i="4" s="1"/>
  <c r="DW44" i="2"/>
  <c r="DT35" i="2"/>
  <c r="DH66" i="4" s="1"/>
  <c r="DO35" i="2"/>
  <c r="DC66" i="4" s="1"/>
  <c r="DK44" i="2"/>
  <c r="DI44" i="2"/>
  <c r="DG44" i="2"/>
  <c r="CS35" i="2"/>
  <c r="CG66" i="4" s="1"/>
  <c r="CQ44" i="2"/>
  <c r="CI35" i="2"/>
  <c r="BW66" i="4" s="1"/>
  <c r="BQ44" i="2"/>
  <c r="BM35" i="2"/>
  <c r="BA66" i="4" s="1"/>
  <c r="BL35" i="2"/>
  <c r="AZ66" i="4" s="1"/>
  <c r="BB44" i="2"/>
  <c r="AC44" i="2"/>
  <c r="Y35" i="2"/>
  <c r="M66" i="4" s="1"/>
  <c r="AH44" i="2"/>
  <c r="ET143" i="2"/>
  <c r="K194" i="2" s="1"/>
  <c r="K197" i="2" s="1"/>
  <c r="EN44" i="2"/>
  <c r="EF44" i="2"/>
  <c r="EF35" i="2"/>
  <c r="DT66" i="4" s="1"/>
  <c r="DX44" i="2"/>
  <c r="DT44" i="2"/>
  <c r="DR44" i="2"/>
  <c r="DK35" i="2"/>
  <c r="CY66" i="4" s="1"/>
  <c r="DH44" i="2"/>
  <c r="DG35" i="2"/>
  <c r="CU66" i="4" s="1"/>
  <c r="DD44" i="2"/>
  <c r="DD35" i="2"/>
  <c r="CR66" i="4" s="1"/>
  <c r="DC35" i="2"/>
  <c r="CQ66" i="4" s="1"/>
  <c r="CZ44" i="2"/>
  <c r="CV35" i="2"/>
  <c r="CJ66" i="4" s="1"/>
  <c r="CT44" i="2"/>
  <c r="CP44" i="2"/>
  <c r="CO44" i="2"/>
  <c r="BU35" i="2"/>
  <c r="BI66" i="4" s="1"/>
  <c r="BS44" i="2"/>
  <c r="BQ35" i="2"/>
  <c r="BE66" i="4" s="1"/>
  <c r="BL44" i="2"/>
  <c r="BK44" i="2"/>
  <c r="BE35" i="2"/>
  <c r="AS66" i="4" s="1"/>
  <c r="BD44" i="2"/>
  <c r="AX44" i="2"/>
  <c r="AU44" i="2"/>
  <c r="AR35" i="2"/>
  <c r="AF66" i="4" s="1"/>
  <c r="AK44" i="2"/>
  <c r="AJ44" i="2"/>
  <c r="AG44" i="2"/>
  <c r="AF35" i="2"/>
  <c r="T66" i="4" s="1"/>
  <c r="V35" i="2"/>
  <c r="J66" i="4" s="1"/>
  <c r="U44" i="2"/>
  <c r="EU44" i="2"/>
  <c r="EH35" i="2"/>
  <c r="DV66" i="4" s="1"/>
  <c r="EL44" i="2"/>
  <c r="EI35" i="2"/>
  <c r="DW66" i="4" s="1"/>
  <c r="ES44" i="2"/>
  <c r="EP35" i="2"/>
  <c r="ED66" i="4" s="1"/>
  <c r="ES35" i="2"/>
  <c r="EG66" i="4" s="1"/>
  <c r="EL35" i="2"/>
  <c r="DZ66" i="4" s="1"/>
  <c r="EJ44" i="2"/>
  <c r="EG35" i="2"/>
  <c r="DU66" i="4" s="1"/>
  <c r="EE35" i="2"/>
  <c r="DS66" i="4" s="1"/>
  <c r="EC35" i="2"/>
  <c r="DQ66" i="4" s="1"/>
  <c r="DY44" i="2"/>
  <c r="DP35" i="2"/>
  <c r="DD66" i="4" s="1"/>
  <c r="DE35" i="2"/>
  <c r="CS66" i="4" s="1"/>
  <c r="DB35" i="2"/>
  <c r="CP66" i="4" s="1"/>
  <c r="CZ35" i="2"/>
  <c r="CN66" i="4" s="1"/>
  <c r="CR35" i="2"/>
  <c r="CF66" i="4" s="1"/>
  <c r="CR44" i="2"/>
  <c r="CK44" i="2"/>
  <c r="CF44" i="2"/>
  <c r="CC35" i="2"/>
  <c r="BQ66" i="4" s="1"/>
  <c r="CA44" i="2"/>
  <c r="BZ44" i="2"/>
  <c r="BX35" i="2"/>
  <c r="BL66" i="4" s="1"/>
  <c r="BM44" i="2"/>
  <c r="BK35" i="2"/>
  <c r="AY66" i="4" s="1"/>
  <c r="BJ35" i="2"/>
  <c r="AX66" i="4" s="1"/>
  <c r="BD35" i="2"/>
  <c r="AR66" i="4" s="1"/>
  <c r="AT44" i="2"/>
  <c r="AN35" i="2"/>
  <c r="AB66" i="4" s="1"/>
  <c r="AI44" i="2"/>
  <c r="AD35" i="2"/>
  <c r="R66" i="4" s="1"/>
  <c r="AB35" i="2"/>
  <c r="P66" i="4" s="1"/>
  <c r="X44" i="2"/>
  <c r="W35" i="2"/>
  <c r="K66" i="4" s="1"/>
  <c r="V44" i="2"/>
  <c r="R42" i="2"/>
  <c r="EQ44" i="2"/>
  <c r="EO44" i="2"/>
  <c r="EM35" i="2"/>
  <c r="EA66" i="4" s="1"/>
  <c r="EG44" i="2"/>
  <c r="EC44" i="2"/>
  <c r="EA35" i="2"/>
  <c r="DO66" i="4" s="1"/>
  <c r="DU35" i="2"/>
  <c r="DI66" i="4" s="1"/>
  <c r="DA35" i="2"/>
  <c r="CO66" i="4" s="1"/>
  <c r="CX44" i="2"/>
  <c r="CW35" i="2"/>
  <c r="CK66" i="4" s="1"/>
  <c r="CU35" i="2"/>
  <c r="CI66" i="4" s="1"/>
  <c r="CN44" i="2"/>
  <c r="CL44" i="2"/>
  <c r="CH44" i="2"/>
  <c r="CC44" i="2"/>
  <c r="CA35" i="2"/>
  <c r="BO66" i="4" s="1"/>
  <c r="BN35" i="2"/>
  <c r="BB66" i="4" s="1"/>
  <c r="BG35" i="2"/>
  <c r="AU66" i="4" s="1"/>
  <c r="BC35" i="2"/>
  <c r="AQ66" i="4" s="1"/>
  <c r="BA35" i="2"/>
  <c r="AO66" i="4" s="1"/>
  <c r="AZ44" i="2"/>
  <c r="AV44" i="2"/>
  <c r="Y44" i="2"/>
  <c r="R43" i="2"/>
  <c r="R34" i="2"/>
  <c r="EK44" i="2"/>
  <c r="EI44" i="2"/>
  <c r="DJ35" i="2"/>
  <c r="CX66" i="4" s="1"/>
  <c r="DB44" i="2"/>
  <c r="CV44" i="2"/>
  <c r="CP35" i="2"/>
  <c r="CD66" i="4" s="1"/>
  <c r="CM44" i="2"/>
  <c r="CI44" i="2"/>
  <c r="BW44" i="2"/>
  <c r="BO35" i="2"/>
  <c r="BC66" i="4" s="1"/>
  <c r="BH44" i="2"/>
  <c r="AY44" i="2"/>
  <c r="AQ44" i="2"/>
  <c r="AO35" i="2"/>
  <c r="AC66" i="4" s="1"/>
  <c r="AN44" i="2"/>
  <c r="AM44" i="2"/>
  <c r="AL44" i="2"/>
  <c r="AE35" i="2"/>
  <c r="S66" i="4" s="1"/>
  <c r="Z35" i="2"/>
  <c r="N66" i="4" s="1"/>
  <c r="X35" i="2"/>
  <c r="L66" i="4" s="1"/>
  <c r="U35" i="2"/>
  <c r="I66" i="4" s="1"/>
  <c r="R31" i="2"/>
  <c r="S35" i="2"/>
  <c r="R38" i="2"/>
  <c r="S44" i="2"/>
  <c r="R41" i="2"/>
  <c r="EI79" i="4"/>
  <c r="EU131" i="2"/>
  <c r="EU133" i="2" s="1"/>
  <c r="EE44" i="2"/>
  <c r="ED44" i="2"/>
  <c r="EB44" i="2"/>
  <c r="DS44" i="2"/>
  <c r="DL44" i="2"/>
  <c r="H28" i="4"/>
  <c r="EO35" i="2"/>
  <c r="EC66" i="4" s="1"/>
  <c r="EH44" i="2"/>
  <c r="ED35" i="2"/>
  <c r="DR66" i="4" s="1"/>
  <c r="EB35" i="2"/>
  <c r="DP66" i="4" s="1"/>
  <c r="DZ35" i="2"/>
  <c r="DN66" i="4" s="1"/>
  <c r="DV35" i="2"/>
  <c r="DJ66" i="4" s="1"/>
  <c r="DV44" i="2"/>
  <c r="DU44" i="2"/>
  <c r="DS35" i="2"/>
  <c r="DG66" i="4" s="1"/>
  <c r="DQ35" i="2"/>
  <c r="DE66" i="4" s="1"/>
  <c r="DN44" i="2"/>
  <c r="DF44" i="2"/>
  <c r="DE44" i="2"/>
  <c r="DC44" i="2"/>
  <c r="DA44" i="2"/>
  <c r="CO35" i="2"/>
  <c r="CC66" i="4" s="1"/>
  <c r="CM35" i="2"/>
  <c r="CA66" i="4" s="1"/>
  <c r="CJ44" i="2"/>
  <c r="CH35" i="2"/>
  <c r="BV66" i="4" s="1"/>
  <c r="CD44" i="2"/>
  <c r="BY44" i="2"/>
  <c r="BV44" i="2"/>
  <c r="BU44" i="2"/>
  <c r="BS35" i="2"/>
  <c r="BG66" i="4" s="1"/>
  <c r="BO44" i="2"/>
  <c r="BN44" i="2"/>
  <c r="BJ44" i="2"/>
  <c r="BF35" i="2"/>
  <c r="AT66" i="4" s="1"/>
  <c r="BA44" i="2"/>
  <c r="AT35" i="2"/>
  <c r="AH66" i="4" s="1"/>
  <c r="AS44" i="2"/>
  <c r="AH35" i="2"/>
  <c r="V66" i="4" s="1"/>
  <c r="AF44" i="2"/>
  <c r="AE44" i="2"/>
  <c r="AD44" i="2"/>
  <c r="Z44" i="2"/>
  <c r="T44" i="2"/>
  <c r="R40" i="2"/>
  <c r="EU35" i="2"/>
  <c r="EI66" i="4" s="1"/>
  <c r="ET35" i="2"/>
  <c r="EH66" i="4" s="1"/>
  <c r="N9" i="4" l="1"/>
  <c r="K20" i="1"/>
  <c r="K21" i="1" s="1"/>
  <c r="K199" i="2"/>
  <c r="Q9" i="4"/>
  <c r="P9" i="4"/>
  <c r="L9" i="4"/>
  <c r="K9" i="4"/>
  <c r="M9" i="4"/>
  <c r="J22" i="4"/>
  <c r="K22" i="4"/>
  <c r="L22" i="4"/>
  <c r="M22" i="4"/>
  <c r="N22" i="4"/>
  <c r="O22" i="4"/>
  <c r="P22" i="4"/>
  <c r="Q22" i="4"/>
  <c r="P68" i="4"/>
  <c r="P72" i="4" s="1"/>
  <c r="P75" i="4" s="1"/>
  <c r="K21" i="4"/>
  <c r="L21" i="4"/>
  <c r="M21" i="4"/>
  <c r="N21" i="4"/>
  <c r="O21" i="4"/>
  <c r="P21" i="4"/>
  <c r="Q21" i="4"/>
  <c r="O68" i="4"/>
  <c r="O72" i="4" s="1"/>
  <c r="O75" i="4" s="1"/>
  <c r="O9" i="4"/>
  <c r="DC68" i="4"/>
  <c r="DC72" i="4" s="1"/>
  <c r="DC75" i="4" s="1"/>
  <c r="AA46" i="2"/>
  <c r="J9" i="4"/>
  <c r="I21" i="4"/>
  <c r="J21" i="4"/>
  <c r="BH68" i="4"/>
  <c r="BH104" i="4" s="1"/>
  <c r="CE46" i="2"/>
  <c r="BT46" i="2"/>
  <c r="BP68" i="4"/>
  <c r="BP104" i="4" s="1"/>
  <c r="BS68" i="4"/>
  <c r="BS72" i="4" s="1"/>
  <c r="BS75" i="4" s="1"/>
  <c r="H22" i="4"/>
  <c r="I22" i="4"/>
  <c r="BX46" i="2"/>
  <c r="CM68" i="4"/>
  <c r="CM72" i="4" s="1"/>
  <c r="CM75" i="4" s="1"/>
  <c r="CB46" i="2"/>
  <c r="DD68" i="4"/>
  <c r="DD72" i="4" s="1"/>
  <c r="DD75" i="4" s="1"/>
  <c r="AP46" i="2"/>
  <c r="BZ46" i="2"/>
  <c r="BN67" i="4"/>
  <c r="BN68" i="4" s="1"/>
  <c r="Y67" i="4"/>
  <c r="Y68" i="4" s="1"/>
  <c r="AK46" i="2"/>
  <c r="BF46" i="2"/>
  <c r="AT67" i="4"/>
  <c r="AT68" i="4" s="1"/>
  <c r="AO46" i="2"/>
  <c r="AC67" i="4"/>
  <c r="AC68" i="4" s="1"/>
  <c r="Z67" i="4"/>
  <c r="Z68" i="4" s="1"/>
  <c r="AL46" i="2"/>
  <c r="AH67" i="4"/>
  <c r="AH68" i="4" s="1"/>
  <c r="AT46" i="2"/>
  <c r="AR46" i="2"/>
  <c r="EI67" i="4"/>
  <c r="EI68" i="4" s="1"/>
  <c r="EU46" i="2"/>
  <c r="AI67" i="4"/>
  <c r="AI68" i="4" s="1"/>
  <c r="AU46" i="2"/>
  <c r="BS46" i="2"/>
  <c r="BG67" i="4"/>
  <c r="BG68" i="4" s="1"/>
  <c r="AP67" i="4"/>
  <c r="AP68" i="4" s="1"/>
  <c r="BB46" i="2"/>
  <c r="AD68" i="4"/>
  <c r="BI46" i="2"/>
  <c r="AW67" i="4"/>
  <c r="AW68" i="4" s="1"/>
  <c r="DN46" i="2"/>
  <c r="DB67" i="4"/>
  <c r="DB68" i="4" s="1"/>
  <c r="AV67" i="4"/>
  <c r="AV68" i="4" s="1"/>
  <c r="BH46" i="2"/>
  <c r="BX67" i="4"/>
  <c r="BX68" i="4" s="1"/>
  <c r="CJ46" i="2"/>
  <c r="R44" i="2"/>
  <c r="G67" i="4"/>
  <c r="G10" i="4" s="1"/>
  <c r="S46" i="2"/>
  <c r="J67" i="4"/>
  <c r="J68" i="4" s="1"/>
  <c r="V46" i="2"/>
  <c r="CF46" i="2"/>
  <c r="BT67" i="4"/>
  <c r="BT68" i="4" s="1"/>
  <c r="DY46" i="2"/>
  <c r="DM67" i="4"/>
  <c r="DM68" i="4" s="1"/>
  <c r="ES46" i="2"/>
  <c r="EG67" i="4"/>
  <c r="EG68" i="4" s="1"/>
  <c r="I67" i="4"/>
  <c r="I68" i="4" s="1"/>
  <c r="U46" i="2"/>
  <c r="DD46" i="2"/>
  <c r="CR67" i="4"/>
  <c r="CR68" i="4" s="1"/>
  <c r="EF46" i="2"/>
  <c r="DT67" i="4"/>
  <c r="DT68" i="4" s="1"/>
  <c r="CE67" i="4"/>
  <c r="CE68" i="4" s="1"/>
  <c r="CQ46" i="2"/>
  <c r="DK67" i="4"/>
  <c r="DK68" i="4" s="1"/>
  <c r="DW46" i="2"/>
  <c r="DO46" i="2"/>
  <c r="BD67" i="4"/>
  <c r="BP46" i="2"/>
  <c r="CS46" i="2"/>
  <c r="CG67" i="4"/>
  <c r="CG68" i="4" s="1"/>
  <c r="DM46" i="2"/>
  <c r="DA67" i="4"/>
  <c r="DA68" i="4" s="1"/>
  <c r="EI46" i="2"/>
  <c r="DW67" i="4"/>
  <c r="DW68" i="4" s="1"/>
  <c r="AA67" i="4"/>
  <c r="AA68" i="4" s="1"/>
  <c r="AM46" i="2"/>
  <c r="CY46" i="2"/>
  <c r="DS67" i="4"/>
  <c r="DS68" i="4" s="1"/>
  <c r="EE46" i="2"/>
  <c r="R35" i="2"/>
  <c r="G66" i="4"/>
  <c r="AB67" i="4"/>
  <c r="AB68" i="4" s="1"/>
  <c r="AN46" i="2"/>
  <c r="M67" i="4"/>
  <c r="M68" i="4" s="1"/>
  <c r="Y46" i="2"/>
  <c r="CC46" i="2"/>
  <c r="BQ67" i="4"/>
  <c r="BQ68" i="4" s="1"/>
  <c r="BY67" i="4"/>
  <c r="BY68" i="4" s="1"/>
  <c r="CK46" i="2"/>
  <c r="AL67" i="4"/>
  <c r="AL68" i="4" s="1"/>
  <c r="AX46" i="2"/>
  <c r="CO46" i="2"/>
  <c r="CC67" i="4"/>
  <c r="CC68" i="4" s="1"/>
  <c r="EB67" i="4"/>
  <c r="EB68" i="4" s="1"/>
  <c r="EN46" i="2"/>
  <c r="DP46" i="2"/>
  <c r="H9" i="4"/>
  <c r="BF67" i="4"/>
  <c r="BF68" i="4" s="1"/>
  <c r="BR46" i="2"/>
  <c r="DE67" i="4"/>
  <c r="DE68" i="4" s="1"/>
  <c r="DQ46" i="2"/>
  <c r="CN67" i="4"/>
  <c r="CZ46" i="2"/>
  <c r="BE67" i="4"/>
  <c r="BE68" i="4" s="1"/>
  <c r="BQ46" i="2"/>
  <c r="AF68" i="4"/>
  <c r="V67" i="4"/>
  <c r="V68" i="4" s="1"/>
  <c r="AH46" i="2"/>
  <c r="BG46" i="2"/>
  <c r="AU67" i="4"/>
  <c r="AU68" i="4" s="1"/>
  <c r="EQ46" i="2"/>
  <c r="EE67" i="4"/>
  <c r="EE68" i="4" s="1"/>
  <c r="H67" i="4"/>
  <c r="T46" i="2"/>
  <c r="DR67" i="4"/>
  <c r="DR68" i="4" s="1"/>
  <c r="ED46" i="2"/>
  <c r="BK67" i="4"/>
  <c r="BK68" i="4" s="1"/>
  <c r="BW46" i="2"/>
  <c r="N67" i="4"/>
  <c r="N68" i="4" s="1"/>
  <c r="Z46" i="2"/>
  <c r="BA46" i="2"/>
  <c r="AO67" i="4"/>
  <c r="AO68" i="4" s="1"/>
  <c r="DA46" i="2"/>
  <c r="CO67" i="4"/>
  <c r="CO68" i="4" s="1"/>
  <c r="CP67" i="4"/>
  <c r="CP68" i="4" s="1"/>
  <c r="DB46" i="2"/>
  <c r="AJ67" i="4"/>
  <c r="AJ68" i="4" s="1"/>
  <c r="AV46" i="2"/>
  <c r="BV67" i="4"/>
  <c r="BV68" i="4" s="1"/>
  <c r="CH46" i="2"/>
  <c r="L67" i="4"/>
  <c r="L68" i="4" s="1"/>
  <c r="X46" i="2"/>
  <c r="CF67" i="4"/>
  <c r="CF68" i="4" s="1"/>
  <c r="CR46" i="2"/>
  <c r="EL46" i="2"/>
  <c r="DZ67" i="4"/>
  <c r="DZ68" i="4" s="1"/>
  <c r="I9" i="4"/>
  <c r="BD46" i="2"/>
  <c r="AR67" i="4"/>
  <c r="CP46" i="2"/>
  <c r="CD67" i="4"/>
  <c r="CD68" i="4" s="1"/>
  <c r="DH46" i="2"/>
  <c r="CV67" i="4"/>
  <c r="CV68" i="4" s="1"/>
  <c r="EH92" i="4"/>
  <c r="EH95" i="4" s="1"/>
  <c r="EH97" i="4" s="1"/>
  <c r="EH101" i="4" s="1"/>
  <c r="EH109" i="4" s="1"/>
  <c r="ET146" i="2"/>
  <c r="DG46" i="2"/>
  <c r="CU67" i="4"/>
  <c r="CU68" i="4" s="1"/>
  <c r="DO67" i="4"/>
  <c r="DO68" i="4" s="1"/>
  <c r="EA46" i="2"/>
  <c r="K67" i="4"/>
  <c r="K68" i="4" s="1"/>
  <c r="W46" i="2"/>
  <c r="AW46" i="2"/>
  <c r="AK67" i="4"/>
  <c r="AK68" i="4" s="1"/>
  <c r="CI67" i="4"/>
  <c r="CI68" i="4" s="1"/>
  <c r="CU46" i="2"/>
  <c r="BB67" i="4"/>
  <c r="BB68" i="4" s="1"/>
  <c r="BN46" i="2"/>
  <c r="CM46" i="2"/>
  <c r="CA67" i="4"/>
  <c r="CA68" i="4" s="1"/>
  <c r="W67" i="4"/>
  <c r="W68" i="4" s="1"/>
  <c r="AI46" i="2"/>
  <c r="DT46" i="2"/>
  <c r="DH67" i="4"/>
  <c r="DH68" i="4" s="1"/>
  <c r="CY67" i="4"/>
  <c r="CY68" i="4" s="1"/>
  <c r="DK46" i="2"/>
  <c r="DY67" i="4"/>
  <c r="DY68" i="4" s="1"/>
  <c r="EK46" i="2"/>
  <c r="EB46" i="2"/>
  <c r="DP67" i="4"/>
  <c r="DP68" i="4" s="1"/>
  <c r="CJ67" i="4"/>
  <c r="CJ68" i="4" s="1"/>
  <c r="CV46" i="2"/>
  <c r="R67" i="4"/>
  <c r="R68" i="4" s="1"/>
  <c r="AD46" i="2"/>
  <c r="BY46" i="2"/>
  <c r="BM67" i="4"/>
  <c r="BM68" i="4" s="1"/>
  <c r="AQ46" i="2"/>
  <c r="AE67" i="4"/>
  <c r="AE68" i="4" s="1"/>
  <c r="BW67" i="4"/>
  <c r="BW68" i="4" s="1"/>
  <c r="CI46" i="2"/>
  <c r="AN67" i="4"/>
  <c r="AN68" i="4" s="1"/>
  <c r="AZ46" i="2"/>
  <c r="BZ67" i="4"/>
  <c r="BZ68" i="4" s="1"/>
  <c r="CL46" i="2"/>
  <c r="EC46" i="2"/>
  <c r="DQ67" i="4"/>
  <c r="DQ68" i="4" s="1"/>
  <c r="P104" i="4"/>
  <c r="BM46" i="2"/>
  <c r="BA67" i="4"/>
  <c r="BA68" i="4" s="1"/>
  <c r="AB46" i="2"/>
  <c r="U67" i="4"/>
  <c r="U68" i="4" s="1"/>
  <c r="AG46" i="2"/>
  <c r="CH67" i="4"/>
  <c r="CH68" i="4" s="1"/>
  <c r="CT46" i="2"/>
  <c r="Q67" i="4"/>
  <c r="Q68" i="4" s="1"/>
  <c r="AC46" i="2"/>
  <c r="AQ67" i="4"/>
  <c r="AQ68" i="4" s="1"/>
  <c r="BC46" i="2"/>
  <c r="CK67" i="4"/>
  <c r="CK68" i="4" s="1"/>
  <c r="CW46" i="2"/>
  <c r="DZ46" i="2"/>
  <c r="DN67" i="4"/>
  <c r="DN68" i="4" s="1"/>
  <c r="T67" i="4"/>
  <c r="AF46" i="2"/>
  <c r="CT67" i="4"/>
  <c r="CT68" i="4" s="1"/>
  <c r="DF46" i="2"/>
  <c r="BL46" i="2"/>
  <c r="AZ67" i="4"/>
  <c r="AZ68" i="4" s="1"/>
  <c r="EF67" i="4"/>
  <c r="EF68" i="4" s="1"/>
  <c r="ER46" i="2"/>
  <c r="BC67" i="4"/>
  <c r="BC68" i="4" s="1"/>
  <c r="BO46" i="2"/>
  <c r="DG67" i="4"/>
  <c r="DG68" i="4" s="1"/>
  <c r="DS46" i="2"/>
  <c r="EC67" i="4"/>
  <c r="EC68" i="4" s="1"/>
  <c r="EO46" i="2"/>
  <c r="BO67" i="4"/>
  <c r="BO68" i="4" s="1"/>
  <c r="CA46" i="2"/>
  <c r="DL67" i="4"/>
  <c r="DX46" i="2"/>
  <c r="EH67" i="4"/>
  <c r="EH68" i="4" s="1"/>
  <c r="ET46" i="2"/>
  <c r="CX67" i="4"/>
  <c r="CX68" i="4" s="1"/>
  <c r="DJ46" i="2"/>
  <c r="AS46" i="2"/>
  <c r="AG67" i="4"/>
  <c r="AG68" i="4" s="1"/>
  <c r="DV67" i="4"/>
  <c r="DV68" i="4" s="1"/>
  <c r="EH46" i="2"/>
  <c r="CX46" i="2"/>
  <c r="CL67" i="4"/>
  <c r="CL68" i="4" s="1"/>
  <c r="BI67" i="4"/>
  <c r="BI68" i="4" s="1"/>
  <c r="BU46" i="2"/>
  <c r="DU46" i="2"/>
  <c r="DI67" i="4"/>
  <c r="DI68" i="4" s="1"/>
  <c r="BJ67" i="4"/>
  <c r="BJ68" i="4" s="1"/>
  <c r="BV46" i="2"/>
  <c r="DJ67" i="4"/>
  <c r="DJ68" i="4" s="1"/>
  <c r="DV46" i="2"/>
  <c r="DC46" i="2"/>
  <c r="CQ67" i="4"/>
  <c r="CQ68" i="4" s="1"/>
  <c r="S67" i="4"/>
  <c r="S68" i="4" s="1"/>
  <c r="AE46" i="2"/>
  <c r="AX67" i="4"/>
  <c r="AX68" i="4" s="1"/>
  <c r="BJ46" i="2"/>
  <c r="CD46" i="2"/>
  <c r="BR67" i="4"/>
  <c r="BR68" i="4" s="1"/>
  <c r="CS67" i="4"/>
  <c r="CS68" i="4" s="1"/>
  <c r="DE46" i="2"/>
  <c r="CZ67" i="4"/>
  <c r="DL46" i="2"/>
  <c r="EU132" i="2"/>
  <c r="AY46" i="2"/>
  <c r="AM67" i="4"/>
  <c r="AM68" i="4" s="1"/>
  <c r="CB67" i="4"/>
  <c r="CN46" i="2"/>
  <c r="EG46" i="2"/>
  <c r="DU67" i="4"/>
  <c r="DU68" i="4" s="1"/>
  <c r="BL68" i="4"/>
  <c r="EJ46" i="2"/>
  <c r="DX67" i="4"/>
  <c r="DX68" i="4" s="1"/>
  <c r="X67" i="4"/>
  <c r="X68" i="4" s="1"/>
  <c r="AJ46" i="2"/>
  <c r="BK46" i="2"/>
  <c r="AY67" i="4"/>
  <c r="AY68" i="4" s="1"/>
  <c r="DR46" i="2"/>
  <c r="DF67" i="4"/>
  <c r="DF68" i="4" s="1"/>
  <c r="CW67" i="4"/>
  <c r="CW68" i="4" s="1"/>
  <c r="DI46" i="2"/>
  <c r="ED67" i="4"/>
  <c r="ED68" i="4" s="1"/>
  <c r="EP46" i="2"/>
  <c r="EI80" i="4"/>
  <c r="H21" i="4"/>
  <c r="BE46" i="2"/>
  <c r="AS67" i="4"/>
  <c r="AS68" i="4" s="1"/>
  <c r="BU67" i="4"/>
  <c r="BU68" i="4" s="1"/>
  <c r="CG46" i="2"/>
  <c r="EA67" i="4"/>
  <c r="EA68" i="4" s="1"/>
  <c r="EM46" i="2"/>
  <c r="BS104" i="4" l="1"/>
  <c r="O23" i="4"/>
  <c r="N23" i="4"/>
  <c r="M23" i="4"/>
  <c r="Q23" i="4"/>
  <c r="P23" i="4"/>
  <c r="L23" i="4"/>
  <c r="K204" i="2"/>
  <c r="K209" i="2"/>
  <c r="K210" i="2" s="1"/>
  <c r="P30" i="1"/>
  <c r="K23" i="1"/>
  <c r="AA217" i="2"/>
  <c r="O104" i="4"/>
  <c r="DC104" i="4"/>
  <c r="BJ217" i="2"/>
  <c r="CX217" i="2"/>
  <c r="CH217" i="2"/>
  <c r="EG217" i="2"/>
  <c r="DF217" i="2"/>
  <c r="BK217" i="2"/>
  <c r="DE217" i="2"/>
  <c r="DX217" i="2"/>
  <c r="BY217" i="2"/>
  <c r="CM217" i="2"/>
  <c r="CZ217" i="2"/>
  <c r="BT217" i="2"/>
  <c r="CN217" i="2"/>
  <c r="DU217" i="2"/>
  <c r="BO217" i="2"/>
  <c r="CG217" i="2"/>
  <c r="DI217" i="2"/>
  <c r="CB68" i="4"/>
  <c r="CB104" i="4" s="1"/>
  <c r="N10" i="4"/>
  <c r="N11" i="4" s="1"/>
  <c r="N15" i="4" s="1"/>
  <c r="N18" i="4" s="1"/>
  <c r="DC217" i="2"/>
  <c r="BU217" i="2"/>
  <c r="DL68" i="4"/>
  <c r="DL72" i="4" s="1"/>
  <c r="DL75" i="4" s="1"/>
  <c r="Q10" i="4"/>
  <c r="Q11" i="4" s="1"/>
  <c r="Q15" i="4" s="1"/>
  <c r="Q18" i="4" s="1"/>
  <c r="DK217" i="2"/>
  <c r="DH217" i="2"/>
  <c r="CR217" i="2"/>
  <c r="DB217" i="2"/>
  <c r="BW217" i="2"/>
  <c r="CN68" i="4"/>
  <c r="CN72" i="4" s="1"/>
  <c r="CN75" i="4" s="1"/>
  <c r="O10" i="4"/>
  <c r="O11" i="4" s="1"/>
  <c r="O15" i="4" s="1"/>
  <c r="O18" i="4" s="1"/>
  <c r="EE217" i="2"/>
  <c r="DM217" i="2"/>
  <c r="CQ217" i="2"/>
  <c r="DN217" i="2"/>
  <c r="CB217" i="2"/>
  <c r="CE217" i="2"/>
  <c r="BV217" i="2"/>
  <c r="CW217" i="2"/>
  <c r="BD217" i="2"/>
  <c r="CL217" i="2"/>
  <c r="DP217" i="2"/>
  <c r="CK217" i="2"/>
  <c r="EI217" i="2"/>
  <c r="DW217" i="2"/>
  <c r="BF217" i="2"/>
  <c r="DJ217" i="2"/>
  <c r="CA217" i="2"/>
  <c r="BM217" i="2"/>
  <c r="BN217" i="2"/>
  <c r="EA217" i="2"/>
  <c r="BG217" i="2"/>
  <c r="DQ217" i="2"/>
  <c r="CC217" i="2"/>
  <c r="BS217" i="2"/>
  <c r="CZ68" i="4"/>
  <c r="CZ104" i="4" s="1"/>
  <c r="P10" i="4"/>
  <c r="P11" i="4" s="1"/>
  <c r="P15" i="4" s="1"/>
  <c r="P18" i="4" s="1"/>
  <c r="CD217" i="2"/>
  <c r="DV217" i="2"/>
  <c r="CI217" i="2"/>
  <c r="CV217" i="2"/>
  <c r="CP217" i="2"/>
  <c r="ED217" i="2"/>
  <c r="CO217" i="2"/>
  <c r="CY217" i="2"/>
  <c r="CS217" i="2"/>
  <c r="BZ217" i="2"/>
  <c r="BX217" i="2"/>
  <c r="J23" i="4"/>
  <c r="DZ217" i="2"/>
  <c r="CT217" i="2"/>
  <c r="DT217" i="2"/>
  <c r="CU217" i="2"/>
  <c r="AR68" i="4"/>
  <c r="AR72" i="4" s="1"/>
  <c r="AR75" i="4" s="1"/>
  <c r="K10" i="4"/>
  <c r="K11" i="4" s="1"/>
  <c r="K15" i="4" s="1"/>
  <c r="K18" i="4" s="1"/>
  <c r="DA217" i="2"/>
  <c r="BR217" i="2"/>
  <c r="BP217" i="2"/>
  <c r="EF217" i="2"/>
  <c r="DY217" i="2"/>
  <c r="CJ217" i="2"/>
  <c r="BP72" i="4"/>
  <c r="BP75" i="4" s="1"/>
  <c r="BL217" i="2"/>
  <c r="M10" i="4"/>
  <c r="M11" i="4" s="1"/>
  <c r="M15" i="4" s="1"/>
  <c r="M18" i="4" s="1"/>
  <c r="BE217" i="2"/>
  <c r="DG217" i="2"/>
  <c r="BD68" i="4"/>
  <c r="BD104" i="4" s="1"/>
  <c r="L10" i="4"/>
  <c r="L11" i="4" s="1"/>
  <c r="L15" i="4" s="1"/>
  <c r="L18" i="4" s="1"/>
  <c r="BI217" i="2"/>
  <c r="DR217" i="2"/>
  <c r="DL217" i="2"/>
  <c r="EH217" i="2"/>
  <c r="DS217" i="2"/>
  <c r="EC217" i="2"/>
  <c r="EB217" i="2"/>
  <c r="BQ217" i="2"/>
  <c r="DO217" i="2"/>
  <c r="DD217" i="2"/>
  <c r="CF217" i="2"/>
  <c r="BH217" i="2"/>
  <c r="K23" i="4"/>
  <c r="H23" i="4"/>
  <c r="I23" i="4"/>
  <c r="CM104" i="4"/>
  <c r="BH72" i="4"/>
  <c r="BH75" i="4" s="1"/>
  <c r="DD104" i="4"/>
  <c r="AX217" i="2"/>
  <c r="AM217" i="2"/>
  <c r="AU217" i="2"/>
  <c r="AL217" i="2"/>
  <c r="AN217" i="2"/>
  <c r="AO217" i="2"/>
  <c r="AQ217" i="2"/>
  <c r="BB217" i="2"/>
  <c r="AR217" i="2"/>
  <c r="AS217" i="2"/>
  <c r="BC217" i="2"/>
  <c r="AY217" i="2"/>
  <c r="BA217" i="2"/>
  <c r="AT217" i="2"/>
  <c r="AK217" i="2"/>
  <c r="AP217" i="2"/>
  <c r="AZ217" i="2"/>
  <c r="AW217" i="2"/>
  <c r="AV217" i="2"/>
  <c r="J10" i="4"/>
  <c r="J11" i="4" s="1"/>
  <c r="J15" i="4" s="1"/>
  <c r="J18" i="4" s="1"/>
  <c r="AJ217" i="2"/>
  <c r="I10" i="4"/>
  <c r="I11" i="4" s="1"/>
  <c r="I15" i="4" s="1"/>
  <c r="I18" i="4" s="1"/>
  <c r="AI217" i="2"/>
  <c r="AH217" i="2"/>
  <c r="AG217" i="2"/>
  <c r="EU134" i="2"/>
  <c r="CD104" i="4"/>
  <c r="CD72" i="4"/>
  <c r="CD75" i="4" s="1"/>
  <c r="V72" i="4"/>
  <c r="V75" i="4" s="1"/>
  <c r="V104" i="4"/>
  <c r="BX72" i="4"/>
  <c r="BX75" i="4" s="1"/>
  <c r="BX104" i="4"/>
  <c r="ED104" i="4"/>
  <c r="ED72" i="4"/>
  <c r="ED75" i="4" s="1"/>
  <c r="AY72" i="4"/>
  <c r="AY75" i="4" s="1"/>
  <c r="AY104" i="4"/>
  <c r="BW72" i="4"/>
  <c r="BW75" i="4" s="1"/>
  <c r="BW104" i="4"/>
  <c r="BC72" i="4"/>
  <c r="BC75" i="4" s="1"/>
  <c r="BC104" i="4"/>
  <c r="DQ72" i="4"/>
  <c r="DQ75" i="4" s="1"/>
  <c r="DQ104" i="4"/>
  <c r="AE104" i="4"/>
  <c r="AE72" i="4"/>
  <c r="AE75" i="4" s="1"/>
  <c r="CI72" i="4"/>
  <c r="CI75" i="4" s="1"/>
  <c r="CI104" i="4"/>
  <c r="CC72" i="4"/>
  <c r="CC75" i="4" s="1"/>
  <c r="CC104" i="4"/>
  <c r="EI72" i="4"/>
  <c r="EI75" i="4" s="1"/>
  <c r="EI104" i="4"/>
  <c r="AB72" i="4"/>
  <c r="AB75" i="4" s="1"/>
  <c r="AB104" i="4"/>
  <c r="DJ104" i="4"/>
  <c r="DJ72" i="4"/>
  <c r="DJ75" i="4" s="1"/>
  <c r="AS72" i="4"/>
  <c r="AS75" i="4" s="1"/>
  <c r="AS104" i="4"/>
  <c r="CY72" i="4"/>
  <c r="CY75" i="4" s="1"/>
  <c r="CY104" i="4"/>
  <c r="CU72" i="4"/>
  <c r="CU75" i="4" s="1"/>
  <c r="CU104" i="4"/>
  <c r="AX72" i="4"/>
  <c r="AX75" i="4" s="1"/>
  <c r="AX104" i="4"/>
  <c r="DI104" i="4"/>
  <c r="DI72" i="4"/>
  <c r="DI75" i="4" s="1"/>
  <c r="DN72" i="4"/>
  <c r="DN75" i="4" s="1"/>
  <c r="DN104" i="4"/>
  <c r="DH104" i="4"/>
  <c r="DH72" i="4"/>
  <c r="DH75" i="4" s="1"/>
  <c r="BB72" i="4"/>
  <c r="BB75" i="4" s="1"/>
  <c r="BB104" i="4"/>
  <c r="K72" i="4"/>
  <c r="K75" i="4" s="1"/>
  <c r="K104" i="4"/>
  <c r="BV72" i="4"/>
  <c r="BV75" i="4" s="1"/>
  <c r="BV104" i="4"/>
  <c r="DR104" i="4"/>
  <c r="DR72" i="4"/>
  <c r="DR75" i="4" s="1"/>
  <c r="DT72" i="4"/>
  <c r="DT75" i="4" s="1"/>
  <c r="DT104" i="4"/>
  <c r="CK104" i="4"/>
  <c r="CK72" i="4"/>
  <c r="CK75" i="4" s="1"/>
  <c r="CZ72" i="4"/>
  <c r="CZ75" i="4" s="1"/>
  <c r="BA104" i="4"/>
  <c r="BA72" i="4"/>
  <c r="BA75" i="4" s="1"/>
  <c r="BG72" i="4"/>
  <c r="BG75" i="4" s="1"/>
  <c r="BG104" i="4"/>
  <c r="R104" i="4"/>
  <c r="R72" i="4"/>
  <c r="R75" i="4" s="1"/>
  <c r="DP72" i="4"/>
  <c r="DP75" i="4" s="1"/>
  <c r="DP104" i="4"/>
  <c r="CO72" i="4"/>
  <c r="CO75" i="4" s="1"/>
  <c r="CO104" i="4"/>
  <c r="S72" i="4"/>
  <c r="S75" i="4" s="1"/>
  <c r="S104" i="4"/>
  <c r="EH72" i="4"/>
  <c r="EH75" i="4" s="1"/>
  <c r="EH104" i="4"/>
  <c r="CQ104" i="4"/>
  <c r="CQ72" i="4"/>
  <c r="CQ75" i="4" s="1"/>
  <c r="EA72" i="4"/>
  <c r="EA75" i="4" s="1"/>
  <c r="EA104" i="4"/>
  <c r="CS104" i="4"/>
  <c r="CS72" i="4"/>
  <c r="CS75" i="4" s="1"/>
  <c r="DV72" i="4"/>
  <c r="DV75" i="4" s="1"/>
  <c r="DV104" i="4"/>
  <c r="DO104" i="4"/>
  <c r="DO72" i="4"/>
  <c r="DO75" i="4" s="1"/>
  <c r="CR104" i="4"/>
  <c r="CR72" i="4"/>
  <c r="CR75" i="4" s="1"/>
  <c r="DU104" i="4"/>
  <c r="DU72" i="4"/>
  <c r="DU75" i="4" s="1"/>
  <c r="J72" i="4"/>
  <c r="J75" i="4" s="1"/>
  <c r="J104" i="4"/>
  <c r="DW72" i="4"/>
  <c r="DW75" i="4" s="1"/>
  <c r="DW104" i="4"/>
  <c r="AH104" i="4"/>
  <c r="AH72" i="4"/>
  <c r="AH75" i="4" s="1"/>
  <c r="BT72" i="4"/>
  <c r="BT75" i="4" s="1"/>
  <c r="BT104" i="4"/>
  <c r="M104" i="4"/>
  <c r="M72" i="4"/>
  <c r="M75" i="4" s="1"/>
  <c r="Z217" i="2"/>
  <c r="BF72" i="4"/>
  <c r="BF75" i="4" s="1"/>
  <c r="BF104" i="4"/>
  <c r="EB72" i="4"/>
  <c r="EB75" i="4" s="1"/>
  <c r="EB104" i="4"/>
  <c r="V217" i="2"/>
  <c r="BE72" i="4"/>
  <c r="BE75" i="4" s="1"/>
  <c r="BE104" i="4"/>
  <c r="DA104" i="4"/>
  <c r="DA72" i="4"/>
  <c r="DA75" i="4" s="1"/>
  <c r="Y72" i="4"/>
  <c r="Y75" i="4" s="1"/>
  <c r="Y104" i="4"/>
  <c r="EG72" i="4"/>
  <c r="EG75" i="4" s="1"/>
  <c r="EG104" i="4"/>
  <c r="AE217" i="2"/>
  <c r="CT104" i="4"/>
  <c r="CT72" i="4"/>
  <c r="CT75" i="4" s="1"/>
  <c r="I104" i="4"/>
  <c r="I72" i="4"/>
  <c r="I75" i="4" s="1"/>
  <c r="DY104" i="4"/>
  <c r="DY72" i="4"/>
  <c r="DY75" i="4" s="1"/>
  <c r="W217" i="2"/>
  <c r="ET105" i="2"/>
  <c r="ET148" i="2"/>
  <c r="ET153" i="2" s="1"/>
  <c r="X217" i="2"/>
  <c r="T217" i="2"/>
  <c r="AF72" i="4"/>
  <c r="AF75" i="4" s="1"/>
  <c r="AF104" i="4"/>
  <c r="AI104" i="4"/>
  <c r="AI72" i="4"/>
  <c r="AI75" i="4" s="1"/>
  <c r="CE72" i="4"/>
  <c r="CE75" i="4" s="1"/>
  <c r="CE104" i="4"/>
  <c r="DZ72" i="4"/>
  <c r="DZ75" i="4" s="1"/>
  <c r="DZ104" i="4"/>
  <c r="DG104" i="4"/>
  <c r="DG72" i="4"/>
  <c r="DG75" i="4" s="1"/>
  <c r="BI104" i="4"/>
  <c r="BI72" i="4"/>
  <c r="BI75" i="4" s="1"/>
  <c r="BN104" i="4"/>
  <c r="BN72" i="4"/>
  <c r="BN75" i="4" s="1"/>
  <c r="CL72" i="4"/>
  <c r="CL75" i="4" s="1"/>
  <c r="CL104" i="4"/>
  <c r="BL72" i="4"/>
  <c r="BL75" i="4" s="1"/>
  <c r="BL104" i="4"/>
  <c r="CA72" i="4"/>
  <c r="CA75" i="4" s="1"/>
  <c r="CA104" i="4"/>
  <c r="AZ104" i="4"/>
  <c r="AZ72" i="4"/>
  <c r="AZ75" i="4" s="1"/>
  <c r="EC72" i="4"/>
  <c r="EC75" i="4" s="1"/>
  <c r="EC104" i="4"/>
  <c r="BU72" i="4"/>
  <c r="BU75" i="4" s="1"/>
  <c r="BU104" i="4"/>
  <c r="BJ72" i="4"/>
  <c r="BJ75" i="4" s="1"/>
  <c r="BJ104" i="4"/>
  <c r="CW72" i="4"/>
  <c r="CW75" i="4" s="1"/>
  <c r="CW104" i="4"/>
  <c r="AM72" i="4"/>
  <c r="AM75" i="4" s="1"/>
  <c r="AM104" i="4"/>
  <c r="AF217" i="2"/>
  <c r="BZ104" i="4"/>
  <c r="BZ72" i="4"/>
  <c r="BZ75" i="4" s="1"/>
  <c r="T68" i="4"/>
  <c r="AC72" i="4"/>
  <c r="AC75" i="4" s="1"/>
  <c r="AC104" i="4"/>
  <c r="H10" i="4"/>
  <c r="H11" i="4" s="1"/>
  <c r="H15" i="4" s="1"/>
  <c r="H18" i="4" s="1"/>
  <c r="H68" i="4"/>
  <c r="AV72" i="4"/>
  <c r="AV75" i="4" s="1"/>
  <c r="AV104" i="4"/>
  <c r="AP72" i="4"/>
  <c r="AP75" i="4" s="1"/>
  <c r="AP104" i="4"/>
  <c r="BO72" i="4"/>
  <c r="BO75" i="4" s="1"/>
  <c r="BO104" i="4"/>
  <c r="Q72" i="4"/>
  <c r="Q75" i="4" s="1"/>
  <c r="Q104" i="4"/>
  <c r="CH72" i="4"/>
  <c r="CH75" i="4" s="1"/>
  <c r="CH104" i="4"/>
  <c r="AA72" i="4"/>
  <c r="AA75" i="4" s="1"/>
  <c r="AA104" i="4"/>
  <c r="DK72" i="4"/>
  <c r="DK75" i="4" s="1"/>
  <c r="DK104" i="4"/>
  <c r="AO72" i="4"/>
  <c r="AO75" i="4" s="1"/>
  <c r="AO104" i="4"/>
  <c r="CX72" i="4"/>
  <c r="CX75" i="4" s="1"/>
  <c r="CX104" i="4"/>
  <c r="EF104" i="4"/>
  <c r="EF72" i="4"/>
  <c r="EF75" i="4" s="1"/>
  <c r="W72" i="4"/>
  <c r="W75" i="4" s="1"/>
  <c r="W104" i="4"/>
  <c r="BM72" i="4"/>
  <c r="BM75" i="4" s="1"/>
  <c r="BM104" i="4"/>
  <c r="DM104" i="4"/>
  <c r="DM72" i="4"/>
  <c r="DM75" i="4" s="1"/>
  <c r="CV104" i="4"/>
  <c r="CV72" i="4"/>
  <c r="CV75" i="4" s="1"/>
  <c r="EE72" i="4"/>
  <c r="EE75" i="4" s="1"/>
  <c r="EE104" i="4"/>
  <c r="Y217" i="2"/>
  <c r="S217" i="2"/>
  <c r="R46" i="2"/>
  <c r="DB72" i="4"/>
  <c r="DB75" i="4" s="1"/>
  <c r="DB104" i="4"/>
  <c r="Z72" i="4"/>
  <c r="Z75" i="4" s="1"/>
  <c r="Z104" i="4"/>
  <c r="BK104" i="4"/>
  <c r="BK72" i="4"/>
  <c r="BK75" i="4" s="1"/>
  <c r="CJ104" i="4"/>
  <c r="CJ72" i="4"/>
  <c r="CJ75" i="4" s="1"/>
  <c r="AG72" i="4"/>
  <c r="AG75" i="4" s="1"/>
  <c r="AG104" i="4"/>
  <c r="AK72" i="4"/>
  <c r="AK75" i="4" s="1"/>
  <c r="AK104" i="4"/>
  <c r="BQ72" i="4"/>
  <c r="BQ75" i="4" s="1"/>
  <c r="BQ104" i="4"/>
  <c r="X72" i="4"/>
  <c r="X75" i="4" s="1"/>
  <c r="X104" i="4"/>
  <c r="DX104" i="4"/>
  <c r="DX72" i="4"/>
  <c r="DX75" i="4" s="1"/>
  <c r="L72" i="4"/>
  <c r="L75" i="4" s="1"/>
  <c r="L104" i="4"/>
  <c r="U104" i="4"/>
  <c r="U72" i="4"/>
  <c r="U75" i="4" s="1"/>
  <c r="AN72" i="4"/>
  <c r="AN75" i="4" s="1"/>
  <c r="AN104" i="4"/>
  <c r="DE72" i="4"/>
  <c r="DE75" i="4" s="1"/>
  <c r="DE104" i="4"/>
  <c r="AW72" i="4"/>
  <c r="AW75" i="4" s="1"/>
  <c r="AW104" i="4"/>
  <c r="AD72" i="4"/>
  <c r="AD75" i="4" s="1"/>
  <c r="AD104" i="4"/>
  <c r="AQ72" i="4"/>
  <c r="AQ75" i="4" s="1"/>
  <c r="AQ104" i="4"/>
  <c r="CF72" i="4"/>
  <c r="CF75" i="4" s="1"/>
  <c r="CF104" i="4"/>
  <c r="AJ72" i="4"/>
  <c r="AJ75" i="4" s="1"/>
  <c r="AJ104" i="4"/>
  <c r="G9" i="4"/>
  <c r="G11" i="4" s="1"/>
  <c r="G15" i="4" s="1"/>
  <c r="G18" i="4" s="1"/>
  <c r="G68" i="4"/>
  <c r="U217" i="2"/>
  <c r="CP72" i="4"/>
  <c r="CP75" i="4" s="1"/>
  <c r="CP104" i="4"/>
  <c r="DF72" i="4"/>
  <c r="DF75" i="4" s="1"/>
  <c r="DF104" i="4"/>
  <c r="EI81" i="4"/>
  <c r="EU103" i="2"/>
  <c r="BR72" i="4"/>
  <c r="BR75" i="4" s="1"/>
  <c r="BR104" i="4"/>
  <c r="AT72" i="4"/>
  <c r="AT75" i="4" s="1"/>
  <c r="AT104" i="4"/>
  <c r="AU104" i="4"/>
  <c r="AU72" i="4"/>
  <c r="AU75" i="4" s="1"/>
  <c r="AC217" i="2"/>
  <c r="AB217" i="2"/>
  <c r="AD217" i="2"/>
  <c r="BY104" i="4"/>
  <c r="BY72" i="4"/>
  <c r="BY75" i="4" s="1"/>
  <c r="N72" i="4"/>
  <c r="N75" i="4" s="1"/>
  <c r="N104" i="4"/>
  <c r="DS104" i="4"/>
  <c r="DS72" i="4"/>
  <c r="DS75" i="4" s="1"/>
  <c r="CG72" i="4"/>
  <c r="CG75" i="4" s="1"/>
  <c r="CG104" i="4"/>
  <c r="AL72" i="4"/>
  <c r="AL75" i="4" s="1"/>
  <c r="AL104" i="4"/>
  <c r="EU143" i="2" l="1"/>
  <c r="KE196" i="2"/>
  <c r="M47" i="4"/>
  <c r="BD72" i="4"/>
  <c r="BD75" i="4" s="1"/>
  <c r="DL104" i="4"/>
  <c r="D206" i="2"/>
  <c r="K211" i="2"/>
  <c r="K212" i="2" s="1"/>
  <c r="P32" i="1"/>
  <c r="H196" i="2"/>
  <c r="CN104" i="4"/>
  <c r="O47" i="4" s="1"/>
  <c r="CB72" i="4"/>
  <c r="CB75" i="4" s="1"/>
  <c r="AR104" i="4"/>
  <c r="K47" i="4" s="1"/>
  <c r="P47" i="4"/>
  <c r="N47" i="4"/>
  <c r="Q47" i="4"/>
  <c r="K24" i="4"/>
  <c r="K25" i="4" s="1"/>
  <c r="L24" i="4"/>
  <c r="L25" i="4" s="1"/>
  <c r="M24" i="4"/>
  <c r="M25" i="4" s="1"/>
  <c r="N24" i="4"/>
  <c r="N25" i="4" s="1"/>
  <c r="O24" i="4"/>
  <c r="O25" i="4" s="1"/>
  <c r="P24" i="4"/>
  <c r="P25" i="4" s="1"/>
  <c r="Q24" i="4"/>
  <c r="Q25" i="4" s="1"/>
  <c r="L47" i="4"/>
  <c r="J47" i="4"/>
  <c r="H24" i="4"/>
  <c r="H25" i="4" s="1"/>
  <c r="I24" i="4"/>
  <c r="I25" i="4" s="1"/>
  <c r="J24" i="4"/>
  <c r="J25" i="4" s="1"/>
  <c r="EI82" i="4"/>
  <c r="EI92" i="4"/>
  <c r="EU146" i="2"/>
  <c r="G104" i="4"/>
  <c r="G47" i="4" s="1"/>
  <c r="G72" i="4"/>
  <c r="G75" i="4" s="1"/>
  <c r="H72" i="4"/>
  <c r="H75" i="4" s="1"/>
  <c r="H104" i="4"/>
  <c r="H47" i="4" s="1"/>
  <c r="K217" i="2"/>
  <c r="R217" i="2" s="1"/>
  <c r="T72" i="4"/>
  <c r="T75" i="4" s="1"/>
  <c r="T104" i="4"/>
  <c r="I47" i="4" s="1"/>
  <c r="P34" i="1" l="1"/>
  <c r="P33" i="1"/>
  <c r="EE206" i="2"/>
  <c r="EL206" i="2"/>
  <c r="EM206" i="2"/>
  <c r="AB206" i="2"/>
  <c r="T206" i="2"/>
  <c r="D207" i="2"/>
  <c r="AT206" i="2"/>
  <c r="AO206" i="2"/>
  <c r="AQ206" i="2"/>
  <c r="BI206" i="2"/>
  <c r="DU206" i="2"/>
  <c r="BW206" i="2"/>
  <c r="AR206" i="2"/>
  <c r="BS206" i="2"/>
  <c r="DK206" i="2"/>
  <c r="AV206" i="2"/>
  <c r="DP206" i="2"/>
  <c r="AF206" i="2"/>
  <c r="CE206" i="2"/>
  <c r="CZ206" i="2"/>
  <c r="DZ206" i="2"/>
  <c r="AZ206" i="2"/>
  <c r="U206" i="2"/>
  <c r="CL206" i="2"/>
  <c r="AD206" i="2"/>
  <c r="AX206" i="2"/>
  <c r="EB206" i="2"/>
  <c r="S206" i="2"/>
  <c r="DX206" i="2"/>
  <c r="BQ206" i="2"/>
  <c r="ES206" i="2"/>
  <c r="CS206" i="2"/>
  <c r="BU206" i="2"/>
  <c r="DD206" i="2"/>
  <c r="DY206" i="2"/>
  <c r="CD206" i="2"/>
  <c r="DC206" i="2"/>
  <c r="DJ206" i="2"/>
  <c r="CQ206" i="2"/>
  <c r="CO206" i="2"/>
  <c r="EH206" i="2"/>
  <c r="AW206" i="2"/>
  <c r="BB206" i="2"/>
  <c r="BX206" i="2"/>
  <c r="DV206" i="2"/>
  <c r="AL206" i="2"/>
  <c r="EU206" i="2"/>
  <c r="ET206" i="2"/>
  <c r="BL206" i="2"/>
  <c r="EK206" i="2"/>
  <c r="EN206" i="2"/>
  <c r="CJ206" i="2"/>
  <c r="CA206" i="2"/>
  <c r="EO206" i="2"/>
  <c r="AG206" i="2"/>
  <c r="ED206" i="2"/>
  <c r="EF206" i="2"/>
  <c r="BF206" i="2"/>
  <c r="FB202" i="2"/>
  <c r="CG206" i="2"/>
  <c r="BP206" i="2"/>
  <c r="AC206" i="2"/>
  <c r="DB206" i="2"/>
  <c r="DO206" i="2"/>
  <c r="AE206" i="2"/>
  <c r="CY206" i="2"/>
  <c r="CR206" i="2"/>
  <c r="DM206" i="2"/>
  <c r="AH206" i="2"/>
  <c r="AA206" i="2"/>
  <c r="DT206" i="2"/>
  <c r="DN206" i="2"/>
  <c r="W206" i="2"/>
  <c r="EC206" i="2"/>
  <c r="BG206" i="2"/>
  <c r="DR206" i="2"/>
  <c r="BY206" i="2"/>
  <c r="BK206" i="2"/>
  <c r="EP206" i="2"/>
  <c r="CN206" i="2"/>
  <c r="CF206" i="2"/>
  <c r="BT206" i="2"/>
  <c r="AJ206" i="2"/>
  <c r="AM206" i="2"/>
  <c r="AY206" i="2"/>
  <c r="ER206" i="2"/>
  <c r="AP206" i="2"/>
  <c r="BO206" i="2"/>
  <c r="Z206" i="2"/>
  <c r="DI206" i="2"/>
  <c r="BM206" i="2"/>
  <c r="BJ206" i="2"/>
  <c r="BN206" i="2"/>
  <c r="DS206" i="2"/>
  <c r="CP206" i="2"/>
  <c r="CI206" i="2"/>
  <c r="BC206" i="2"/>
  <c r="CW206" i="2"/>
  <c r="DA206" i="2"/>
  <c r="BD206" i="2"/>
  <c r="DW206" i="2"/>
  <c r="CU206" i="2"/>
  <c r="AU206" i="2"/>
  <c r="Y206" i="2"/>
  <c r="AN206" i="2"/>
  <c r="DF206" i="2"/>
  <c r="BA206" i="2"/>
  <c r="AK206" i="2"/>
  <c r="DQ206" i="2"/>
  <c r="DH206" i="2"/>
  <c r="BV206" i="2"/>
  <c r="CX206" i="2"/>
  <c r="CT206" i="2"/>
  <c r="DG206" i="2"/>
  <c r="CB206" i="2"/>
  <c r="EA206" i="2"/>
  <c r="CV206" i="2"/>
  <c r="EI206" i="2"/>
  <c r="CC206" i="2"/>
  <c r="X206" i="2"/>
  <c r="EG206" i="2"/>
  <c r="DL206" i="2"/>
  <c r="BR206" i="2"/>
  <c r="DE206" i="2"/>
  <c r="CM206" i="2"/>
  <c r="CK206" i="2"/>
  <c r="V206" i="2"/>
  <c r="EQ206" i="2"/>
  <c r="BZ206" i="2"/>
  <c r="AI206" i="2"/>
  <c r="BE206" i="2"/>
  <c r="AS206" i="2"/>
  <c r="EJ206" i="2"/>
  <c r="CH206" i="2"/>
  <c r="BH206" i="2"/>
  <c r="K35" i="4"/>
  <c r="K38" i="4" s="1"/>
  <c r="K40" i="4" s="1"/>
  <c r="K44" i="4" s="1"/>
  <c r="K52" i="4" s="1"/>
  <c r="L35" i="4"/>
  <c r="L38" i="4" s="1"/>
  <c r="L40" i="4" s="1"/>
  <c r="L44" i="4" s="1"/>
  <c r="L52" i="4" s="1"/>
  <c r="M35" i="4"/>
  <c r="M38" i="4" s="1"/>
  <c r="M40" i="4" s="1"/>
  <c r="M44" i="4" s="1"/>
  <c r="M52" i="4" s="1"/>
  <c r="N35" i="4"/>
  <c r="N38" i="4" s="1"/>
  <c r="N40" i="4" s="1"/>
  <c r="N44" i="4" s="1"/>
  <c r="N52" i="4" s="1"/>
  <c r="O35" i="4"/>
  <c r="O38" i="4" s="1"/>
  <c r="O40" i="4" s="1"/>
  <c r="O44" i="4" s="1"/>
  <c r="O52" i="4" s="1"/>
  <c r="P35" i="4"/>
  <c r="P38" i="4" s="1"/>
  <c r="P40" i="4" s="1"/>
  <c r="P44" i="4" s="1"/>
  <c r="P52" i="4" s="1"/>
  <c r="Q35" i="4"/>
  <c r="Q38" i="4" s="1"/>
  <c r="Q40" i="4" s="1"/>
  <c r="Q44" i="4" s="1"/>
  <c r="Q52" i="4" s="1"/>
  <c r="I35" i="4"/>
  <c r="I38" i="4" s="1"/>
  <c r="I40" i="4" s="1"/>
  <c r="I44" i="4" s="1"/>
  <c r="I52" i="4" s="1"/>
  <c r="J35" i="4"/>
  <c r="J38" i="4" s="1"/>
  <c r="J40" i="4" s="1"/>
  <c r="J44" i="4" s="1"/>
  <c r="J52" i="4" s="1"/>
  <c r="EU105" i="2"/>
  <c r="EU148" i="2"/>
  <c r="EU153" i="2" s="1"/>
  <c r="H35" i="4"/>
  <c r="H38" i="4" s="1"/>
  <c r="H40" i="4" s="1"/>
  <c r="H44" i="4" s="1"/>
  <c r="H52" i="4" s="1"/>
  <c r="EI95" i="4"/>
  <c r="EI97" i="4" s="1"/>
  <c r="EI101" i="4" s="1"/>
  <c r="EI109" i="4" s="1"/>
  <c r="IY202" i="2" l="1"/>
  <c r="GV202" i="2"/>
  <c r="HH202" i="2"/>
  <c r="HU202" i="2"/>
  <c r="JN202" i="2"/>
  <c r="JK202" i="2"/>
  <c r="HD202" i="2"/>
  <c r="IA202" i="2"/>
  <c r="JI202" i="2"/>
  <c r="GI202" i="2"/>
  <c r="HT202" i="2"/>
  <c r="IO202" i="2"/>
  <c r="GN202" i="2"/>
  <c r="HM202" i="2"/>
  <c r="FX202" i="2"/>
  <c r="HP202" i="2"/>
  <c r="HR202" i="2"/>
  <c r="HW202" i="2"/>
  <c r="JM202" i="2"/>
  <c r="FV202" i="2"/>
  <c r="JW202" i="2"/>
  <c r="GH202" i="2"/>
  <c r="GD202" i="2"/>
  <c r="JJ202" i="2"/>
  <c r="GO202" i="2"/>
  <c r="GZ202" i="2"/>
  <c r="GS202" i="2"/>
  <c r="HG202" i="2"/>
  <c r="IJ202" i="2"/>
  <c r="GQ202" i="2"/>
  <c r="GA202" i="2"/>
  <c r="JS202" i="2"/>
  <c r="KA202" i="2"/>
  <c r="JO202" i="2"/>
  <c r="FJ202" i="2"/>
  <c r="FU202" i="2"/>
  <c r="FY202" i="2"/>
  <c r="GP202" i="2"/>
  <c r="KE202" i="2"/>
  <c r="FL202" i="2"/>
  <c r="JR202" i="2"/>
  <c r="HK202" i="2"/>
  <c r="GU202" i="2"/>
  <c r="FC202" i="2"/>
  <c r="FC203" i="2" s="1"/>
  <c r="JF202" i="2"/>
  <c r="JQ202" i="2"/>
  <c r="IS202" i="2"/>
  <c r="GM202" i="2"/>
  <c r="FM202" i="2"/>
  <c r="FQ202" i="2"/>
  <c r="IH202" i="2"/>
  <c r="JA202" i="2"/>
  <c r="FR202" i="2"/>
  <c r="IX202" i="2"/>
  <c r="JZ202" i="2"/>
  <c r="JE202" i="2"/>
  <c r="HY202" i="2"/>
  <c r="IG202" i="2"/>
  <c r="JP202" i="2"/>
  <c r="GT202" i="2"/>
  <c r="JC202" i="2"/>
  <c r="IF202" i="2"/>
  <c r="FZ202" i="2"/>
  <c r="HE202" i="2"/>
  <c r="II202" i="2"/>
  <c r="IN202" i="2"/>
  <c r="FF202" i="2"/>
  <c r="KC202" i="2"/>
  <c r="IL202" i="2"/>
  <c r="FT202" i="2"/>
  <c r="IV202" i="2"/>
  <c r="HZ202" i="2"/>
  <c r="GC202" i="2"/>
  <c r="IM202" i="2"/>
  <c r="IB202" i="2"/>
  <c r="HQ202" i="2"/>
  <c r="GJ202" i="2"/>
  <c r="JY202" i="2"/>
  <c r="HA202" i="2"/>
  <c r="GG202" i="2"/>
  <c r="FW202" i="2"/>
  <c r="HF202" i="2"/>
  <c r="FG202" i="2"/>
  <c r="FS202" i="2"/>
  <c r="GW202" i="2"/>
  <c r="HJ202" i="2"/>
  <c r="IZ202" i="2"/>
  <c r="JX202" i="2"/>
  <c r="GY202" i="2"/>
  <c r="FE202" i="2"/>
  <c r="KD202" i="2"/>
  <c r="ID202" i="2"/>
  <c r="JU202" i="2"/>
  <c r="JL202" i="2"/>
  <c r="HS202" i="2"/>
  <c r="FP202" i="2"/>
  <c r="HI202" i="2"/>
  <c r="FI202" i="2"/>
  <c r="JG202" i="2"/>
  <c r="JB202" i="2"/>
  <c r="KB202" i="2"/>
  <c r="JT202" i="2"/>
  <c r="HB202" i="2"/>
  <c r="GK202" i="2"/>
  <c r="IC202" i="2"/>
  <c r="GE202" i="2"/>
  <c r="HV202" i="2"/>
  <c r="HX202" i="2"/>
  <c r="IT202" i="2"/>
  <c r="IR202" i="2"/>
  <c r="GX202" i="2"/>
  <c r="GR202" i="2"/>
  <c r="FD202" i="2"/>
  <c r="JV202" i="2"/>
  <c r="GB202" i="2"/>
  <c r="IQ202" i="2"/>
  <c r="IK202" i="2"/>
  <c r="GL202" i="2"/>
  <c r="FN202" i="2"/>
  <c r="FK202" i="2"/>
  <c r="IE202" i="2"/>
  <c r="IP202" i="2"/>
  <c r="JD202" i="2"/>
  <c r="FO202" i="2"/>
  <c r="GF202" i="2"/>
  <c r="IW202" i="2"/>
  <c r="FH202" i="2"/>
  <c r="HC202" i="2"/>
  <c r="JH202" i="2"/>
  <c r="HN202" i="2"/>
  <c r="HL202" i="2"/>
  <c r="IU202" i="2"/>
  <c r="HO202" i="2"/>
  <c r="D208" i="2"/>
  <c r="AM207" i="2"/>
  <c r="AM208" i="2" s="1"/>
  <c r="AK207" i="2"/>
  <c r="AK208" i="2" s="1"/>
  <c r="AP207" i="2"/>
  <c r="AP208" i="2" s="1"/>
  <c r="BH207" i="2"/>
  <c r="BH208" i="2" s="1"/>
  <c r="EO207" i="2"/>
  <c r="EO208" i="2" s="1"/>
  <c r="EC111" i="4" s="1"/>
  <c r="BG207" i="2"/>
  <c r="BG208" i="2" s="1"/>
  <c r="BT207" i="2"/>
  <c r="BT208" i="2" s="1"/>
  <c r="BC207" i="2"/>
  <c r="BC208" i="2" s="1"/>
  <c r="CU207" i="2"/>
  <c r="CU208" i="2" s="1"/>
  <c r="CN207" i="2"/>
  <c r="CN208" i="2" s="1"/>
  <c r="DA207" i="2"/>
  <c r="DA208" i="2" s="1"/>
  <c r="EE207" i="2"/>
  <c r="EE208" i="2" s="1"/>
  <c r="BB207" i="2"/>
  <c r="BB208" i="2" s="1"/>
  <c r="DN207" i="2"/>
  <c r="DN208" i="2" s="1"/>
  <c r="BY207" i="2"/>
  <c r="BY208" i="2" s="1"/>
  <c r="EN207" i="2"/>
  <c r="EN208" i="2" s="1"/>
  <c r="EB111" i="4" s="1"/>
  <c r="AN207" i="2"/>
  <c r="AN208" i="2" s="1"/>
  <c r="DT207" i="2"/>
  <c r="DT208" i="2" s="1"/>
  <c r="Z207" i="2"/>
  <c r="Z208" i="2" s="1"/>
  <c r="AT207" i="2"/>
  <c r="AT208" i="2" s="1"/>
  <c r="EI207" i="2"/>
  <c r="EI208" i="2" s="1"/>
  <c r="BQ207" i="2"/>
  <c r="BQ208" i="2" s="1"/>
  <c r="CO207" i="2"/>
  <c r="CO208" i="2" s="1"/>
  <c r="CF207" i="2"/>
  <c r="CF208" i="2" s="1"/>
  <c r="BJ207" i="2"/>
  <c r="BJ208" i="2" s="1"/>
  <c r="DC207" i="2"/>
  <c r="DC208" i="2" s="1"/>
  <c r="CS207" i="2"/>
  <c r="CS208" i="2" s="1"/>
  <c r="BV207" i="2"/>
  <c r="BV208" i="2" s="1"/>
  <c r="DJ207" i="2"/>
  <c r="DJ208" i="2" s="1"/>
  <c r="EB207" i="2"/>
  <c r="EB208" i="2" s="1"/>
  <c r="DH207" i="2"/>
  <c r="DH208" i="2" s="1"/>
  <c r="DE207" i="2"/>
  <c r="DE208" i="2" s="1"/>
  <c r="BF207" i="2"/>
  <c r="BF208" i="2" s="1"/>
  <c r="CV207" i="2"/>
  <c r="CV208" i="2" s="1"/>
  <c r="AR207" i="2"/>
  <c r="AR208" i="2" s="1"/>
  <c r="AC207" i="2"/>
  <c r="AC208" i="2" s="1"/>
  <c r="DF207" i="2"/>
  <c r="DF208" i="2" s="1"/>
  <c r="AY207" i="2"/>
  <c r="AY208" i="2" s="1"/>
  <c r="CG207" i="2"/>
  <c r="CG208" i="2" s="1"/>
  <c r="BL207" i="2"/>
  <c r="BL208" i="2" s="1"/>
  <c r="DV207" i="2"/>
  <c r="DV208" i="2" s="1"/>
  <c r="AU207" i="2"/>
  <c r="AU208" i="2" s="1"/>
  <c r="CC207" i="2"/>
  <c r="CC208" i="2" s="1"/>
  <c r="EQ207" i="2"/>
  <c r="EQ208" i="2" s="1"/>
  <c r="EE111" i="4" s="1"/>
  <c r="ET207" i="2"/>
  <c r="ET208" i="2" s="1"/>
  <c r="EH111" i="4" s="1"/>
  <c r="CT207" i="2"/>
  <c r="CT208" i="2" s="1"/>
  <c r="EG207" i="2"/>
  <c r="EG208" i="2" s="1"/>
  <c r="EH207" i="2"/>
  <c r="EH208" i="2" s="1"/>
  <c r="AG207" i="2"/>
  <c r="AG208" i="2" s="1"/>
  <c r="DB207" i="2"/>
  <c r="DB208" i="2" s="1"/>
  <c r="DD207" i="2"/>
  <c r="DD208" i="2" s="1"/>
  <c r="BK207" i="2"/>
  <c r="BK208" i="2" s="1"/>
  <c r="CL207" i="2"/>
  <c r="CL208" i="2" s="1"/>
  <c r="BN207" i="2"/>
  <c r="BN208" i="2" s="1"/>
  <c r="BP207" i="2"/>
  <c r="BP208" i="2" s="1"/>
  <c r="DL207" i="2"/>
  <c r="DL208" i="2" s="1"/>
  <c r="BZ207" i="2"/>
  <c r="BZ208" i="2" s="1"/>
  <c r="EA207" i="2"/>
  <c r="EA208" i="2" s="1"/>
  <c r="BX207" i="2"/>
  <c r="BX208" i="2" s="1"/>
  <c r="CM207" i="2"/>
  <c r="CM208" i="2" s="1"/>
  <c r="CP207" i="2"/>
  <c r="CP208" i="2" s="1"/>
  <c r="BE207" i="2"/>
  <c r="BE208" i="2" s="1"/>
  <c r="ES207" i="2"/>
  <c r="ES208" i="2" s="1"/>
  <c r="EG111" i="4" s="1"/>
  <c r="DR207" i="2"/>
  <c r="DR208" i="2" s="1"/>
  <c r="ED207" i="2"/>
  <c r="ED208" i="2" s="1"/>
  <c r="DI207" i="2"/>
  <c r="DI208" i="2" s="1"/>
  <c r="AB207" i="2"/>
  <c r="AB208" i="2" s="1"/>
  <c r="AV207" i="2"/>
  <c r="AV208" i="2" s="1"/>
  <c r="DS207" i="2"/>
  <c r="DS208" i="2" s="1"/>
  <c r="DP207" i="2"/>
  <c r="DP208" i="2" s="1"/>
  <c r="BO207" i="2"/>
  <c r="BO208" i="2" s="1"/>
  <c r="AO207" i="2"/>
  <c r="AO208" i="2" s="1"/>
  <c r="X207" i="2"/>
  <c r="X208" i="2" s="1"/>
  <c r="S207" i="2"/>
  <c r="DQ207" i="2"/>
  <c r="DQ208" i="2" s="1"/>
  <c r="AX207" i="2"/>
  <c r="AX208" i="2" s="1"/>
  <c r="AL207" i="2"/>
  <c r="AL208" i="2" s="1"/>
  <c r="AJ207" i="2"/>
  <c r="AJ208" i="2" s="1"/>
  <c r="DZ207" i="2"/>
  <c r="DZ208" i="2" s="1"/>
  <c r="EP207" i="2"/>
  <c r="EP208" i="2" s="1"/>
  <c r="ED111" i="4" s="1"/>
  <c r="CI207" i="2"/>
  <c r="CI208" i="2" s="1"/>
  <c r="CH207" i="2"/>
  <c r="CH208" i="2" s="1"/>
  <c r="AW207" i="2"/>
  <c r="AW208" i="2" s="1"/>
  <c r="BI207" i="2"/>
  <c r="BI208" i="2" s="1"/>
  <c r="EL207" i="2"/>
  <c r="EL208" i="2" s="1"/>
  <c r="DZ111" i="4" s="1"/>
  <c r="BU207" i="2"/>
  <c r="BU208" i="2" s="1"/>
  <c r="CA207" i="2"/>
  <c r="CA208" i="2" s="1"/>
  <c r="CR207" i="2"/>
  <c r="CR208" i="2" s="1"/>
  <c r="EF207" i="2"/>
  <c r="EF208" i="2" s="1"/>
  <c r="T207" i="2"/>
  <c r="CW207" i="2"/>
  <c r="CW208" i="2" s="1"/>
  <c r="AI207" i="2"/>
  <c r="AI208" i="2" s="1"/>
  <c r="CD207" i="2"/>
  <c r="CD208" i="2" s="1"/>
  <c r="CK207" i="2"/>
  <c r="CK208" i="2" s="1"/>
  <c r="CX207" i="2"/>
  <c r="CX208" i="2" s="1"/>
  <c r="AD207" i="2"/>
  <c r="AD208" i="2" s="1"/>
  <c r="EJ207" i="2"/>
  <c r="EJ208" i="2" s="1"/>
  <c r="DX111" i="4" s="1"/>
  <c r="AA207" i="2"/>
  <c r="AA208" i="2" s="1"/>
  <c r="AS207" i="2"/>
  <c r="AS208" i="2" s="1"/>
  <c r="Y207" i="2"/>
  <c r="Y208" i="2" s="1"/>
  <c r="U207" i="2"/>
  <c r="U208" i="2" s="1"/>
  <c r="BR207" i="2"/>
  <c r="BR208" i="2" s="1"/>
  <c r="CJ207" i="2"/>
  <c r="CJ208" i="2" s="1"/>
  <c r="DY207" i="2"/>
  <c r="DY208" i="2" s="1"/>
  <c r="CQ207" i="2"/>
  <c r="CQ208" i="2" s="1"/>
  <c r="EM207" i="2"/>
  <c r="EM208" i="2" s="1"/>
  <c r="EA111" i="4" s="1"/>
  <c r="DK207" i="2"/>
  <c r="DK208" i="2" s="1"/>
  <c r="DU207" i="2"/>
  <c r="DU208" i="2" s="1"/>
  <c r="AZ207" i="2"/>
  <c r="AZ208" i="2" s="1"/>
  <c r="V207" i="2"/>
  <c r="V208" i="2" s="1"/>
  <c r="EC207" i="2"/>
  <c r="EC208" i="2" s="1"/>
  <c r="BM207" i="2"/>
  <c r="BM208" i="2" s="1"/>
  <c r="DW207" i="2"/>
  <c r="DW208" i="2" s="1"/>
  <c r="CY207" i="2"/>
  <c r="CY208" i="2" s="1"/>
  <c r="DM207" i="2"/>
  <c r="DM208" i="2" s="1"/>
  <c r="BS207" i="2"/>
  <c r="BS208" i="2" s="1"/>
  <c r="CE207" i="2"/>
  <c r="CE208" i="2" s="1"/>
  <c r="CB207" i="2"/>
  <c r="CB208" i="2" s="1"/>
  <c r="AQ207" i="2"/>
  <c r="AQ208" i="2" s="1"/>
  <c r="DX207" i="2"/>
  <c r="DX208" i="2" s="1"/>
  <c r="EU207" i="2"/>
  <c r="EU208" i="2" s="1"/>
  <c r="EI111" i="4" s="1"/>
  <c r="DG207" i="2"/>
  <c r="DG208" i="2" s="1"/>
  <c r="EK207" i="2"/>
  <c r="EK208" i="2" s="1"/>
  <c r="DY111" i="4" s="1"/>
  <c r="AH207" i="2"/>
  <c r="AH208" i="2" s="1"/>
  <c r="AF207" i="2"/>
  <c r="AF208" i="2" s="1"/>
  <c r="DO207" i="2"/>
  <c r="DO208" i="2" s="1"/>
  <c r="AE207" i="2"/>
  <c r="AE208" i="2" s="1"/>
  <c r="BA207" i="2"/>
  <c r="BA208" i="2" s="1"/>
  <c r="ER207" i="2"/>
  <c r="ER208" i="2" s="1"/>
  <c r="EF111" i="4" s="1"/>
  <c r="W207" i="2"/>
  <c r="W208" i="2" s="1"/>
  <c r="CZ207" i="2"/>
  <c r="CZ208" i="2" s="1"/>
  <c r="BD207" i="2"/>
  <c r="BD208" i="2" s="1"/>
  <c r="BW207" i="2"/>
  <c r="BW208" i="2" s="1"/>
  <c r="CG111" i="4" l="1"/>
  <c r="CS224" i="2"/>
  <c r="CS228" i="2" s="1"/>
  <c r="CG115" i="4" s="1"/>
  <c r="AC111" i="4"/>
  <c r="AO224" i="2"/>
  <c r="AO228" i="2" s="1"/>
  <c r="AC115" i="4" s="1"/>
  <c r="CZ111" i="4"/>
  <c r="DL224" i="2"/>
  <c r="DL228" i="2" s="1"/>
  <c r="CZ115" i="4" s="1"/>
  <c r="AZ111" i="4"/>
  <c r="BL224" i="2"/>
  <c r="BL228" i="2" s="1"/>
  <c r="AZ115" i="4" s="1"/>
  <c r="BT111" i="4"/>
  <c r="CF224" i="2"/>
  <c r="CF228" i="2" s="1"/>
  <c r="BT115" i="4" s="1"/>
  <c r="AQ111" i="4"/>
  <c r="BC224" i="2"/>
  <c r="BC228" i="2" s="1"/>
  <c r="AQ115" i="4" s="1"/>
  <c r="BQ111" i="4"/>
  <c r="CC224" i="2"/>
  <c r="CC228" i="2" s="1"/>
  <c r="BQ115" i="4" s="1"/>
  <c r="X224" i="2"/>
  <c r="X228" i="2" s="1"/>
  <c r="L115" i="4" s="1"/>
  <c r="L111" i="4"/>
  <c r="BO224" i="2"/>
  <c r="BO228" i="2" s="1"/>
  <c r="BC115" i="4" s="1"/>
  <c r="BC111" i="4"/>
  <c r="BP224" i="2"/>
  <c r="BP228" i="2" s="1"/>
  <c r="BD115" i="4" s="1"/>
  <c r="BD111" i="4"/>
  <c r="BU111" i="4"/>
  <c r="CG224" i="2"/>
  <c r="CG228" i="2" s="1"/>
  <c r="BU115" i="4" s="1"/>
  <c r="CC111" i="4"/>
  <c r="CO224" i="2"/>
  <c r="CO228" i="2" s="1"/>
  <c r="CC115" i="4" s="1"/>
  <c r="BT224" i="2"/>
  <c r="BT228" i="2" s="1"/>
  <c r="BH115" i="4" s="1"/>
  <c r="BH111" i="4"/>
  <c r="BX224" i="2"/>
  <c r="BX228" i="2" s="1"/>
  <c r="BL115" i="4" s="1"/>
  <c r="BL111" i="4"/>
  <c r="CU111" i="4"/>
  <c r="DG224" i="2"/>
  <c r="DG228" i="2" s="1"/>
  <c r="CU115" i="4" s="1"/>
  <c r="CE111" i="4"/>
  <c r="CQ224" i="2"/>
  <c r="CQ228" i="2" s="1"/>
  <c r="CE115" i="4" s="1"/>
  <c r="DL111" i="4"/>
  <c r="DX224" i="2"/>
  <c r="DX228" i="2" s="1"/>
  <c r="DL115" i="4" s="1"/>
  <c r="BI111" i="4"/>
  <c r="BU224" i="2"/>
  <c r="BU228" i="2" s="1"/>
  <c r="BI115" i="4" s="1"/>
  <c r="DD111" i="4"/>
  <c r="DP224" i="2"/>
  <c r="DP228" i="2" s="1"/>
  <c r="DD115" i="4" s="1"/>
  <c r="BB111" i="4"/>
  <c r="BN224" i="2"/>
  <c r="BN228" i="2" s="1"/>
  <c r="BB115" i="4" s="1"/>
  <c r="AM111" i="4"/>
  <c r="AY224" i="2"/>
  <c r="AY228" i="2" s="1"/>
  <c r="AM115" i="4" s="1"/>
  <c r="BE111" i="4"/>
  <c r="BQ224" i="2"/>
  <c r="BQ228" i="2" s="1"/>
  <c r="BE115" i="4" s="1"/>
  <c r="AU111" i="4"/>
  <c r="BG224" i="2"/>
  <c r="BG228" i="2" s="1"/>
  <c r="AU115" i="4" s="1"/>
  <c r="BN111" i="4"/>
  <c r="BZ224" i="2"/>
  <c r="BZ228" i="2" s="1"/>
  <c r="BN115" i="4" s="1"/>
  <c r="BS111" i="4"/>
  <c r="CE224" i="2"/>
  <c r="CE228" i="2" s="1"/>
  <c r="BS115" i="4" s="1"/>
  <c r="DG111" i="4"/>
  <c r="DS224" i="2"/>
  <c r="DS228" i="2" s="1"/>
  <c r="DG115" i="4" s="1"/>
  <c r="BZ111" i="4"/>
  <c r="CL224" i="2"/>
  <c r="CL228" i="2" s="1"/>
  <c r="BZ115" i="4" s="1"/>
  <c r="CT111" i="4"/>
  <c r="DF224" i="2"/>
  <c r="DF228" i="2" s="1"/>
  <c r="CT115" i="4" s="1"/>
  <c r="DW111" i="4"/>
  <c r="EI224" i="2"/>
  <c r="EI228" i="2" s="1"/>
  <c r="DW115" i="4" s="1"/>
  <c r="DE111" i="4"/>
  <c r="DQ224" i="2"/>
  <c r="DQ228" i="2" s="1"/>
  <c r="DE115" i="4" s="1"/>
  <c r="CB111" i="4"/>
  <c r="CN224" i="2"/>
  <c r="CN228" i="2" s="1"/>
  <c r="CB115" i="4" s="1"/>
  <c r="BX111" i="4"/>
  <c r="CJ224" i="2"/>
  <c r="CJ228" i="2" s="1"/>
  <c r="BX115" i="4" s="1"/>
  <c r="AR111" i="4"/>
  <c r="BD224" i="2"/>
  <c r="BD228" i="2" s="1"/>
  <c r="AR115" i="4" s="1"/>
  <c r="BG111" i="4"/>
  <c r="BS224" i="2"/>
  <c r="BS228" i="2" s="1"/>
  <c r="BG115" i="4" s="1"/>
  <c r="M111" i="4"/>
  <c r="Y224" i="2"/>
  <c r="Y228" i="2" s="1"/>
  <c r="M115" i="4" s="1"/>
  <c r="AW111" i="4"/>
  <c r="BI224" i="2"/>
  <c r="BI228" i="2" s="1"/>
  <c r="AW115" i="4" s="1"/>
  <c r="AV224" i="2"/>
  <c r="AV228" i="2" s="1"/>
  <c r="AJ115" i="4" s="1"/>
  <c r="AJ111" i="4"/>
  <c r="AY111" i="4"/>
  <c r="BK224" i="2"/>
  <c r="BK228" i="2" s="1"/>
  <c r="AY115" i="4" s="1"/>
  <c r="Q111" i="4"/>
  <c r="AC224" i="2"/>
  <c r="AC228" i="2" s="1"/>
  <c r="Q115" i="4" s="1"/>
  <c r="AT224" i="2"/>
  <c r="AT228" i="2" s="1"/>
  <c r="AH115" i="4" s="1"/>
  <c r="AH111" i="4"/>
  <c r="BH224" i="2"/>
  <c r="BH228" i="2" s="1"/>
  <c r="AV115" i="4" s="1"/>
  <c r="AV111" i="4"/>
  <c r="AQ224" i="2"/>
  <c r="AQ228" i="2" s="1"/>
  <c r="AE115" i="4" s="1"/>
  <c r="AE111" i="4"/>
  <c r="AG111" i="4"/>
  <c r="AS224" i="2"/>
  <c r="AS228" i="2" s="1"/>
  <c r="AG115" i="4" s="1"/>
  <c r="AK111" i="4"/>
  <c r="AW224" i="2"/>
  <c r="AW228" i="2" s="1"/>
  <c r="AK115" i="4" s="1"/>
  <c r="AB224" i="2"/>
  <c r="AB228" i="2" s="1"/>
  <c r="P115" i="4" s="1"/>
  <c r="P111" i="4"/>
  <c r="DD224" i="2"/>
  <c r="DD228" i="2" s="1"/>
  <c r="CR115" i="4" s="1"/>
  <c r="CR111" i="4"/>
  <c r="AR224" i="2"/>
  <c r="AR228" i="2" s="1"/>
  <c r="AF115" i="4" s="1"/>
  <c r="AF111" i="4"/>
  <c r="Z224" i="2"/>
  <c r="Z228" i="2" s="1"/>
  <c r="N115" i="4" s="1"/>
  <c r="N111" i="4"/>
  <c r="AP224" i="2"/>
  <c r="AP228" i="2" s="1"/>
  <c r="AD115" i="4" s="1"/>
  <c r="AD111" i="4"/>
  <c r="CO111" i="4"/>
  <c r="DA224" i="2"/>
  <c r="DA228" i="2" s="1"/>
  <c r="CO115" i="4" s="1"/>
  <c r="BO111" i="4"/>
  <c r="CA224" i="2"/>
  <c r="CA228" i="2" s="1"/>
  <c r="BO115" i="4" s="1"/>
  <c r="DA111" i="4"/>
  <c r="DM224" i="2"/>
  <c r="DM228" i="2" s="1"/>
  <c r="DA115" i="4" s="1"/>
  <c r="K111" i="4"/>
  <c r="W224" i="2"/>
  <c r="W228" i="2" s="1"/>
  <c r="K115" i="4" s="1"/>
  <c r="CM111" i="4"/>
  <c r="CY224" i="2"/>
  <c r="CY228" i="2" s="1"/>
  <c r="CM115" i="4" s="1"/>
  <c r="AA224" i="2"/>
  <c r="AA228" i="2" s="1"/>
  <c r="O115" i="4" s="1"/>
  <c r="O111" i="4"/>
  <c r="BV111" i="4"/>
  <c r="CH224" i="2"/>
  <c r="CH228" i="2" s="1"/>
  <c r="BV115" i="4" s="1"/>
  <c r="CW111" i="4"/>
  <c r="DI224" i="2"/>
  <c r="DI228" i="2" s="1"/>
  <c r="CW115" i="4" s="1"/>
  <c r="CP111" i="4"/>
  <c r="DB224" i="2"/>
  <c r="DB228" i="2" s="1"/>
  <c r="CP115" i="4" s="1"/>
  <c r="CJ111" i="4"/>
  <c r="CV224" i="2"/>
  <c r="CV228" i="2" s="1"/>
  <c r="CJ115" i="4" s="1"/>
  <c r="DH111" i="4"/>
  <c r="DT224" i="2"/>
  <c r="DT228" i="2" s="1"/>
  <c r="DH115" i="4" s="1"/>
  <c r="Y111" i="4"/>
  <c r="AK224" i="2"/>
  <c r="AK228" i="2" s="1"/>
  <c r="Y115" i="4" s="1"/>
  <c r="CY111" i="4"/>
  <c r="DK224" i="2"/>
  <c r="DK228" i="2" s="1"/>
  <c r="CY115" i="4" s="1"/>
  <c r="DO111" i="4"/>
  <c r="EA224" i="2"/>
  <c r="EA228" i="2" s="1"/>
  <c r="DO115" i="4" s="1"/>
  <c r="BR224" i="2"/>
  <c r="BR228" i="2" s="1"/>
  <c r="BF115" i="4" s="1"/>
  <c r="BF111" i="4"/>
  <c r="DK111" i="4"/>
  <c r="DW224" i="2"/>
  <c r="DW228" i="2" s="1"/>
  <c r="DK115" i="4" s="1"/>
  <c r="BW111" i="4"/>
  <c r="CI224" i="2"/>
  <c r="CI228" i="2" s="1"/>
  <c r="BW115" i="4" s="1"/>
  <c r="DR111" i="4"/>
  <c r="ED224" i="2"/>
  <c r="ED228" i="2" s="1"/>
  <c r="DR115" i="4" s="1"/>
  <c r="AG224" i="2"/>
  <c r="AG228" i="2" s="1"/>
  <c r="U115" i="4" s="1"/>
  <c r="U111" i="4"/>
  <c r="BF224" i="2"/>
  <c r="BF228" i="2" s="1"/>
  <c r="AT115" i="4" s="1"/>
  <c r="AT111" i="4"/>
  <c r="AN224" i="2"/>
  <c r="AN228" i="2" s="1"/>
  <c r="AB115" i="4" s="1"/>
  <c r="AB111" i="4"/>
  <c r="AM224" i="2"/>
  <c r="AM228" i="2" s="1"/>
  <c r="AA115" i="4" s="1"/>
  <c r="AA111" i="4"/>
  <c r="BW224" i="2"/>
  <c r="BW228" i="2" s="1"/>
  <c r="BK115" i="4" s="1"/>
  <c r="BK111" i="4"/>
  <c r="R111" i="4"/>
  <c r="AD224" i="2"/>
  <c r="AD228" i="2" s="1"/>
  <c r="R115" i="4" s="1"/>
  <c r="DF111" i="4"/>
  <c r="DR224" i="2"/>
  <c r="DR228" i="2" s="1"/>
  <c r="DF115" i="4" s="1"/>
  <c r="DV111" i="4"/>
  <c r="EH224" i="2"/>
  <c r="EH228" i="2" s="1"/>
  <c r="DV115" i="4" s="1"/>
  <c r="CS111" i="4"/>
  <c r="DE224" i="2"/>
  <c r="DE228" i="2" s="1"/>
  <c r="CS115" i="4" s="1"/>
  <c r="S208" i="2"/>
  <c r="T208" i="2"/>
  <c r="AU224" i="2"/>
  <c r="AU228" i="2" s="1"/>
  <c r="AI115" i="4" s="1"/>
  <c r="AI111" i="4"/>
  <c r="AE224" i="2"/>
  <c r="AE228" i="2" s="1"/>
  <c r="S115" i="4" s="1"/>
  <c r="S111" i="4"/>
  <c r="DQ111" i="4"/>
  <c r="EC224" i="2"/>
  <c r="EC228" i="2" s="1"/>
  <c r="DQ115" i="4" s="1"/>
  <c r="CL111" i="4"/>
  <c r="CX224" i="2"/>
  <c r="CX228" i="2" s="1"/>
  <c r="CL115" i="4" s="1"/>
  <c r="DN111" i="4"/>
  <c r="DZ224" i="2"/>
  <c r="DZ228" i="2" s="1"/>
  <c r="DN115" i="4" s="1"/>
  <c r="DU111" i="4"/>
  <c r="EG224" i="2"/>
  <c r="EG228" i="2" s="1"/>
  <c r="DU115" i="4" s="1"/>
  <c r="CV111" i="4"/>
  <c r="DH224" i="2"/>
  <c r="DH228" i="2" s="1"/>
  <c r="CV115" i="4" s="1"/>
  <c r="BM111" i="4"/>
  <c r="BY224" i="2"/>
  <c r="BY228" i="2" s="1"/>
  <c r="BM115" i="4" s="1"/>
  <c r="CK111" i="4"/>
  <c r="CW224" i="2"/>
  <c r="CW228" i="2" s="1"/>
  <c r="CK115" i="4" s="1"/>
  <c r="DT111" i="4"/>
  <c r="EF224" i="2"/>
  <c r="EF228" i="2" s="1"/>
  <c r="DT115" i="4" s="1"/>
  <c r="CU224" i="2"/>
  <c r="CU228" i="2" s="1"/>
  <c r="CI115" i="4" s="1"/>
  <c r="CI111" i="4"/>
  <c r="DM111" i="4"/>
  <c r="DY224" i="2"/>
  <c r="DY228" i="2" s="1"/>
  <c r="DM115" i="4" s="1"/>
  <c r="BP111" i="4"/>
  <c r="CB224" i="2"/>
  <c r="CB228" i="2" s="1"/>
  <c r="BP115" i="4" s="1"/>
  <c r="BA111" i="4"/>
  <c r="BM224" i="2"/>
  <c r="BM228" i="2" s="1"/>
  <c r="BA115" i="4" s="1"/>
  <c r="DC111" i="4"/>
  <c r="DO224" i="2"/>
  <c r="DO228" i="2" s="1"/>
  <c r="DC115" i="4" s="1"/>
  <c r="J111" i="4"/>
  <c r="V224" i="2"/>
  <c r="V228" i="2" s="1"/>
  <c r="J115" i="4" s="1"/>
  <c r="BY111" i="4"/>
  <c r="CK224" i="2"/>
  <c r="CK228" i="2" s="1"/>
  <c r="BY115" i="4" s="1"/>
  <c r="AJ224" i="2"/>
  <c r="AJ228" i="2" s="1"/>
  <c r="X115" i="4" s="1"/>
  <c r="X111" i="4"/>
  <c r="AS111" i="4"/>
  <c r="BE224" i="2"/>
  <c r="BE228" i="2" s="1"/>
  <c r="AS115" i="4" s="1"/>
  <c r="CH111" i="4"/>
  <c r="CT224" i="2"/>
  <c r="CT228" i="2" s="1"/>
  <c r="CH115" i="4" s="1"/>
  <c r="DP111" i="4"/>
  <c r="EB224" i="2"/>
  <c r="EB228" i="2" s="1"/>
  <c r="DP115" i="4" s="1"/>
  <c r="DB111" i="4"/>
  <c r="DN224" i="2"/>
  <c r="DN228" i="2" s="1"/>
  <c r="DB115" i="4" s="1"/>
  <c r="AO111" i="4"/>
  <c r="BA224" i="2"/>
  <c r="BA228" i="2" s="1"/>
  <c r="AO115" i="4" s="1"/>
  <c r="AF224" i="2"/>
  <c r="AF228" i="2" s="1"/>
  <c r="T115" i="4" s="1"/>
  <c r="T111" i="4"/>
  <c r="AZ224" i="2"/>
  <c r="AZ228" i="2" s="1"/>
  <c r="AN115" i="4" s="1"/>
  <c r="AN111" i="4"/>
  <c r="BR111" i="4"/>
  <c r="CD224" i="2"/>
  <c r="CD228" i="2" s="1"/>
  <c r="BR115" i="4" s="1"/>
  <c r="Z111" i="4"/>
  <c r="AL224" i="2"/>
  <c r="AL228" i="2" s="1"/>
  <c r="Z115" i="4" s="1"/>
  <c r="CD111" i="4"/>
  <c r="CP224" i="2"/>
  <c r="CP228" i="2" s="1"/>
  <c r="CD115" i="4" s="1"/>
  <c r="CX111" i="4"/>
  <c r="DJ224" i="2"/>
  <c r="DJ228" i="2" s="1"/>
  <c r="CX115" i="4" s="1"/>
  <c r="BB224" i="2"/>
  <c r="BB228" i="2" s="1"/>
  <c r="AP115" i="4" s="1"/>
  <c r="AP111" i="4"/>
  <c r="CQ111" i="4"/>
  <c r="DC224" i="2"/>
  <c r="DC228" i="2" s="1"/>
  <c r="CQ115" i="4" s="1"/>
  <c r="DJ111" i="4"/>
  <c r="DV224" i="2"/>
  <c r="DV228" i="2" s="1"/>
  <c r="DJ115" i="4" s="1"/>
  <c r="BJ224" i="2"/>
  <c r="BJ228" i="2" s="1"/>
  <c r="AX115" i="4" s="1"/>
  <c r="AX111" i="4"/>
  <c r="CF111" i="4"/>
  <c r="CR224" i="2"/>
  <c r="CR228" i="2" s="1"/>
  <c r="CF115" i="4" s="1"/>
  <c r="I111" i="4"/>
  <c r="U224" i="2"/>
  <c r="U228" i="2" s="1"/>
  <c r="I115" i="4" s="1"/>
  <c r="CN111" i="4"/>
  <c r="CZ224" i="2"/>
  <c r="CZ228" i="2" s="1"/>
  <c r="CN115" i="4" s="1"/>
  <c r="AH224" i="2"/>
  <c r="AH228" i="2" s="1"/>
  <c r="V115" i="4" s="1"/>
  <c r="V111" i="4"/>
  <c r="DI111" i="4"/>
  <c r="DU224" i="2"/>
  <c r="DU228" i="2" s="1"/>
  <c r="DI115" i="4" s="1"/>
  <c r="W111" i="4"/>
  <c r="AI224" i="2"/>
  <c r="AI228" i="2" s="1"/>
  <c r="W115" i="4" s="1"/>
  <c r="AL111" i="4"/>
  <c r="AX224" i="2"/>
  <c r="AX228" i="2" s="1"/>
  <c r="AL115" i="4" s="1"/>
  <c r="CA111" i="4"/>
  <c r="CM224" i="2"/>
  <c r="CM228" i="2" s="1"/>
  <c r="CA115" i="4" s="1"/>
  <c r="BV224" i="2"/>
  <c r="BV228" i="2" s="1"/>
  <c r="BJ115" i="4" s="1"/>
  <c r="BJ111" i="4"/>
  <c r="DS111" i="4"/>
  <c r="EE224" i="2"/>
  <c r="EE228" i="2" s="1"/>
  <c r="DS115" i="4" s="1"/>
  <c r="J47" i="2"/>
  <c r="I47" i="2"/>
  <c r="K49" i="2"/>
  <c r="J232" i="2" s="1"/>
  <c r="U47" i="2"/>
  <c r="U49" i="2" s="1"/>
  <c r="FE60" i="2" s="1"/>
  <c r="V47" i="2"/>
  <c r="V49" i="2" s="1"/>
  <c r="FF60" i="2" s="1"/>
  <c r="W47" i="2"/>
  <c r="W49" i="2" s="1"/>
  <c r="X47" i="2"/>
  <c r="X49" i="2" s="1"/>
  <c r="Y47" i="2"/>
  <c r="Y49" i="2" s="1"/>
  <c r="FI60" i="2" s="1"/>
  <c r="Z47" i="2"/>
  <c r="Z49" i="2" s="1"/>
  <c r="AA47" i="2"/>
  <c r="AA49" i="2" s="1"/>
  <c r="AB47" i="2"/>
  <c r="AB49" i="2" s="1"/>
  <c r="AC47" i="2"/>
  <c r="AC49" i="2" s="1"/>
  <c r="AD47" i="2"/>
  <c r="AD49" i="2" s="1"/>
  <c r="FN60" i="2" s="1"/>
  <c r="AE47" i="2"/>
  <c r="AE49" i="2" s="1"/>
  <c r="AG47" i="2"/>
  <c r="AG49" i="2" s="1"/>
  <c r="AH47" i="2"/>
  <c r="AH49" i="2" s="1"/>
  <c r="FR60" i="2" s="1"/>
  <c r="AI47" i="2"/>
  <c r="AI49" i="2" s="1"/>
  <c r="FS60" i="2" s="1"/>
  <c r="AJ47" i="2"/>
  <c r="AJ49" i="2" s="1"/>
  <c r="AK47" i="2"/>
  <c r="AK49" i="2" s="1"/>
  <c r="FU60" i="2" s="1"/>
  <c r="AL47" i="2"/>
  <c r="AL49" i="2" s="1"/>
  <c r="FV60" i="2" s="1"/>
  <c r="AM47" i="2"/>
  <c r="AM49" i="2" s="1"/>
  <c r="FW60" i="2" s="1"/>
  <c r="AN47" i="2"/>
  <c r="AN49" i="2" s="1"/>
  <c r="AO47" i="2"/>
  <c r="AO49" i="2" s="1"/>
  <c r="FY60" i="2" s="1"/>
  <c r="AP47" i="2"/>
  <c r="AP49" i="2" s="1"/>
  <c r="BD47" i="2"/>
  <c r="BD49" i="2" s="1"/>
  <c r="AQ47" i="2"/>
  <c r="AQ49" i="2" s="1"/>
  <c r="BF47" i="2"/>
  <c r="BF49" i="2" s="1"/>
  <c r="BE47" i="2"/>
  <c r="BE49" i="2" s="1"/>
  <c r="BG47" i="2"/>
  <c r="BG49" i="2" s="1"/>
  <c r="AS47" i="2"/>
  <c r="AS49" i="2" s="1"/>
  <c r="AT47" i="2"/>
  <c r="AT49" i="2" s="1"/>
  <c r="BI47" i="2"/>
  <c r="BI49" i="2" s="1"/>
  <c r="BH47" i="2"/>
  <c r="BH49" i="2" s="1"/>
  <c r="AU47" i="2"/>
  <c r="AU49" i="2" s="1"/>
  <c r="BK47" i="2"/>
  <c r="BK49" i="2" s="1"/>
  <c r="BJ47" i="2"/>
  <c r="BJ49" i="2" s="1"/>
  <c r="AV47" i="2"/>
  <c r="AV49" i="2" s="1"/>
  <c r="BL47" i="2"/>
  <c r="BL49" i="2" s="1"/>
  <c r="BM47" i="2"/>
  <c r="BM49" i="2" s="1"/>
  <c r="AW47" i="2"/>
  <c r="AW49" i="2" s="1"/>
  <c r="GG60" i="2" s="1"/>
  <c r="BN47" i="2"/>
  <c r="BN49" i="2" s="1"/>
  <c r="AX47" i="2"/>
  <c r="AX49" i="2" s="1"/>
  <c r="BO47" i="2"/>
  <c r="BO49" i="2" s="1"/>
  <c r="AY47" i="2"/>
  <c r="AY49" i="2" s="1"/>
  <c r="BP47" i="2"/>
  <c r="BP49" i="2" s="1"/>
  <c r="BQ47" i="2"/>
  <c r="BQ49" i="2" s="1"/>
  <c r="AZ47" i="2"/>
  <c r="AZ49" i="2" s="1"/>
  <c r="BR47" i="2"/>
  <c r="BR49" i="2" s="1"/>
  <c r="BS47" i="2"/>
  <c r="BS49" i="2" s="1"/>
  <c r="BA47" i="2"/>
  <c r="BA49" i="2" s="1"/>
  <c r="BB47" i="2"/>
  <c r="BB49" i="2" s="1"/>
  <c r="BT47" i="2"/>
  <c r="BT49" i="2" s="1"/>
  <c r="BU47" i="2"/>
  <c r="BU49" i="2" s="1"/>
  <c r="BV47" i="2"/>
  <c r="BV49" i="2" s="1"/>
  <c r="BW47" i="2"/>
  <c r="BW49" i="2" s="1"/>
  <c r="BX47" i="2"/>
  <c r="BX49" i="2" s="1"/>
  <c r="BY47" i="2"/>
  <c r="BY49" i="2" s="1"/>
  <c r="BZ47" i="2"/>
  <c r="BZ49" i="2" s="1"/>
  <c r="CA47" i="2"/>
  <c r="CA49" i="2" s="1"/>
  <c r="CB47" i="2"/>
  <c r="CB49" i="2" s="1"/>
  <c r="CD47" i="2"/>
  <c r="CD49" i="2" s="1"/>
  <c r="CC47" i="2"/>
  <c r="CC49" i="2" s="1"/>
  <c r="CE47" i="2"/>
  <c r="CE49" i="2" s="1"/>
  <c r="CG47" i="2"/>
  <c r="CG49" i="2" s="1"/>
  <c r="CF47" i="2"/>
  <c r="CF49" i="2" s="1"/>
  <c r="CH47" i="2"/>
  <c r="CH49" i="2" s="1"/>
  <c r="CI47" i="2"/>
  <c r="CI49" i="2" s="1"/>
  <c r="CJ47" i="2"/>
  <c r="CJ49" i="2" s="1"/>
  <c r="CK47" i="2"/>
  <c r="CK49" i="2" s="1"/>
  <c r="CL47" i="2"/>
  <c r="CL49" i="2" s="1"/>
  <c r="CM47" i="2"/>
  <c r="CM49" i="2" s="1"/>
  <c r="CN47" i="2"/>
  <c r="CN49" i="2" s="1"/>
  <c r="CO47" i="2"/>
  <c r="CO49" i="2" s="1"/>
  <c r="CP47" i="2"/>
  <c r="CP49" i="2" s="1"/>
  <c r="CQ47" i="2"/>
  <c r="CQ49" i="2" s="1"/>
  <c r="CR47" i="2"/>
  <c r="CR49" i="2" s="1"/>
  <c r="CS47" i="2"/>
  <c r="CS49" i="2" s="1"/>
  <c r="CT47" i="2"/>
  <c r="CT49" i="2" s="1"/>
  <c r="CU47" i="2"/>
  <c r="CU49" i="2" s="1"/>
  <c r="CV47" i="2"/>
  <c r="CV49" i="2" s="1"/>
  <c r="CW47" i="2"/>
  <c r="CW49" i="2" s="1"/>
  <c r="CX47" i="2"/>
  <c r="CX49" i="2" s="1"/>
  <c r="CY47" i="2"/>
  <c r="CY49" i="2" s="1"/>
  <c r="DA47" i="2"/>
  <c r="DA49" i="2" s="1"/>
  <c r="CZ47" i="2"/>
  <c r="CZ49" i="2" s="1"/>
  <c r="DC47" i="2"/>
  <c r="DC49" i="2" s="1"/>
  <c r="DB47" i="2"/>
  <c r="DB49" i="2" s="1"/>
  <c r="DD47" i="2"/>
  <c r="DD49" i="2" s="1"/>
  <c r="DE47" i="2"/>
  <c r="DE49" i="2" s="1"/>
  <c r="DF47" i="2"/>
  <c r="DF49" i="2" s="1"/>
  <c r="DG47" i="2"/>
  <c r="DG49" i="2" s="1"/>
  <c r="DH47" i="2"/>
  <c r="DH49" i="2" s="1"/>
  <c r="DI47" i="2"/>
  <c r="DI49" i="2" s="1"/>
  <c r="DJ47" i="2"/>
  <c r="DJ49" i="2" s="1"/>
  <c r="DK47" i="2"/>
  <c r="DK49" i="2" s="1"/>
  <c r="DL47" i="2"/>
  <c r="DL49" i="2" s="1"/>
  <c r="DM47" i="2"/>
  <c r="DM49" i="2" s="1"/>
  <c r="DO47" i="2"/>
  <c r="DO49" i="2" s="1"/>
  <c r="DN47" i="2"/>
  <c r="DN49" i="2" s="1"/>
  <c r="DP47" i="2"/>
  <c r="DP49" i="2" s="1"/>
  <c r="DQ47" i="2"/>
  <c r="DQ49" i="2" s="1"/>
  <c r="DR47" i="2"/>
  <c r="DR49" i="2" s="1"/>
  <c r="DS47" i="2"/>
  <c r="DS49" i="2" s="1"/>
  <c r="DT47" i="2"/>
  <c r="DT49" i="2" s="1"/>
  <c r="DU47" i="2"/>
  <c r="DU49" i="2" s="1"/>
  <c r="DV47" i="2"/>
  <c r="DV49" i="2" s="1"/>
  <c r="DW47" i="2"/>
  <c r="DW49" i="2" s="1"/>
  <c r="DX47" i="2"/>
  <c r="DX49" i="2" s="1"/>
  <c r="DY47" i="2"/>
  <c r="DY49" i="2" s="1"/>
  <c r="DZ47" i="2"/>
  <c r="DZ49" i="2" s="1"/>
  <c r="EA47" i="2"/>
  <c r="EA49" i="2" s="1"/>
  <c r="EB47" i="2"/>
  <c r="EB49" i="2" s="1"/>
  <c r="EC47" i="2"/>
  <c r="EC49" i="2" s="1"/>
  <c r="ED47" i="2"/>
  <c r="ED49" i="2" s="1"/>
  <c r="EE47" i="2"/>
  <c r="EE49" i="2" s="1"/>
  <c r="EF47" i="2"/>
  <c r="EF49" i="2" s="1"/>
  <c r="EG47" i="2"/>
  <c r="EG49" i="2" s="1"/>
  <c r="EH47" i="2"/>
  <c r="EH49" i="2" s="1"/>
  <c r="EI47" i="2"/>
  <c r="EI49" i="2" s="1"/>
  <c r="BC47" i="2"/>
  <c r="BC49" i="2" s="1"/>
  <c r="BC218" i="2" s="1"/>
  <c r="EJ47" i="2"/>
  <c r="EJ49" i="2" s="1"/>
  <c r="JT60" i="2" s="1"/>
  <c r="EK47" i="2"/>
  <c r="EK49" i="2" s="1"/>
  <c r="JU60" i="2" s="1"/>
  <c r="EL47" i="2"/>
  <c r="EL49" i="2" s="1"/>
  <c r="JV60" i="2" s="1"/>
  <c r="EM47" i="2"/>
  <c r="EM49" i="2" s="1"/>
  <c r="JW60" i="2" s="1"/>
  <c r="EN47" i="2"/>
  <c r="EN49" i="2" s="1"/>
  <c r="JX60" i="2" s="1"/>
  <c r="EO47" i="2"/>
  <c r="EO49" i="2" s="1"/>
  <c r="JY60" i="2" s="1"/>
  <c r="EP47" i="2"/>
  <c r="EP49" i="2" s="1"/>
  <c r="JZ60" i="2" s="1"/>
  <c r="EQ47" i="2"/>
  <c r="EQ49" i="2" s="1"/>
  <c r="KA60" i="2" s="1"/>
  <c r="ER47" i="2"/>
  <c r="ER49" i="2" s="1"/>
  <c r="KB60" i="2" s="1"/>
  <c r="ES47" i="2"/>
  <c r="ES49" i="2" s="1"/>
  <c r="KC60" i="2" s="1"/>
  <c r="ET47" i="2"/>
  <c r="ET49" i="2" s="1"/>
  <c r="KD60" i="2" s="1"/>
  <c r="AR47" i="2"/>
  <c r="AR49" i="2" s="1"/>
  <c r="AF47" i="2"/>
  <c r="AF49" i="2" s="1"/>
  <c r="AF218" i="2" s="1"/>
  <c r="T47" i="2"/>
  <c r="T49" i="2" s="1"/>
  <c r="EU47" i="2"/>
  <c r="EU49" i="2" s="1"/>
  <c r="KE60" i="2" s="1"/>
  <c r="S47" i="2"/>
  <c r="S49" i="2" s="1"/>
  <c r="FC60" i="2" l="1"/>
  <c r="IJ194" i="2"/>
  <c r="KE194" i="2"/>
  <c r="FH194" i="2"/>
  <c r="JW194" i="2"/>
  <c r="GT194" i="2"/>
  <c r="FQ194" i="2"/>
  <c r="GJ194" i="2"/>
  <c r="GF194" i="2"/>
  <c r="II194" i="2"/>
  <c r="JN194" i="2"/>
  <c r="GU194" i="2"/>
  <c r="IF194" i="2"/>
  <c r="GK194" i="2"/>
  <c r="JI194" i="2"/>
  <c r="HC194" i="2"/>
  <c r="JM194" i="2"/>
  <c r="GI194" i="2"/>
  <c r="FT194" i="2"/>
  <c r="GM194" i="2"/>
  <c r="GV194" i="2"/>
  <c r="GG194" i="2"/>
  <c r="GN194" i="2"/>
  <c r="JO194" i="2"/>
  <c r="GS194" i="2"/>
  <c r="IQ194" i="2"/>
  <c r="JZ194" i="2"/>
  <c r="HW194" i="2"/>
  <c r="IB194" i="2"/>
  <c r="IY194" i="2"/>
  <c r="HM194" i="2"/>
  <c r="JR194" i="2"/>
  <c r="IU194" i="2"/>
  <c r="HS194" i="2"/>
  <c r="IP194" i="2"/>
  <c r="IL194" i="2"/>
  <c r="HQ194" i="2"/>
  <c r="ID194" i="2"/>
  <c r="FG194" i="2"/>
  <c r="HK194" i="2"/>
  <c r="JB194" i="2"/>
  <c r="GP194" i="2"/>
  <c r="FP194" i="2"/>
  <c r="FE194" i="2"/>
  <c r="FW194" i="2"/>
  <c r="IX194" i="2"/>
  <c r="IA194" i="2"/>
  <c r="JV194" i="2"/>
  <c r="HI194" i="2"/>
  <c r="HG194" i="2"/>
  <c r="JS194" i="2"/>
  <c r="FS194" i="2"/>
  <c r="HU194" i="2"/>
  <c r="KD194" i="2"/>
  <c r="HB194" i="2"/>
  <c r="FO194" i="2"/>
  <c r="GD194" i="2"/>
  <c r="JG194" i="2"/>
  <c r="IR194" i="2"/>
  <c r="JC194" i="2"/>
  <c r="IV194" i="2"/>
  <c r="JH194" i="2"/>
  <c r="HO194" i="2"/>
  <c r="GZ194" i="2"/>
  <c r="IN194" i="2"/>
  <c r="FJ194" i="2"/>
  <c r="FV194" i="2"/>
  <c r="HA194" i="2"/>
  <c r="JE194" i="2"/>
  <c r="HN194" i="2"/>
  <c r="JP194" i="2"/>
  <c r="HD194" i="2"/>
  <c r="FL194" i="2"/>
  <c r="IH194" i="2"/>
  <c r="FF194" i="2"/>
  <c r="HZ194" i="2"/>
  <c r="GE194" i="2"/>
  <c r="JX194" i="2"/>
  <c r="FZ194" i="2"/>
  <c r="IG194" i="2"/>
  <c r="FR194" i="2"/>
  <c r="IC194" i="2"/>
  <c r="GX194" i="2"/>
  <c r="HT194" i="2"/>
  <c r="JY194" i="2"/>
  <c r="JU194" i="2"/>
  <c r="KA194" i="2"/>
  <c r="HR194" i="2"/>
  <c r="JQ194" i="2"/>
  <c r="JF194" i="2"/>
  <c r="JJ194" i="2"/>
  <c r="JL194" i="2"/>
  <c r="JK194" i="2"/>
  <c r="IS194" i="2"/>
  <c r="IM194" i="2"/>
  <c r="HL194" i="2"/>
  <c r="FU194" i="2"/>
  <c r="HF194" i="2"/>
  <c r="HE194" i="2"/>
  <c r="HX194" i="2"/>
  <c r="FX194" i="2"/>
  <c r="GL194" i="2"/>
  <c r="JA194" i="2"/>
  <c r="GC194" i="2"/>
  <c r="HJ194" i="2"/>
  <c r="JT194" i="2"/>
  <c r="HP194" i="2"/>
  <c r="IT194" i="2"/>
  <c r="IE194" i="2"/>
  <c r="FD194" i="2"/>
  <c r="IO194" i="2"/>
  <c r="JD194" i="2"/>
  <c r="FM194" i="2"/>
  <c r="GH194" i="2"/>
  <c r="HV194" i="2"/>
  <c r="FN194" i="2"/>
  <c r="IK194" i="2"/>
  <c r="FI194" i="2"/>
  <c r="GO194" i="2"/>
  <c r="HY194" i="2"/>
  <c r="HH194" i="2"/>
  <c r="FK194" i="2"/>
  <c r="KB194" i="2"/>
  <c r="GQ194" i="2"/>
  <c r="IZ194" i="2"/>
  <c r="FY194" i="2"/>
  <c r="GR194" i="2"/>
  <c r="GA194" i="2"/>
  <c r="KC194" i="2"/>
  <c r="GB194" i="2"/>
  <c r="GW194" i="2"/>
  <c r="IW194" i="2"/>
  <c r="GY194" i="2"/>
  <c r="O54" i="4"/>
  <c r="J54" i="4"/>
  <c r="N58" i="4"/>
  <c r="JK60" i="2"/>
  <c r="EA218" i="2"/>
  <c r="IU60" i="2"/>
  <c r="DK218" i="2"/>
  <c r="IE60" i="2"/>
  <c r="CU218" i="2"/>
  <c r="HO60" i="2"/>
  <c r="CE218" i="2"/>
  <c r="IC60" i="2"/>
  <c r="CS218" i="2"/>
  <c r="J58" i="4"/>
  <c r="N54" i="4"/>
  <c r="JI60" i="2"/>
  <c r="DY218" i="2"/>
  <c r="JH60" i="2"/>
  <c r="DX218" i="2"/>
  <c r="IR60" i="2"/>
  <c r="DH218" i="2"/>
  <c r="IB60" i="2"/>
  <c r="CR218" i="2"/>
  <c r="HL60" i="2"/>
  <c r="CB218" i="2"/>
  <c r="JG60" i="2"/>
  <c r="DW218" i="2"/>
  <c r="IQ60" i="2"/>
  <c r="DG218" i="2"/>
  <c r="IA60" i="2"/>
  <c r="CQ218" i="2"/>
  <c r="JJ60" i="2"/>
  <c r="DZ218" i="2"/>
  <c r="IP60" i="2"/>
  <c r="DF218" i="2"/>
  <c r="I54" i="4"/>
  <c r="T224" i="2"/>
  <c r="T228" i="2" s="1"/>
  <c r="H115" i="4" s="1"/>
  <c r="H58" i="4" s="1"/>
  <c r="H111" i="4"/>
  <c r="H54" i="4" s="1"/>
  <c r="IV60" i="2"/>
  <c r="DL218" i="2"/>
  <c r="HN60" i="2"/>
  <c r="CD218" i="2"/>
  <c r="JE60" i="2"/>
  <c r="DU218" i="2"/>
  <c r="IO60" i="2"/>
  <c r="DE218" i="2"/>
  <c r="HY60" i="2"/>
  <c r="CO218" i="2"/>
  <c r="I58" i="4"/>
  <c r="G111" i="4"/>
  <c r="G54" i="4" s="1"/>
  <c r="S224" i="2"/>
  <c r="JF60" i="2"/>
  <c r="DV218" i="2"/>
  <c r="HZ60" i="2"/>
  <c r="CP218" i="2"/>
  <c r="JD60" i="2"/>
  <c r="DT218" i="2"/>
  <c r="IS60" i="2"/>
  <c r="DI218" i="2"/>
  <c r="IN60" i="2"/>
  <c r="DD218" i="2"/>
  <c r="HX60" i="2"/>
  <c r="CN218" i="2"/>
  <c r="JS60" i="2"/>
  <c r="EI218" i="2"/>
  <c r="JC60" i="2"/>
  <c r="DS218" i="2"/>
  <c r="IL60" i="2"/>
  <c r="DB218" i="2"/>
  <c r="HW60" i="2"/>
  <c r="CM218" i="2"/>
  <c r="JL60" i="2"/>
  <c r="EB218" i="2"/>
  <c r="HM60" i="2"/>
  <c r="CC218" i="2"/>
  <c r="JR60" i="2"/>
  <c r="EH218" i="2"/>
  <c r="IM60" i="2"/>
  <c r="DC218" i="2"/>
  <c r="P58" i="4"/>
  <c r="HQ60" i="2"/>
  <c r="CG218" i="2"/>
  <c r="ID60" i="2"/>
  <c r="CT218" i="2"/>
  <c r="JB60" i="2"/>
  <c r="DR218" i="2"/>
  <c r="HV60" i="2"/>
  <c r="CL218" i="2"/>
  <c r="JQ60" i="2"/>
  <c r="EG218" i="2"/>
  <c r="JA60" i="2"/>
  <c r="DQ218" i="2"/>
  <c r="IJ60" i="2"/>
  <c r="CZ218" i="2"/>
  <c r="HU60" i="2"/>
  <c r="CK218" i="2"/>
  <c r="P54" i="4"/>
  <c r="IF60" i="2"/>
  <c r="CV218" i="2"/>
  <c r="IZ60" i="2"/>
  <c r="DP218" i="2"/>
  <c r="HT60" i="2"/>
  <c r="CJ218" i="2"/>
  <c r="M58" i="4"/>
  <c r="L54" i="4"/>
  <c r="IT60" i="2"/>
  <c r="DJ218" i="2"/>
  <c r="JP60" i="2"/>
  <c r="EF218" i="2"/>
  <c r="IK60" i="2"/>
  <c r="DA218" i="2"/>
  <c r="JO60" i="2"/>
  <c r="EE218" i="2"/>
  <c r="IX60" i="2"/>
  <c r="DN218" i="2"/>
  <c r="II60" i="2"/>
  <c r="CY218" i="2"/>
  <c r="HS60" i="2"/>
  <c r="CI218" i="2"/>
  <c r="M54" i="4"/>
  <c r="L58" i="4"/>
  <c r="IY60" i="2"/>
  <c r="DO218" i="2"/>
  <c r="HR60" i="2"/>
  <c r="CH218" i="2"/>
  <c r="O58" i="4"/>
  <c r="K58" i="4"/>
  <c r="Q58" i="4"/>
  <c r="JN60" i="2"/>
  <c r="ED218" i="2"/>
  <c r="IH60" i="2"/>
  <c r="CX218" i="2"/>
  <c r="JM60" i="2"/>
  <c r="EC218" i="2"/>
  <c r="IW60" i="2"/>
  <c r="DM218" i="2"/>
  <c r="IG60" i="2"/>
  <c r="CW218" i="2"/>
  <c r="HP60" i="2"/>
  <c r="CF218" i="2"/>
  <c r="K54" i="4"/>
  <c r="Q54" i="4"/>
  <c r="HH60" i="2"/>
  <c r="BX218" i="2"/>
  <c r="HB60" i="2"/>
  <c r="BR218" i="2"/>
  <c r="GS60" i="2"/>
  <c r="BI218" i="2"/>
  <c r="HG60" i="2"/>
  <c r="BW218" i="2"/>
  <c r="GW60" i="2"/>
  <c r="BM218" i="2"/>
  <c r="HF60" i="2"/>
  <c r="BV218" i="2"/>
  <c r="HA60" i="2"/>
  <c r="BQ218" i="2"/>
  <c r="GV60" i="2"/>
  <c r="BL218" i="2"/>
  <c r="HE60" i="2"/>
  <c r="BU218" i="2"/>
  <c r="GZ60" i="2"/>
  <c r="BP218" i="2"/>
  <c r="GQ60" i="2"/>
  <c r="BG218" i="2"/>
  <c r="HD60" i="2"/>
  <c r="BT218" i="2"/>
  <c r="GT60" i="2"/>
  <c r="BJ218" i="2"/>
  <c r="GO60" i="2"/>
  <c r="BE218" i="2"/>
  <c r="HK60" i="2"/>
  <c r="CA218" i="2"/>
  <c r="GY60" i="2"/>
  <c r="BO218" i="2"/>
  <c r="GU60" i="2"/>
  <c r="BK218" i="2"/>
  <c r="GP60" i="2"/>
  <c r="BF218" i="2"/>
  <c r="HJ60" i="2"/>
  <c r="BZ218" i="2"/>
  <c r="HI60" i="2"/>
  <c r="BY218" i="2"/>
  <c r="HC60" i="2"/>
  <c r="BS218" i="2"/>
  <c r="GX60" i="2"/>
  <c r="BN218" i="2"/>
  <c r="GR60" i="2"/>
  <c r="BH218" i="2"/>
  <c r="GN60" i="2"/>
  <c r="BD218" i="2"/>
  <c r="AK218" i="2"/>
  <c r="GJ60" i="2"/>
  <c r="AZ218" i="2"/>
  <c r="FJ60" i="2"/>
  <c r="Z218" i="2"/>
  <c r="FL60" i="2"/>
  <c r="AB218" i="2"/>
  <c r="T218" i="2"/>
  <c r="FD60" i="2"/>
  <c r="GK60" i="2"/>
  <c r="BA218" i="2"/>
  <c r="E89" i="2"/>
  <c r="H94" i="2" s="1"/>
  <c r="G94" i="2" s="1"/>
  <c r="GM60" i="2"/>
  <c r="AO218" i="2"/>
  <c r="S218" i="2"/>
  <c r="AM218" i="2"/>
  <c r="AR218" i="2"/>
  <c r="GB60" i="2"/>
  <c r="FC67" i="2"/>
  <c r="R49" i="2"/>
  <c r="R47" i="2"/>
  <c r="FP60" i="2"/>
  <c r="GD60" i="2"/>
  <c r="AT218" i="2"/>
  <c r="GI60" i="2"/>
  <c r="AY218" i="2"/>
  <c r="GF60" i="2"/>
  <c r="AV218" i="2"/>
  <c r="GL60" i="2"/>
  <c r="BB218" i="2"/>
  <c r="GH60" i="2"/>
  <c r="AX218" i="2"/>
  <c r="GE60" i="2"/>
  <c r="AU218" i="2"/>
  <c r="GA60" i="2"/>
  <c r="AQ218" i="2"/>
  <c r="FZ60" i="2"/>
  <c r="AP218" i="2"/>
  <c r="AW218" i="2"/>
  <c r="GC60" i="2"/>
  <c r="AS218" i="2"/>
  <c r="FX60" i="2"/>
  <c r="AN218" i="2"/>
  <c r="FQ60" i="2"/>
  <c r="AG218" i="2"/>
  <c r="FT60" i="2"/>
  <c r="AJ218" i="2"/>
  <c r="FO60" i="2"/>
  <c r="AE218" i="2"/>
  <c r="AL218" i="2"/>
  <c r="AI218" i="2"/>
  <c r="AD218" i="2"/>
  <c r="FK60" i="2"/>
  <c r="AA218" i="2"/>
  <c r="AH218" i="2"/>
  <c r="FM60" i="2"/>
  <c r="AC218" i="2"/>
  <c r="X218" i="2"/>
  <c r="FH60" i="2"/>
  <c r="FG60" i="2"/>
  <c r="W218" i="2"/>
  <c r="Y218" i="2"/>
  <c r="V218" i="2"/>
  <c r="U218" i="2"/>
  <c r="O26" i="1"/>
  <c r="J234" i="2"/>
  <c r="O28" i="1" s="1"/>
  <c r="JM89" i="2" l="1"/>
  <c r="JM95" i="2" s="1"/>
  <c r="EC159" i="2" s="1"/>
  <c r="FM89" i="2"/>
  <c r="FM95" i="2" s="1"/>
  <c r="AC159" i="2" s="1"/>
  <c r="GK89" i="2"/>
  <c r="GK95" i="2" s="1"/>
  <c r="BA159" i="2" s="1"/>
  <c r="FD89" i="2"/>
  <c r="FD95" i="2" s="1"/>
  <c r="T159" i="2" s="1"/>
  <c r="JZ89" i="2"/>
  <c r="JZ95" i="2" s="1"/>
  <c r="EP159" i="2" s="1"/>
  <c r="GJ89" i="2"/>
  <c r="GJ95" i="2" s="1"/>
  <c r="AZ159" i="2" s="1"/>
  <c r="FE89" i="2"/>
  <c r="FE95" i="2" s="1"/>
  <c r="U159" i="2" s="1"/>
  <c r="JW89" i="2"/>
  <c r="JW95" i="2" s="1"/>
  <c r="EM159" i="2" s="1"/>
  <c r="IQ89" i="2"/>
  <c r="IQ95" i="2" s="1"/>
  <c r="DG159" i="2" s="1"/>
  <c r="IC89" i="2"/>
  <c r="IC95" i="2" s="1"/>
  <c r="CS159" i="2" s="1"/>
  <c r="HI89" i="2"/>
  <c r="HI95" i="2" s="1"/>
  <c r="BY159" i="2" s="1"/>
  <c r="FP89" i="2"/>
  <c r="FP95" i="2" s="1"/>
  <c r="AF159" i="2" s="1"/>
  <c r="JQ89" i="2"/>
  <c r="JQ95" i="2" s="1"/>
  <c r="EG159" i="2" s="1"/>
  <c r="K224" i="2"/>
  <c r="R224" i="2" s="1"/>
  <c r="S228" i="2"/>
  <c r="J228" i="2" s="1"/>
  <c r="IB89" i="2"/>
  <c r="IB95" i="2" s="1"/>
  <c r="CR159" i="2" s="1"/>
  <c r="HO89" i="2"/>
  <c r="HO95" i="2" s="1"/>
  <c r="CE159" i="2" s="1"/>
  <c r="FR89" i="2"/>
  <c r="FR95" i="2" s="1"/>
  <c r="AH159" i="2" s="1"/>
  <c r="JD89" i="2"/>
  <c r="JD95" i="2" s="1"/>
  <c r="DT159" i="2" s="1"/>
  <c r="IY89" i="2"/>
  <c r="IY95" i="2" s="1"/>
  <c r="DO159" i="2" s="1"/>
  <c r="HZ89" i="2"/>
  <c r="HZ95" i="2" s="1"/>
  <c r="CP159" i="2" s="1"/>
  <c r="IP89" i="2"/>
  <c r="IP95" i="2" s="1"/>
  <c r="DF159" i="2" s="1"/>
  <c r="IV89" i="2"/>
  <c r="IV95" i="2" s="1"/>
  <c r="DL159" i="2" s="1"/>
  <c r="HD89" i="2"/>
  <c r="HD95" i="2" s="1"/>
  <c r="BT159" i="2" s="1"/>
  <c r="HH89" i="2"/>
  <c r="HH95" i="2" s="1"/>
  <c r="BX159" i="2" s="1"/>
  <c r="FO89" i="2"/>
  <c r="FO95" i="2" s="1"/>
  <c r="AE159" i="2" s="1"/>
  <c r="JP89" i="2"/>
  <c r="JP95" i="2" s="1"/>
  <c r="EF159" i="2" s="1"/>
  <c r="IR89" i="2"/>
  <c r="IR95" i="2" s="1"/>
  <c r="DH159" i="2" s="1"/>
  <c r="GR89" i="2"/>
  <c r="GR95" i="2" s="1"/>
  <c r="BH159" i="2" s="1"/>
  <c r="HY89" i="2"/>
  <c r="HY95" i="2" s="1"/>
  <c r="CO159" i="2" s="1"/>
  <c r="HX89" i="2"/>
  <c r="HX95" i="2" s="1"/>
  <c r="CN159" i="2" s="1"/>
  <c r="HW89" i="2"/>
  <c r="HW95" i="2" s="1"/>
  <c r="CM159" i="2" s="1"/>
  <c r="GM89" i="2"/>
  <c r="GM95" i="2" s="1"/>
  <c r="BC159" i="2" s="1"/>
  <c r="FC89" i="2"/>
  <c r="FC95" i="2" s="1"/>
  <c r="GA89" i="2"/>
  <c r="GA95" i="2" s="1"/>
  <c r="AQ159" i="2" s="1"/>
  <c r="FK89" i="2"/>
  <c r="FK95" i="2" s="1"/>
  <c r="AA159" i="2" s="1"/>
  <c r="IH89" i="2"/>
  <c r="IH95" i="2" s="1"/>
  <c r="CX159" i="2" s="1"/>
  <c r="ID89" i="2"/>
  <c r="ID95" i="2" s="1"/>
  <c r="CT159" i="2" s="1"/>
  <c r="FF89" i="2"/>
  <c r="FF95" i="2" s="1"/>
  <c r="V159" i="2" s="1"/>
  <c r="GN89" i="2"/>
  <c r="GN95" i="2" s="1"/>
  <c r="BD159" i="2" s="1"/>
  <c r="FV89" i="2"/>
  <c r="FV95" i="2" s="1"/>
  <c r="AL159" i="2" s="1"/>
  <c r="HF89" i="2"/>
  <c r="HF95" i="2" s="1"/>
  <c r="BV159" i="2" s="1"/>
  <c r="IA89" i="2"/>
  <c r="IA95" i="2" s="1"/>
  <c r="CQ159" i="2" s="1"/>
  <c r="FG89" i="2"/>
  <c r="FG95" i="2" s="1"/>
  <c r="W159" i="2" s="1"/>
  <c r="JF89" i="2"/>
  <c r="JF95" i="2" s="1"/>
  <c r="DV159" i="2" s="1"/>
  <c r="HC89" i="2"/>
  <c r="HC95" i="2" s="1"/>
  <c r="BS159" i="2" s="1"/>
  <c r="HN89" i="2"/>
  <c r="HN95" i="2" s="1"/>
  <c r="CD159" i="2" s="1"/>
  <c r="JR89" i="2"/>
  <c r="JR95" i="2" s="1"/>
  <c r="EH159" i="2" s="1"/>
  <c r="KA89" i="2"/>
  <c r="KA95" i="2" s="1"/>
  <c r="EQ159" i="2" s="1"/>
  <c r="IM89" i="2"/>
  <c r="IM95" i="2" s="1"/>
  <c r="DC159" i="2" s="1"/>
  <c r="JU89" i="2"/>
  <c r="JU95" i="2" s="1"/>
  <c r="EK159" i="2" s="1"/>
  <c r="GE89" i="2"/>
  <c r="GE95" i="2" s="1"/>
  <c r="AU159" i="2" s="1"/>
  <c r="GY89" i="2"/>
  <c r="GY95" i="2" s="1"/>
  <c r="BO159" i="2" s="1"/>
  <c r="HG89" i="2"/>
  <c r="HG95" i="2" s="1"/>
  <c r="BW159" i="2" s="1"/>
  <c r="JO89" i="2"/>
  <c r="JO95" i="2" s="1"/>
  <c r="EE159" i="2" s="1"/>
  <c r="GC89" i="2"/>
  <c r="GC95" i="2" s="1"/>
  <c r="AS159" i="2" s="1"/>
  <c r="JA89" i="2"/>
  <c r="JA95" i="2" s="1"/>
  <c r="DQ159" i="2" s="1"/>
  <c r="KE89" i="2"/>
  <c r="KE95" i="2" s="1"/>
  <c r="EU159" i="2" s="1"/>
  <c r="FQ89" i="2"/>
  <c r="FQ95" i="2" s="1"/>
  <c r="AG159" i="2" s="1"/>
  <c r="JN89" i="2"/>
  <c r="JN95" i="2" s="1"/>
  <c r="ED159" i="2" s="1"/>
  <c r="IJ89" i="2"/>
  <c r="IJ95" i="2" s="1"/>
  <c r="CZ159" i="2" s="1"/>
  <c r="GL89" i="2"/>
  <c r="GL95" i="2" s="1"/>
  <c r="BB159" i="2" s="1"/>
  <c r="HQ89" i="2"/>
  <c r="HQ95" i="2" s="1"/>
  <c r="CG159" i="2" s="1"/>
  <c r="JY89" i="2"/>
  <c r="JY95" i="2" s="1"/>
  <c r="EO159" i="2" s="1"/>
  <c r="KB89" i="2"/>
  <c r="KB95" i="2" s="1"/>
  <c r="ER159" i="2" s="1"/>
  <c r="JL89" i="2"/>
  <c r="JL95" i="2" s="1"/>
  <c r="EB159" i="2" s="1"/>
  <c r="HU89" i="2"/>
  <c r="HU95" i="2" s="1"/>
  <c r="CK159" i="2" s="1"/>
  <c r="HK89" i="2"/>
  <c r="HK95" i="2" s="1"/>
  <c r="CA159" i="2" s="1"/>
  <c r="II89" i="2"/>
  <c r="II95" i="2" s="1"/>
  <c r="CY159" i="2" s="1"/>
  <c r="GO89" i="2"/>
  <c r="GO95" i="2" s="1"/>
  <c r="BE159" i="2" s="1"/>
  <c r="GH89" i="2"/>
  <c r="GH95" i="2" s="1"/>
  <c r="AX159" i="2" s="1"/>
  <c r="FU89" i="2"/>
  <c r="FU95" i="2" s="1"/>
  <c r="AK159" i="2" s="1"/>
  <c r="GS89" i="2"/>
  <c r="GS95" i="2" s="1"/>
  <c r="BI159" i="2" s="1"/>
  <c r="HL89" i="2"/>
  <c r="HL95" i="2" s="1"/>
  <c r="CB159" i="2" s="1"/>
  <c r="IE89" i="2"/>
  <c r="IE95" i="2" s="1"/>
  <c r="CU159" i="2" s="1"/>
  <c r="KC89" i="2"/>
  <c r="KC95" i="2" s="1"/>
  <c r="ES159" i="2" s="1"/>
  <c r="FH89" i="2"/>
  <c r="FH95" i="2" s="1"/>
  <c r="X159" i="2" s="1"/>
  <c r="GT89" i="2"/>
  <c r="GT95" i="2" s="1"/>
  <c r="BJ159" i="2" s="1"/>
  <c r="HS89" i="2"/>
  <c r="HS95" i="2" s="1"/>
  <c r="CI159" i="2" s="1"/>
  <c r="GG89" i="2"/>
  <c r="GG95" i="2" s="1"/>
  <c r="AW159" i="2" s="1"/>
  <c r="FW89" i="2"/>
  <c r="FW95" i="2" s="1"/>
  <c r="AM159" i="2" s="1"/>
  <c r="JE89" i="2"/>
  <c r="JE95" i="2" s="1"/>
  <c r="DU159" i="2" s="1"/>
  <c r="HB89" i="2"/>
  <c r="HB95" i="2" s="1"/>
  <c r="BR159" i="2" s="1"/>
  <c r="IF89" i="2"/>
  <c r="IF95" i="2" s="1"/>
  <c r="CV159" i="2" s="1"/>
  <c r="FX89" i="2"/>
  <c r="FX95" i="2" s="1"/>
  <c r="AN159" i="2" s="1"/>
  <c r="FS89" i="2"/>
  <c r="FS95" i="2" s="1"/>
  <c r="AI159" i="2" s="1"/>
  <c r="FN89" i="2"/>
  <c r="FN95" i="2" s="1"/>
  <c r="AD159" i="2" s="1"/>
  <c r="JC89" i="2"/>
  <c r="JC95" i="2" s="1"/>
  <c r="DS159" i="2" s="1"/>
  <c r="JB89" i="2"/>
  <c r="JB95" i="2" s="1"/>
  <c r="DR159" i="2" s="1"/>
  <c r="FT89" i="2"/>
  <c r="FT95" i="2" s="1"/>
  <c r="AJ159" i="2" s="1"/>
  <c r="GU89" i="2"/>
  <c r="GU95" i="2" s="1"/>
  <c r="BK159" i="2" s="1"/>
  <c r="GV89" i="2"/>
  <c r="GV95" i="2" s="1"/>
  <c r="BL159" i="2" s="1"/>
  <c r="IT89" i="2"/>
  <c r="IT95" i="2" s="1"/>
  <c r="DJ159" i="2" s="1"/>
  <c r="GX89" i="2"/>
  <c r="GX95" i="2" s="1"/>
  <c r="BN159" i="2" s="1"/>
  <c r="FZ89" i="2"/>
  <c r="FZ95" i="2" s="1"/>
  <c r="AP159" i="2" s="1"/>
  <c r="HP89" i="2"/>
  <c r="HP95" i="2" s="1"/>
  <c r="CF159" i="2" s="1"/>
  <c r="HT89" i="2"/>
  <c r="HT95" i="2" s="1"/>
  <c r="CJ159" i="2" s="1"/>
  <c r="HV89" i="2"/>
  <c r="HV95" i="2" s="1"/>
  <c r="CL159" i="2" s="1"/>
  <c r="IX89" i="2"/>
  <c r="IX95" i="2" s="1"/>
  <c r="DN159" i="2" s="1"/>
  <c r="IO89" i="2"/>
  <c r="IO95" i="2" s="1"/>
  <c r="DE159" i="2" s="1"/>
  <c r="GB89" i="2"/>
  <c r="GB95" i="2" s="1"/>
  <c r="AR159" i="2" s="1"/>
  <c r="K159" i="2" s="1"/>
  <c r="FI89" i="2"/>
  <c r="FI95" i="2" s="1"/>
  <c r="Y159" i="2" s="1"/>
  <c r="C89" i="2"/>
  <c r="GD89" i="2"/>
  <c r="GD95" i="2" s="1"/>
  <c r="AT159" i="2" s="1"/>
  <c r="JJ89" i="2"/>
  <c r="JJ95" i="2" s="1"/>
  <c r="DZ159" i="2" s="1"/>
  <c r="IL89" i="2"/>
  <c r="IL95" i="2" s="1"/>
  <c r="DB159" i="2" s="1"/>
  <c r="JK89" i="2"/>
  <c r="JK95" i="2" s="1"/>
  <c r="EA159" i="2" s="1"/>
  <c r="JG89" i="2"/>
  <c r="JG95" i="2" s="1"/>
  <c r="DW159" i="2" s="1"/>
  <c r="HJ89" i="2"/>
  <c r="HJ95" i="2" s="1"/>
  <c r="BZ159" i="2" s="1"/>
  <c r="KD89" i="2"/>
  <c r="KD95" i="2" s="1"/>
  <c r="ET159" i="2" s="1"/>
  <c r="GP89" i="2"/>
  <c r="GP95" i="2" s="1"/>
  <c r="BF159" i="2" s="1"/>
  <c r="GW89" i="2"/>
  <c r="GW95" i="2" s="1"/>
  <c r="BM159" i="2" s="1"/>
  <c r="GQ89" i="2"/>
  <c r="GQ95" i="2" s="1"/>
  <c r="BG159" i="2" s="1"/>
  <c r="FL89" i="2"/>
  <c r="FL95" i="2" s="1"/>
  <c r="AB159" i="2" s="1"/>
  <c r="GF89" i="2"/>
  <c r="GF95" i="2" s="1"/>
  <c r="AV159" i="2" s="1"/>
  <c r="GZ89" i="2"/>
  <c r="GZ95" i="2" s="1"/>
  <c r="BP159" i="2" s="1"/>
  <c r="JX89" i="2"/>
  <c r="JX95" i="2" s="1"/>
  <c r="EN159" i="2" s="1"/>
  <c r="IZ89" i="2"/>
  <c r="IZ95" i="2" s="1"/>
  <c r="DP159" i="2" s="1"/>
  <c r="IK89" i="2"/>
  <c r="IK95" i="2" s="1"/>
  <c r="DA159" i="2" s="1"/>
  <c r="IN89" i="2"/>
  <c r="IN95" i="2" s="1"/>
  <c r="DD159" i="2" s="1"/>
  <c r="IG89" i="2"/>
  <c r="IG95" i="2" s="1"/>
  <c r="CW159" i="2" s="1"/>
  <c r="GI89" i="2"/>
  <c r="GI95" i="2" s="1"/>
  <c r="AY159" i="2" s="1"/>
  <c r="JT89" i="2"/>
  <c r="JT95" i="2" s="1"/>
  <c r="EJ159" i="2" s="1"/>
  <c r="HA89" i="2"/>
  <c r="HA95" i="2" s="1"/>
  <c r="BQ159" i="2" s="1"/>
  <c r="HM89" i="2"/>
  <c r="HM95" i="2" s="1"/>
  <c r="CC159" i="2" s="1"/>
  <c r="HR89" i="2"/>
  <c r="HR95" i="2" s="1"/>
  <c r="CH159" i="2" s="1"/>
  <c r="JH89" i="2"/>
  <c r="JH95" i="2" s="1"/>
  <c r="DX159" i="2" s="1"/>
  <c r="JI89" i="2"/>
  <c r="JI95" i="2" s="1"/>
  <c r="DY159" i="2" s="1"/>
  <c r="JS89" i="2"/>
  <c r="JS95" i="2" s="1"/>
  <c r="EI159" i="2" s="1"/>
  <c r="IU89" i="2"/>
  <c r="IU95" i="2" s="1"/>
  <c r="DK159" i="2" s="1"/>
  <c r="HE89" i="2"/>
  <c r="HE95" i="2" s="1"/>
  <c r="BU159" i="2" s="1"/>
  <c r="IW89" i="2"/>
  <c r="IW95" i="2" s="1"/>
  <c r="DM159" i="2" s="1"/>
  <c r="FJ89" i="2"/>
  <c r="FJ95" i="2" s="1"/>
  <c r="Z159" i="2" s="1"/>
  <c r="JV89" i="2"/>
  <c r="JV95" i="2" s="1"/>
  <c r="EL159" i="2" s="1"/>
  <c r="IS89" i="2"/>
  <c r="IS95" i="2" s="1"/>
  <c r="DI159" i="2" s="1"/>
  <c r="FY89" i="2"/>
  <c r="FY95" i="2" s="1"/>
  <c r="AO159" i="2" s="1"/>
  <c r="D159" i="2"/>
  <c r="E159" i="2" s="1"/>
  <c r="AA94" i="2"/>
  <c r="CX94" i="2"/>
  <c r="AF94" i="2"/>
  <c r="K218" i="2"/>
  <c r="R218" i="2" s="1"/>
  <c r="FC68" i="2"/>
  <c r="T94" i="2"/>
  <c r="BD94" i="2"/>
  <c r="FC61" i="2"/>
  <c r="S62" i="2"/>
  <c r="BA94" i="2"/>
  <c r="AC94" i="2"/>
  <c r="DO94" i="2"/>
  <c r="EC94" i="2"/>
  <c r="AZ94" i="2"/>
  <c r="DG94" i="2" l="1"/>
  <c r="EE94" i="2"/>
  <c r="EF94" i="2"/>
  <c r="BT94" i="2"/>
  <c r="EM94" i="2"/>
  <c r="U94" i="2"/>
  <c r="CO94" i="2"/>
  <c r="EP94" i="2"/>
  <c r="BY94" i="2"/>
  <c r="CS94" i="2"/>
  <c r="BS94" i="2"/>
  <c r="DQ94" i="2"/>
  <c r="EG94" i="2"/>
  <c r="DT94" i="2"/>
  <c r="AQ94" i="2"/>
  <c r="EH94" i="2"/>
  <c r="BJ94" i="2"/>
  <c r="AH94" i="2"/>
  <c r="S94" i="2"/>
  <c r="DC94" i="2"/>
  <c r="CR94" i="2"/>
  <c r="CM94" i="2"/>
  <c r="CE94" i="2"/>
  <c r="BC94" i="2"/>
  <c r="CQ94" i="2"/>
  <c r="EQ94" i="2"/>
  <c r="CG94" i="2"/>
  <c r="BV94" i="2"/>
  <c r="AE94" i="2"/>
  <c r="BE94" i="2"/>
  <c r="DH94" i="2"/>
  <c r="W94" i="2"/>
  <c r="CW94" i="2"/>
  <c r="AO94" i="2"/>
  <c r="AT94" i="2"/>
  <c r="DD94" i="2"/>
  <c r="EI94" i="2"/>
  <c r="CV94" i="2"/>
  <c r="CP94" i="2"/>
  <c r="DN94" i="2"/>
  <c r="AU94" i="2"/>
  <c r="AI94" i="2"/>
  <c r="AB94" i="2"/>
  <c r="DY94" i="2"/>
  <c r="AL94" i="2"/>
  <c r="DK94" i="2"/>
  <c r="AS94" i="2"/>
  <c r="BX94" i="2"/>
  <c r="AY94" i="2"/>
  <c r="BK94" i="2"/>
  <c r="DB94" i="2"/>
  <c r="DZ94" i="2"/>
  <c r="CU94" i="2"/>
  <c r="EJ94" i="2"/>
  <c r="CZ94" i="2"/>
  <c r="BH94" i="2"/>
  <c r="ES94" i="2"/>
  <c r="DV94" i="2"/>
  <c r="V94" i="2"/>
  <c r="DM94" i="2"/>
  <c r="CT94" i="2"/>
  <c r="DE94" i="2"/>
  <c r="DL94" i="2"/>
  <c r="BW94" i="2"/>
  <c r="BG94" i="2"/>
  <c r="BM94" i="2"/>
  <c r="G115" i="4"/>
  <c r="G58" i="4" s="1"/>
  <c r="K228" i="2"/>
  <c r="I228" i="2"/>
  <c r="O23" i="1" s="1"/>
  <c r="P23" i="1"/>
  <c r="AV94" i="2"/>
  <c r="CY94" i="2"/>
  <c r="AR94" i="2"/>
  <c r="DF94" i="2"/>
  <c r="BU94" i="2"/>
  <c r="BO94" i="2"/>
  <c r="CD94" i="2"/>
  <c r="BQ94" i="2"/>
  <c r="DJ94" i="2"/>
  <c r="DW94" i="2"/>
  <c r="CN94" i="2"/>
  <c r="BB94" i="2"/>
  <c r="Y94" i="2"/>
  <c r="Z94" i="2"/>
  <c r="AX94" i="2"/>
  <c r="AK94" i="2"/>
  <c r="EL94" i="2"/>
  <c r="BL94" i="2"/>
  <c r="AP94" i="2"/>
  <c r="BN94" i="2"/>
  <c r="X94" i="2"/>
  <c r="J159" i="2"/>
  <c r="AD94" i="2"/>
  <c r="CI94" i="2"/>
  <c r="EA94" i="2"/>
  <c r="ER94" i="2"/>
  <c r="AW94" i="2"/>
  <c r="EO94" i="2"/>
  <c r="AN94" i="2"/>
  <c r="EU94" i="2"/>
  <c r="EK94" i="2"/>
  <c r="DA94" i="2"/>
  <c r="BF94" i="2"/>
  <c r="AJ94" i="2"/>
  <c r="CL94" i="2"/>
  <c r="DX94" i="2"/>
  <c r="DI94" i="2"/>
  <c r="CH94" i="2"/>
  <c r="CC94" i="2"/>
  <c r="ED94" i="2"/>
  <c r="EB94" i="2"/>
  <c r="ET94" i="2"/>
  <c r="CA94" i="2"/>
  <c r="CF94" i="2"/>
  <c r="BI94" i="2"/>
  <c r="DU94" i="2"/>
  <c r="BZ94" i="2"/>
  <c r="DS94" i="2"/>
  <c r="AM94" i="2"/>
  <c r="EN94" i="2"/>
  <c r="CK94" i="2"/>
  <c r="AG94" i="2"/>
  <c r="CB94" i="2"/>
  <c r="DP94" i="2"/>
  <c r="BP94" i="2"/>
  <c r="CJ94" i="2"/>
  <c r="DR94" i="2"/>
  <c r="BR94" i="2"/>
  <c r="FC62" i="2"/>
  <c r="S63" i="2"/>
  <c r="S64" i="2" s="1"/>
  <c r="FD67" i="2"/>
  <c r="FC69" i="2"/>
  <c r="I94" i="2" l="1"/>
  <c r="R94" i="2" s="1"/>
  <c r="FC63" i="2"/>
  <c r="S67" i="2"/>
  <c r="T62" i="2"/>
  <c r="FD68" i="2"/>
  <c r="T63" i="2" s="1"/>
  <c r="FD61" i="2"/>
  <c r="FC70" i="2"/>
  <c r="S68" i="2" s="1"/>
  <c r="FD69" i="2" l="1"/>
  <c r="T67" i="2" s="1"/>
  <c r="FD75" i="2" s="1"/>
  <c r="FD82" i="2" s="1"/>
  <c r="T156" i="2" s="1"/>
  <c r="FC76" i="2"/>
  <c r="S81" i="2" s="1"/>
  <c r="FE67" i="2"/>
  <c r="FE61" i="2" s="1"/>
  <c r="FC75" i="2"/>
  <c r="S80" i="2" s="1"/>
  <c r="S69" i="2"/>
  <c r="FD62" i="2"/>
  <c r="T64" i="2"/>
  <c r="FD70" i="2" l="1"/>
  <c r="T68" i="2" s="1"/>
  <c r="FD76" i="2" s="1"/>
  <c r="FD83" i="2" s="1"/>
  <c r="T157" i="2" s="1"/>
  <c r="FD63" i="2"/>
  <c r="FF67" i="2"/>
  <c r="FF61" i="2" s="1"/>
  <c r="FC83" i="2"/>
  <c r="FC103" i="2"/>
  <c r="T80" i="2"/>
  <c r="S71" i="2"/>
  <c r="U62" i="2"/>
  <c r="FE68" i="2"/>
  <c r="U63" i="2" s="1"/>
  <c r="S82" i="2"/>
  <c r="FC82" i="2"/>
  <c r="FC102" i="2"/>
  <c r="T69" i="2" l="1"/>
  <c r="FE69" i="2"/>
  <c r="U67" i="2" s="1"/>
  <c r="FE75" i="2" s="1"/>
  <c r="FE82" i="2" s="1"/>
  <c r="U156" i="2" s="1"/>
  <c r="G74" i="4"/>
  <c r="G17" i="4" s="1"/>
  <c r="FD103" i="2"/>
  <c r="FD102" i="2"/>
  <c r="FE102" i="2" s="1"/>
  <c r="FF102" i="2" s="1"/>
  <c r="FG102" i="2" s="1"/>
  <c r="FH102" i="2" s="1"/>
  <c r="FI102" i="2" s="1"/>
  <c r="FJ102" i="2" s="1"/>
  <c r="FK102" i="2" s="1"/>
  <c r="FL102" i="2" s="1"/>
  <c r="FM102" i="2" s="1"/>
  <c r="FN102" i="2" s="1"/>
  <c r="FO102" i="2" s="1"/>
  <c r="FP102" i="2" s="1"/>
  <c r="FQ102" i="2" s="1"/>
  <c r="FR102" i="2" s="1"/>
  <c r="FS102" i="2" s="1"/>
  <c r="FT102" i="2" s="1"/>
  <c r="FU102" i="2" s="1"/>
  <c r="FV102" i="2" s="1"/>
  <c r="FW102" i="2" s="1"/>
  <c r="FX102" i="2" s="1"/>
  <c r="FY102" i="2" s="1"/>
  <c r="FZ102" i="2" s="1"/>
  <c r="GA102" i="2" s="1"/>
  <c r="GB102" i="2" s="1"/>
  <c r="GC102" i="2" s="1"/>
  <c r="GD102" i="2" s="1"/>
  <c r="GE102" i="2" s="1"/>
  <c r="GF102" i="2" s="1"/>
  <c r="GG102" i="2" s="1"/>
  <c r="GH102" i="2" s="1"/>
  <c r="GI102" i="2" s="1"/>
  <c r="GJ102" i="2" s="1"/>
  <c r="GK102" i="2" s="1"/>
  <c r="GL102" i="2" s="1"/>
  <c r="GM102" i="2" s="1"/>
  <c r="GN102" i="2" s="1"/>
  <c r="GO102" i="2" s="1"/>
  <c r="GP102" i="2" s="1"/>
  <c r="GQ102" i="2" s="1"/>
  <c r="GR102" i="2" s="1"/>
  <c r="GS102" i="2" s="1"/>
  <c r="GT102" i="2" s="1"/>
  <c r="GU102" i="2" s="1"/>
  <c r="GV102" i="2" s="1"/>
  <c r="GW102" i="2" s="1"/>
  <c r="GX102" i="2" s="1"/>
  <c r="GY102" i="2" s="1"/>
  <c r="GZ102" i="2" s="1"/>
  <c r="HA102" i="2" s="1"/>
  <c r="HB102" i="2" s="1"/>
  <c r="HC102" i="2" s="1"/>
  <c r="HD102" i="2" s="1"/>
  <c r="HE102" i="2" s="1"/>
  <c r="HF102" i="2" s="1"/>
  <c r="HG102" i="2" s="1"/>
  <c r="HH102" i="2" s="1"/>
  <c r="HI102" i="2" s="1"/>
  <c r="HJ102" i="2" s="1"/>
  <c r="HK102" i="2" s="1"/>
  <c r="HL102" i="2" s="1"/>
  <c r="HM102" i="2" s="1"/>
  <c r="HN102" i="2" s="1"/>
  <c r="HO102" i="2" s="1"/>
  <c r="HP102" i="2" s="1"/>
  <c r="HQ102" i="2" s="1"/>
  <c r="HR102" i="2" s="1"/>
  <c r="HS102" i="2" s="1"/>
  <c r="HT102" i="2" s="1"/>
  <c r="HU102" i="2" s="1"/>
  <c r="HV102" i="2" s="1"/>
  <c r="HW102" i="2" s="1"/>
  <c r="HX102" i="2" s="1"/>
  <c r="HY102" i="2" s="1"/>
  <c r="HZ102" i="2" s="1"/>
  <c r="IA102" i="2" s="1"/>
  <c r="IB102" i="2" s="1"/>
  <c r="IC102" i="2" s="1"/>
  <c r="ID102" i="2" s="1"/>
  <c r="IE102" i="2" s="1"/>
  <c r="IF102" i="2" s="1"/>
  <c r="IG102" i="2" s="1"/>
  <c r="IH102" i="2" s="1"/>
  <c r="II102" i="2" s="1"/>
  <c r="IJ102" i="2" s="1"/>
  <c r="IK102" i="2" s="1"/>
  <c r="IL102" i="2" s="1"/>
  <c r="IM102" i="2" s="1"/>
  <c r="IN102" i="2" s="1"/>
  <c r="IO102" i="2" s="1"/>
  <c r="IP102" i="2" s="1"/>
  <c r="IQ102" i="2" s="1"/>
  <c r="IR102" i="2" s="1"/>
  <c r="IS102" i="2" s="1"/>
  <c r="IT102" i="2" s="1"/>
  <c r="IU102" i="2" s="1"/>
  <c r="IV102" i="2" s="1"/>
  <c r="IW102" i="2" s="1"/>
  <c r="IX102" i="2" s="1"/>
  <c r="IY102" i="2" s="1"/>
  <c r="IZ102" i="2" s="1"/>
  <c r="JA102" i="2" s="1"/>
  <c r="JB102" i="2" s="1"/>
  <c r="JC102" i="2" s="1"/>
  <c r="JD102" i="2" s="1"/>
  <c r="JE102" i="2" s="1"/>
  <c r="JF102" i="2" s="1"/>
  <c r="JG102" i="2" s="1"/>
  <c r="JH102" i="2" s="1"/>
  <c r="JI102" i="2" s="1"/>
  <c r="JJ102" i="2" s="1"/>
  <c r="JK102" i="2" s="1"/>
  <c r="JL102" i="2" s="1"/>
  <c r="JM102" i="2" s="1"/>
  <c r="JN102" i="2" s="1"/>
  <c r="JO102" i="2" s="1"/>
  <c r="JP102" i="2" s="1"/>
  <c r="JQ102" i="2" s="1"/>
  <c r="JR102" i="2" s="1"/>
  <c r="JS102" i="2" s="1"/>
  <c r="JT102" i="2" s="1"/>
  <c r="JU102" i="2" s="1"/>
  <c r="JV102" i="2" s="1"/>
  <c r="JW102" i="2" s="1"/>
  <c r="JX102" i="2" s="1"/>
  <c r="JY102" i="2" s="1"/>
  <c r="JZ102" i="2" s="1"/>
  <c r="KA102" i="2" s="1"/>
  <c r="KB102" i="2" s="1"/>
  <c r="KC102" i="2" s="1"/>
  <c r="KD102" i="2" s="1"/>
  <c r="KE102" i="2" s="1"/>
  <c r="U64" i="2"/>
  <c r="T81" i="2"/>
  <c r="G107" i="4"/>
  <c r="G50" i="4" s="1"/>
  <c r="FE62" i="2"/>
  <c r="FF68" i="2" s="1"/>
  <c r="FG67" i="2"/>
  <c r="FG61" i="2" s="1"/>
  <c r="V62" i="2"/>
  <c r="T82" i="2" l="1"/>
  <c r="H107" i="4" s="1"/>
  <c r="T71" i="2"/>
  <c r="H74" i="4" s="1"/>
  <c r="FE63" i="2"/>
  <c r="FF69" i="2" s="1"/>
  <c r="V67" i="2" s="1"/>
  <c r="FF75" i="2" s="1"/>
  <c r="FF82" i="2" s="1"/>
  <c r="V156" i="2" s="1"/>
  <c r="FE70" i="2"/>
  <c r="U68" i="2" s="1"/>
  <c r="V63" i="2"/>
  <c r="V64" i="2" s="1"/>
  <c r="FH67" i="2"/>
  <c r="FH61" i="2" s="1"/>
  <c r="J80" i="2"/>
  <c r="D156" i="2" s="1"/>
  <c r="W62" i="2"/>
  <c r="U80" i="2"/>
  <c r="FF62" i="2"/>
  <c r="FG68" i="2" s="1"/>
  <c r="FF63" i="2" l="1"/>
  <c r="FG69" i="2" s="1"/>
  <c r="W67" i="2" s="1"/>
  <c r="FF70" i="2"/>
  <c r="V68" i="2" s="1"/>
  <c r="V69" i="2" s="1"/>
  <c r="V71" i="2" s="1"/>
  <c r="U69" i="2"/>
  <c r="FE76" i="2"/>
  <c r="FE103" i="2" s="1"/>
  <c r="W63" i="2"/>
  <c r="W64" i="2" s="1"/>
  <c r="V80" i="2"/>
  <c r="FI67" i="2"/>
  <c r="FI61" i="2" s="1"/>
  <c r="X62" i="2"/>
  <c r="FG62" i="2"/>
  <c r="FH68" i="2" s="1"/>
  <c r="X63" i="2" s="1"/>
  <c r="FF76" i="2" l="1"/>
  <c r="FF83" i="2" s="1"/>
  <c r="V157" i="2" s="1"/>
  <c r="FG63" i="2"/>
  <c r="FE83" i="2"/>
  <c r="U157" i="2" s="1"/>
  <c r="U81" i="2"/>
  <c r="U71" i="2"/>
  <c r="I74" i="4" s="1"/>
  <c r="X64" i="2"/>
  <c r="FG70" i="2"/>
  <c r="W68" i="2" s="1"/>
  <c r="FG76" i="2" s="1"/>
  <c r="FG83" i="2" s="1"/>
  <c r="W157" i="2" s="1"/>
  <c r="FJ67" i="2"/>
  <c r="FJ61" i="2" s="1"/>
  <c r="FH62" i="2"/>
  <c r="FI68" i="2" s="1"/>
  <c r="Y63" i="2" s="1"/>
  <c r="J74" i="4"/>
  <c r="FG75" i="2"/>
  <c r="FG82" i="2" s="1"/>
  <c r="W156" i="2" s="1"/>
  <c r="Y62" i="2"/>
  <c r="FH69" i="2"/>
  <c r="X67" i="2" s="1"/>
  <c r="V81" i="2" l="1"/>
  <c r="V82" i="2" s="1"/>
  <c r="FF103" i="2"/>
  <c r="FG103" i="2" s="1"/>
  <c r="U82" i="2"/>
  <c r="W81" i="2"/>
  <c r="Y64" i="2"/>
  <c r="W69" i="2"/>
  <c r="W71" i="2" s="1"/>
  <c r="FH70" i="2"/>
  <c r="X68" i="2" s="1"/>
  <c r="FH76" i="2" s="1"/>
  <c r="FH83" i="2" s="1"/>
  <c r="X157" i="2" s="1"/>
  <c r="W80" i="2"/>
  <c r="FH75" i="2"/>
  <c r="FH82" i="2" s="1"/>
  <c r="X156" i="2" s="1"/>
  <c r="FK67" i="2"/>
  <c r="FK61" i="2" s="1"/>
  <c r="FI62" i="2"/>
  <c r="FJ68" i="2" s="1"/>
  <c r="Z62" i="2"/>
  <c r="FH63" i="2"/>
  <c r="J107" i="4"/>
  <c r="FH103" i="2" l="1"/>
  <c r="I107" i="4"/>
  <c r="X69" i="2"/>
  <c r="Z63" i="2"/>
  <c r="Z64" i="2" s="1"/>
  <c r="FL67" i="2"/>
  <c r="FL61" i="2" s="1"/>
  <c r="FI69" i="2"/>
  <c r="FI63" i="2" s="1"/>
  <c r="AA62" i="2"/>
  <c r="X81" i="2"/>
  <c r="W82" i="2"/>
  <c r="K74" i="4"/>
  <c r="X80" i="2"/>
  <c r="FJ62" i="2"/>
  <c r="FK68" i="2" s="1"/>
  <c r="X71" i="2" l="1"/>
  <c r="L74" i="4" s="1"/>
  <c r="AA63" i="2"/>
  <c r="AA64" i="2" s="1"/>
  <c r="X82" i="2"/>
  <c r="K107" i="4"/>
  <c r="FM67" i="2"/>
  <c r="FM61" i="2" s="1"/>
  <c r="AB62" i="2"/>
  <c r="FJ69" i="2"/>
  <c r="FK62" i="2"/>
  <c r="FL68" i="2" s="1"/>
  <c r="AB63" i="2" s="1"/>
  <c r="Y67" i="2"/>
  <c r="FI70" i="2"/>
  <c r="Y68" i="2" s="1"/>
  <c r="FL62" i="2" l="1"/>
  <c r="FM68" i="2" s="1"/>
  <c r="AC63" i="2" s="1"/>
  <c r="FI76" i="2"/>
  <c r="FN67" i="2"/>
  <c r="FN61" i="2" s="1"/>
  <c r="Z67" i="2"/>
  <c r="FJ70" i="2"/>
  <c r="Z68" i="2" s="1"/>
  <c r="AC62" i="2"/>
  <c r="L107" i="4"/>
  <c r="FJ63" i="2"/>
  <c r="Y69" i="2"/>
  <c r="FI75" i="2"/>
  <c r="FI82" i="2" s="1"/>
  <c r="Y156" i="2" s="1"/>
  <c r="AB64" i="2"/>
  <c r="FI83" i="2" l="1"/>
  <c r="Y157" i="2" s="1"/>
  <c r="FI103" i="2"/>
  <c r="FO67" i="2"/>
  <c r="FO61" i="2" s="1"/>
  <c r="Z69" i="2"/>
  <c r="FJ75" i="2"/>
  <c r="FJ82" i="2" s="1"/>
  <c r="Z156" i="2" s="1"/>
  <c r="FK69" i="2"/>
  <c r="AD62" i="2"/>
  <c r="Y80" i="2"/>
  <c r="Y71" i="2"/>
  <c r="M74" i="4" s="1"/>
  <c r="AC64" i="2"/>
  <c r="Y81" i="2"/>
  <c r="FJ76" i="2"/>
  <c r="FJ83" i="2" s="1"/>
  <c r="Z157" i="2" s="1"/>
  <c r="FM62" i="2"/>
  <c r="FN68" i="2" s="1"/>
  <c r="FJ103" i="2" l="1"/>
  <c r="AD63" i="2"/>
  <c r="AD64" i="2" s="1"/>
  <c r="Y82" i="2"/>
  <c r="Z80" i="2"/>
  <c r="Z81" i="2"/>
  <c r="Z71" i="2"/>
  <c r="N74" i="4" s="1"/>
  <c r="AA67" i="2"/>
  <c r="FK70" i="2"/>
  <c r="AA68" i="2" s="1"/>
  <c r="FP67" i="2"/>
  <c r="FP61" i="2" s="1"/>
  <c r="FN62" i="2"/>
  <c r="FK63" i="2"/>
  <c r="AE62" i="2"/>
  <c r="FQ67" i="2" l="1"/>
  <c r="FQ61" i="2" s="1"/>
  <c r="FL69" i="2"/>
  <c r="M107" i="4"/>
  <c r="FO68" i="2"/>
  <c r="FO62" i="2" s="1"/>
  <c r="FP68" i="2" s="1"/>
  <c r="AF63" i="2" s="1"/>
  <c r="AF62" i="2"/>
  <c r="Z82" i="2"/>
  <c r="AA69" i="2"/>
  <c r="FK75" i="2"/>
  <c r="FK82" i="2" s="1"/>
  <c r="AA156" i="2" s="1"/>
  <c r="FK76" i="2"/>
  <c r="FK83" i="2" s="1"/>
  <c r="AA157" i="2" s="1"/>
  <c r="FK103" i="2" l="1"/>
  <c r="AA81" i="2"/>
  <c r="FP62" i="2"/>
  <c r="FQ68" i="2" s="1"/>
  <c r="AG63" i="2" s="1"/>
  <c r="AB67" i="2"/>
  <c r="FL70" i="2"/>
  <c r="AB68" i="2" s="1"/>
  <c r="FL63" i="2"/>
  <c r="AA80" i="2"/>
  <c r="AF64" i="2"/>
  <c r="FR67" i="2"/>
  <c r="FR61" i="2" s="1"/>
  <c r="N107" i="4"/>
  <c r="AA71" i="2"/>
  <c r="O74" i="4" s="1"/>
  <c r="AE63" i="2"/>
  <c r="AE64" i="2" s="1"/>
  <c r="AG62" i="2"/>
  <c r="FS67" i="2" l="1"/>
  <c r="FS61" i="2" s="1"/>
  <c r="AH62" i="2"/>
  <c r="FQ62" i="2"/>
  <c r="FM69" i="2"/>
  <c r="FM63" i="2" s="1"/>
  <c r="AA82" i="2"/>
  <c r="AG64" i="2"/>
  <c r="FL76" i="2"/>
  <c r="FL83" i="2" s="1"/>
  <c r="AB157" i="2" s="1"/>
  <c r="AB69" i="2"/>
  <c r="FL75" i="2"/>
  <c r="FL82" i="2" s="1"/>
  <c r="AB156" i="2" s="1"/>
  <c r="FL103" i="2" l="1"/>
  <c r="AB81" i="2"/>
  <c r="AC67" i="2"/>
  <c r="FM70" i="2"/>
  <c r="AC68" i="2" s="1"/>
  <c r="FT67" i="2"/>
  <c r="FT61" i="2" s="1"/>
  <c r="AB71" i="2"/>
  <c r="P74" i="4" s="1"/>
  <c r="AI62" i="2"/>
  <c r="FN69" i="2"/>
  <c r="FN63" i="2" s="1"/>
  <c r="AB80" i="2"/>
  <c r="O107" i="4"/>
  <c r="FR68" i="2"/>
  <c r="FU67" i="2" l="1"/>
  <c r="FU61" i="2" s="1"/>
  <c r="FM76" i="2"/>
  <c r="FM83" i="2" s="1"/>
  <c r="AC157" i="2" s="1"/>
  <c r="AC69" i="2"/>
  <c r="FM75" i="2"/>
  <c r="FM82" i="2" s="1"/>
  <c r="AC156" i="2" s="1"/>
  <c r="AD67" i="2"/>
  <c r="FN70" i="2"/>
  <c r="AD68" i="2" s="1"/>
  <c r="AH63" i="2"/>
  <c r="AH64" i="2" s="1"/>
  <c r="AB82" i="2"/>
  <c r="FR62" i="2"/>
  <c r="FO69" i="2"/>
  <c r="FO63" i="2" s="1"/>
  <c r="AJ62" i="2"/>
  <c r="FM103" i="2" l="1"/>
  <c r="FV67" i="2"/>
  <c r="FV61" i="2" s="1"/>
  <c r="P107" i="4"/>
  <c r="AC71" i="2"/>
  <c r="Q74" i="4" s="1"/>
  <c r="AC80" i="2"/>
  <c r="AK62" i="2"/>
  <c r="AE67" i="2"/>
  <c r="FO70" i="2"/>
  <c r="AE68" i="2" s="1"/>
  <c r="AC81" i="2"/>
  <c r="FP69" i="2"/>
  <c r="FP63" i="2" s="1"/>
  <c r="FN76" i="2"/>
  <c r="FN83" i="2" s="1"/>
  <c r="AD157" i="2" s="1"/>
  <c r="FS68" i="2"/>
  <c r="AD69" i="2"/>
  <c r="FN75" i="2"/>
  <c r="FN82" i="2" s="1"/>
  <c r="AD156" i="2" s="1"/>
  <c r="FN103" i="2" l="1"/>
  <c r="AD81" i="2"/>
  <c r="AI63" i="2"/>
  <c r="AI64" i="2" s="1"/>
  <c r="AD71" i="2"/>
  <c r="R74" i="4" s="1"/>
  <c r="FQ69" i="2"/>
  <c r="FS62" i="2"/>
  <c r="FO76" i="2"/>
  <c r="FO83" i="2" s="1"/>
  <c r="AE157" i="2" s="1"/>
  <c r="J157" i="2" s="1"/>
  <c r="AC82" i="2"/>
  <c r="AE69" i="2"/>
  <c r="FO75" i="2"/>
  <c r="FO82" i="2" s="1"/>
  <c r="AE156" i="2" s="1"/>
  <c r="FW67" i="2"/>
  <c r="FW61" i="2" s="1"/>
  <c r="AD80" i="2"/>
  <c r="AF67" i="2"/>
  <c r="FP70" i="2"/>
  <c r="AF68" i="2" s="1"/>
  <c r="AL62" i="2"/>
  <c r="FO103" i="2" l="1"/>
  <c r="AE81" i="2"/>
  <c r="AD82" i="2"/>
  <c r="J156" i="2"/>
  <c r="Q107" i="4"/>
  <c r="AG67" i="2"/>
  <c r="FQ70" i="2"/>
  <c r="AG68" i="2" s="1"/>
  <c r="FX67" i="2"/>
  <c r="FX61" i="2" s="1"/>
  <c r="FQ63" i="2"/>
  <c r="AM62" i="2"/>
  <c r="AE71" i="2"/>
  <c r="S74" i="4" s="1"/>
  <c r="FT68" i="2"/>
  <c r="AE80" i="2"/>
  <c r="FP76" i="2"/>
  <c r="FP83" i="2" s="1"/>
  <c r="AF157" i="2" s="1"/>
  <c r="AF69" i="2"/>
  <c r="FP75" i="2"/>
  <c r="FP82" i="2" s="1"/>
  <c r="AF156" i="2" s="1"/>
  <c r="FP103" i="2" l="1"/>
  <c r="AG69" i="2"/>
  <c r="FQ75" i="2"/>
  <c r="FQ82" i="2" s="1"/>
  <c r="AG156" i="2" s="1"/>
  <c r="R107" i="4"/>
  <c r="AJ63" i="2"/>
  <c r="AJ64" i="2" s="1"/>
  <c r="AF80" i="2"/>
  <c r="FT62" i="2"/>
  <c r="FY67" i="2"/>
  <c r="FY61" i="2" s="1"/>
  <c r="AF81" i="2"/>
  <c r="AN62" i="2"/>
  <c r="AF71" i="2"/>
  <c r="T74" i="4" s="1"/>
  <c r="FR69" i="2"/>
  <c r="AE82" i="2"/>
  <c r="FQ76" i="2"/>
  <c r="FQ83" i="2" s="1"/>
  <c r="AG157" i="2" s="1"/>
  <c r="FQ103" i="2" l="1"/>
  <c r="AF82" i="2"/>
  <c r="AG81" i="2"/>
  <c r="S107" i="4"/>
  <c r="AG80" i="2"/>
  <c r="FZ67" i="2"/>
  <c r="FZ61" i="2" s="1"/>
  <c r="AG71" i="2"/>
  <c r="U74" i="4" s="1"/>
  <c r="AH67" i="2"/>
  <c r="FR70" i="2"/>
  <c r="AH68" i="2" s="1"/>
  <c r="FR63" i="2"/>
  <c r="AO62" i="2"/>
  <c r="FU68" i="2"/>
  <c r="GA67" i="2" l="1"/>
  <c r="GA61" i="2" s="1"/>
  <c r="T107" i="4"/>
  <c r="AP62" i="2"/>
  <c r="AG82" i="2"/>
  <c r="FS69" i="2"/>
  <c r="FS63" i="2" s="1"/>
  <c r="AK63" i="2"/>
  <c r="AK64" i="2" s="1"/>
  <c r="FR76" i="2"/>
  <c r="FR83" i="2" s="1"/>
  <c r="AH157" i="2" s="1"/>
  <c r="FU62" i="2"/>
  <c r="AH69" i="2"/>
  <c r="FR75" i="2"/>
  <c r="FR82" i="2" s="1"/>
  <c r="AH156" i="2" s="1"/>
  <c r="FR103" i="2" l="1"/>
  <c r="GB67" i="2"/>
  <c r="GB61" i="2" s="1"/>
  <c r="AH80" i="2"/>
  <c r="AI67" i="2"/>
  <c r="FS70" i="2"/>
  <c r="AI68" i="2" s="1"/>
  <c r="AH71" i="2"/>
  <c r="V74" i="4" s="1"/>
  <c r="FV68" i="2"/>
  <c r="AH81" i="2"/>
  <c r="FT69" i="2"/>
  <c r="FT63" i="2" s="1"/>
  <c r="AQ62" i="2"/>
  <c r="U107" i="4"/>
  <c r="AH82" i="2" l="1"/>
  <c r="AL63" i="2"/>
  <c r="AL64" i="2" s="1"/>
  <c r="GC67" i="2"/>
  <c r="GC61" i="2" s="1"/>
  <c r="FV62" i="2"/>
  <c r="AR62" i="2"/>
  <c r="FS76" i="2"/>
  <c r="FS83" i="2" s="1"/>
  <c r="AI157" i="2" s="1"/>
  <c r="AI69" i="2"/>
  <c r="FS75" i="2"/>
  <c r="FS82" i="2" s="1"/>
  <c r="AI156" i="2" s="1"/>
  <c r="AJ67" i="2"/>
  <c r="FT70" i="2"/>
  <c r="AJ68" i="2" s="1"/>
  <c r="FU69" i="2"/>
  <c r="FS103" i="2" l="1"/>
  <c r="GD67" i="2"/>
  <c r="GD61" i="2" s="1"/>
  <c r="AK67" i="2"/>
  <c r="FU70" i="2"/>
  <c r="AK68" i="2" s="1"/>
  <c r="AI81" i="2"/>
  <c r="FW68" i="2"/>
  <c r="AJ69" i="2"/>
  <c r="FT75" i="2"/>
  <c r="FT82" i="2" s="1"/>
  <c r="AJ156" i="2" s="1"/>
  <c r="AI80" i="2"/>
  <c r="FT76" i="2"/>
  <c r="FT83" i="2" s="1"/>
  <c r="AJ157" i="2" s="1"/>
  <c r="AI71" i="2"/>
  <c r="W74" i="4" s="1"/>
  <c r="AS62" i="2"/>
  <c r="V107" i="4"/>
  <c r="FU63" i="2"/>
  <c r="FT103" i="2" l="1"/>
  <c r="AJ81" i="2"/>
  <c r="AJ80" i="2"/>
  <c r="AI82" i="2"/>
  <c r="AM63" i="2"/>
  <c r="AM64" i="2" s="1"/>
  <c r="AJ71" i="2"/>
  <c r="X74" i="4" s="1"/>
  <c r="FW62" i="2"/>
  <c r="FU76" i="2"/>
  <c r="FU83" i="2" s="1"/>
  <c r="AK157" i="2" s="1"/>
  <c r="AK69" i="2"/>
  <c r="FU75" i="2"/>
  <c r="FU82" i="2" s="1"/>
  <c r="AK156" i="2" s="1"/>
  <c r="GE67" i="2"/>
  <c r="GE61" i="2" s="1"/>
  <c r="FV69" i="2"/>
  <c r="FV63" i="2" s="1"/>
  <c r="FW69" i="2" s="1"/>
  <c r="AT62" i="2"/>
  <c r="AJ82" i="2" l="1"/>
  <c r="FU103" i="2"/>
  <c r="AM67" i="2"/>
  <c r="FW70" i="2"/>
  <c r="AM68" i="2" s="1"/>
  <c r="AU62" i="2"/>
  <c r="AL67" i="2"/>
  <c r="FV70" i="2"/>
  <c r="AL68" i="2" s="1"/>
  <c r="AK80" i="2"/>
  <c r="AK81" i="2"/>
  <c r="GF67" i="2"/>
  <c r="GF61" i="2" s="1"/>
  <c r="W107" i="4"/>
  <c r="FW63" i="2"/>
  <c r="AK71" i="2"/>
  <c r="Y74" i="4" s="1"/>
  <c r="X107" i="4"/>
  <c r="FX68" i="2"/>
  <c r="FX62" i="2" s="1"/>
  <c r="FY68" i="2" l="1"/>
  <c r="AL69" i="2"/>
  <c r="FV75" i="2"/>
  <c r="FV82" i="2" s="1"/>
  <c r="AL156" i="2" s="1"/>
  <c r="GG67" i="2"/>
  <c r="GG61" i="2" s="1"/>
  <c r="AV62" i="2"/>
  <c r="FW76" i="2"/>
  <c r="FW83" i="2" s="1"/>
  <c r="AM157" i="2" s="1"/>
  <c r="AM69" i="2"/>
  <c r="FW75" i="2"/>
  <c r="FW82" i="2" s="1"/>
  <c r="AM156" i="2" s="1"/>
  <c r="AN63" i="2"/>
  <c r="AN64" i="2" s="1"/>
  <c r="FX69" i="2"/>
  <c r="AN67" i="2" s="1"/>
  <c r="AK82" i="2"/>
  <c r="FV76" i="2"/>
  <c r="FV83" i="2" s="1"/>
  <c r="AL157" i="2" s="1"/>
  <c r="FV103" i="2" l="1"/>
  <c r="FW103" i="2" s="1"/>
  <c r="FX70" i="2"/>
  <c r="AN68" i="2" s="1"/>
  <c r="FX76" i="2" s="1"/>
  <c r="FX83" i="2" s="1"/>
  <c r="AN157" i="2" s="1"/>
  <c r="GH67" i="2"/>
  <c r="GH61" i="2" s="1"/>
  <c r="AL81" i="2"/>
  <c r="FX75" i="2"/>
  <c r="FX82" i="2" s="1"/>
  <c r="AN156" i="2" s="1"/>
  <c r="FX63" i="2"/>
  <c r="FY69" i="2" s="1"/>
  <c r="AO67" i="2" s="1"/>
  <c r="AW62" i="2"/>
  <c r="AM81" i="2"/>
  <c r="AO63" i="2"/>
  <c r="AO64" i="2" s="1"/>
  <c r="AL80" i="2"/>
  <c r="FY62" i="2"/>
  <c r="Y107" i="4"/>
  <c r="AM80" i="2"/>
  <c r="AL71" i="2"/>
  <c r="Z74" i="4" s="1"/>
  <c r="AM71" i="2"/>
  <c r="AA74" i="4" s="1"/>
  <c r="AN69" i="2" l="1"/>
  <c r="FX103" i="2"/>
  <c r="FY70" i="2"/>
  <c r="AO68" i="2" s="1"/>
  <c r="AO69" i="2" s="1"/>
  <c r="AN71" i="2"/>
  <c r="AB74" i="4" s="1"/>
  <c r="AL82" i="2"/>
  <c r="AN81" i="2"/>
  <c r="FY75" i="2"/>
  <c r="FY82" i="2" s="1"/>
  <c r="AO156" i="2" s="1"/>
  <c r="AM82" i="2"/>
  <c r="FY63" i="2"/>
  <c r="GI67" i="2"/>
  <c r="GI61" i="2" s="1"/>
  <c r="FZ68" i="2"/>
  <c r="AN80" i="2"/>
  <c r="AX62" i="2"/>
  <c r="FY76" i="2" l="1"/>
  <c r="FY83" i="2" s="1"/>
  <c r="AO157" i="2" s="1"/>
  <c r="Z107" i="4"/>
  <c r="AO80" i="2"/>
  <c r="AP63" i="2"/>
  <c r="AP64" i="2" s="1"/>
  <c r="FZ69" i="2"/>
  <c r="AP67" i="2" s="1"/>
  <c r="AO71" i="2"/>
  <c r="AC74" i="4" s="1"/>
  <c r="FZ62" i="2"/>
  <c r="AA107" i="4"/>
  <c r="AN82" i="2"/>
  <c r="AY62" i="2"/>
  <c r="GJ67" i="2"/>
  <c r="GJ61" i="2" s="1"/>
  <c r="AO81" i="2" l="1"/>
  <c r="FY103" i="2"/>
  <c r="FZ63" i="2"/>
  <c r="FZ70" i="2"/>
  <c r="AP68" i="2" s="1"/>
  <c r="AP69" i="2" s="1"/>
  <c r="GK67" i="2"/>
  <c r="GK61" i="2" s="1"/>
  <c r="AO82" i="2"/>
  <c r="AB107" i="4"/>
  <c r="AZ62" i="2"/>
  <c r="GA68" i="2"/>
  <c r="FZ75" i="2"/>
  <c r="FZ82" i="2" s="1"/>
  <c r="AP156" i="2" s="1"/>
  <c r="FZ76" i="2" l="1"/>
  <c r="FZ83" i="2" s="1"/>
  <c r="AP157" i="2" s="1"/>
  <c r="GL67" i="2"/>
  <c r="GL61" i="2" s="1"/>
  <c r="AP80" i="2"/>
  <c r="AP71" i="2"/>
  <c r="AD74" i="4" s="1"/>
  <c r="AQ63" i="2"/>
  <c r="AQ64" i="2" s="1"/>
  <c r="GA69" i="2"/>
  <c r="GA70" i="2" s="1"/>
  <c r="AQ68" i="2" s="1"/>
  <c r="AC107" i="4"/>
  <c r="GA62" i="2"/>
  <c r="BA62" i="2"/>
  <c r="AP81" i="2" l="1"/>
  <c r="FZ103" i="2"/>
  <c r="GA76" i="2"/>
  <c r="GA83" i="2" s="1"/>
  <c r="AQ157" i="2" s="1"/>
  <c r="GM67" i="2"/>
  <c r="GM61" i="2" s="1"/>
  <c r="AQ67" i="2"/>
  <c r="GA63" i="2"/>
  <c r="AP82" i="2"/>
  <c r="BB62" i="2"/>
  <c r="GB68" i="2"/>
  <c r="GA103" i="2" l="1"/>
  <c r="AR63" i="2"/>
  <c r="AR64" i="2" s="1"/>
  <c r="GB69" i="2"/>
  <c r="AR67" i="2" s="1"/>
  <c r="AQ69" i="2"/>
  <c r="GA75" i="2"/>
  <c r="GA82" i="2" s="1"/>
  <c r="AQ156" i="2" s="1"/>
  <c r="GB62" i="2"/>
  <c r="GN67" i="2"/>
  <c r="BC62" i="2"/>
  <c r="AD107" i="4"/>
  <c r="AQ81" i="2"/>
  <c r="GB63" i="2" l="1"/>
  <c r="GB70" i="2"/>
  <c r="AR68" i="2" s="1"/>
  <c r="AR69" i="2" s="1"/>
  <c r="BD62" i="2"/>
  <c r="GC68" i="2"/>
  <c r="AQ80" i="2"/>
  <c r="AQ71" i="2"/>
  <c r="AE74" i="4" s="1"/>
  <c r="GN61" i="2"/>
  <c r="GB75" i="2"/>
  <c r="GB82" i="2" s="1"/>
  <c r="AR156" i="2" s="1"/>
  <c r="GB76" i="2" l="1"/>
  <c r="GO67" i="2"/>
  <c r="GO61" i="2" s="1"/>
  <c r="AS63" i="2"/>
  <c r="AS64" i="2" s="1"/>
  <c r="GC69" i="2"/>
  <c r="AQ82" i="2"/>
  <c r="GC62" i="2"/>
  <c r="K156" i="2"/>
  <c r="AR71" i="2"/>
  <c r="AF74" i="4" s="1"/>
  <c r="AR80" i="2"/>
  <c r="GB83" i="2" l="1"/>
  <c r="AR157" i="2" s="1"/>
  <c r="K157" i="2" s="1"/>
  <c r="GB103" i="2"/>
  <c r="AR81" i="2"/>
  <c r="GD68" i="2"/>
  <c r="AS67" i="2"/>
  <c r="GC63" i="2"/>
  <c r="AE107" i="4"/>
  <c r="GP67" i="2"/>
  <c r="GP61" i="2" s="1"/>
  <c r="GC70" i="2"/>
  <c r="AS68" i="2" s="1"/>
  <c r="BE62" i="2"/>
  <c r="AR82" i="2" l="1"/>
  <c r="AF107" i="4" s="1"/>
  <c r="GQ67" i="2"/>
  <c r="GQ61" i="2" s="1"/>
  <c r="AS69" i="2"/>
  <c r="GC75" i="2"/>
  <c r="GC82" i="2" s="1"/>
  <c r="AS156" i="2" s="1"/>
  <c r="GC76" i="2"/>
  <c r="GC83" i="2" s="1"/>
  <c r="AS157" i="2" s="1"/>
  <c r="AT63" i="2"/>
  <c r="AT64" i="2" s="1"/>
  <c r="GD69" i="2"/>
  <c r="AT67" i="2" s="1"/>
  <c r="BF62" i="2"/>
  <c r="GD62" i="2"/>
  <c r="GC103" i="2" l="1"/>
  <c r="GD70" i="2"/>
  <c r="AT68" i="2" s="1"/>
  <c r="GD76" i="2" s="1"/>
  <c r="GD83" i="2" s="1"/>
  <c r="AT157" i="2" s="1"/>
  <c r="GD63" i="2"/>
  <c r="GR67" i="2"/>
  <c r="GR61" i="2" s="1"/>
  <c r="AS81" i="2"/>
  <c r="BG62" i="2"/>
  <c r="GD75" i="2"/>
  <c r="GD82" i="2" s="1"/>
  <c r="AT156" i="2" s="1"/>
  <c r="AS80" i="2"/>
  <c r="GE68" i="2"/>
  <c r="AS71" i="2"/>
  <c r="AG74" i="4" s="1"/>
  <c r="GD103" i="2" l="1"/>
  <c r="AT69" i="2"/>
  <c r="AT71" i="2" s="1"/>
  <c r="AH74" i="4" s="1"/>
  <c r="GS67" i="2"/>
  <c r="GS61" i="2" s="1"/>
  <c r="AT81" i="2"/>
  <c r="AS82" i="2"/>
  <c r="AT80" i="2"/>
  <c r="AU63" i="2"/>
  <c r="AU64" i="2" s="1"/>
  <c r="GE69" i="2"/>
  <c r="BH62" i="2"/>
  <c r="GE62" i="2"/>
  <c r="AT82" i="2" l="1"/>
  <c r="GF68" i="2"/>
  <c r="GF62" i="2" s="1"/>
  <c r="AU67" i="2"/>
  <c r="GE63" i="2"/>
  <c r="GE70" i="2"/>
  <c r="AU68" i="2" s="1"/>
  <c r="AG107" i="4"/>
  <c r="GT67" i="2"/>
  <c r="GT61" i="2" s="1"/>
  <c r="BI62" i="2"/>
  <c r="GG68" i="2" l="1"/>
  <c r="GU67" i="2"/>
  <c r="GU61" i="2" s="1"/>
  <c r="BJ62" i="2"/>
  <c r="AU69" i="2"/>
  <c r="GE75" i="2"/>
  <c r="GE82" i="2" s="1"/>
  <c r="AU156" i="2" s="1"/>
  <c r="AH107" i="4"/>
  <c r="GE76" i="2"/>
  <c r="AV63" i="2"/>
  <c r="AV64" i="2" s="1"/>
  <c r="GF69" i="2"/>
  <c r="AV67" i="2" s="1"/>
  <c r="GE83" i="2" l="1"/>
  <c r="AU157" i="2" s="1"/>
  <c r="GE103" i="2"/>
  <c r="AU80" i="2"/>
  <c r="GF70" i="2"/>
  <c r="AV68" i="2" s="1"/>
  <c r="AV69" i="2" s="1"/>
  <c r="AU71" i="2"/>
  <c r="AI74" i="4" s="1"/>
  <c r="AW63" i="2"/>
  <c r="AW64" i="2" s="1"/>
  <c r="GG62" i="2"/>
  <c r="GF75" i="2"/>
  <c r="GF82" i="2" s="1"/>
  <c r="AV156" i="2" s="1"/>
  <c r="GF63" i="2"/>
  <c r="GG69" i="2" s="1"/>
  <c r="AW67" i="2" s="1"/>
  <c r="GV67" i="2"/>
  <c r="GV61" i="2" s="1"/>
  <c r="AU81" i="2"/>
  <c r="BK62" i="2"/>
  <c r="GF76" i="2" l="1"/>
  <c r="GF83" i="2" s="1"/>
  <c r="AV157" i="2" s="1"/>
  <c r="GW67" i="2"/>
  <c r="GW61" i="2" s="1"/>
  <c r="GG75" i="2"/>
  <c r="GG82" i="2" s="1"/>
  <c r="AW156" i="2" s="1"/>
  <c r="AU82" i="2"/>
  <c r="GG63" i="2"/>
  <c r="GG70" i="2"/>
  <c r="AW68" i="2" s="1"/>
  <c r="AW69" i="2" s="1"/>
  <c r="AV71" i="2"/>
  <c r="AJ74" i="4" s="1"/>
  <c r="BL62" i="2"/>
  <c r="AV80" i="2"/>
  <c r="GH68" i="2"/>
  <c r="AV81" i="2" l="1"/>
  <c r="GF103" i="2"/>
  <c r="AW71" i="2"/>
  <c r="AK74" i="4" s="1"/>
  <c r="AV82" i="2"/>
  <c r="AI107" i="4"/>
  <c r="GX67" i="2"/>
  <c r="GX61" i="2" s="1"/>
  <c r="AW80" i="2"/>
  <c r="BM62" i="2"/>
  <c r="GG76" i="2"/>
  <c r="GG83" i="2" s="1"/>
  <c r="AW157" i="2" s="1"/>
  <c r="AX63" i="2"/>
  <c r="AX64" i="2" s="1"/>
  <c r="GH69" i="2"/>
  <c r="AX67" i="2" s="1"/>
  <c r="GH62" i="2"/>
  <c r="GG103" i="2" l="1"/>
  <c r="GH70" i="2"/>
  <c r="AX68" i="2" s="1"/>
  <c r="AX69" i="2" s="1"/>
  <c r="GH63" i="2"/>
  <c r="GY67" i="2"/>
  <c r="GY61" i="2" s="1"/>
  <c r="AJ107" i="4"/>
  <c r="GI68" i="2"/>
  <c r="AW81" i="2"/>
  <c r="AW82" i="2" s="1"/>
  <c r="BN62" i="2"/>
  <c r="GH75" i="2"/>
  <c r="GH82" i="2" s="1"/>
  <c r="AX156" i="2" s="1"/>
  <c r="GH76" i="2" l="1"/>
  <c r="GH83" i="2" s="1"/>
  <c r="AX157" i="2" s="1"/>
  <c r="AK107" i="4"/>
  <c r="AY63" i="2"/>
  <c r="AY64" i="2" s="1"/>
  <c r="GI69" i="2"/>
  <c r="GI70" i="2" s="1"/>
  <c r="AY68" i="2" s="1"/>
  <c r="AX71" i="2"/>
  <c r="AL74" i="4" s="1"/>
  <c r="GI62" i="2"/>
  <c r="GZ67" i="2"/>
  <c r="GZ61" i="2" s="1"/>
  <c r="AX80" i="2"/>
  <c r="BO62" i="2"/>
  <c r="AX81" i="2" l="1"/>
  <c r="AX82" i="2" s="1"/>
  <c r="GH103" i="2"/>
  <c r="GJ68" i="2"/>
  <c r="HA67" i="2"/>
  <c r="GI76" i="2"/>
  <c r="GI83" i="2" s="1"/>
  <c r="AY157" i="2" s="1"/>
  <c r="BP62" i="2"/>
  <c r="AY67" i="2"/>
  <c r="GI63" i="2"/>
  <c r="GI103" i="2" l="1"/>
  <c r="BQ62" i="2"/>
  <c r="AZ63" i="2"/>
  <c r="AZ64" i="2" s="1"/>
  <c r="GJ69" i="2"/>
  <c r="AZ67" i="2" s="1"/>
  <c r="GJ62" i="2"/>
  <c r="AL107" i="4"/>
  <c r="AY81" i="2"/>
  <c r="AY69" i="2"/>
  <c r="GI75" i="2"/>
  <c r="GI82" i="2" s="1"/>
  <c r="AY156" i="2" s="1"/>
  <c r="HA61" i="2"/>
  <c r="GJ75" i="2" l="1"/>
  <c r="GJ82" i="2" s="1"/>
  <c r="AZ156" i="2" s="1"/>
  <c r="GJ70" i="2"/>
  <c r="AZ68" i="2" s="1"/>
  <c r="AY80" i="2"/>
  <c r="AY71" i="2"/>
  <c r="AM74" i="4" s="1"/>
  <c r="HB67" i="2"/>
  <c r="HB61" i="2" s="1"/>
  <c r="GJ63" i="2"/>
  <c r="GK68" i="2"/>
  <c r="GK62" i="2" s="1"/>
  <c r="HC67" i="2" l="1"/>
  <c r="HC61" i="2" s="1"/>
  <c r="GL68" i="2"/>
  <c r="AY82" i="2"/>
  <c r="GJ76" i="2"/>
  <c r="AZ69" i="2"/>
  <c r="BA63" i="2"/>
  <c r="BA64" i="2" s="1"/>
  <c r="GK69" i="2"/>
  <c r="BA67" i="2" s="1"/>
  <c r="AZ80" i="2"/>
  <c r="BR62" i="2"/>
  <c r="GJ83" i="2" l="1"/>
  <c r="AZ157" i="2" s="1"/>
  <c r="GJ103" i="2"/>
  <c r="AZ81" i="2"/>
  <c r="GK63" i="2"/>
  <c r="GL69" i="2" s="1"/>
  <c r="BB67" i="2" s="1"/>
  <c r="AZ71" i="2"/>
  <c r="AN74" i="4" s="1"/>
  <c r="GK70" i="2"/>
  <c r="BA68" i="2" s="1"/>
  <c r="BA69" i="2" s="1"/>
  <c r="BB63" i="2"/>
  <c r="BB64" i="2" s="1"/>
  <c r="GK75" i="2"/>
  <c r="GK82" i="2" s="1"/>
  <c r="BA156" i="2" s="1"/>
  <c r="GL62" i="2"/>
  <c r="AM107" i="4"/>
  <c r="HD67" i="2"/>
  <c r="HD61" i="2" s="1"/>
  <c r="BS62" i="2"/>
  <c r="AZ82" i="2" l="1"/>
  <c r="AN107" i="4" s="1"/>
  <c r="BA71" i="2"/>
  <c r="AO74" i="4" s="1"/>
  <c r="HE67" i="2"/>
  <c r="HE61" i="2" s="1"/>
  <c r="BT62" i="2"/>
  <c r="BA80" i="2"/>
  <c r="GK76" i="2"/>
  <c r="GK83" i="2" s="1"/>
  <c r="BA157" i="2" s="1"/>
  <c r="GL75" i="2"/>
  <c r="GL82" i="2" s="1"/>
  <c r="BB156" i="2" s="1"/>
  <c r="GL70" i="2"/>
  <c r="BB68" i="2" s="1"/>
  <c r="BB69" i="2" s="1"/>
  <c r="GM68" i="2"/>
  <c r="GM62" i="2" s="1"/>
  <c r="GL63" i="2"/>
  <c r="GK103" i="2" l="1"/>
  <c r="BB71" i="2"/>
  <c r="AP74" i="4" s="1"/>
  <c r="BB80" i="2"/>
  <c r="HF67" i="2"/>
  <c r="HF61" i="2" s="1"/>
  <c r="GN68" i="2"/>
  <c r="GN62" i="2" s="1"/>
  <c r="BU62" i="2"/>
  <c r="GL76" i="2"/>
  <c r="GL83" i="2" s="1"/>
  <c r="BB157" i="2" s="1"/>
  <c r="BA81" i="2"/>
  <c r="BA82" i="2" s="1"/>
  <c r="BC63" i="2"/>
  <c r="BC64" i="2" s="1"/>
  <c r="GM69" i="2"/>
  <c r="BC67" i="2" s="1"/>
  <c r="GL103" i="2" l="1"/>
  <c r="HG67" i="2"/>
  <c r="HG61" i="2" s="1"/>
  <c r="AO107" i="4"/>
  <c r="GM75" i="2"/>
  <c r="BC80" i="2" s="1"/>
  <c r="BD63" i="2"/>
  <c r="BD64" i="2" s="1"/>
  <c r="GO68" i="2"/>
  <c r="GO62" i="2" s="1"/>
  <c r="GM63" i="2"/>
  <c r="BB81" i="2"/>
  <c r="BB82" i="2" s="1"/>
  <c r="BV62" i="2"/>
  <c r="GM70" i="2"/>
  <c r="BC68" i="2" s="1"/>
  <c r="BC69" i="2" s="1"/>
  <c r="AP107" i="4" l="1"/>
  <c r="BC71" i="2"/>
  <c r="AQ74" i="4" s="1"/>
  <c r="HH67" i="2"/>
  <c r="HH61" i="2" s="1"/>
  <c r="BW62" i="2"/>
  <c r="GM76" i="2"/>
  <c r="GM103" i="2" s="1"/>
  <c r="BE63" i="2"/>
  <c r="BE64" i="2" s="1"/>
  <c r="GN69" i="2"/>
  <c r="GN63" i="2" s="1"/>
  <c r="GO69" i="2" s="1"/>
  <c r="GP68" i="2"/>
  <c r="GP62" i="2" s="1"/>
  <c r="GM82" i="2"/>
  <c r="BC156" i="2" s="1"/>
  <c r="BE67" i="2" l="1"/>
  <c r="GO70" i="2"/>
  <c r="BE68" i="2" s="1"/>
  <c r="GQ68" i="2"/>
  <c r="GQ62" i="2" s="1"/>
  <c r="BX62" i="2"/>
  <c r="GM83" i="2"/>
  <c r="BC157" i="2" s="1"/>
  <c r="GO63" i="2"/>
  <c r="BC81" i="2"/>
  <c r="HI67" i="2"/>
  <c r="HI61" i="2" s="1"/>
  <c r="BF63" i="2"/>
  <c r="BF64" i="2" s="1"/>
  <c r="BD67" i="2"/>
  <c r="GN70" i="2"/>
  <c r="BD68" i="2" s="1"/>
  <c r="GO76" i="2" s="1"/>
  <c r="GO83" i="2" s="1"/>
  <c r="BE157" i="2" s="1"/>
  <c r="BE69" i="2" l="1"/>
  <c r="GO75" i="2"/>
  <c r="GO82" i="2" s="1"/>
  <c r="BE156" i="2" s="1"/>
  <c r="GR68" i="2"/>
  <c r="GN76" i="2"/>
  <c r="BC82" i="2"/>
  <c r="HJ67" i="2"/>
  <c r="HJ61" i="2" s="1"/>
  <c r="BG63" i="2"/>
  <c r="BG64" i="2" s="1"/>
  <c r="BD69" i="2"/>
  <c r="GN75" i="2"/>
  <c r="GN82" i="2" s="1"/>
  <c r="BD156" i="2" s="1"/>
  <c r="GP69" i="2"/>
  <c r="BY62" i="2"/>
  <c r="BE81" i="2"/>
  <c r="BD71" i="2" l="1"/>
  <c r="AR74" i="4" s="1"/>
  <c r="GN83" i="2"/>
  <c r="BD157" i="2" s="1"/>
  <c r="GN103" i="2"/>
  <c r="GO103" i="2" s="1"/>
  <c r="BE71" i="2"/>
  <c r="AS74" i="4" s="1"/>
  <c r="BE80" i="2"/>
  <c r="AQ107" i="4"/>
  <c r="BF67" i="2"/>
  <c r="GP70" i="2"/>
  <c r="BF68" i="2" s="1"/>
  <c r="BD80" i="2"/>
  <c r="BD81" i="2"/>
  <c r="HK67" i="2"/>
  <c r="HK61" i="2" s="1"/>
  <c r="BH63" i="2"/>
  <c r="BH64" i="2" s="1"/>
  <c r="BZ62" i="2"/>
  <c r="GP63" i="2"/>
  <c r="GR62" i="2"/>
  <c r="BE82" i="2" l="1"/>
  <c r="HL67" i="2"/>
  <c r="HL61" i="2" s="1"/>
  <c r="BF69" i="2"/>
  <c r="GP75" i="2"/>
  <c r="GP82" i="2" s="1"/>
  <c r="BF156" i="2" s="1"/>
  <c r="CA62" i="2"/>
  <c r="AS107" i="4"/>
  <c r="GP76" i="2"/>
  <c r="GP83" i="2" s="1"/>
  <c r="BF157" i="2" s="1"/>
  <c r="GS68" i="2"/>
  <c r="GQ69" i="2"/>
  <c r="GQ63" i="2" s="1"/>
  <c r="BD82" i="2"/>
  <c r="BF71" i="2" l="1"/>
  <c r="AT74" i="4" s="1"/>
  <c r="GP103" i="2"/>
  <c r="BF80" i="2"/>
  <c r="HM67" i="2"/>
  <c r="HM61" i="2" s="1"/>
  <c r="GR69" i="2"/>
  <c r="BF81" i="2"/>
  <c r="BI63" i="2"/>
  <c r="BI64" i="2" s="1"/>
  <c r="CB62" i="2"/>
  <c r="BG67" i="2"/>
  <c r="GQ70" i="2"/>
  <c r="BG68" i="2" s="1"/>
  <c r="AR107" i="4"/>
  <c r="GS62" i="2"/>
  <c r="BF82" i="2" l="1"/>
  <c r="AT107" i="4"/>
  <c r="HN67" i="2"/>
  <c r="HN61" i="2" s="1"/>
  <c r="BG69" i="2"/>
  <c r="GQ75" i="2"/>
  <c r="GQ82" i="2" s="1"/>
  <c r="BG156" i="2" s="1"/>
  <c r="BH67" i="2"/>
  <c r="GR70" i="2"/>
  <c r="BH68" i="2" s="1"/>
  <c r="CC62" i="2"/>
  <c r="GR63" i="2"/>
  <c r="GQ76" i="2"/>
  <c r="GQ83" i="2" s="1"/>
  <c r="BG157" i="2" s="1"/>
  <c r="GT68" i="2"/>
  <c r="GT62" i="2" s="1"/>
  <c r="GQ103" i="2" l="1"/>
  <c r="BG71" i="2"/>
  <c r="AU74" i="4" s="1"/>
  <c r="HO67" i="2"/>
  <c r="HO61" i="2" s="1"/>
  <c r="GU68" i="2"/>
  <c r="GU62" i="2" s="1"/>
  <c r="BH69" i="2"/>
  <c r="GR75" i="2"/>
  <c r="GR82" i="2" s="1"/>
  <c r="BH156" i="2" s="1"/>
  <c r="BG81" i="2"/>
  <c r="BG80" i="2"/>
  <c r="CD62" i="2"/>
  <c r="GS69" i="2"/>
  <c r="GS63" i="2" s="1"/>
  <c r="GR76" i="2"/>
  <c r="GR83" i="2" s="1"/>
  <c r="BH157" i="2" s="1"/>
  <c r="BJ63" i="2"/>
  <c r="BJ64" i="2" s="1"/>
  <c r="BH71" i="2" l="1"/>
  <c r="AV74" i="4" s="1"/>
  <c r="GR103" i="2"/>
  <c r="BG82" i="2"/>
  <c r="AU107" i="4" s="1"/>
  <c r="GT69" i="2"/>
  <c r="BK63" i="2"/>
  <c r="BK64" i="2" s="1"/>
  <c r="BH81" i="2"/>
  <c r="GV68" i="2"/>
  <c r="HP67" i="2"/>
  <c r="HP61" i="2" s="1"/>
  <c r="BH80" i="2"/>
  <c r="CE62" i="2"/>
  <c r="BI67" i="2"/>
  <c r="GS70" i="2"/>
  <c r="BI68" i="2" s="1"/>
  <c r="BH82" i="2" l="1"/>
  <c r="BL63" i="2"/>
  <c r="BL64" i="2" s="1"/>
  <c r="BJ67" i="2"/>
  <c r="GT70" i="2"/>
  <c r="BJ68" i="2" s="1"/>
  <c r="CF62" i="2"/>
  <c r="GV62" i="2"/>
  <c r="GT63" i="2"/>
  <c r="HQ67" i="2"/>
  <c r="HQ61" i="2" s="1"/>
  <c r="GS76" i="2"/>
  <c r="GS83" i="2" s="1"/>
  <c r="BI157" i="2" s="1"/>
  <c r="BI69" i="2"/>
  <c r="GS75" i="2"/>
  <c r="GS82" i="2" s="1"/>
  <c r="BI156" i="2" s="1"/>
  <c r="AV107" i="4" l="1"/>
  <c r="BI71" i="2"/>
  <c r="AW74" i="4" s="1"/>
  <c r="GS103" i="2"/>
  <c r="HR67" i="2"/>
  <c r="HR61" i="2" s="1"/>
  <c r="CG62" i="2"/>
  <c r="BI80" i="2"/>
  <c r="GT76" i="2"/>
  <c r="GT83" i="2" s="1"/>
  <c r="BJ157" i="2" s="1"/>
  <c r="BI81" i="2"/>
  <c r="GU69" i="2"/>
  <c r="GU63" i="2" s="1"/>
  <c r="GW68" i="2"/>
  <c r="BJ69" i="2"/>
  <c r="GT75" i="2"/>
  <c r="GT82" i="2" s="1"/>
  <c r="BJ156" i="2" s="1"/>
  <c r="GT103" i="2" l="1"/>
  <c r="BJ71" i="2"/>
  <c r="AX74" i="4" s="1"/>
  <c r="BI82" i="2"/>
  <c r="GV69" i="2"/>
  <c r="BJ80" i="2"/>
  <c r="BJ81" i="2"/>
  <c r="BM63" i="2"/>
  <c r="BM64" i="2" s="1"/>
  <c r="GW62" i="2"/>
  <c r="HS67" i="2"/>
  <c r="HS61" i="2" s="1"/>
  <c r="BK67" i="2"/>
  <c r="GU70" i="2"/>
  <c r="BK68" i="2" s="1"/>
  <c r="CH62" i="2"/>
  <c r="GU76" i="2" l="1"/>
  <c r="GU83" i="2" s="1"/>
  <c r="BK157" i="2" s="1"/>
  <c r="CI62" i="2"/>
  <c r="BL67" i="2"/>
  <c r="GV70" i="2"/>
  <c r="BL68" i="2" s="1"/>
  <c r="GV63" i="2"/>
  <c r="HT67" i="2"/>
  <c r="HT61" i="2" s="1"/>
  <c r="BJ82" i="2"/>
  <c r="GX68" i="2"/>
  <c r="BK69" i="2"/>
  <c r="GU75" i="2"/>
  <c r="GU82" i="2" s="1"/>
  <c r="BK156" i="2" s="1"/>
  <c r="AW107" i="4"/>
  <c r="BK71" i="2" l="1"/>
  <c r="AY74" i="4" s="1"/>
  <c r="GU103" i="2"/>
  <c r="BK81" i="2"/>
  <c r="HU67" i="2"/>
  <c r="HU61" i="2" s="1"/>
  <c r="GW69" i="2"/>
  <c r="BN63" i="2"/>
  <c r="BN64" i="2" s="1"/>
  <c r="GV76" i="2"/>
  <c r="GV83" i="2" s="1"/>
  <c r="BL157" i="2" s="1"/>
  <c r="BK80" i="2"/>
  <c r="BL69" i="2"/>
  <c r="GV75" i="2"/>
  <c r="GV82" i="2" s="1"/>
  <c r="BL156" i="2" s="1"/>
  <c r="GX62" i="2"/>
  <c r="AX107" i="4"/>
  <c r="CJ62" i="2"/>
  <c r="GV103" i="2" l="1"/>
  <c r="BL71" i="2"/>
  <c r="AZ74" i="4" s="1"/>
  <c r="BK82" i="2"/>
  <c r="AY107" i="4" s="1"/>
  <c r="GY68" i="2"/>
  <c r="BL81" i="2"/>
  <c r="BM67" i="2"/>
  <c r="GW70" i="2"/>
  <c r="BM68" i="2" s="1"/>
  <c r="GW63" i="2"/>
  <c r="BL80" i="2"/>
  <c r="HV67" i="2"/>
  <c r="HV61" i="2" s="1"/>
  <c r="CK62" i="2"/>
  <c r="BL82" i="2" l="1"/>
  <c r="GX69" i="2"/>
  <c r="HW67" i="2"/>
  <c r="HW61" i="2" s="1"/>
  <c r="CL62" i="2"/>
  <c r="GW76" i="2"/>
  <c r="GW83" i="2" s="1"/>
  <c r="BM157" i="2" s="1"/>
  <c r="BO63" i="2"/>
  <c r="BO64" i="2" s="1"/>
  <c r="BM69" i="2"/>
  <c r="GW75" i="2"/>
  <c r="GW82" i="2" s="1"/>
  <c r="BM156" i="2" s="1"/>
  <c r="GY62" i="2"/>
  <c r="BM71" i="2" l="1"/>
  <c r="BA74" i="4" s="1"/>
  <c r="GW103" i="2"/>
  <c r="HX67" i="2"/>
  <c r="HX61" i="2" s="1"/>
  <c r="GZ68" i="2"/>
  <c r="BM81" i="2"/>
  <c r="CM62" i="2"/>
  <c r="AZ107" i="4"/>
  <c r="BN67" i="2"/>
  <c r="GX70" i="2"/>
  <c r="BN68" i="2" s="1"/>
  <c r="GX63" i="2"/>
  <c r="BM80" i="2"/>
  <c r="BM82" i="2" l="1"/>
  <c r="BA107" i="4" s="1"/>
  <c r="GX76" i="2"/>
  <c r="GX83" i="2" s="1"/>
  <c r="BN157" i="2" s="1"/>
  <c r="BP63" i="2"/>
  <c r="BP64" i="2" s="1"/>
  <c r="BN69" i="2"/>
  <c r="GX75" i="2"/>
  <c r="GX82" i="2" s="1"/>
  <c r="BN156" i="2" s="1"/>
  <c r="GZ62" i="2"/>
  <c r="GY69" i="2"/>
  <c r="HY67" i="2"/>
  <c r="HY61" i="2" s="1"/>
  <c r="CN62" i="2"/>
  <c r="BN71" i="2" l="1"/>
  <c r="BB74" i="4" s="1"/>
  <c r="GX103" i="2"/>
  <c r="HA68" i="2"/>
  <c r="HZ67" i="2"/>
  <c r="CO62" i="2"/>
  <c r="BN81" i="2"/>
  <c r="BN80" i="2"/>
  <c r="BO67" i="2"/>
  <c r="GY70" i="2"/>
  <c r="BO68" i="2" s="1"/>
  <c r="GY63" i="2"/>
  <c r="BN82" i="2" l="1"/>
  <c r="BB107" i="4" s="1"/>
  <c r="GZ69" i="2"/>
  <c r="BO69" i="2"/>
  <c r="GY75" i="2"/>
  <c r="GY82" i="2" s="1"/>
  <c r="BO156" i="2" s="1"/>
  <c r="CP62" i="2"/>
  <c r="BQ63" i="2"/>
  <c r="BQ64" i="2" s="1"/>
  <c r="GY76" i="2"/>
  <c r="GY83" i="2" s="1"/>
  <c r="BO157" i="2" s="1"/>
  <c r="HZ61" i="2"/>
  <c r="HA62" i="2"/>
  <c r="BO71" i="2" l="1"/>
  <c r="BC74" i="4" s="1"/>
  <c r="GY103" i="2"/>
  <c r="BO80" i="2"/>
  <c r="BP67" i="2"/>
  <c r="GZ70" i="2"/>
  <c r="BP68" i="2" s="1"/>
  <c r="GZ63" i="2"/>
  <c r="HB68" i="2"/>
  <c r="IA67" i="2"/>
  <c r="IA61" i="2" s="1"/>
  <c r="BO81" i="2"/>
  <c r="BO82" i="2" l="1"/>
  <c r="BC107" i="4"/>
  <c r="GZ76" i="2"/>
  <c r="GZ83" i="2" s="1"/>
  <c r="BP157" i="2" s="1"/>
  <c r="BP69" i="2"/>
  <c r="GZ75" i="2"/>
  <c r="GZ82" i="2" s="1"/>
  <c r="BP156" i="2" s="1"/>
  <c r="CQ62" i="2"/>
  <c r="HA69" i="2"/>
  <c r="HA63" i="2" s="1"/>
  <c r="BR63" i="2"/>
  <c r="BR64" i="2" s="1"/>
  <c r="IB67" i="2"/>
  <c r="IB61" i="2" s="1"/>
  <c r="HB62" i="2"/>
  <c r="BP71" i="2" l="1"/>
  <c r="BD74" i="4" s="1"/>
  <c r="GZ103" i="2"/>
  <c r="IC67" i="2"/>
  <c r="IC61" i="2" s="1"/>
  <c r="HB69" i="2"/>
  <c r="HC68" i="2"/>
  <c r="BP80" i="2"/>
  <c r="BQ67" i="2"/>
  <c r="HA70" i="2"/>
  <c r="BQ68" i="2" s="1"/>
  <c r="CR62" i="2"/>
  <c r="BP81" i="2"/>
  <c r="BP82" i="2" l="1"/>
  <c r="BD107" i="4" s="1"/>
  <c r="BS63" i="2"/>
  <c r="BS64" i="2" s="1"/>
  <c r="HC62" i="2"/>
  <c r="BR67" i="2"/>
  <c r="HB70" i="2"/>
  <c r="BR68" i="2" s="1"/>
  <c r="HB63" i="2"/>
  <c r="HC69" i="2" s="1"/>
  <c r="BS67" i="2" s="1"/>
  <c r="BQ69" i="2"/>
  <c r="HA75" i="2"/>
  <c r="HA82" i="2" s="1"/>
  <c r="BQ156" i="2" s="1"/>
  <c r="ID67" i="2"/>
  <c r="ID61" i="2" s="1"/>
  <c r="HA76" i="2"/>
  <c r="HA83" i="2" s="1"/>
  <c r="BQ157" i="2" s="1"/>
  <c r="CS62" i="2"/>
  <c r="BQ71" i="2" l="1"/>
  <c r="BE74" i="4" s="1"/>
  <c r="HA103" i="2"/>
  <c r="HC75" i="2"/>
  <c r="HC82" i="2" s="1"/>
  <c r="BS156" i="2" s="1"/>
  <c r="BQ81" i="2"/>
  <c r="BQ80" i="2"/>
  <c r="HC70" i="2"/>
  <c r="BS68" i="2" s="1"/>
  <c r="HB76" i="2"/>
  <c r="HB83" i="2" s="1"/>
  <c r="BR157" i="2" s="1"/>
  <c r="BR69" i="2"/>
  <c r="HB75" i="2"/>
  <c r="HB82" i="2" s="1"/>
  <c r="BR156" i="2" s="1"/>
  <c r="HD68" i="2"/>
  <c r="HD62" i="2" s="1"/>
  <c r="HC63" i="2"/>
  <c r="IE67" i="2"/>
  <c r="CT62" i="2"/>
  <c r="BR71" i="2" l="1"/>
  <c r="BF74" i="4" s="1"/>
  <c r="HB103" i="2"/>
  <c r="BQ82" i="2"/>
  <c r="BE107" i="4" s="1"/>
  <c r="BR80" i="2"/>
  <c r="HE68" i="2"/>
  <c r="CU62" i="2"/>
  <c r="HC76" i="2"/>
  <c r="HC83" i="2" s="1"/>
  <c r="BS157" i="2" s="1"/>
  <c r="BS80" i="2"/>
  <c r="BT63" i="2"/>
  <c r="BT64" i="2" s="1"/>
  <c r="HD69" i="2"/>
  <c r="BT67" i="2" s="1"/>
  <c r="IE61" i="2"/>
  <c r="BR81" i="2"/>
  <c r="BS69" i="2"/>
  <c r="BR82" i="2" l="1"/>
  <c r="HC103" i="2"/>
  <c r="BS71" i="2"/>
  <c r="BG74" i="4" s="1"/>
  <c r="BF107" i="4"/>
  <c r="HD75" i="2"/>
  <c r="HD82" i="2" s="1"/>
  <c r="BT156" i="2" s="1"/>
  <c r="HD63" i="2"/>
  <c r="HE69" i="2" s="1"/>
  <c r="BU67" i="2" s="1"/>
  <c r="IF67" i="2"/>
  <c r="IF61" i="2" s="1"/>
  <c r="BS81" i="2"/>
  <c r="BS82" i="2" s="1"/>
  <c r="BU63" i="2"/>
  <c r="BU64" i="2" s="1"/>
  <c r="HD70" i="2"/>
  <c r="BT68" i="2" s="1"/>
  <c r="HE62" i="2"/>
  <c r="BG107" i="4" l="1"/>
  <c r="HE75" i="2"/>
  <c r="HE82" i="2" s="1"/>
  <c r="BU156" i="2" s="1"/>
  <c r="HE70" i="2"/>
  <c r="BU68" i="2" s="1"/>
  <c r="HD76" i="2"/>
  <c r="HD83" i="2" s="1"/>
  <c r="BT157" i="2" s="1"/>
  <c r="BT80" i="2"/>
  <c r="BT69" i="2"/>
  <c r="IG67" i="2"/>
  <c r="IG61" i="2" s="1"/>
  <c r="HF68" i="2"/>
  <c r="CV62" i="2"/>
  <c r="HE63" i="2"/>
  <c r="BT71" i="2" l="1"/>
  <c r="BH74" i="4" s="1"/>
  <c r="HD103" i="2"/>
  <c r="BT81" i="2"/>
  <c r="BT82" i="2" s="1"/>
  <c r="BU80" i="2"/>
  <c r="HE76" i="2"/>
  <c r="HE83" i="2" s="1"/>
  <c r="BU157" i="2" s="1"/>
  <c r="IH67" i="2"/>
  <c r="BU69" i="2"/>
  <c r="BV63" i="2"/>
  <c r="BV64" i="2" s="1"/>
  <c r="HF69" i="2"/>
  <c r="BV67" i="2" s="1"/>
  <c r="HF62" i="2"/>
  <c r="CW62" i="2"/>
  <c r="HE103" i="2" l="1"/>
  <c r="BU71" i="2"/>
  <c r="BI74" i="4" s="1"/>
  <c r="BH107" i="4"/>
  <c r="BU81" i="2"/>
  <c r="BU82" i="2" s="1"/>
  <c r="CX62" i="2"/>
  <c r="HG68" i="2"/>
  <c r="IH61" i="2"/>
  <c r="HF75" i="2"/>
  <c r="HF82" i="2" s="1"/>
  <c r="BV156" i="2" s="1"/>
  <c r="HF70" i="2"/>
  <c r="BV68" i="2" s="1"/>
  <c r="HF63" i="2"/>
  <c r="BI107" i="4" l="1"/>
  <c r="HF76" i="2"/>
  <c r="HF83" i="2" s="1"/>
  <c r="BV157" i="2" s="1"/>
  <c r="BV69" i="2"/>
  <c r="BW63" i="2"/>
  <c r="BW64" i="2" s="1"/>
  <c r="HG69" i="2"/>
  <c r="BW67" i="2" s="1"/>
  <c r="BV80" i="2"/>
  <c r="II67" i="2"/>
  <c r="HG62" i="2"/>
  <c r="BV71" i="2" l="1"/>
  <c r="BJ74" i="4" s="1"/>
  <c r="HF103" i="2"/>
  <c r="HG63" i="2"/>
  <c r="HG70" i="2"/>
  <c r="BW68" i="2" s="1"/>
  <c r="BW69" i="2" s="1"/>
  <c r="CY62" i="2"/>
  <c r="BV81" i="2"/>
  <c r="BV82" i="2" s="1"/>
  <c r="HG75" i="2"/>
  <c r="HG82" i="2" s="1"/>
  <c r="BW156" i="2" s="1"/>
  <c r="II61" i="2"/>
  <c r="HH68" i="2"/>
  <c r="HH62" i="2" s="1"/>
  <c r="HG76" i="2" l="1"/>
  <c r="HG83" i="2" s="1"/>
  <c r="BW157" i="2" s="1"/>
  <c r="BW71" i="2"/>
  <c r="BK74" i="4" s="1"/>
  <c r="HI68" i="2"/>
  <c r="BJ107" i="4"/>
  <c r="IJ67" i="2"/>
  <c r="BX63" i="2"/>
  <c r="BX64" i="2" s="1"/>
  <c r="HH69" i="2"/>
  <c r="HH70" i="2" s="1"/>
  <c r="BX68" i="2" s="1"/>
  <c r="BW80" i="2"/>
  <c r="HG103" i="2" l="1"/>
  <c r="BW81" i="2"/>
  <c r="CZ62" i="2"/>
  <c r="HH76" i="2"/>
  <c r="HH83" i="2" s="1"/>
  <c r="BX157" i="2" s="1"/>
  <c r="BX67" i="2"/>
  <c r="HH63" i="2"/>
  <c r="HI69" i="2" s="1"/>
  <c r="BY67" i="2" s="1"/>
  <c r="BY63" i="2"/>
  <c r="BY64" i="2" s="1"/>
  <c r="IJ61" i="2"/>
  <c r="HI62" i="2"/>
  <c r="BW82" i="2" l="1"/>
  <c r="HH103" i="2"/>
  <c r="HJ68" i="2"/>
  <c r="IK67" i="2"/>
  <c r="BX81" i="2"/>
  <c r="HI70" i="2"/>
  <c r="BY68" i="2" s="1"/>
  <c r="HI63" i="2"/>
  <c r="BX69" i="2"/>
  <c r="HH75" i="2"/>
  <c r="HH82" i="2" s="1"/>
  <c r="BX156" i="2" s="1"/>
  <c r="HI75" i="2"/>
  <c r="HI82" i="2" s="1"/>
  <c r="BY156" i="2" s="1"/>
  <c r="BK107" i="4"/>
  <c r="BX71" i="2" l="1"/>
  <c r="BL74" i="4" s="1"/>
  <c r="HI76" i="2"/>
  <c r="HI83" i="2" s="1"/>
  <c r="BY157" i="2" s="1"/>
  <c r="DA62" i="2"/>
  <c r="IK61" i="2"/>
  <c r="BY80" i="2"/>
  <c r="BY69" i="2"/>
  <c r="BZ63" i="2"/>
  <c r="BZ64" i="2" s="1"/>
  <c r="HJ69" i="2"/>
  <c r="BZ67" i="2" s="1"/>
  <c r="BX80" i="2"/>
  <c r="HJ62" i="2"/>
  <c r="BY71" i="2" l="1"/>
  <c r="BM74" i="4" s="1"/>
  <c r="HI103" i="2"/>
  <c r="BX82" i="2"/>
  <c r="BL107" i="4" s="1"/>
  <c r="HJ70" i="2"/>
  <c r="BZ68" i="2" s="1"/>
  <c r="BZ69" i="2" s="1"/>
  <c r="HJ75" i="2"/>
  <c r="HJ82" i="2" s="1"/>
  <c r="BZ156" i="2" s="1"/>
  <c r="HJ63" i="2"/>
  <c r="BY81" i="2"/>
  <c r="BY82" i="2" s="1"/>
  <c r="HK68" i="2"/>
  <c r="HK62" i="2" s="1"/>
  <c r="IL67" i="2"/>
  <c r="IL61" i="2" s="1"/>
  <c r="BZ71" i="2" l="1"/>
  <c r="BN74" i="4" s="1"/>
  <c r="HJ76" i="2"/>
  <c r="HJ83" i="2" s="1"/>
  <c r="BZ157" i="2" s="1"/>
  <c r="IM67" i="2"/>
  <c r="IM61" i="2" s="1"/>
  <c r="HL68" i="2"/>
  <c r="BM107" i="4"/>
  <c r="DB62" i="2"/>
  <c r="BZ80" i="2"/>
  <c r="CA63" i="2"/>
  <c r="CA64" i="2" s="1"/>
  <c r="HK69" i="2"/>
  <c r="CA67" i="2" s="1"/>
  <c r="HJ103" i="2" l="1"/>
  <c r="BZ81" i="2"/>
  <c r="HK63" i="2"/>
  <c r="HL69" i="2" s="1"/>
  <c r="CB67" i="2" s="1"/>
  <c r="CB63" i="2"/>
  <c r="CB64" i="2" s="1"/>
  <c r="HK70" i="2"/>
  <c r="CA68" i="2" s="1"/>
  <c r="HL62" i="2"/>
  <c r="HK75" i="2"/>
  <c r="IN67" i="2"/>
  <c r="IN61" i="2" s="1"/>
  <c r="DC62" i="2"/>
  <c r="BZ82" i="2" l="1"/>
  <c r="BN107" i="4" s="1"/>
  <c r="HK82" i="2"/>
  <c r="CA156" i="2" s="1"/>
  <c r="HL63" i="2"/>
  <c r="HM68" i="2"/>
  <c r="HM62" i="2" s="1"/>
  <c r="HK76" i="2"/>
  <c r="HK103" i="2" s="1"/>
  <c r="IO67" i="2"/>
  <c r="CA69" i="2"/>
  <c r="HL75" i="2"/>
  <c r="HL82" i="2" s="1"/>
  <c r="CB156" i="2" s="1"/>
  <c r="CA80" i="2"/>
  <c r="DD62" i="2"/>
  <c r="HL70" i="2"/>
  <c r="CB68" i="2" s="1"/>
  <c r="CB69" i="2" s="1"/>
  <c r="CB71" i="2" l="1"/>
  <c r="BP74" i="4" s="1"/>
  <c r="CA71" i="2"/>
  <c r="BO74" i="4" s="1"/>
  <c r="HK83" i="2"/>
  <c r="CA157" i="2" s="1"/>
  <c r="HN68" i="2"/>
  <c r="DE62" i="2"/>
  <c r="HL76" i="2"/>
  <c r="HL83" i="2" s="1"/>
  <c r="CB157" i="2" s="1"/>
  <c r="CB80" i="2"/>
  <c r="CA81" i="2"/>
  <c r="CA82" i="2" s="1"/>
  <c r="CC63" i="2"/>
  <c r="CC64" i="2" s="1"/>
  <c r="HM69" i="2"/>
  <c r="IO61" i="2"/>
  <c r="HL103" i="2" l="1"/>
  <c r="CC67" i="2"/>
  <c r="HM63" i="2"/>
  <c r="HN69" i="2" s="1"/>
  <c r="CD67" i="2" s="1"/>
  <c r="HM70" i="2"/>
  <c r="CC68" i="2" s="1"/>
  <c r="BO107" i="4"/>
  <c r="CD63" i="2"/>
  <c r="CD64" i="2" s="1"/>
  <c r="IP67" i="2"/>
  <c r="IP61" i="2" s="1"/>
  <c r="CB81" i="2"/>
  <c r="CB82" i="2" s="1"/>
  <c r="HN62" i="2"/>
  <c r="HN70" i="2" l="1"/>
  <c r="CD68" i="2" s="1"/>
  <c r="CD69" i="2" s="1"/>
  <c r="BP107" i="4"/>
  <c r="IQ67" i="2"/>
  <c r="IQ61" i="2" s="1"/>
  <c r="HO68" i="2"/>
  <c r="HO62" i="2" s="1"/>
  <c r="DF62" i="2"/>
  <c r="HM76" i="2"/>
  <c r="HM83" i="2" s="1"/>
  <c r="CC157" i="2" s="1"/>
  <c r="HN75" i="2"/>
  <c r="HN82" i="2" s="1"/>
  <c r="CD156" i="2" s="1"/>
  <c r="HN63" i="2"/>
  <c r="CC69" i="2"/>
  <c r="HM75" i="2"/>
  <c r="HM82" i="2" s="1"/>
  <c r="CC156" i="2" s="1"/>
  <c r="CC71" i="2" l="1"/>
  <c r="BQ74" i="4" s="1"/>
  <c r="CD71" i="2"/>
  <c r="BR74" i="4" s="1"/>
  <c r="HN76" i="2"/>
  <c r="HN83" i="2" s="1"/>
  <c r="CD157" i="2" s="1"/>
  <c r="HM103" i="2"/>
  <c r="HP68" i="2"/>
  <c r="CD80" i="2"/>
  <c r="CC81" i="2"/>
  <c r="IR67" i="2"/>
  <c r="IR61" i="2" s="1"/>
  <c r="DG62" i="2"/>
  <c r="CE63" i="2"/>
  <c r="CE64" i="2" s="1"/>
  <c r="HO69" i="2"/>
  <c r="CE67" i="2" s="1"/>
  <c r="CC80" i="2"/>
  <c r="CD81" i="2" l="1"/>
  <c r="HN103" i="2"/>
  <c r="HO63" i="2"/>
  <c r="HP69" i="2" s="1"/>
  <c r="CF67" i="2" s="1"/>
  <c r="CC82" i="2"/>
  <c r="BQ107" i="4" s="1"/>
  <c r="HO70" i="2"/>
  <c r="CE68" i="2" s="1"/>
  <c r="DH62" i="2"/>
  <c r="HO75" i="2"/>
  <c r="HO82" i="2" s="1"/>
  <c r="CE156" i="2" s="1"/>
  <c r="CF63" i="2"/>
  <c r="CF64" i="2" s="1"/>
  <c r="IS67" i="2"/>
  <c r="HP62" i="2"/>
  <c r="CD82" i="2" l="1"/>
  <c r="HP75" i="2"/>
  <c r="HP82" i="2" s="1"/>
  <c r="CF156" i="2" s="1"/>
  <c r="HP70" i="2"/>
  <c r="CF68" i="2" s="1"/>
  <c r="HQ68" i="2"/>
  <c r="HO76" i="2"/>
  <c r="HO83" i="2" s="1"/>
  <c r="CE157" i="2" s="1"/>
  <c r="DI62" i="2"/>
  <c r="CE69" i="2"/>
  <c r="IS61" i="2"/>
  <c r="CE80" i="2"/>
  <c r="HP63" i="2"/>
  <c r="CE71" i="2" l="1"/>
  <c r="BS74" i="4" s="1"/>
  <c r="BR107" i="4"/>
  <c r="HO103" i="2"/>
  <c r="HP76" i="2"/>
  <c r="HP83" i="2" s="1"/>
  <c r="CF157" i="2" s="1"/>
  <c r="CE81" i="2"/>
  <c r="CE82" i="2" s="1"/>
  <c r="IT67" i="2"/>
  <c r="IT61" i="2" s="1"/>
  <c r="CF69" i="2"/>
  <c r="CG63" i="2"/>
  <c r="CG64" i="2" s="1"/>
  <c r="HQ69" i="2"/>
  <c r="CG67" i="2" s="1"/>
  <c r="HQ62" i="2"/>
  <c r="CF80" i="2"/>
  <c r="CF71" i="2" l="1"/>
  <c r="BT74" i="4" s="1"/>
  <c r="HP103" i="2"/>
  <c r="BS107" i="4"/>
  <c r="HR68" i="2"/>
  <c r="HR62" i="2" s="1"/>
  <c r="IU67" i="2"/>
  <c r="IU61" i="2" s="1"/>
  <c r="DJ62" i="2"/>
  <c r="HQ63" i="2"/>
  <c r="HQ70" i="2"/>
  <c r="CG68" i="2" s="1"/>
  <c r="CG69" i="2" s="1"/>
  <c r="HQ75" i="2"/>
  <c r="HQ82" i="2" s="1"/>
  <c r="CG156" i="2" s="1"/>
  <c r="CF81" i="2"/>
  <c r="CF82" i="2" s="1"/>
  <c r="CG71" i="2" l="1"/>
  <c r="BU74" i="4" s="1"/>
  <c r="HS68" i="2"/>
  <c r="BT107" i="4"/>
  <c r="IV67" i="2"/>
  <c r="IV61" i="2" s="1"/>
  <c r="HQ76" i="2"/>
  <c r="HQ83" i="2" s="1"/>
  <c r="CG157" i="2" s="1"/>
  <c r="CG80" i="2"/>
  <c r="CH63" i="2"/>
  <c r="CH64" i="2" s="1"/>
  <c r="HR69" i="2"/>
  <c r="CH67" i="2" s="1"/>
  <c r="DK62" i="2"/>
  <c r="HQ103" i="2" l="1"/>
  <c r="HR70" i="2"/>
  <c r="CH68" i="2" s="1"/>
  <c r="HR76" i="2" s="1"/>
  <c r="HR83" i="2" s="1"/>
  <c r="CH157" i="2" s="1"/>
  <c r="CG81" i="2"/>
  <c r="CG82" i="2" s="1"/>
  <c r="IW67" i="2"/>
  <c r="IW61" i="2" s="1"/>
  <c r="HR75" i="2"/>
  <c r="HR82" i="2" s="1"/>
  <c r="CH156" i="2" s="1"/>
  <c r="DL62" i="2"/>
  <c r="HR63" i="2"/>
  <c r="CI63" i="2"/>
  <c r="CI64" i="2" s="1"/>
  <c r="HS62" i="2"/>
  <c r="HR103" i="2" l="1"/>
  <c r="CH69" i="2"/>
  <c r="IX67" i="2"/>
  <c r="IX61" i="2" s="1"/>
  <c r="CH80" i="2"/>
  <c r="BU107" i="4"/>
  <c r="DM62" i="2"/>
  <c r="HT68" i="2"/>
  <c r="HS69" i="2"/>
  <c r="HS63" i="2" s="1"/>
  <c r="CH81" i="2"/>
  <c r="CH71" i="2" l="1"/>
  <c r="BV74" i="4" s="1"/>
  <c r="CI67" i="2"/>
  <c r="HS70" i="2"/>
  <c r="CI68" i="2" s="1"/>
  <c r="CJ63" i="2"/>
  <c r="CJ64" i="2" s="1"/>
  <c r="HT69" i="2"/>
  <c r="CJ67" i="2" s="1"/>
  <c r="IY67" i="2"/>
  <c r="IY61" i="2" s="1"/>
  <c r="CH82" i="2"/>
  <c r="HT62" i="2"/>
  <c r="DN62" i="2"/>
  <c r="HT70" i="2" l="1"/>
  <c r="CJ68" i="2" s="1"/>
  <c r="CJ69" i="2" s="1"/>
  <c r="HS76" i="2"/>
  <c r="HU68" i="2"/>
  <c r="CI69" i="2"/>
  <c r="HS75" i="2"/>
  <c r="HS82" i="2" s="1"/>
  <c r="CI156" i="2" s="1"/>
  <c r="BV107" i="4"/>
  <c r="IZ67" i="2"/>
  <c r="IZ61" i="2" s="1"/>
  <c r="DO62" i="2"/>
  <c r="HT75" i="2"/>
  <c r="HT82" i="2" s="1"/>
  <c r="CJ156" i="2" s="1"/>
  <c r="HT63" i="2"/>
  <c r="CI71" i="2" l="1"/>
  <c r="BW74" i="4" s="1"/>
  <c r="CJ71" i="2"/>
  <c r="BX74" i="4" s="1"/>
  <c r="HS83" i="2"/>
  <c r="CI157" i="2" s="1"/>
  <c r="HS103" i="2"/>
  <c r="HT76" i="2"/>
  <c r="HT83" i="2" s="1"/>
  <c r="CJ157" i="2" s="1"/>
  <c r="CI80" i="2"/>
  <c r="CK63" i="2"/>
  <c r="CK64" i="2" s="1"/>
  <c r="HU69" i="2"/>
  <c r="CK67" i="2" s="1"/>
  <c r="HU62" i="2"/>
  <c r="JA67" i="2"/>
  <c r="JA61" i="2" s="1"/>
  <c r="DP62" i="2"/>
  <c r="CJ80" i="2"/>
  <c r="CI81" i="2"/>
  <c r="HT103" i="2" l="1"/>
  <c r="CJ81" i="2"/>
  <c r="CJ82" i="2" s="1"/>
  <c r="HU70" i="2"/>
  <c r="CK68" i="2" s="1"/>
  <c r="CK69" i="2" s="1"/>
  <c r="HU75" i="2"/>
  <c r="HU82" i="2" s="1"/>
  <c r="CK156" i="2" s="1"/>
  <c r="JB67" i="2"/>
  <c r="HU63" i="2"/>
  <c r="DQ62" i="2"/>
  <c r="HV68" i="2"/>
  <c r="HV62" i="2" s="1"/>
  <c r="CI82" i="2"/>
  <c r="CK71" i="2" l="1"/>
  <c r="BY74" i="4" s="1"/>
  <c r="HU76" i="2"/>
  <c r="HU83" i="2" s="1"/>
  <c r="CK157" i="2" s="1"/>
  <c r="BX107" i="4"/>
  <c r="DR62" i="2"/>
  <c r="HW68" i="2"/>
  <c r="BW107" i="4"/>
  <c r="CL63" i="2"/>
  <c r="CL64" i="2" s="1"/>
  <c r="HV69" i="2"/>
  <c r="CL67" i="2" s="1"/>
  <c r="JB61" i="2"/>
  <c r="CK80" i="2"/>
  <c r="CK81" i="2" l="1"/>
  <c r="CK82" i="2" s="1"/>
  <c r="HU103" i="2"/>
  <c r="HV75" i="2"/>
  <c r="HV82" i="2" s="1"/>
  <c r="CL156" i="2" s="1"/>
  <c r="CM63" i="2"/>
  <c r="CM64" i="2" s="1"/>
  <c r="HV63" i="2"/>
  <c r="HW62" i="2"/>
  <c r="JC67" i="2"/>
  <c r="JC61" i="2" s="1"/>
  <c r="HV70" i="2"/>
  <c r="CL68" i="2" s="1"/>
  <c r="BY107" i="4" l="1"/>
  <c r="HV76" i="2"/>
  <c r="HV83" i="2" s="1"/>
  <c r="CL157" i="2" s="1"/>
  <c r="HX68" i="2"/>
  <c r="HW69" i="2"/>
  <c r="HW63" i="2" s="1"/>
  <c r="JD67" i="2"/>
  <c r="DS62" i="2"/>
  <c r="CL69" i="2"/>
  <c r="CL80" i="2"/>
  <c r="CL71" i="2" l="1"/>
  <c r="BZ74" i="4" s="1"/>
  <c r="HV103" i="2"/>
  <c r="CM67" i="2"/>
  <c r="HW70" i="2"/>
  <c r="CM68" i="2" s="1"/>
  <c r="CN63" i="2"/>
  <c r="CN64" i="2" s="1"/>
  <c r="HX69" i="2"/>
  <c r="CN67" i="2" s="1"/>
  <c r="DT62" i="2"/>
  <c r="HX62" i="2"/>
  <c r="JD61" i="2"/>
  <c r="CL81" i="2"/>
  <c r="CL82" i="2" s="1"/>
  <c r="BZ107" i="4" l="1"/>
  <c r="HX75" i="2"/>
  <c r="HX82" i="2" s="1"/>
  <c r="CN156" i="2" s="1"/>
  <c r="JE67" i="2"/>
  <c r="JE61" i="2" s="1"/>
  <c r="HY68" i="2"/>
  <c r="HY62" i="2" s="1"/>
  <c r="HX70" i="2"/>
  <c r="CN68" i="2" s="1"/>
  <c r="CM69" i="2"/>
  <c r="HW75" i="2"/>
  <c r="HW82" i="2" s="1"/>
  <c r="CM156" i="2" s="1"/>
  <c r="HW76" i="2"/>
  <c r="HW83" i="2" s="1"/>
  <c r="CM157" i="2" s="1"/>
  <c r="HX63" i="2"/>
  <c r="CM71" i="2" l="1"/>
  <c r="CA74" i="4" s="1"/>
  <c r="HW103" i="2"/>
  <c r="CM81" i="2"/>
  <c r="DU62" i="2"/>
  <c r="CM80" i="2"/>
  <c r="CN80" i="2"/>
  <c r="HX76" i="2"/>
  <c r="HX83" i="2" s="1"/>
  <c r="CN157" i="2" s="1"/>
  <c r="CN69" i="2"/>
  <c r="HZ68" i="2"/>
  <c r="HZ62" i="2" s="1"/>
  <c r="JF67" i="2"/>
  <c r="JF61" i="2" s="1"/>
  <c r="CO63" i="2"/>
  <c r="CO64" i="2" s="1"/>
  <c r="HY69" i="2"/>
  <c r="CO67" i="2" s="1"/>
  <c r="CN71" i="2" l="1"/>
  <c r="CB74" i="4" s="1"/>
  <c r="HX103" i="2"/>
  <c r="CM82" i="2"/>
  <c r="CA107" i="4" s="1"/>
  <c r="HY70" i="2"/>
  <c r="CO68" i="2" s="1"/>
  <c r="CO69" i="2" s="1"/>
  <c r="HY63" i="2"/>
  <c r="HZ69" i="2" s="1"/>
  <c r="CN81" i="2"/>
  <c r="CN82" i="2" s="1"/>
  <c r="JG67" i="2"/>
  <c r="JG61" i="2" s="1"/>
  <c r="DV62" i="2"/>
  <c r="CP63" i="2"/>
  <c r="CP64" i="2" s="1"/>
  <c r="IA68" i="2"/>
  <c r="HY75" i="2"/>
  <c r="HY82" i="2" s="1"/>
  <c r="CO156" i="2" s="1"/>
  <c r="HY76" i="2" l="1"/>
  <c r="HY83" i="2" s="1"/>
  <c r="CO157" i="2" s="1"/>
  <c r="CO71" i="2"/>
  <c r="CC74" i="4" s="1"/>
  <c r="CP67" i="2"/>
  <c r="HZ75" i="2" s="1"/>
  <c r="HZ82" i="2" s="1"/>
  <c r="CP156" i="2" s="1"/>
  <c r="HZ70" i="2"/>
  <c r="CP68" i="2" s="1"/>
  <c r="CQ63" i="2"/>
  <c r="CQ64" i="2" s="1"/>
  <c r="IA62" i="2"/>
  <c r="HZ63" i="2"/>
  <c r="HZ76" i="2"/>
  <c r="HZ83" i="2" s="1"/>
  <c r="CP157" i="2" s="1"/>
  <c r="JH67" i="2"/>
  <c r="JH61" i="2" s="1"/>
  <c r="CO80" i="2"/>
  <c r="CB107" i="4"/>
  <c r="DW62" i="2"/>
  <c r="CO81" i="2" l="1"/>
  <c r="CO82" i="2" s="1"/>
  <c r="HY103" i="2"/>
  <c r="HZ103" i="2" s="1"/>
  <c r="CP69" i="2"/>
  <c r="CP81" i="2"/>
  <c r="IB68" i="2"/>
  <c r="IA69" i="2"/>
  <c r="CP80" i="2"/>
  <c r="JI67" i="2"/>
  <c r="JI61" i="2" s="1"/>
  <c r="DX62" i="2"/>
  <c r="CP71" i="2" l="1"/>
  <c r="CD74" i="4" s="1"/>
  <c r="CP82" i="2"/>
  <c r="CD107" i="4" s="1"/>
  <c r="CC107" i="4"/>
  <c r="CR63" i="2"/>
  <c r="CR64" i="2" s="1"/>
  <c r="CQ67" i="2"/>
  <c r="IA70" i="2"/>
  <c r="CQ68" i="2" s="1"/>
  <c r="JJ67" i="2"/>
  <c r="JJ61" i="2" s="1"/>
  <c r="IB62" i="2"/>
  <c r="DY62" i="2"/>
  <c r="IA63" i="2"/>
  <c r="IB69" i="2" s="1"/>
  <c r="CR67" i="2" s="1"/>
  <c r="CQ69" i="2" l="1"/>
  <c r="IA75" i="2"/>
  <c r="IA82" i="2" s="1"/>
  <c r="CQ156" i="2" s="1"/>
  <c r="IB70" i="2"/>
  <c r="CR68" i="2" s="1"/>
  <c r="CR69" i="2" s="1"/>
  <c r="IB75" i="2"/>
  <c r="IB82" i="2" s="1"/>
  <c r="CR156" i="2" s="1"/>
  <c r="JK67" i="2"/>
  <c r="IC68" i="2"/>
  <c r="IC62" i="2" s="1"/>
  <c r="IB63" i="2"/>
  <c r="DZ62" i="2"/>
  <c r="IA76" i="2"/>
  <c r="CR71" i="2" l="1"/>
  <c r="CF74" i="4" s="1"/>
  <c r="CQ71" i="2"/>
  <c r="CE74" i="4" s="1"/>
  <c r="IA83" i="2"/>
  <c r="CQ157" i="2" s="1"/>
  <c r="IA103" i="2"/>
  <c r="ID68" i="2"/>
  <c r="EA62" i="2"/>
  <c r="CQ81" i="2"/>
  <c r="CR80" i="2"/>
  <c r="IB76" i="2"/>
  <c r="IB83" i="2" s="1"/>
  <c r="CR157" i="2" s="1"/>
  <c r="CQ80" i="2"/>
  <c r="CS63" i="2"/>
  <c r="CS64" i="2" s="1"/>
  <c r="IC69" i="2"/>
  <c r="CS67" i="2" s="1"/>
  <c r="JK61" i="2"/>
  <c r="IB103" i="2" l="1"/>
  <c r="IC63" i="2"/>
  <c r="ID69" i="2" s="1"/>
  <c r="CT67" i="2" s="1"/>
  <c r="CQ82" i="2"/>
  <c r="JL67" i="2"/>
  <c r="JL61" i="2" s="1"/>
  <c r="IC70" i="2"/>
  <c r="CS68" i="2" s="1"/>
  <c r="CR81" i="2"/>
  <c r="CR82" i="2" s="1"/>
  <c r="CT63" i="2"/>
  <c r="CT64" i="2" s="1"/>
  <c r="IC75" i="2"/>
  <c r="IC82" i="2" s="1"/>
  <c r="CS156" i="2" s="1"/>
  <c r="ID62" i="2"/>
  <c r="ID70" i="2" l="1"/>
  <c r="CT68" i="2" s="1"/>
  <c r="CT69" i="2" s="1"/>
  <c r="CF107" i="4"/>
  <c r="IE68" i="2"/>
  <c r="JM67" i="2"/>
  <c r="JM61" i="2" s="1"/>
  <c r="IC76" i="2"/>
  <c r="IC83" i="2" s="1"/>
  <c r="CS157" i="2" s="1"/>
  <c r="CS69" i="2"/>
  <c r="CS80" i="2"/>
  <c r="EB62" i="2"/>
  <c r="ID63" i="2"/>
  <c r="ID75" i="2"/>
  <c r="ID82" i="2" s="1"/>
  <c r="CT156" i="2" s="1"/>
  <c r="CE107" i="4"/>
  <c r="CS71" i="2" l="1"/>
  <c r="CG74" i="4" s="1"/>
  <c r="CT71" i="2"/>
  <c r="CH74" i="4" s="1"/>
  <c r="IC103" i="2"/>
  <c r="ID76" i="2"/>
  <c r="ID83" i="2" s="1"/>
  <c r="CT157" i="2" s="1"/>
  <c r="CS81" i="2"/>
  <c r="CS82" i="2" s="1"/>
  <c r="EC62" i="2"/>
  <c r="CU63" i="2"/>
  <c r="CU64" i="2" s="1"/>
  <c r="IE69" i="2"/>
  <c r="CU67" i="2" s="1"/>
  <c r="CT80" i="2"/>
  <c r="IE62" i="2"/>
  <c r="JN67" i="2"/>
  <c r="ID103" i="2" l="1"/>
  <c r="CT81" i="2"/>
  <c r="IF68" i="2"/>
  <c r="CG107" i="4"/>
  <c r="IE63" i="2"/>
  <c r="IE70" i="2"/>
  <c r="CU68" i="2" s="1"/>
  <c r="ED62" i="2"/>
  <c r="JN61" i="2"/>
  <c r="IE75" i="2"/>
  <c r="IE82" i="2" s="1"/>
  <c r="CU156" i="2" s="1"/>
  <c r="CT82" i="2" l="1"/>
  <c r="CH107" i="4" s="1"/>
  <c r="IE76" i="2"/>
  <c r="IE83" i="2" s="1"/>
  <c r="CU157" i="2" s="1"/>
  <c r="CU69" i="2"/>
  <c r="JO67" i="2"/>
  <c r="JO61" i="2" s="1"/>
  <c r="CU80" i="2"/>
  <c r="CV63" i="2"/>
  <c r="CV64" i="2" s="1"/>
  <c r="IF69" i="2"/>
  <c r="CV67" i="2" s="1"/>
  <c r="IF62" i="2"/>
  <c r="CU71" i="2" l="1"/>
  <c r="CI74" i="4" s="1"/>
  <c r="IE103" i="2"/>
  <c r="JP67" i="2"/>
  <c r="JP61" i="2" s="1"/>
  <c r="IF70" i="2"/>
  <c r="CV68" i="2" s="1"/>
  <c r="CV69" i="2" s="1"/>
  <c r="IF63" i="2"/>
  <c r="IF75" i="2"/>
  <c r="IF82" i="2" s="1"/>
  <c r="CV156" i="2" s="1"/>
  <c r="EE62" i="2"/>
  <c r="IG68" i="2"/>
  <c r="IG62" i="2" s="1"/>
  <c r="CU81" i="2"/>
  <c r="CU82" i="2" s="1"/>
  <c r="CV71" i="2" l="1"/>
  <c r="CJ74" i="4" s="1"/>
  <c r="IH68" i="2"/>
  <c r="CI107" i="4"/>
  <c r="CV80" i="2"/>
  <c r="IF76" i="2"/>
  <c r="IF83" i="2" s="1"/>
  <c r="CV157" i="2" s="1"/>
  <c r="CW63" i="2"/>
  <c r="CW64" i="2" s="1"/>
  <c r="IG69" i="2"/>
  <c r="CW67" i="2" s="1"/>
  <c r="JQ67" i="2"/>
  <c r="EF62" i="2"/>
  <c r="IF103" i="2" l="1"/>
  <c r="IG70" i="2"/>
  <c r="CW68" i="2" s="1"/>
  <c r="CW69" i="2" s="1"/>
  <c r="IG63" i="2"/>
  <c r="IH69" i="2" s="1"/>
  <c r="CX67" i="2" s="1"/>
  <c r="EG62" i="2"/>
  <c r="JQ61" i="2"/>
  <c r="CV81" i="2"/>
  <c r="CV82" i="2" s="1"/>
  <c r="IG76" i="2"/>
  <c r="IG83" i="2" s="1"/>
  <c r="CW157" i="2" s="1"/>
  <c r="IG75" i="2"/>
  <c r="IG82" i="2" s="1"/>
  <c r="CW156" i="2" s="1"/>
  <c r="CX63" i="2"/>
  <c r="CX64" i="2" s="1"/>
  <c r="IH62" i="2"/>
  <c r="CW71" i="2" l="1"/>
  <c r="CK74" i="4" s="1"/>
  <c r="IG103" i="2"/>
  <c r="IH63" i="2"/>
  <c r="IH70" i="2"/>
  <c r="CX68" i="2" s="1"/>
  <c r="CX69" i="2" s="1"/>
  <c r="CJ107" i="4"/>
  <c r="CW80" i="2"/>
  <c r="JR67" i="2"/>
  <c r="JR61" i="2" s="1"/>
  <c r="II68" i="2"/>
  <c r="IH75" i="2"/>
  <c r="IH82" i="2" s="1"/>
  <c r="CX156" i="2" s="1"/>
  <c r="CW81" i="2"/>
  <c r="CX71" i="2" l="1"/>
  <c r="CL74" i="4" s="1"/>
  <c r="IH76" i="2"/>
  <c r="IH83" i="2" s="1"/>
  <c r="CX157" i="2" s="1"/>
  <c r="CY63" i="2"/>
  <c r="CY64" i="2" s="1"/>
  <c r="II69" i="2"/>
  <c r="II70" i="2" s="1"/>
  <c r="CY68" i="2" s="1"/>
  <c r="JS67" i="2"/>
  <c r="JS61" i="2" s="1"/>
  <c r="EH62" i="2"/>
  <c r="II62" i="2"/>
  <c r="CW82" i="2"/>
  <c r="CX80" i="2"/>
  <c r="CX81" i="2" l="1"/>
  <c r="IH103" i="2"/>
  <c r="JT67" i="2"/>
  <c r="JT61" i="2" s="1"/>
  <c r="EI62" i="2"/>
  <c r="II76" i="2"/>
  <c r="II83" i="2" s="1"/>
  <c r="CY157" i="2" s="1"/>
  <c r="CK107" i="4"/>
  <c r="IJ68" i="2"/>
  <c r="IJ62" i="2" s="1"/>
  <c r="CY67" i="2"/>
  <c r="II63" i="2"/>
  <c r="CX82" i="2" l="1"/>
  <c r="II103" i="2"/>
  <c r="IK68" i="2"/>
  <c r="CY69" i="2"/>
  <c r="II75" i="2"/>
  <c r="II82" i="2" s="1"/>
  <c r="CY156" i="2" s="1"/>
  <c r="JU67" i="2"/>
  <c r="JU61" i="2" s="1"/>
  <c r="CZ63" i="2"/>
  <c r="CZ64" i="2" s="1"/>
  <c r="IJ69" i="2"/>
  <c r="CZ67" i="2" s="1"/>
  <c r="CY81" i="2"/>
  <c r="EJ62" i="2"/>
  <c r="CL107" i="4" l="1"/>
  <c r="CY71" i="2"/>
  <c r="CM74" i="4" s="1"/>
  <c r="IJ70" i="2"/>
  <c r="CZ68" i="2" s="1"/>
  <c r="CZ69" i="2" s="1"/>
  <c r="JV67" i="2"/>
  <c r="JV61" i="2" s="1"/>
  <c r="CY80" i="2"/>
  <c r="EK62" i="2"/>
  <c r="IJ63" i="2"/>
  <c r="IK69" i="2" s="1"/>
  <c r="DA67" i="2" s="1"/>
  <c r="IJ75" i="2"/>
  <c r="IJ82" i="2" s="1"/>
  <c r="CZ156" i="2" s="1"/>
  <c r="DA63" i="2"/>
  <c r="DA64" i="2" s="1"/>
  <c r="IK62" i="2"/>
  <c r="CZ71" i="2" l="1"/>
  <c r="CN74" i="4" s="1"/>
  <c r="CY82" i="2"/>
  <c r="CM107" i="4" s="1"/>
  <c r="IK70" i="2"/>
  <c r="DA68" i="2" s="1"/>
  <c r="DA69" i="2" s="1"/>
  <c r="JW67" i="2"/>
  <c r="JW61" i="2" s="1"/>
  <c r="IK75" i="2"/>
  <c r="IK82" i="2" s="1"/>
  <c r="DA156" i="2" s="1"/>
  <c r="CZ80" i="2"/>
  <c r="EL62" i="2"/>
  <c r="IL68" i="2"/>
  <c r="IL62" i="2" s="1"/>
  <c r="IK63" i="2"/>
  <c r="IJ76" i="2"/>
  <c r="DA71" i="2" l="1"/>
  <c r="CO74" i="4" s="1"/>
  <c r="IJ83" i="2"/>
  <c r="CZ157" i="2" s="1"/>
  <c r="IJ103" i="2"/>
  <c r="JX67" i="2"/>
  <c r="JX61" i="2" s="1"/>
  <c r="DA80" i="2"/>
  <c r="EM62" i="2"/>
  <c r="CZ81" i="2"/>
  <c r="CZ82" i="2" s="1"/>
  <c r="IM68" i="2"/>
  <c r="IM62" i="2" s="1"/>
  <c r="DB63" i="2"/>
  <c r="DB64" i="2" s="1"/>
  <c r="IL69" i="2"/>
  <c r="DB67" i="2" s="1"/>
  <c r="IK76" i="2"/>
  <c r="IK83" i="2" s="1"/>
  <c r="DA157" i="2" s="1"/>
  <c r="IK103" i="2" l="1"/>
  <c r="IL63" i="2"/>
  <c r="IL70" i="2"/>
  <c r="DB68" i="2" s="1"/>
  <c r="DB69" i="2" s="1"/>
  <c r="IN68" i="2"/>
  <c r="CN107" i="4"/>
  <c r="DA81" i="2"/>
  <c r="DA82" i="2" s="1"/>
  <c r="DC63" i="2"/>
  <c r="DC64" i="2" s="1"/>
  <c r="IM69" i="2"/>
  <c r="DC67" i="2" s="1"/>
  <c r="JY67" i="2"/>
  <c r="JY61" i="2" s="1"/>
  <c r="IL75" i="2"/>
  <c r="IL82" i="2" s="1"/>
  <c r="DB156" i="2" s="1"/>
  <c r="EN62" i="2"/>
  <c r="DB71" i="2" l="1"/>
  <c r="CP74" i="4" s="1"/>
  <c r="IL76" i="2"/>
  <c r="IL83" i="2" s="1"/>
  <c r="DB157" i="2" s="1"/>
  <c r="IM70" i="2"/>
  <c r="DC68" i="2" s="1"/>
  <c r="IM76" i="2" s="1"/>
  <c r="IM83" i="2" s="1"/>
  <c r="DC157" i="2" s="1"/>
  <c r="DB80" i="2"/>
  <c r="CO107" i="4"/>
  <c r="EO62" i="2"/>
  <c r="JZ67" i="2"/>
  <c r="JZ61" i="2" s="1"/>
  <c r="IM75" i="2"/>
  <c r="IM82" i="2" s="1"/>
  <c r="DC156" i="2" s="1"/>
  <c r="IM63" i="2"/>
  <c r="IN69" i="2" s="1"/>
  <c r="DD67" i="2" s="1"/>
  <c r="DD63" i="2"/>
  <c r="DD64" i="2" s="1"/>
  <c r="IN62" i="2"/>
  <c r="DB81" i="2" l="1"/>
  <c r="DB82" i="2" s="1"/>
  <c r="CP107" i="4" s="1"/>
  <c r="IL103" i="2"/>
  <c r="IM103" i="2" s="1"/>
  <c r="DC69" i="2"/>
  <c r="IN70" i="2"/>
  <c r="DD68" i="2" s="1"/>
  <c r="DD69" i="2" s="1"/>
  <c r="IO68" i="2"/>
  <c r="IO62" i="2" s="1"/>
  <c r="IN75" i="2"/>
  <c r="IN82" i="2" s="1"/>
  <c r="DD156" i="2" s="1"/>
  <c r="DC80" i="2"/>
  <c r="DC81" i="2"/>
  <c r="IN63" i="2"/>
  <c r="KA67" i="2"/>
  <c r="KA61" i="2" s="1"/>
  <c r="EP62" i="2"/>
  <c r="DC71" i="2" l="1"/>
  <c r="CQ74" i="4" s="1"/>
  <c r="DD71" i="2"/>
  <c r="CR74" i="4" s="1"/>
  <c r="IN76" i="2"/>
  <c r="IN83" i="2" s="1"/>
  <c r="DD157" i="2" s="1"/>
  <c r="KB67" i="2"/>
  <c r="KB61" i="2" s="1"/>
  <c r="IP68" i="2"/>
  <c r="DD80" i="2"/>
  <c r="EQ62" i="2"/>
  <c r="DE63" i="2"/>
  <c r="DE64" i="2" s="1"/>
  <c r="IO69" i="2"/>
  <c r="DE67" i="2" s="1"/>
  <c r="DC82" i="2"/>
  <c r="DD81" i="2" l="1"/>
  <c r="DD82" i="2" s="1"/>
  <c r="IN103" i="2"/>
  <c r="CQ107" i="4"/>
  <c r="IO75" i="2"/>
  <c r="IO82" i="2" s="1"/>
  <c r="DE156" i="2" s="1"/>
  <c r="IO70" i="2"/>
  <c r="DE68" i="2" s="1"/>
  <c r="DF63" i="2"/>
  <c r="DF64" i="2" s="1"/>
  <c r="IP62" i="2"/>
  <c r="IO63" i="2"/>
  <c r="KC67" i="2"/>
  <c r="ER62" i="2"/>
  <c r="CR107" i="4" l="1"/>
  <c r="IO76" i="2"/>
  <c r="DE80" i="2"/>
  <c r="DE69" i="2"/>
  <c r="ES62" i="2"/>
  <c r="IQ68" i="2"/>
  <c r="IP69" i="2"/>
  <c r="KC61" i="2"/>
  <c r="DE71" i="2" l="1"/>
  <c r="CS74" i="4" s="1"/>
  <c r="IO83" i="2"/>
  <c r="DE157" i="2" s="1"/>
  <c r="IO103" i="2"/>
  <c r="DG63" i="2"/>
  <c r="DG64" i="2" s="1"/>
  <c r="DF67" i="2"/>
  <c r="IP70" i="2"/>
  <c r="DF68" i="2" s="1"/>
  <c r="IQ62" i="2"/>
  <c r="KD67" i="2"/>
  <c r="KD61" i="2" s="1"/>
  <c r="IP63" i="2"/>
  <c r="IQ69" i="2" s="1"/>
  <c r="DE81" i="2"/>
  <c r="DE82" i="2" s="1"/>
  <c r="CS107" i="4" l="1"/>
  <c r="DG67" i="2"/>
  <c r="IQ70" i="2"/>
  <c r="DG68" i="2" s="1"/>
  <c r="IR68" i="2"/>
  <c r="IR62" i="2" s="1"/>
  <c r="DF69" i="2"/>
  <c r="IP75" i="2"/>
  <c r="IP82" i="2" s="1"/>
  <c r="DF156" i="2" s="1"/>
  <c r="IP76" i="2"/>
  <c r="IP83" i="2" s="1"/>
  <c r="DF157" i="2" s="1"/>
  <c r="IQ63" i="2"/>
  <c r="KE67" i="2"/>
  <c r="ET62" i="2"/>
  <c r="DF71" i="2" l="1"/>
  <c r="CT74" i="4" s="1"/>
  <c r="IP103" i="2"/>
  <c r="DF80" i="2"/>
  <c r="IS68" i="2"/>
  <c r="EU62" i="2"/>
  <c r="KE61" i="2"/>
  <c r="IQ76" i="2"/>
  <c r="IQ83" i="2" s="1"/>
  <c r="DG157" i="2" s="1"/>
  <c r="DH63" i="2"/>
  <c r="DH64" i="2" s="1"/>
  <c r="IR69" i="2"/>
  <c r="DH67" i="2" s="1"/>
  <c r="DG69" i="2"/>
  <c r="IQ75" i="2"/>
  <c r="IQ82" i="2" s="1"/>
  <c r="DG156" i="2" s="1"/>
  <c r="DF81" i="2"/>
  <c r="DG71" i="2" l="1"/>
  <c r="CU74" i="4" s="1"/>
  <c r="DF82" i="2"/>
  <c r="IQ103" i="2"/>
  <c r="IR63" i="2"/>
  <c r="IS69" i="2" s="1"/>
  <c r="DI67" i="2" s="1"/>
  <c r="CT107" i="4"/>
  <c r="IR70" i="2"/>
  <c r="DH68" i="2" s="1"/>
  <c r="DH69" i="2" s="1"/>
  <c r="IR75" i="2"/>
  <c r="IR82" i="2" s="1"/>
  <c r="DH156" i="2" s="1"/>
  <c r="R62" i="2"/>
  <c r="DI63" i="2"/>
  <c r="DI64" i="2" s="1"/>
  <c r="DG81" i="2"/>
  <c r="DG80" i="2"/>
  <c r="IS62" i="2"/>
  <c r="DH71" i="2" l="1"/>
  <c r="CV74" i="4" s="1"/>
  <c r="DG82" i="2"/>
  <c r="IS70" i="2"/>
  <c r="DI68" i="2" s="1"/>
  <c r="IS76" i="2" s="1"/>
  <c r="IS83" i="2" s="1"/>
  <c r="DI157" i="2" s="1"/>
  <c r="DH80" i="2"/>
  <c r="IR76" i="2"/>
  <c r="IR83" i="2" s="1"/>
  <c r="DH157" i="2" s="1"/>
  <c r="IT68" i="2"/>
  <c r="IS75" i="2"/>
  <c r="IS82" i="2" s="1"/>
  <c r="DI156" i="2" s="1"/>
  <c r="IS63" i="2"/>
  <c r="CU107" i="4" l="1"/>
  <c r="IR103" i="2"/>
  <c r="IS103" i="2" s="1"/>
  <c r="DI69" i="2"/>
  <c r="DI80" i="2"/>
  <c r="DI81" i="2"/>
  <c r="DH81" i="2"/>
  <c r="DH82" i="2" s="1"/>
  <c r="DJ63" i="2"/>
  <c r="DJ64" i="2" s="1"/>
  <c r="IT69" i="2"/>
  <c r="DJ67" i="2" s="1"/>
  <c r="IT62" i="2"/>
  <c r="DI71" i="2" l="1"/>
  <c r="CW74" i="4" s="1"/>
  <c r="CV107" i="4"/>
  <c r="IT63" i="2"/>
  <c r="IT75" i="2"/>
  <c r="IT82" i="2" s="1"/>
  <c r="DJ156" i="2" s="1"/>
  <c r="IU68" i="2"/>
  <c r="IT70" i="2"/>
  <c r="DJ68" i="2" s="1"/>
  <c r="DJ69" i="2" s="1"/>
  <c r="DI82" i="2"/>
  <c r="DJ71" i="2" l="1"/>
  <c r="CX74" i="4" s="1"/>
  <c r="DK63" i="2"/>
  <c r="DK64" i="2" s="1"/>
  <c r="IU69" i="2"/>
  <c r="DK67" i="2" s="1"/>
  <c r="IU62" i="2"/>
  <c r="DJ80" i="2"/>
  <c r="CW107" i="4"/>
  <c r="IT76" i="2"/>
  <c r="IU63" i="2" l="1"/>
  <c r="IT83" i="2"/>
  <c r="DJ157" i="2" s="1"/>
  <c r="IT103" i="2"/>
  <c r="IU70" i="2"/>
  <c r="DK68" i="2" s="1"/>
  <c r="DK69" i="2" s="1"/>
  <c r="DJ81" i="2"/>
  <c r="DJ82" i="2" s="1"/>
  <c r="IV68" i="2"/>
  <c r="IU75" i="2"/>
  <c r="IU82" i="2" s="1"/>
  <c r="DK156" i="2" s="1"/>
  <c r="DK71" i="2" l="1"/>
  <c r="CY74" i="4" s="1"/>
  <c r="IU76" i="2"/>
  <c r="IU83" i="2" s="1"/>
  <c r="DK157" i="2" s="1"/>
  <c r="CX107" i="4"/>
  <c r="DL63" i="2"/>
  <c r="DL64" i="2" s="1"/>
  <c r="IV69" i="2"/>
  <c r="IV70" i="2" s="1"/>
  <c r="DL68" i="2" s="1"/>
  <c r="IV62" i="2"/>
  <c r="DK80" i="2"/>
  <c r="DK81" i="2" l="1"/>
  <c r="DK82" i="2" s="1"/>
  <c r="IU103" i="2"/>
  <c r="IW68" i="2"/>
  <c r="DL67" i="2"/>
  <c r="IV63" i="2"/>
  <c r="IV76" i="2"/>
  <c r="IV83" i="2" s="1"/>
  <c r="DL157" i="2" s="1"/>
  <c r="IV103" i="2" l="1"/>
  <c r="DL81" i="2"/>
  <c r="DM63" i="2"/>
  <c r="DM64" i="2" s="1"/>
  <c r="IW69" i="2"/>
  <c r="DM67" i="2" s="1"/>
  <c r="DL69" i="2"/>
  <c r="IV75" i="2"/>
  <c r="IV82" i="2" s="1"/>
  <c r="DL156" i="2" s="1"/>
  <c r="CY107" i="4"/>
  <c r="IW62" i="2"/>
  <c r="DL71" i="2" l="1"/>
  <c r="CZ74" i="4" s="1"/>
  <c r="IW70" i="2"/>
  <c r="DM68" i="2" s="1"/>
  <c r="DM69" i="2" s="1"/>
  <c r="DL80" i="2"/>
  <c r="IW75" i="2"/>
  <c r="IW82" i="2" s="1"/>
  <c r="DM156" i="2" s="1"/>
  <c r="IX68" i="2"/>
  <c r="IW76" i="2"/>
  <c r="IW83" i="2" s="1"/>
  <c r="DM157" i="2" s="1"/>
  <c r="IW63" i="2"/>
  <c r="DM71" i="2" l="1"/>
  <c r="DA74" i="4" s="1"/>
  <c r="DL82" i="2"/>
  <c r="CZ107" i="4" s="1"/>
  <c r="IW103" i="2"/>
  <c r="DN63" i="2"/>
  <c r="DN64" i="2" s="1"/>
  <c r="IX69" i="2"/>
  <c r="DN67" i="2" s="1"/>
  <c r="DM81" i="2"/>
  <c r="IX62" i="2"/>
  <c r="DM80" i="2"/>
  <c r="IX63" i="2" l="1"/>
  <c r="DM82" i="2"/>
  <c r="DA107" i="4" s="1"/>
  <c r="IX75" i="2"/>
  <c r="IX82" i="2" s="1"/>
  <c r="DN156" i="2" s="1"/>
  <c r="IY68" i="2"/>
  <c r="IX70" i="2"/>
  <c r="DN68" i="2" s="1"/>
  <c r="DN69" i="2" s="1"/>
  <c r="DN71" i="2" l="1"/>
  <c r="DB74" i="4" s="1"/>
  <c r="DO63" i="2"/>
  <c r="DO64" i="2" s="1"/>
  <c r="IY69" i="2"/>
  <c r="IY62" i="2"/>
  <c r="IX76" i="2"/>
  <c r="DN80" i="2"/>
  <c r="IX83" i="2" l="1"/>
  <c r="DN157" i="2" s="1"/>
  <c r="IX103" i="2"/>
  <c r="DO67" i="2"/>
  <c r="IY63" i="2"/>
  <c r="DN81" i="2"/>
  <c r="DN82" i="2" s="1"/>
  <c r="IZ68" i="2"/>
  <c r="IY70" i="2"/>
  <c r="DO68" i="2" s="1"/>
  <c r="DB107" i="4" l="1"/>
  <c r="IY76" i="2"/>
  <c r="IY83" i="2" s="1"/>
  <c r="DO157" i="2" s="1"/>
  <c r="DP63" i="2"/>
  <c r="DP64" i="2" s="1"/>
  <c r="IZ69" i="2"/>
  <c r="DP67" i="2" s="1"/>
  <c r="IZ62" i="2"/>
  <c r="DO69" i="2"/>
  <c r="IY75" i="2"/>
  <c r="IY82" i="2" s="1"/>
  <c r="DO156" i="2" s="1"/>
  <c r="DO71" i="2" l="1"/>
  <c r="DC74" i="4" s="1"/>
  <c r="IY103" i="2"/>
  <c r="JA68" i="2"/>
  <c r="IZ70" i="2"/>
  <c r="DP68" i="2" s="1"/>
  <c r="DP69" i="2" s="1"/>
  <c r="IZ75" i="2"/>
  <c r="IZ82" i="2" s="1"/>
  <c r="DP156" i="2" s="1"/>
  <c r="IZ63" i="2"/>
  <c r="DO81" i="2"/>
  <c r="DO80" i="2"/>
  <c r="DP71" i="2" l="1"/>
  <c r="DD74" i="4" s="1"/>
  <c r="DP80" i="2"/>
  <c r="IZ76" i="2"/>
  <c r="IZ83" i="2" s="1"/>
  <c r="DP157" i="2" s="1"/>
  <c r="DQ63" i="2"/>
  <c r="DQ64" i="2" s="1"/>
  <c r="JA69" i="2"/>
  <c r="DQ67" i="2" s="1"/>
  <c r="DO82" i="2"/>
  <c r="JA62" i="2"/>
  <c r="IZ103" i="2" l="1"/>
  <c r="JA70" i="2"/>
  <c r="DQ68" i="2" s="1"/>
  <c r="JA76" i="2" s="1"/>
  <c r="JA83" i="2" s="1"/>
  <c r="DQ157" i="2" s="1"/>
  <c r="JA75" i="2"/>
  <c r="JA82" i="2" s="1"/>
  <c r="DQ156" i="2" s="1"/>
  <c r="DP81" i="2"/>
  <c r="DP82" i="2" s="1"/>
  <c r="JB68" i="2"/>
  <c r="JA63" i="2"/>
  <c r="DC107" i="4"/>
  <c r="JA103" i="2" l="1"/>
  <c r="DQ69" i="2"/>
  <c r="DD107" i="4"/>
  <c r="DQ80" i="2"/>
  <c r="DR63" i="2"/>
  <c r="DR64" i="2" s="1"/>
  <c r="JB69" i="2"/>
  <c r="DR67" i="2" s="1"/>
  <c r="JB62" i="2"/>
  <c r="DQ81" i="2"/>
  <c r="DQ71" i="2" l="1"/>
  <c r="DE74" i="4" s="1"/>
  <c r="JC68" i="2"/>
  <c r="JB75" i="2"/>
  <c r="JB82" i="2" s="1"/>
  <c r="DR156" i="2" s="1"/>
  <c r="JB70" i="2"/>
  <c r="DR68" i="2" s="1"/>
  <c r="DR69" i="2" s="1"/>
  <c r="DQ82" i="2"/>
  <c r="JB63" i="2"/>
  <c r="DR71" i="2" l="1"/>
  <c r="DF74" i="4" s="1"/>
  <c r="DE107" i="4"/>
  <c r="JB76" i="2"/>
  <c r="DR80" i="2"/>
  <c r="DS63" i="2"/>
  <c r="DS64" i="2" s="1"/>
  <c r="JC69" i="2"/>
  <c r="DS67" i="2" s="1"/>
  <c r="JC62" i="2"/>
  <c r="JB83" i="2" l="1"/>
  <c r="DR157" i="2" s="1"/>
  <c r="JB103" i="2"/>
  <c r="DR81" i="2"/>
  <c r="DR82" i="2" s="1"/>
  <c r="JC75" i="2"/>
  <c r="JC82" i="2" s="1"/>
  <c r="DS156" i="2" s="1"/>
  <c r="JD68" i="2"/>
  <c r="JD62" i="2" s="1"/>
  <c r="JC70" i="2"/>
  <c r="DS68" i="2" s="1"/>
  <c r="DS69" i="2" s="1"/>
  <c r="JC63" i="2"/>
  <c r="DS71" i="2" l="1"/>
  <c r="DG74" i="4" s="1"/>
  <c r="DF107" i="4"/>
  <c r="JE68" i="2"/>
  <c r="DS80" i="2"/>
  <c r="JC76" i="2"/>
  <c r="JC83" i="2" s="1"/>
  <c r="DS157" i="2" s="1"/>
  <c r="DT63" i="2"/>
  <c r="DT64" i="2" s="1"/>
  <c r="JD69" i="2"/>
  <c r="DT67" i="2" s="1"/>
  <c r="JC103" i="2" l="1"/>
  <c r="DS81" i="2"/>
  <c r="DS82" i="2" s="1"/>
  <c r="DU63" i="2"/>
  <c r="DU64" i="2" s="1"/>
  <c r="JE62" i="2"/>
  <c r="JD75" i="2"/>
  <c r="JD82" i="2" s="1"/>
  <c r="DT156" i="2" s="1"/>
  <c r="JD70" i="2"/>
  <c r="DT68" i="2" s="1"/>
  <c r="DT69" i="2" s="1"/>
  <c r="JD63" i="2"/>
  <c r="DT71" i="2" l="1"/>
  <c r="DH74" i="4" s="1"/>
  <c r="DT80" i="2"/>
  <c r="DG107" i="4"/>
  <c r="JF68" i="2"/>
  <c r="JF62" i="2" s="1"/>
  <c r="JE69" i="2"/>
  <c r="JD76" i="2"/>
  <c r="JD83" i="2" s="1"/>
  <c r="DT157" i="2" s="1"/>
  <c r="JD103" i="2" l="1"/>
  <c r="JG68" i="2"/>
  <c r="DT81" i="2"/>
  <c r="DT82" i="2" s="1"/>
  <c r="DU67" i="2"/>
  <c r="JE70" i="2"/>
  <c r="DU68" i="2" s="1"/>
  <c r="JE63" i="2"/>
  <c r="DV63" i="2"/>
  <c r="DV64" i="2" s="1"/>
  <c r="JE76" i="2" l="1"/>
  <c r="JE83" i="2" s="1"/>
  <c r="DU157" i="2" s="1"/>
  <c r="DH107" i="4"/>
  <c r="DU69" i="2"/>
  <c r="JE75" i="2"/>
  <c r="JE82" i="2" s="1"/>
  <c r="DU156" i="2" s="1"/>
  <c r="DW63" i="2"/>
  <c r="DW64" i="2" s="1"/>
  <c r="JF69" i="2"/>
  <c r="JG62" i="2"/>
  <c r="DU71" i="2" l="1"/>
  <c r="DI74" i="4" s="1"/>
  <c r="JE103" i="2"/>
  <c r="DV67" i="2"/>
  <c r="JF70" i="2"/>
  <c r="DV68" i="2" s="1"/>
  <c r="JH68" i="2"/>
  <c r="JF63" i="2"/>
  <c r="DU80" i="2"/>
  <c r="DU81" i="2"/>
  <c r="DU82" i="2" l="1"/>
  <c r="JG69" i="2"/>
  <c r="DX63" i="2"/>
  <c r="DX64" i="2" s="1"/>
  <c r="JH62" i="2"/>
  <c r="JF76" i="2"/>
  <c r="JF83" i="2" s="1"/>
  <c r="DV157" i="2" s="1"/>
  <c r="DV69" i="2"/>
  <c r="JF75" i="2"/>
  <c r="JF82" i="2" s="1"/>
  <c r="DV156" i="2" s="1"/>
  <c r="DV71" i="2" l="1"/>
  <c r="DJ74" i="4" s="1"/>
  <c r="DI107" i="4"/>
  <c r="JF103" i="2"/>
  <c r="JI68" i="2"/>
  <c r="DV80" i="2"/>
  <c r="DW67" i="2"/>
  <c r="JG70" i="2"/>
  <c r="DW68" i="2" s="1"/>
  <c r="DV81" i="2"/>
  <c r="JG63" i="2"/>
  <c r="JG76" i="2" l="1"/>
  <c r="JG83" i="2" s="1"/>
  <c r="DW157" i="2" s="1"/>
  <c r="DV82" i="2"/>
  <c r="DW69" i="2"/>
  <c r="JG75" i="2"/>
  <c r="JG82" i="2" s="1"/>
  <c r="DW156" i="2" s="1"/>
  <c r="DY63" i="2"/>
  <c r="DY64" i="2" s="1"/>
  <c r="JH69" i="2"/>
  <c r="JI62" i="2"/>
  <c r="DW71" i="2" l="1"/>
  <c r="DK74" i="4" s="1"/>
  <c r="JG103" i="2"/>
  <c r="JJ68" i="2"/>
  <c r="DX67" i="2"/>
  <c r="JH70" i="2"/>
  <c r="DX68" i="2" s="1"/>
  <c r="DJ107" i="4"/>
  <c r="DW80" i="2"/>
  <c r="JH63" i="2"/>
  <c r="DW81" i="2"/>
  <c r="DW82" i="2" l="1"/>
  <c r="DK107" i="4" s="1"/>
  <c r="JI69" i="2"/>
  <c r="JH76" i="2"/>
  <c r="JH83" i="2" s="1"/>
  <c r="DX157" i="2" s="1"/>
  <c r="DZ63" i="2"/>
  <c r="DZ64" i="2" s="1"/>
  <c r="DX69" i="2"/>
  <c r="JH75" i="2"/>
  <c r="JH82" i="2" s="1"/>
  <c r="DX156" i="2" s="1"/>
  <c r="JJ62" i="2"/>
  <c r="DX71" i="2" l="1"/>
  <c r="DL74" i="4" s="1"/>
  <c r="JH103" i="2"/>
  <c r="JK68" i="2"/>
  <c r="DX80" i="2"/>
  <c r="DX81" i="2"/>
  <c r="DY67" i="2"/>
  <c r="JI70" i="2"/>
  <c r="DY68" i="2" s="1"/>
  <c r="JI63" i="2"/>
  <c r="JI76" i="2" l="1"/>
  <c r="JI83" i="2" s="1"/>
  <c r="DY157" i="2" s="1"/>
  <c r="DY69" i="2"/>
  <c r="JI75" i="2"/>
  <c r="JI82" i="2" s="1"/>
  <c r="DY156" i="2" s="1"/>
  <c r="DX82" i="2"/>
  <c r="EA63" i="2"/>
  <c r="EA64" i="2" s="1"/>
  <c r="JJ69" i="2"/>
  <c r="JK62" i="2"/>
  <c r="DY71" i="2" l="1"/>
  <c r="DM74" i="4" s="1"/>
  <c r="JI103" i="2"/>
  <c r="JL68" i="2"/>
  <c r="DL107" i="4"/>
  <c r="DY80" i="2"/>
  <c r="DZ67" i="2"/>
  <c r="JJ70" i="2"/>
  <c r="DZ68" i="2" s="1"/>
  <c r="JJ63" i="2"/>
  <c r="DY81" i="2"/>
  <c r="DY82" i="2" l="1"/>
  <c r="JK69" i="2"/>
  <c r="DZ69" i="2"/>
  <c r="JJ75" i="2"/>
  <c r="JJ82" i="2" s="1"/>
  <c r="DZ156" i="2" s="1"/>
  <c r="DM107" i="4"/>
  <c r="EB63" i="2"/>
  <c r="EB64" i="2" s="1"/>
  <c r="JJ76" i="2"/>
  <c r="JJ83" i="2" s="1"/>
  <c r="DZ157" i="2" s="1"/>
  <c r="JL62" i="2"/>
  <c r="DZ71" i="2" l="1"/>
  <c r="DN74" i="4" s="1"/>
  <c r="JJ103" i="2"/>
  <c r="JM68" i="2"/>
  <c r="DZ80" i="2"/>
  <c r="EA67" i="2"/>
  <c r="JK70" i="2"/>
  <c r="EA68" i="2" s="1"/>
  <c r="DZ81" i="2"/>
  <c r="JK63" i="2"/>
  <c r="EA69" i="2" l="1"/>
  <c r="JK75" i="2"/>
  <c r="JK82" i="2" s="1"/>
  <c r="EA156" i="2" s="1"/>
  <c r="JK76" i="2"/>
  <c r="JK83" i="2" s="1"/>
  <c r="EA157" i="2" s="1"/>
  <c r="EC63" i="2"/>
  <c r="EC64" i="2" s="1"/>
  <c r="DZ82" i="2"/>
  <c r="JL69" i="2"/>
  <c r="JL63" i="2" s="1"/>
  <c r="JM62" i="2"/>
  <c r="EA71" i="2" l="1"/>
  <c r="DO74" i="4" s="1"/>
  <c r="JK103" i="2"/>
  <c r="JM69" i="2"/>
  <c r="JN68" i="2"/>
  <c r="EA81" i="2"/>
  <c r="EA80" i="2"/>
  <c r="EB67" i="2"/>
  <c r="JL70" i="2"/>
  <c r="EB68" i="2" s="1"/>
  <c r="DN107" i="4"/>
  <c r="EA82" i="2" l="1"/>
  <c r="DO107" i="4" s="1"/>
  <c r="EB69" i="2"/>
  <c r="JL75" i="2"/>
  <c r="JL82" i="2" s="1"/>
  <c r="EB156" i="2" s="1"/>
  <c r="ED63" i="2"/>
  <c r="ED64" i="2" s="1"/>
  <c r="JN62" i="2"/>
  <c r="EC67" i="2"/>
  <c r="JM70" i="2"/>
  <c r="EC68" i="2" s="1"/>
  <c r="JL76" i="2"/>
  <c r="JL83" i="2" s="1"/>
  <c r="EB157" i="2" s="1"/>
  <c r="JM63" i="2"/>
  <c r="JN69" i="2" s="1"/>
  <c r="EB71" i="2" l="1"/>
  <c r="DP74" i="4" s="1"/>
  <c r="JL103" i="2"/>
  <c r="ED67" i="2"/>
  <c r="JN70" i="2"/>
  <c r="ED68" i="2" s="1"/>
  <c r="JM76" i="2"/>
  <c r="JM83" i="2" s="1"/>
  <c r="EC157" i="2" s="1"/>
  <c r="EB80" i="2"/>
  <c r="JN63" i="2"/>
  <c r="EC69" i="2"/>
  <c r="JM75" i="2"/>
  <c r="JM82" i="2" s="1"/>
  <c r="EC156" i="2" s="1"/>
  <c r="EB81" i="2"/>
  <c r="JO68" i="2"/>
  <c r="EC71" i="2" l="1"/>
  <c r="DQ74" i="4" s="1"/>
  <c r="JM103" i="2"/>
  <c r="EB82" i="2"/>
  <c r="EE63" i="2"/>
  <c r="EE64" i="2" s="1"/>
  <c r="JO69" i="2"/>
  <c r="EE67" i="2" s="1"/>
  <c r="JO62" i="2"/>
  <c r="EC81" i="2"/>
  <c r="EC80" i="2"/>
  <c r="JN76" i="2"/>
  <c r="JN83" i="2" s="1"/>
  <c r="ED157" i="2" s="1"/>
  <c r="ED69" i="2"/>
  <c r="JN75" i="2"/>
  <c r="JN82" i="2" s="1"/>
  <c r="ED156" i="2" s="1"/>
  <c r="ED71" i="2" l="1"/>
  <c r="DR74" i="4" s="1"/>
  <c r="JN103" i="2"/>
  <c r="EC82" i="2"/>
  <c r="ED80" i="2"/>
  <c r="JO75" i="2"/>
  <c r="JO82" i="2" s="1"/>
  <c r="EE156" i="2" s="1"/>
  <c r="JP68" i="2"/>
  <c r="DQ107" i="4"/>
  <c r="JO70" i="2"/>
  <c r="EE68" i="2" s="1"/>
  <c r="EE69" i="2" s="1"/>
  <c r="DP107" i="4"/>
  <c r="ED81" i="2"/>
  <c r="JO63" i="2"/>
  <c r="EE71" i="2" l="1"/>
  <c r="DS74" i="4" s="1"/>
  <c r="EF63" i="2"/>
  <c r="EF64" i="2" s="1"/>
  <c r="JP69" i="2"/>
  <c r="EF67" i="2" s="1"/>
  <c r="JP62" i="2"/>
  <c r="EE80" i="2"/>
  <c r="JO76" i="2"/>
  <c r="JO83" i="2" s="1"/>
  <c r="EE157" i="2" s="1"/>
  <c r="ED82" i="2"/>
  <c r="JO103" i="2" l="1"/>
  <c r="JP70" i="2"/>
  <c r="EF68" i="2" s="1"/>
  <c r="EF69" i="2" s="1"/>
  <c r="JQ68" i="2"/>
  <c r="JP75" i="2"/>
  <c r="JP82" i="2" s="1"/>
  <c r="EF156" i="2" s="1"/>
  <c r="DR107" i="4"/>
  <c r="EE81" i="2"/>
  <c r="EE82" i="2" s="1"/>
  <c r="JP63" i="2"/>
  <c r="EF71" i="2" l="1"/>
  <c r="DT74" i="4" s="1"/>
  <c r="JP76" i="2"/>
  <c r="JP83" i="2" s="1"/>
  <c r="EF157" i="2" s="1"/>
  <c r="DS107" i="4"/>
  <c r="EF80" i="2"/>
  <c r="EG63" i="2"/>
  <c r="EG64" i="2" s="1"/>
  <c r="JQ69" i="2"/>
  <c r="EG67" i="2" s="1"/>
  <c r="JQ62" i="2"/>
  <c r="JP103" i="2" l="1"/>
  <c r="JQ63" i="2"/>
  <c r="JQ70" i="2"/>
  <c r="EG68" i="2" s="1"/>
  <c r="EG69" i="2" s="1"/>
  <c r="EF81" i="2"/>
  <c r="EF82" i="2" s="1"/>
  <c r="JR68" i="2"/>
  <c r="JQ75" i="2"/>
  <c r="JQ82" i="2" s="1"/>
  <c r="EG156" i="2" s="1"/>
  <c r="JQ76" i="2" l="1"/>
  <c r="JQ83" i="2" s="1"/>
  <c r="EG157" i="2" s="1"/>
  <c r="EG71" i="2"/>
  <c r="DU74" i="4" s="1"/>
  <c r="DT107" i="4"/>
  <c r="EH63" i="2"/>
  <c r="EH64" i="2" s="1"/>
  <c r="JR69" i="2"/>
  <c r="JR62" i="2"/>
  <c r="EG80" i="2"/>
  <c r="EG81" i="2" l="1"/>
  <c r="EG82" i="2" s="1"/>
  <c r="DU107" i="4" s="1"/>
  <c r="JQ103" i="2"/>
  <c r="JS68" i="2"/>
  <c r="EH67" i="2"/>
  <c r="JR63" i="2"/>
  <c r="JR70" i="2"/>
  <c r="EH68" i="2" s="1"/>
  <c r="JR76" i="2" l="1"/>
  <c r="EI63" i="2"/>
  <c r="EI64" i="2" s="1"/>
  <c r="JS69" i="2"/>
  <c r="EI67" i="2" s="1"/>
  <c r="JS62" i="2"/>
  <c r="EH69" i="2"/>
  <c r="JR75" i="2"/>
  <c r="JR82" i="2" s="1"/>
  <c r="EH156" i="2" s="1"/>
  <c r="EH71" i="2" l="1"/>
  <c r="DV74" i="4" s="1"/>
  <c r="JR83" i="2"/>
  <c r="EH157" i="2" s="1"/>
  <c r="JR103" i="2"/>
  <c r="JS75" i="2"/>
  <c r="JS70" i="2"/>
  <c r="EI68" i="2" s="1"/>
  <c r="JT68" i="2"/>
  <c r="EH81" i="2"/>
  <c r="EH80" i="2"/>
  <c r="JS63" i="2"/>
  <c r="JS82" i="2" l="1"/>
  <c r="EI156" i="2" s="1"/>
  <c r="I80" i="2"/>
  <c r="EJ63" i="2"/>
  <c r="EJ64" i="2" s="1"/>
  <c r="JT69" i="2"/>
  <c r="EJ67" i="2" s="1"/>
  <c r="JT62" i="2"/>
  <c r="EI80" i="2"/>
  <c r="JS76" i="2"/>
  <c r="EH82" i="2"/>
  <c r="EI69" i="2"/>
  <c r="EI71" i="2" l="1"/>
  <c r="DW74" i="4" s="1"/>
  <c r="JS83" i="2"/>
  <c r="EI157" i="2" s="1"/>
  <c r="I81" i="2"/>
  <c r="I82" i="2" s="1"/>
  <c r="JT63" i="2"/>
  <c r="JS103" i="2"/>
  <c r="JT70" i="2"/>
  <c r="EJ68" i="2" s="1"/>
  <c r="EJ69" i="2" s="1"/>
  <c r="EJ71" i="2" s="1"/>
  <c r="DX74" i="4" s="1"/>
  <c r="EI81" i="2"/>
  <c r="EI82" i="2" s="1"/>
  <c r="JU68" i="2"/>
  <c r="JT75" i="2"/>
  <c r="JT82" i="2" s="1"/>
  <c r="EJ156" i="2" s="1"/>
  <c r="DV107" i="4"/>
  <c r="JT76" i="2" l="1"/>
  <c r="JT83" i="2" s="1"/>
  <c r="EJ157" i="2" s="1"/>
  <c r="EJ80" i="2"/>
  <c r="EK63" i="2"/>
  <c r="EK64" i="2" s="1"/>
  <c r="JU69" i="2"/>
  <c r="JU62" i="2"/>
  <c r="DW107" i="4"/>
  <c r="EJ81" i="2" l="1"/>
  <c r="EJ82" i="2" s="1"/>
  <c r="JT103" i="2"/>
  <c r="JV68" i="2"/>
  <c r="EK67" i="2"/>
  <c r="JU63" i="2"/>
  <c r="JU70" i="2"/>
  <c r="EK68" i="2" s="1"/>
  <c r="DX107" i="4" l="1"/>
  <c r="EK69" i="2"/>
  <c r="EK71" i="2" s="1"/>
  <c r="DY74" i="4" s="1"/>
  <c r="JU75" i="2"/>
  <c r="JU82" i="2" s="1"/>
  <c r="EK156" i="2" s="1"/>
  <c r="JU76" i="2"/>
  <c r="EL63" i="2"/>
  <c r="EL64" i="2" s="1"/>
  <c r="JV69" i="2"/>
  <c r="EL67" i="2" s="1"/>
  <c r="JV62" i="2"/>
  <c r="JU83" i="2" l="1"/>
  <c r="EK157" i="2" s="1"/>
  <c r="JU103" i="2"/>
  <c r="JW68" i="2"/>
  <c r="JW62" i="2" s="1"/>
  <c r="EK81" i="2"/>
  <c r="JV63" i="2"/>
  <c r="JV70" i="2"/>
  <c r="EL68" i="2" s="1"/>
  <c r="EK80" i="2"/>
  <c r="JV75" i="2"/>
  <c r="JV82" i="2" s="1"/>
  <c r="EL156" i="2" s="1"/>
  <c r="EK82" i="2" l="1"/>
  <c r="DY107" i="4" s="1"/>
  <c r="JX68" i="2"/>
  <c r="JV76" i="2"/>
  <c r="JV83" i="2" s="1"/>
  <c r="EL157" i="2" s="1"/>
  <c r="EL80" i="2"/>
  <c r="EM63" i="2"/>
  <c r="EM64" i="2" s="1"/>
  <c r="JW69" i="2"/>
  <c r="EM67" i="2" s="1"/>
  <c r="EL69" i="2"/>
  <c r="EL71" i="2" s="1"/>
  <c r="DZ74" i="4" s="1"/>
  <c r="JV103" i="2" l="1"/>
  <c r="JW63" i="2"/>
  <c r="JW70" i="2"/>
  <c r="EM68" i="2" s="1"/>
  <c r="EM69" i="2" s="1"/>
  <c r="EM71" i="2" s="1"/>
  <c r="EA74" i="4" s="1"/>
  <c r="EL81" i="2"/>
  <c r="EL82" i="2" s="1"/>
  <c r="JW75" i="2"/>
  <c r="JW82" i="2" s="1"/>
  <c r="EM156" i="2" s="1"/>
  <c r="EN63" i="2"/>
  <c r="EN64" i="2" s="1"/>
  <c r="JX69" i="2"/>
  <c r="EN67" i="2" s="1"/>
  <c r="JX62" i="2"/>
  <c r="JW76" i="2" l="1"/>
  <c r="JW83" i="2" s="1"/>
  <c r="EM157" i="2" s="1"/>
  <c r="JX70" i="2"/>
  <c r="EN68" i="2" s="1"/>
  <c r="JX76" i="2" s="1"/>
  <c r="JX83" i="2" s="1"/>
  <c r="EN157" i="2" s="1"/>
  <c r="EM80" i="2"/>
  <c r="JY68" i="2"/>
  <c r="DZ107" i="4"/>
  <c r="JX75" i="2"/>
  <c r="JX82" i="2" s="1"/>
  <c r="EN156" i="2" s="1"/>
  <c r="JX63" i="2"/>
  <c r="EN69" i="2" l="1"/>
  <c r="EN71" i="2" s="1"/>
  <c r="EB74" i="4" s="1"/>
  <c r="JW103" i="2"/>
  <c r="JX103" i="2" s="1"/>
  <c r="EM81" i="2"/>
  <c r="EM82" i="2" s="1"/>
  <c r="EN81" i="2"/>
  <c r="EN80" i="2"/>
  <c r="EO63" i="2"/>
  <c r="EO64" i="2" s="1"/>
  <c r="JY69" i="2"/>
  <c r="EO67" i="2" s="1"/>
  <c r="JY62" i="2"/>
  <c r="EA107" i="4" l="1"/>
  <c r="EN82" i="2"/>
  <c r="EB107" i="4" s="1"/>
  <c r="JZ68" i="2"/>
  <c r="JY75" i="2"/>
  <c r="JY82" i="2" s="1"/>
  <c r="EO156" i="2" s="1"/>
  <c r="JY70" i="2"/>
  <c r="EO68" i="2" s="1"/>
  <c r="EO69" i="2" s="1"/>
  <c r="EO71" i="2" s="1"/>
  <c r="EC74" i="4" s="1"/>
  <c r="JY63" i="2"/>
  <c r="EO80" i="2" l="1"/>
  <c r="EP63" i="2"/>
  <c r="EP64" i="2" s="1"/>
  <c r="JZ69" i="2"/>
  <c r="EP67" i="2" s="1"/>
  <c r="JZ62" i="2"/>
  <c r="JY76" i="2"/>
  <c r="JY83" i="2" l="1"/>
  <c r="EO157" i="2" s="1"/>
  <c r="JY103" i="2"/>
  <c r="JZ63" i="2"/>
  <c r="JZ70" i="2"/>
  <c r="EP68" i="2" s="1"/>
  <c r="EP69" i="2" s="1"/>
  <c r="EP71" i="2" s="1"/>
  <c r="ED74" i="4" s="1"/>
  <c r="KA68" i="2"/>
  <c r="JZ75" i="2"/>
  <c r="JZ82" i="2" s="1"/>
  <c r="EP156" i="2" s="1"/>
  <c r="EO81" i="2"/>
  <c r="EO82" i="2" s="1"/>
  <c r="JZ76" i="2" l="1"/>
  <c r="JZ83" i="2" s="1"/>
  <c r="EP157" i="2" s="1"/>
  <c r="EQ63" i="2"/>
  <c r="EQ64" i="2" s="1"/>
  <c r="KA69" i="2"/>
  <c r="KA70" i="2" s="1"/>
  <c r="EQ68" i="2" s="1"/>
  <c r="KA62" i="2"/>
  <c r="EP80" i="2"/>
  <c r="EC107" i="4"/>
  <c r="JZ103" i="2" l="1"/>
  <c r="EP81" i="2"/>
  <c r="EP82" i="2" s="1"/>
  <c r="KA76" i="2"/>
  <c r="KA83" i="2" s="1"/>
  <c r="EQ157" i="2" s="1"/>
  <c r="KB68" i="2"/>
  <c r="EQ67" i="2"/>
  <c r="KA63" i="2"/>
  <c r="KA103" i="2" l="1"/>
  <c r="EQ69" i="2"/>
  <c r="EQ71" i="2" s="1"/>
  <c r="EE74" i="4" s="1"/>
  <c r="KA75" i="2"/>
  <c r="KA82" i="2" s="1"/>
  <c r="EQ156" i="2" s="1"/>
  <c r="ER63" i="2"/>
  <c r="ER64" i="2" s="1"/>
  <c r="KB69" i="2"/>
  <c r="ER67" i="2" s="1"/>
  <c r="KB62" i="2"/>
  <c r="EQ81" i="2"/>
  <c r="ED107" i="4"/>
  <c r="KC68" i="2" l="1"/>
  <c r="KB70" i="2"/>
  <c r="ER68" i="2" s="1"/>
  <c r="KB63" i="2"/>
  <c r="EQ80" i="2"/>
  <c r="EQ82" i="2" s="1"/>
  <c r="KB75" i="2"/>
  <c r="KB82" i="2" s="1"/>
  <c r="ER156" i="2" s="1"/>
  <c r="KB76" i="2" l="1"/>
  <c r="ER69" i="2"/>
  <c r="ER71" i="2" s="1"/>
  <c r="EF74" i="4" s="1"/>
  <c r="ER80" i="2"/>
  <c r="ES63" i="2"/>
  <c r="ES64" i="2" s="1"/>
  <c r="KC69" i="2"/>
  <c r="ES67" i="2" s="1"/>
  <c r="EE107" i="4"/>
  <c r="KC62" i="2"/>
  <c r="KB83" i="2" l="1"/>
  <c r="ER157" i="2" s="1"/>
  <c r="KB103" i="2"/>
  <c r="KC63" i="2"/>
  <c r="KD68" i="2"/>
  <c r="ER81" i="2"/>
  <c r="ER82" i="2" s="1"/>
  <c r="KC75" i="2"/>
  <c r="KC82" i="2" s="1"/>
  <c r="ES156" i="2" s="1"/>
  <c r="KC70" i="2"/>
  <c r="ES68" i="2" s="1"/>
  <c r="ES69" i="2" s="1"/>
  <c r="ES71" i="2" s="1"/>
  <c r="EG74" i="4" s="1"/>
  <c r="EF107" i="4" l="1"/>
  <c r="KC76" i="2"/>
  <c r="KC83" i="2" s="1"/>
  <c r="ES157" i="2" s="1"/>
  <c r="ET63" i="2"/>
  <c r="ET64" i="2" s="1"/>
  <c r="KD69" i="2"/>
  <c r="ET67" i="2" s="1"/>
  <c r="KD62" i="2"/>
  <c r="ES80" i="2"/>
  <c r="KC103" i="2" l="1"/>
  <c r="KD70" i="2"/>
  <c r="ET68" i="2" s="1"/>
  <c r="ET69" i="2" s="1"/>
  <c r="ET71" i="2" s="1"/>
  <c r="EH74" i="4" s="1"/>
  <c r="ES81" i="2"/>
  <c r="ES82" i="2" s="1"/>
  <c r="KD63" i="2"/>
  <c r="KD75" i="2"/>
  <c r="KD82" i="2" s="1"/>
  <c r="ET156" i="2" s="1"/>
  <c r="KE68" i="2"/>
  <c r="EG107" i="4" l="1"/>
  <c r="ET80" i="2"/>
  <c r="EU63" i="2"/>
  <c r="KE69" i="2"/>
  <c r="EU67" i="2" s="1"/>
  <c r="KE62" i="2"/>
  <c r="KD76" i="2"/>
  <c r="KD83" i="2" s="1"/>
  <c r="ET157" i="2" s="1"/>
  <c r="KD103" i="2" l="1"/>
  <c r="KE75" i="2"/>
  <c r="KE82" i="2" s="1"/>
  <c r="EU156" i="2" s="1"/>
  <c r="R67" i="2"/>
  <c r="KE70" i="2"/>
  <c r="EU68" i="2" s="1"/>
  <c r="R63" i="2"/>
  <c r="EU64" i="2"/>
  <c r="R64" i="2" s="1"/>
  <c r="KE63" i="2"/>
  <c r="ET81" i="2"/>
  <c r="ET82" i="2" s="1"/>
  <c r="KE76" i="2" l="1"/>
  <c r="KE83" i="2" s="1"/>
  <c r="EU157" i="2" s="1"/>
  <c r="R68" i="2"/>
  <c r="EH107" i="4"/>
  <c r="EU69" i="2"/>
  <c r="EU80" i="2"/>
  <c r="KE103" i="2" l="1"/>
  <c r="J81" i="2" s="1"/>
  <c r="D157" i="2" s="1"/>
  <c r="EU71" i="2"/>
  <c r="R69" i="2"/>
  <c r="R80" i="2"/>
  <c r="EU81" i="2"/>
  <c r="R81" i="2" s="1"/>
  <c r="EU82" i="2" l="1"/>
  <c r="EI74" i="4"/>
  <c r="R71" i="2"/>
  <c r="M17" i="4" l="1"/>
  <c r="N17" i="4"/>
  <c r="O17" i="4"/>
  <c r="P17" i="4"/>
  <c r="Q17" i="4"/>
  <c r="K17" i="4"/>
  <c r="L17" i="4"/>
  <c r="H17" i="4"/>
  <c r="I17" i="4"/>
  <c r="J17" i="4"/>
  <c r="EI107" i="4"/>
  <c r="R82" i="2"/>
  <c r="M50" i="4" l="1"/>
  <c r="N50" i="4"/>
  <c r="O50" i="4"/>
  <c r="P50" i="4"/>
  <c r="Q50" i="4"/>
  <c r="K50" i="4"/>
  <c r="L50" i="4"/>
  <c r="H50" i="4"/>
  <c r="I50" i="4"/>
  <c r="J50" i="4"/>
  <c r="D90" i="2" l="1"/>
  <c r="E88" i="2"/>
  <c r="H93" i="2" l="1"/>
  <c r="J90" i="2"/>
  <c r="G93" i="2"/>
  <c r="H95" i="2"/>
  <c r="D94" i="2" s="1" a="1"/>
  <c r="D94" i="2" s="1"/>
  <c r="D93" i="2" a="1"/>
  <c r="D93" i="2" s="1"/>
  <c r="JO88" i="2"/>
  <c r="JO94" i="2" s="1"/>
  <c r="EE158" i="2" s="1"/>
  <c r="EE160" i="2" s="1"/>
  <c r="EE162" i="2" s="1"/>
  <c r="EE222" i="2" s="1"/>
  <c r="JF88" i="2"/>
  <c r="JF94" i="2" s="1"/>
  <c r="DV158" i="2" s="1"/>
  <c r="DV160" i="2" s="1"/>
  <c r="DV162" i="2" s="1"/>
  <c r="DV222" i="2" s="1"/>
  <c r="KE88" i="2"/>
  <c r="KE94" i="2" s="1"/>
  <c r="EU158" i="2" s="1"/>
  <c r="EU160" i="2" s="1"/>
  <c r="EU162" i="2" s="1"/>
  <c r="KA88" i="2"/>
  <c r="KA94" i="2" s="1"/>
  <c r="EQ158" i="2" s="1"/>
  <c r="EQ160" i="2" s="1"/>
  <c r="EQ162" i="2" s="1"/>
  <c r="JX88" i="2"/>
  <c r="JX94" i="2" s="1"/>
  <c r="EN158" i="2" s="1"/>
  <c r="EN160" i="2" s="1"/>
  <c r="EN162" i="2" s="1"/>
  <c r="JQ88" i="2"/>
  <c r="JQ94" i="2" s="1"/>
  <c r="EG158" i="2" s="1"/>
  <c r="EG160" i="2" s="1"/>
  <c r="EG162" i="2" s="1"/>
  <c r="EG222" i="2" s="1"/>
  <c r="JU88" i="2"/>
  <c r="JU94" i="2" s="1"/>
  <c r="EK158" i="2" s="1"/>
  <c r="EK160" i="2" s="1"/>
  <c r="EK162" i="2" s="1"/>
  <c r="JM88" i="2"/>
  <c r="JM94" i="2" s="1"/>
  <c r="EC158" i="2" s="1"/>
  <c r="EC160" i="2" s="1"/>
  <c r="EC162" i="2" s="1"/>
  <c r="EC222" i="2" s="1"/>
  <c r="JS88" i="2"/>
  <c r="JS94" i="2" s="1"/>
  <c r="EI158" i="2" s="1"/>
  <c r="EI160" i="2" s="1"/>
  <c r="EI162" i="2" s="1"/>
  <c r="EI222" i="2" s="1"/>
  <c r="KC88" i="2"/>
  <c r="KC94" i="2" s="1"/>
  <c r="ES158" i="2" s="1"/>
  <c r="ES160" i="2" s="1"/>
  <c r="ES162" i="2" s="1"/>
  <c r="JW88" i="2"/>
  <c r="JW94" i="2" s="1"/>
  <c r="EM158" i="2" s="1"/>
  <c r="EM160" i="2" s="1"/>
  <c r="EM162" i="2" s="1"/>
  <c r="JK88" i="2"/>
  <c r="JK94" i="2" s="1"/>
  <c r="EA158" i="2" s="1"/>
  <c r="EA160" i="2" s="1"/>
  <c r="EA162" i="2" s="1"/>
  <c r="EA222" i="2" s="1"/>
  <c r="JN88" i="2"/>
  <c r="JN94" i="2" s="1"/>
  <c r="ED158" i="2" s="1"/>
  <c r="ED160" i="2" s="1"/>
  <c r="ED162" i="2" s="1"/>
  <c r="ED222" i="2" s="1"/>
  <c r="JL88" i="2"/>
  <c r="JL94" i="2" s="1"/>
  <c r="EB158" i="2" s="1"/>
  <c r="EB160" i="2" s="1"/>
  <c r="EB162" i="2" s="1"/>
  <c r="EB222" i="2" s="1"/>
  <c r="JV88" i="2"/>
  <c r="JV94" i="2" s="1"/>
  <c r="EL158" i="2" s="1"/>
  <c r="EL160" i="2" s="1"/>
  <c r="EL162" i="2" s="1"/>
  <c r="JT88" i="2"/>
  <c r="JT94" i="2" s="1"/>
  <c r="EJ158" i="2" s="1"/>
  <c r="EJ160" i="2" s="1"/>
  <c r="EJ162" i="2" s="1"/>
  <c r="JZ88" i="2"/>
  <c r="JZ94" i="2" s="1"/>
  <c r="EP158" i="2" s="1"/>
  <c r="EP160" i="2" s="1"/>
  <c r="EP162" i="2" s="1"/>
  <c r="JJ88" i="2"/>
  <c r="JJ94" i="2" s="1"/>
  <c r="DZ158" i="2" s="1"/>
  <c r="DZ160" i="2" s="1"/>
  <c r="DZ162" i="2" s="1"/>
  <c r="DZ222" i="2" s="1"/>
  <c r="KD88" i="2"/>
  <c r="KD94" i="2" s="1"/>
  <c r="ET158" i="2" s="1"/>
  <c r="ET160" i="2" s="1"/>
  <c r="ET162" i="2" s="1"/>
  <c r="KB88" i="2"/>
  <c r="KB94" i="2" s="1"/>
  <c r="ER158" i="2" s="1"/>
  <c r="ER160" i="2" s="1"/>
  <c r="ER162" i="2" s="1"/>
  <c r="JR88" i="2"/>
  <c r="JR94" i="2" s="1"/>
  <c r="EH158" i="2" s="1"/>
  <c r="EH160" i="2" s="1"/>
  <c r="EH162" i="2" s="1"/>
  <c r="EH222" i="2" s="1"/>
  <c r="JP88" i="2"/>
  <c r="JP94" i="2" s="1"/>
  <c r="EF158" i="2" s="1"/>
  <c r="EF160" i="2" s="1"/>
  <c r="EF162" i="2" s="1"/>
  <c r="EF222" i="2" s="1"/>
  <c r="JH88" i="2"/>
  <c r="JH94" i="2" s="1"/>
  <c r="DX158" i="2" s="1"/>
  <c r="DX160" i="2" s="1"/>
  <c r="DX162" i="2" s="1"/>
  <c r="DX222" i="2" s="1"/>
  <c r="JG88" i="2"/>
  <c r="JG94" i="2" s="1"/>
  <c r="DW158" i="2" s="1"/>
  <c r="DW160" i="2" s="1"/>
  <c r="DW162" i="2" s="1"/>
  <c r="DW222" i="2" s="1"/>
  <c r="JY88" i="2"/>
  <c r="JY94" i="2" s="1"/>
  <c r="EO158" i="2" s="1"/>
  <c r="EO160" i="2" s="1"/>
  <c r="EO162" i="2" s="1"/>
  <c r="JI88" i="2"/>
  <c r="JI94" i="2" s="1"/>
  <c r="DY158" i="2" s="1"/>
  <c r="DY160" i="2" s="1"/>
  <c r="DY162" i="2" s="1"/>
  <c r="DY222" i="2" s="1"/>
  <c r="JE88" i="2"/>
  <c r="JE94" i="2" s="1"/>
  <c r="DU158" i="2" s="1"/>
  <c r="DU160" i="2" s="1"/>
  <c r="DU162" i="2" s="1"/>
  <c r="DU222" i="2" s="1"/>
  <c r="IT88" i="2"/>
  <c r="IT94" i="2" s="1"/>
  <c r="DJ158" i="2" s="1"/>
  <c r="DJ160" i="2" s="1"/>
  <c r="DJ162" i="2" s="1"/>
  <c r="DJ222" i="2" s="1"/>
  <c r="IQ88" i="2"/>
  <c r="IQ94" i="2" s="1"/>
  <c r="DG158" i="2" s="1"/>
  <c r="DG160" i="2" s="1"/>
  <c r="DG162" i="2" s="1"/>
  <c r="DG222" i="2" s="1"/>
  <c r="IZ88" i="2"/>
  <c r="IZ94" i="2" s="1"/>
  <c r="DP158" i="2" s="1"/>
  <c r="DP160" i="2" s="1"/>
  <c r="DP162" i="2" s="1"/>
  <c r="DP222" i="2" s="1"/>
  <c r="IV88" i="2"/>
  <c r="IV94" i="2" s="1"/>
  <c r="DL158" i="2" s="1"/>
  <c r="DL160" i="2" s="1"/>
  <c r="DL162" i="2" s="1"/>
  <c r="DL222" i="2" s="1"/>
  <c r="IW88" i="2"/>
  <c r="IW94" i="2" s="1"/>
  <c r="DM158" i="2" s="1"/>
  <c r="DM160" i="2" s="1"/>
  <c r="DM162" i="2" s="1"/>
  <c r="DM222" i="2" s="1"/>
  <c r="JA88" i="2"/>
  <c r="JA94" i="2" s="1"/>
  <c r="DQ158" i="2" s="1"/>
  <c r="DQ160" i="2" s="1"/>
  <c r="DQ162" i="2" s="1"/>
  <c r="DQ222" i="2" s="1"/>
  <c r="JB88" i="2"/>
  <c r="JB94" i="2" s="1"/>
  <c r="DR158" i="2" s="1"/>
  <c r="DR160" i="2" s="1"/>
  <c r="DR162" i="2" s="1"/>
  <c r="DR222" i="2" s="1"/>
  <c r="IY88" i="2"/>
  <c r="IY94" i="2" s="1"/>
  <c r="DO158" i="2" s="1"/>
  <c r="DO160" i="2" s="1"/>
  <c r="DO162" i="2" s="1"/>
  <c r="DO222" i="2" s="1"/>
  <c r="IU88" i="2"/>
  <c r="IU94" i="2" s="1"/>
  <c r="DK158" i="2" s="1"/>
  <c r="DK160" i="2" s="1"/>
  <c r="DK162" i="2" s="1"/>
  <c r="DK222" i="2" s="1"/>
  <c r="IS88" i="2"/>
  <c r="IS94" i="2" s="1"/>
  <c r="DI158" i="2" s="1"/>
  <c r="DI160" i="2" s="1"/>
  <c r="DI162" i="2" s="1"/>
  <c r="DI222" i="2" s="1"/>
  <c r="IN88" i="2"/>
  <c r="IN94" i="2" s="1"/>
  <c r="DD158" i="2" s="1"/>
  <c r="DD160" i="2" s="1"/>
  <c r="DD162" i="2" s="1"/>
  <c r="DD222" i="2" s="1"/>
  <c r="IK88" i="2"/>
  <c r="IK94" i="2" s="1"/>
  <c r="DA158" i="2" s="1"/>
  <c r="DA160" i="2" s="1"/>
  <c r="DA162" i="2" s="1"/>
  <c r="DA222" i="2" s="1"/>
  <c r="IL88" i="2"/>
  <c r="IL94" i="2" s="1"/>
  <c r="DB158" i="2" s="1"/>
  <c r="DB160" i="2" s="1"/>
  <c r="DB162" i="2" s="1"/>
  <c r="DB222" i="2" s="1"/>
  <c r="JC88" i="2"/>
  <c r="JC94" i="2" s="1"/>
  <c r="DS158" i="2" s="1"/>
  <c r="DS160" i="2" s="1"/>
  <c r="DS162" i="2" s="1"/>
  <c r="DS222" i="2" s="1"/>
  <c r="IO88" i="2"/>
  <c r="IO94" i="2" s="1"/>
  <c r="DE158" i="2" s="1"/>
  <c r="DE160" i="2" s="1"/>
  <c r="DE162" i="2" s="1"/>
  <c r="DE222" i="2" s="1"/>
  <c r="IX88" i="2"/>
  <c r="IX94" i="2" s="1"/>
  <c r="DN158" i="2" s="1"/>
  <c r="DN160" i="2" s="1"/>
  <c r="DN162" i="2" s="1"/>
  <c r="DN222" i="2" s="1"/>
  <c r="IP88" i="2"/>
  <c r="IP94" i="2" s="1"/>
  <c r="DF158" i="2" s="1"/>
  <c r="DF160" i="2" s="1"/>
  <c r="DF162" i="2" s="1"/>
  <c r="DF222" i="2" s="1"/>
  <c r="IM88" i="2"/>
  <c r="IM94" i="2" s="1"/>
  <c r="DC158" i="2" s="1"/>
  <c r="DC160" i="2" s="1"/>
  <c r="DC162" i="2" s="1"/>
  <c r="DC222" i="2" s="1"/>
  <c r="JD88" i="2"/>
  <c r="JD94" i="2" s="1"/>
  <c r="DT158" i="2" s="1"/>
  <c r="DT160" i="2" s="1"/>
  <c r="DT162" i="2" s="1"/>
  <c r="DT222" i="2" s="1"/>
  <c r="IR88" i="2"/>
  <c r="IR94" i="2" s="1"/>
  <c r="DH158" i="2" s="1"/>
  <c r="DH160" i="2" s="1"/>
  <c r="DH162" i="2" s="1"/>
  <c r="DH222" i="2" s="1"/>
  <c r="IJ88" i="2"/>
  <c r="IJ94" i="2" s="1"/>
  <c r="CZ158" i="2" s="1"/>
  <c r="CZ160" i="2" s="1"/>
  <c r="CZ162" i="2" s="1"/>
  <c r="CZ222" i="2" s="1"/>
  <c r="HW88" i="2"/>
  <c r="HW94" i="2" s="1"/>
  <c r="CM158" i="2" s="1"/>
  <c r="CM160" i="2" s="1"/>
  <c r="CM162" i="2" s="1"/>
  <c r="CM222" i="2" s="1"/>
  <c r="HZ88" i="2"/>
  <c r="HZ94" i="2" s="1"/>
  <c r="CP158" i="2" s="1"/>
  <c r="CP160" i="2" s="1"/>
  <c r="CP162" i="2" s="1"/>
  <c r="CP222" i="2" s="1"/>
  <c r="HR88" i="2"/>
  <c r="HR94" i="2" s="1"/>
  <c r="CH158" i="2" s="1"/>
  <c r="CH160" i="2" s="1"/>
  <c r="CH162" i="2" s="1"/>
  <c r="CH222" i="2" s="1"/>
  <c r="HY88" i="2"/>
  <c r="HY94" i="2" s="1"/>
  <c r="CO158" i="2" s="1"/>
  <c r="CO160" i="2" s="1"/>
  <c r="CO162" i="2" s="1"/>
  <c r="CO222" i="2" s="1"/>
  <c r="IB88" i="2"/>
  <c r="IB94" i="2" s="1"/>
  <c r="CR158" i="2" s="1"/>
  <c r="CR160" i="2" s="1"/>
  <c r="CR162" i="2" s="1"/>
  <c r="CR222" i="2" s="1"/>
  <c r="HQ88" i="2"/>
  <c r="HQ94" i="2" s="1"/>
  <c r="CG158" i="2" s="1"/>
  <c r="CG160" i="2" s="1"/>
  <c r="CG162" i="2" s="1"/>
  <c r="CG222" i="2" s="1"/>
  <c r="II88" i="2"/>
  <c r="II94" i="2" s="1"/>
  <c r="CY158" i="2" s="1"/>
  <c r="CY160" i="2" s="1"/>
  <c r="CY162" i="2" s="1"/>
  <c r="CY222" i="2" s="1"/>
  <c r="IH88" i="2"/>
  <c r="IH94" i="2" s="1"/>
  <c r="CX158" i="2" s="1"/>
  <c r="CX160" i="2" s="1"/>
  <c r="CX162" i="2" s="1"/>
  <c r="CX222" i="2" s="1"/>
  <c r="IF88" i="2"/>
  <c r="IF94" i="2" s="1"/>
  <c r="CV158" i="2" s="1"/>
  <c r="CV160" i="2" s="1"/>
  <c r="CV162" i="2" s="1"/>
  <c r="CV222" i="2" s="1"/>
  <c r="IA88" i="2"/>
  <c r="IA94" i="2" s="1"/>
  <c r="CQ158" i="2" s="1"/>
  <c r="CQ160" i="2" s="1"/>
  <c r="CQ162" i="2" s="1"/>
  <c r="CQ222" i="2" s="1"/>
  <c r="HX88" i="2"/>
  <c r="HX94" i="2" s="1"/>
  <c r="CN158" i="2" s="1"/>
  <c r="CN160" i="2" s="1"/>
  <c r="CN162" i="2" s="1"/>
  <c r="CN222" i="2" s="1"/>
  <c r="HV88" i="2"/>
  <c r="HV94" i="2" s="1"/>
  <c r="CL158" i="2" s="1"/>
  <c r="CL160" i="2" s="1"/>
  <c r="CL162" i="2" s="1"/>
  <c r="CL222" i="2" s="1"/>
  <c r="IE88" i="2"/>
  <c r="IE94" i="2" s="1"/>
  <c r="CU158" i="2" s="1"/>
  <c r="CU160" i="2" s="1"/>
  <c r="CU162" i="2" s="1"/>
  <c r="CU222" i="2" s="1"/>
  <c r="IC88" i="2"/>
  <c r="IC94" i="2" s="1"/>
  <c r="CS158" i="2" s="1"/>
  <c r="CS160" i="2" s="1"/>
  <c r="CS162" i="2" s="1"/>
  <c r="CS222" i="2" s="1"/>
  <c r="HT88" i="2"/>
  <c r="HT94" i="2" s="1"/>
  <c r="CJ158" i="2" s="1"/>
  <c r="CJ160" i="2" s="1"/>
  <c r="CJ162" i="2" s="1"/>
  <c r="CJ222" i="2" s="1"/>
  <c r="HP88" i="2"/>
  <c r="HP94" i="2" s="1"/>
  <c r="CF158" i="2" s="1"/>
  <c r="CF160" i="2" s="1"/>
  <c r="CF162" i="2" s="1"/>
  <c r="CF222" i="2" s="1"/>
  <c r="IG88" i="2"/>
  <c r="IG94" i="2" s="1"/>
  <c r="CW158" i="2" s="1"/>
  <c r="CW160" i="2" s="1"/>
  <c r="CW162" i="2" s="1"/>
  <c r="CW222" i="2" s="1"/>
  <c r="ID88" i="2"/>
  <c r="ID94" i="2" s="1"/>
  <c r="CT158" i="2" s="1"/>
  <c r="CT160" i="2" s="1"/>
  <c r="CT162" i="2" s="1"/>
  <c r="CT222" i="2" s="1"/>
  <c r="HU88" i="2"/>
  <c r="HU94" i="2" s="1"/>
  <c r="CK158" i="2" s="1"/>
  <c r="CK160" i="2" s="1"/>
  <c r="CK162" i="2" s="1"/>
  <c r="CK222" i="2" s="1"/>
  <c r="HS88" i="2"/>
  <c r="HS94" i="2" s="1"/>
  <c r="CI158" i="2" s="1"/>
  <c r="CI160" i="2" s="1"/>
  <c r="CI162" i="2" s="1"/>
  <c r="CI222" i="2" s="1"/>
  <c r="HN88" i="2"/>
  <c r="HN94" i="2" s="1"/>
  <c r="CD158" i="2" s="1"/>
  <c r="CD160" i="2" s="1"/>
  <c r="CD162" i="2" s="1"/>
  <c r="CD222" i="2" s="1"/>
  <c r="HM88" i="2"/>
  <c r="HM94" i="2" s="1"/>
  <c r="CC158" i="2" s="1"/>
  <c r="CC160" i="2" s="1"/>
  <c r="CC162" i="2" s="1"/>
  <c r="CC222" i="2" s="1"/>
  <c r="HL88" i="2"/>
  <c r="HL94" i="2" s="1"/>
  <c r="CB158" i="2" s="1"/>
  <c r="HH88" i="2"/>
  <c r="HH94" i="2" s="1"/>
  <c r="BX158" i="2" s="1"/>
  <c r="BX160" i="2" s="1"/>
  <c r="BX162" i="2" s="1"/>
  <c r="BX222" i="2" s="1"/>
  <c r="HO88" i="2"/>
  <c r="HO94" i="2" s="1"/>
  <c r="CE158" i="2" s="1"/>
  <c r="CE160" i="2" s="1"/>
  <c r="CE162" i="2" s="1"/>
  <c r="CE222" i="2" s="1"/>
  <c r="HK88" i="2"/>
  <c r="HK94" i="2" s="1"/>
  <c r="CA158" i="2" s="1"/>
  <c r="CA160" i="2" s="1"/>
  <c r="CA162" i="2" s="1"/>
  <c r="CA222" i="2" s="1"/>
  <c r="GW88" i="2"/>
  <c r="GW94" i="2" s="1"/>
  <c r="BM158" i="2" s="1"/>
  <c r="BM160" i="2" s="1"/>
  <c r="BM162" i="2" s="1"/>
  <c r="BM222" i="2" s="1"/>
  <c r="HF88" i="2"/>
  <c r="HF94" i="2" s="1"/>
  <c r="BV158" i="2" s="1"/>
  <c r="BV160" i="2" s="1"/>
  <c r="BV162" i="2" s="1"/>
  <c r="BV222" i="2" s="1"/>
  <c r="GU88" i="2"/>
  <c r="GU94" i="2" s="1"/>
  <c r="BK158" i="2" s="1"/>
  <c r="BK160" i="2" s="1"/>
  <c r="BK162" i="2" s="1"/>
  <c r="BK222" i="2" s="1"/>
  <c r="HI88" i="2"/>
  <c r="HI94" i="2" s="1"/>
  <c r="BY158" i="2" s="1"/>
  <c r="BY160" i="2" s="1"/>
  <c r="BY162" i="2" s="1"/>
  <c r="BY222" i="2" s="1"/>
  <c r="GZ88" i="2"/>
  <c r="GZ94" i="2" s="1"/>
  <c r="BP158" i="2" s="1"/>
  <c r="BP160" i="2" s="1"/>
  <c r="BP162" i="2" s="1"/>
  <c r="BP222" i="2" s="1"/>
  <c r="GV88" i="2"/>
  <c r="GV94" i="2" s="1"/>
  <c r="BL158" i="2" s="1"/>
  <c r="BL160" i="2" s="1"/>
  <c r="BL162" i="2" s="1"/>
  <c r="BL222" i="2" s="1"/>
  <c r="HD88" i="2"/>
  <c r="HD94" i="2" s="1"/>
  <c r="BT158" i="2" s="1"/>
  <c r="BT160" i="2" s="1"/>
  <c r="BT162" i="2" s="1"/>
  <c r="BT222" i="2" s="1"/>
  <c r="HB88" i="2"/>
  <c r="HB94" i="2" s="1"/>
  <c r="BR158" i="2" s="1"/>
  <c r="BR160" i="2" s="1"/>
  <c r="BR162" i="2" s="1"/>
  <c r="BR222" i="2" s="1"/>
  <c r="HA88" i="2"/>
  <c r="HA94" i="2" s="1"/>
  <c r="BQ158" i="2" s="1"/>
  <c r="BQ160" i="2" s="1"/>
  <c r="BQ162" i="2" s="1"/>
  <c r="BQ222" i="2" s="1"/>
  <c r="HG88" i="2"/>
  <c r="HG94" i="2" s="1"/>
  <c r="BW158" i="2" s="1"/>
  <c r="BW160" i="2" s="1"/>
  <c r="BW162" i="2" s="1"/>
  <c r="BW222" i="2" s="1"/>
  <c r="HC88" i="2"/>
  <c r="HC94" i="2" s="1"/>
  <c r="BS158" i="2" s="1"/>
  <c r="BS160" i="2" s="1"/>
  <c r="BS162" i="2" s="1"/>
  <c r="BS222" i="2" s="1"/>
  <c r="GX88" i="2"/>
  <c r="GX94" i="2" s="1"/>
  <c r="BN158" i="2" s="1"/>
  <c r="BN160" i="2" s="1"/>
  <c r="BN162" i="2" s="1"/>
  <c r="BN222" i="2" s="1"/>
  <c r="HJ88" i="2"/>
  <c r="HJ94" i="2" s="1"/>
  <c r="BZ158" i="2" s="1"/>
  <c r="BZ160" i="2" s="1"/>
  <c r="BZ162" i="2" s="1"/>
  <c r="BZ222" i="2" s="1"/>
  <c r="HE88" i="2"/>
  <c r="HE94" i="2" s="1"/>
  <c r="BU158" i="2" s="1"/>
  <c r="BU160" i="2" s="1"/>
  <c r="BU162" i="2" s="1"/>
  <c r="BU222" i="2" s="1"/>
  <c r="GY88" i="2"/>
  <c r="GY94" i="2" s="1"/>
  <c r="BO158" i="2" s="1"/>
  <c r="BO160" i="2" s="1"/>
  <c r="BO162" i="2" s="1"/>
  <c r="BO222" i="2" s="1"/>
  <c r="GH88" i="2"/>
  <c r="GH94" i="2" s="1"/>
  <c r="AX158" i="2" s="1"/>
  <c r="AX160" i="2" s="1"/>
  <c r="AX162" i="2" s="1"/>
  <c r="AX222" i="2" s="1"/>
  <c r="GG88" i="2"/>
  <c r="GG94" i="2" s="1"/>
  <c r="AW158" i="2" s="1"/>
  <c r="AW160" i="2" s="1"/>
  <c r="AW162" i="2" s="1"/>
  <c r="AW222" i="2" s="1"/>
  <c r="GK88" i="2"/>
  <c r="GK94" i="2" s="1"/>
  <c r="BA158" i="2" s="1"/>
  <c r="BA160" i="2" s="1"/>
  <c r="BA162" i="2" s="1"/>
  <c r="BA222" i="2" s="1"/>
  <c r="GP88" i="2"/>
  <c r="GP94" i="2" s="1"/>
  <c r="BF158" i="2" s="1"/>
  <c r="BF160" i="2" s="1"/>
  <c r="BF162" i="2" s="1"/>
  <c r="BF222" i="2" s="1"/>
  <c r="GN88" i="2"/>
  <c r="GN94" i="2" s="1"/>
  <c r="BD158" i="2" s="1"/>
  <c r="BD160" i="2" s="1"/>
  <c r="BD162" i="2" s="1"/>
  <c r="BD222" i="2" s="1"/>
  <c r="GO88" i="2"/>
  <c r="GO94" i="2" s="1"/>
  <c r="BE158" i="2" s="1"/>
  <c r="BE160" i="2" s="1"/>
  <c r="BE162" i="2" s="1"/>
  <c r="BE222" i="2" s="1"/>
  <c r="GI88" i="2"/>
  <c r="GI94" i="2" s="1"/>
  <c r="AY158" i="2" s="1"/>
  <c r="AY160" i="2" s="1"/>
  <c r="AY162" i="2" s="1"/>
  <c r="AY222" i="2" s="1"/>
  <c r="GD88" i="2"/>
  <c r="GD94" i="2" s="1"/>
  <c r="AT158" i="2" s="1"/>
  <c r="AT160" i="2" s="1"/>
  <c r="AT162" i="2" s="1"/>
  <c r="AT222" i="2" s="1"/>
  <c r="GL88" i="2"/>
  <c r="GL94" i="2" s="1"/>
  <c r="BB158" i="2" s="1"/>
  <c r="BB160" i="2" s="1"/>
  <c r="BB162" i="2" s="1"/>
  <c r="BB222" i="2" s="1"/>
  <c r="GT88" i="2"/>
  <c r="GT94" i="2" s="1"/>
  <c r="BJ158" i="2" s="1"/>
  <c r="BJ160" i="2" s="1"/>
  <c r="BJ162" i="2" s="1"/>
  <c r="BJ222" i="2" s="1"/>
  <c r="GS88" i="2"/>
  <c r="GS94" i="2" s="1"/>
  <c r="BI158" i="2" s="1"/>
  <c r="BI160" i="2" s="1"/>
  <c r="BI162" i="2" s="1"/>
  <c r="BI222" i="2" s="1"/>
  <c r="GA88" i="2"/>
  <c r="GA94" i="2" s="1"/>
  <c r="AQ158" i="2" s="1"/>
  <c r="AQ160" i="2" s="1"/>
  <c r="AQ162" i="2" s="1"/>
  <c r="AQ222" i="2" s="1"/>
  <c r="GR88" i="2"/>
  <c r="GR94" i="2" s="1"/>
  <c r="BH158" i="2" s="1"/>
  <c r="BH160" i="2" s="1"/>
  <c r="BH162" i="2" s="1"/>
  <c r="BH222" i="2" s="1"/>
  <c r="GJ88" i="2"/>
  <c r="GJ94" i="2" s="1"/>
  <c r="AZ158" i="2" s="1"/>
  <c r="AZ160" i="2" s="1"/>
  <c r="AZ162" i="2" s="1"/>
  <c r="AZ222" i="2" s="1"/>
  <c r="GF88" i="2"/>
  <c r="GF94" i="2" s="1"/>
  <c r="AV158" i="2" s="1"/>
  <c r="AV160" i="2" s="1"/>
  <c r="AV162" i="2" s="1"/>
  <c r="AV222" i="2" s="1"/>
  <c r="GE88" i="2"/>
  <c r="GE94" i="2" s="1"/>
  <c r="AU158" i="2" s="1"/>
  <c r="AU160" i="2" s="1"/>
  <c r="AU162" i="2" s="1"/>
  <c r="AU222" i="2" s="1"/>
  <c r="GQ88" i="2"/>
  <c r="GQ94" i="2" s="1"/>
  <c r="BG158" i="2" s="1"/>
  <c r="BG160" i="2" s="1"/>
  <c r="BG162" i="2" s="1"/>
  <c r="BG222" i="2" s="1"/>
  <c r="GM88" i="2"/>
  <c r="GM94" i="2" s="1"/>
  <c r="BC158" i="2" s="1"/>
  <c r="BC160" i="2" s="1"/>
  <c r="BC162" i="2" s="1"/>
  <c r="BC222" i="2" s="1"/>
  <c r="GC88" i="2"/>
  <c r="GC94" i="2" s="1"/>
  <c r="AS158" i="2" s="1"/>
  <c r="AS160" i="2" s="1"/>
  <c r="AS162" i="2" s="1"/>
  <c r="AS222" i="2" s="1"/>
  <c r="GB88" i="2"/>
  <c r="GB94" i="2" s="1"/>
  <c r="AR158" i="2" s="1"/>
  <c r="FL88" i="2"/>
  <c r="FL94" i="2" s="1"/>
  <c r="AB158" i="2" s="1"/>
  <c r="AB160" i="2" s="1"/>
  <c r="AB162" i="2" s="1"/>
  <c r="AB222" i="2" s="1"/>
  <c r="FZ88" i="2"/>
  <c r="FZ94" i="2" s="1"/>
  <c r="AP158" i="2" s="1"/>
  <c r="AP160" i="2" s="1"/>
  <c r="AP162" i="2" s="1"/>
  <c r="AP222" i="2" s="1"/>
  <c r="FX88" i="2"/>
  <c r="FX94" i="2" s="1"/>
  <c r="AN158" i="2" s="1"/>
  <c r="AN160" i="2" s="1"/>
  <c r="AN162" i="2" s="1"/>
  <c r="AN222" i="2" s="1"/>
  <c r="FF88" i="2"/>
  <c r="FF94" i="2" s="1"/>
  <c r="V158" i="2" s="1"/>
  <c r="V160" i="2" s="1"/>
  <c r="V162" i="2" s="1"/>
  <c r="V222" i="2" s="1"/>
  <c r="FD88" i="2"/>
  <c r="FD94" i="2" s="1"/>
  <c r="T158" i="2" s="1"/>
  <c r="FM88" i="2"/>
  <c r="FM94" i="2" s="1"/>
  <c r="AC158" i="2" s="1"/>
  <c r="AC160" i="2" s="1"/>
  <c r="AC162" i="2" s="1"/>
  <c r="AC222" i="2" s="1"/>
  <c r="FS88" i="2"/>
  <c r="FS94" i="2" s="1"/>
  <c r="AI158" i="2" s="1"/>
  <c r="AI160" i="2" s="1"/>
  <c r="AI162" i="2" s="1"/>
  <c r="AI222" i="2" s="1"/>
  <c r="FY88" i="2"/>
  <c r="FY94" i="2" s="1"/>
  <c r="AO158" i="2" s="1"/>
  <c r="AO160" i="2" s="1"/>
  <c r="AO162" i="2" s="1"/>
  <c r="AO222" i="2" s="1"/>
  <c r="FG88" i="2"/>
  <c r="FG94" i="2" s="1"/>
  <c r="W158" i="2" s="1"/>
  <c r="W160" i="2" s="1"/>
  <c r="W162" i="2" s="1"/>
  <c r="W222" i="2" s="1"/>
  <c r="FU88" i="2"/>
  <c r="FU94" i="2" s="1"/>
  <c r="AK158" i="2" s="1"/>
  <c r="AK160" i="2" s="1"/>
  <c r="AK162" i="2" s="1"/>
  <c r="AK222" i="2" s="1"/>
  <c r="FV88" i="2"/>
  <c r="FV94" i="2" s="1"/>
  <c r="AL158" i="2" s="1"/>
  <c r="AL160" i="2" s="1"/>
  <c r="AL162" i="2" s="1"/>
  <c r="AL222" i="2" s="1"/>
  <c r="FO88" i="2"/>
  <c r="FO94" i="2" s="1"/>
  <c r="AE158" i="2" s="1"/>
  <c r="AE160" i="2" s="1"/>
  <c r="AE162" i="2" s="1"/>
  <c r="AE222" i="2" s="1"/>
  <c r="FK88" i="2"/>
  <c r="FK94" i="2" s="1"/>
  <c r="AA158" i="2" s="1"/>
  <c r="AA160" i="2" s="1"/>
  <c r="AA162" i="2" s="1"/>
  <c r="AA222" i="2" s="1"/>
  <c r="FH88" i="2"/>
  <c r="FH94" i="2" s="1"/>
  <c r="X158" i="2" s="1"/>
  <c r="X160" i="2" s="1"/>
  <c r="X162" i="2" s="1"/>
  <c r="X222" i="2" s="1"/>
  <c r="FW88" i="2"/>
  <c r="FW94" i="2" s="1"/>
  <c r="AM158" i="2" s="1"/>
  <c r="AM160" i="2" s="1"/>
  <c r="AM162" i="2" s="1"/>
  <c r="AM222" i="2" s="1"/>
  <c r="FT88" i="2"/>
  <c r="FT94" i="2" s="1"/>
  <c r="AJ158" i="2" s="1"/>
  <c r="AJ160" i="2" s="1"/>
  <c r="AJ162" i="2" s="1"/>
  <c r="AJ222" i="2" s="1"/>
  <c r="FR88" i="2"/>
  <c r="FR94" i="2" s="1"/>
  <c r="AH158" i="2" s="1"/>
  <c r="AH160" i="2" s="1"/>
  <c r="AH162" i="2" s="1"/>
  <c r="AH222" i="2" s="1"/>
  <c r="FN88" i="2"/>
  <c r="FN94" i="2" s="1"/>
  <c r="AD158" i="2" s="1"/>
  <c r="AD160" i="2" s="1"/>
  <c r="AD162" i="2" s="1"/>
  <c r="AD222" i="2" s="1"/>
  <c r="FP88" i="2"/>
  <c r="FP94" i="2" s="1"/>
  <c r="AF158" i="2" s="1"/>
  <c r="AF160" i="2" s="1"/>
  <c r="AF162" i="2" s="1"/>
  <c r="AF222" i="2" s="1"/>
  <c r="FI88" i="2"/>
  <c r="FI94" i="2" s="1"/>
  <c r="Y158" i="2" s="1"/>
  <c r="Y160" i="2" s="1"/>
  <c r="Y162" i="2" s="1"/>
  <c r="Y222" i="2" s="1"/>
  <c r="FQ88" i="2"/>
  <c r="FQ94" i="2" s="1"/>
  <c r="AG158" i="2" s="1"/>
  <c r="AG160" i="2" s="1"/>
  <c r="AG162" i="2" s="1"/>
  <c r="AG222" i="2" s="1"/>
  <c r="FJ88" i="2"/>
  <c r="FJ94" i="2" s="1"/>
  <c r="Z158" i="2" s="1"/>
  <c r="Z160" i="2" s="1"/>
  <c r="Z162" i="2" s="1"/>
  <c r="Z222" i="2" s="1"/>
  <c r="FE88" i="2"/>
  <c r="FE94" i="2" s="1"/>
  <c r="U158" i="2" s="1"/>
  <c r="U160" i="2" s="1"/>
  <c r="U162" i="2" s="1"/>
  <c r="U222" i="2" s="1"/>
  <c r="E90" i="2"/>
  <c r="D158" i="2"/>
  <c r="E158" i="2" s="1"/>
  <c r="FC88" i="2"/>
  <c r="FC94" i="2" s="1"/>
  <c r="C88" i="2"/>
  <c r="C90" i="2" s="1"/>
  <c r="AR160" i="2" l="1"/>
  <c r="AR162" i="2" s="1"/>
  <c r="AR222" i="2" s="1"/>
  <c r="K158" i="2"/>
  <c r="K160" i="2" s="1"/>
  <c r="CB160" i="2"/>
  <c r="E93" i="2" a="1"/>
  <c r="E93" i="2" s="1"/>
  <c r="T160" i="2"/>
  <c r="T162" i="2" s="1"/>
  <c r="T222" i="2" s="1"/>
  <c r="J158" i="2"/>
  <c r="J160" i="2" s="1"/>
  <c r="EO93" i="2"/>
  <c r="EO95" i="2" s="1"/>
  <c r="EO209" i="2" s="1"/>
  <c r="EN93" i="2"/>
  <c r="EN95" i="2" s="1"/>
  <c r="EN209" i="2" s="1"/>
  <c r="EU93" i="2"/>
  <c r="EU95" i="2" s="1"/>
  <c r="EU209" i="2" s="1"/>
  <c r="ES93" i="2"/>
  <c r="ES95" i="2" s="1"/>
  <c r="ES209" i="2" s="1"/>
  <c r="EJ93" i="2"/>
  <c r="EJ95" i="2" s="1"/>
  <c r="EJ209" i="2" s="1"/>
  <c r="ET93" i="2"/>
  <c r="ET95" i="2" s="1"/>
  <c r="ET209" i="2" s="1"/>
  <c r="EM93" i="2"/>
  <c r="EM95" i="2" s="1"/>
  <c r="EM209" i="2" s="1"/>
  <c r="EP93" i="2"/>
  <c r="EP95" i="2" s="1"/>
  <c r="EP209" i="2" s="1"/>
  <c r="EK93" i="2"/>
  <c r="EK95" i="2" s="1"/>
  <c r="EK209" i="2" s="1"/>
  <c r="DZ93" i="2"/>
  <c r="ER93" i="2"/>
  <c r="ER95" i="2" s="1"/>
  <c r="ER209" i="2" s="1"/>
  <c r="EQ93" i="2"/>
  <c r="EQ95" i="2" s="1"/>
  <c r="EQ209" i="2" s="1"/>
  <c r="EL93" i="2"/>
  <c r="EL95" i="2" s="1"/>
  <c r="EL209" i="2" s="1"/>
  <c r="DN93" i="2"/>
  <c r="DH93" i="2"/>
  <c r="DO93" i="2"/>
  <c r="DK93" i="2"/>
  <c r="CS93" i="2"/>
  <c r="CV93" i="2"/>
  <c r="BW93" i="2"/>
  <c r="BV93" i="2"/>
  <c r="BS93" i="2"/>
  <c r="BY93" i="2"/>
  <c r="CE93" i="2"/>
  <c r="BA93" i="2"/>
  <c r="AZ93" i="2"/>
  <c r="AQ93" i="2"/>
  <c r="BN93" i="2"/>
  <c r="CF93" i="2"/>
  <c r="CT93" i="2"/>
  <c r="DJ93" i="2"/>
  <c r="AM93" i="2"/>
  <c r="BP93" i="2"/>
  <c r="DU93" i="2"/>
  <c r="DC93" i="2"/>
  <c r="DY93" i="2"/>
  <c r="BJ93" i="2"/>
  <c r="AO93" i="2"/>
  <c r="BR93" i="2"/>
  <c r="BG93" i="2"/>
  <c r="DF93" i="2"/>
  <c r="CB93" i="2"/>
  <c r="V93" i="2"/>
  <c r="BL93" i="2"/>
  <c r="BQ93" i="2"/>
  <c r="DE93" i="2"/>
  <c r="CZ93" i="2"/>
  <c r="T93" i="2"/>
  <c r="AG93" i="2"/>
  <c r="AX93" i="2"/>
  <c r="DM93" i="2"/>
  <c r="CC93" i="2"/>
  <c r="DX93" i="2"/>
  <c r="EC93" i="2"/>
  <c r="X93" i="2"/>
  <c r="DD93" i="2"/>
  <c r="AB93" i="2"/>
  <c r="U93" i="2"/>
  <c r="AW93" i="2"/>
  <c r="DA93" i="2"/>
  <c r="CK93" i="2"/>
  <c r="CH93" i="2"/>
  <c r="CL93" i="2"/>
  <c r="AP93" i="2"/>
  <c r="BI93" i="2"/>
  <c r="CP93" i="2"/>
  <c r="W93" i="2"/>
  <c r="CY93" i="2"/>
  <c r="EA93" i="2"/>
  <c r="BX93" i="2"/>
  <c r="Y93" i="2"/>
  <c r="CI93" i="2"/>
  <c r="AI93" i="2"/>
  <c r="ED93" i="2"/>
  <c r="CO93" i="2"/>
  <c r="BT93" i="2"/>
  <c r="BM93" i="2"/>
  <c r="AD93" i="2"/>
  <c r="Z93" i="2"/>
  <c r="DW93" i="2"/>
  <c r="BZ93" i="2"/>
  <c r="DI93" i="2"/>
  <c r="DP93" i="2"/>
  <c r="AV93" i="2"/>
  <c r="DL93" i="2"/>
  <c r="DQ93" i="2"/>
  <c r="AH93" i="2"/>
  <c r="EB93" i="2"/>
  <c r="AK93" i="2"/>
  <c r="CA93" i="2"/>
  <c r="CD93" i="2"/>
  <c r="DR93" i="2"/>
  <c r="BU93" i="2"/>
  <c r="AS93" i="2"/>
  <c r="CN93" i="2"/>
  <c r="CX93" i="2"/>
  <c r="DB93" i="2"/>
  <c r="AJ93" i="2"/>
  <c r="BF93" i="2"/>
  <c r="DS93" i="2"/>
  <c r="CJ93" i="2"/>
  <c r="BB93" i="2"/>
  <c r="AN93" i="2"/>
  <c r="BO93" i="2"/>
  <c r="DV93" i="2"/>
  <c r="BD93" i="2"/>
  <c r="CR93" i="2"/>
  <c r="EF93" i="2"/>
  <c r="EI93" i="2"/>
  <c r="DG93" i="2"/>
  <c r="BC93" i="2"/>
  <c r="BK93" i="2"/>
  <c r="CW93" i="2"/>
  <c r="CQ93" i="2"/>
  <c r="AA93" i="2"/>
  <c r="BH93" i="2"/>
  <c r="EE93" i="2"/>
  <c r="AT93" i="2"/>
  <c r="EG93" i="2"/>
  <c r="AY93" i="2"/>
  <c r="AF93" i="2"/>
  <c r="G95" i="2"/>
  <c r="CM93" i="2"/>
  <c r="AU93" i="2"/>
  <c r="EH93" i="2"/>
  <c r="AE93" i="2"/>
  <c r="AR93" i="2"/>
  <c r="CU93" i="2"/>
  <c r="BE93" i="2"/>
  <c r="CG93" i="2"/>
  <c r="S93" i="2"/>
  <c r="DT93" i="2"/>
  <c r="AL93" i="2"/>
  <c r="AC93" i="2"/>
  <c r="BO95" i="2" l="1"/>
  <c r="BO209" i="2" s="1"/>
  <c r="BO219" i="2"/>
  <c r="BO226" i="2"/>
  <c r="DD219" i="2"/>
  <c r="DD95" i="2"/>
  <c r="DD209" i="2" s="1"/>
  <c r="DD226" i="2"/>
  <c r="BG95" i="2"/>
  <c r="BG209" i="2" s="1"/>
  <c r="BG219" i="2"/>
  <c r="BG226" i="2"/>
  <c r="CE219" i="2"/>
  <c r="CE95" i="2"/>
  <c r="CE209" i="2" s="1"/>
  <c r="CE226" i="2"/>
  <c r="EP210" i="2"/>
  <c r="ED112" i="4"/>
  <c r="ED113" i="4" s="1"/>
  <c r="X95" i="2"/>
  <c r="X209" i="2" s="1"/>
  <c r="X219" i="2"/>
  <c r="X229" i="2" s="1"/>
  <c r="X226" i="2"/>
  <c r="BR219" i="2"/>
  <c r="BR95" i="2"/>
  <c r="BR209" i="2" s="1"/>
  <c r="BR226" i="2"/>
  <c r="BY95" i="2"/>
  <c r="BY209" i="2" s="1"/>
  <c r="BY226" i="2"/>
  <c r="BY219" i="2"/>
  <c r="EM210" i="2"/>
  <c r="EA112" i="4"/>
  <c r="EA113" i="4" s="1"/>
  <c r="AC95" i="2"/>
  <c r="AC209" i="2" s="1"/>
  <c r="AC219" i="2"/>
  <c r="AC226" i="2"/>
  <c r="EC219" i="2"/>
  <c r="EC95" i="2"/>
  <c r="EC209" i="2" s="1"/>
  <c r="EC226" i="2"/>
  <c r="AO95" i="2"/>
  <c r="AO209" i="2" s="1"/>
  <c r="AO226" i="2"/>
  <c r="AO219" i="2"/>
  <c r="BS226" i="2"/>
  <c r="BS95" i="2"/>
  <c r="BS209" i="2" s="1"/>
  <c r="BS219" i="2"/>
  <c r="ET210" i="2"/>
  <c r="EH112" i="4"/>
  <c r="EH113" i="4" s="1"/>
  <c r="AL219" i="2"/>
  <c r="AL95" i="2"/>
  <c r="AL209" i="2" s="1"/>
  <c r="AL226" i="2"/>
  <c r="EA95" i="2"/>
  <c r="EA209" i="2" s="1"/>
  <c r="EA219" i="2"/>
  <c r="EA226" i="2"/>
  <c r="DX219" i="2"/>
  <c r="DX95" i="2"/>
  <c r="DX209" i="2" s="1"/>
  <c r="DX226" i="2"/>
  <c r="BJ95" i="2"/>
  <c r="BJ209" i="2" s="1"/>
  <c r="BJ219" i="2"/>
  <c r="BJ226" i="2"/>
  <c r="BV95" i="2"/>
  <c r="BV209" i="2" s="1"/>
  <c r="BV226" i="2"/>
  <c r="BV219" i="2"/>
  <c r="EJ210" i="2"/>
  <c r="DX112" i="4"/>
  <c r="DX113" i="4" s="1"/>
  <c r="CI95" i="2"/>
  <c r="CI209" i="2" s="1"/>
  <c r="CI219" i="2"/>
  <c r="CI226" i="2"/>
  <c r="CY219" i="2"/>
  <c r="CY95" i="2"/>
  <c r="CY209" i="2" s="1"/>
  <c r="CY226" i="2"/>
  <c r="CC95" i="2"/>
  <c r="CC209" i="2" s="1"/>
  <c r="CC219" i="2"/>
  <c r="CC229" i="2" s="1"/>
  <c r="CC226" i="2"/>
  <c r="DY95" i="2"/>
  <c r="DY209" i="2" s="1"/>
  <c r="DY219" i="2"/>
  <c r="DY226" i="2"/>
  <c r="BW95" i="2"/>
  <c r="BW209" i="2" s="1"/>
  <c r="BW226" i="2"/>
  <c r="BW219" i="2"/>
  <c r="EG112" i="4"/>
  <c r="EG113" i="4" s="1"/>
  <c r="ES210" i="2"/>
  <c r="DQ219" i="2"/>
  <c r="DQ95" i="2"/>
  <c r="DQ209" i="2" s="1"/>
  <c r="DQ226" i="2"/>
  <c r="DP219" i="2"/>
  <c r="DP95" i="2"/>
  <c r="DP209" i="2" s="1"/>
  <c r="DP226" i="2"/>
  <c r="W219" i="2"/>
  <c r="W229" i="2" s="1"/>
  <c r="W95" i="2"/>
  <c r="W209" i="2" s="1"/>
  <c r="W226" i="2"/>
  <c r="DM219" i="2"/>
  <c r="DM95" i="2"/>
  <c r="DM209" i="2" s="1"/>
  <c r="DM226" i="2"/>
  <c r="DC95" i="2"/>
  <c r="DC209" i="2" s="1"/>
  <c r="DC219" i="2"/>
  <c r="DC226" i="2"/>
  <c r="CV95" i="2"/>
  <c r="CV209" i="2" s="1"/>
  <c r="CV219" i="2"/>
  <c r="CV226" i="2"/>
  <c r="EI112" i="4"/>
  <c r="EI113" i="4" s="1"/>
  <c r="EU210" i="2"/>
  <c r="AT95" i="2"/>
  <c r="AT209" i="2" s="1"/>
  <c r="AT219" i="2"/>
  <c r="AT226" i="2"/>
  <c r="CG95" i="2"/>
  <c r="CG209" i="2" s="1"/>
  <c r="CG219" i="2"/>
  <c r="CG226" i="2"/>
  <c r="CP95" i="2"/>
  <c r="CP209" i="2" s="1"/>
  <c r="CP219" i="2"/>
  <c r="CP226" i="2"/>
  <c r="AX95" i="2"/>
  <c r="AX209" i="2" s="1"/>
  <c r="AX219" i="2"/>
  <c r="AX226" i="2"/>
  <c r="DU95" i="2"/>
  <c r="DU209" i="2" s="1"/>
  <c r="DU219" i="2"/>
  <c r="DU226" i="2"/>
  <c r="CS95" i="2"/>
  <c r="CS209" i="2" s="1"/>
  <c r="CS226" i="2"/>
  <c r="CS219" i="2"/>
  <c r="EN210" i="2"/>
  <c r="EB112" i="4"/>
  <c r="EB113" i="4" s="1"/>
  <c r="EB95" i="2"/>
  <c r="EB209" i="2" s="1"/>
  <c r="EB219" i="2"/>
  <c r="EB226" i="2"/>
  <c r="EE219" i="2"/>
  <c r="EE95" i="2"/>
  <c r="EE209" i="2" s="1"/>
  <c r="EE226" i="2"/>
  <c r="AA95" i="2"/>
  <c r="AA209" i="2" s="1"/>
  <c r="AA219" i="2"/>
  <c r="AA226" i="2"/>
  <c r="BZ219" i="2"/>
  <c r="BZ95" i="2"/>
  <c r="BZ209" i="2" s="1"/>
  <c r="BZ226" i="2"/>
  <c r="BI95" i="2"/>
  <c r="BI209" i="2" s="1"/>
  <c r="BI219" i="2"/>
  <c r="BI226" i="2"/>
  <c r="AG226" i="2"/>
  <c r="AG219" i="2"/>
  <c r="AG95" i="2"/>
  <c r="AG209" i="2" s="1"/>
  <c r="BP219" i="2"/>
  <c r="BP95" i="2"/>
  <c r="BP209" i="2" s="1"/>
  <c r="BP226" i="2"/>
  <c r="DK226" i="2"/>
  <c r="DK95" i="2"/>
  <c r="DK209" i="2" s="1"/>
  <c r="DK219" i="2"/>
  <c r="EO210" i="2"/>
  <c r="EC112" i="4"/>
  <c r="EC113" i="4" s="1"/>
  <c r="AH95" i="2"/>
  <c r="AH209" i="2" s="1"/>
  <c r="AH226" i="2"/>
  <c r="AH219" i="2"/>
  <c r="BF95" i="2"/>
  <c r="BF209" i="2" s="1"/>
  <c r="BF219" i="2"/>
  <c r="BF229" i="2" s="1"/>
  <c r="BF226" i="2"/>
  <c r="BK219" i="2"/>
  <c r="BK95" i="2"/>
  <c r="BK209" i="2" s="1"/>
  <c r="BK226" i="2"/>
  <c r="DW95" i="2"/>
  <c r="DW209" i="2" s="1"/>
  <c r="DW219" i="2"/>
  <c r="DW226" i="2"/>
  <c r="AP95" i="2"/>
  <c r="AP209" i="2" s="1"/>
  <c r="AP219" i="2"/>
  <c r="AP226" i="2"/>
  <c r="T219" i="2"/>
  <c r="T226" i="2"/>
  <c r="T95" i="2"/>
  <c r="T209" i="2" s="1"/>
  <c r="H112" i="4" s="1"/>
  <c r="AM226" i="2"/>
  <c r="AM219" i="2"/>
  <c r="AM95" i="2"/>
  <c r="AM209" i="2" s="1"/>
  <c r="DO219" i="2"/>
  <c r="DO95" i="2"/>
  <c r="DO209" i="2" s="1"/>
  <c r="DO226" i="2"/>
  <c r="J161" i="2"/>
  <c r="J162" i="2"/>
  <c r="I24" i="1"/>
  <c r="Y219" i="2"/>
  <c r="Y95" i="2"/>
  <c r="Y209" i="2" s="1"/>
  <c r="Y226" i="2"/>
  <c r="DT95" i="2"/>
  <c r="DT209" i="2" s="1"/>
  <c r="DT219" i="2"/>
  <c r="DT226" i="2"/>
  <c r="AJ95" i="2"/>
  <c r="AJ209" i="2" s="1"/>
  <c r="AJ219" i="2"/>
  <c r="AJ226" i="2"/>
  <c r="AR95" i="2"/>
  <c r="AR209" i="2" s="1"/>
  <c r="AR219" i="2"/>
  <c r="AR226" i="2"/>
  <c r="CN95" i="2"/>
  <c r="CN209" i="2" s="1"/>
  <c r="CN219" i="2"/>
  <c r="CN226" i="2"/>
  <c r="Z219" i="2"/>
  <c r="Z95" i="2"/>
  <c r="Z209" i="2" s="1"/>
  <c r="Z226" i="2"/>
  <c r="CL219" i="2"/>
  <c r="CL95" i="2"/>
  <c r="CL209" i="2" s="1"/>
  <c r="CL226" i="2"/>
  <c r="CZ95" i="2"/>
  <c r="CZ209" i="2" s="1"/>
  <c r="CZ219" i="2"/>
  <c r="CZ226" i="2"/>
  <c r="DJ219" i="2"/>
  <c r="DJ229" i="2" s="1"/>
  <c r="DJ95" i="2"/>
  <c r="DJ209" i="2" s="1"/>
  <c r="DJ226" i="2"/>
  <c r="DH95" i="2"/>
  <c r="DH209" i="2" s="1"/>
  <c r="DH226" i="2"/>
  <c r="DH219" i="2"/>
  <c r="EG95" i="2"/>
  <c r="EG209" i="2" s="1"/>
  <c r="EG219" i="2"/>
  <c r="EG226" i="2"/>
  <c r="DS219" i="2"/>
  <c r="DS95" i="2"/>
  <c r="DS209" i="2" s="1"/>
  <c r="DS226" i="2"/>
  <c r="CW219" i="2"/>
  <c r="CW95" i="2"/>
  <c r="CW209" i="2" s="1"/>
  <c r="CW226" i="2"/>
  <c r="BC219" i="2"/>
  <c r="BC95" i="2"/>
  <c r="BC209" i="2" s="1"/>
  <c r="BC226" i="2"/>
  <c r="AE95" i="2"/>
  <c r="AE209" i="2" s="1"/>
  <c r="AE219" i="2"/>
  <c r="AE226" i="2"/>
  <c r="DG95" i="2"/>
  <c r="DG209" i="2" s="1"/>
  <c r="DG219" i="2"/>
  <c r="DG226" i="2"/>
  <c r="AS219" i="2"/>
  <c r="AS95" i="2"/>
  <c r="AS209" i="2" s="1"/>
  <c r="AS226" i="2"/>
  <c r="AD95" i="2"/>
  <c r="AD209" i="2" s="1"/>
  <c r="AD226" i="2"/>
  <c r="AD219" i="2"/>
  <c r="CH95" i="2"/>
  <c r="CH209" i="2" s="1"/>
  <c r="CH219" i="2"/>
  <c r="CH226" i="2"/>
  <c r="DE95" i="2"/>
  <c r="DE209" i="2" s="1"/>
  <c r="DE219" i="2"/>
  <c r="DE226" i="2"/>
  <c r="CT95" i="2"/>
  <c r="CT209" i="2" s="1"/>
  <c r="CT219" i="2"/>
  <c r="CT226" i="2"/>
  <c r="DN219" i="2"/>
  <c r="DN226" i="2"/>
  <c r="DN95" i="2"/>
  <c r="DN209" i="2" s="1"/>
  <c r="DL95" i="2"/>
  <c r="DL209" i="2" s="1"/>
  <c r="DL219" i="2"/>
  <c r="DL226" i="2"/>
  <c r="S95" i="2"/>
  <c r="S226" i="2"/>
  <c r="S219" i="2"/>
  <c r="CX95" i="2"/>
  <c r="CX209" i="2" s="1"/>
  <c r="CX219" i="2"/>
  <c r="CX226" i="2"/>
  <c r="EH95" i="2"/>
  <c r="EH209" i="2" s="1"/>
  <c r="EH219" i="2"/>
  <c r="EH226" i="2"/>
  <c r="EI95" i="2"/>
  <c r="EI209" i="2" s="1"/>
  <c r="EI219" i="2"/>
  <c r="I93" i="2"/>
  <c r="I95" i="2" s="1"/>
  <c r="EI226" i="2"/>
  <c r="BU219" i="2"/>
  <c r="BU95" i="2"/>
  <c r="BU209" i="2" s="1"/>
  <c r="BU226" i="2"/>
  <c r="BM95" i="2"/>
  <c r="BM209" i="2" s="1"/>
  <c r="BM219" i="2"/>
  <c r="BM226" i="2"/>
  <c r="CK95" i="2"/>
  <c r="CK209" i="2" s="1"/>
  <c r="CK219" i="2"/>
  <c r="CK226" i="2"/>
  <c r="BQ95" i="2"/>
  <c r="BQ209" i="2" s="1"/>
  <c r="BQ219" i="2"/>
  <c r="BQ226" i="2"/>
  <c r="CF219" i="2"/>
  <c r="CF95" i="2"/>
  <c r="CF209" i="2" s="1"/>
  <c r="CF226" i="2"/>
  <c r="DZ112" i="4"/>
  <c r="DZ113" i="4" s="1"/>
  <c r="EL210" i="2"/>
  <c r="BB95" i="2"/>
  <c r="BB209" i="2" s="1"/>
  <c r="BB219" i="2"/>
  <c r="BB226" i="2"/>
  <c r="BH219" i="2"/>
  <c r="BH95" i="2"/>
  <c r="BH209" i="2" s="1"/>
  <c r="BH226" i="2"/>
  <c r="DB95" i="2"/>
  <c r="DB209" i="2" s="1"/>
  <c r="DB219" i="2"/>
  <c r="DB226" i="2"/>
  <c r="DR219" i="2"/>
  <c r="DR95" i="2"/>
  <c r="DR209" i="2" s="1"/>
  <c r="DR226" i="2"/>
  <c r="BN219" i="2"/>
  <c r="BN95" i="2"/>
  <c r="BN209" i="2" s="1"/>
  <c r="BN226" i="2"/>
  <c r="EE112" i="4"/>
  <c r="EE113" i="4" s="1"/>
  <c r="EQ210" i="2"/>
  <c r="AN219" i="2"/>
  <c r="AN95" i="2"/>
  <c r="AN209" i="2" s="1"/>
  <c r="AN226" i="2"/>
  <c r="AV219" i="2"/>
  <c r="AV95" i="2"/>
  <c r="AV209" i="2" s="1"/>
  <c r="AV226" i="2"/>
  <c r="BE95" i="2"/>
  <c r="BE209" i="2" s="1"/>
  <c r="BE219" i="2"/>
  <c r="BE226" i="2"/>
  <c r="EF219" i="2"/>
  <c r="EF95" i="2"/>
  <c r="EF209" i="2" s="1"/>
  <c r="EF226" i="2"/>
  <c r="DA219" i="2"/>
  <c r="DA95" i="2"/>
  <c r="DA209" i="2" s="1"/>
  <c r="DA226" i="2"/>
  <c r="CR95" i="2"/>
  <c r="CR209" i="2" s="1"/>
  <c r="CR219" i="2"/>
  <c r="CR226" i="2"/>
  <c r="CD219" i="2"/>
  <c r="CD95" i="2"/>
  <c r="CD209" i="2" s="1"/>
  <c r="CD226" i="2"/>
  <c r="CO95" i="2"/>
  <c r="CO209" i="2" s="1"/>
  <c r="CO219" i="2"/>
  <c r="CO226" i="2"/>
  <c r="AW95" i="2"/>
  <c r="AW209" i="2" s="1"/>
  <c r="AW219" i="2"/>
  <c r="AW226" i="2"/>
  <c r="V226" i="2"/>
  <c r="V95" i="2"/>
  <c r="V209" i="2" s="1"/>
  <c r="V219" i="2"/>
  <c r="AQ95" i="2"/>
  <c r="AQ209" i="2" s="1"/>
  <c r="AQ226" i="2"/>
  <c r="AQ219" i="2"/>
  <c r="ER210" i="2"/>
  <c r="EF112" i="4"/>
  <c r="EF113" i="4" s="1"/>
  <c r="E94" i="2" a="1"/>
  <c r="E94" i="2" s="1"/>
  <c r="CB162" i="2"/>
  <c r="CB222" i="2" s="1"/>
  <c r="K222" i="2" s="1"/>
  <c r="AY95" i="2"/>
  <c r="AY209" i="2" s="1"/>
  <c r="AY219" i="2"/>
  <c r="AY226" i="2"/>
  <c r="CJ95" i="2"/>
  <c r="CJ209" i="2" s="1"/>
  <c r="CJ219" i="2"/>
  <c r="CJ226" i="2"/>
  <c r="CQ219" i="2"/>
  <c r="CQ95" i="2"/>
  <c r="CQ209" i="2" s="1"/>
  <c r="CQ226" i="2"/>
  <c r="CU219" i="2"/>
  <c r="CU95" i="2"/>
  <c r="CU209" i="2" s="1"/>
  <c r="CU226" i="2"/>
  <c r="BT95" i="2"/>
  <c r="BT209" i="2" s="1"/>
  <c r="BT219" i="2"/>
  <c r="BT226" i="2"/>
  <c r="CM95" i="2"/>
  <c r="CM209" i="2" s="1"/>
  <c r="CM219" i="2"/>
  <c r="CM226" i="2"/>
  <c r="BD219" i="2"/>
  <c r="BD95" i="2"/>
  <c r="BD209" i="2" s="1"/>
  <c r="BD226" i="2"/>
  <c r="CA95" i="2"/>
  <c r="CA209" i="2" s="1"/>
  <c r="CA219" i="2"/>
  <c r="CA226" i="2"/>
  <c r="ED95" i="2"/>
  <c r="ED209" i="2" s="1"/>
  <c r="ED219" i="2"/>
  <c r="ED226" i="2"/>
  <c r="U219" i="2"/>
  <c r="U226" i="2"/>
  <c r="U95" i="2"/>
  <c r="U209" i="2" s="1"/>
  <c r="CB219" i="2"/>
  <c r="CB95" i="2"/>
  <c r="CB209" i="2" s="1"/>
  <c r="CB226" i="2"/>
  <c r="AZ95" i="2"/>
  <c r="AZ209" i="2" s="1"/>
  <c r="AZ219" i="2"/>
  <c r="AZ226" i="2"/>
  <c r="DZ219" i="2"/>
  <c r="DZ95" i="2"/>
  <c r="DZ209" i="2" s="1"/>
  <c r="DZ226" i="2"/>
  <c r="J24" i="1"/>
  <c r="K162" i="2"/>
  <c r="K161" i="2"/>
  <c r="BX219" i="2"/>
  <c r="BX95" i="2"/>
  <c r="BX209" i="2" s="1"/>
  <c r="BX226" i="2"/>
  <c r="DI95" i="2"/>
  <c r="DI209" i="2" s="1"/>
  <c r="DI219" i="2"/>
  <c r="DI226" i="2"/>
  <c r="AU95" i="2"/>
  <c r="AU209" i="2" s="1"/>
  <c r="AU219" i="2"/>
  <c r="AU226" i="2"/>
  <c r="BL95" i="2"/>
  <c r="BL209" i="2" s="1"/>
  <c r="BL219" i="2"/>
  <c r="BL226" i="2"/>
  <c r="AF95" i="2"/>
  <c r="AF209" i="2" s="1"/>
  <c r="AF219" i="2"/>
  <c r="AF226" i="2"/>
  <c r="DV95" i="2"/>
  <c r="DV209" i="2" s="1"/>
  <c r="DV219" i="2"/>
  <c r="DV226" i="2"/>
  <c r="AK95" i="2"/>
  <c r="AK209" i="2" s="1"/>
  <c r="AK219" i="2"/>
  <c r="AK226" i="2"/>
  <c r="AI95" i="2"/>
  <c r="AI209" i="2" s="1"/>
  <c r="AI219" i="2"/>
  <c r="AI226" i="2"/>
  <c r="AB95" i="2"/>
  <c r="AB209" i="2" s="1"/>
  <c r="AB219" i="2"/>
  <c r="AB226" i="2"/>
  <c r="DF95" i="2"/>
  <c r="DF209" i="2" s="1"/>
  <c r="DF219" i="2"/>
  <c r="DF226" i="2"/>
  <c r="BA95" i="2"/>
  <c r="BA209" i="2" s="1"/>
  <c r="BA226" i="2"/>
  <c r="BA219" i="2"/>
  <c r="DY112" i="4"/>
  <c r="DY113" i="4" s="1"/>
  <c r="EK210" i="2"/>
  <c r="BS229" i="2" l="1"/>
  <c r="DK229" i="2"/>
  <c r="CY116" i="4" s="1"/>
  <c r="CN229" i="2"/>
  <c r="CB116" i="4" s="1"/>
  <c r="EB229" i="2"/>
  <c r="AO229" i="2"/>
  <c r="AC116" i="4" s="1"/>
  <c r="AG229" i="2"/>
  <c r="U116" i="4" s="1"/>
  <c r="BJ229" i="2"/>
  <c r="AX116" i="4" s="1"/>
  <c r="AZ229" i="2"/>
  <c r="AN116" i="4" s="1"/>
  <c r="AQ229" i="2"/>
  <c r="AM229" i="2"/>
  <c r="CR229" i="2"/>
  <c r="V229" i="2"/>
  <c r="BW229" i="2"/>
  <c r="BY229" i="2"/>
  <c r="BE229" i="2"/>
  <c r="AV229" i="2"/>
  <c r="U229" i="2"/>
  <c r="BB229" i="2"/>
  <c r="R93" i="2"/>
  <c r="CS229" i="2"/>
  <c r="DN229" i="2"/>
  <c r="CD229" i="2"/>
  <c r="BH229" i="2"/>
  <c r="CB229" i="2"/>
  <c r="ED229" i="2"/>
  <c r="AX229" i="2"/>
  <c r="EG229" i="2"/>
  <c r="BI229" i="2"/>
  <c r="AW116" i="4" s="1"/>
  <c r="AH229" i="2"/>
  <c r="CV229" i="2"/>
  <c r="DA229" i="2"/>
  <c r="BV229" i="2"/>
  <c r="DZ229" i="2"/>
  <c r="DM229" i="2"/>
  <c r="AU229" i="2"/>
  <c r="AY229" i="2"/>
  <c r="CO229" i="2"/>
  <c r="DB229" i="2"/>
  <c r="AT229" i="2"/>
  <c r="BM229" i="2"/>
  <c r="CH229" i="2"/>
  <c r="BC229" i="2"/>
  <c r="DI229" i="2"/>
  <c r="BA229" i="2"/>
  <c r="BT229" i="2"/>
  <c r="Z229" i="2"/>
  <c r="AK229" i="2"/>
  <c r="EF229" i="2"/>
  <c r="DH229" i="2"/>
  <c r="CD210" i="2"/>
  <c r="BR112" i="4"/>
  <c r="BR113" i="4" s="1"/>
  <c r="AV112" i="4"/>
  <c r="AV113" i="4" s="1"/>
  <c r="BH210" i="2"/>
  <c r="K219" i="2"/>
  <c r="R219" i="2" s="1"/>
  <c r="S229" i="2"/>
  <c r="BC210" i="2"/>
  <c r="AQ112" i="4"/>
  <c r="AQ113" i="4" s="1"/>
  <c r="CX112" i="4"/>
  <c r="CX113" i="4" s="1"/>
  <c r="DJ210" i="2"/>
  <c r="AF112" i="4"/>
  <c r="AR210" i="2"/>
  <c r="AM210" i="2"/>
  <c r="AA112" i="4"/>
  <c r="AA113" i="4" s="1"/>
  <c r="GP207" i="2"/>
  <c r="AT116" i="4"/>
  <c r="K116" i="4"/>
  <c r="FG207" i="2"/>
  <c r="BQ116" i="4"/>
  <c r="HM207" i="2"/>
  <c r="AC112" i="4"/>
  <c r="AC113" i="4" s="1"/>
  <c r="AO210" i="2"/>
  <c r="FH207" i="2"/>
  <c r="L116" i="4"/>
  <c r="K226" i="2"/>
  <c r="R226" i="2" s="1"/>
  <c r="IT207" i="2"/>
  <c r="CX116" i="4"/>
  <c r="AT112" i="4"/>
  <c r="AT113" i="4" s="1"/>
  <c r="BF210" i="2"/>
  <c r="BQ112" i="4"/>
  <c r="BQ113" i="4" s="1"/>
  <c r="CC210" i="2"/>
  <c r="DL112" i="4"/>
  <c r="DX210" i="2"/>
  <c r="L112" i="4"/>
  <c r="L113" i="4" s="1"/>
  <c r="X210" i="2"/>
  <c r="BT210" i="2"/>
  <c r="BH112" i="4"/>
  <c r="BH113" i="4" s="1"/>
  <c r="AB112" i="4"/>
  <c r="AB113" i="4" s="1"/>
  <c r="AN210" i="2"/>
  <c r="BA112" i="4"/>
  <c r="BA113" i="4" s="1"/>
  <c r="BM210" i="2"/>
  <c r="R95" i="2"/>
  <c r="S209" i="2"/>
  <c r="G112" i="4" s="1"/>
  <c r="CH210" i="2"/>
  <c r="BV112" i="4"/>
  <c r="BV113" i="4" s="1"/>
  <c r="AJ229" i="2"/>
  <c r="BI210" i="2"/>
  <c r="AW112" i="4"/>
  <c r="AW113" i="4" s="1"/>
  <c r="AT210" i="2"/>
  <c r="AH112" i="4"/>
  <c r="AH113" i="4" s="1"/>
  <c r="DP210" i="2"/>
  <c r="DD112" i="4"/>
  <c r="DD113" i="4" s="1"/>
  <c r="DX229" i="2"/>
  <c r="DQ112" i="4"/>
  <c r="DQ113" i="4" s="1"/>
  <c r="EC210" i="2"/>
  <c r="CF116" i="4"/>
  <c r="AN229" i="2"/>
  <c r="AD229" i="2"/>
  <c r="CK112" i="4"/>
  <c r="CK113" i="4" s="1"/>
  <c r="CW210" i="2"/>
  <c r="CZ229" i="2"/>
  <c r="X112" i="4"/>
  <c r="X113" i="4" s="1"/>
  <c r="AJ210" i="2"/>
  <c r="H113" i="4"/>
  <c r="CG112" i="4"/>
  <c r="CG113" i="4" s="1"/>
  <c r="CS210" i="2"/>
  <c r="DP229" i="2"/>
  <c r="CM112" i="4"/>
  <c r="CM113" i="4" s="1"/>
  <c r="CY210" i="2"/>
  <c r="EC229" i="2"/>
  <c r="DV229" i="2"/>
  <c r="CI112" i="4"/>
  <c r="CI113" i="4" s="1"/>
  <c r="CU210" i="2"/>
  <c r="CR210" i="2"/>
  <c r="CF112" i="4"/>
  <c r="CF113" i="4" s="1"/>
  <c r="BB210" i="2"/>
  <c r="AP112" i="4"/>
  <c r="AP113" i="4" s="1"/>
  <c r="BU210" i="2"/>
  <c r="BI112" i="4"/>
  <c r="BI113" i="4" s="1"/>
  <c r="CW229" i="2"/>
  <c r="CZ210" i="2"/>
  <c r="CN112" i="4"/>
  <c r="V112" i="4"/>
  <c r="V113" i="4" s="1"/>
  <c r="AH210" i="2"/>
  <c r="BN112" i="4"/>
  <c r="BN113" i="4" s="1"/>
  <c r="BZ210" i="2"/>
  <c r="CY229" i="2"/>
  <c r="EA229" i="2"/>
  <c r="U210" i="2"/>
  <c r="I112" i="4"/>
  <c r="I113" i="4" s="1"/>
  <c r="CU229" i="2"/>
  <c r="AE112" i="4"/>
  <c r="AE113" i="4" s="1"/>
  <c r="AQ210" i="2"/>
  <c r="BU229" i="2"/>
  <c r="DL229" i="2"/>
  <c r="R112" i="4"/>
  <c r="R113" i="4" s="1"/>
  <c r="AD210" i="2"/>
  <c r="DT229" i="2"/>
  <c r="T229" i="2"/>
  <c r="BZ229" i="2"/>
  <c r="DU229" i="2"/>
  <c r="DE112" i="4"/>
  <c r="DE113" i="4" s="1"/>
  <c r="DQ210" i="2"/>
  <c r="EA210" i="2"/>
  <c r="DO112" i="4"/>
  <c r="DO113" i="4" s="1"/>
  <c r="AC229" i="2"/>
  <c r="BS112" i="4"/>
  <c r="BS113" i="4" s="1"/>
  <c r="CE210" i="2"/>
  <c r="DJ112" i="4"/>
  <c r="DJ113" i="4" s="1"/>
  <c r="DV210" i="2"/>
  <c r="ED210" i="2"/>
  <c r="DR112" i="4"/>
  <c r="DR113" i="4" s="1"/>
  <c r="CO112" i="4"/>
  <c r="CO113" i="4" s="1"/>
  <c r="DA210" i="2"/>
  <c r="DL210" i="2"/>
  <c r="CZ112" i="4"/>
  <c r="DS210" i="2"/>
  <c r="DG112" i="4"/>
  <c r="DG113" i="4" s="1"/>
  <c r="CL210" i="2"/>
  <c r="BZ112" i="4"/>
  <c r="BZ113" i="4" s="1"/>
  <c r="DT210" i="2"/>
  <c r="DH112" i="4"/>
  <c r="DH113" i="4" s="1"/>
  <c r="DI112" i="4"/>
  <c r="DI113" i="4" s="1"/>
  <c r="DU210" i="2"/>
  <c r="DQ229" i="2"/>
  <c r="CI229" i="2"/>
  <c r="Q112" i="4"/>
  <c r="Q113" i="4" s="1"/>
  <c r="AC210" i="2"/>
  <c r="CE229" i="2"/>
  <c r="V210" i="2"/>
  <c r="J112" i="4"/>
  <c r="J113" i="4" s="1"/>
  <c r="BN210" i="2"/>
  <c r="BB112" i="4"/>
  <c r="BB113" i="4" s="1"/>
  <c r="DB112" i="4"/>
  <c r="DB113" i="4" s="1"/>
  <c r="DN210" i="2"/>
  <c r="AG112" i="4"/>
  <c r="AG113" i="4" s="1"/>
  <c r="AS210" i="2"/>
  <c r="DS229" i="2"/>
  <c r="CL229" i="2"/>
  <c r="AP229" i="2"/>
  <c r="AA229" i="2"/>
  <c r="CV210" i="2"/>
  <c r="CJ112" i="4"/>
  <c r="CJ113" i="4" s="1"/>
  <c r="BW112" i="4"/>
  <c r="BW113" i="4" s="1"/>
  <c r="CI210" i="2"/>
  <c r="Z112" i="4"/>
  <c r="Z113" i="4" s="1"/>
  <c r="AL210" i="2"/>
  <c r="CE112" i="4"/>
  <c r="CE113" i="4" s="1"/>
  <c r="CQ210" i="2"/>
  <c r="DF229" i="2"/>
  <c r="AF210" i="2"/>
  <c r="T112" i="4"/>
  <c r="CA229" i="2"/>
  <c r="CQ229" i="2"/>
  <c r="BN229" i="2"/>
  <c r="CF210" i="2"/>
  <c r="BT112" i="4"/>
  <c r="BT113" i="4" s="1"/>
  <c r="EI229" i="2"/>
  <c r="AS229" i="2"/>
  <c r="M112" i="4"/>
  <c r="M113" i="4" s="1"/>
  <c r="Y210" i="2"/>
  <c r="AP210" i="2"/>
  <c r="AD112" i="4"/>
  <c r="AD113" i="4" s="1"/>
  <c r="CY112" i="4"/>
  <c r="CY113" i="4" s="1"/>
  <c r="DK210" i="2"/>
  <c r="O112" i="4"/>
  <c r="O113" i="4" s="1"/>
  <c r="AA210" i="2"/>
  <c r="AL229" i="2"/>
  <c r="BG229" i="2"/>
  <c r="BX229" i="2"/>
  <c r="DN112" i="4"/>
  <c r="DN113" i="4" s="1"/>
  <c r="DZ210" i="2"/>
  <c r="CA210" i="2"/>
  <c r="BO112" i="4"/>
  <c r="BO113" i="4" s="1"/>
  <c r="DT112" i="4"/>
  <c r="DT113" i="4" s="1"/>
  <c r="EF210" i="2"/>
  <c r="CF229" i="2"/>
  <c r="EI210" i="2"/>
  <c r="D209" i="2"/>
  <c r="D210" i="2" s="1"/>
  <c r="DW112" i="4"/>
  <c r="DW113" i="4" s="1"/>
  <c r="N112" i="4"/>
  <c r="N113" i="4" s="1"/>
  <c r="Z210" i="2"/>
  <c r="Y229" i="2"/>
  <c r="AX210" i="2"/>
  <c r="AL112" i="4"/>
  <c r="AL113" i="4" s="1"/>
  <c r="DC229" i="2"/>
  <c r="BG210" i="2"/>
  <c r="AU112" i="4"/>
  <c r="AU113" i="4" s="1"/>
  <c r="CW112" i="4"/>
  <c r="CW113" i="4" s="1"/>
  <c r="DI210" i="2"/>
  <c r="BL112" i="4"/>
  <c r="BL113" i="4" s="1"/>
  <c r="BX210" i="2"/>
  <c r="CJ229" i="2"/>
  <c r="AW229" i="2"/>
  <c r="DF112" i="4"/>
  <c r="DF113" i="4" s="1"/>
  <c r="DR210" i="2"/>
  <c r="DG229" i="2"/>
  <c r="EG210" i="2"/>
  <c r="DU112" i="4"/>
  <c r="DU113" i="4" s="1"/>
  <c r="I25" i="1"/>
  <c r="I27" i="1" s="1"/>
  <c r="E25" i="1"/>
  <c r="E26" i="1"/>
  <c r="DW229" i="2"/>
  <c r="EE210" i="2"/>
  <c r="DS112" i="4"/>
  <c r="DS113" i="4" s="1"/>
  <c r="DC210" i="2"/>
  <c r="CQ112" i="4"/>
  <c r="CQ113" i="4" s="1"/>
  <c r="BL229" i="2"/>
  <c r="AB229" i="2"/>
  <c r="BL210" i="2"/>
  <c r="AZ112" i="4"/>
  <c r="AZ113" i="4" s="1"/>
  <c r="AR112" i="4"/>
  <c r="BD210" i="2"/>
  <c r="CJ210" i="2"/>
  <c r="BX112" i="4"/>
  <c r="BX113" i="4" s="1"/>
  <c r="AW210" i="2"/>
  <c r="AK112" i="4"/>
  <c r="AK113" i="4" s="1"/>
  <c r="DR229" i="2"/>
  <c r="BQ229" i="2"/>
  <c r="EH229" i="2"/>
  <c r="CT229" i="2"/>
  <c r="DG210" i="2"/>
  <c r="CU112" i="4"/>
  <c r="CU113" i="4" s="1"/>
  <c r="DW210" i="2"/>
  <c r="DK112" i="4"/>
  <c r="DK113" i="4" s="1"/>
  <c r="BD112" i="4"/>
  <c r="BP210" i="2"/>
  <c r="EE229" i="2"/>
  <c r="CP229" i="2"/>
  <c r="BW210" i="2"/>
  <c r="BK112" i="4"/>
  <c r="BK113" i="4" s="1"/>
  <c r="HC207" i="2"/>
  <c r="BG116" i="4"/>
  <c r="BY210" i="2"/>
  <c r="BM112" i="4"/>
  <c r="BM113" i="4" s="1"/>
  <c r="CR112" i="4"/>
  <c r="CR113" i="4" s="1"/>
  <c r="DD210" i="2"/>
  <c r="BA210" i="2"/>
  <c r="AO112" i="4"/>
  <c r="AO113" i="4" s="1"/>
  <c r="CT112" i="4"/>
  <c r="CT113" i="4" s="1"/>
  <c r="DF210" i="2"/>
  <c r="AB210" i="2"/>
  <c r="P112" i="4"/>
  <c r="P113" i="4" s="1"/>
  <c r="BD229" i="2"/>
  <c r="BQ210" i="2"/>
  <c r="BE112" i="4"/>
  <c r="BE113" i="4" s="1"/>
  <c r="EH210" i="2"/>
  <c r="DV112" i="4"/>
  <c r="DV113" i="4" s="1"/>
  <c r="CH112" i="4"/>
  <c r="CH113" i="4" s="1"/>
  <c r="CT210" i="2"/>
  <c r="BP229" i="2"/>
  <c r="CD112" i="4"/>
  <c r="CD113" i="4" s="1"/>
  <c r="CP210" i="2"/>
  <c r="DM210" i="2"/>
  <c r="DA112" i="4"/>
  <c r="DA113" i="4" s="1"/>
  <c r="BJ112" i="4"/>
  <c r="BJ113" i="4" s="1"/>
  <c r="BV210" i="2"/>
  <c r="BG112" i="4"/>
  <c r="BG113" i="4" s="1"/>
  <c r="BS210" i="2"/>
  <c r="DD229" i="2"/>
  <c r="AZ210" i="2"/>
  <c r="AN112" i="4"/>
  <c r="AN113" i="4" s="1"/>
  <c r="AS112" i="4"/>
  <c r="AS113" i="4" s="1"/>
  <c r="BE210" i="2"/>
  <c r="AE229" i="2"/>
  <c r="CB112" i="4"/>
  <c r="CN210" i="2"/>
  <c r="BK210" i="2"/>
  <c r="AY112" i="4"/>
  <c r="AY113" i="4" s="1"/>
  <c r="U112" i="4"/>
  <c r="U113" i="4" s="1"/>
  <c r="AG210" i="2"/>
  <c r="DP116" i="4"/>
  <c r="JL207" i="2"/>
  <c r="DY229" i="2"/>
  <c r="BR210" i="2"/>
  <c r="BF112" i="4"/>
  <c r="BF113" i="4" s="1"/>
  <c r="AF229" i="2"/>
  <c r="AU210" i="2"/>
  <c r="AI112" i="4"/>
  <c r="AI113" i="4" s="1"/>
  <c r="CM229" i="2"/>
  <c r="AY210" i="2"/>
  <c r="AM112" i="4"/>
  <c r="AM113" i="4" s="1"/>
  <c r="CO210" i="2"/>
  <c r="CC112" i="4"/>
  <c r="CC113" i="4" s="1"/>
  <c r="CP112" i="4"/>
  <c r="CP113" i="4" s="1"/>
  <c r="DB210" i="2"/>
  <c r="CK229" i="2"/>
  <c r="CX229" i="2"/>
  <c r="DE229" i="2"/>
  <c r="S112" i="4"/>
  <c r="S113" i="4" s="1"/>
  <c r="AE210" i="2"/>
  <c r="DH210" i="2"/>
  <c r="CV112" i="4"/>
  <c r="CV113" i="4" s="1"/>
  <c r="DO210" i="2"/>
  <c r="DC112" i="4"/>
  <c r="DC113" i="4" s="1"/>
  <c r="BK229" i="2"/>
  <c r="DP112" i="4"/>
  <c r="DP113" i="4" s="1"/>
  <c r="EB210" i="2"/>
  <c r="CG229" i="2"/>
  <c r="DY210" i="2"/>
  <c r="DM112" i="4"/>
  <c r="DM113" i="4" s="1"/>
  <c r="BR229" i="2"/>
  <c r="BO229" i="2"/>
  <c r="Y112" i="4"/>
  <c r="Y113" i="4" s="1"/>
  <c r="AK210" i="2"/>
  <c r="J25" i="1"/>
  <c r="J27" i="1" s="1"/>
  <c r="F26" i="1"/>
  <c r="F25" i="1"/>
  <c r="K24" i="1"/>
  <c r="K25" i="1" s="1"/>
  <c r="K27" i="1" s="1"/>
  <c r="AI229" i="2"/>
  <c r="AI210" i="2"/>
  <c r="W112" i="4"/>
  <c r="W113" i="4" s="1"/>
  <c r="CB210" i="2"/>
  <c r="BP112" i="4"/>
  <c r="CM210" i="2"/>
  <c r="CA112" i="4"/>
  <c r="CA113" i="4" s="1"/>
  <c r="AJ112" i="4"/>
  <c r="AJ113" i="4" s="1"/>
  <c r="AV210" i="2"/>
  <c r="BY112" i="4"/>
  <c r="BY113" i="4" s="1"/>
  <c r="CK210" i="2"/>
  <c r="CL112" i="4"/>
  <c r="CL113" i="4" s="1"/>
  <c r="CX210" i="2"/>
  <c r="CS112" i="4"/>
  <c r="CS113" i="4" s="1"/>
  <c r="DE210" i="2"/>
  <c r="AR229" i="2"/>
  <c r="DO229" i="2"/>
  <c r="BU112" i="4"/>
  <c r="BU113" i="4" s="1"/>
  <c r="CG210" i="2"/>
  <c r="W210" i="2"/>
  <c r="K112" i="4"/>
  <c r="K113" i="4" s="1"/>
  <c r="BJ210" i="2"/>
  <c r="AX112" i="4"/>
  <c r="AX113" i="4" s="1"/>
  <c r="BC112" i="4"/>
  <c r="BC113" i="4" s="1"/>
  <c r="BO210" i="2"/>
  <c r="GS207" i="2" l="1"/>
  <c r="IU207" i="2"/>
  <c r="DK232" i="2"/>
  <c r="DK231" i="2" s="1"/>
  <c r="DJ232" i="2"/>
  <c r="DJ231" i="2" s="1"/>
  <c r="CC232" i="2"/>
  <c r="CC231" i="2" s="1"/>
  <c r="BS232" i="2"/>
  <c r="BS231" i="2" s="1"/>
  <c r="BF232" i="2"/>
  <c r="BF231" i="2" s="1"/>
  <c r="HX207" i="2"/>
  <c r="GT207" i="2"/>
  <c r="KE195" i="2"/>
  <c r="JO195" i="2"/>
  <c r="IY195" i="2"/>
  <c r="II195" i="2"/>
  <c r="HS195" i="2"/>
  <c r="HC195" i="2"/>
  <c r="GM195" i="2"/>
  <c r="FW195" i="2"/>
  <c r="FG195" i="2"/>
  <c r="HQ195" i="2"/>
  <c r="FU195" i="2"/>
  <c r="GI195" i="2"/>
  <c r="IT195" i="2"/>
  <c r="GH195" i="2"/>
  <c r="KD195" i="2"/>
  <c r="JN195" i="2"/>
  <c r="IX195" i="2"/>
  <c r="IH195" i="2"/>
  <c r="HR195" i="2"/>
  <c r="HB195" i="2"/>
  <c r="GL195" i="2"/>
  <c r="FV195" i="2"/>
  <c r="FF195" i="2"/>
  <c r="IG195" i="2"/>
  <c r="GK195" i="2"/>
  <c r="HO195" i="2"/>
  <c r="JJ195" i="2"/>
  <c r="HN195" i="2"/>
  <c r="KC195" i="2"/>
  <c r="JM195" i="2"/>
  <c r="IW195" i="2"/>
  <c r="HA195" i="2"/>
  <c r="FE195" i="2"/>
  <c r="GY195" i="2"/>
  <c r="JZ195" i="2"/>
  <c r="GX195" i="2"/>
  <c r="KB195" i="2"/>
  <c r="JL195" i="2"/>
  <c r="IV195" i="2"/>
  <c r="IF195" i="2"/>
  <c r="HP195" i="2"/>
  <c r="GZ195" i="2"/>
  <c r="GJ195" i="2"/>
  <c r="FT195" i="2"/>
  <c r="FD195" i="2"/>
  <c r="JK195" i="2"/>
  <c r="IU195" i="2"/>
  <c r="IE195" i="2"/>
  <c r="FS195" i="2"/>
  <c r="ID195" i="2"/>
  <c r="FR195" i="2"/>
  <c r="KA195" i="2"/>
  <c r="JY195" i="2"/>
  <c r="JI195" i="2"/>
  <c r="IS195" i="2"/>
  <c r="IC195" i="2"/>
  <c r="HM195" i="2"/>
  <c r="GW195" i="2"/>
  <c r="GG195" i="2"/>
  <c r="FQ195" i="2"/>
  <c r="GB195" i="2"/>
  <c r="HG195" i="2"/>
  <c r="JR195" i="2"/>
  <c r="FJ195" i="2"/>
  <c r="JX195" i="2"/>
  <c r="JH195" i="2"/>
  <c r="IR195" i="2"/>
  <c r="IB195" i="2"/>
  <c r="HL195" i="2"/>
  <c r="GV195" i="2"/>
  <c r="GF195" i="2"/>
  <c r="FP195" i="2"/>
  <c r="GR195" i="2"/>
  <c r="JC195" i="2"/>
  <c r="HV195" i="2"/>
  <c r="JW195" i="2"/>
  <c r="JG195" i="2"/>
  <c r="IQ195" i="2"/>
  <c r="IA195" i="2"/>
  <c r="HK195" i="2"/>
  <c r="GU195" i="2"/>
  <c r="GE195" i="2"/>
  <c r="FO195" i="2"/>
  <c r="HH195" i="2"/>
  <c r="HW195" i="2"/>
  <c r="HF195" i="2"/>
  <c r="JV195" i="2"/>
  <c r="JF195" i="2"/>
  <c r="IP195" i="2"/>
  <c r="HZ195" i="2"/>
  <c r="HJ195" i="2"/>
  <c r="GT195" i="2"/>
  <c r="GD195" i="2"/>
  <c r="FN195" i="2"/>
  <c r="HX195" i="2"/>
  <c r="IM195" i="2"/>
  <c r="FK195" i="2"/>
  <c r="GP195" i="2"/>
  <c r="JU195" i="2"/>
  <c r="JE195" i="2"/>
  <c r="IO195" i="2"/>
  <c r="HY195" i="2"/>
  <c r="HI195" i="2"/>
  <c r="GS195" i="2"/>
  <c r="GC195" i="2"/>
  <c r="FM195" i="2"/>
  <c r="IN195" i="2"/>
  <c r="GQ195" i="2"/>
  <c r="IL195" i="2"/>
  <c r="FZ195" i="2"/>
  <c r="JT195" i="2"/>
  <c r="JD195" i="2"/>
  <c r="FL195" i="2"/>
  <c r="GA195" i="2"/>
  <c r="JB195" i="2"/>
  <c r="JS195" i="2"/>
  <c r="JQ195" i="2"/>
  <c r="JA195" i="2"/>
  <c r="IK195" i="2"/>
  <c r="HU195" i="2"/>
  <c r="HE195" i="2"/>
  <c r="GO195" i="2"/>
  <c r="FY195" i="2"/>
  <c r="FI195" i="2"/>
  <c r="JP195" i="2"/>
  <c r="IZ195" i="2"/>
  <c r="IJ195" i="2"/>
  <c r="HT195" i="2"/>
  <c r="HD195" i="2"/>
  <c r="GN195" i="2"/>
  <c r="FX195" i="2"/>
  <c r="FH195" i="2"/>
  <c r="GJ207" i="2"/>
  <c r="DU232" i="2"/>
  <c r="DU231" i="2" s="1"/>
  <c r="DX232" i="2"/>
  <c r="DX231" i="2" s="1"/>
  <c r="GW207" i="2"/>
  <c r="BM232" i="2"/>
  <c r="BM231" i="2" s="1"/>
  <c r="BP116" i="4"/>
  <c r="CB232" i="2"/>
  <c r="CB231" i="2" s="1"/>
  <c r="BZ232" i="2"/>
  <c r="BZ231" i="2" s="1"/>
  <c r="GR207" i="2"/>
  <c r="BH232" i="2"/>
  <c r="BH231" i="2" s="1"/>
  <c r="BJ232" i="2"/>
  <c r="BJ231" i="2" s="1"/>
  <c r="CJ232" i="2"/>
  <c r="CJ231" i="2" s="1"/>
  <c r="CF232" i="2"/>
  <c r="CF231" i="2" s="1"/>
  <c r="DP232" i="2"/>
  <c r="DP231" i="2" s="1"/>
  <c r="CP116" i="4"/>
  <c r="DB232" i="2"/>
  <c r="DB231" i="2" s="1"/>
  <c r="BR116" i="4"/>
  <c r="CD232" i="2"/>
  <c r="CD231" i="2" s="1"/>
  <c r="BL232" i="2"/>
  <c r="BL231" i="2" s="1"/>
  <c r="DT232" i="2"/>
  <c r="DT231" i="2" s="1"/>
  <c r="CC116" i="4"/>
  <c r="CO232" i="2"/>
  <c r="CO231" i="2" s="1"/>
  <c r="DB116" i="4"/>
  <c r="DN232" i="2"/>
  <c r="DN231" i="2" s="1"/>
  <c r="BP232" i="2"/>
  <c r="BP231" i="2" s="1"/>
  <c r="CE232" i="2"/>
  <c r="CE231" i="2" s="1"/>
  <c r="CG116" i="4"/>
  <c r="CS232" i="2"/>
  <c r="CS231" i="2" s="1"/>
  <c r="EB232" i="2"/>
  <c r="EB231" i="2" s="1"/>
  <c r="EI232" i="2"/>
  <c r="EI231" i="2" s="1"/>
  <c r="CW232" i="2"/>
  <c r="CW231" i="2" s="1"/>
  <c r="CN232" i="2"/>
  <c r="CN231" i="2" s="1"/>
  <c r="CT232" i="2"/>
  <c r="CT231" i="2" s="1"/>
  <c r="DL232" i="2"/>
  <c r="DL231" i="2" s="1"/>
  <c r="DA116" i="4"/>
  <c r="DM232" i="2"/>
  <c r="DM231" i="2" s="1"/>
  <c r="BK232" i="2"/>
  <c r="BK231" i="2" s="1"/>
  <c r="CM232" i="2"/>
  <c r="CM231" i="2" s="1"/>
  <c r="EH232" i="2"/>
  <c r="EH231" i="2" s="1"/>
  <c r="CI232" i="2"/>
  <c r="CI231" i="2" s="1"/>
  <c r="BU232" i="2"/>
  <c r="BU231" i="2" s="1"/>
  <c r="IR207" i="2"/>
  <c r="DH232" i="2"/>
  <c r="DH231" i="2" s="1"/>
  <c r="JJ207" i="2"/>
  <c r="DZ232" i="2"/>
  <c r="DZ231" i="2" s="1"/>
  <c r="CK232" i="2"/>
  <c r="CK231" i="2" s="1"/>
  <c r="CG232" i="2"/>
  <c r="CG231" i="2" s="1"/>
  <c r="BQ232" i="2"/>
  <c r="BQ231" i="2" s="1"/>
  <c r="DW232" i="2"/>
  <c r="DW231" i="2" s="1"/>
  <c r="BN232" i="2"/>
  <c r="BN231" i="2" s="1"/>
  <c r="DQ232" i="2"/>
  <c r="DQ231" i="2" s="1"/>
  <c r="CZ232" i="2"/>
  <c r="CZ231" i="2" s="1"/>
  <c r="DT116" i="4"/>
  <c r="EF232" i="2"/>
  <c r="EF231" i="2" s="1"/>
  <c r="BJ116" i="4"/>
  <c r="BV232" i="2"/>
  <c r="BV231" i="2" s="1"/>
  <c r="DR232" i="2"/>
  <c r="DR231" i="2" s="1"/>
  <c r="DC232" i="2"/>
  <c r="DC231" i="2" s="1"/>
  <c r="BX232" i="2"/>
  <c r="BX231" i="2" s="1"/>
  <c r="CQ232" i="2"/>
  <c r="CQ231" i="2" s="1"/>
  <c r="IK207" i="2"/>
  <c r="DA232" i="2"/>
  <c r="DA231" i="2" s="1"/>
  <c r="GO207" i="2"/>
  <c r="BE232" i="2"/>
  <c r="BE231" i="2" s="1"/>
  <c r="BG232" i="2"/>
  <c r="BG231" i="2" s="1"/>
  <c r="CA232" i="2"/>
  <c r="CA231" i="2" s="1"/>
  <c r="CL232" i="2"/>
  <c r="CL231" i="2" s="1"/>
  <c r="CU232" i="2"/>
  <c r="CU231" i="2" s="1"/>
  <c r="IF207" i="2"/>
  <c r="CV232" i="2"/>
  <c r="CV231" i="2" s="1"/>
  <c r="BM116" i="4"/>
  <c r="BY232" i="2"/>
  <c r="BY231" i="2" s="1"/>
  <c r="DD232" i="2"/>
  <c r="DD231" i="2" s="1"/>
  <c r="DS232" i="2"/>
  <c r="DS231" i="2" s="1"/>
  <c r="HD207" i="2"/>
  <c r="BT232" i="2"/>
  <c r="BT231" i="2" s="1"/>
  <c r="HG207" i="2"/>
  <c r="BW232" i="2"/>
  <c r="BW231" i="2" s="1"/>
  <c r="BO232" i="2"/>
  <c r="BO231" i="2" s="1"/>
  <c r="BI232" i="2"/>
  <c r="BI231" i="2" s="1"/>
  <c r="BR232" i="2"/>
  <c r="BR231" i="2" s="1"/>
  <c r="DY232" i="2"/>
  <c r="DY231" i="2" s="1"/>
  <c r="BD232" i="2"/>
  <c r="BD231" i="2" s="1"/>
  <c r="DF232" i="2"/>
  <c r="DF231" i="2" s="1"/>
  <c r="EA232" i="2"/>
  <c r="EA231" i="2" s="1"/>
  <c r="IS207" i="2"/>
  <c r="DI232" i="2"/>
  <c r="DI231" i="2" s="1"/>
  <c r="JQ207" i="2"/>
  <c r="EG232" i="2"/>
  <c r="EG231" i="2" s="1"/>
  <c r="IB207" i="2"/>
  <c r="CR232" i="2"/>
  <c r="CR231" i="2" s="1"/>
  <c r="DE232" i="2"/>
  <c r="DE231" i="2" s="1"/>
  <c r="CP232" i="2"/>
  <c r="CP231" i="2" s="1"/>
  <c r="DG232" i="2"/>
  <c r="DG231" i="2" s="1"/>
  <c r="CY232" i="2"/>
  <c r="CY231" i="2" s="1"/>
  <c r="DV232" i="2"/>
  <c r="DV231" i="2" s="1"/>
  <c r="DO232" i="2"/>
  <c r="DO231" i="2" s="1"/>
  <c r="CX232" i="2"/>
  <c r="CX231" i="2" s="1"/>
  <c r="EE232" i="2"/>
  <c r="EE231" i="2" s="1"/>
  <c r="EC232" i="2"/>
  <c r="EC231" i="2" s="1"/>
  <c r="BV116" i="4"/>
  <c r="CH232" i="2"/>
  <c r="CH231" i="2" s="1"/>
  <c r="JN207" i="2"/>
  <c r="ED232" i="2"/>
  <c r="ED231" i="2" s="1"/>
  <c r="AR232" i="2"/>
  <c r="AR231" i="2" s="1"/>
  <c r="Y232" i="2"/>
  <c r="Y231" i="2" s="1"/>
  <c r="AE232" i="2"/>
  <c r="AE231" i="2" s="1"/>
  <c r="X232" i="2"/>
  <c r="X231" i="2" s="1"/>
  <c r="AL232" i="2"/>
  <c r="AL231" i="2" s="1"/>
  <c r="AI232" i="2"/>
  <c r="AI231" i="2" s="1"/>
  <c r="AJ116" i="4"/>
  <c r="AV232" i="2"/>
  <c r="AV231" i="2" s="1"/>
  <c r="AP232" i="2"/>
  <c r="AP231" i="2" s="1"/>
  <c r="Y116" i="4"/>
  <c r="AK232" i="2"/>
  <c r="AK231" i="2" s="1"/>
  <c r="AF232" i="2"/>
  <c r="AF231" i="2" s="1"/>
  <c r="FJ207" i="2"/>
  <c r="Z232" i="2"/>
  <c r="Z231" i="2" s="1"/>
  <c r="AC232" i="2"/>
  <c r="AC231" i="2" s="1"/>
  <c r="AD232" i="2"/>
  <c r="AD231" i="2" s="1"/>
  <c r="V116" i="4"/>
  <c r="AH232" i="2"/>
  <c r="AH231" i="2" s="1"/>
  <c r="AN232" i="2"/>
  <c r="AN231" i="2" s="1"/>
  <c r="AO116" i="4"/>
  <c r="BA232" i="2"/>
  <c r="BA231" i="2" s="1"/>
  <c r="J116" i="4"/>
  <c r="V232" i="2"/>
  <c r="V231" i="2" s="1"/>
  <c r="GM207" i="2"/>
  <c r="BC232" i="2"/>
  <c r="BC231" i="2" s="1"/>
  <c r="AL116" i="4"/>
  <c r="AX232" i="2"/>
  <c r="AX231" i="2" s="1"/>
  <c r="FW207" i="2"/>
  <c r="AM232" i="2"/>
  <c r="AM231" i="2" s="1"/>
  <c r="GA207" i="2"/>
  <c r="AQ232" i="2"/>
  <c r="AQ231" i="2" s="1"/>
  <c r="AZ232" i="2"/>
  <c r="AZ231" i="2" s="1"/>
  <c r="AW232" i="2"/>
  <c r="AW231" i="2" s="1"/>
  <c r="GD207" i="2"/>
  <c r="AT232" i="2"/>
  <c r="AT231" i="2" s="1"/>
  <c r="AB232" i="2"/>
  <c r="AB231" i="2" s="1"/>
  <c r="FQ207" i="2"/>
  <c r="AG232" i="2"/>
  <c r="AG231" i="2" s="1"/>
  <c r="FY207" i="2"/>
  <c r="AO232" i="2"/>
  <c r="AO231" i="2" s="1"/>
  <c r="AS232" i="2"/>
  <c r="AS231" i="2" s="1"/>
  <c r="GI207" i="2"/>
  <c r="AY232" i="2"/>
  <c r="AY231" i="2" s="1"/>
  <c r="GE207" i="2"/>
  <c r="AU232" i="2"/>
  <c r="AU231" i="2" s="1"/>
  <c r="AA232" i="2"/>
  <c r="AA231" i="2" s="1"/>
  <c r="GL207" i="2"/>
  <c r="BB232" i="2"/>
  <c r="BB231" i="2" s="1"/>
  <c r="W232" i="2"/>
  <c r="W231" i="2" s="1"/>
  <c r="AJ232" i="2"/>
  <c r="AJ231" i="2" s="1"/>
  <c r="FE207" i="2"/>
  <c r="U232" i="2"/>
  <c r="U231" i="2" s="1"/>
  <c r="T232" i="2"/>
  <c r="T231" i="2" s="1"/>
  <c r="J229" i="2"/>
  <c r="E2" i="2" s="1"/>
  <c r="AE116" i="4"/>
  <c r="AA116" i="4"/>
  <c r="CW116" i="4"/>
  <c r="CO116" i="4"/>
  <c r="AQ116" i="4"/>
  <c r="GF207" i="2"/>
  <c r="AP116" i="4"/>
  <c r="BK116" i="4"/>
  <c r="BH116" i="4"/>
  <c r="GH207" i="2"/>
  <c r="FF207" i="2"/>
  <c r="AS116" i="4"/>
  <c r="DU116" i="4"/>
  <c r="HF207" i="2"/>
  <c r="JP207" i="2"/>
  <c r="GK207" i="2"/>
  <c r="IX207" i="2"/>
  <c r="DN116" i="4"/>
  <c r="CJ116" i="4"/>
  <c r="HI207" i="2"/>
  <c r="N116" i="4"/>
  <c r="AI116" i="4"/>
  <c r="FR207" i="2"/>
  <c r="IL207" i="2"/>
  <c r="I116" i="4"/>
  <c r="FU207" i="2"/>
  <c r="HL207" i="2"/>
  <c r="HR207" i="2"/>
  <c r="DR116" i="4"/>
  <c r="AV116" i="4"/>
  <c r="AH116" i="4"/>
  <c r="HN207" i="2"/>
  <c r="IC207" i="2"/>
  <c r="CV116" i="4"/>
  <c r="IW207" i="2"/>
  <c r="AM116" i="4"/>
  <c r="HY207" i="2"/>
  <c r="BA116" i="4"/>
  <c r="L55" i="4"/>
  <c r="L56" i="4" s="1"/>
  <c r="BD113" i="4"/>
  <c r="JS207" i="2"/>
  <c r="DW116" i="4"/>
  <c r="JC207" i="2"/>
  <c r="DG116" i="4"/>
  <c r="P55" i="4"/>
  <c r="P56" i="4" s="1"/>
  <c r="CZ113" i="4"/>
  <c r="JD207" i="2"/>
  <c r="DH116" i="4"/>
  <c r="IG207" i="2"/>
  <c r="CK116" i="4"/>
  <c r="P116" i="4"/>
  <c r="FL207" i="2"/>
  <c r="H55" i="4"/>
  <c r="H56" i="4" s="1"/>
  <c r="DC116" i="4"/>
  <c r="IY207" i="2"/>
  <c r="W116" i="4"/>
  <c r="FS207" i="2"/>
  <c r="IH207" i="2"/>
  <c r="CL116" i="4"/>
  <c r="AZ116" i="4"/>
  <c r="GV207" i="2"/>
  <c r="GB207" i="2"/>
  <c r="AF116" i="4"/>
  <c r="BY116" i="4"/>
  <c r="HU207" i="2"/>
  <c r="GZ207" i="2"/>
  <c r="BD116" i="4"/>
  <c r="JG207" i="2"/>
  <c r="DK116" i="4"/>
  <c r="BB116" i="4"/>
  <c r="GX207" i="2"/>
  <c r="CZ116" i="4"/>
  <c r="IV207" i="2"/>
  <c r="AR116" i="4"/>
  <c r="GN207" i="2"/>
  <c r="CE116" i="4"/>
  <c r="IA207" i="2"/>
  <c r="HE207" i="2"/>
  <c r="BI116" i="4"/>
  <c r="CN116" i="4"/>
  <c r="IJ207" i="2"/>
  <c r="ID207" i="2"/>
  <c r="CH116" i="4"/>
  <c r="BO116" i="4"/>
  <c r="HK207" i="2"/>
  <c r="BS116" i="4"/>
  <c r="HO207" i="2"/>
  <c r="DV116" i="4"/>
  <c r="JR207" i="2"/>
  <c r="BL116" i="4"/>
  <c r="HH207" i="2"/>
  <c r="I55" i="4"/>
  <c r="I56" i="4" s="1"/>
  <c r="T113" i="4"/>
  <c r="FX207" i="2"/>
  <c r="AB116" i="4"/>
  <c r="BE116" i="4"/>
  <c r="HA207" i="2"/>
  <c r="CU116" i="4"/>
  <c r="IQ207" i="2"/>
  <c r="GQ207" i="2"/>
  <c r="AU116" i="4"/>
  <c r="IE207" i="2"/>
  <c r="CI116" i="4"/>
  <c r="R116" i="4"/>
  <c r="FN207" i="2"/>
  <c r="DL116" i="4"/>
  <c r="JH207" i="2"/>
  <c r="J55" i="4"/>
  <c r="J56" i="4" s="1"/>
  <c r="AF113" i="4"/>
  <c r="DF116" i="4"/>
  <c r="JB207" i="2"/>
  <c r="AK116" i="4"/>
  <c r="GG207" i="2"/>
  <c r="Z116" i="4"/>
  <c r="FV207" i="2"/>
  <c r="IP207" i="2"/>
  <c r="CT116" i="4"/>
  <c r="BW116" i="4"/>
  <c r="HS207" i="2"/>
  <c r="FM207" i="2"/>
  <c r="Q116" i="4"/>
  <c r="JK207" i="2"/>
  <c r="DO116" i="4"/>
  <c r="Q55" i="4"/>
  <c r="Q56" i="4" s="1"/>
  <c r="DL113" i="4"/>
  <c r="BX116" i="4"/>
  <c r="HT207" i="2"/>
  <c r="JA207" i="2"/>
  <c r="DE116" i="4"/>
  <c r="II207" i="2"/>
  <c r="CM116" i="4"/>
  <c r="DJ116" i="4"/>
  <c r="JF207" i="2"/>
  <c r="GY207" i="2"/>
  <c r="BC116" i="4"/>
  <c r="BF116" i="4"/>
  <c r="HB207" i="2"/>
  <c r="GU207" i="2"/>
  <c r="AY116" i="4"/>
  <c r="HW207" i="2"/>
  <c r="CA116" i="4"/>
  <c r="CR116" i="4"/>
  <c r="IN207" i="2"/>
  <c r="CQ116" i="4"/>
  <c r="IM207" i="2"/>
  <c r="DQ116" i="4"/>
  <c r="JM207" i="2"/>
  <c r="CS116" i="4"/>
  <c r="IO207" i="2"/>
  <c r="BU116" i="4"/>
  <c r="HQ207" i="2"/>
  <c r="T116" i="4"/>
  <c r="FP207" i="2"/>
  <c r="JI207" i="2"/>
  <c r="DM116" i="4"/>
  <c r="FT207" i="2"/>
  <c r="X116" i="4"/>
  <c r="I229" i="2"/>
  <c r="G2" i="2" s="1"/>
  <c r="G116" i="4"/>
  <c r="G59" i="4" s="1"/>
  <c r="FC207" i="2"/>
  <c r="K229" i="2"/>
  <c r="HZ207" i="2"/>
  <c r="CD116" i="4"/>
  <c r="FI207" i="2"/>
  <c r="M116" i="4"/>
  <c r="T210" i="2"/>
  <c r="S210" i="2"/>
  <c r="JE207" i="2"/>
  <c r="DI116" i="4"/>
  <c r="IZ207" i="2"/>
  <c r="DD116" i="4"/>
  <c r="BP113" i="4"/>
  <c r="M55" i="4"/>
  <c r="M56" i="4" s="1"/>
  <c r="N55" i="4"/>
  <c r="N56" i="4" s="1"/>
  <c r="CB113" i="4"/>
  <c r="JO207" i="2"/>
  <c r="DS116" i="4"/>
  <c r="AR113" i="4"/>
  <c r="K55" i="4"/>
  <c r="K56" i="4" s="1"/>
  <c r="AD116" i="4"/>
  <c r="FZ207" i="2"/>
  <c r="HJ207" i="2"/>
  <c r="BN116" i="4"/>
  <c r="O55" i="4"/>
  <c r="O56" i="4" s="1"/>
  <c r="CN113" i="4"/>
  <c r="S116" i="4"/>
  <c r="FO207" i="2"/>
  <c r="HP207" i="2"/>
  <c r="BT116" i="4"/>
  <c r="AG116" i="4"/>
  <c r="GC207" i="2"/>
  <c r="FK207" i="2"/>
  <c r="O116" i="4"/>
  <c r="BZ116" i="4"/>
  <c r="HV207" i="2"/>
  <c r="H116" i="4"/>
  <c r="FD207" i="2"/>
  <c r="G113" i="4"/>
  <c r="G55" i="4"/>
  <c r="G56" i="4" s="1"/>
  <c r="HT200" i="2" l="1"/>
  <c r="HT203" i="2" s="1"/>
  <c r="JD200" i="2"/>
  <c r="JD203" i="2" s="1"/>
  <c r="IM200" i="2"/>
  <c r="IM203" i="2" s="1"/>
  <c r="HK200" i="2"/>
  <c r="HK203" i="2" s="1"/>
  <c r="FJ200" i="2"/>
  <c r="FJ203" i="2" s="1"/>
  <c r="IE200" i="2"/>
  <c r="IE203" i="2" s="1"/>
  <c r="HA200" i="2"/>
  <c r="HA203" i="2" s="1"/>
  <c r="JN200" i="2"/>
  <c r="JN203" i="2" s="1"/>
  <c r="IJ200" i="2"/>
  <c r="IJ203" i="2" s="1"/>
  <c r="JT200" i="2"/>
  <c r="JT203" i="2" s="1"/>
  <c r="HX200" i="2"/>
  <c r="IA200" i="2"/>
  <c r="IA203" i="2" s="1"/>
  <c r="JR200" i="2"/>
  <c r="JR203" i="2" s="1"/>
  <c r="IU200" i="2"/>
  <c r="IW200" i="2"/>
  <c r="IW203" i="2" s="1"/>
  <c r="KD200" i="2"/>
  <c r="KD203" i="2" s="1"/>
  <c r="IZ200" i="2"/>
  <c r="IZ203" i="2" s="1"/>
  <c r="FZ200" i="2"/>
  <c r="FZ208" i="2" s="1"/>
  <c r="AP249" i="2" s="1"/>
  <c r="FN200" i="2"/>
  <c r="FN203" i="2" s="1"/>
  <c r="IQ200" i="2"/>
  <c r="IQ203" i="2" s="1"/>
  <c r="HG200" i="2"/>
  <c r="HG203" i="2" s="1"/>
  <c r="JK200" i="2"/>
  <c r="JK203" i="2" s="1"/>
  <c r="JM200" i="2"/>
  <c r="JM203" i="2" s="1"/>
  <c r="GH200" i="2"/>
  <c r="GH203" i="2" s="1"/>
  <c r="JP200" i="2"/>
  <c r="JP203" i="2" s="1"/>
  <c r="IL200" i="2"/>
  <c r="IL203" i="2" s="1"/>
  <c r="GD200" i="2"/>
  <c r="GD203" i="2" s="1"/>
  <c r="JG200" i="2"/>
  <c r="JG203" i="2" s="1"/>
  <c r="GB200" i="2"/>
  <c r="GB203" i="2" s="1"/>
  <c r="FD200" i="2"/>
  <c r="FD203" i="2" s="1"/>
  <c r="KC200" i="2"/>
  <c r="KC203" i="2" s="1"/>
  <c r="IT200" i="2"/>
  <c r="FI200" i="2"/>
  <c r="FI203" i="2" s="1"/>
  <c r="GQ200" i="2"/>
  <c r="GQ203" i="2" s="1"/>
  <c r="GT200" i="2"/>
  <c r="JW200" i="2"/>
  <c r="JW203" i="2" s="1"/>
  <c r="FQ200" i="2"/>
  <c r="FQ203" i="2" s="1"/>
  <c r="FT200" i="2"/>
  <c r="FT203" i="2" s="1"/>
  <c r="HN200" i="2"/>
  <c r="HN203" i="2" s="1"/>
  <c r="GI200" i="2"/>
  <c r="GI203" i="2" s="1"/>
  <c r="FY200" i="2"/>
  <c r="FY203" i="2" s="1"/>
  <c r="IN200" i="2"/>
  <c r="IN203" i="2" s="1"/>
  <c r="HJ200" i="2"/>
  <c r="HJ203" i="2" s="1"/>
  <c r="HV200" i="2"/>
  <c r="HV203" i="2" s="1"/>
  <c r="GG200" i="2"/>
  <c r="GG203" i="2" s="1"/>
  <c r="GJ200" i="2"/>
  <c r="GJ208" i="2" s="1"/>
  <c r="JJ200" i="2"/>
  <c r="JJ203" i="2" s="1"/>
  <c r="FU200" i="2"/>
  <c r="FU203" i="2" s="1"/>
  <c r="GO200" i="2"/>
  <c r="GO203" i="2" s="1"/>
  <c r="FM200" i="2"/>
  <c r="FM203" i="2" s="1"/>
  <c r="HZ200" i="2"/>
  <c r="HZ203" i="2" s="1"/>
  <c r="JC200" i="2"/>
  <c r="JC203" i="2" s="1"/>
  <c r="GW200" i="2"/>
  <c r="GW203" i="2" s="1"/>
  <c r="GZ200" i="2"/>
  <c r="GZ203" i="2" s="1"/>
  <c r="HO200" i="2"/>
  <c r="HO203" i="2" s="1"/>
  <c r="HQ200" i="2"/>
  <c r="HQ203" i="2" s="1"/>
  <c r="HE200" i="2"/>
  <c r="HE203" i="2" s="1"/>
  <c r="GC200" i="2"/>
  <c r="GC203" i="2" s="1"/>
  <c r="IP200" i="2"/>
  <c r="IP203" i="2" s="1"/>
  <c r="GR200" i="2"/>
  <c r="GR203" i="2" s="1"/>
  <c r="HM200" i="2"/>
  <c r="HP200" i="2"/>
  <c r="HP203" i="2" s="1"/>
  <c r="GK200" i="2"/>
  <c r="GK203" i="2" s="1"/>
  <c r="FG200" i="2"/>
  <c r="FG208" i="2" s="1"/>
  <c r="FG209" i="2" s="1"/>
  <c r="HU200" i="2"/>
  <c r="HU203" i="2" s="1"/>
  <c r="GS200" i="2"/>
  <c r="JF200" i="2"/>
  <c r="JF203" i="2" s="1"/>
  <c r="FP200" i="2"/>
  <c r="FP203" i="2" s="1"/>
  <c r="IC200" i="2"/>
  <c r="IC203" i="2" s="1"/>
  <c r="IF200" i="2"/>
  <c r="IF203" i="2" s="1"/>
  <c r="IG200" i="2"/>
  <c r="IG203" i="2" s="1"/>
  <c r="FW200" i="2"/>
  <c r="FW203" i="2" s="1"/>
  <c r="IK200" i="2"/>
  <c r="IK203" i="2" s="1"/>
  <c r="HI200" i="2"/>
  <c r="HI203" i="2" s="1"/>
  <c r="JV200" i="2"/>
  <c r="JV203" i="2" s="1"/>
  <c r="GF200" i="2"/>
  <c r="GF203" i="2" s="1"/>
  <c r="IS200" i="2"/>
  <c r="IS203" i="2" s="1"/>
  <c r="IV200" i="2"/>
  <c r="IV203" i="2" s="1"/>
  <c r="FF200" i="2"/>
  <c r="FF203" i="2" s="1"/>
  <c r="GM200" i="2"/>
  <c r="GM203" i="2" s="1"/>
  <c r="JA200" i="2"/>
  <c r="JA203" i="2" s="1"/>
  <c r="HY200" i="2"/>
  <c r="HY203" i="2" s="1"/>
  <c r="HF200" i="2"/>
  <c r="HF203" i="2" s="1"/>
  <c r="GV200" i="2"/>
  <c r="GV203" i="2" s="1"/>
  <c r="JI200" i="2"/>
  <c r="JI203" i="2" s="1"/>
  <c r="JL200" i="2"/>
  <c r="FV200" i="2"/>
  <c r="FV203" i="2" s="1"/>
  <c r="HC200" i="2"/>
  <c r="JQ200" i="2"/>
  <c r="JQ203" i="2" s="1"/>
  <c r="IO200" i="2"/>
  <c r="IO203" i="2" s="1"/>
  <c r="HW200" i="2"/>
  <c r="HW203" i="2" s="1"/>
  <c r="HL200" i="2"/>
  <c r="HL203" i="2" s="1"/>
  <c r="JY200" i="2"/>
  <c r="JY203" i="2" s="1"/>
  <c r="KB200" i="2"/>
  <c r="KB203" i="2" s="1"/>
  <c r="GL200" i="2"/>
  <c r="GL203" i="2" s="1"/>
  <c r="HS200" i="2"/>
  <c r="HS203" i="2" s="1"/>
  <c r="FH200" i="2"/>
  <c r="FH208" i="2" s="1"/>
  <c r="X249" i="2" s="1"/>
  <c r="JS200" i="2"/>
  <c r="JS203" i="2" s="1"/>
  <c r="JE200" i="2"/>
  <c r="JE203" i="2" s="1"/>
  <c r="HH200" i="2"/>
  <c r="HH203" i="2" s="1"/>
  <c r="IB200" i="2"/>
  <c r="IB203" i="2" s="1"/>
  <c r="KA200" i="2"/>
  <c r="KA203" i="2" s="1"/>
  <c r="GX200" i="2"/>
  <c r="GX203" i="2" s="1"/>
  <c r="HB200" i="2"/>
  <c r="HB203" i="2" s="1"/>
  <c r="II200" i="2"/>
  <c r="II203" i="2" s="1"/>
  <c r="FX200" i="2"/>
  <c r="FX203" i="2" s="1"/>
  <c r="JB200" i="2"/>
  <c r="JB203" i="2" s="1"/>
  <c r="JU200" i="2"/>
  <c r="JU203" i="2" s="1"/>
  <c r="FO200" i="2"/>
  <c r="FO203" i="2" s="1"/>
  <c r="IR200" i="2"/>
  <c r="IR203" i="2" s="1"/>
  <c r="FR200" i="2"/>
  <c r="FR203" i="2" s="1"/>
  <c r="JZ200" i="2"/>
  <c r="JZ203" i="2" s="1"/>
  <c r="HR200" i="2"/>
  <c r="HR203" i="2" s="1"/>
  <c r="IY200" i="2"/>
  <c r="IY203" i="2" s="1"/>
  <c r="GN200" i="2"/>
  <c r="GN203" i="2" s="1"/>
  <c r="GA200" i="2"/>
  <c r="GA203" i="2" s="1"/>
  <c r="GP200" i="2"/>
  <c r="GE200" i="2"/>
  <c r="GE203" i="2" s="1"/>
  <c r="JH200" i="2"/>
  <c r="JH203" i="2" s="1"/>
  <c r="ID200" i="2"/>
  <c r="ID203" i="2" s="1"/>
  <c r="GY200" i="2"/>
  <c r="GY203" i="2" s="1"/>
  <c r="IH200" i="2"/>
  <c r="IH203" i="2" s="1"/>
  <c r="JO200" i="2"/>
  <c r="JO203" i="2" s="1"/>
  <c r="HD200" i="2"/>
  <c r="HD203" i="2" s="1"/>
  <c r="FL200" i="2"/>
  <c r="FL203" i="2" s="1"/>
  <c r="FK200" i="2"/>
  <c r="FK208" i="2" s="1"/>
  <c r="FK209" i="2" s="1"/>
  <c r="GU200" i="2"/>
  <c r="GU203" i="2" s="1"/>
  <c r="JX200" i="2"/>
  <c r="JX203" i="2" s="1"/>
  <c r="FS200" i="2"/>
  <c r="FS203" i="2" s="1"/>
  <c r="FE200" i="2"/>
  <c r="FE203" i="2" s="1"/>
  <c r="IX200" i="2"/>
  <c r="IX203" i="2" s="1"/>
  <c r="KE200" i="2"/>
  <c r="KE203" i="2" s="1"/>
  <c r="IJ208" i="2"/>
  <c r="IJ209" i="2" s="1"/>
  <c r="IJ223" i="2" s="1"/>
  <c r="HK208" i="2"/>
  <c r="CA249" i="2" s="1"/>
  <c r="IA208" i="2"/>
  <c r="CQ249" i="2" s="1"/>
  <c r="FC208" i="2"/>
  <c r="S249" i="2" s="1"/>
  <c r="D231" i="2"/>
  <c r="N59" i="4"/>
  <c r="M59" i="4"/>
  <c r="H59" i="4"/>
  <c r="P24" i="1"/>
  <c r="K59" i="4"/>
  <c r="P59" i="4"/>
  <c r="O24" i="1"/>
  <c r="J59" i="4"/>
  <c r="Q59" i="4"/>
  <c r="L59" i="4"/>
  <c r="O59" i="4"/>
  <c r="I59" i="4"/>
  <c r="IJ215" i="2" l="1"/>
  <c r="CZ238" i="2" s="1"/>
  <c r="FG222" i="2"/>
  <c r="W237" i="2" s="1"/>
  <c r="FK222" i="2"/>
  <c r="AA237" i="2" s="1"/>
  <c r="JG208" i="2"/>
  <c r="DW249" i="2" s="1"/>
  <c r="JP208" i="2"/>
  <c r="EF249" i="2" s="1"/>
  <c r="HT208" i="2"/>
  <c r="CJ249" i="2" s="1"/>
  <c r="GO208" i="2"/>
  <c r="GO209" i="2" s="1"/>
  <c r="GO223" i="2" s="1"/>
  <c r="HE208" i="2"/>
  <c r="BU249" i="2" s="1"/>
  <c r="IZ208" i="2"/>
  <c r="DP249" i="2" s="1"/>
  <c r="JD208" i="2"/>
  <c r="DT249" i="2" s="1"/>
  <c r="HW208" i="2"/>
  <c r="CM249" i="2" s="1"/>
  <c r="HF208" i="2"/>
  <c r="HF209" i="2" s="1"/>
  <c r="HF223" i="2" s="1"/>
  <c r="JO208" i="2"/>
  <c r="JO209" i="2" s="1"/>
  <c r="JO223" i="2" s="1"/>
  <c r="IN208" i="2"/>
  <c r="DD249" i="2" s="1"/>
  <c r="II208" i="2"/>
  <c r="CY249" i="2" s="1"/>
  <c r="IH208" i="2"/>
  <c r="CX249" i="2" s="1"/>
  <c r="JS208" i="2"/>
  <c r="JS209" i="2" s="1"/>
  <c r="JS223" i="2" s="1"/>
  <c r="JC208" i="2"/>
  <c r="DS249" i="2" s="1"/>
  <c r="IX208" i="2"/>
  <c r="IX209" i="2" s="1"/>
  <c r="IX223" i="2" s="1"/>
  <c r="HV208" i="2"/>
  <c r="CL249" i="2" s="1"/>
  <c r="IQ208" i="2"/>
  <c r="DG249" i="2" s="1"/>
  <c r="GQ208" i="2"/>
  <c r="BG249" i="2" s="1"/>
  <c r="JF208" i="2"/>
  <c r="JF209" i="2" s="1"/>
  <c r="JF223" i="2" s="1"/>
  <c r="HZ208" i="2"/>
  <c r="CP249" i="2" s="1"/>
  <c r="JB208" i="2"/>
  <c r="DR249" i="2" s="1"/>
  <c r="IP208" i="2"/>
  <c r="HU208" i="2"/>
  <c r="HU209" i="2" s="1"/>
  <c r="HU223" i="2" s="1"/>
  <c r="JA208" i="2"/>
  <c r="DQ249" i="2" s="1"/>
  <c r="JQ208" i="2"/>
  <c r="JQ209" i="2" s="1"/>
  <c r="JQ223" i="2" s="1"/>
  <c r="GN208" i="2"/>
  <c r="BD249" i="2" s="1"/>
  <c r="IK208" i="2"/>
  <c r="IK209" i="2" s="1"/>
  <c r="IK223" i="2" s="1"/>
  <c r="GR208" i="2"/>
  <c r="GR209" i="2" s="1"/>
  <c r="GR223" i="2" s="1"/>
  <c r="HK209" i="2"/>
  <c r="HK223" i="2" s="1"/>
  <c r="HR208" i="2"/>
  <c r="JK208" i="2"/>
  <c r="JG209" i="2"/>
  <c r="JG223" i="2" s="1"/>
  <c r="HI208" i="2"/>
  <c r="BY249" i="2" s="1"/>
  <c r="HY208" i="2"/>
  <c r="CO249" i="2" s="1"/>
  <c r="IL208" i="2"/>
  <c r="IL209" i="2" s="1"/>
  <c r="IL223" i="2" s="1"/>
  <c r="HT209" i="2"/>
  <c r="HT223" i="2" s="1"/>
  <c r="CZ249" i="2"/>
  <c r="IY208" i="2"/>
  <c r="IE208" i="2"/>
  <c r="HQ208" i="2"/>
  <c r="IA209" i="2"/>
  <c r="IA223" i="2" s="1"/>
  <c r="HP208" i="2"/>
  <c r="ID208" i="2"/>
  <c r="IZ209" i="2"/>
  <c r="IZ223" i="2" s="1"/>
  <c r="JN208" i="2"/>
  <c r="ED249" i="2" s="1"/>
  <c r="HB208" i="2"/>
  <c r="HB209" i="2" s="1"/>
  <c r="HB223" i="2" s="1"/>
  <c r="IF208" i="2"/>
  <c r="IF209" i="2" s="1"/>
  <c r="IF223" i="2" s="1"/>
  <c r="GZ208" i="2"/>
  <c r="HL208" i="2"/>
  <c r="HL209" i="2" s="1"/>
  <c r="HL223" i="2" s="1"/>
  <c r="IV208" i="2"/>
  <c r="HA208" i="2"/>
  <c r="GX208" i="2"/>
  <c r="IG208" i="2"/>
  <c r="JP209" i="2"/>
  <c r="JP223" i="2" s="1"/>
  <c r="JH208" i="2"/>
  <c r="JM208" i="2"/>
  <c r="HN208" i="2"/>
  <c r="HO208" i="2"/>
  <c r="HH208" i="2"/>
  <c r="GV208" i="2"/>
  <c r="BE249" i="2"/>
  <c r="HD208" i="2"/>
  <c r="JJ208" i="2"/>
  <c r="JJ209" i="2" s="1"/>
  <c r="JJ223" i="2" s="1"/>
  <c r="GU208" i="2"/>
  <c r="IW208" i="2"/>
  <c r="HS208" i="2"/>
  <c r="CI249" i="2" s="1"/>
  <c r="HJ208" i="2"/>
  <c r="BZ249" i="2" s="1"/>
  <c r="GW208" i="2"/>
  <c r="IS208" i="2"/>
  <c r="JR208" i="2"/>
  <c r="JL203" i="2"/>
  <c r="JL208" i="2"/>
  <c r="IU203" i="2"/>
  <c r="IU208" i="2"/>
  <c r="IM208" i="2"/>
  <c r="DC249" i="2" s="1"/>
  <c r="GP203" i="2"/>
  <c r="GP208" i="2"/>
  <c r="HM203" i="2"/>
  <c r="HM208" i="2"/>
  <c r="IC208" i="2"/>
  <c r="GY208" i="2"/>
  <c r="IO208" i="2"/>
  <c r="DE249" i="2" s="1"/>
  <c r="GT203" i="2"/>
  <c r="GT208" i="2"/>
  <c r="HX203" i="2"/>
  <c r="HX208" i="2"/>
  <c r="IR208" i="2"/>
  <c r="GS203" i="2"/>
  <c r="GS208" i="2"/>
  <c r="HG208" i="2"/>
  <c r="JI208" i="2"/>
  <c r="IB208" i="2"/>
  <c r="HC203" i="2"/>
  <c r="HC208" i="2"/>
  <c r="IT203" i="2"/>
  <c r="IT208" i="2"/>
  <c r="JE208" i="2"/>
  <c r="DU249" i="2" s="1"/>
  <c r="FJ208" i="2"/>
  <c r="FJ209" i="2" s="1"/>
  <c r="FM208" i="2"/>
  <c r="AC249" i="2" s="1"/>
  <c r="FQ208" i="2"/>
  <c r="FQ209" i="2" s="1"/>
  <c r="GE208" i="2"/>
  <c r="AU249" i="2" s="1"/>
  <c r="FN208" i="2"/>
  <c r="AD249" i="2" s="1"/>
  <c r="FT208" i="2"/>
  <c r="FT209" i="2" s="1"/>
  <c r="GH208" i="2"/>
  <c r="AX249" i="2" s="1"/>
  <c r="FV208" i="2"/>
  <c r="AL249" i="2" s="1"/>
  <c r="GI208" i="2"/>
  <c r="GI209" i="2" s="1"/>
  <c r="IJ222" i="2"/>
  <c r="CZ237" i="2" s="1"/>
  <c r="CZ239" i="2" s="1"/>
  <c r="FY208" i="2"/>
  <c r="AO249" i="2" s="1"/>
  <c r="GD208" i="2"/>
  <c r="GD209" i="2" s="1"/>
  <c r="GB208" i="2"/>
  <c r="AR249" i="2" s="1"/>
  <c r="FI208" i="2"/>
  <c r="Y249" i="2" s="1"/>
  <c r="GF208" i="2"/>
  <c r="AV249" i="2" s="1"/>
  <c r="GG208" i="2"/>
  <c r="GG209" i="2" s="1"/>
  <c r="FX208" i="2"/>
  <c r="AN249" i="2" s="1"/>
  <c r="FW208" i="2"/>
  <c r="FW209" i="2" s="1"/>
  <c r="FE208" i="2"/>
  <c r="U249" i="2" s="1"/>
  <c r="FS208" i="2"/>
  <c r="AI249" i="2" s="1"/>
  <c r="FD208" i="2"/>
  <c r="T249" i="2" s="1"/>
  <c r="FH209" i="2"/>
  <c r="FP208" i="2"/>
  <c r="AF249" i="2" s="1"/>
  <c r="GA208" i="2"/>
  <c r="AQ249" i="2" s="1"/>
  <c r="FO208" i="2"/>
  <c r="AE249" i="2" s="1"/>
  <c r="GK208" i="2"/>
  <c r="GK209" i="2" s="1"/>
  <c r="FR208" i="2"/>
  <c r="AH249" i="2" s="1"/>
  <c r="GC208" i="2"/>
  <c r="AS249" i="2" s="1"/>
  <c r="FF208" i="2"/>
  <c r="V249" i="2" s="1"/>
  <c r="FU208" i="2"/>
  <c r="FU209" i="2" s="1"/>
  <c r="GM208" i="2"/>
  <c r="GM209" i="2" s="1"/>
  <c r="FG215" i="2"/>
  <c r="W238" i="2" s="1"/>
  <c r="GL208" i="2"/>
  <c r="GL209" i="2" s="1"/>
  <c r="FL208" i="2"/>
  <c r="AB249" i="2" s="1"/>
  <c r="FH203" i="2"/>
  <c r="FG203" i="2"/>
  <c r="FK203" i="2"/>
  <c r="GJ209" i="2"/>
  <c r="AZ249" i="2"/>
  <c r="W249" i="2"/>
  <c r="GJ203" i="2"/>
  <c r="FZ203" i="2"/>
  <c r="FC209" i="2"/>
  <c r="AA249" i="2"/>
  <c r="FK215" i="2"/>
  <c r="AA238" i="2" s="1"/>
  <c r="FZ209" i="2"/>
  <c r="W239" i="2" l="1"/>
  <c r="AA239" i="2"/>
  <c r="IF215" i="2"/>
  <c r="CV238" i="2" s="1"/>
  <c r="IL215" i="2"/>
  <c r="DB238" i="2" s="1"/>
  <c r="IK222" i="2"/>
  <c r="DA237" i="2" s="1"/>
  <c r="HU215" i="2"/>
  <c r="CK238" i="2" s="1"/>
  <c r="JF222" i="2"/>
  <c r="DV237" i="2" s="1"/>
  <c r="IX215" i="2"/>
  <c r="DN238" i="2" s="1"/>
  <c r="GO215" i="2"/>
  <c r="BE238" i="2" s="1"/>
  <c r="JP222" i="2"/>
  <c r="EF237" i="2" s="1"/>
  <c r="HB222" i="2"/>
  <c r="BR237" i="2" s="1"/>
  <c r="HL222" i="2"/>
  <c r="CB237" i="2" s="1"/>
  <c r="IA215" i="2"/>
  <c r="CQ238" i="2" s="1"/>
  <c r="HK215" i="2"/>
  <c r="CA238" i="2" s="1"/>
  <c r="JQ215" i="2"/>
  <c r="EG238" i="2" s="1"/>
  <c r="JS222" i="2"/>
  <c r="EI237" i="2" s="1"/>
  <c r="JO215" i="2"/>
  <c r="EE238" i="2" s="1"/>
  <c r="IZ222" i="2"/>
  <c r="DP237" i="2" s="1"/>
  <c r="HT222" i="2"/>
  <c r="CJ237" i="2" s="1"/>
  <c r="JG222" i="2"/>
  <c r="DW237" i="2" s="1"/>
  <c r="GR222" i="2"/>
  <c r="BH237" i="2" s="1"/>
  <c r="HF222" i="2"/>
  <c r="BV237" i="2" s="1"/>
  <c r="GG222" i="2"/>
  <c r="AW237" i="2" s="1"/>
  <c r="GM215" i="2"/>
  <c r="BC238" i="2" s="1"/>
  <c r="FQ215" i="2"/>
  <c r="AG238" i="2" s="1"/>
  <c r="FZ215" i="2"/>
  <c r="AP238" i="2" s="1"/>
  <c r="FU222" i="2"/>
  <c r="AK237" i="2" s="1"/>
  <c r="GK215" i="2"/>
  <c r="BA238" i="2" s="1"/>
  <c r="FW215" i="2"/>
  <c r="AM238" i="2" s="1"/>
  <c r="FT215" i="2"/>
  <c r="AJ238" i="2" s="1"/>
  <c r="GL222" i="2"/>
  <c r="BB237" i="2" s="1"/>
  <c r="GI222" i="2"/>
  <c r="AY237" i="2" s="1"/>
  <c r="FJ215" i="2"/>
  <c r="Z238" i="2" s="1"/>
  <c r="GD222" i="2"/>
  <c r="AT237" i="2" s="1"/>
  <c r="FC215" i="2"/>
  <c r="S238" i="2" s="1"/>
  <c r="JC209" i="2"/>
  <c r="JC223" i="2" s="1"/>
  <c r="HU222" i="2"/>
  <c r="CK237" i="2" s="1"/>
  <c r="CK239" i="2" s="1"/>
  <c r="JD209" i="2"/>
  <c r="JD223" i="2" s="1"/>
  <c r="BV249" i="2"/>
  <c r="JG215" i="2"/>
  <c r="DW238" i="2" s="1"/>
  <c r="DW239" i="2" s="1"/>
  <c r="GO222" i="2"/>
  <c r="BE237" i="2" s="1"/>
  <c r="BE239" i="2" s="1"/>
  <c r="HE209" i="2"/>
  <c r="HE223" i="2" s="1"/>
  <c r="HW209" i="2"/>
  <c r="HW223" i="2" s="1"/>
  <c r="EE249" i="2"/>
  <c r="DV249" i="2"/>
  <c r="IX222" i="2"/>
  <c r="DN237" i="2" s="1"/>
  <c r="DN239" i="2" s="1"/>
  <c r="DN249" i="2"/>
  <c r="CK249" i="2"/>
  <c r="HT215" i="2"/>
  <c r="CJ238" i="2" s="1"/>
  <c r="CJ239" i="2" s="1"/>
  <c r="HV209" i="2"/>
  <c r="HV223" i="2" s="1"/>
  <c r="GR215" i="2"/>
  <c r="BH238" i="2" s="1"/>
  <c r="BH239" i="2" s="1"/>
  <c r="II209" i="2"/>
  <c r="II223" i="2" s="1"/>
  <c r="HZ209" i="2"/>
  <c r="HZ223" i="2" s="1"/>
  <c r="JO222" i="2"/>
  <c r="EE237" i="2" s="1"/>
  <c r="EE239" i="2" s="1"/>
  <c r="HK222" i="2"/>
  <c r="CA237" i="2" s="1"/>
  <c r="JS215" i="2"/>
  <c r="EI238" i="2" s="1"/>
  <c r="EI239" i="2" s="1"/>
  <c r="IZ215" i="2"/>
  <c r="DP238" i="2" s="1"/>
  <c r="DP239" i="2" s="1"/>
  <c r="EI249" i="2"/>
  <c r="IO209" i="2"/>
  <c r="IO223" i="2" s="1"/>
  <c r="IH209" i="2"/>
  <c r="IH223" i="2" s="1"/>
  <c r="HF215" i="2"/>
  <c r="BV238" i="2" s="1"/>
  <c r="BV239" i="2" s="1"/>
  <c r="IN209" i="2"/>
  <c r="IN223" i="2" s="1"/>
  <c r="IL222" i="2"/>
  <c r="DB237" i="2" s="1"/>
  <c r="DB239" i="2" s="1"/>
  <c r="JF215" i="2"/>
  <c r="DV238" i="2" s="1"/>
  <c r="DV239" i="2" s="1"/>
  <c r="EG249" i="2"/>
  <c r="IQ209" i="2"/>
  <c r="IQ223" i="2" s="1"/>
  <c r="DA249" i="2"/>
  <c r="GQ209" i="2"/>
  <c r="GQ223" i="2" s="1"/>
  <c r="JB209" i="2"/>
  <c r="JB223" i="2" s="1"/>
  <c r="IK215" i="2"/>
  <c r="DA238" i="2" s="1"/>
  <c r="DA239" i="2" s="1"/>
  <c r="JA209" i="2"/>
  <c r="JA223" i="2" s="1"/>
  <c r="BH249" i="2"/>
  <c r="HJ209" i="2"/>
  <c r="HJ223" i="2" s="1"/>
  <c r="GN209" i="2"/>
  <c r="GN223" i="2" s="1"/>
  <c r="DF249" i="2"/>
  <c r="IP209" i="2"/>
  <c r="IP223" i="2" s="1"/>
  <c r="CB249" i="2"/>
  <c r="HI209" i="2"/>
  <c r="HI223" i="2" s="1"/>
  <c r="JQ222" i="2"/>
  <c r="EG237" i="2" s="1"/>
  <c r="EG239" i="2" s="1"/>
  <c r="HY209" i="2"/>
  <c r="HY223" i="2" s="1"/>
  <c r="JN209" i="2"/>
  <c r="JN223" i="2" s="1"/>
  <c r="DZ249" i="2"/>
  <c r="HS209" i="2"/>
  <c r="HS223" i="2" s="1"/>
  <c r="CH249" i="2"/>
  <c r="HR209" i="2"/>
  <c r="HR223" i="2" s="1"/>
  <c r="IM209" i="2"/>
  <c r="IM223" i="2" s="1"/>
  <c r="CU249" i="2"/>
  <c r="IE209" i="2"/>
  <c r="IE223" i="2" s="1"/>
  <c r="DO249" i="2"/>
  <c r="IY209" i="2"/>
  <c r="IY223" i="2" s="1"/>
  <c r="CV249" i="2"/>
  <c r="JE209" i="2"/>
  <c r="JE223" i="2" s="1"/>
  <c r="EA249" i="2"/>
  <c r="JK209" i="2"/>
  <c r="JK223" i="2" s="1"/>
  <c r="DB249" i="2"/>
  <c r="HB215" i="2"/>
  <c r="BR238" i="2" s="1"/>
  <c r="BR239" i="2" s="1"/>
  <c r="IA222" i="2"/>
  <c r="CQ237" i="2" s="1"/>
  <c r="CQ239" i="2" s="1"/>
  <c r="IF222" i="2"/>
  <c r="CV237" i="2" s="1"/>
  <c r="CV239" i="2" s="1"/>
  <c r="JP215" i="2"/>
  <c r="EF238" i="2" s="1"/>
  <c r="EF239" i="2" s="1"/>
  <c r="BR249" i="2"/>
  <c r="DL249" i="2"/>
  <c r="IV209" i="2"/>
  <c r="IV223" i="2" s="1"/>
  <c r="CF249" i="2"/>
  <c r="HP209" i="2"/>
  <c r="HP223" i="2" s="1"/>
  <c r="HL215" i="2"/>
  <c r="CB238" i="2" s="1"/>
  <c r="CB239" i="2" s="1"/>
  <c r="BP249" i="2"/>
  <c r="GZ209" i="2"/>
  <c r="GZ223" i="2" s="1"/>
  <c r="CT249" i="2"/>
  <c r="ID209" i="2"/>
  <c r="ID223" i="2" s="1"/>
  <c r="CG249" i="2"/>
  <c r="HQ209" i="2"/>
  <c r="HQ223" i="2" s="1"/>
  <c r="DX249" i="2"/>
  <c r="JH209" i="2"/>
  <c r="JH223" i="2" s="1"/>
  <c r="HD209" i="2"/>
  <c r="HD223" i="2" s="1"/>
  <c r="BT249" i="2"/>
  <c r="BL249" i="2"/>
  <c r="GV209" i="2"/>
  <c r="GV223" i="2" s="1"/>
  <c r="DM249" i="2"/>
  <c r="IW209" i="2"/>
  <c r="IW223" i="2" s="1"/>
  <c r="HH209" i="2"/>
  <c r="HH223" i="2" s="1"/>
  <c r="BX249" i="2"/>
  <c r="BQ249" i="2"/>
  <c r="HA209" i="2"/>
  <c r="HA223" i="2" s="1"/>
  <c r="BK249" i="2"/>
  <c r="GU209" i="2"/>
  <c r="GU223" i="2" s="1"/>
  <c r="CE249" i="2"/>
  <c r="HO209" i="2"/>
  <c r="HO223" i="2" s="1"/>
  <c r="CW249" i="2"/>
  <c r="IG209" i="2"/>
  <c r="IG223" i="2" s="1"/>
  <c r="JJ222" i="2"/>
  <c r="DZ237" i="2" s="1"/>
  <c r="JJ215" i="2"/>
  <c r="DZ238" i="2" s="1"/>
  <c r="HN209" i="2"/>
  <c r="HN223" i="2" s="1"/>
  <c r="CD249" i="2"/>
  <c r="BN249" i="2"/>
  <c r="GX209" i="2"/>
  <c r="GX223" i="2" s="1"/>
  <c r="EC249" i="2"/>
  <c r="JM209" i="2"/>
  <c r="JM223" i="2" s="1"/>
  <c r="BO249" i="2"/>
  <c r="GY209" i="2"/>
  <c r="GY223" i="2" s="1"/>
  <c r="DK249" i="2"/>
  <c r="IU209" i="2"/>
  <c r="IU223" i="2" s="1"/>
  <c r="CR249" i="2"/>
  <c r="IB209" i="2"/>
  <c r="IB223" i="2" s="1"/>
  <c r="GT209" i="2"/>
  <c r="GT223" i="2" s="1"/>
  <c r="BJ249" i="2"/>
  <c r="CS249" i="2"/>
  <c r="IC209" i="2"/>
  <c r="IC223" i="2" s="1"/>
  <c r="JI209" i="2"/>
  <c r="JI223" i="2" s="1"/>
  <c r="DY249" i="2"/>
  <c r="JL209" i="2"/>
  <c r="JL223" i="2" s="1"/>
  <c r="EB249" i="2"/>
  <c r="CC249" i="2"/>
  <c r="HM209" i="2"/>
  <c r="HM223" i="2" s="1"/>
  <c r="GS209" i="2"/>
  <c r="GS223" i="2" s="1"/>
  <c r="BI249" i="2"/>
  <c r="JR209" i="2"/>
  <c r="JR223" i="2" s="1"/>
  <c r="EH249" i="2"/>
  <c r="IT209" i="2"/>
  <c r="IT223" i="2" s="1"/>
  <c r="DJ249" i="2"/>
  <c r="BF249" i="2"/>
  <c r="GP209" i="2"/>
  <c r="GP223" i="2" s="1"/>
  <c r="IS209" i="2"/>
  <c r="IS223" i="2" s="1"/>
  <c r="DI249" i="2"/>
  <c r="HG209" i="2"/>
  <c r="HG223" i="2" s="1"/>
  <c r="BW249" i="2"/>
  <c r="IR209" i="2"/>
  <c r="IR223" i="2" s="1"/>
  <c r="DH249" i="2"/>
  <c r="GW209" i="2"/>
  <c r="GW223" i="2" s="1"/>
  <c r="BM249" i="2"/>
  <c r="HC209" i="2"/>
  <c r="HC223" i="2" s="1"/>
  <c r="BS249" i="2"/>
  <c r="HX209" i="2"/>
  <c r="HX223" i="2" s="1"/>
  <c r="CN249" i="2"/>
  <c r="FM209" i="2"/>
  <c r="FJ222" i="2"/>
  <c r="Z237" i="2" s="1"/>
  <c r="Z249" i="2"/>
  <c r="AG249" i="2"/>
  <c r="FQ222" i="2"/>
  <c r="AG237" i="2" s="1"/>
  <c r="GE209" i="2"/>
  <c r="FN209" i="2"/>
  <c r="FT222" i="2"/>
  <c r="AJ237" i="2" s="1"/>
  <c r="GH209" i="2"/>
  <c r="AJ249" i="2"/>
  <c r="FV209" i="2"/>
  <c r="GI215" i="2"/>
  <c r="AY238" i="2" s="1"/>
  <c r="AY249" i="2"/>
  <c r="FY209" i="2"/>
  <c r="GD215" i="2"/>
  <c r="AT238" i="2" s="1"/>
  <c r="AT249" i="2"/>
  <c r="GF209" i="2"/>
  <c r="AW249" i="2"/>
  <c r="GG215" i="2"/>
  <c r="AW238" i="2" s="1"/>
  <c r="AM249" i="2"/>
  <c r="GB209" i="2"/>
  <c r="FX209" i="2"/>
  <c r="FS209" i="2"/>
  <c r="FI209" i="2"/>
  <c r="FD209" i="2"/>
  <c r="FW222" i="2"/>
  <c r="AM237" i="2" s="1"/>
  <c r="BA249" i="2"/>
  <c r="FP209" i="2"/>
  <c r="FR209" i="2"/>
  <c r="FO209" i="2"/>
  <c r="GC209" i="2"/>
  <c r="FE209" i="2"/>
  <c r="FF209" i="2"/>
  <c r="GA209" i="2"/>
  <c r="AK249" i="2"/>
  <c r="GK222" i="2"/>
  <c r="BA237" i="2" s="1"/>
  <c r="FH215" i="2"/>
  <c r="X238" i="2" s="1"/>
  <c r="FH222" i="2"/>
  <c r="X237" i="2" s="1"/>
  <c r="GL215" i="2"/>
  <c r="BB238" i="2" s="1"/>
  <c r="FU215" i="2"/>
  <c r="AK238" i="2" s="1"/>
  <c r="BC249" i="2"/>
  <c r="FC222" i="2"/>
  <c r="S237" i="2" s="1"/>
  <c r="FC210" i="2"/>
  <c r="FC214" i="2" s="1"/>
  <c r="FC220" i="2"/>
  <c r="FC221" i="2" s="1"/>
  <c r="GM222" i="2"/>
  <c r="BC237" i="2" s="1"/>
  <c r="FL209" i="2"/>
  <c r="BB249" i="2"/>
  <c r="GJ215" i="2"/>
  <c r="AZ238" i="2" s="1"/>
  <c r="GJ222" i="2"/>
  <c r="AZ237" i="2" s="1"/>
  <c r="FZ222" i="2"/>
  <c r="AP237" i="2" s="1"/>
  <c r="CA239" i="2"/>
  <c r="BA239" i="2" l="1"/>
  <c r="AK239" i="2"/>
  <c r="AY239" i="2"/>
  <c r="BB239" i="2"/>
  <c r="AW239" i="2"/>
  <c r="BC239" i="2"/>
  <c r="AG239" i="2"/>
  <c r="AJ239" i="2"/>
  <c r="AT239" i="2"/>
  <c r="AP239" i="2"/>
  <c r="AM239" i="2"/>
  <c r="Z239" i="2"/>
  <c r="IM222" i="2"/>
  <c r="DC237" i="2" s="1"/>
  <c r="HI222" i="2"/>
  <c r="BY237" i="2" s="1"/>
  <c r="GN215" i="2"/>
  <c r="BD238" i="2" s="1"/>
  <c r="IQ215" i="2"/>
  <c r="DG238" i="2" s="1"/>
  <c r="IN222" i="2"/>
  <c r="DD237" i="2" s="1"/>
  <c r="HE222" i="2"/>
  <c r="BU237" i="2" s="1"/>
  <c r="JD222" i="2"/>
  <c r="DT237" i="2" s="1"/>
  <c r="HJ215" i="2"/>
  <c r="BZ238" i="2" s="1"/>
  <c r="HZ222" i="2"/>
  <c r="CP237" i="2" s="1"/>
  <c r="JE215" i="2"/>
  <c r="DU238" i="2" s="1"/>
  <c r="HY215" i="2"/>
  <c r="CO238" i="2" s="1"/>
  <c r="IH215" i="2"/>
  <c r="CX238" i="2" s="1"/>
  <c r="II222" i="2"/>
  <c r="CY237" i="2" s="1"/>
  <c r="JC222" i="2"/>
  <c r="DS237" i="2" s="1"/>
  <c r="HS215" i="2"/>
  <c r="CI238" i="2" s="1"/>
  <c r="IO222" i="2"/>
  <c r="DE237" i="2" s="1"/>
  <c r="HW222" i="2"/>
  <c r="CM237" i="2" s="1"/>
  <c r="GC215" i="2"/>
  <c r="AS238" i="2" s="1"/>
  <c r="FS222" i="2"/>
  <c r="AI237" i="2" s="1"/>
  <c r="FV222" i="2"/>
  <c r="AL237" i="2" s="1"/>
  <c r="FN222" i="2"/>
  <c r="AD237" i="2" s="1"/>
  <c r="FL215" i="2"/>
  <c r="AB238" i="2" s="1"/>
  <c r="GA222" i="2"/>
  <c r="FO215" i="2"/>
  <c r="AE238" i="2" s="1"/>
  <c r="FX215" i="2"/>
  <c r="AN238" i="2" s="1"/>
  <c r="FY215" i="2"/>
  <c r="AO238" i="2" s="1"/>
  <c r="GE215" i="2"/>
  <c r="AU238" i="2" s="1"/>
  <c r="FF215" i="2"/>
  <c r="V238" i="2" s="1"/>
  <c r="FR215" i="2"/>
  <c r="AH238" i="2" s="1"/>
  <c r="FD215" i="2"/>
  <c r="T238" i="2" s="1"/>
  <c r="GB215" i="2"/>
  <c r="AR238" i="2" s="1"/>
  <c r="GF222" i="2"/>
  <c r="AV237" i="2" s="1"/>
  <c r="GH222" i="2"/>
  <c r="AX237" i="2" s="1"/>
  <c r="FM222" i="2"/>
  <c r="AC237" i="2" s="1"/>
  <c r="FE215" i="2"/>
  <c r="U238" i="2" s="1"/>
  <c r="FP222" i="2"/>
  <c r="AF237" i="2" s="1"/>
  <c r="FI215" i="2"/>
  <c r="Y238" i="2" s="1"/>
  <c r="S239" i="2"/>
  <c r="HE215" i="2"/>
  <c r="BU238" i="2" s="1"/>
  <c r="BU239" i="2" s="1"/>
  <c r="JC215" i="2"/>
  <c r="DS238" i="2" s="1"/>
  <c r="DS239" i="2" s="1"/>
  <c r="HJ222" i="2"/>
  <c r="BZ237" i="2" s="1"/>
  <c r="JD215" i="2"/>
  <c r="DT238" i="2" s="1"/>
  <c r="DT239" i="2" s="1"/>
  <c r="HW215" i="2"/>
  <c r="CM238" i="2" s="1"/>
  <c r="IO215" i="2"/>
  <c r="DE238" i="2" s="1"/>
  <c r="HZ215" i="2"/>
  <c r="CP238" i="2" s="1"/>
  <c r="CP239" i="2" s="1"/>
  <c r="CM239" i="2"/>
  <c r="II215" i="2"/>
  <c r="CY238" i="2" s="1"/>
  <c r="CY239" i="2" s="1"/>
  <c r="IH222" i="2"/>
  <c r="CX237" i="2" s="1"/>
  <c r="CX239" i="2" s="1"/>
  <c r="IN215" i="2"/>
  <c r="DD238" i="2" s="1"/>
  <c r="DD239" i="2" s="1"/>
  <c r="HV215" i="2"/>
  <c r="CL238" i="2" s="1"/>
  <c r="HV222" i="2"/>
  <c r="CL237" i="2" s="1"/>
  <c r="IQ222" i="2"/>
  <c r="DG237" i="2" s="1"/>
  <c r="DG239" i="2" s="1"/>
  <c r="HS222" i="2"/>
  <c r="CI237" i="2" s="1"/>
  <c r="CI239" i="2" s="1"/>
  <c r="GN222" i="2"/>
  <c r="BD237" i="2" s="1"/>
  <c r="BD239" i="2" s="1"/>
  <c r="HY222" i="2"/>
  <c r="CO237" i="2" s="1"/>
  <c r="CO239" i="2" s="1"/>
  <c r="JB215" i="2"/>
  <c r="DR238" i="2" s="1"/>
  <c r="JB222" i="2"/>
  <c r="DR237" i="2" s="1"/>
  <c r="GQ215" i="2"/>
  <c r="BG238" i="2" s="1"/>
  <c r="GQ222" i="2"/>
  <c r="BG237" i="2" s="1"/>
  <c r="JA215" i="2"/>
  <c r="DQ238" i="2" s="1"/>
  <c r="JA222" i="2"/>
  <c r="DQ237" i="2" s="1"/>
  <c r="HI215" i="2"/>
  <c r="BY238" i="2" s="1"/>
  <c r="BY239" i="2" s="1"/>
  <c r="IP222" i="2"/>
  <c r="DF237" i="2" s="1"/>
  <c r="IP215" i="2"/>
  <c r="DF238" i="2" s="1"/>
  <c r="JE222" i="2"/>
  <c r="DU237" i="2" s="1"/>
  <c r="DU239" i="2" s="1"/>
  <c r="HR215" i="2"/>
  <c r="CH238" i="2" s="1"/>
  <c r="HR222" i="2"/>
  <c r="CH237" i="2" s="1"/>
  <c r="IM215" i="2"/>
  <c r="DC238" i="2" s="1"/>
  <c r="DC239" i="2" s="1"/>
  <c r="JN215" i="2"/>
  <c r="ED238" i="2" s="1"/>
  <c r="JN222" i="2"/>
  <c r="ED237" i="2" s="1"/>
  <c r="IY215" i="2"/>
  <c r="DO238" i="2" s="1"/>
  <c r="IY222" i="2"/>
  <c r="DO237" i="2" s="1"/>
  <c r="IE215" i="2"/>
  <c r="CU238" i="2" s="1"/>
  <c r="IE222" i="2"/>
  <c r="CU237" i="2" s="1"/>
  <c r="JK215" i="2"/>
  <c r="EA238" i="2" s="1"/>
  <c r="JK222" i="2"/>
  <c r="EA237" i="2" s="1"/>
  <c r="FM215" i="2"/>
  <c r="AC238" i="2" s="1"/>
  <c r="HP222" i="2"/>
  <c r="CF237" i="2" s="1"/>
  <c r="HP215" i="2"/>
  <c r="CF238" i="2" s="1"/>
  <c r="HQ215" i="2"/>
  <c r="CG238" i="2" s="1"/>
  <c r="HQ222" i="2"/>
  <c r="CG237" i="2" s="1"/>
  <c r="IV215" i="2"/>
  <c r="DL238" i="2" s="1"/>
  <c r="IV222" i="2"/>
  <c r="DL237" i="2" s="1"/>
  <c r="ID222" i="2"/>
  <c r="CT237" i="2" s="1"/>
  <c r="ID215" i="2"/>
  <c r="CT238" i="2" s="1"/>
  <c r="GZ215" i="2"/>
  <c r="BP238" i="2" s="1"/>
  <c r="GZ222" i="2"/>
  <c r="BP237" i="2" s="1"/>
  <c r="GU215" i="2"/>
  <c r="BK238" i="2" s="1"/>
  <c r="GU222" i="2"/>
  <c r="BK237" i="2" s="1"/>
  <c r="HN215" i="2"/>
  <c r="CD238" i="2" s="1"/>
  <c r="HN222" i="2"/>
  <c r="CD237" i="2" s="1"/>
  <c r="GV215" i="2"/>
  <c r="BL238" i="2" s="1"/>
  <c r="GV222" i="2"/>
  <c r="BL237" i="2" s="1"/>
  <c r="HA222" i="2"/>
  <c r="BQ237" i="2" s="1"/>
  <c r="HA215" i="2"/>
  <c r="BQ238" i="2" s="1"/>
  <c r="DZ239" i="2"/>
  <c r="JM222" i="2"/>
  <c r="EC237" i="2" s="1"/>
  <c r="JM215" i="2"/>
  <c r="EC238" i="2" s="1"/>
  <c r="IG215" i="2"/>
  <c r="CW238" i="2" s="1"/>
  <c r="IG222" i="2"/>
  <c r="CW237" i="2" s="1"/>
  <c r="HD222" i="2"/>
  <c r="BT237" i="2" s="1"/>
  <c r="HD215" i="2"/>
  <c r="BT238" i="2" s="1"/>
  <c r="HH222" i="2"/>
  <c r="BX237" i="2" s="1"/>
  <c r="HH215" i="2"/>
  <c r="BX238" i="2" s="1"/>
  <c r="JH222" i="2"/>
  <c r="DX237" i="2" s="1"/>
  <c r="JH215" i="2"/>
  <c r="DX238" i="2" s="1"/>
  <c r="GX215" i="2"/>
  <c r="BN238" i="2" s="1"/>
  <c r="GX222" i="2"/>
  <c r="BN237" i="2" s="1"/>
  <c r="HO222" i="2"/>
  <c r="CE237" i="2" s="1"/>
  <c r="HO215" i="2"/>
  <c r="CE238" i="2" s="1"/>
  <c r="IW222" i="2"/>
  <c r="DM237" i="2" s="1"/>
  <c r="IW215" i="2"/>
  <c r="DM238" i="2" s="1"/>
  <c r="IR222" i="2"/>
  <c r="DH237" i="2" s="1"/>
  <c r="IR215" i="2"/>
  <c r="DH238" i="2" s="1"/>
  <c r="IT215" i="2"/>
  <c r="DJ238" i="2" s="1"/>
  <c r="IT222" i="2"/>
  <c r="DJ237" i="2" s="1"/>
  <c r="GT215" i="2"/>
  <c r="BJ238" i="2" s="1"/>
  <c r="GT222" i="2"/>
  <c r="BJ237" i="2" s="1"/>
  <c r="JL215" i="2"/>
  <c r="EB238" i="2" s="1"/>
  <c r="JL222" i="2"/>
  <c r="EB237" i="2" s="1"/>
  <c r="IB215" i="2"/>
  <c r="CR238" i="2" s="1"/>
  <c r="IB222" i="2"/>
  <c r="CR237" i="2" s="1"/>
  <c r="HX215" i="2"/>
  <c r="CN238" i="2" s="1"/>
  <c r="HX222" i="2"/>
  <c r="CN237" i="2" s="1"/>
  <c r="HG222" i="2"/>
  <c r="BW237" i="2" s="1"/>
  <c r="HG215" i="2"/>
  <c r="BW238" i="2" s="1"/>
  <c r="JR215" i="2"/>
  <c r="EH238" i="2" s="1"/>
  <c r="JR222" i="2"/>
  <c r="EH237" i="2" s="1"/>
  <c r="JI215" i="2"/>
  <c r="DY238" i="2" s="1"/>
  <c r="JI222" i="2"/>
  <c r="DY237" i="2" s="1"/>
  <c r="IU222" i="2"/>
  <c r="DK237" i="2" s="1"/>
  <c r="IU215" i="2"/>
  <c r="DK238" i="2" s="1"/>
  <c r="HC222" i="2"/>
  <c r="BS237" i="2" s="1"/>
  <c r="HC215" i="2"/>
  <c r="BS238" i="2" s="1"/>
  <c r="IS222" i="2"/>
  <c r="DI237" i="2" s="1"/>
  <c r="IS215" i="2"/>
  <c r="DI238" i="2" s="1"/>
  <c r="GS215" i="2"/>
  <c r="BI238" i="2" s="1"/>
  <c r="GS222" i="2"/>
  <c r="BI237" i="2" s="1"/>
  <c r="GP222" i="2"/>
  <c r="BF237" i="2" s="1"/>
  <c r="GP215" i="2"/>
  <c r="BF238" i="2" s="1"/>
  <c r="HM222" i="2"/>
  <c r="CC237" i="2" s="1"/>
  <c r="HM215" i="2"/>
  <c r="CC238" i="2" s="1"/>
  <c r="IC215" i="2"/>
  <c r="CS238" i="2" s="1"/>
  <c r="IC222" i="2"/>
  <c r="CS237" i="2" s="1"/>
  <c r="GY215" i="2"/>
  <c r="BO238" i="2" s="1"/>
  <c r="GY222" i="2"/>
  <c r="BO237" i="2" s="1"/>
  <c r="GW215" i="2"/>
  <c r="BM238" i="2" s="1"/>
  <c r="GW222" i="2"/>
  <c r="BM237" i="2" s="1"/>
  <c r="FN215" i="2"/>
  <c r="AD238" i="2" s="1"/>
  <c r="AD239" i="2" s="1"/>
  <c r="GE222" i="2"/>
  <c r="AU237" i="2" s="1"/>
  <c r="GH215" i="2"/>
  <c r="AX238" i="2" s="1"/>
  <c r="GF215" i="2"/>
  <c r="AV238" i="2" s="1"/>
  <c r="FV215" i="2"/>
  <c r="AL238" i="2" s="1"/>
  <c r="FY222" i="2"/>
  <c r="AO237" i="2" s="1"/>
  <c r="AO239" i="2" s="1"/>
  <c r="FS215" i="2"/>
  <c r="AI238" i="2" s="1"/>
  <c r="AI239" i="2" s="1"/>
  <c r="GB222" i="2"/>
  <c r="AR237" i="2" s="1"/>
  <c r="X239" i="2"/>
  <c r="FI222" i="2"/>
  <c r="Y237" i="2" s="1"/>
  <c r="FX222" i="2"/>
  <c r="AN237" i="2" s="1"/>
  <c r="FD222" i="2"/>
  <c r="T237" i="2" s="1"/>
  <c r="FF222" i="2"/>
  <c r="V237" i="2" s="1"/>
  <c r="FO222" i="2"/>
  <c r="AE237" i="2" s="1"/>
  <c r="FR222" i="2"/>
  <c r="AH237" i="2" s="1"/>
  <c r="FE222" i="2"/>
  <c r="U237" i="2" s="1"/>
  <c r="FP215" i="2"/>
  <c r="AF238" i="2" s="1"/>
  <c r="GA215" i="2"/>
  <c r="AQ238" i="2" s="1"/>
  <c r="GC222" i="2"/>
  <c r="AS237" i="2" s="1"/>
  <c r="K249" i="2"/>
  <c r="FL222" i="2"/>
  <c r="AB237" i="2" s="1"/>
  <c r="AZ239" i="2"/>
  <c r="AQ237" i="2"/>
  <c r="DE239" i="2"/>
  <c r="BZ239" i="2"/>
  <c r="FC216" i="2"/>
  <c r="FC223" i="2" s="1"/>
  <c r="AE239" i="2" l="1"/>
  <c r="U239" i="2"/>
  <c r="AH239" i="2"/>
  <c r="AN239" i="2"/>
  <c r="Y239" i="2"/>
  <c r="AU239" i="2"/>
  <c r="AR239" i="2"/>
  <c r="AX239" i="2"/>
  <c r="FC226" i="2"/>
  <c r="AB239" i="2"/>
  <c r="AF239" i="2"/>
  <c r="V239" i="2"/>
  <c r="AL239" i="2"/>
  <c r="AC239" i="2"/>
  <c r="T239" i="2"/>
  <c r="AV239" i="2"/>
  <c r="AS239" i="2"/>
  <c r="FC217" i="2"/>
  <c r="FD210" i="2" s="1"/>
  <c r="FD214" i="2" s="1"/>
  <c r="FD216" i="2" s="1"/>
  <c r="CD239" i="2"/>
  <c r="CL239" i="2"/>
  <c r="DR239" i="2"/>
  <c r="DL239" i="2"/>
  <c r="CH239" i="2"/>
  <c r="BG239" i="2"/>
  <c r="DQ239" i="2"/>
  <c r="BM239" i="2"/>
  <c r="CN239" i="2"/>
  <c r="DJ239" i="2"/>
  <c r="BN239" i="2"/>
  <c r="CW239" i="2"/>
  <c r="EA239" i="2"/>
  <c r="DF239" i="2"/>
  <c r="ED239" i="2"/>
  <c r="BK239" i="2"/>
  <c r="CG239" i="2"/>
  <c r="DO239" i="2"/>
  <c r="BO239" i="2"/>
  <c r="BI239" i="2"/>
  <c r="CU239" i="2"/>
  <c r="BP239" i="2"/>
  <c r="CT239" i="2"/>
  <c r="DY239" i="2"/>
  <c r="CR239" i="2"/>
  <c r="CF239" i="2"/>
  <c r="CE239" i="2"/>
  <c r="BT239" i="2"/>
  <c r="BS239" i="2"/>
  <c r="BJ239" i="2"/>
  <c r="BQ239" i="2"/>
  <c r="BL239" i="2"/>
  <c r="DX239" i="2"/>
  <c r="EC239" i="2"/>
  <c r="CS239" i="2"/>
  <c r="EH239" i="2"/>
  <c r="EB239" i="2"/>
  <c r="DM239" i="2"/>
  <c r="BX239" i="2"/>
  <c r="DI239" i="2"/>
  <c r="BW239" i="2"/>
  <c r="CC239" i="2"/>
  <c r="BF239" i="2"/>
  <c r="DK239" i="2"/>
  <c r="DH239" i="2"/>
  <c r="AQ239" i="2"/>
  <c r="K238" i="2"/>
  <c r="E63" i="2" s="1"/>
  <c r="K237" i="2"/>
  <c r="FC218" i="2"/>
  <c r="K239" i="2" l="1"/>
  <c r="E62" i="2"/>
  <c r="E64" i="2" s="1"/>
  <c r="E98" i="2" s="1"/>
  <c r="FD218" i="2"/>
  <c r="FC224" i="2"/>
  <c r="FD220" i="2" s="1"/>
  <c r="FC229" i="2"/>
  <c r="FD217" i="2"/>
  <c r="FE210" i="2" s="1"/>
  <c r="B58" i="2" l="1"/>
  <c r="E99" i="2"/>
  <c r="B71" i="2"/>
  <c r="FC233" i="2"/>
  <c r="FC232" i="2"/>
  <c r="FC230" i="2"/>
  <c r="FC231" i="2" s="1"/>
  <c r="FD221" i="2"/>
  <c r="FD223" i="2" s="1"/>
  <c r="FE214" i="2"/>
  <c r="FE216" i="2" s="1"/>
  <c r="E100" i="2" l="1"/>
  <c r="FE218" i="2"/>
  <c r="FE217" i="2"/>
  <c r="FF210" i="2" s="1"/>
  <c r="FC234" i="2"/>
  <c r="FC236" i="2" s="1"/>
  <c r="FD226" i="2" l="1"/>
  <c r="FD229" i="2"/>
  <c r="FD224" i="2"/>
  <c r="FE220" i="2" s="1"/>
  <c r="F100" i="2"/>
  <c r="F98" i="2"/>
  <c r="F99" i="2"/>
  <c r="FC239" i="2"/>
  <c r="FC241" i="2" s="1"/>
  <c r="FC235" i="2"/>
  <c r="FF214" i="2"/>
  <c r="FF216" i="2" s="1"/>
  <c r="FE221" i="2" l="1"/>
  <c r="FE223" i="2" s="1"/>
  <c r="FD232" i="2"/>
  <c r="FD233" i="2"/>
  <c r="FD230" i="2"/>
  <c r="FD231" i="2" s="1"/>
  <c r="FF217" i="2"/>
  <c r="FG210" i="2" s="1"/>
  <c r="FG214" i="2" s="1"/>
  <c r="FC242" i="2"/>
  <c r="FC243" i="2" s="1"/>
  <c r="FC244" i="2"/>
  <c r="FC245" i="2"/>
  <c r="FF218" i="2"/>
  <c r="FD234" i="2" l="1"/>
  <c r="FD239" i="2" s="1"/>
  <c r="FC246" i="2"/>
  <c r="FC247" i="2" s="1"/>
  <c r="FG216" i="2"/>
  <c r="FD235" i="2" l="1"/>
  <c r="FD236" i="2"/>
  <c r="FE226" i="2"/>
  <c r="FE229" i="2"/>
  <c r="FE224" i="2"/>
  <c r="FF220" i="2" s="1"/>
  <c r="FC252" i="2"/>
  <c r="FC248" i="2"/>
  <c r="FG218" i="2"/>
  <c r="FD241" i="2"/>
  <c r="FG217" i="2"/>
  <c r="FH210" i="2" s="1"/>
  <c r="FE233" i="2" l="1"/>
  <c r="FE232" i="2"/>
  <c r="FF221" i="2"/>
  <c r="FF223" i="2" s="1"/>
  <c r="FE230" i="2"/>
  <c r="FH214" i="2"/>
  <c r="FH216" i="2" s="1"/>
  <c r="FD245" i="2"/>
  <c r="FD242" i="2"/>
  <c r="FD243" i="2" s="1"/>
  <c r="FD244" i="2"/>
  <c r="FC254" i="2"/>
  <c r="FE231" i="2" l="1"/>
  <c r="FE234" i="2" s="1"/>
  <c r="FE239" i="2" s="1"/>
  <c r="FH218" i="2"/>
  <c r="FD246" i="2"/>
  <c r="FC255" i="2"/>
  <c r="S250" i="2" s="1"/>
  <c r="FC256" i="2"/>
  <c r="S248" i="2" s="1"/>
  <c r="FH217" i="2"/>
  <c r="FI210" i="2" s="1"/>
  <c r="S251" i="2" l="1"/>
  <c r="S254" i="2"/>
  <c r="FE241" i="2"/>
  <c r="FE245" i="2" s="1"/>
  <c r="FE235" i="2"/>
  <c r="FF229" i="2"/>
  <c r="FF226" i="2"/>
  <c r="FE236" i="2"/>
  <c r="FF224" i="2"/>
  <c r="FG220" i="2" s="1"/>
  <c r="FI214" i="2"/>
  <c r="FD252" i="2"/>
  <c r="FD254" i="2" s="1"/>
  <c r="S255" i="2"/>
  <c r="FD248" i="2"/>
  <c r="FD247" i="2"/>
  <c r="FE242" i="2" l="1"/>
  <c r="FE243" i="2" s="1"/>
  <c r="FE244" i="2"/>
  <c r="FF232" i="2"/>
  <c r="FF233" i="2"/>
  <c r="FG221" i="2"/>
  <c r="FG223" i="2" s="1"/>
  <c r="FF230" i="2"/>
  <c r="FF231" i="2" s="1"/>
  <c r="FI216" i="2"/>
  <c r="FD255" i="2"/>
  <c r="T250" i="2" s="1"/>
  <c r="FD256" i="2"/>
  <c r="T248" i="2" s="1"/>
  <c r="S256" i="2"/>
  <c r="FE246" i="2" l="1"/>
  <c r="FE252" i="2" s="1"/>
  <c r="FE254" i="2" s="1"/>
  <c r="FG224" i="2"/>
  <c r="FH220" i="2" s="1"/>
  <c r="FF234" i="2"/>
  <c r="FF239" i="2" s="1"/>
  <c r="FF241" i="2" s="1"/>
  <c r="FF245" i="2" s="1"/>
  <c r="FG229" i="2"/>
  <c r="FG226" i="2"/>
  <c r="T251" i="2"/>
  <c r="T254" i="2"/>
  <c r="FI218" i="2"/>
  <c r="T255" i="2"/>
  <c r="FI217" i="2"/>
  <c r="FJ210" i="2" s="1"/>
  <c r="FH221" i="2" l="1"/>
  <c r="FH223" i="2" s="1"/>
  <c r="FE248" i="2"/>
  <c r="FE247" i="2"/>
  <c r="FF242" i="2" s="1"/>
  <c r="FF243" i="2" s="1"/>
  <c r="FF236" i="2"/>
  <c r="FF244" i="2"/>
  <c r="FF235" i="2"/>
  <c r="FG230" i="2" s="1"/>
  <c r="FG231" i="2" s="1"/>
  <c r="FG232" i="2"/>
  <c r="FG233" i="2"/>
  <c r="FJ214" i="2"/>
  <c r="FJ216" i="2" s="1"/>
  <c r="FE255" i="2"/>
  <c r="U250" i="2" s="1"/>
  <c r="FE256" i="2"/>
  <c r="U248" i="2" s="1"/>
  <c r="T256" i="2"/>
  <c r="FH226" i="2" l="1"/>
  <c r="FH229" i="2"/>
  <c r="FH232" i="2" s="1"/>
  <c r="FH224" i="2"/>
  <c r="FI220" i="2" s="1"/>
  <c r="FG234" i="2"/>
  <c r="FG236" i="2" s="1"/>
  <c r="FJ218" i="2"/>
  <c r="U251" i="2"/>
  <c r="U254" i="2"/>
  <c r="U255" i="2"/>
  <c r="FJ217" i="2"/>
  <c r="FK210" i="2" s="1"/>
  <c r="FF246" i="2"/>
  <c r="FI221" i="2" l="1"/>
  <c r="FI223" i="2" s="1"/>
  <c r="FH233" i="2"/>
  <c r="FG235" i="2"/>
  <c r="FH230" i="2" s="1"/>
  <c r="FH231" i="2" s="1"/>
  <c r="FG239" i="2"/>
  <c r="FG241" i="2" s="1"/>
  <c r="FG245" i="2" s="1"/>
  <c r="U256" i="2"/>
  <c r="FK214" i="2"/>
  <c r="FF252" i="2"/>
  <c r="FF254" i="2" s="1"/>
  <c r="FF248" i="2"/>
  <c r="FF247" i="2"/>
  <c r="FH234" i="2" l="1"/>
  <c r="FH239" i="2" s="1"/>
  <c r="FH241" i="2" s="1"/>
  <c r="FG244" i="2"/>
  <c r="FG242" i="2"/>
  <c r="FG243" i="2" s="1"/>
  <c r="FI229" i="2"/>
  <c r="FI226" i="2"/>
  <c r="FI224" i="2"/>
  <c r="FJ220" i="2" s="1"/>
  <c r="FF255" i="2"/>
  <c r="V250" i="2" s="1"/>
  <c r="FF256" i="2"/>
  <c r="V248" i="2" s="1"/>
  <c r="FK216" i="2"/>
  <c r="FH236" i="2" l="1"/>
  <c r="FH235" i="2"/>
  <c r="FI230" i="2" s="1"/>
  <c r="FI231" i="2" s="1"/>
  <c r="FG246" i="2"/>
  <c r="FG248" i="2" s="1"/>
  <c r="FK217" i="2"/>
  <c r="FL210" i="2" s="1"/>
  <c r="FL214" i="2" s="1"/>
  <c r="FL216" i="2" s="1"/>
  <c r="FH244" i="2"/>
  <c r="FH245" i="2"/>
  <c r="FJ221" i="2"/>
  <c r="FJ223" i="2" s="1"/>
  <c r="FI232" i="2"/>
  <c r="FI233" i="2"/>
  <c r="V251" i="2"/>
  <c r="V254" i="2"/>
  <c r="FK218" i="2"/>
  <c r="V255" i="2"/>
  <c r="FG247" i="2" l="1"/>
  <c r="FH242" i="2" s="1"/>
  <c r="FH243" i="2" s="1"/>
  <c r="FH246" i="2" s="1"/>
  <c r="FG252" i="2"/>
  <c r="FG254" i="2" s="1"/>
  <c r="FI234" i="2"/>
  <c r="FI239" i="2" s="1"/>
  <c r="FI241" i="2" s="1"/>
  <c r="FL218" i="2"/>
  <c r="FL217" i="2"/>
  <c r="FM210" i="2" s="1"/>
  <c r="V256" i="2"/>
  <c r="FI235" i="2" l="1"/>
  <c r="FI236" i="2"/>
  <c r="FJ229" i="2"/>
  <c r="FJ226" i="2"/>
  <c r="FI244" i="2"/>
  <c r="FI245" i="2"/>
  <c r="FJ224" i="2"/>
  <c r="FK220" i="2" s="1"/>
  <c r="FH247" i="2"/>
  <c r="FI242" i="2" s="1"/>
  <c r="FI243" i="2" s="1"/>
  <c r="FH252" i="2"/>
  <c r="FH248" i="2"/>
  <c r="FG256" i="2"/>
  <c r="W248" i="2" s="1"/>
  <c r="FG255" i="2"/>
  <c r="W250" i="2" s="1"/>
  <c r="FM214" i="2"/>
  <c r="FM216" i="2" s="1"/>
  <c r="FM217" i="2" l="1"/>
  <c r="FN210" i="2" s="1"/>
  <c r="FN214" i="2" s="1"/>
  <c r="FJ230" i="2"/>
  <c r="FJ231" i="2" s="1"/>
  <c r="FK221" i="2"/>
  <c r="FK223" i="2" s="1"/>
  <c r="FJ233" i="2"/>
  <c r="FJ232" i="2"/>
  <c r="FH254" i="2"/>
  <c r="FI246" i="2"/>
  <c r="FM218" i="2"/>
  <c r="W255" i="2"/>
  <c r="W251" i="2"/>
  <c r="W254" i="2"/>
  <c r="FK224" i="2" l="1"/>
  <c r="FL220" i="2" s="1"/>
  <c r="FJ234" i="2"/>
  <c r="FJ235" i="2" s="1"/>
  <c r="W256" i="2"/>
  <c r="FH255" i="2"/>
  <c r="X250" i="2" s="1"/>
  <c r="X255" i="2" s="1"/>
  <c r="FH256" i="2"/>
  <c r="X248" i="2" s="1"/>
  <c r="FN216" i="2"/>
  <c r="FI252" i="2"/>
  <c r="FI254" i="2" s="1"/>
  <c r="FI248" i="2"/>
  <c r="FI247" i="2"/>
  <c r="FL221" i="2" l="1"/>
  <c r="FL223" i="2" s="1"/>
  <c r="FK226" i="2"/>
  <c r="FK229" i="2"/>
  <c r="FK232" i="2" s="1"/>
  <c r="FJ236" i="2"/>
  <c r="FJ239" i="2"/>
  <c r="FJ241" i="2" s="1"/>
  <c r="FJ245" i="2" s="1"/>
  <c r="FI255" i="2"/>
  <c r="Y250" i="2" s="1"/>
  <c r="Y255" i="2" s="1"/>
  <c r="FI256" i="2"/>
  <c r="Y248" i="2" s="1"/>
  <c r="X251" i="2"/>
  <c r="X254" i="2"/>
  <c r="X256" i="2" s="1"/>
  <c r="FN218" i="2"/>
  <c r="FN217" i="2"/>
  <c r="FO210" i="2" s="1"/>
  <c r="FK230" i="2" l="1"/>
  <c r="FK231" i="2" s="1"/>
  <c r="FK233" i="2"/>
  <c r="FL229" i="2"/>
  <c r="FL233" i="2" s="1"/>
  <c r="FL226" i="2"/>
  <c r="FL224" i="2"/>
  <c r="FM220" i="2" s="1"/>
  <c r="FJ242" i="2"/>
  <c r="FJ243" i="2" s="1"/>
  <c r="FJ244" i="2"/>
  <c r="Y251" i="2"/>
  <c r="Y254" i="2"/>
  <c r="Y256" i="2" s="1"/>
  <c r="FO214" i="2"/>
  <c r="FO216" i="2" s="1"/>
  <c r="FL232" i="2" l="1"/>
  <c r="FK234" i="2"/>
  <c r="FK236" i="2" s="1"/>
  <c r="FM221" i="2"/>
  <c r="FM223" i="2" s="1"/>
  <c r="FJ246" i="2"/>
  <c r="FJ248" i="2" s="1"/>
  <c r="FO218" i="2"/>
  <c r="FO217" i="2"/>
  <c r="FP210" i="2" s="1"/>
  <c r="FK235" i="2" l="1"/>
  <c r="FL230" i="2" s="1"/>
  <c r="FL231" i="2" s="1"/>
  <c r="FL234" i="2" s="1"/>
  <c r="FK239" i="2"/>
  <c r="FK241" i="2" s="1"/>
  <c r="FK245" i="2" s="1"/>
  <c r="FM229" i="2"/>
  <c r="FM233" i="2" s="1"/>
  <c r="FM224" i="2"/>
  <c r="FN220" i="2" s="1"/>
  <c r="FM226" i="2"/>
  <c r="FJ252" i="2"/>
  <c r="FJ254" i="2" s="1"/>
  <c r="FJ255" i="2" s="1"/>
  <c r="Z250" i="2" s="1"/>
  <c r="Z255" i="2" s="1"/>
  <c r="FJ247" i="2"/>
  <c r="FP214" i="2"/>
  <c r="FK244" i="2" l="1"/>
  <c r="FK242" i="2"/>
  <c r="FK243" i="2" s="1"/>
  <c r="FN221" i="2"/>
  <c r="FN223" i="2" s="1"/>
  <c r="FM232" i="2"/>
  <c r="FJ256" i="2"/>
  <c r="Z248" i="2" s="1"/>
  <c r="Z254" i="2" s="1"/>
  <c r="Z256" i="2" s="1"/>
  <c r="FL235" i="2"/>
  <c r="FM230" i="2" s="1"/>
  <c r="FL236" i="2"/>
  <c r="FL239" i="2"/>
  <c r="FL241" i="2" s="1"/>
  <c r="FP216" i="2"/>
  <c r="FK246" i="2" l="1"/>
  <c r="FK247" i="2" s="1"/>
  <c r="FL242" i="2" s="1"/>
  <c r="FL243" i="2" s="1"/>
  <c r="FN226" i="2"/>
  <c r="Z251" i="2"/>
  <c r="FL244" i="2"/>
  <c r="FL245" i="2"/>
  <c r="FM231" i="2"/>
  <c r="FP218" i="2"/>
  <c r="FP217" i="2"/>
  <c r="FQ210" i="2" s="1"/>
  <c r="FK248" i="2" l="1"/>
  <c r="FK252" i="2"/>
  <c r="FK254" i="2" s="1"/>
  <c r="FK256" i="2" s="1"/>
  <c r="AA248" i="2" s="1"/>
  <c r="AA254" i="2" s="1"/>
  <c r="FN224" i="2"/>
  <c r="FO220" i="2" s="1"/>
  <c r="FN229" i="2"/>
  <c r="FN232" i="2" s="1"/>
  <c r="FL246" i="2"/>
  <c r="FL252" i="2" s="1"/>
  <c r="FL254" i="2" s="1"/>
  <c r="FM234" i="2"/>
  <c r="FM235" i="2" s="1"/>
  <c r="FQ214" i="2"/>
  <c r="FQ216" i="2" s="1"/>
  <c r="FK255" i="2" l="1"/>
  <c r="AA250" i="2" s="1"/>
  <c r="AA255" i="2" s="1"/>
  <c r="AA256" i="2" s="1"/>
  <c r="FN230" i="2"/>
  <c r="FN231" i="2" s="1"/>
  <c r="FN233" i="2"/>
  <c r="FO221" i="2"/>
  <c r="FO223" i="2" s="1"/>
  <c r="FL247" i="2"/>
  <c r="FL248" i="2"/>
  <c r="FM239" i="2"/>
  <c r="FM241" i="2" s="1"/>
  <c r="FM236" i="2"/>
  <c r="FQ218" i="2"/>
  <c r="FQ217" i="2"/>
  <c r="FR210" i="2" s="1"/>
  <c r="FL256" i="2"/>
  <c r="AB248" i="2" s="1"/>
  <c r="FL255" i="2"/>
  <c r="AB250" i="2" s="1"/>
  <c r="AB255" i="2" s="1"/>
  <c r="AA251" i="2" l="1"/>
  <c r="FN234" i="2"/>
  <c r="FN235" i="2" s="1"/>
  <c r="FM244" i="2"/>
  <c r="FM245" i="2"/>
  <c r="FM242" i="2"/>
  <c r="FR214" i="2"/>
  <c r="AB251" i="2"/>
  <c r="AB254" i="2"/>
  <c r="AB256" i="2" s="1"/>
  <c r="FN239" i="2" l="1"/>
  <c r="FN241" i="2" s="1"/>
  <c r="FN244" i="2" s="1"/>
  <c r="FN236" i="2"/>
  <c r="FO226" i="2"/>
  <c r="FO229" i="2"/>
  <c r="FO224" i="2"/>
  <c r="FP220" i="2" s="1"/>
  <c r="FM243" i="2"/>
  <c r="FM246" i="2" s="1"/>
  <c r="FM252" i="2" s="1"/>
  <c r="FM254" i="2" s="1"/>
  <c r="FR216" i="2"/>
  <c r="FN245" i="2" l="1"/>
  <c r="FO233" i="2"/>
  <c r="FO232" i="2"/>
  <c r="FP221" i="2"/>
  <c r="FP223" i="2" s="1"/>
  <c r="FO230" i="2"/>
  <c r="FR217" i="2"/>
  <c r="FS210" i="2" s="1"/>
  <c r="FS214" i="2" s="1"/>
  <c r="FM255" i="2"/>
  <c r="AC250" i="2" s="1"/>
  <c r="AC255" i="2" s="1"/>
  <c r="FM256" i="2"/>
  <c r="AC248" i="2" s="1"/>
  <c r="FM248" i="2"/>
  <c r="FM247" i="2"/>
  <c r="FN242" i="2" s="1"/>
  <c r="FR218" i="2"/>
  <c r="FS216" i="2" l="1"/>
  <c r="FS217" i="2" s="1"/>
  <c r="FT210" i="2" s="1"/>
  <c r="FP224" i="2"/>
  <c r="FQ220" i="2" s="1"/>
  <c r="FP229" i="2"/>
  <c r="FP226" i="2"/>
  <c r="FO231" i="2"/>
  <c r="FO234" i="2" s="1"/>
  <c r="FO235" i="2" s="1"/>
  <c r="AC251" i="2"/>
  <c r="AC254" i="2"/>
  <c r="AC256" i="2" s="1"/>
  <c r="FN243" i="2"/>
  <c r="FN246" i="2" s="1"/>
  <c r="FS218" i="2" l="1"/>
  <c r="FQ221" i="2"/>
  <c r="FQ223" i="2" s="1"/>
  <c r="FQ226" i="2" s="1"/>
  <c r="FP230" i="2"/>
  <c r="FP231" i="2" s="1"/>
  <c r="FO239" i="2"/>
  <c r="FO241" i="2" s="1"/>
  <c r="FO236" i="2"/>
  <c r="FP233" i="2"/>
  <c r="FP232" i="2"/>
  <c r="FN247" i="2"/>
  <c r="FN252" i="2"/>
  <c r="FN254" i="2" s="1"/>
  <c r="FN248" i="2"/>
  <c r="FT214" i="2"/>
  <c r="FT216" i="2" s="1"/>
  <c r="FQ229" i="2" l="1"/>
  <c r="FQ232" i="2" s="1"/>
  <c r="FQ224" i="2"/>
  <c r="FR220" i="2" s="1"/>
  <c r="FO244" i="2"/>
  <c r="FO245" i="2"/>
  <c r="FO242" i="2"/>
  <c r="FO243" i="2" s="1"/>
  <c r="FP234" i="2"/>
  <c r="FT217" i="2"/>
  <c r="FU210" i="2" s="1"/>
  <c r="FU214" i="2" s="1"/>
  <c r="FN255" i="2"/>
  <c r="AD250" i="2" s="1"/>
  <c r="AD255" i="2" s="1"/>
  <c r="FN256" i="2"/>
  <c r="AD248" i="2" s="1"/>
  <c r="FT218" i="2"/>
  <c r="FR221" i="2" l="1"/>
  <c r="FR223" i="2" s="1"/>
  <c r="FQ233" i="2"/>
  <c r="FO246" i="2"/>
  <c r="FO252" i="2" s="1"/>
  <c r="FO254" i="2" s="1"/>
  <c r="FO256" i="2" s="1"/>
  <c r="AE248" i="2" s="1"/>
  <c r="AE254" i="2" s="1"/>
  <c r="FP236" i="2"/>
  <c r="FP239" i="2"/>
  <c r="FP241" i="2" s="1"/>
  <c r="FP235" i="2"/>
  <c r="FQ230" i="2" s="1"/>
  <c r="FQ231" i="2" s="1"/>
  <c r="FQ234" i="2" s="1"/>
  <c r="FQ239" i="2" s="1"/>
  <c r="FQ241" i="2" s="1"/>
  <c r="AD251" i="2"/>
  <c r="AD254" i="2"/>
  <c r="AD256" i="2" s="1"/>
  <c r="FU216" i="2"/>
  <c r="FR226" i="2" l="1"/>
  <c r="FR224" i="2"/>
  <c r="FS220" i="2" s="1"/>
  <c r="FS221" i="2" s="1"/>
  <c r="FS223" i="2" s="1"/>
  <c r="FR229" i="2"/>
  <c r="FR232" i="2" s="1"/>
  <c r="FO247" i="2"/>
  <c r="FP242" i="2" s="1"/>
  <c r="FP243" i="2" s="1"/>
  <c r="FO255" i="2"/>
  <c r="AE250" i="2" s="1"/>
  <c r="FO248" i="2"/>
  <c r="FQ236" i="2"/>
  <c r="FQ235" i="2"/>
  <c r="FP245" i="2"/>
  <c r="FP244" i="2"/>
  <c r="FQ245" i="2"/>
  <c r="FQ244" i="2"/>
  <c r="FU218" i="2"/>
  <c r="FU217" i="2"/>
  <c r="FV210" i="2" s="1"/>
  <c r="FR230" i="2" l="1"/>
  <c r="FR231" i="2" s="1"/>
  <c r="FR233" i="2"/>
  <c r="AE255" i="2"/>
  <c r="AE256" i="2" s="1"/>
  <c r="AE251" i="2"/>
  <c r="FP246" i="2"/>
  <c r="FP252" i="2" s="1"/>
  <c r="FP254" i="2" s="1"/>
  <c r="FP256" i="2" s="1"/>
  <c r="AF248" i="2" s="1"/>
  <c r="AF254" i="2" s="1"/>
  <c r="FS226" i="2"/>
  <c r="FS229" i="2"/>
  <c r="FS224" i="2"/>
  <c r="FT220" i="2" s="1"/>
  <c r="FV214" i="2"/>
  <c r="FR234" i="2" l="1"/>
  <c r="FR239" i="2" s="1"/>
  <c r="FR241" i="2" s="1"/>
  <c r="FR245" i="2" s="1"/>
  <c r="FP248" i="2"/>
  <c r="FP247" i="2"/>
  <c r="FQ242" i="2" s="1"/>
  <c r="FP255" i="2"/>
  <c r="AF250" i="2" s="1"/>
  <c r="FS233" i="2"/>
  <c r="FS232" i="2"/>
  <c r="FT221" i="2"/>
  <c r="FT223" i="2" s="1"/>
  <c r="FV216" i="2"/>
  <c r="FR236" i="2" l="1"/>
  <c r="FR244" i="2"/>
  <c r="FR235" i="2"/>
  <c r="FS230" i="2" s="1"/>
  <c r="FS231" i="2" s="1"/>
  <c r="FQ243" i="2"/>
  <c r="FQ246" i="2" s="1"/>
  <c r="FT224" i="2"/>
  <c r="FU220" i="2" s="1"/>
  <c r="AF255" i="2"/>
  <c r="AF256" i="2" s="1"/>
  <c r="AF251" i="2"/>
  <c r="FV218" i="2"/>
  <c r="FV217" i="2"/>
  <c r="FW210" i="2" s="1"/>
  <c r="FS234" i="2" l="1"/>
  <c r="FS236" i="2" s="1"/>
  <c r="FT226" i="2"/>
  <c r="FT229" i="2"/>
  <c r="FT232" i="2" s="1"/>
  <c r="FU221" i="2"/>
  <c r="FU223" i="2" s="1"/>
  <c r="FQ248" i="2"/>
  <c r="FQ252" i="2"/>
  <c r="FQ254" i="2" s="1"/>
  <c r="FQ247" i="2"/>
  <c r="FR242" i="2" s="1"/>
  <c r="FR243" i="2" s="1"/>
  <c r="FR246" i="2" s="1"/>
  <c r="FR252" i="2" s="1"/>
  <c r="FR254" i="2" s="1"/>
  <c r="FW214" i="2"/>
  <c r="FW216" i="2" s="1"/>
  <c r="FS239" i="2" l="1"/>
  <c r="FS241" i="2" s="1"/>
  <c r="FS244" i="2" s="1"/>
  <c r="FS235" i="2"/>
  <c r="FT233" i="2"/>
  <c r="FT230" i="2"/>
  <c r="FT231" i="2" s="1"/>
  <c r="FU229" i="2"/>
  <c r="FU232" i="2" s="1"/>
  <c r="FU226" i="2"/>
  <c r="FQ256" i="2"/>
  <c r="AG248" i="2" s="1"/>
  <c r="FQ255" i="2"/>
  <c r="AG250" i="2" s="1"/>
  <c r="AG255" i="2" s="1"/>
  <c r="FR248" i="2"/>
  <c r="FR247" i="2"/>
  <c r="FU224" i="2"/>
  <c r="FV220" i="2" s="1"/>
  <c r="FS245" i="2"/>
  <c r="FR256" i="2"/>
  <c r="AH248" i="2" s="1"/>
  <c r="FR255" i="2"/>
  <c r="AH250" i="2" s="1"/>
  <c r="AH255" i="2" s="1"/>
  <c r="FW217" i="2"/>
  <c r="FX210" i="2" s="1"/>
  <c r="FX214" i="2" s="1"/>
  <c r="FW218" i="2"/>
  <c r="FS242" i="2" l="1"/>
  <c r="FS243" i="2" s="1"/>
  <c r="FT234" i="2"/>
  <c r="FT236" i="2" s="1"/>
  <c r="FU233" i="2"/>
  <c r="FV221" i="2"/>
  <c r="FV223" i="2" s="1"/>
  <c r="AG254" i="2"/>
  <c r="AG256" i="2" s="1"/>
  <c r="AG251" i="2"/>
  <c r="AH254" i="2"/>
  <c r="AH256" i="2" s="1"/>
  <c r="AH251" i="2"/>
  <c r="FX216" i="2"/>
  <c r="FS246" i="2" l="1"/>
  <c r="FS247" i="2" s="1"/>
  <c r="FT235" i="2"/>
  <c r="FU230" i="2" s="1"/>
  <c r="FU231" i="2" s="1"/>
  <c r="FU234" i="2" s="1"/>
  <c r="FU236" i="2" s="1"/>
  <c r="FT239" i="2"/>
  <c r="FT241" i="2" s="1"/>
  <c r="FT245" i="2" s="1"/>
  <c r="FV226" i="2"/>
  <c r="FV229" i="2"/>
  <c r="FV224" i="2"/>
  <c r="FW220" i="2" s="1"/>
  <c r="FX218" i="2"/>
  <c r="FX217" i="2"/>
  <c r="FY210" i="2" s="1"/>
  <c r="FS248" i="2" l="1"/>
  <c r="FS252" i="2"/>
  <c r="FS254" i="2" s="1"/>
  <c r="FS255" i="2" s="1"/>
  <c r="AI250" i="2" s="1"/>
  <c r="AI255" i="2" s="1"/>
  <c r="FT242" i="2"/>
  <c r="FT243" i="2" s="1"/>
  <c r="FT244" i="2"/>
  <c r="FU239" i="2"/>
  <c r="FU241" i="2" s="1"/>
  <c r="FU244" i="2" s="1"/>
  <c r="FU235" i="2"/>
  <c r="FV230" i="2" s="1"/>
  <c r="FV231" i="2" s="1"/>
  <c r="FV232" i="2"/>
  <c r="FV233" i="2"/>
  <c r="FW221" i="2"/>
  <c r="FW223" i="2" s="1"/>
  <c r="FY214" i="2"/>
  <c r="FS256" i="2" l="1"/>
  <c r="AI248" i="2" s="1"/>
  <c r="AI251" i="2" s="1"/>
  <c r="FT246" i="2"/>
  <c r="FT247" i="2" s="1"/>
  <c r="FU242" i="2" s="1"/>
  <c r="FU243" i="2" s="1"/>
  <c r="FU245" i="2"/>
  <c r="FV234" i="2"/>
  <c r="FV236" i="2" s="1"/>
  <c r="FW224" i="2"/>
  <c r="FX220" i="2" s="1"/>
  <c r="FY216" i="2"/>
  <c r="AI254" i="2" l="1"/>
  <c r="AI256" i="2" s="1"/>
  <c r="FT252" i="2"/>
  <c r="FT254" i="2" s="1"/>
  <c r="FT255" i="2" s="1"/>
  <c r="AJ250" i="2" s="1"/>
  <c r="AJ255" i="2" s="1"/>
  <c r="FT248" i="2"/>
  <c r="FU246" i="2"/>
  <c r="FU252" i="2" s="1"/>
  <c r="FU254" i="2" s="1"/>
  <c r="FU256" i="2" s="1"/>
  <c r="AK248" i="2" s="1"/>
  <c r="AK254" i="2" s="1"/>
  <c r="FV235" i="2"/>
  <c r="FV239" i="2"/>
  <c r="FV241" i="2" s="1"/>
  <c r="FV245" i="2" s="1"/>
  <c r="FX221" i="2"/>
  <c r="FX223" i="2" s="1"/>
  <c r="FW226" i="2"/>
  <c r="FW229" i="2"/>
  <c r="FY217" i="2"/>
  <c r="FZ210" i="2" s="1"/>
  <c r="FZ214" i="2" s="1"/>
  <c r="FZ216" i="2" s="1"/>
  <c r="FY218" i="2"/>
  <c r="FU247" i="2" l="1"/>
  <c r="FV242" i="2" s="1"/>
  <c r="FV243" i="2" s="1"/>
  <c r="FT256" i="2"/>
  <c r="AJ248" i="2" s="1"/>
  <c r="AJ251" i="2" s="1"/>
  <c r="FU248" i="2"/>
  <c r="FU255" i="2"/>
  <c r="AK250" i="2" s="1"/>
  <c r="AK255" i="2" s="1"/>
  <c r="AK256" i="2" s="1"/>
  <c r="FV244" i="2"/>
  <c r="FX224" i="2"/>
  <c r="FY220" i="2" s="1"/>
  <c r="FW232" i="2"/>
  <c r="FW233" i="2"/>
  <c r="FW230" i="2"/>
  <c r="FW231" i="2" s="1"/>
  <c r="FX229" i="2"/>
  <c r="FX226" i="2"/>
  <c r="FZ217" i="2"/>
  <c r="GA210" i="2" s="1"/>
  <c r="GA214" i="2" s="1"/>
  <c r="GA216" i="2" s="1"/>
  <c r="FZ218" i="2"/>
  <c r="AK251" i="2" l="1"/>
  <c r="AJ254" i="2"/>
  <c r="AJ256" i="2" s="1"/>
  <c r="FV246" i="2"/>
  <c r="FY221" i="2"/>
  <c r="FW234" i="2"/>
  <c r="FW235" i="2" s="1"/>
  <c r="FX230" i="2" s="1"/>
  <c r="FX232" i="2"/>
  <c r="FX233" i="2"/>
  <c r="GA217" i="2"/>
  <c r="GB210" i="2" s="1"/>
  <c r="GB214" i="2" s="1"/>
  <c r="GB216" i="2" s="1"/>
  <c r="GA218" i="2"/>
  <c r="FV248" i="2" l="1"/>
  <c r="FV252" i="2"/>
  <c r="FV254" i="2" s="1"/>
  <c r="FV247" i="2"/>
  <c r="FY223" i="2"/>
  <c r="FY226" i="2" s="1"/>
  <c r="FW239" i="2"/>
  <c r="FW241" i="2" s="1"/>
  <c r="FW236" i="2"/>
  <c r="FX231" i="2"/>
  <c r="FX234" i="2" s="1"/>
  <c r="FX235" i="2" s="1"/>
  <c r="GB218" i="2"/>
  <c r="GB217" i="2"/>
  <c r="GC210" i="2" s="1"/>
  <c r="FW242" i="2" l="1"/>
  <c r="FW243" i="2" s="1"/>
  <c r="FV256" i="2"/>
  <c r="AL248" i="2" s="1"/>
  <c r="FV255" i="2"/>
  <c r="AL250" i="2" s="1"/>
  <c r="AL255" i="2" s="1"/>
  <c r="FY224" i="2"/>
  <c r="FZ220" i="2" s="1"/>
  <c r="FY229" i="2"/>
  <c r="FY232" i="2" s="1"/>
  <c r="FW244" i="2"/>
  <c r="FW245" i="2"/>
  <c r="FX239" i="2"/>
  <c r="FX241" i="2" s="1"/>
  <c r="FX236" i="2"/>
  <c r="GC214" i="2"/>
  <c r="GC216" i="2" s="1"/>
  <c r="AL251" i="2" l="1"/>
  <c r="AL254" i="2"/>
  <c r="AL256" i="2" s="1"/>
  <c r="FY233" i="2"/>
  <c r="FY230" i="2"/>
  <c r="FY231" i="2" s="1"/>
  <c r="FW246" i="2"/>
  <c r="FW248" i="2" s="1"/>
  <c r="FZ221" i="2"/>
  <c r="FZ223" i="2" s="1"/>
  <c r="FZ229" i="2" s="1"/>
  <c r="FZ232" i="2" s="1"/>
  <c r="FX245" i="2"/>
  <c r="FX244" i="2"/>
  <c r="GC218" i="2"/>
  <c r="GC217" i="2"/>
  <c r="GD210" i="2" s="1"/>
  <c r="FY234" i="2" l="1"/>
  <c r="FY235" i="2" s="1"/>
  <c r="FZ230" i="2" s="1"/>
  <c r="FZ231" i="2" s="1"/>
  <c r="FW247" i="2"/>
  <c r="FX242" i="2" s="1"/>
  <c r="FX243" i="2" s="1"/>
  <c r="FX246" i="2" s="1"/>
  <c r="FX247" i="2" s="1"/>
  <c r="FZ233" i="2"/>
  <c r="FW252" i="2"/>
  <c r="FW254" i="2" s="1"/>
  <c r="FW255" i="2" s="1"/>
  <c r="AM250" i="2" s="1"/>
  <c r="AM255" i="2" s="1"/>
  <c r="FZ226" i="2"/>
  <c r="FZ224" i="2"/>
  <c r="GA220" i="2" s="1"/>
  <c r="GD214" i="2"/>
  <c r="GD216" i="2" s="1"/>
  <c r="FY239" i="2" l="1"/>
  <c r="FY241" i="2" s="1"/>
  <c r="FY244" i="2" s="1"/>
  <c r="FY236" i="2"/>
  <c r="FZ234" i="2"/>
  <c r="FZ235" i="2" s="1"/>
  <c r="FW256" i="2"/>
  <c r="AM248" i="2" s="1"/>
  <c r="GA221" i="2"/>
  <c r="GA223" i="2" s="1"/>
  <c r="FX248" i="2"/>
  <c r="FX252" i="2"/>
  <c r="FX254" i="2" s="1"/>
  <c r="FX255" i="2" s="1"/>
  <c r="AN250" i="2" s="1"/>
  <c r="AN255" i="2" s="1"/>
  <c r="GD217" i="2"/>
  <c r="GE210" i="2" s="1"/>
  <c r="GE214" i="2" s="1"/>
  <c r="GE216" i="2" s="1"/>
  <c r="GD218" i="2"/>
  <c r="FY245" i="2" l="1"/>
  <c r="FY242" i="2"/>
  <c r="FY243" i="2" s="1"/>
  <c r="FZ239" i="2"/>
  <c r="FZ241" i="2" s="1"/>
  <c r="FZ236" i="2"/>
  <c r="AM254" i="2"/>
  <c r="AM256" i="2" s="1"/>
  <c r="AM251" i="2"/>
  <c r="GA226" i="2"/>
  <c r="GA229" i="2"/>
  <c r="GA224" i="2"/>
  <c r="GB220" i="2" s="1"/>
  <c r="FX256" i="2"/>
  <c r="AN248" i="2" s="1"/>
  <c r="AN254" i="2" s="1"/>
  <c r="AN256" i="2" s="1"/>
  <c r="GE218" i="2"/>
  <c r="GE217" i="2"/>
  <c r="GF210" i="2" s="1"/>
  <c r="FY246" i="2" l="1"/>
  <c r="FY247" i="2" s="1"/>
  <c r="FZ242" i="2" s="1"/>
  <c r="FZ243" i="2" s="1"/>
  <c r="FZ245" i="2"/>
  <c r="FZ244" i="2"/>
  <c r="AN251" i="2"/>
  <c r="GB221" i="2"/>
  <c r="GB223" i="2" s="1"/>
  <c r="GA230" i="2"/>
  <c r="GA231" i="2" s="1"/>
  <c r="GA232" i="2"/>
  <c r="GA233" i="2"/>
  <c r="GF214" i="2"/>
  <c r="FY248" i="2" l="1"/>
  <c r="FY252" i="2"/>
  <c r="FY254" i="2" s="1"/>
  <c r="FY256" i="2" s="1"/>
  <c r="AO248" i="2" s="1"/>
  <c r="FZ246" i="2"/>
  <c r="FZ248" i="2" s="1"/>
  <c r="GA234" i="2"/>
  <c r="GA239" i="2" s="1"/>
  <c r="GA241" i="2" s="1"/>
  <c r="GB226" i="2"/>
  <c r="GB229" i="2"/>
  <c r="GB232" i="2" s="1"/>
  <c r="GB224" i="2"/>
  <c r="GC220" i="2" s="1"/>
  <c r="GC221" i="2" s="1"/>
  <c r="GF216" i="2"/>
  <c r="FZ252" i="2" l="1"/>
  <c r="FZ247" i="2"/>
  <c r="GA242" i="2" s="1"/>
  <c r="GA243" i="2" s="1"/>
  <c r="FY255" i="2"/>
  <c r="AO250" i="2" s="1"/>
  <c r="AO255" i="2" s="1"/>
  <c r="GA236" i="2"/>
  <c r="GA235" i="2"/>
  <c r="GB230" i="2" s="1"/>
  <c r="GB233" i="2"/>
  <c r="GC223" i="2"/>
  <c r="GC226" i="2" s="1"/>
  <c r="GA244" i="2"/>
  <c r="GA245" i="2"/>
  <c r="AO254" i="2"/>
  <c r="GF218" i="2"/>
  <c r="FZ254" i="2"/>
  <c r="GF217" i="2"/>
  <c r="GG210" i="2" s="1"/>
  <c r="AO256" i="2" l="1"/>
  <c r="AO251" i="2"/>
  <c r="GB231" i="2"/>
  <c r="GB234" i="2" s="1"/>
  <c r="GB236" i="2" s="1"/>
  <c r="GA246" i="2"/>
  <c r="GA247" i="2" s="1"/>
  <c r="GC229" i="2"/>
  <c r="GC233" i="2" s="1"/>
  <c r="GC224" i="2"/>
  <c r="GD220" i="2" s="1"/>
  <c r="GG214" i="2"/>
  <c r="FZ255" i="2"/>
  <c r="AP250" i="2" s="1"/>
  <c r="AP255" i="2" s="1"/>
  <c r="FZ256" i="2"/>
  <c r="AP248" i="2" s="1"/>
  <c r="GA252" i="2" l="1"/>
  <c r="GA254" i="2" s="1"/>
  <c r="GA256" i="2" s="1"/>
  <c r="AQ248" i="2" s="1"/>
  <c r="GA248" i="2"/>
  <c r="GB235" i="2"/>
  <c r="GC230" i="2" s="1"/>
  <c r="GB239" i="2"/>
  <c r="GB241" i="2" s="1"/>
  <c r="GB242" i="2" s="1"/>
  <c r="GB243" i="2" s="1"/>
  <c r="GC232" i="2"/>
  <c r="GD221" i="2"/>
  <c r="GD223" i="2" s="1"/>
  <c r="AP251" i="2"/>
  <c r="AP254" i="2"/>
  <c r="AP256" i="2" s="1"/>
  <c r="GG216" i="2"/>
  <c r="GA255" i="2" l="1"/>
  <c r="AQ250" i="2" s="1"/>
  <c r="AQ255" i="2" s="1"/>
  <c r="GC231" i="2"/>
  <c r="GC234" i="2" s="1"/>
  <c r="GC236" i="2" s="1"/>
  <c r="GB244" i="2"/>
  <c r="GB245" i="2"/>
  <c r="GG217" i="2"/>
  <c r="GH210" i="2" s="1"/>
  <c r="GH214" i="2" s="1"/>
  <c r="GH216" i="2" s="1"/>
  <c r="GD224" i="2"/>
  <c r="GE220" i="2" s="1"/>
  <c r="GD229" i="2"/>
  <c r="GD226" i="2"/>
  <c r="GG218" i="2"/>
  <c r="AQ254" i="2"/>
  <c r="AQ256" i="2" l="1"/>
  <c r="AQ251" i="2"/>
  <c r="GB246" i="2"/>
  <c r="GB247" i="2" s="1"/>
  <c r="GC239" i="2"/>
  <c r="GC241" i="2" s="1"/>
  <c r="GC244" i="2" s="1"/>
  <c r="GC235" i="2"/>
  <c r="GD230" i="2" s="1"/>
  <c r="GD231" i="2" s="1"/>
  <c r="GD233" i="2"/>
  <c r="GD232" i="2"/>
  <c r="GE221" i="2"/>
  <c r="GE223" i="2" s="1"/>
  <c r="GH217" i="2"/>
  <c r="GI210" i="2" s="1"/>
  <c r="GI214" i="2" s="1"/>
  <c r="GH218" i="2"/>
  <c r="GB252" i="2" l="1"/>
  <c r="GB254" i="2" s="1"/>
  <c r="GB255" i="2" s="1"/>
  <c r="AR250" i="2" s="1"/>
  <c r="AR255" i="2" s="1"/>
  <c r="GB248" i="2"/>
  <c r="GC245" i="2"/>
  <c r="GC242" i="2"/>
  <c r="GC243" i="2" s="1"/>
  <c r="GD234" i="2"/>
  <c r="GD235" i="2" s="1"/>
  <c r="GE224" i="2"/>
  <c r="GF220" i="2" s="1"/>
  <c r="GE229" i="2"/>
  <c r="GI216" i="2"/>
  <c r="GB256" i="2" l="1"/>
  <c r="AR248" i="2" s="1"/>
  <c r="AR254" i="2" s="1"/>
  <c r="AR256" i="2" s="1"/>
  <c r="GC246" i="2"/>
  <c r="GC252" i="2" s="1"/>
  <c r="GD236" i="2"/>
  <c r="GD239" i="2"/>
  <c r="GD241" i="2" s="1"/>
  <c r="GD244" i="2" s="1"/>
  <c r="GF221" i="2"/>
  <c r="GF223" i="2" s="1"/>
  <c r="GE226" i="2"/>
  <c r="GE233" i="2"/>
  <c r="GE232" i="2"/>
  <c r="GI217" i="2"/>
  <c r="GJ210" i="2" s="1"/>
  <c r="GJ214" i="2" s="1"/>
  <c r="GJ216" i="2" s="1"/>
  <c r="GE230" i="2"/>
  <c r="GE231" i="2" s="1"/>
  <c r="GI218" i="2"/>
  <c r="GC247" i="2" l="1"/>
  <c r="GD242" i="2" s="1"/>
  <c r="GD243" i="2" s="1"/>
  <c r="AR251" i="2"/>
  <c r="GC248" i="2"/>
  <c r="GD245" i="2"/>
  <c r="GE234" i="2"/>
  <c r="GE235" i="2" s="1"/>
  <c r="GF229" i="2"/>
  <c r="GF233" i="2" s="1"/>
  <c r="GF226" i="2"/>
  <c r="GF224" i="2"/>
  <c r="GG220" i="2" s="1"/>
  <c r="GJ217" i="2"/>
  <c r="GK210" i="2" s="1"/>
  <c r="GK214" i="2" s="1"/>
  <c r="GJ218" i="2"/>
  <c r="GC254" i="2"/>
  <c r="GD246" i="2" l="1"/>
  <c r="GD247" i="2" s="1"/>
  <c r="GE239" i="2"/>
  <c r="GE241" i="2" s="1"/>
  <c r="GE244" i="2" s="1"/>
  <c r="GE236" i="2"/>
  <c r="GF232" i="2"/>
  <c r="GF230" i="2"/>
  <c r="GF231" i="2" s="1"/>
  <c r="GG221" i="2"/>
  <c r="GG223" i="2" s="1"/>
  <c r="GK216" i="2"/>
  <c r="GC256" i="2"/>
  <c r="AS248" i="2" s="1"/>
  <c r="GC255" i="2"/>
  <c r="AS250" i="2" s="1"/>
  <c r="AS255" i="2" s="1"/>
  <c r="GD248" i="2" l="1"/>
  <c r="GD252" i="2"/>
  <c r="GD254" i="2" s="1"/>
  <c r="GF234" i="2"/>
  <c r="GF236" i="2" s="1"/>
  <c r="GE242" i="2"/>
  <c r="GE243" i="2" s="1"/>
  <c r="GE245" i="2"/>
  <c r="GG224" i="2"/>
  <c r="GH220" i="2" s="1"/>
  <c r="GG226" i="2"/>
  <c r="GG229" i="2"/>
  <c r="GG233" i="2" s="1"/>
  <c r="GK217" i="2"/>
  <c r="GL210" i="2" s="1"/>
  <c r="GL214" i="2" s="1"/>
  <c r="GL216" i="2" s="1"/>
  <c r="GK218" i="2"/>
  <c r="AS251" i="2"/>
  <c r="AS254" i="2"/>
  <c r="AS256" i="2" s="1"/>
  <c r="GF239" i="2" l="1"/>
  <c r="GF241" i="2" s="1"/>
  <c r="GF244" i="2" s="1"/>
  <c r="GF235" i="2"/>
  <c r="GG230" i="2" s="1"/>
  <c r="GG231" i="2" s="1"/>
  <c r="GE246" i="2"/>
  <c r="GH221" i="2"/>
  <c r="GH223" i="2" s="1"/>
  <c r="GG232" i="2"/>
  <c r="GL218" i="2"/>
  <c r="GL217" i="2"/>
  <c r="GM210" i="2" s="1"/>
  <c r="GM214" i="2" s="1"/>
  <c r="GM216" i="2" s="1"/>
  <c r="GD255" i="2"/>
  <c r="AT250" i="2" s="1"/>
  <c r="AT255" i="2" s="1"/>
  <c r="GD256" i="2"/>
  <c r="AT248" i="2" s="1"/>
  <c r="GF245" i="2" l="1"/>
  <c r="GE247" i="2"/>
  <c r="GF242" i="2" s="1"/>
  <c r="GF243" i="2" s="1"/>
  <c r="GE252" i="2"/>
  <c r="GE254" i="2" s="1"/>
  <c r="GE255" i="2" s="1"/>
  <c r="AU250" i="2" s="1"/>
  <c r="AU255" i="2" s="1"/>
  <c r="GE248" i="2"/>
  <c r="GH229" i="2"/>
  <c r="GH232" i="2" s="1"/>
  <c r="GH224" i="2"/>
  <c r="GI220" i="2" s="1"/>
  <c r="GH226" i="2"/>
  <c r="GG234" i="2"/>
  <c r="GG236" i="2" s="1"/>
  <c r="GM217" i="2"/>
  <c r="GN210" i="2" s="1"/>
  <c r="GM218" i="2"/>
  <c r="GN214" i="2"/>
  <c r="GN216" i="2" s="1"/>
  <c r="GN217" i="2" s="1"/>
  <c r="GO210" i="2" s="1"/>
  <c r="AT251" i="2"/>
  <c r="AT254" i="2"/>
  <c r="AT256" i="2" s="1"/>
  <c r="GF246" i="2" l="1"/>
  <c r="GF252" i="2" s="1"/>
  <c r="GF254" i="2" s="1"/>
  <c r="GE256" i="2"/>
  <c r="AU248" i="2" s="1"/>
  <c r="AU254" i="2" s="1"/>
  <c r="AU256" i="2" s="1"/>
  <c r="GH233" i="2"/>
  <c r="GI221" i="2"/>
  <c r="GI223" i="2" s="1"/>
  <c r="GG239" i="2"/>
  <c r="GG241" i="2" s="1"/>
  <c r="GG244" i="2" s="1"/>
  <c r="GG235" i="2"/>
  <c r="GH230" i="2" s="1"/>
  <c r="GH231" i="2" s="1"/>
  <c r="GN218" i="2"/>
  <c r="GO214" i="2"/>
  <c r="GO216" i="2" s="1"/>
  <c r="AU251" i="2" l="1"/>
  <c r="GF248" i="2"/>
  <c r="GF247" i="2"/>
  <c r="GG242" i="2" s="1"/>
  <c r="GG243" i="2" s="1"/>
  <c r="GH234" i="2"/>
  <c r="GH239" i="2" s="1"/>
  <c r="GH241" i="2" s="1"/>
  <c r="GH245" i="2" s="1"/>
  <c r="GI229" i="2"/>
  <c r="GG245" i="2"/>
  <c r="GF255" i="2"/>
  <c r="AV250" i="2" s="1"/>
  <c r="AV255" i="2" s="1"/>
  <c r="GF256" i="2"/>
  <c r="AV248" i="2" s="1"/>
  <c r="GO229" i="2"/>
  <c r="GO218" i="2"/>
  <c r="GO217" i="2"/>
  <c r="GP210" i="2" s="1"/>
  <c r="GN226" i="2"/>
  <c r="GN224" i="2"/>
  <c r="GO220" i="2" s="1"/>
  <c r="GN229" i="2"/>
  <c r="GH244" i="2" l="1"/>
  <c r="GH236" i="2"/>
  <c r="GH235" i="2"/>
  <c r="GI230" i="2" s="1"/>
  <c r="GI231" i="2" s="1"/>
  <c r="GG246" i="2"/>
  <c r="GG248" i="2" s="1"/>
  <c r="GI232" i="2"/>
  <c r="GI233" i="2"/>
  <c r="GI226" i="2"/>
  <c r="GI224" i="2"/>
  <c r="GJ220" i="2" s="1"/>
  <c r="AV251" i="2"/>
  <c r="AV254" i="2"/>
  <c r="AV256" i="2" s="1"/>
  <c r="GN233" i="2"/>
  <c r="GN232" i="2"/>
  <c r="GO233" i="2"/>
  <c r="GO232" i="2"/>
  <c r="GP214" i="2"/>
  <c r="GP216" i="2" s="1"/>
  <c r="GO226" i="2"/>
  <c r="GO221" i="2"/>
  <c r="GO224" i="2" s="1"/>
  <c r="GP220" i="2" s="1"/>
  <c r="GG252" i="2" l="1"/>
  <c r="GG254" i="2" s="1"/>
  <c r="GG255" i="2" s="1"/>
  <c r="AW250" i="2" s="1"/>
  <c r="AW255" i="2" s="1"/>
  <c r="GG247" i="2"/>
  <c r="GH242" i="2" s="1"/>
  <c r="GH243" i="2" s="1"/>
  <c r="GI234" i="2"/>
  <c r="GI235" i="2" s="1"/>
  <c r="GJ221" i="2"/>
  <c r="GJ223" i="2" s="1"/>
  <c r="GP229" i="2"/>
  <c r="GP218" i="2"/>
  <c r="GP221" i="2"/>
  <c r="GP217" i="2"/>
  <c r="GQ210" i="2" s="1"/>
  <c r="GH246" i="2" l="1"/>
  <c r="GH247" i="2" s="1"/>
  <c r="GG256" i="2"/>
  <c r="AW248" i="2" s="1"/>
  <c r="AW251" i="2" s="1"/>
  <c r="GI236" i="2"/>
  <c r="GI239" i="2"/>
  <c r="GI241" i="2" s="1"/>
  <c r="GJ224" i="2"/>
  <c r="GK220" i="2" s="1"/>
  <c r="GP224" i="2"/>
  <c r="GQ220" i="2" s="1"/>
  <c r="GQ221" i="2" s="1"/>
  <c r="GP232" i="2"/>
  <c r="GP233" i="2"/>
  <c r="GQ214" i="2"/>
  <c r="GQ216" i="2" s="1"/>
  <c r="GP226" i="2"/>
  <c r="GH252" i="2" l="1"/>
  <c r="GH254" i="2" s="1"/>
  <c r="GH255" i="2" s="1"/>
  <c r="AX250" i="2" s="1"/>
  <c r="AX255" i="2" s="1"/>
  <c r="AW254" i="2"/>
  <c r="AW256" i="2" s="1"/>
  <c r="GH248" i="2"/>
  <c r="GK221" i="2"/>
  <c r="GK223" i="2" s="1"/>
  <c r="GI244" i="2"/>
  <c r="GI245" i="2"/>
  <c r="GI242" i="2"/>
  <c r="GI243" i="2" s="1"/>
  <c r="GJ229" i="2"/>
  <c r="GJ233" i="2" s="1"/>
  <c r="GJ226" i="2"/>
  <c r="GQ229" i="2"/>
  <c r="GQ218" i="2"/>
  <c r="GQ217" i="2"/>
  <c r="GR210" i="2" s="1"/>
  <c r="GN231" i="2"/>
  <c r="GN234" i="2" s="1"/>
  <c r="GH256" i="2" l="1"/>
  <c r="AX248" i="2" s="1"/>
  <c r="AX254" i="2" s="1"/>
  <c r="AX256" i="2" s="1"/>
  <c r="GI246" i="2"/>
  <c r="GI252" i="2" s="1"/>
  <c r="GI254" i="2" s="1"/>
  <c r="GI256" i="2" s="1"/>
  <c r="AY248" i="2" s="1"/>
  <c r="AY254" i="2" s="1"/>
  <c r="GK224" i="2"/>
  <c r="GL220" i="2" s="1"/>
  <c r="GK226" i="2"/>
  <c r="GK229" i="2"/>
  <c r="GK233" i="2" s="1"/>
  <c r="GJ230" i="2"/>
  <c r="GJ232" i="2"/>
  <c r="GN239" i="2"/>
  <c r="GN236" i="2"/>
  <c r="GQ233" i="2"/>
  <c r="GQ232" i="2"/>
  <c r="GN235" i="2"/>
  <c r="GO230" i="2" s="1"/>
  <c r="GR214" i="2"/>
  <c r="GR216" i="2" s="1"/>
  <c r="GQ226" i="2"/>
  <c r="GQ224" i="2"/>
  <c r="GR220" i="2" s="1"/>
  <c r="AX251" i="2" l="1"/>
  <c r="GI247" i="2"/>
  <c r="GL221" i="2"/>
  <c r="GL223" i="2" s="1"/>
  <c r="GL229" i="2" s="1"/>
  <c r="GI255" i="2"/>
  <c r="AY250" i="2" s="1"/>
  <c r="AY255" i="2" s="1"/>
  <c r="AY256" i="2" s="1"/>
  <c r="GI248" i="2"/>
  <c r="GK232" i="2"/>
  <c r="GJ231" i="2"/>
  <c r="GR217" i="2"/>
  <c r="GS210" i="2" s="1"/>
  <c r="GS214" i="2" s="1"/>
  <c r="GS216" i="2" s="1"/>
  <c r="GS217" i="2" s="1"/>
  <c r="GT210" i="2" s="1"/>
  <c r="GO231" i="2"/>
  <c r="GO234" i="2" s="1"/>
  <c r="GR221" i="2"/>
  <c r="GN241" i="2"/>
  <c r="GR218" i="2"/>
  <c r="AY251" i="2" l="1"/>
  <c r="GL224" i="2"/>
  <c r="GM220" i="2" s="1"/>
  <c r="GM221" i="2" s="1"/>
  <c r="GL226" i="2"/>
  <c r="GJ234" i="2"/>
  <c r="GL233" i="2"/>
  <c r="GL232" i="2"/>
  <c r="GR224" i="2"/>
  <c r="GS220" i="2" s="1"/>
  <c r="GO239" i="2"/>
  <c r="GO241" i="2" s="1"/>
  <c r="GO236" i="2"/>
  <c r="GO235" i="2"/>
  <c r="GP230" i="2" s="1"/>
  <c r="GS221" i="2"/>
  <c r="GT214" i="2"/>
  <c r="GN244" i="2"/>
  <c r="GN245" i="2"/>
  <c r="GR226" i="2"/>
  <c r="GS229" i="2"/>
  <c r="GS218" i="2"/>
  <c r="GR229" i="2"/>
  <c r="GM223" i="2" l="1"/>
  <c r="GM224" i="2" s="1"/>
  <c r="GN220" i="2" s="1"/>
  <c r="GN221" i="2" s="1"/>
  <c r="GJ239" i="2"/>
  <c r="GJ241" i="2" s="1"/>
  <c r="GJ236" i="2"/>
  <c r="GJ235" i="2"/>
  <c r="GK230" i="2" s="1"/>
  <c r="GS224" i="2"/>
  <c r="GT220" i="2" s="1"/>
  <c r="GT221" i="2" s="1"/>
  <c r="GO245" i="2"/>
  <c r="GO244" i="2"/>
  <c r="GR232" i="2"/>
  <c r="GR233" i="2"/>
  <c r="GT216" i="2"/>
  <c r="GT217" i="2" s="1"/>
  <c r="GU210" i="2" s="1"/>
  <c r="GS233" i="2"/>
  <c r="GS232" i="2"/>
  <c r="GS226" i="2"/>
  <c r="GP231" i="2"/>
  <c r="GM226" i="2" l="1"/>
  <c r="GM229" i="2"/>
  <c r="GM233" i="2" s="1"/>
  <c r="GK231" i="2"/>
  <c r="GK234" i="2" s="1"/>
  <c r="GJ245" i="2"/>
  <c r="GJ242" i="2"/>
  <c r="GJ243" i="2" s="1"/>
  <c r="GJ244" i="2"/>
  <c r="GU214" i="2"/>
  <c r="GP234" i="2"/>
  <c r="GT218" i="2"/>
  <c r="GT224" i="2"/>
  <c r="GU220" i="2" s="1"/>
  <c r="GN243" i="2"/>
  <c r="GN246" i="2" s="1"/>
  <c r="GM232" i="2" l="1"/>
  <c r="GK235" i="2"/>
  <c r="GL230" i="2" s="1"/>
  <c r="GL231" i="2" s="1"/>
  <c r="GL234" i="2" s="1"/>
  <c r="GL235" i="2" s="1"/>
  <c r="GM230" i="2" s="1"/>
  <c r="GM231" i="2" s="1"/>
  <c r="GK236" i="2"/>
  <c r="GK239" i="2"/>
  <c r="GK241" i="2" s="1"/>
  <c r="GJ246" i="2"/>
  <c r="GJ248" i="2" s="1"/>
  <c r="GT229" i="2"/>
  <c r="GT233" i="2" s="1"/>
  <c r="GN248" i="2"/>
  <c r="GN252" i="2"/>
  <c r="GP239" i="2"/>
  <c r="GP241" i="2" s="1"/>
  <c r="GP236" i="2"/>
  <c r="GN247" i="2"/>
  <c r="GO242" i="2" s="1"/>
  <c r="GU216" i="2"/>
  <c r="GU221" i="2"/>
  <c r="GT226" i="2"/>
  <c r="GP235" i="2"/>
  <c r="GQ230" i="2" s="1"/>
  <c r="GM234" i="2" l="1"/>
  <c r="GM239" i="2" s="1"/>
  <c r="GM241" i="2" s="1"/>
  <c r="GM244" i="2" s="1"/>
  <c r="GJ247" i="2"/>
  <c r="GK242" i="2" s="1"/>
  <c r="GK243" i="2" s="1"/>
  <c r="GJ252" i="2"/>
  <c r="GJ254" i="2" s="1"/>
  <c r="GK244" i="2"/>
  <c r="GK245" i="2"/>
  <c r="GL239" i="2"/>
  <c r="GL241" i="2" s="1"/>
  <c r="GL236" i="2"/>
  <c r="GT232" i="2"/>
  <c r="GO243" i="2"/>
  <c r="GO246" i="2" s="1"/>
  <c r="GU218" i="2"/>
  <c r="GP245" i="2"/>
  <c r="GP244" i="2"/>
  <c r="GQ231" i="2"/>
  <c r="GQ234" i="2" s="1"/>
  <c r="GN254" i="2"/>
  <c r="GU217" i="2"/>
  <c r="GV210" i="2" s="1"/>
  <c r="GM235" i="2" l="1"/>
  <c r="GN230" i="2" s="1"/>
  <c r="GM245" i="2"/>
  <c r="GM236" i="2"/>
  <c r="GK246" i="2"/>
  <c r="GK252" i="2" s="1"/>
  <c r="GK254" i="2" s="1"/>
  <c r="GK256" i="2" s="1"/>
  <c r="BA248" i="2" s="1"/>
  <c r="GL244" i="2"/>
  <c r="GL245" i="2"/>
  <c r="GJ255" i="2"/>
  <c r="AZ250" i="2" s="1"/>
  <c r="AZ255" i="2" s="1"/>
  <c r="GJ256" i="2"/>
  <c r="AZ248" i="2" s="1"/>
  <c r="GQ235" i="2"/>
  <c r="GR230" i="2" s="1"/>
  <c r="GR231" i="2" s="1"/>
  <c r="GO252" i="2"/>
  <c r="GO254" i="2" s="1"/>
  <c r="GO248" i="2"/>
  <c r="GO247" i="2"/>
  <c r="GP242" i="2" s="1"/>
  <c r="GV214" i="2"/>
  <c r="GV216" i="2" s="1"/>
  <c r="GV217" i="2" s="1"/>
  <c r="GW210" i="2" s="1"/>
  <c r="GQ239" i="2"/>
  <c r="GQ236" i="2"/>
  <c r="GU226" i="2"/>
  <c r="GU229" i="2"/>
  <c r="GU224" i="2"/>
  <c r="GV220" i="2" s="1"/>
  <c r="GN256" i="2"/>
  <c r="BD248" i="2" s="1"/>
  <c r="GN255" i="2"/>
  <c r="BD250" i="2" s="1"/>
  <c r="BD255" i="2" s="1"/>
  <c r="GK247" i="2" l="1"/>
  <c r="GL242" i="2" s="1"/>
  <c r="GL243" i="2" s="1"/>
  <c r="GL246" i="2" s="1"/>
  <c r="GL252" i="2" s="1"/>
  <c r="GL254" i="2" s="1"/>
  <c r="GL255" i="2" s="1"/>
  <c r="BB250" i="2" s="1"/>
  <c r="BB255" i="2" s="1"/>
  <c r="GK248" i="2"/>
  <c r="GK255" i="2"/>
  <c r="BA250" i="2" s="1"/>
  <c r="BA255" i="2" s="1"/>
  <c r="AZ254" i="2"/>
  <c r="AZ256" i="2" s="1"/>
  <c r="AZ251" i="2"/>
  <c r="BA254" i="2"/>
  <c r="GW214" i="2"/>
  <c r="GW216" i="2" s="1"/>
  <c r="GP243" i="2"/>
  <c r="GP246" i="2"/>
  <c r="GP247" i="2" s="1"/>
  <c r="BD251" i="2"/>
  <c r="BD254" i="2"/>
  <c r="GV218" i="2"/>
  <c r="GV221" i="2"/>
  <c r="GR234" i="2"/>
  <c r="GR235" i="2" s="1"/>
  <c r="GS230" i="2" s="1"/>
  <c r="GQ241" i="2"/>
  <c r="GO255" i="2"/>
  <c r="BE250" i="2" s="1"/>
  <c r="BE255" i="2" s="1"/>
  <c r="GO256" i="2"/>
  <c r="BE248" i="2" s="1"/>
  <c r="GU232" i="2"/>
  <c r="GU233" i="2"/>
  <c r="GL247" i="2" l="1"/>
  <c r="GM242" i="2" s="1"/>
  <c r="GM243" i="2" s="1"/>
  <c r="GM246" i="2" s="1"/>
  <c r="GL248" i="2"/>
  <c r="GL256" i="2"/>
  <c r="BB248" i="2" s="1"/>
  <c r="BB254" i="2" s="1"/>
  <c r="BB256" i="2" s="1"/>
  <c r="BA256" i="2"/>
  <c r="BA251" i="2"/>
  <c r="BD256" i="2"/>
  <c r="BE251" i="2"/>
  <c r="BE254" i="2"/>
  <c r="BE256" i="2" s="1"/>
  <c r="GS231" i="2"/>
  <c r="GS234" i="2" s="1"/>
  <c r="GW218" i="2"/>
  <c r="GV226" i="2"/>
  <c r="GV229" i="2"/>
  <c r="GV224" i="2"/>
  <c r="GW220" i="2" s="1"/>
  <c r="GQ245" i="2"/>
  <c r="GQ242" i="2"/>
  <c r="GQ243" i="2" s="1"/>
  <c r="GQ244" i="2"/>
  <c r="GW217" i="2"/>
  <c r="GX210" i="2" s="1"/>
  <c r="GP252" i="2"/>
  <c r="GP248" i="2"/>
  <c r="GR239" i="2"/>
  <c r="GR236" i="2"/>
  <c r="BB251" i="2" l="1"/>
  <c r="GM252" i="2"/>
  <c r="GM254" i="2" s="1"/>
  <c r="GM248" i="2"/>
  <c r="GM247" i="2"/>
  <c r="GN242" i="2" s="1"/>
  <c r="GQ246" i="2"/>
  <c r="GQ252" i="2" s="1"/>
  <c r="GX214" i="2"/>
  <c r="GX216" i="2" s="1"/>
  <c r="GV232" i="2"/>
  <c r="GV233" i="2"/>
  <c r="GW226" i="2"/>
  <c r="GS236" i="2"/>
  <c r="GS239" i="2"/>
  <c r="GW229" i="2"/>
  <c r="GQ247" i="2"/>
  <c r="GP254" i="2"/>
  <c r="GS235" i="2"/>
  <c r="GT230" i="2" s="1"/>
  <c r="GR241" i="2"/>
  <c r="GW221" i="2"/>
  <c r="GW224" i="2" s="1"/>
  <c r="GX220" i="2" s="1"/>
  <c r="GM255" i="2" l="1"/>
  <c r="BC250" i="2" s="1"/>
  <c r="BC255" i="2" s="1"/>
  <c r="GM256" i="2"/>
  <c r="BC248" i="2" s="1"/>
  <c r="GQ248" i="2"/>
  <c r="GX221" i="2"/>
  <c r="GX218" i="2"/>
  <c r="GX229" i="2"/>
  <c r="GR244" i="2"/>
  <c r="GR245" i="2"/>
  <c r="GR242" i="2"/>
  <c r="GW233" i="2"/>
  <c r="GW232" i="2"/>
  <c r="GT231" i="2"/>
  <c r="GX217" i="2"/>
  <c r="GY210" i="2" s="1"/>
  <c r="GP255" i="2"/>
  <c r="BF250" i="2" s="1"/>
  <c r="BF255" i="2" s="1"/>
  <c r="GP256" i="2"/>
  <c r="BF248" i="2" s="1"/>
  <c r="GQ254" i="2"/>
  <c r="GS241" i="2"/>
  <c r="BC254" i="2" l="1"/>
  <c r="BC256" i="2" s="1"/>
  <c r="BC251" i="2"/>
  <c r="GX232" i="2"/>
  <c r="GX233" i="2"/>
  <c r="BF251" i="2"/>
  <c r="BF254" i="2"/>
  <c r="GR243" i="2"/>
  <c r="GY214" i="2"/>
  <c r="GY216" i="2"/>
  <c r="GY217" i="2" s="1"/>
  <c r="GZ210" i="2" s="1"/>
  <c r="GT234" i="2"/>
  <c r="GX226" i="2"/>
  <c r="GQ256" i="2"/>
  <c r="BG248" i="2" s="1"/>
  <c r="GQ255" i="2"/>
  <c r="BG250" i="2" s="1"/>
  <c r="BG255" i="2" s="1"/>
  <c r="GX224" i="2"/>
  <c r="GY220" i="2" s="1"/>
  <c r="GS245" i="2"/>
  <c r="GS244" i="2"/>
  <c r="BF256" i="2" l="1"/>
  <c r="GY221" i="2"/>
  <c r="GY229" i="2"/>
  <c r="GY218" i="2"/>
  <c r="GZ214" i="2"/>
  <c r="GR246" i="2"/>
  <c r="BG251" i="2"/>
  <c r="BG254" i="2"/>
  <c r="BG256" i="2" s="1"/>
  <c r="GT239" i="2"/>
  <c r="GT241" i="2" s="1"/>
  <c r="GT236" i="2"/>
  <c r="GT235" i="2"/>
  <c r="GU230" i="2" s="1"/>
  <c r="GY232" i="2" l="1"/>
  <c r="GY233" i="2"/>
  <c r="GR248" i="2"/>
  <c r="GR252" i="2"/>
  <c r="GR254" i="2" s="1"/>
  <c r="GY226" i="2"/>
  <c r="GZ216" i="2"/>
  <c r="GT244" i="2"/>
  <c r="GT245" i="2"/>
  <c r="GY224" i="2"/>
  <c r="GZ220" i="2" s="1"/>
  <c r="GR247" i="2"/>
  <c r="GS242" i="2" s="1"/>
  <c r="GU231" i="2"/>
  <c r="GU234" i="2" s="1"/>
  <c r="GU235" i="2" s="1"/>
  <c r="GV230" i="2" s="1"/>
  <c r="GV231" i="2" l="1"/>
  <c r="GV234" i="2" s="1"/>
  <c r="GV235" i="2" s="1"/>
  <c r="GW230" i="2" s="1"/>
  <c r="GS243" i="2"/>
  <c r="GR256" i="2"/>
  <c r="BH248" i="2" s="1"/>
  <c r="GR255" i="2"/>
  <c r="BH250" i="2" s="1"/>
  <c r="BH255" i="2" s="1"/>
  <c r="GU239" i="2"/>
  <c r="GU236" i="2"/>
  <c r="GZ221" i="2"/>
  <c r="GZ218" i="2"/>
  <c r="GZ217" i="2"/>
  <c r="HA210" i="2" s="1"/>
  <c r="GZ224" i="2" l="1"/>
  <c r="HA220" i="2" s="1"/>
  <c r="HA221" i="2" s="1"/>
  <c r="BH251" i="2"/>
  <c r="BH254" i="2"/>
  <c r="GW231" i="2"/>
  <c r="HA214" i="2"/>
  <c r="GS246" i="2"/>
  <c r="GU241" i="2"/>
  <c r="GZ226" i="2"/>
  <c r="GZ229" i="2"/>
  <c r="GV239" i="2"/>
  <c r="GV241" i="2" s="1"/>
  <c r="GV236" i="2"/>
  <c r="BH256" i="2" l="1"/>
  <c r="GW234" i="2"/>
  <c r="GW235" i="2" s="1"/>
  <c r="GX230" i="2" s="1"/>
  <c r="GU244" i="2"/>
  <c r="GU245" i="2"/>
  <c r="GV244" i="2"/>
  <c r="GV245" i="2"/>
  <c r="GW239" i="2"/>
  <c r="GW241" i="2" s="1"/>
  <c r="GW236" i="2"/>
  <c r="HA216" i="2"/>
  <c r="GZ233" i="2"/>
  <c r="GZ232" i="2"/>
  <c r="GS252" i="2"/>
  <c r="GS254" i="2" s="1"/>
  <c r="GS248" i="2"/>
  <c r="GS247" i="2"/>
  <c r="GT242" i="2" s="1"/>
  <c r="GX231" i="2" l="1"/>
  <c r="GX234" i="2"/>
  <c r="GX236" i="2" s="1"/>
  <c r="GS255" i="2"/>
  <c r="BI250" i="2" s="1"/>
  <c r="BI255" i="2" s="1"/>
  <c r="GS256" i="2"/>
  <c r="BI248" i="2" s="1"/>
  <c r="GT243" i="2"/>
  <c r="GT246" i="2" s="1"/>
  <c r="GW245" i="2"/>
  <c r="GW244" i="2"/>
  <c r="HA229" i="2"/>
  <c r="HA218" i="2"/>
  <c r="HA217" i="2"/>
  <c r="HB210" i="2" s="1"/>
  <c r="GX239" i="2" l="1"/>
  <c r="GX241" i="2" s="1"/>
  <c r="GT247" i="2"/>
  <c r="GU242" i="2" s="1"/>
  <c r="GU243" i="2" s="1"/>
  <c r="GU246" i="2" s="1"/>
  <c r="GX235" i="2"/>
  <c r="GY230" i="2" s="1"/>
  <c r="BI251" i="2"/>
  <c r="BI254" i="2"/>
  <c r="GT252" i="2"/>
  <c r="GT254" i="2" s="1"/>
  <c r="GT248" i="2"/>
  <c r="HA232" i="2"/>
  <c r="HA233" i="2"/>
  <c r="HA226" i="2"/>
  <c r="HA224" i="2"/>
  <c r="HB220" i="2" s="1"/>
  <c r="HB214" i="2"/>
  <c r="HB216" i="2" s="1"/>
  <c r="BI256" i="2" l="1"/>
  <c r="GY231" i="2"/>
  <c r="HB218" i="2"/>
  <c r="HB217" i="2"/>
  <c r="HC210" i="2" s="1"/>
  <c r="GT255" i="2"/>
  <c r="BJ250" i="2" s="1"/>
  <c r="BJ255" i="2" s="1"/>
  <c r="GT256" i="2"/>
  <c r="BJ248" i="2" s="1"/>
  <c r="HB221" i="2"/>
  <c r="HB224" i="2" s="1"/>
  <c r="HC220" i="2" s="1"/>
  <c r="GU252" i="2"/>
  <c r="GU248" i="2"/>
  <c r="GU247" i="2"/>
  <c r="GV242" i="2" s="1"/>
  <c r="GX244" i="2"/>
  <c r="GX245" i="2"/>
  <c r="GY234" i="2" l="1"/>
  <c r="HC221" i="2"/>
  <c r="BJ251" i="2"/>
  <c r="BJ254" i="2"/>
  <c r="BJ256" i="2" s="1"/>
  <c r="HB226" i="2"/>
  <c r="HB229" i="2"/>
  <c r="HC214" i="2"/>
  <c r="HC216" i="2" s="1"/>
  <c r="GV243" i="2"/>
  <c r="GV246" i="2" s="1"/>
  <c r="GU254" i="2"/>
  <c r="GY236" i="2" l="1"/>
  <c r="GY239" i="2"/>
  <c r="GY241" i="2" s="1"/>
  <c r="GY235" i="2"/>
  <c r="GZ230" i="2" s="1"/>
  <c r="GV252" i="2"/>
  <c r="GV254" i="2" s="1"/>
  <c r="GV248" i="2"/>
  <c r="HC229" i="2"/>
  <c r="HC218" i="2"/>
  <c r="HB232" i="2"/>
  <c r="HB233" i="2"/>
  <c r="HC217" i="2"/>
  <c r="HD210" i="2" s="1"/>
  <c r="GV247" i="2"/>
  <c r="GW242" i="2" s="1"/>
  <c r="GU256" i="2"/>
  <c r="BK248" i="2" s="1"/>
  <c r="GU255" i="2"/>
  <c r="BK250" i="2" s="1"/>
  <c r="BK255" i="2" s="1"/>
  <c r="GY244" i="2" l="1"/>
  <c r="GY245" i="2"/>
  <c r="GZ231" i="2"/>
  <c r="GZ234" i="2" s="1"/>
  <c r="GZ235" i="2" s="1"/>
  <c r="HA230" i="2" s="1"/>
  <c r="HC226" i="2"/>
  <c r="HC224" i="2"/>
  <c r="HD220" i="2" s="1"/>
  <c r="HC232" i="2"/>
  <c r="HC233" i="2"/>
  <c r="GV255" i="2"/>
  <c r="BL250" i="2" s="1"/>
  <c r="BL255" i="2" s="1"/>
  <c r="GV256" i="2"/>
  <c r="BL248" i="2" s="1"/>
  <c r="GW243" i="2"/>
  <c r="BK251" i="2"/>
  <c r="BK254" i="2"/>
  <c r="BK256" i="2" s="1"/>
  <c r="HD214" i="2"/>
  <c r="HD216" i="2" s="1"/>
  <c r="HA231" i="2" l="1"/>
  <c r="HA234" i="2" s="1"/>
  <c r="HA235" i="2" s="1"/>
  <c r="HB230" i="2" s="1"/>
  <c r="GZ236" i="2"/>
  <c r="GZ239" i="2"/>
  <c r="GZ241" i="2" s="1"/>
  <c r="GW246" i="2"/>
  <c r="GW248" i="2" s="1"/>
  <c r="BL251" i="2"/>
  <c r="BL254" i="2"/>
  <c r="BL256" i="2" s="1"/>
  <c r="HD218" i="2"/>
  <c r="HD221" i="2"/>
  <c r="HD217" i="2"/>
  <c r="HE210" i="2" s="1"/>
  <c r="GW252" i="2" l="1"/>
  <c r="HB231" i="2"/>
  <c r="HB234" i="2" s="1"/>
  <c r="HB235" i="2" s="1"/>
  <c r="HC230" i="2" s="1"/>
  <c r="HC231" i="2" s="1"/>
  <c r="HC234" i="2" s="1"/>
  <c r="HD224" i="2"/>
  <c r="HE220" i="2" s="1"/>
  <c r="HE221" i="2" s="1"/>
  <c r="GZ244" i="2"/>
  <c r="GZ245" i="2"/>
  <c r="GW247" i="2"/>
  <c r="GX242" i="2" s="1"/>
  <c r="GW254" i="2"/>
  <c r="GW256" i="2" s="1"/>
  <c r="BM248" i="2" s="1"/>
  <c r="HA239" i="2"/>
  <c r="HA241" i="2" s="1"/>
  <c r="HA236" i="2"/>
  <c r="HD229" i="2"/>
  <c r="HD226" i="2"/>
  <c r="HE214" i="2"/>
  <c r="HE216" i="2" s="1"/>
  <c r="HB236" i="2" l="1"/>
  <c r="HB239" i="2"/>
  <c r="HB241" i="2" s="1"/>
  <c r="HB245" i="2" s="1"/>
  <c r="GW255" i="2"/>
  <c r="BM250" i="2" s="1"/>
  <c r="BM255" i="2" s="1"/>
  <c r="HA244" i="2"/>
  <c r="HA245" i="2"/>
  <c r="GX243" i="2"/>
  <c r="GX246" i="2" s="1"/>
  <c r="HC239" i="2"/>
  <c r="HC236" i="2"/>
  <c r="BM254" i="2"/>
  <c r="HC235" i="2"/>
  <c r="HD230" i="2" s="1"/>
  <c r="HE229" i="2"/>
  <c r="HE218" i="2"/>
  <c r="HD232" i="2"/>
  <c r="HD233" i="2"/>
  <c r="HE217" i="2"/>
  <c r="HF210" i="2" s="1"/>
  <c r="BM256" i="2" l="1"/>
  <c r="BM251" i="2"/>
  <c r="HB244" i="2"/>
  <c r="GX247" i="2"/>
  <c r="GY242" i="2" s="1"/>
  <c r="GY243" i="2" s="1"/>
  <c r="GY246" i="2" s="1"/>
  <c r="GY247" i="2" s="1"/>
  <c r="GZ242" i="2" s="1"/>
  <c r="GZ243" i="2" s="1"/>
  <c r="GZ246" i="2" s="1"/>
  <c r="GZ247" i="2" s="1"/>
  <c r="HA242" i="2" s="1"/>
  <c r="GX252" i="2"/>
  <c r="GX248" i="2"/>
  <c r="HE233" i="2"/>
  <c r="HE232" i="2"/>
  <c r="HD231" i="2"/>
  <c r="HE226" i="2"/>
  <c r="HE224" i="2"/>
  <c r="HF220" i="2" s="1"/>
  <c r="HF214" i="2"/>
  <c r="HF216" i="2" s="1"/>
  <c r="HC241" i="2"/>
  <c r="GY252" i="2" l="1"/>
  <c r="GY254" i="2" s="1"/>
  <c r="GY248" i="2"/>
  <c r="GX254" i="2"/>
  <c r="HF218" i="2"/>
  <c r="HF221" i="2"/>
  <c r="HF224" i="2" s="1"/>
  <c r="HG220" i="2" s="1"/>
  <c r="HD234" i="2"/>
  <c r="HF217" i="2"/>
  <c r="HG210" i="2" s="1"/>
  <c r="HA243" i="2"/>
  <c r="GZ248" i="2"/>
  <c r="GZ252" i="2"/>
  <c r="HC244" i="2"/>
  <c r="HC245" i="2"/>
  <c r="GX256" i="2" l="1"/>
  <c r="BN248" i="2" s="1"/>
  <c r="GX255" i="2"/>
  <c r="BN250" i="2" s="1"/>
  <c r="BN255" i="2" s="1"/>
  <c r="HG221" i="2"/>
  <c r="HA246" i="2"/>
  <c r="GY256" i="2"/>
  <c r="BO248" i="2" s="1"/>
  <c r="GY255" i="2"/>
  <c r="BO250" i="2" s="1"/>
  <c r="BO255" i="2" s="1"/>
  <c r="HG214" i="2"/>
  <c r="HG216" i="2" s="1"/>
  <c r="HF226" i="2"/>
  <c r="HD239" i="2"/>
  <c r="HD241" i="2" s="1"/>
  <c r="HD236" i="2"/>
  <c r="GZ254" i="2"/>
  <c r="HF229" i="2"/>
  <c r="HD235" i="2"/>
  <c r="HE230" i="2" s="1"/>
  <c r="BN251" i="2" l="1"/>
  <c r="BN254" i="2"/>
  <c r="BN256" i="2" s="1"/>
  <c r="HD245" i="2"/>
  <c r="HD244" i="2"/>
  <c r="HG229" i="2"/>
  <c r="HG218" i="2"/>
  <c r="HG217" i="2"/>
  <c r="HH210" i="2" s="1"/>
  <c r="HA252" i="2"/>
  <c r="HA248" i="2"/>
  <c r="HE231" i="2"/>
  <c r="GZ255" i="2"/>
  <c r="BP250" i="2" s="1"/>
  <c r="BP255" i="2" s="1"/>
  <c r="GZ256" i="2"/>
  <c r="BP248" i="2" s="1"/>
  <c r="BO251" i="2"/>
  <c r="BO254" i="2"/>
  <c r="BO256" i="2" s="1"/>
  <c r="HF232" i="2"/>
  <c r="HF233" i="2"/>
  <c r="HA247" i="2"/>
  <c r="HB242" i="2" s="1"/>
  <c r="HH214" i="2" l="1"/>
  <c r="HH216" i="2" s="1"/>
  <c r="BP251" i="2"/>
  <c r="BP254" i="2"/>
  <c r="BP256" i="2" s="1"/>
  <c r="HE234" i="2"/>
  <c r="HG232" i="2"/>
  <c r="HG233" i="2"/>
  <c r="HB243" i="2"/>
  <c r="HB246" i="2" s="1"/>
  <c r="HA254" i="2"/>
  <c r="HG226" i="2"/>
  <c r="HG224" i="2"/>
  <c r="HH220" i="2" s="1"/>
  <c r="HH217" i="2" l="1"/>
  <c r="HI210" i="2" s="1"/>
  <c r="HI214" i="2" s="1"/>
  <c r="HI216" i="2" s="1"/>
  <c r="HH221" i="2"/>
  <c r="HE239" i="2"/>
  <c r="HE236" i="2"/>
  <c r="HB252" i="2"/>
  <c r="HB254" i="2" s="1"/>
  <c r="HB248" i="2"/>
  <c r="HH218" i="2"/>
  <c r="HB247" i="2"/>
  <c r="HC242" i="2" s="1"/>
  <c r="HE235" i="2"/>
  <c r="HF230" i="2" s="1"/>
  <c r="HA256" i="2"/>
  <c r="BQ248" i="2" s="1"/>
  <c r="HA255" i="2"/>
  <c r="BQ250" i="2" s="1"/>
  <c r="BQ255" i="2" s="1"/>
  <c r="HH224" i="2" l="1"/>
  <c r="HI220" i="2" s="1"/>
  <c r="HI221" i="2" s="1"/>
  <c r="HB255" i="2"/>
  <c r="BR250" i="2" s="1"/>
  <c r="BR255" i="2" s="1"/>
  <c r="HB256" i="2"/>
  <c r="HH226" i="2"/>
  <c r="HE241" i="2"/>
  <c r="HC243" i="2"/>
  <c r="HI218" i="2"/>
  <c r="BQ251" i="2"/>
  <c r="BQ254" i="2"/>
  <c r="BQ256" i="2" s="1"/>
  <c r="HH229" i="2"/>
  <c r="HI217" i="2"/>
  <c r="HJ210" i="2" s="1"/>
  <c r="BR248" i="2"/>
  <c r="HF231" i="2"/>
  <c r="HC246" i="2" l="1"/>
  <c r="HC247" i="2" s="1"/>
  <c r="HD242" i="2" s="1"/>
  <c r="HD243" i="2" s="1"/>
  <c r="HD246" i="2" s="1"/>
  <c r="HI224" i="2"/>
  <c r="HJ220" i="2" s="1"/>
  <c r="HJ221" i="2" s="1"/>
  <c r="HF234" i="2"/>
  <c r="HF236" i="2" s="1"/>
  <c r="HC252" i="2"/>
  <c r="HI226" i="2"/>
  <c r="HE245" i="2"/>
  <c r="HE244" i="2"/>
  <c r="BR251" i="2"/>
  <c r="BR254" i="2"/>
  <c r="BR256" i="2" s="1"/>
  <c r="HH233" i="2"/>
  <c r="HH232" i="2"/>
  <c r="HJ214" i="2"/>
  <c r="HJ216" i="2" s="1"/>
  <c r="HI229" i="2"/>
  <c r="HC248" i="2" l="1"/>
  <c r="HF239" i="2"/>
  <c r="HF241" i="2" s="1"/>
  <c r="HF235" i="2"/>
  <c r="HG230" i="2" s="1"/>
  <c r="HJ229" i="2"/>
  <c r="HJ218" i="2"/>
  <c r="HD252" i="2"/>
  <c r="HD248" i="2"/>
  <c r="HD247" i="2"/>
  <c r="HE242" i="2" s="1"/>
  <c r="HC254" i="2"/>
  <c r="HI232" i="2"/>
  <c r="HI233" i="2"/>
  <c r="HJ217" i="2"/>
  <c r="HK210" i="2" s="1"/>
  <c r="HG231" i="2" l="1"/>
  <c r="HG234" i="2" s="1"/>
  <c r="HF244" i="2"/>
  <c r="HF245" i="2"/>
  <c r="HC256" i="2"/>
  <c r="BS248" i="2" s="1"/>
  <c r="HC255" i="2"/>
  <c r="BS250" i="2" s="1"/>
  <c r="BS255" i="2" s="1"/>
  <c r="HJ233" i="2"/>
  <c r="HJ232" i="2"/>
  <c r="HK214" i="2"/>
  <c r="HE243" i="2"/>
  <c r="HE246" i="2" s="1"/>
  <c r="HJ226" i="2"/>
  <c r="HJ224" i="2"/>
  <c r="HK220" i="2" s="1"/>
  <c r="HD254" i="2"/>
  <c r="HG236" i="2" l="1"/>
  <c r="HG239" i="2"/>
  <c r="HG241" i="2" s="1"/>
  <c r="HG235" i="2"/>
  <c r="HH230" i="2" s="1"/>
  <c r="HH231" i="2" s="1"/>
  <c r="HH234" i="2" s="1"/>
  <c r="HH239" i="2" s="1"/>
  <c r="HH241" i="2" s="1"/>
  <c r="HE252" i="2"/>
  <c r="HE248" i="2"/>
  <c r="HE247" i="2"/>
  <c r="HF242" i="2" s="1"/>
  <c r="HD256" i="2"/>
  <c r="BT248" i="2" s="1"/>
  <c r="HD255" i="2"/>
  <c r="BT250" i="2" s="1"/>
  <c r="BT255" i="2" s="1"/>
  <c r="BS251" i="2"/>
  <c r="BS254" i="2"/>
  <c r="BS256" i="2" s="1"/>
  <c r="HK216" i="2"/>
  <c r="HK217" i="2" s="1"/>
  <c r="HL210" i="2" s="1"/>
  <c r="HK221" i="2"/>
  <c r="HH235" i="2" l="1"/>
  <c r="HI230" i="2" s="1"/>
  <c r="HI231" i="2" s="1"/>
  <c r="HI234" i="2" s="1"/>
  <c r="HH236" i="2"/>
  <c r="HG244" i="2"/>
  <c r="HG245" i="2"/>
  <c r="BT251" i="2"/>
  <c r="BT254" i="2"/>
  <c r="BT256" i="2" s="1"/>
  <c r="HH245" i="2"/>
  <c r="HH244" i="2"/>
  <c r="HL214" i="2"/>
  <c r="HL216" i="2" s="1"/>
  <c r="HE254" i="2"/>
  <c r="HF243" i="2"/>
  <c r="HK218" i="2"/>
  <c r="HL217" i="2" l="1"/>
  <c r="HM210" i="2" s="1"/>
  <c r="HM214" i="2" s="1"/>
  <c r="HI239" i="2"/>
  <c r="HI241" i="2" s="1"/>
  <c r="HI236" i="2"/>
  <c r="HI235" i="2"/>
  <c r="HJ230" i="2" s="1"/>
  <c r="HK229" i="2"/>
  <c r="HE255" i="2"/>
  <c r="BU250" i="2" s="1"/>
  <c r="BU255" i="2" s="1"/>
  <c r="HE256" i="2"/>
  <c r="BU248" i="2" s="1"/>
  <c r="HK226" i="2"/>
  <c r="HF246" i="2"/>
  <c r="HL218" i="2"/>
  <c r="HK224" i="2"/>
  <c r="HL220" i="2" s="1"/>
  <c r="HK232" i="2" l="1"/>
  <c r="HK233" i="2"/>
  <c r="BU251" i="2"/>
  <c r="BU254" i="2"/>
  <c r="BU256" i="2" s="1"/>
  <c r="HJ231" i="2"/>
  <c r="HJ234" i="2"/>
  <c r="HI244" i="2"/>
  <c r="HI245" i="2"/>
  <c r="HM216" i="2"/>
  <c r="HL221" i="2"/>
  <c r="HL224" i="2" s="1"/>
  <c r="HM220" i="2" s="1"/>
  <c r="HL226" i="2"/>
  <c r="HL229" i="2"/>
  <c r="HF252" i="2"/>
  <c r="HF248" i="2"/>
  <c r="HF247" i="2"/>
  <c r="HG242" i="2" s="1"/>
  <c r="HM221" i="2" l="1"/>
  <c r="HG243" i="2"/>
  <c r="HG246" i="2" s="1"/>
  <c r="HJ239" i="2"/>
  <c r="HJ236" i="2"/>
  <c r="HM218" i="2"/>
  <c r="HM229" i="2"/>
  <c r="HJ235" i="2"/>
  <c r="HK230" i="2" s="1"/>
  <c r="HM217" i="2"/>
  <c r="HN210" i="2" s="1"/>
  <c r="HF254" i="2"/>
  <c r="HL233" i="2"/>
  <c r="HL232" i="2"/>
  <c r="HM224" i="2" l="1"/>
  <c r="HN220" i="2" s="1"/>
  <c r="HN221" i="2" s="1"/>
  <c r="HG248" i="2"/>
  <c r="HG252" i="2"/>
  <c r="HG254" i="2" s="1"/>
  <c r="HG247" i="2"/>
  <c r="HH242" i="2" s="1"/>
  <c r="HM232" i="2"/>
  <c r="HM233" i="2"/>
  <c r="HK231" i="2"/>
  <c r="HK234" i="2" s="1"/>
  <c r="HM226" i="2"/>
  <c r="HJ241" i="2"/>
  <c r="HF255" i="2"/>
  <c r="BV250" i="2" s="1"/>
  <c r="BV255" i="2" s="1"/>
  <c r="HF256" i="2"/>
  <c r="BV248" i="2" s="1"/>
  <c r="HN214" i="2"/>
  <c r="HN216" i="2" s="1"/>
  <c r="HK235" i="2" l="1"/>
  <c r="HL230" i="2" s="1"/>
  <c r="HL231" i="2" s="1"/>
  <c r="HL234" i="2" s="1"/>
  <c r="HN218" i="2"/>
  <c r="HN229" i="2"/>
  <c r="HG256" i="2"/>
  <c r="BW248" i="2" s="1"/>
  <c r="HG255" i="2"/>
  <c r="BW250" i="2" s="1"/>
  <c r="BW255" i="2" s="1"/>
  <c r="HN224" i="2"/>
  <c r="HO220" i="2" s="1"/>
  <c r="HN217" i="2"/>
  <c r="HO210" i="2" s="1"/>
  <c r="BV251" i="2"/>
  <c r="BV254" i="2"/>
  <c r="BV256" i="2" s="1"/>
  <c r="HK239" i="2"/>
  <c r="HK236" i="2"/>
  <c r="HJ244" i="2"/>
  <c r="HJ245" i="2"/>
  <c r="HH243" i="2"/>
  <c r="HH246" i="2" s="1"/>
  <c r="BW251" i="2" l="1"/>
  <c r="BW254" i="2"/>
  <c r="BW256" i="2" s="1"/>
  <c r="HH252" i="2"/>
  <c r="HH254" i="2" s="1"/>
  <c r="HH248" i="2"/>
  <c r="HH247" i="2"/>
  <c r="HI242" i="2" s="1"/>
  <c r="HL236" i="2"/>
  <c r="HL239" i="2"/>
  <c r="HO214" i="2"/>
  <c r="HL235" i="2"/>
  <c r="HM230" i="2" s="1"/>
  <c r="HN226" i="2"/>
  <c r="HO221" i="2"/>
  <c r="HN233" i="2"/>
  <c r="HN232" i="2"/>
  <c r="HK241" i="2"/>
  <c r="HO216" i="2" l="1"/>
  <c r="HO217" i="2" s="1"/>
  <c r="HP210" i="2" s="1"/>
  <c r="HI243" i="2"/>
  <c r="HI246" i="2" s="1"/>
  <c r="HH255" i="2"/>
  <c r="BX250" i="2" s="1"/>
  <c r="BX255" i="2" s="1"/>
  <c r="HH256" i="2"/>
  <c r="BX248" i="2" s="1"/>
  <c r="HL241" i="2"/>
  <c r="HK245" i="2"/>
  <c r="HK244" i="2"/>
  <c r="HM231" i="2"/>
  <c r="HM234" i="2" s="1"/>
  <c r="HI252" i="2" l="1"/>
  <c r="HI254" i="2" s="1"/>
  <c r="HI248" i="2"/>
  <c r="HI247" i="2"/>
  <c r="HJ242" i="2" s="1"/>
  <c r="BX251" i="2"/>
  <c r="BX254" i="2"/>
  <c r="BX256" i="2" s="1"/>
  <c r="HP214" i="2"/>
  <c r="HP216" i="2" s="1"/>
  <c r="HL244" i="2"/>
  <c r="HL245" i="2"/>
  <c r="HM236" i="2"/>
  <c r="HM239" i="2"/>
  <c r="HM235" i="2"/>
  <c r="HN230" i="2" s="1"/>
  <c r="HO218" i="2"/>
  <c r="HP217" i="2" l="1"/>
  <c r="HQ210" i="2" s="1"/>
  <c r="HQ214" i="2" s="1"/>
  <c r="HQ216" i="2" s="1"/>
  <c r="HN231" i="2"/>
  <c r="HO229" i="2"/>
  <c r="HI256" i="2"/>
  <c r="BY248" i="2" s="1"/>
  <c r="HI255" i="2"/>
  <c r="BY250" i="2" s="1"/>
  <c r="BY255" i="2" s="1"/>
  <c r="HO226" i="2"/>
  <c r="HO224" i="2"/>
  <c r="HP220" i="2" s="1"/>
  <c r="HM241" i="2"/>
  <c r="HP218" i="2"/>
  <c r="HJ243" i="2"/>
  <c r="HJ246" i="2" s="1"/>
  <c r="HN234" i="2" l="1"/>
  <c r="HN235" i="2" s="1"/>
  <c r="HO230" i="2" s="1"/>
  <c r="BY251" i="2"/>
  <c r="BY254" i="2"/>
  <c r="BY256" i="2" s="1"/>
  <c r="HQ218" i="2"/>
  <c r="HQ217" i="2"/>
  <c r="HR210" i="2" s="1"/>
  <c r="HP221" i="2"/>
  <c r="HP224" i="2" s="1"/>
  <c r="HQ220" i="2" s="1"/>
  <c r="HJ252" i="2"/>
  <c r="HJ248" i="2"/>
  <c r="HN239" i="2"/>
  <c r="HN241" i="2" s="1"/>
  <c r="HO232" i="2"/>
  <c r="HO233" i="2"/>
  <c r="HP229" i="2"/>
  <c r="HJ247" i="2"/>
  <c r="HK242" i="2" s="1"/>
  <c r="HP226" i="2"/>
  <c r="HM245" i="2"/>
  <c r="HM244" i="2"/>
  <c r="HN236" i="2" l="1"/>
  <c r="HO231" i="2"/>
  <c r="HO234" i="2" s="1"/>
  <c r="HO236" i="2" s="1"/>
  <c r="HQ221" i="2"/>
  <c r="HQ224" i="2" s="1"/>
  <c r="HR220" i="2" s="1"/>
  <c r="HN245" i="2"/>
  <c r="HN244" i="2"/>
  <c r="HR214" i="2"/>
  <c r="HR216" i="2" s="1"/>
  <c r="HQ226" i="2"/>
  <c r="HK243" i="2"/>
  <c r="HK246" i="2" s="1"/>
  <c r="HK247" i="2" s="1"/>
  <c r="HL242" i="2" s="1"/>
  <c r="HP233" i="2"/>
  <c r="HP232" i="2"/>
  <c r="HQ229" i="2"/>
  <c r="HJ254" i="2"/>
  <c r="HO235" i="2" l="1"/>
  <c r="HP230" i="2" s="1"/>
  <c r="HP231" i="2" s="1"/>
  <c r="HO239" i="2"/>
  <c r="HO241" i="2" s="1"/>
  <c r="HO245" i="2" s="1"/>
  <c r="HR218" i="2"/>
  <c r="HL243" i="2"/>
  <c r="HL246" i="2" s="1"/>
  <c r="HL247" i="2" s="1"/>
  <c r="HM242" i="2" s="1"/>
  <c r="HJ256" i="2"/>
  <c r="BZ248" i="2" s="1"/>
  <c r="HJ255" i="2"/>
  <c r="BZ250" i="2" s="1"/>
  <c r="BZ255" i="2" s="1"/>
  <c r="HP234" i="2"/>
  <c r="HK252" i="2"/>
  <c r="HK254" i="2" s="1"/>
  <c r="HK248" i="2"/>
  <c r="HR217" i="2"/>
  <c r="HS210" i="2" s="1"/>
  <c r="HR221" i="2"/>
  <c r="HQ232" i="2"/>
  <c r="HQ233" i="2"/>
  <c r="HR224" i="2" l="1"/>
  <c r="HS220" i="2" s="1"/>
  <c r="HO244" i="2"/>
  <c r="HM243" i="2"/>
  <c r="HM246" i="2" s="1"/>
  <c r="HK255" i="2"/>
  <c r="CA250" i="2" s="1"/>
  <c r="CA255" i="2" s="1"/>
  <c r="HK256" i="2"/>
  <c r="CA248" i="2" s="1"/>
  <c r="HS221" i="2"/>
  <c r="HP239" i="2"/>
  <c r="HP236" i="2"/>
  <c r="HR226" i="2"/>
  <c r="BZ251" i="2"/>
  <c r="BZ254" i="2"/>
  <c r="BZ256" i="2" s="1"/>
  <c r="HP235" i="2"/>
  <c r="HQ230" i="2" s="1"/>
  <c r="HR229" i="2"/>
  <c r="HS214" i="2"/>
  <c r="HS216" i="2" s="1"/>
  <c r="HL252" i="2"/>
  <c r="HL254" i="2" s="1"/>
  <c r="HL248" i="2"/>
  <c r="HS217" i="2" l="1"/>
  <c r="HT210" i="2" s="1"/>
  <c r="HT214" i="2" s="1"/>
  <c r="HM252" i="2"/>
  <c r="HM254" i="2" s="1"/>
  <c r="HM248" i="2"/>
  <c r="HP241" i="2"/>
  <c r="CA251" i="2"/>
  <c r="CA254" i="2"/>
  <c r="CA256" i="2" s="1"/>
  <c r="HS224" i="2"/>
  <c r="HT220" i="2" s="1"/>
  <c r="HS218" i="2"/>
  <c r="HR232" i="2"/>
  <c r="HR233" i="2"/>
  <c r="HM247" i="2"/>
  <c r="HN242" i="2" s="1"/>
  <c r="HL255" i="2"/>
  <c r="CB250" i="2" s="1"/>
  <c r="CB255" i="2" s="1"/>
  <c r="HL256" i="2"/>
  <c r="CB248" i="2" s="1"/>
  <c r="HQ231" i="2"/>
  <c r="HQ234" i="2" s="1"/>
  <c r="HS229" i="2" l="1"/>
  <c r="HS232" i="2" s="1"/>
  <c r="CB251" i="2"/>
  <c r="CB254" i="2"/>
  <c r="CB256" i="2" s="1"/>
  <c r="HN243" i="2"/>
  <c r="HN246" i="2" s="1"/>
  <c r="HT221" i="2"/>
  <c r="HQ236" i="2"/>
  <c r="HQ239" i="2"/>
  <c r="HQ241" i="2" s="1"/>
  <c r="HP245" i="2"/>
  <c r="HP244" i="2"/>
  <c r="HQ235" i="2"/>
  <c r="HR230" i="2" s="1"/>
  <c r="HS226" i="2"/>
  <c r="HT216" i="2"/>
  <c r="HT217" i="2" s="1"/>
  <c r="HU210" i="2" s="1"/>
  <c r="HM255" i="2"/>
  <c r="CC250" i="2" s="1"/>
  <c r="CC255" i="2" s="1"/>
  <c r="HM256" i="2"/>
  <c r="CC248" i="2" s="1"/>
  <c r="HS233" i="2" l="1"/>
  <c r="HQ244" i="2"/>
  <c r="HQ245" i="2"/>
  <c r="HU214" i="2"/>
  <c r="HU216" i="2"/>
  <c r="HN252" i="2"/>
  <c r="HN254" i="2" s="1"/>
  <c r="HN248" i="2"/>
  <c r="HN247" i="2"/>
  <c r="HO242" i="2" s="1"/>
  <c r="HT224" i="2"/>
  <c r="HU220" i="2" s="1"/>
  <c r="HT218" i="2"/>
  <c r="CC251" i="2"/>
  <c r="CC254" i="2"/>
  <c r="CC256" i="2" s="1"/>
  <c r="HR231" i="2"/>
  <c r="HT229" i="2" l="1"/>
  <c r="HT233" i="2" s="1"/>
  <c r="HU229" i="2"/>
  <c r="HU218" i="2"/>
  <c r="HR234" i="2"/>
  <c r="HU221" i="2"/>
  <c r="HN255" i="2"/>
  <c r="CD250" i="2" s="1"/>
  <c r="CD255" i="2" s="1"/>
  <c r="HN256" i="2"/>
  <c r="CD248" i="2" s="1"/>
  <c r="HT226" i="2"/>
  <c r="HO243" i="2"/>
  <c r="HO246" i="2" s="1"/>
  <c r="HU217" i="2"/>
  <c r="HV210" i="2" s="1"/>
  <c r="HU224" i="2" l="1"/>
  <c r="HV220" i="2" s="1"/>
  <c r="HV221" i="2" s="1"/>
  <c r="HT232" i="2"/>
  <c r="HO247" i="2"/>
  <c r="HP242" i="2" s="1"/>
  <c r="HP243" i="2" s="1"/>
  <c r="HP246" i="2" s="1"/>
  <c r="CD251" i="2"/>
  <c r="CD254" i="2"/>
  <c r="CD256" i="2" s="1"/>
  <c r="HU233" i="2"/>
  <c r="HU232" i="2"/>
  <c r="HR236" i="2"/>
  <c r="HR239" i="2"/>
  <c r="HO252" i="2"/>
  <c r="HO248" i="2"/>
  <c r="HU226" i="2"/>
  <c r="HV214" i="2"/>
  <c r="HV216" i="2" s="1"/>
  <c r="HR235" i="2"/>
  <c r="HS230" i="2" s="1"/>
  <c r="HV218" i="2" l="1"/>
  <c r="HP252" i="2"/>
  <c r="HP248" i="2"/>
  <c r="HP247" i="2"/>
  <c r="HQ242" i="2" s="1"/>
  <c r="HV217" i="2"/>
  <c r="HW210" i="2" s="1"/>
  <c r="HO254" i="2"/>
  <c r="HR241" i="2"/>
  <c r="HS231" i="2"/>
  <c r="HW214" i="2" l="1"/>
  <c r="HW216" i="2" s="1"/>
  <c r="HV224" i="2"/>
  <c r="HW220" i="2" s="1"/>
  <c r="HP254" i="2"/>
  <c r="HS234" i="2"/>
  <c r="HV229" i="2"/>
  <c r="HQ243" i="2"/>
  <c r="HQ246" i="2" s="1"/>
  <c r="HR245" i="2"/>
  <c r="HR244" i="2"/>
  <c r="HV226" i="2"/>
  <c r="HO256" i="2"/>
  <c r="CE248" i="2" s="1"/>
  <c r="HO255" i="2"/>
  <c r="CE250" i="2" s="1"/>
  <c r="CE255" i="2" s="1"/>
  <c r="HQ252" i="2" l="1"/>
  <c r="HQ254" i="2" s="1"/>
  <c r="HQ248" i="2"/>
  <c r="HQ247" i="2"/>
  <c r="HR242" i="2" s="1"/>
  <c r="HW218" i="2"/>
  <c r="HW217" i="2"/>
  <c r="HX210" i="2" s="1"/>
  <c r="CE251" i="2"/>
  <c r="CE254" i="2"/>
  <c r="CE256" i="2" s="1"/>
  <c r="HP255" i="2"/>
  <c r="CF250" i="2" s="1"/>
  <c r="CF255" i="2" s="1"/>
  <c r="HP256" i="2"/>
  <c r="CF248" i="2" s="1"/>
  <c r="HV233" i="2"/>
  <c r="HV232" i="2"/>
  <c r="HS239" i="2"/>
  <c r="HS236" i="2"/>
  <c r="HW221" i="2"/>
  <c r="HS235" i="2"/>
  <c r="HT230" i="2" s="1"/>
  <c r="HW224" i="2" l="1"/>
  <c r="HX220" i="2" s="1"/>
  <c r="HX221" i="2" s="1"/>
  <c r="HS241" i="2"/>
  <c r="HR243" i="2"/>
  <c r="HR246" i="2" s="1"/>
  <c r="HX214" i="2"/>
  <c r="HW229" i="2"/>
  <c r="HQ256" i="2"/>
  <c r="CG248" i="2" s="1"/>
  <c r="HQ255" i="2"/>
  <c r="CG250" i="2" s="1"/>
  <c r="CG255" i="2" s="1"/>
  <c r="CF251" i="2"/>
  <c r="CF254" i="2"/>
  <c r="CF256" i="2" s="1"/>
  <c r="HW226" i="2"/>
  <c r="HT231" i="2"/>
  <c r="HT234" i="2" s="1"/>
  <c r="HX216" i="2" l="1"/>
  <c r="HX217" i="2" s="1"/>
  <c r="HY210" i="2" s="1"/>
  <c r="HY214" i="2" s="1"/>
  <c r="HT239" i="2"/>
  <c r="HT236" i="2"/>
  <c r="HS245" i="2"/>
  <c r="HS244" i="2"/>
  <c r="CG251" i="2"/>
  <c r="CG254" i="2"/>
  <c r="CG256" i="2" s="1"/>
  <c r="HR248" i="2"/>
  <c r="HR252" i="2"/>
  <c r="HR254" i="2" s="1"/>
  <c r="HT235" i="2"/>
  <c r="HU230" i="2" s="1"/>
  <c r="HW232" i="2"/>
  <c r="HW233" i="2"/>
  <c r="HR247" i="2"/>
  <c r="HS242" i="2" s="1"/>
  <c r="HX218" i="2" l="1"/>
  <c r="HR256" i="2"/>
  <c r="CH248" i="2" s="1"/>
  <c r="HR255" i="2"/>
  <c r="CH250" i="2" s="1"/>
  <c r="CH255" i="2" s="1"/>
  <c r="HS243" i="2"/>
  <c r="HS246" i="2" s="1"/>
  <c r="HX226" i="2"/>
  <c r="HX229" i="2"/>
  <c r="HT241" i="2"/>
  <c r="HX224" i="2"/>
  <c r="HY220" i="2" s="1"/>
  <c r="HY216" i="2"/>
  <c r="HY217" i="2" s="1"/>
  <c r="HZ210" i="2" s="1"/>
  <c r="HU231" i="2"/>
  <c r="HU234" i="2" s="1"/>
  <c r="HS247" i="2" l="1"/>
  <c r="HT242" i="2" s="1"/>
  <c r="HT243" i="2" s="1"/>
  <c r="HT244" i="2"/>
  <c r="HT245" i="2"/>
  <c r="CH251" i="2"/>
  <c r="CH254" i="2"/>
  <c r="CH256" i="2" s="1"/>
  <c r="HU239" i="2"/>
  <c r="HU241" i="2" s="1"/>
  <c r="HU236" i="2"/>
  <c r="HY221" i="2"/>
  <c r="HX232" i="2"/>
  <c r="HX233" i="2"/>
  <c r="HZ214" i="2"/>
  <c r="HS252" i="2"/>
  <c r="HS254" i="2" s="1"/>
  <c r="HU235" i="2"/>
  <c r="HV230" i="2" s="1"/>
  <c r="HY229" i="2"/>
  <c r="HY218" i="2"/>
  <c r="HS248" i="2"/>
  <c r="HT246" i="2" l="1"/>
  <c r="HT252" i="2" s="1"/>
  <c r="HU244" i="2"/>
  <c r="HU245" i="2"/>
  <c r="HS255" i="2"/>
  <c r="CI250" i="2" s="1"/>
  <c r="CI255" i="2" s="1"/>
  <c r="HS256" i="2"/>
  <c r="CI248" i="2" s="1"/>
  <c r="HZ216" i="2"/>
  <c r="HY233" i="2"/>
  <c r="HY232" i="2"/>
  <c r="HY226" i="2"/>
  <c r="HV231" i="2"/>
  <c r="HV234" i="2" s="1"/>
  <c r="HY224" i="2"/>
  <c r="HZ220" i="2" s="1"/>
  <c r="HT248" i="2" l="1"/>
  <c r="HT247" i="2"/>
  <c r="HU242" i="2" s="1"/>
  <c r="HV235" i="2"/>
  <c r="HW230" i="2" s="1"/>
  <c r="HU243" i="2"/>
  <c r="HU246" i="2" s="1"/>
  <c r="HW231" i="2"/>
  <c r="HW234" i="2" s="1"/>
  <c r="HT254" i="2"/>
  <c r="CI251" i="2"/>
  <c r="CI254" i="2"/>
  <c r="CI256" i="2" s="1"/>
  <c r="HZ221" i="2"/>
  <c r="HZ218" i="2"/>
  <c r="HZ229" i="2"/>
  <c r="HZ217" i="2"/>
  <c r="IA210" i="2" s="1"/>
  <c r="HV239" i="2"/>
  <c r="HV236" i="2"/>
  <c r="HZ224" i="2" l="1"/>
  <c r="IA220" i="2" s="1"/>
  <c r="IA221" i="2" s="1"/>
  <c r="HW235" i="2"/>
  <c r="HX230" i="2" s="1"/>
  <c r="HX231" i="2" s="1"/>
  <c r="HX234" i="2" s="1"/>
  <c r="HX235" i="2" s="1"/>
  <c r="HY230" i="2" s="1"/>
  <c r="HU247" i="2"/>
  <c r="IA214" i="2"/>
  <c r="IA216" i="2" s="1"/>
  <c r="HU252" i="2"/>
  <c r="HT256" i="2"/>
  <c r="CJ248" i="2" s="1"/>
  <c r="HT255" i="2"/>
  <c r="CJ250" i="2" s="1"/>
  <c r="CJ255" i="2" s="1"/>
  <c r="HW239" i="2"/>
  <c r="HW236" i="2"/>
  <c r="HU248" i="2"/>
  <c r="HZ232" i="2"/>
  <c r="HZ233" i="2"/>
  <c r="HV241" i="2"/>
  <c r="HZ226" i="2"/>
  <c r="IA229" i="2" l="1"/>
  <c r="IA218" i="2"/>
  <c r="HV245" i="2"/>
  <c r="HV244" i="2"/>
  <c r="HV242" i="2"/>
  <c r="HV243" i="2" s="1"/>
  <c r="CJ251" i="2"/>
  <c r="CJ254" i="2"/>
  <c r="CJ256" i="2" s="1"/>
  <c r="IA217" i="2"/>
  <c r="IB210" i="2" s="1"/>
  <c r="HY231" i="2"/>
  <c r="HY234" i="2" s="1"/>
  <c r="HW241" i="2"/>
  <c r="HX239" i="2"/>
  <c r="HX236" i="2"/>
  <c r="HU254" i="2"/>
  <c r="IA224" i="2" l="1"/>
  <c r="IB220" i="2" s="1"/>
  <c r="IB221" i="2" s="1"/>
  <c r="HY239" i="2"/>
  <c r="HY236" i="2"/>
  <c r="HY235" i="2"/>
  <c r="HZ230" i="2" s="1"/>
  <c r="HW245" i="2"/>
  <c r="HW244" i="2"/>
  <c r="HV246" i="2"/>
  <c r="HV247" i="2" s="1"/>
  <c r="HW242" i="2" s="1"/>
  <c r="IB214" i="2"/>
  <c r="IB216" i="2" s="1"/>
  <c r="HU255" i="2"/>
  <c r="CK250" i="2" s="1"/>
  <c r="CK255" i="2" s="1"/>
  <c r="HU256" i="2"/>
  <c r="CK248" i="2" s="1"/>
  <c r="HX241" i="2"/>
  <c r="IA233" i="2"/>
  <c r="IA232" i="2"/>
  <c r="IA226" i="2"/>
  <c r="HV248" i="2" l="1"/>
  <c r="IB217" i="2"/>
  <c r="IC210" i="2" s="1"/>
  <c r="IC214" i="2" s="1"/>
  <c r="HW243" i="2"/>
  <c r="HW246" i="2" s="1"/>
  <c r="HW248" i="2" s="1"/>
  <c r="IB218" i="2"/>
  <c r="CK251" i="2"/>
  <c r="CK254" i="2"/>
  <c r="CK256" i="2" s="1"/>
  <c r="HV252" i="2"/>
  <c r="HV254" i="2" s="1"/>
  <c r="HX245" i="2"/>
  <c r="HX244" i="2"/>
  <c r="HY241" i="2"/>
  <c r="HZ231" i="2"/>
  <c r="HZ234" i="2" s="1"/>
  <c r="HZ235" i="2" l="1"/>
  <c r="IA230" i="2" s="1"/>
  <c r="HV255" i="2"/>
  <c r="CL250" i="2" s="1"/>
  <c r="CL255" i="2" s="1"/>
  <c r="HV256" i="2"/>
  <c r="HY245" i="2"/>
  <c r="HY244" i="2"/>
  <c r="IB226" i="2"/>
  <c r="IA231" i="2"/>
  <c r="IC216" i="2"/>
  <c r="IC217" i="2" s="1"/>
  <c r="ID210" i="2" s="1"/>
  <c r="IB229" i="2"/>
  <c r="HW247" i="2"/>
  <c r="HX242" i="2" s="1"/>
  <c r="HZ239" i="2"/>
  <c r="HZ236" i="2"/>
  <c r="HW252" i="2"/>
  <c r="CL248" i="2"/>
  <c r="IB224" i="2"/>
  <c r="IC220" i="2" s="1"/>
  <c r="ID214" i="2" l="1"/>
  <c r="IC221" i="2"/>
  <c r="HW254" i="2"/>
  <c r="IC229" i="2"/>
  <c r="IC218" i="2"/>
  <c r="CL251" i="2"/>
  <c r="CL254" i="2"/>
  <c r="CL256" i="2" s="1"/>
  <c r="HX243" i="2"/>
  <c r="HX246" i="2" s="1"/>
  <c r="HZ241" i="2"/>
  <c r="IB232" i="2"/>
  <c r="IB233" i="2"/>
  <c r="IA234" i="2"/>
  <c r="HX252" i="2" l="1"/>
  <c r="HX248" i="2"/>
  <c r="IA239" i="2"/>
  <c r="IA236" i="2"/>
  <c r="IA235" i="2"/>
  <c r="IB230" i="2" s="1"/>
  <c r="IC226" i="2"/>
  <c r="IC232" i="2"/>
  <c r="IC233" i="2"/>
  <c r="HW255" i="2"/>
  <c r="CM250" i="2" s="1"/>
  <c r="CM255" i="2" s="1"/>
  <c r="HW256" i="2"/>
  <c r="CM248" i="2" s="1"/>
  <c r="HZ244" i="2"/>
  <c r="HZ245" i="2"/>
  <c r="ID216" i="2"/>
  <c r="ID217" i="2" s="1"/>
  <c r="IE210" i="2" s="1"/>
  <c r="IC224" i="2"/>
  <c r="ID220" i="2" s="1"/>
  <c r="HX247" i="2"/>
  <c r="HY242" i="2" s="1"/>
  <c r="IB231" i="2" l="1"/>
  <c r="IB234" i="2" s="1"/>
  <c r="IE214" i="2"/>
  <c r="CM251" i="2"/>
  <c r="CM254" i="2"/>
  <c r="CM256" i="2" s="1"/>
  <c r="HY243" i="2"/>
  <c r="HY246" i="2" s="1"/>
  <c r="ID221" i="2"/>
  <c r="IA241" i="2"/>
  <c r="ID218" i="2"/>
  <c r="HX254" i="2"/>
  <c r="ID224" i="2" l="1"/>
  <c r="IE220" i="2" s="1"/>
  <c r="IE221" i="2" s="1"/>
  <c r="HY247" i="2"/>
  <c r="HZ242" i="2" s="1"/>
  <c r="HZ243" i="2" s="1"/>
  <c r="HZ246" i="2" s="1"/>
  <c r="IB235" i="2"/>
  <c r="IC230" i="2" s="1"/>
  <c r="IC231" i="2" s="1"/>
  <c r="IC234" i="2" s="1"/>
  <c r="IE216" i="2"/>
  <c r="HX255" i="2"/>
  <c r="CN250" i="2" s="1"/>
  <c r="CN255" i="2" s="1"/>
  <c r="HX256" i="2"/>
  <c r="CN248" i="2" s="1"/>
  <c r="ID226" i="2"/>
  <c r="ID229" i="2"/>
  <c r="HY248" i="2"/>
  <c r="HY252" i="2"/>
  <c r="HY254" i="2" s="1"/>
  <c r="IB236" i="2"/>
  <c r="IB239" i="2"/>
  <c r="IA245" i="2"/>
  <c r="IA244" i="2"/>
  <c r="HY256" i="2" l="1"/>
  <c r="HY255" i="2"/>
  <c r="CO250" i="2" s="1"/>
  <c r="CO255" i="2" s="1"/>
  <c r="IC236" i="2"/>
  <c r="IC239" i="2"/>
  <c r="IC241" i="2" s="1"/>
  <c r="IC235" i="2"/>
  <c r="ID230" i="2" s="1"/>
  <c r="ID232" i="2"/>
  <c r="ID233" i="2"/>
  <c r="IE218" i="2"/>
  <c r="HZ252" i="2"/>
  <c r="HZ254" i="2" s="1"/>
  <c r="HZ248" i="2"/>
  <c r="CN251" i="2"/>
  <c r="CN254" i="2"/>
  <c r="CN256" i="2" s="1"/>
  <c r="IB241" i="2"/>
  <c r="HZ247" i="2"/>
  <c r="IA242" i="2" s="1"/>
  <c r="IE217" i="2"/>
  <c r="IF210" i="2" s="1"/>
  <c r="CO248" i="2"/>
  <c r="HZ255" i="2" l="1"/>
  <c r="CP250" i="2" s="1"/>
  <c r="CP255" i="2" s="1"/>
  <c r="HZ256" i="2"/>
  <c r="CP248" i="2" s="1"/>
  <c r="ID231" i="2"/>
  <c r="ID234" i="2" s="1"/>
  <c r="IC245" i="2"/>
  <c r="IC244" i="2"/>
  <c r="IE226" i="2"/>
  <c r="CO251" i="2"/>
  <c r="CO254" i="2"/>
  <c r="CO256" i="2" s="1"/>
  <c r="IE224" i="2"/>
  <c r="IF220" i="2" s="1"/>
  <c r="IF214" i="2"/>
  <c r="IA243" i="2"/>
  <c r="IA246" i="2" s="1"/>
  <c r="IE229" i="2"/>
  <c r="IB244" i="2"/>
  <c r="IB245" i="2"/>
  <c r="ID235" i="2" l="1"/>
  <c r="IA252" i="2"/>
  <c r="IA254" i="2" s="1"/>
  <c r="IA248" i="2"/>
  <c r="IA247" i="2"/>
  <c r="IB242" i="2" s="1"/>
  <c r="CP251" i="2"/>
  <c r="CP254" i="2"/>
  <c r="CP256" i="2" s="1"/>
  <c r="ID239" i="2"/>
  <c r="ID241" i="2" s="1"/>
  <c r="ID236" i="2"/>
  <c r="IF216" i="2"/>
  <c r="IE232" i="2"/>
  <c r="IE230" i="2"/>
  <c r="IE231" i="2" s="1"/>
  <c r="IE233" i="2"/>
  <c r="IF221" i="2"/>
  <c r="IE234" i="2" l="1"/>
  <c r="IE236" i="2" s="1"/>
  <c r="IA256" i="2"/>
  <c r="CQ248" i="2" s="1"/>
  <c r="IA255" i="2"/>
  <c r="CQ250" i="2" s="1"/>
  <c r="CQ255" i="2" s="1"/>
  <c r="IF218" i="2"/>
  <c r="ID245" i="2"/>
  <c r="ID244" i="2"/>
  <c r="IB243" i="2"/>
  <c r="IF217" i="2"/>
  <c r="IG210" i="2" s="1"/>
  <c r="IE235" i="2" l="1"/>
  <c r="IE239" i="2"/>
  <c r="IE241" i="2" s="1"/>
  <c r="IG214" i="2"/>
  <c r="IG216" i="2" s="1"/>
  <c r="IB246" i="2"/>
  <c r="IB247" i="2" s="1"/>
  <c r="IC242" i="2" s="1"/>
  <c r="IF226" i="2"/>
  <c r="IF224" i="2"/>
  <c r="IG220" i="2" s="1"/>
  <c r="CQ251" i="2"/>
  <c r="CQ254" i="2"/>
  <c r="CQ256" i="2" s="1"/>
  <c r="IF229" i="2"/>
  <c r="IC243" i="2" l="1"/>
  <c r="IC246" i="2" s="1"/>
  <c r="IE245" i="2"/>
  <c r="IE244" i="2"/>
  <c r="IG221" i="2"/>
  <c r="IG218" i="2"/>
  <c r="IF232" i="2"/>
  <c r="IF233" i="2"/>
  <c r="IF230" i="2"/>
  <c r="IF231" i="2" s="1"/>
  <c r="IB252" i="2"/>
  <c r="IB254" i="2" s="1"/>
  <c r="IB248" i="2"/>
  <c r="IG217" i="2"/>
  <c r="IH210" i="2" s="1"/>
  <c r="IG224" i="2" l="1"/>
  <c r="IH220" i="2" s="1"/>
  <c r="IH221" i="2" s="1"/>
  <c r="IC247" i="2"/>
  <c r="ID242" i="2" s="1"/>
  <c r="ID243" i="2" s="1"/>
  <c r="ID246" i="2" s="1"/>
  <c r="ID247" i="2" s="1"/>
  <c r="IE242" i="2" s="1"/>
  <c r="IB255" i="2"/>
  <c r="CR250" i="2" s="1"/>
  <c r="CR255" i="2" s="1"/>
  <c r="IB256" i="2"/>
  <c r="CR248" i="2" s="1"/>
  <c r="IF234" i="2"/>
  <c r="IF236" i="2" s="1"/>
  <c r="IG226" i="2"/>
  <c r="IC252" i="2"/>
  <c r="IC248" i="2"/>
  <c r="IH214" i="2"/>
  <c r="IH216" i="2" s="1"/>
  <c r="IG229" i="2"/>
  <c r="IH218" i="2" l="1"/>
  <c r="IH217" i="2"/>
  <c r="II210" i="2" s="1"/>
  <c r="IF239" i="2"/>
  <c r="IF241" i="2" s="1"/>
  <c r="IG233" i="2"/>
  <c r="IG232" i="2"/>
  <c r="CR251" i="2"/>
  <c r="CR254" i="2"/>
  <c r="CR256" i="2" s="1"/>
  <c r="ID252" i="2"/>
  <c r="ID254" i="2" s="1"/>
  <c r="ID248" i="2"/>
  <c r="IE243" i="2"/>
  <c r="IE246" i="2" s="1"/>
  <c r="IC254" i="2"/>
  <c r="IF235" i="2"/>
  <c r="IG230" i="2" s="1"/>
  <c r="IE252" i="2" l="1"/>
  <c r="IE248" i="2"/>
  <c r="IG231" i="2"/>
  <c r="IG234" i="2"/>
  <c r="IG235" i="2" s="1"/>
  <c r="IF245" i="2"/>
  <c r="IF244" i="2"/>
  <c r="IE247" i="2"/>
  <c r="IF242" i="2" s="1"/>
  <c r="IF243" i="2" s="1"/>
  <c r="IC255" i="2"/>
  <c r="CS250" i="2" s="1"/>
  <c r="CS255" i="2" s="1"/>
  <c r="IC256" i="2"/>
  <c r="CS248" i="2" s="1"/>
  <c r="IH226" i="2"/>
  <c r="IH224" i="2"/>
  <c r="II220" i="2" s="1"/>
  <c r="IH229" i="2"/>
  <c r="II214" i="2"/>
  <c r="ID255" i="2"/>
  <c r="CT250" i="2" s="1"/>
  <c r="CT255" i="2" s="1"/>
  <c r="ID256" i="2"/>
  <c r="CT248" i="2" s="1"/>
  <c r="II216" i="2" l="1"/>
  <c r="II217" i="2" s="1"/>
  <c r="IJ210" i="2" s="1"/>
  <c r="IJ214" i="2" s="1"/>
  <c r="IJ216" i="2" s="1"/>
  <c r="IF246" i="2"/>
  <c r="CT251" i="2"/>
  <c r="CT254" i="2"/>
  <c r="CT256" i="2" s="1"/>
  <c r="IH232" i="2"/>
  <c r="IH233" i="2"/>
  <c r="IH230" i="2"/>
  <c r="IH231" i="2" s="1"/>
  <c r="IG239" i="2"/>
  <c r="CS251" i="2"/>
  <c r="CS254" i="2"/>
  <c r="CS256" i="2" s="1"/>
  <c r="IE254" i="2"/>
  <c r="II221" i="2"/>
  <c r="IG236" i="2"/>
  <c r="II224" i="2" l="1"/>
  <c r="IJ220" i="2" s="1"/>
  <c r="II218" i="2"/>
  <c r="IJ229" i="2"/>
  <c r="IJ218" i="2"/>
  <c r="II226" i="2"/>
  <c r="IE255" i="2"/>
  <c r="CU250" i="2" s="1"/>
  <c r="CU255" i="2" s="1"/>
  <c r="IE256" i="2"/>
  <c r="CU248" i="2" s="1"/>
  <c r="IJ221" i="2"/>
  <c r="IJ224" i="2" s="1"/>
  <c r="IK220" i="2" s="1"/>
  <c r="IH234" i="2"/>
  <c r="IG241" i="2"/>
  <c r="IF252" i="2"/>
  <c r="IF254" i="2" s="1"/>
  <c r="IJ217" i="2"/>
  <c r="IK210" i="2" s="1"/>
  <c r="II229" i="2"/>
  <c r="IF247" i="2"/>
  <c r="IF248" i="2"/>
  <c r="IK221" i="2" l="1"/>
  <c r="CU251" i="2"/>
  <c r="CU254" i="2"/>
  <c r="CU256" i="2" s="1"/>
  <c r="IK214" i="2"/>
  <c r="IK216" i="2" s="1"/>
  <c r="IH239" i="2"/>
  <c r="IH241" i="2" s="1"/>
  <c r="IJ233" i="2"/>
  <c r="IJ232" i="2"/>
  <c r="IF255" i="2"/>
  <c r="CV250" i="2" s="1"/>
  <c r="CV255" i="2" s="1"/>
  <c r="IF256" i="2"/>
  <c r="CV248" i="2" s="1"/>
  <c r="IH236" i="2"/>
  <c r="IJ226" i="2"/>
  <c r="IH235" i="2"/>
  <c r="II230" i="2" s="1"/>
  <c r="II233" i="2"/>
  <c r="II232" i="2"/>
  <c r="IG244" i="2"/>
  <c r="IG245" i="2"/>
  <c r="IG242" i="2"/>
  <c r="IH245" i="2" l="1"/>
  <c r="IH244" i="2"/>
  <c r="II231" i="2"/>
  <c r="II234" i="2" s="1"/>
  <c r="II236" i="2" s="1"/>
  <c r="CV251" i="2"/>
  <c r="CV254" i="2"/>
  <c r="CV256" i="2" s="1"/>
  <c r="IK218" i="2"/>
  <c r="IK224" i="2"/>
  <c r="IL220" i="2" s="1"/>
  <c r="IG243" i="2"/>
  <c r="IG246" i="2" s="1"/>
  <c r="IK217" i="2"/>
  <c r="IL210" i="2" s="1"/>
  <c r="IK229" i="2" l="1"/>
  <c r="IK233" i="2" s="1"/>
  <c r="IG252" i="2"/>
  <c r="II239" i="2"/>
  <c r="IG248" i="2"/>
  <c r="II235" i="2"/>
  <c r="IJ230" i="2" s="1"/>
  <c r="IL214" i="2"/>
  <c r="IG247" i="2"/>
  <c r="IH242" i="2" s="1"/>
  <c r="IL221" i="2"/>
  <c r="IK226" i="2"/>
  <c r="IK232" i="2" l="1"/>
  <c r="II241" i="2"/>
  <c r="IG254" i="2"/>
  <c r="IH243" i="2"/>
  <c r="IH246" i="2" s="1"/>
  <c r="IL216" i="2"/>
  <c r="IJ231" i="2"/>
  <c r="IH252" i="2" l="1"/>
  <c r="IH254" i="2" s="1"/>
  <c r="IH248" i="2"/>
  <c r="IL229" i="2"/>
  <c r="IL218" i="2"/>
  <c r="IH247" i="2"/>
  <c r="II242" i="2" s="1"/>
  <c r="IJ234" i="2"/>
  <c r="IG255" i="2"/>
  <c r="CW250" i="2" s="1"/>
  <c r="CW255" i="2" s="1"/>
  <c r="IG256" i="2"/>
  <c r="CW248" i="2" s="1"/>
  <c r="II244" i="2"/>
  <c r="II245" i="2"/>
  <c r="IL217" i="2"/>
  <c r="IM210" i="2" s="1"/>
  <c r="II243" i="2" l="1"/>
  <c r="II246" i="2" s="1"/>
  <c r="IL233" i="2"/>
  <c r="IL232" i="2"/>
  <c r="IJ239" i="2"/>
  <c r="IJ241" i="2" s="1"/>
  <c r="IJ236" i="2"/>
  <c r="IM214" i="2"/>
  <c r="CW251" i="2"/>
  <c r="CW254" i="2"/>
  <c r="CW256" i="2" s="1"/>
  <c r="IL226" i="2"/>
  <c r="IL224" i="2"/>
  <c r="IM220" i="2" s="1"/>
  <c r="IH255" i="2"/>
  <c r="CX250" i="2" s="1"/>
  <c r="CX255" i="2" s="1"/>
  <c r="IH256" i="2"/>
  <c r="CX248" i="2" s="1"/>
  <c r="IJ235" i="2"/>
  <c r="IK230" i="2" s="1"/>
  <c r="CX251" i="2" l="1"/>
  <c r="CX254" i="2"/>
  <c r="CX256" i="2" s="1"/>
  <c r="II252" i="2"/>
  <c r="II248" i="2"/>
  <c r="II247" i="2"/>
  <c r="IJ242" i="2" s="1"/>
  <c r="IJ245" i="2"/>
  <c r="IJ244" i="2"/>
  <c r="IM216" i="2"/>
  <c r="IM217" i="2" s="1"/>
  <c r="IN210" i="2" s="1"/>
  <c r="IK231" i="2"/>
  <c r="IK234" i="2" s="1"/>
  <c r="IM221" i="2"/>
  <c r="IN214" i="2" l="1"/>
  <c r="IN216" i="2" s="1"/>
  <c r="IK239" i="2"/>
  <c r="IK241" i="2" s="1"/>
  <c r="IK236" i="2"/>
  <c r="IJ243" i="2"/>
  <c r="IJ246" i="2" s="1"/>
  <c r="IK235" i="2"/>
  <c r="IL230" i="2" s="1"/>
  <c r="II254" i="2"/>
  <c r="IM218" i="2"/>
  <c r="IN218" i="2" l="1"/>
  <c r="IN217" i="2"/>
  <c r="IO210" i="2" s="1"/>
  <c r="IJ252" i="2"/>
  <c r="IJ254" i="2"/>
  <c r="IJ248" i="2"/>
  <c r="IK244" i="2"/>
  <c r="IK245" i="2"/>
  <c r="IL231" i="2"/>
  <c r="IL234" i="2" s="1"/>
  <c r="IM226" i="2"/>
  <c r="IM224" i="2"/>
  <c r="IN220" i="2" s="1"/>
  <c r="II255" i="2"/>
  <c r="CY250" i="2" s="1"/>
  <c r="CY255" i="2" s="1"/>
  <c r="II256" i="2"/>
  <c r="CY248" i="2" s="1"/>
  <c r="IJ247" i="2"/>
  <c r="IK242" i="2" s="1"/>
  <c r="IM229" i="2"/>
  <c r="IK243" i="2" l="1"/>
  <c r="IM233" i="2"/>
  <c r="IM232" i="2"/>
  <c r="CY251" i="2"/>
  <c r="CY254" i="2"/>
  <c r="CY256" i="2" s="1"/>
  <c r="IL239" i="2"/>
  <c r="IL236" i="2"/>
  <c r="IN221" i="2"/>
  <c r="IN224" i="2" s="1"/>
  <c r="IO220" i="2" s="1"/>
  <c r="IN229" i="2"/>
  <c r="IL235" i="2"/>
  <c r="IM230" i="2" s="1"/>
  <c r="IJ255" i="2"/>
  <c r="CZ250" i="2" s="1"/>
  <c r="CZ255" i="2" s="1"/>
  <c r="IJ256" i="2"/>
  <c r="CZ248" i="2" s="1"/>
  <c r="IO214" i="2"/>
  <c r="IO216" i="2" s="1"/>
  <c r="IO217" i="2" s="1"/>
  <c r="IP210" i="2" s="1"/>
  <c r="IN226" i="2"/>
  <c r="IO221" i="2" l="1"/>
  <c r="IP214" i="2"/>
  <c r="IM231" i="2"/>
  <c r="IN233" i="2"/>
  <c r="IN232" i="2"/>
  <c r="CZ251" i="2"/>
  <c r="CZ254" i="2"/>
  <c r="CZ256" i="2" s="1"/>
  <c r="IK246" i="2"/>
  <c r="IO218" i="2"/>
  <c r="IL241" i="2"/>
  <c r="IO224" i="2" l="1"/>
  <c r="IP220" i="2" s="1"/>
  <c r="IP221" i="2" s="1"/>
  <c r="IL245" i="2"/>
  <c r="IL244" i="2"/>
  <c r="IO226" i="2"/>
  <c r="IM234" i="2"/>
  <c r="IM235" i="2" s="1"/>
  <c r="IN230" i="2" s="1"/>
  <c r="IK248" i="2"/>
  <c r="IK252" i="2"/>
  <c r="IK254" i="2" s="1"/>
  <c r="IP216" i="2"/>
  <c r="IO229" i="2"/>
  <c r="IK247" i="2"/>
  <c r="IL242" i="2" s="1"/>
  <c r="IN231" i="2" l="1"/>
  <c r="IL243" i="2"/>
  <c r="IL246" i="2" s="1"/>
  <c r="IL248" i="2" s="1"/>
  <c r="IP229" i="2"/>
  <c r="IP218" i="2"/>
  <c r="IO232" i="2"/>
  <c r="IO233" i="2"/>
  <c r="IK256" i="2"/>
  <c r="DA248" i="2" s="1"/>
  <c r="IK255" i="2"/>
  <c r="DA250" i="2" s="1"/>
  <c r="DA255" i="2" s="1"/>
  <c r="IM239" i="2"/>
  <c r="IM241" i="2" s="1"/>
  <c r="IM236" i="2"/>
  <c r="IP217" i="2"/>
  <c r="IQ210" i="2" s="1"/>
  <c r="IM245" i="2" l="1"/>
  <c r="IM244" i="2"/>
  <c r="IQ214" i="2"/>
  <c r="IQ216" i="2" s="1"/>
  <c r="DA251" i="2"/>
  <c r="DA254" i="2"/>
  <c r="DA256" i="2" s="1"/>
  <c r="IP226" i="2"/>
  <c r="IP224" i="2"/>
  <c r="IQ220" i="2" s="1"/>
  <c r="IP232" i="2"/>
  <c r="IP233" i="2"/>
  <c r="IL252" i="2"/>
  <c r="IN234" i="2"/>
  <c r="IL247" i="2"/>
  <c r="IM242" i="2" s="1"/>
  <c r="IQ218" i="2" l="1"/>
  <c r="IN236" i="2"/>
  <c r="IN239" i="2"/>
  <c r="IN241" i="2" s="1"/>
  <c r="IQ217" i="2"/>
  <c r="IR210" i="2" s="1"/>
  <c r="IL254" i="2"/>
  <c r="IN235" i="2"/>
  <c r="IO230" i="2" s="1"/>
  <c r="IQ221" i="2"/>
  <c r="IM243" i="2"/>
  <c r="IM246" i="2" s="1"/>
  <c r="IQ224" i="2" l="1"/>
  <c r="IR220" i="2" s="1"/>
  <c r="IR221" i="2" s="1"/>
  <c r="IN244" i="2"/>
  <c r="IN245" i="2"/>
  <c r="IR214" i="2"/>
  <c r="IR216" i="2" s="1"/>
  <c r="IL255" i="2"/>
  <c r="DB250" i="2" s="1"/>
  <c r="DB255" i="2" s="1"/>
  <c r="IL256" i="2"/>
  <c r="DB248" i="2" s="1"/>
  <c r="IQ226" i="2"/>
  <c r="IM247" i="2"/>
  <c r="IN242" i="2" s="1"/>
  <c r="IM252" i="2"/>
  <c r="IM248" i="2"/>
  <c r="IQ229" i="2"/>
  <c r="IO231" i="2"/>
  <c r="IR218" i="2" l="1"/>
  <c r="IR229" i="2"/>
  <c r="IO234" i="2"/>
  <c r="DB251" i="2"/>
  <c r="DB254" i="2"/>
  <c r="DB256" i="2" s="1"/>
  <c r="IN243" i="2"/>
  <c r="IN246" i="2" s="1"/>
  <c r="IR217" i="2"/>
  <c r="IS210" i="2" s="1"/>
  <c r="IQ233" i="2"/>
  <c r="IQ232" i="2"/>
  <c r="IM254" i="2"/>
  <c r="IR224" i="2" l="1"/>
  <c r="IS220" i="2" s="1"/>
  <c r="IS221" i="2" s="1"/>
  <c r="IN248" i="2"/>
  <c r="IN252" i="2"/>
  <c r="IN254" i="2" s="1"/>
  <c r="IN247" i="2"/>
  <c r="IM255" i="2"/>
  <c r="DC250" i="2" s="1"/>
  <c r="DC255" i="2" s="1"/>
  <c r="IM256" i="2"/>
  <c r="DC248" i="2" s="1"/>
  <c r="IS214" i="2"/>
  <c r="IS216" i="2" s="1"/>
  <c r="IR233" i="2"/>
  <c r="IR232" i="2"/>
  <c r="IR226" i="2"/>
  <c r="IO236" i="2"/>
  <c r="IO239" i="2"/>
  <c r="IO241" i="2" s="1"/>
  <c r="IO235" i="2"/>
  <c r="IP230" i="2" s="1"/>
  <c r="IO245" i="2" l="1"/>
  <c r="IO242" i="2"/>
  <c r="IO244" i="2"/>
  <c r="IN256" i="2"/>
  <c r="DD248" i="2" s="1"/>
  <c r="IN255" i="2"/>
  <c r="DD250" i="2" s="1"/>
  <c r="DD255" i="2" s="1"/>
  <c r="IS229" i="2"/>
  <c r="IS218" i="2"/>
  <c r="IP231" i="2"/>
  <c r="IP234" i="2" s="1"/>
  <c r="DC251" i="2"/>
  <c r="DC254" i="2"/>
  <c r="DC256" i="2" s="1"/>
  <c r="IS217" i="2"/>
  <c r="IT210" i="2" s="1"/>
  <c r="IP239" i="2" l="1"/>
  <c r="IP236" i="2"/>
  <c r="DD251" i="2"/>
  <c r="DD254" i="2"/>
  <c r="DD256" i="2" s="1"/>
  <c r="IS233" i="2"/>
  <c r="IS232" i="2"/>
  <c r="IS226" i="2"/>
  <c r="IS224" i="2"/>
  <c r="IT220" i="2" s="1"/>
  <c r="IO243" i="2"/>
  <c r="IO246" i="2" s="1"/>
  <c r="IP235" i="2"/>
  <c r="IQ230" i="2" s="1"/>
  <c r="IT214" i="2"/>
  <c r="IT216" i="2" s="1"/>
  <c r="IO247" i="2" l="1"/>
  <c r="IT218" i="2"/>
  <c r="IT229" i="2"/>
  <c r="IT217" i="2"/>
  <c r="IU210" i="2" s="1"/>
  <c r="IO252" i="2"/>
  <c r="IO254" i="2" s="1"/>
  <c r="IQ231" i="2"/>
  <c r="IQ234" i="2" s="1"/>
  <c r="IO248" i="2"/>
  <c r="IT221" i="2"/>
  <c r="IT224" i="2" s="1"/>
  <c r="IU220" i="2" s="1"/>
  <c r="IP241" i="2"/>
  <c r="IQ239" i="2" l="1"/>
  <c r="IQ236" i="2"/>
  <c r="IQ235" i="2"/>
  <c r="IR230" i="2" s="1"/>
  <c r="IU221" i="2"/>
  <c r="IT233" i="2"/>
  <c r="IT232" i="2"/>
  <c r="IO256" i="2"/>
  <c r="DE248" i="2" s="1"/>
  <c r="IO255" i="2"/>
  <c r="DE250" i="2" s="1"/>
  <c r="DE255" i="2" s="1"/>
  <c r="IU214" i="2"/>
  <c r="IT226" i="2"/>
  <c r="IP245" i="2"/>
  <c r="IP244" i="2"/>
  <c r="IP242" i="2"/>
  <c r="IP243" i="2" s="1"/>
  <c r="IU216" i="2" l="1"/>
  <c r="IU217" i="2" s="1"/>
  <c r="IV210" i="2" s="1"/>
  <c r="IV214" i="2" s="1"/>
  <c r="IV216" i="2" s="1"/>
  <c r="IP246" i="2"/>
  <c r="IR231" i="2"/>
  <c r="IR234" i="2" s="1"/>
  <c r="IQ241" i="2"/>
  <c r="DE251" i="2"/>
  <c r="DE254" i="2"/>
  <c r="DE256" i="2" s="1"/>
  <c r="IU224" i="2"/>
  <c r="IV220" i="2" s="1"/>
  <c r="IU218" i="2"/>
  <c r="IU229" i="2" l="1"/>
  <c r="IU232" i="2" s="1"/>
  <c r="IR235" i="2"/>
  <c r="IS230" i="2" s="1"/>
  <c r="IS231" i="2" s="1"/>
  <c r="IV218" i="2"/>
  <c r="IV217" i="2"/>
  <c r="IW210" i="2" s="1"/>
  <c r="IV221" i="2"/>
  <c r="IV224" i="2" s="1"/>
  <c r="IW220" i="2" s="1"/>
  <c r="IQ244" i="2"/>
  <c r="IQ245" i="2"/>
  <c r="IR239" i="2"/>
  <c r="IR241" i="2" s="1"/>
  <c r="IR236" i="2"/>
  <c r="IP248" i="2"/>
  <c r="IP252" i="2"/>
  <c r="IU226" i="2"/>
  <c r="IP247" i="2"/>
  <c r="IQ242" i="2" s="1"/>
  <c r="IU233" i="2" l="1"/>
  <c r="IW221" i="2"/>
  <c r="IQ243" i="2"/>
  <c r="IQ246" i="2" s="1"/>
  <c r="IR244" i="2"/>
  <c r="IR245" i="2"/>
  <c r="IV229" i="2"/>
  <c r="IW214" i="2"/>
  <c r="IW216" i="2" s="1"/>
  <c r="IP254" i="2"/>
  <c r="IV226" i="2"/>
  <c r="IS234" i="2"/>
  <c r="IW217" i="2" l="1"/>
  <c r="IX210" i="2" s="1"/>
  <c r="IX214" i="2" s="1"/>
  <c r="IQ252" i="2"/>
  <c r="IQ248" i="2"/>
  <c r="IS239" i="2"/>
  <c r="IS236" i="2"/>
  <c r="IS235" i="2"/>
  <c r="IT230" i="2" s="1"/>
  <c r="IW229" i="2"/>
  <c r="IW218" i="2"/>
  <c r="IP256" i="2"/>
  <c r="DF248" i="2" s="1"/>
  <c r="IP255" i="2"/>
  <c r="DF250" i="2" s="1"/>
  <c r="DF255" i="2" s="1"/>
  <c r="IQ247" i="2"/>
  <c r="IR242" i="2" s="1"/>
  <c r="IV233" i="2"/>
  <c r="IV232" i="2"/>
  <c r="IS241" i="2" l="1"/>
  <c r="IQ254" i="2"/>
  <c r="IW233" i="2"/>
  <c r="IW232" i="2"/>
  <c r="IT231" i="2"/>
  <c r="IX216" i="2"/>
  <c r="IR243" i="2"/>
  <c r="DF251" i="2"/>
  <c r="DF254" i="2"/>
  <c r="DF256" i="2" s="1"/>
  <c r="IW226" i="2"/>
  <c r="IW224" i="2"/>
  <c r="IX220" i="2" s="1"/>
  <c r="IR246" i="2" l="1"/>
  <c r="IR247" i="2" s="1"/>
  <c r="IS242" i="2" s="1"/>
  <c r="IX221" i="2"/>
  <c r="IS244" i="2"/>
  <c r="IS245" i="2"/>
  <c r="IT234" i="2"/>
  <c r="IX229" i="2"/>
  <c r="IX218" i="2"/>
  <c r="IX217" i="2"/>
  <c r="IY210" i="2" s="1"/>
  <c r="IQ255" i="2"/>
  <c r="DG250" i="2" s="1"/>
  <c r="DG255" i="2" s="1"/>
  <c r="IQ256" i="2"/>
  <c r="DG248" i="2" s="1"/>
  <c r="IR248" i="2" l="1"/>
  <c r="IR252" i="2"/>
  <c r="DG251" i="2"/>
  <c r="DG254" i="2"/>
  <c r="DG256" i="2" s="1"/>
  <c r="IX232" i="2"/>
  <c r="IX233" i="2"/>
  <c r="IX226" i="2"/>
  <c r="IS243" i="2"/>
  <c r="IY214" i="2"/>
  <c r="IT239" i="2"/>
  <c r="IT241" i="2" s="1"/>
  <c r="IT236" i="2"/>
  <c r="IR254" i="2"/>
  <c r="IX224" i="2"/>
  <c r="IY220" i="2" s="1"/>
  <c r="IT235" i="2"/>
  <c r="IU230" i="2" s="1"/>
  <c r="IT245" i="2" l="1"/>
  <c r="IT244" i="2"/>
  <c r="IU231" i="2"/>
  <c r="IU234" i="2"/>
  <c r="IY221" i="2"/>
  <c r="IR256" i="2"/>
  <c r="DH248" i="2" s="1"/>
  <c r="IR255" i="2"/>
  <c r="DH250" i="2" s="1"/>
  <c r="DH255" i="2" s="1"/>
  <c r="IY216" i="2"/>
  <c r="IS246" i="2"/>
  <c r="IS247" i="2" s="1"/>
  <c r="IT242" i="2" s="1"/>
  <c r="IU235" i="2" l="1"/>
  <c r="IV230" i="2" s="1"/>
  <c r="IV231" i="2" s="1"/>
  <c r="IV234" i="2" s="1"/>
  <c r="IT243" i="2"/>
  <c r="IT246" i="2" s="1"/>
  <c r="IS252" i="2"/>
  <c r="IS248" i="2"/>
  <c r="IU239" i="2"/>
  <c r="IU241" i="2" s="1"/>
  <c r="IU236" i="2"/>
  <c r="IY224" i="2"/>
  <c r="IZ220" i="2" s="1"/>
  <c r="IY218" i="2"/>
  <c r="DH251" i="2"/>
  <c r="DH254" i="2"/>
  <c r="DH256" i="2" s="1"/>
  <c r="IY217" i="2"/>
  <c r="IZ210" i="2" s="1"/>
  <c r="IY229" i="2" l="1"/>
  <c r="IY232" i="2" s="1"/>
  <c r="IZ221" i="2"/>
  <c r="IT252" i="2"/>
  <c r="IT254" i="2" s="1"/>
  <c r="IT247" i="2"/>
  <c r="IU242" i="2" s="1"/>
  <c r="IT248" i="2"/>
  <c r="IV239" i="2"/>
  <c r="IV241" i="2" s="1"/>
  <c r="IV236" i="2"/>
  <c r="IV235" i="2"/>
  <c r="IW230" i="2" s="1"/>
  <c r="IU245" i="2"/>
  <c r="IU244" i="2"/>
  <c r="IZ214" i="2"/>
  <c r="IS254" i="2"/>
  <c r="IY226" i="2"/>
  <c r="IY233" i="2" l="1"/>
  <c r="IV244" i="2"/>
  <c r="IV245" i="2"/>
  <c r="IU243" i="2"/>
  <c r="IU246" i="2" s="1"/>
  <c r="IZ216" i="2"/>
  <c r="IT255" i="2"/>
  <c r="DJ250" i="2" s="1"/>
  <c r="DJ255" i="2" s="1"/>
  <c r="IT256" i="2"/>
  <c r="DJ248" i="2" s="1"/>
  <c r="IS255" i="2"/>
  <c r="DI250" i="2" s="1"/>
  <c r="DI255" i="2" s="1"/>
  <c r="IS256" i="2"/>
  <c r="DI248" i="2" s="1"/>
  <c r="IW231" i="2"/>
  <c r="IW234" i="2" s="1"/>
  <c r="IU252" i="2" l="1"/>
  <c r="IU254" i="2" s="1"/>
  <c r="IU248" i="2"/>
  <c r="IW239" i="2"/>
  <c r="IW236" i="2"/>
  <c r="IW235" i="2"/>
  <c r="IX230" i="2" s="1"/>
  <c r="IU247" i="2"/>
  <c r="IV242" i="2" s="1"/>
  <c r="DJ251" i="2"/>
  <c r="DJ254" i="2"/>
  <c r="DJ256" i="2" s="1"/>
  <c r="DI251" i="2"/>
  <c r="DI254" i="2"/>
  <c r="DI256" i="2" s="1"/>
  <c r="IZ229" i="2"/>
  <c r="IZ218" i="2"/>
  <c r="IZ217" i="2"/>
  <c r="JA210" i="2" s="1"/>
  <c r="IV243" i="2" l="1"/>
  <c r="IV246" i="2" s="1"/>
  <c r="IZ233" i="2"/>
  <c r="IZ232" i="2"/>
  <c r="IX231" i="2"/>
  <c r="IX234" i="2" s="1"/>
  <c r="IU255" i="2"/>
  <c r="DK250" i="2" s="1"/>
  <c r="DK255" i="2" s="1"/>
  <c r="IU256" i="2"/>
  <c r="DK248" i="2" s="1"/>
  <c r="IZ226" i="2"/>
  <c r="IZ224" i="2"/>
  <c r="JA220" i="2" s="1"/>
  <c r="JA214" i="2"/>
  <c r="JA216" i="2" s="1"/>
  <c r="IW241" i="2"/>
  <c r="JA218" i="2" l="1"/>
  <c r="IX239" i="2"/>
  <c r="IX241" i="2" s="1"/>
  <c r="IX236" i="2"/>
  <c r="IV252" i="2"/>
  <c r="IV254" i="2" s="1"/>
  <c r="IV248" i="2"/>
  <c r="JA217" i="2"/>
  <c r="JB210" i="2" s="1"/>
  <c r="IW244" i="2"/>
  <c r="IW245" i="2"/>
  <c r="IX235" i="2"/>
  <c r="IY230" i="2" s="1"/>
  <c r="JA221" i="2"/>
  <c r="DK251" i="2"/>
  <c r="DK254" i="2"/>
  <c r="DK256" i="2" s="1"/>
  <c r="IV247" i="2"/>
  <c r="IW242" i="2" s="1"/>
  <c r="JA224" i="2" l="1"/>
  <c r="JB220" i="2" s="1"/>
  <c r="JB221" i="2" s="1"/>
  <c r="IW243" i="2"/>
  <c r="IW246" i="2" s="1"/>
  <c r="IW247" i="2" s="1"/>
  <c r="IX242" i="2" s="1"/>
  <c r="JB214" i="2"/>
  <c r="IV256" i="2"/>
  <c r="DL248" i="2" s="1"/>
  <c r="IV255" i="2"/>
  <c r="DL250" i="2" s="1"/>
  <c r="DL255" i="2" s="1"/>
  <c r="IX245" i="2"/>
  <c r="IX244" i="2"/>
  <c r="IY231" i="2"/>
  <c r="IY234" i="2" s="1"/>
  <c r="JA226" i="2"/>
  <c r="JA229" i="2"/>
  <c r="IX243" i="2" l="1"/>
  <c r="IX246" i="2" s="1"/>
  <c r="JA233" i="2"/>
  <c r="JA232" i="2"/>
  <c r="IY239" i="2"/>
  <c r="IY236" i="2"/>
  <c r="IY235" i="2"/>
  <c r="IZ230" i="2" s="1"/>
  <c r="JB216" i="2"/>
  <c r="DL251" i="2"/>
  <c r="DL254" i="2"/>
  <c r="DL256" i="2" s="1"/>
  <c r="IW252" i="2"/>
  <c r="IW254" i="2" s="1"/>
  <c r="IW248" i="2"/>
  <c r="IW256" i="2" l="1"/>
  <c r="IW255" i="2"/>
  <c r="DM250" i="2" s="1"/>
  <c r="DM255" i="2" s="1"/>
  <c r="IY241" i="2"/>
  <c r="JB218" i="2"/>
  <c r="IX252" i="2"/>
  <c r="IX254" i="2" s="1"/>
  <c r="IX248" i="2"/>
  <c r="DM248" i="2"/>
  <c r="IZ231" i="2"/>
  <c r="IZ234" i="2" s="1"/>
  <c r="IX247" i="2"/>
  <c r="JB217" i="2"/>
  <c r="JC210" i="2" s="1"/>
  <c r="IZ236" i="2" l="1"/>
  <c r="IZ239" i="2"/>
  <c r="IZ241" i="2" s="1"/>
  <c r="IZ235" i="2"/>
  <c r="JA230" i="2" s="1"/>
  <c r="IX255" i="2"/>
  <c r="DN250" i="2" s="1"/>
  <c r="DN255" i="2" s="1"/>
  <c r="IX256" i="2"/>
  <c r="DN248" i="2" s="1"/>
  <c r="JB229" i="2"/>
  <c r="DM251" i="2"/>
  <c r="DM254" i="2"/>
  <c r="DM256" i="2" s="1"/>
  <c r="JB226" i="2"/>
  <c r="JB224" i="2"/>
  <c r="JC220" i="2" s="1"/>
  <c r="JC214" i="2"/>
  <c r="JC216" i="2" s="1"/>
  <c r="IY242" i="2"/>
  <c r="IY244" i="2"/>
  <c r="IY245" i="2"/>
  <c r="JC217" i="2" l="1"/>
  <c r="JD210" i="2" s="1"/>
  <c r="JD214" i="2" s="1"/>
  <c r="IY243" i="2"/>
  <c r="DN251" i="2"/>
  <c r="DN254" i="2"/>
  <c r="DN256" i="2" s="1"/>
  <c r="IY246" i="2"/>
  <c r="IY248" i="2" s="1"/>
  <c r="JB232" i="2"/>
  <c r="JB233" i="2"/>
  <c r="IZ245" i="2"/>
  <c r="IZ244" i="2"/>
  <c r="JA231" i="2"/>
  <c r="JA234" i="2" s="1"/>
  <c r="JC218" i="2"/>
  <c r="JC221" i="2"/>
  <c r="JC224" i="2" l="1"/>
  <c r="JD220" i="2" s="1"/>
  <c r="JD221" i="2" s="1"/>
  <c r="IY247" i="2"/>
  <c r="IZ242" i="2" s="1"/>
  <c r="JA239" i="2"/>
  <c r="JA236" i="2"/>
  <c r="IZ243" i="2"/>
  <c r="IZ246" i="2" s="1"/>
  <c r="JA235" i="2"/>
  <c r="JB230" i="2" s="1"/>
  <c r="IY252" i="2"/>
  <c r="IY254" i="2" s="1"/>
  <c r="JC226" i="2"/>
  <c r="JD216" i="2"/>
  <c r="JD217" i="2" s="1"/>
  <c r="JE210" i="2" s="1"/>
  <c r="JC229" i="2"/>
  <c r="IZ247" i="2" l="1"/>
  <c r="IY256" i="2"/>
  <c r="IY255" i="2"/>
  <c r="DO250" i="2" s="1"/>
  <c r="DO255" i="2" s="1"/>
  <c r="JB231" i="2"/>
  <c r="JB234" i="2" s="1"/>
  <c r="DO248" i="2"/>
  <c r="JE214" i="2"/>
  <c r="JE216" i="2" s="1"/>
  <c r="JA241" i="2"/>
  <c r="IZ248" i="2"/>
  <c r="IZ252" i="2"/>
  <c r="JC232" i="2"/>
  <c r="JC233" i="2"/>
  <c r="JD229" i="2"/>
  <c r="JD218" i="2"/>
  <c r="JB235" i="2" l="1"/>
  <c r="JC230" i="2" s="1"/>
  <c r="JC231" i="2" s="1"/>
  <c r="JC234" i="2" s="1"/>
  <c r="JD232" i="2"/>
  <c r="JD233" i="2"/>
  <c r="JE229" i="2"/>
  <c r="JE218" i="2"/>
  <c r="IZ254" i="2"/>
  <c r="JE217" i="2"/>
  <c r="JF210" i="2" s="1"/>
  <c r="JA245" i="2"/>
  <c r="JA244" i="2"/>
  <c r="JA242" i="2"/>
  <c r="JB239" i="2"/>
  <c r="JB241" i="2" s="1"/>
  <c r="JB236" i="2"/>
  <c r="JD226" i="2"/>
  <c r="JD224" i="2"/>
  <c r="JE220" i="2" s="1"/>
  <c r="DO251" i="2"/>
  <c r="DO254" i="2"/>
  <c r="DO256" i="2" s="1"/>
  <c r="JA243" i="2" l="1"/>
  <c r="JA246" i="2" s="1"/>
  <c r="JB244" i="2"/>
  <c r="JB245" i="2"/>
  <c r="IZ256" i="2"/>
  <c r="DP248" i="2" s="1"/>
  <c r="IZ255" i="2"/>
  <c r="DP250" i="2" s="1"/>
  <c r="DP255" i="2" s="1"/>
  <c r="JE221" i="2"/>
  <c r="JE224" i="2" s="1"/>
  <c r="JF220" i="2" s="1"/>
  <c r="JC239" i="2"/>
  <c r="JC241" i="2" s="1"/>
  <c r="JF214" i="2"/>
  <c r="JF216" i="2" s="1"/>
  <c r="JC235" i="2"/>
  <c r="JD230" i="2" s="1"/>
  <c r="JE233" i="2"/>
  <c r="JE232" i="2"/>
  <c r="JE226" i="2"/>
  <c r="JC236" i="2"/>
  <c r="JA252" i="2" l="1"/>
  <c r="JA254" i="2"/>
  <c r="JA256" i="2" s="1"/>
  <c r="DQ248" i="2" s="1"/>
  <c r="JA247" i="2"/>
  <c r="JB242" i="2" s="1"/>
  <c r="JA248" i="2"/>
  <c r="JF217" i="2"/>
  <c r="JG210" i="2" s="1"/>
  <c r="JG214" i="2" s="1"/>
  <c r="JG216" i="2" s="1"/>
  <c r="JC244" i="2"/>
  <c r="JC245" i="2"/>
  <c r="JB243" i="2"/>
  <c r="DP251" i="2"/>
  <c r="DP254" i="2"/>
  <c r="DP256" i="2" s="1"/>
  <c r="JF221" i="2"/>
  <c r="JF229" i="2"/>
  <c r="JF218" i="2"/>
  <c r="JD231" i="2"/>
  <c r="JD234" i="2" s="1"/>
  <c r="JA255" i="2" l="1"/>
  <c r="DQ250" i="2" s="1"/>
  <c r="DQ255" i="2" s="1"/>
  <c r="JF224" i="2"/>
  <c r="JG220" i="2" s="1"/>
  <c r="JG221" i="2" s="1"/>
  <c r="JB246" i="2"/>
  <c r="JB248" i="2" s="1"/>
  <c r="JD239" i="2"/>
  <c r="JD241" i="2" s="1"/>
  <c r="JD236" i="2"/>
  <c r="JD235" i="2"/>
  <c r="JE230" i="2" s="1"/>
  <c r="JG218" i="2"/>
  <c r="JG217" i="2"/>
  <c r="JH210" i="2" s="1"/>
  <c r="DQ251" i="2"/>
  <c r="DQ254" i="2"/>
  <c r="DQ256" i="2" s="1"/>
  <c r="JF232" i="2"/>
  <c r="JF233" i="2"/>
  <c r="JF226" i="2"/>
  <c r="JB252" i="2" l="1"/>
  <c r="JG224" i="2"/>
  <c r="JH220" i="2" s="1"/>
  <c r="JH221" i="2" s="1"/>
  <c r="JB247" i="2"/>
  <c r="JC242" i="2" s="1"/>
  <c r="JC243" i="2" s="1"/>
  <c r="JD244" i="2"/>
  <c r="JD245" i="2"/>
  <c r="JE231" i="2"/>
  <c r="JE234" i="2" s="1"/>
  <c r="JE235" i="2" s="1"/>
  <c r="JF230" i="2" s="1"/>
  <c r="JG226" i="2"/>
  <c r="JC246" i="2"/>
  <c r="JH214" i="2"/>
  <c r="JH216" i="2" s="1"/>
  <c r="JB254" i="2"/>
  <c r="JG229" i="2"/>
  <c r="JH224" i="2" l="1"/>
  <c r="JI220" i="2" s="1"/>
  <c r="JH218" i="2"/>
  <c r="JF231" i="2"/>
  <c r="JF234" i="2" s="1"/>
  <c r="JF235" i="2" s="1"/>
  <c r="JG230" i="2" s="1"/>
  <c r="JB255" i="2"/>
  <c r="DR250" i="2" s="1"/>
  <c r="DR255" i="2" s="1"/>
  <c r="JB256" i="2"/>
  <c r="DR248" i="2" s="1"/>
  <c r="JH217" i="2"/>
  <c r="JI210" i="2" s="1"/>
  <c r="JE239" i="2"/>
  <c r="JE241" i="2" s="1"/>
  <c r="JE236" i="2"/>
  <c r="JG232" i="2"/>
  <c r="JG233" i="2"/>
  <c r="JC252" i="2"/>
  <c r="JC254" i="2" s="1"/>
  <c r="JC248" i="2"/>
  <c r="JC247" i="2"/>
  <c r="JD242" i="2" s="1"/>
  <c r="JG231" i="2" l="1"/>
  <c r="JG234" i="2" s="1"/>
  <c r="JI214" i="2"/>
  <c r="JI216" i="2" s="1"/>
  <c r="JC255" i="2"/>
  <c r="DS250" i="2" s="1"/>
  <c r="DS255" i="2" s="1"/>
  <c r="JC256" i="2"/>
  <c r="DS248" i="2" s="1"/>
  <c r="DR251" i="2"/>
  <c r="DR254" i="2"/>
  <c r="DR256" i="2" s="1"/>
  <c r="JE244" i="2"/>
  <c r="JE245" i="2"/>
  <c r="JI221" i="2"/>
  <c r="JH226" i="2"/>
  <c r="JH229" i="2"/>
  <c r="JF236" i="2"/>
  <c r="JF239" i="2"/>
  <c r="JF241" i="2" s="1"/>
  <c r="JD243" i="2"/>
  <c r="JI217" i="2" l="1"/>
  <c r="JJ210" i="2" s="1"/>
  <c r="JJ214" i="2" s="1"/>
  <c r="JG235" i="2"/>
  <c r="DS251" i="2"/>
  <c r="DS254" i="2"/>
  <c r="DS256" i="2" s="1"/>
  <c r="JH230" i="2"/>
  <c r="JH231" i="2" s="1"/>
  <c r="JH233" i="2"/>
  <c r="JH232" i="2"/>
  <c r="JI229" i="2"/>
  <c r="JI218" i="2"/>
  <c r="JF245" i="2"/>
  <c r="JF244" i="2"/>
  <c r="JG239" i="2"/>
  <c r="JG236" i="2"/>
  <c r="JD246" i="2"/>
  <c r="JH234" i="2" l="1"/>
  <c r="JH235" i="2" s="1"/>
  <c r="JI230" i="2" s="1"/>
  <c r="JI231" i="2" s="1"/>
  <c r="JD252" i="2"/>
  <c r="JD254" i="2" s="1"/>
  <c r="JD248" i="2"/>
  <c r="JI226" i="2"/>
  <c r="JD247" i="2"/>
  <c r="JE242" i="2" s="1"/>
  <c r="JJ216" i="2"/>
  <c r="JJ217" i="2" s="1"/>
  <c r="JK210" i="2" s="1"/>
  <c r="JI233" i="2"/>
  <c r="JI232" i="2"/>
  <c r="JG241" i="2"/>
  <c r="JI224" i="2"/>
  <c r="JJ220" i="2" s="1"/>
  <c r="JH236" i="2" l="1"/>
  <c r="JH239" i="2"/>
  <c r="JI234" i="2"/>
  <c r="JI236" i="2" s="1"/>
  <c r="JD255" i="2"/>
  <c r="DT250" i="2" s="1"/>
  <c r="DT255" i="2" s="1"/>
  <c r="JD256" i="2"/>
  <c r="DT248" i="2" s="1"/>
  <c r="JJ221" i="2"/>
  <c r="JK214" i="2"/>
  <c r="JE243" i="2"/>
  <c r="JE246" i="2" s="1"/>
  <c r="JG244" i="2"/>
  <c r="JG245" i="2"/>
  <c r="JH241" i="2"/>
  <c r="JJ218" i="2"/>
  <c r="JI235" i="2" l="1"/>
  <c r="JI239" i="2"/>
  <c r="JI241" i="2" s="1"/>
  <c r="JE252" i="2"/>
  <c r="JE254" i="2" s="1"/>
  <c r="JE248" i="2"/>
  <c r="JJ226" i="2"/>
  <c r="JE247" i="2"/>
  <c r="JF242" i="2" s="1"/>
  <c r="DT251" i="2"/>
  <c r="DT254" i="2"/>
  <c r="DT256" i="2" s="1"/>
  <c r="JJ224" i="2"/>
  <c r="JK220" i="2" s="1"/>
  <c r="JH245" i="2"/>
  <c r="JH244" i="2"/>
  <c r="JK216" i="2"/>
  <c r="JK217" i="2" s="1"/>
  <c r="JL210" i="2" s="1"/>
  <c r="JJ229" i="2"/>
  <c r="JI244" i="2" l="1"/>
  <c r="JI245" i="2"/>
  <c r="JE256" i="2"/>
  <c r="JE255" i="2"/>
  <c r="DU250" i="2" s="1"/>
  <c r="DU255" i="2" s="1"/>
  <c r="JL214" i="2"/>
  <c r="JL216" i="2" s="1"/>
  <c r="DU248" i="2"/>
  <c r="JK221" i="2"/>
  <c r="JJ233" i="2"/>
  <c r="JJ232" i="2"/>
  <c r="JJ230" i="2"/>
  <c r="JF243" i="2"/>
  <c r="JF246" i="2" s="1"/>
  <c r="JK229" i="2"/>
  <c r="JK218" i="2"/>
  <c r="JK224" i="2" l="1"/>
  <c r="JL220" i="2" s="1"/>
  <c r="JL221" i="2" s="1"/>
  <c r="JK233" i="2"/>
  <c r="JK232" i="2"/>
  <c r="JF252" i="2"/>
  <c r="JF254" i="2" s="1"/>
  <c r="JF248" i="2"/>
  <c r="JL218" i="2"/>
  <c r="JF247" i="2"/>
  <c r="JG242" i="2" s="1"/>
  <c r="JJ231" i="2"/>
  <c r="DU251" i="2"/>
  <c r="DU254" i="2"/>
  <c r="DU256" i="2" s="1"/>
  <c r="JL217" i="2"/>
  <c r="JM210" i="2" s="1"/>
  <c r="JK226" i="2"/>
  <c r="JL224" i="2" l="1"/>
  <c r="JM220" i="2" s="1"/>
  <c r="JL229" i="2"/>
  <c r="JL233" i="2" s="1"/>
  <c r="JJ234" i="2"/>
  <c r="JJ236" i="2" s="1"/>
  <c r="JM214" i="2"/>
  <c r="JM216" i="2" s="1"/>
  <c r="JF255" i="2"/>
  <c r="DV250" i="2" s="1"/>
  <c r="DV255" i="2" s="1"/>
  <c r="JF256" i="2"/>
  <c r="DV248" i="2" s="1"/>
  <c r="JM221" i="2"/>
  <c r="JG243" i="2"/>
  <c r="JG246" i="2" s="1"/>
  <c r="JL226" i="2"/>
  <c r="JJ239" i="2" l="1"/>
  <c r="JL232" i="2"/>
  <c r="JM217" i="2"/>
  <c r="JN210" i="2" s="1"/>
  <c r="JJ235" i="2"/>
  <c r="JK230" i="2" s="1"/>
  <c r="JK231" i="2" s="1"/>
  <c r="JN214" i="2"/>
  <c r="JN216" i="2" s="1"/>
  <c r="JN217" i="2" s="1"/>
  <c r="JO210" i="2" s="1"/>
  <c r="JG252" i="2"/>
  <c r="JG248" i="2"/>
  <c r="JJ241" i="2"/>
  <c r="JG247" i="2"/>
  <c r="JH242" i="2" s="1"/>
  <c r="DV251" i="2"/>
  <c r="DV254" i="2"/>
  <c r="DV256" i="2" s="1"/>
  <c r="JM229" i="2"/>
  <c r="JM218" i="2"/>
  <c r="JK234" i="2" l="1"/>
  <c r="JK239" i="2" s="1"/>
  <c r="JJ245" i="2"/>
  <c r="JJ244" i="2"/>
  <c r="JM233" i="2"/>
  <c r="JM232" i="2"/>
  <c r="JH243" i="2"/>
  <c r="JH246" i="2" s="1"/>
  <c r="JO214" i="2"/>
  <c r="JG254" i="2"/>
  <c r="JM226" i="2"/>
  <c r="JN218" i="2"/>
  <c r="JM224" i="2"/>
  <c r="JN220" i="2" s="1"/>
  <c r="JK235" i="2" l="1"/>
  <c r="JL230" i="2" s="1"/>
  <c r="JL231" i="2" s="1"/>
  <c r="JL234" i="2" s="1"/>
  <c r="JK236" i="2"/>
  <c r="JH247" i="2"/>
  <c r="JI242" i="2" s="1"/>
  <c r="JI243" i="2" s="1"/>
  <c r="JI246" i="2" s="1"/>
  <c r="JO216" i="2"/>
  <c r="JO217" i="2" s="1"/>
  <c r="JP210" i="2" s="1"/>
  <c r="JG256" i="2"/>
  <c r="DW248" i="2" s="1"/>
  <c r="JG255" i="2"/>
  <c r="DW250" i="2" s="1"/>
  <c r="DW255" i="2" s="1"/>
  <c r="JN226" i="2"/>
  <c r="JN221" i="2"/>
  <c r="JN224" i="2" s="1"/>
  <c r="JO220" i="2" s="1"/>
  <c r="JH252" i="2"/>
  <c r="JH248" i="2"/>
  <c r="JN229" i="2"/>
  <c r="JK241" i="2"/>
  <c r="JO229" i="2" l="1"/>
  <c r="JO232" i="2" s="1"/>
  <c r="JO218" i="2"/>
  <c r="JP214" i="2"/>
  <c r="JO221" i="2"/>
  <c r="JO224" i="2" s="1"/>
  <c r="JP220" i="2" s="1"/>
  <c r="JL236" i="2"/>
  <c r="JL239" i="2"/>
  <c r="JL235" i="2"/>
  <c r="JM230" i="2" s="1"/>
  <c r="DW251" i="2"/>
  <c r="DW254" i="2"/>
  <c r="DW256" i="2" s="1"/>
  <c r="JK245" i="2"/>
  <c r="JK244" i="2"/>
  <c r="JO226" i="2"/>
  <c r="JI252" i="2"/>
  <c r="JI254" i="2" s="1"/>
  <c r="JI248" i="2"/>
  <c r="JN232" i="2"/>
  <c r="JN233" i="2"/>
  <c r="JI247" i="2"/>
  <c r="JJ242" i="2" s="1"/>
  <c r="JH254" i="2"/>
  <c r="JO233" i="2" l="1"/>
  <c r="JP216" i="2"/>
  <c r="JI255" i="2"/>
  <c r="DY250" i="2" s="1"/>
  <c r="DY255" i="2" s="1"/>
  <c r="JI256" i="2"/>
  <c r="DY248" i="2" s="1"/>
  <c r="JL241" i="2"/>
  <c r="JP221" i="2"/>
  <c r="JJ243" i="2"/>
  <c r="JJ246" i="2" s="1"/>
  <c r="JH255" i="2"/>
  <c r="DX250" i="2" s="1"/>
  <c r="DX255" i="2" s="1"/>
  <c r="JH256" i="2"/>
  <c r="DX248" i="2" s="1"/>
  <c r="JM231" i="2"/>
  <c r="JM234" i="2" l="1"/>
  <c r="JM235" i="2" s="1"/>
  <c r="JN230" i="2" s="1"/>
  <c r="JN231" i="2" s="1"/>
  <c r="JN234" i="2" s="1"/>
  <c r="JP218" i="2"/>
  <c r="JP224" i="2"/>
  <c r="JQ220" i="2" s="1"/>
  <c r="JQ221" i="2" s="1"/>
  <c r="JP217" i="2"/>
  <c r="JQ210" i="2" s="1"/>
  <c r="JJ252" i="2"/>
  <c r="JJ254" i="2" s="1"/>
  <c r="JJ248" i="2"/>
  <c r="JJ247" i="2"/>
  <c r="JK242" i="2" s="1"/>
  <c r="DX251" i="2"/>
  <c r="DX254" i="2"/>
  <c r="DX256" i="2" s="1"/>
  <c r="JL244" i="2"/>
  <c r="JL245" i="2"/>
  <c r="DY251" i="2"/>
  <c r="DY254" i="2"/>
  <c r="DY256" i="2" s="1"/>
  <c r="JM236" i="2" l="1"/>
  <c r="JM239" i="2"/>
  <c r="JQ214" i="2"/>
  <c r="JQ216" i="2" s="1"/>
  <c r="JQ217" i="2" s="1"/>
  <c r="JR210" i="2" s="1"/>
  <c r="JR214" i="2" s="1"/>
  <c r="JR216" i="2" s="1"/>
  <c r="JP229" i="2"/>
  <c r="JP226" i="2"/>
  <c r="JJ255" i="2"/>
  <c r="DZ250" i="2" s="1"/>
  <c r="DZ255" i="2" s="1"/>
  <c r="JJ256" i="2"/>
  <c r="DZ248" i="2" s="1"/>
  <c r="JN239" i="2"/>
  <c r="JN236" i="2"/>
  <c r="JN235" i="2"/>
  <c r="JO230" i="2" s="1"/>
  <c r="JK243" i="2"/>
  <c r="JK246" i="2" s="1"/>
  <c r="JM241" i="2"/>
  <c r="JR217" i="2" l="1"/>
  <c r="JS210" i="2" s="1"/>
  <c r="JS214" i="2" s="1"/>
  <c r="JP233" i="2"/>
  <c r="JP232" i="2"/>
  <c r="JQ218" i="2"/>
  <c r="JQ229" i="2"/>
  <c r="JM244" i="2"/>
  <c r="JM245" i="2"/>
  <c r="JK252" i="2"/>
  <c r="JK254" i="2" s="1"/>
  <c r="JK248" i="2"/>
  <c r="JK247" i="2"/>
  <c r="JL242" i="2" s="1"/>
  <c r="JO231" i="2"/>
  <c r="JR218" i="2"/>
  <c r="DZ251" i="2"/>
  <c r="DZ254" i="2"/>
  <c r="DZ256" i="2" s="1"/>
  <c r="JN241" i="2"/>
  <c r="JQ232" i="2" l="1"/>
  <c r="JQ233" i="2"/>
  <c r="JQ224" i="2"/>
  <c r="JR220" i="2" s="1"/>
  <c r="JR221" i="2" s="1"/>
  <c r="JR224" i="2" s="1"/>
  <c r="JS220" i="2" s="1"/>
  <c r="JS221" i="2" s="1"/>
  <c r="JQ226" i="2"/>
  <c r="JK255" i="2"/>
  <c r="EA250" i="2" s="1"/>
  <c r="EA255" i="2" s="1"/>
  <c r="JK256" i="2"/>
  <c r="EA248" i="2" s="1"/>
  <c r="JR226" i="2"/>
  <c r="JO234" i="2"/>
  <c r="JN245" i="2"/>
  <c r="JN244" i="2"/>
  <c r="JS216" i="2"/>
  <c r="JR229" i="2"/>
  <c r="JL243" i="2"/>
  <c r="JL246" i="2" l="1"/>
  <c r="JR232" i="2"/>
  <c r="JR233" i="2"/>
  <c r="JO239" i="2"/>
  <c r="JO241" i="2" s="1"/>
  <c r="JO236" i="2"/>
  <c r="EA251" i="2"/>
  <c r="EA254" i="2"/>
  <c r="EA256" i="2" s="1"/>
  <c r="JS229" i="2"/>
  <c r="JS218" i="2"/>
  <c r="FB218" i="2" s="1"/>
  <c r="JO235" i="2"/>
  <c r="JP230" i="2" s="1"/>
  <c r="JS217" i="2"/>
  <c r="JS232" i="2" l="1"/>
  <c r="JS233" i="2"/>
  <c r="JO244" i="2"/>
  <c r="JO245" i="2"/>
  <c r="JP231" i="2"/>
  <c r="JL252" i="2"/>
  <c r="JL254" i="2" s="1"/>
  <c r="JL248" i="2"/>
  <c r="JS226" i="2"/>
  <c r="FB226" i="2" s="1"/>
  <c r="JS224" i="2"/>
  <c r="JL247" i="2"/>
  <c r="JM242" i="2" s="1"/>
  <c r="JP234" i="2" l="1"/>
  <c r="JP235" i="2" s="1"/>
  <c r="JQ230" i="2" s="1"/>
  <c r="JM243" i="2"/>
  <c r="JL256" i="2"/>
  <c r="EB248" i="2" s="1"/>
  <c r="JL255" i="2"/>
  <c r="EB250" i="2" s="1"/>
  <c r="EB255" i="2" s="1"/>
  <c r="JP236" i="2" l="1"/>
  <c r="JP239" i="2"/>
  <c r="JP241" i="2" s="1"/>
  <c r="JP245" i="2" s="1"/>
  <c r="JQ231" i="2"/>
  <c r="JQ234" i="2" s="1"/>
  <c r="JM246" i="2"/>
  <c r="JM247" i="2" s="1"/>
  <c r="JN242" i="2" s="1"/>
  <c r="JN243" i="2" s="1"/>
  <c r="JN246" i="2" s="1"/>
  <c r="EB251" i="2"/>
  <c r="EB254" i="2"/>
  <c r="EB256" i="2" s="1"/>
  <c r="JP244" i="2" l="1"/>
  <c r="JM252" i="2"/>
  <c r="JM254" i="2" s="1"/>
  <c r="JM248" i="2"/>
  <c r="JQ236" i="2"/>
  <c r="JQ239" i="2"/>
  <c r="JQ241" i="2" s="1"/>
  <c r="JQ235" i="2"/>
  <c r="JR230" i="2" s="1"/>
  <c r="JN252" i="2"/>
  <c r="JN254" i="2" s="1"/>
  <c r="JN248" i="2"/>
  <c r="JN247" i="2"/>
  <c r="JO242" i="2" s="1"/>
  <c r="JQ244" i="2" l="1"/>
  <c r="JQ245" i="2"/>
  <c r="JR231" i="2"/>
  <c r="JR234" i="2" s="1"/>
  <c r="JN255" i="2"/>
  <c r="ED250" i="2" s="1"/>
  <c r="ED255" i="2" s="1"/>
  <c r="JN256" i="2"/>
  <c r="ED248" i="2" s="1"/>
  <c r="JO243" i="2"/>
  <c r="JO246" i="2" s="1"/>
  <c r="JM255" i="2"/>
  <c r="EC250" i="2" s="1"/>
  <c r="EC255" i="2" s="1"/>
  <c r="JM256" i="2"/>
  <c r="EC248" i="2" s="1"/>
  <c r="JR236" i="2" l="1"/>
  <c r="JR239" i="2"/>
  <c r="JR241" i="2" s="1"/>
  <c r="JR244" i="2" s="1"/>
  <c r="JR235" i="2"/>
  <c r="JS230" i="2" s="1"/>
  <c r="JO252" i="2"/>
  <c r="JO248" i="2"/>
  <c r="ED251" i="2"/>
  <c r="ED254" i="2"/>
  <c r="ED256" i="2" s="1"/>
  <c r="JO247" i="2"/>
  <c r="JP242" i="2" s="1"/>
  <c r="EC251" i="2"/>
  <c r="EC254" i="2"/>
  <c r="EC256" i="2" s="1"/>
  <c r="JR245" i="2" l="1"/>
  <c r="JS231" i="2"/>
  <c r="JS234" i="2"/>
  <c r="JP243" i="2"/>
  <c r="JP246" i="2" s="1"/>
  <c r="JO254" i="2"/>
  <c r="JP247" i="2" l="1"/>
  <c r="JQ242" i="2" s="1"/>
  <c r="JS235" i="2"/>
  <c r="JS239" i="2"/>
  <c r="JS236" i="2"/>
  <c r="FB236" i="2" s="1"/>
  <c r="JS241" i="2"/>
  <c r="JQ243" i="2"/>
  <c r="JQ246" i="2" s="1"/>
  <c r="JQ247" i="2" s="1"/>
  <c r="JR242" i="2" s="1"/>
  <c r="JO255" i="2"/>
  <c r="EE250" i="2" s="1"/>
  <c r="EE255" i="2" s="1"/>
  <c r="JO256" i="2"/>
  <c r="EE248" i="2" s="1"/>
  <c r="JP252" i="2"/>
  <c r="JP248" i="2"/>
  <c r="JS245" i="2" l="1"/>
  <c r="JS244" i="2"/>
  <c r="JR243" i="2"/>
  <c r="JR246" i="2" s="1"/>
  <c r="JR247" i="2" s="1"/>
  <c r="JS242" i="2" s="1"/>
  <c r="EE251" i="2"/>
  <c r="EE254" i="2"/>
  <c r="EE256" i="2" s="1"/>
  <c r="JP254" i="2"/>
  <c r="JQ252" i="2"/>
  <c r="JQ254" i="2" s="1"/>
  <c r="JQ248" i="2"/>
  <c r="JS243" i="2" l="1"/>
  <c r="JS246" i="2" s="1"/>
  <c r="JQ256" i="2"/>
  <c r="EG248" i="2" s="1"/>
  <c r="JQ255" i="2"/>
  <c r="EG250" i="2" s="1"/>
  <c r="EG255" i="2" s="1"/>
  <c r="JP255" i="2"/>
  <c r="EF250" i="2" s="1"/>
  <c r="EF255" i="2" s="1"/>
  <c r="JP256" i="2"/>
  <c r="EF248" i="2" s="1"/>
  <c r="JR252" i="2"/>
  <c r="JR254" i="2" s="1"/>
  <c r="JR248" i="2"/>
  <c r="JS252" i="2" l="1"/>
  <c r="JS254" i="2" s="1"/>
  <c r="JS248" i="2"/>
  <c r="FB248" i="2" s="1"/>
  <c r="JR256" i="2"/>
  <c r="EH248" i="2" s="1"/>
  <c r="JR255" i="2"/>
  <c r="EH250" i="2" s="1"/>
  <c r="EH255" i="2" s="1"/>
  <c r="EG251" i="2"/>
  <c r="EG254" i="2"/>
  <c r="EG256" i="2" s="1"/>
  <c r="EF251" i="2"/>
  <c r="EF254" i="2"/>
  <c r="EF256" i="2" s="1"/>
  <c r="JS247" i="2"/>
  <c r="JS256" i="2" l="1"/>
  <c r="EI248" i="2" s="1"/>
  <c r="JS255" i="2"/>
  <c r="EI250" i="2" s="1"/>
  <c r="EH251" i="2"/>
  <c r="EH254" i="2"/>
  <c r="EH256" i="2" s="1"/>
  <c r="EI251" i="2" l="1"/>
  <c r="EI254" i="2"/>
  <c r="I254" i="2" s="1"/>
  <c r="K248" i="2"/>
  <c r="EI255" i="2"/>
  <c r="I255" i="2" s="1"/>
  <c r="K250" i="2"/>
  <c r="H254" i="2" l="1"/>
  <c r="K255" i="2"/>
  <c r="G255" i="2" s="1"/>
  <c r="N20" i="1" s="1"/>
  <c r="H255" i="2"/>
  <c r="EI256" i="2"/>
  <c r="K254" i="2"/>
  <c r="G254" i="2" s="1"/>
  <c r="N19" i="1" s="1"/>
  <c r="K251" i="2"/>
  <c r="J248" i="2" s="1"/>
  <c r="K261" i="2" l="1"/>
  <c r="P19" i="1" s="1"/>
  <c r="J261" i="2"/>
  <c r="I261" i="2"/>
  <c r="H261" i="2"/>
  <c r="R256" i="2"/>
  <c r="I256" i="2"/>
  <c r="H256" i="2"/>
  <c r="J249" i="2"/>
  <c r="K256" i="2"/>
  <c r="J254" i="2" s="1"/>
  <c r="J250" i="2"/>
  <c r="J251" i="2" l="1"/>
  <c r="J255" i="2"/>
  <c r="J256" i="2" l="1"/>
  <c r="E26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tc={D454C87A-15B6-43D4-B616-60DBD1669DCA}</author>
    <author>tc={BFB540DF-71EF-429D-B516-27C12F495091}</author>
  </authors>
  <commentList>
    <comment ref="F112" authorId="0" shapeId="0" xr:uid="{D454C87A-15B6-43D4-B616-60DBD1669DCA}">
      <text>
        <t>[Threaded comment]
Your version of Excel allows you to read this threaded comment; however, any edits to it will get removed if the file is opened in a newer version of Excel. Learn more: https://go.microsoft.com/fwlink/?linkid=870924
Comment:
    The value to attribute to non-renovated units. Once a unit is renovated, the Post-Renovation value is used.</t>
      </text>
    </comment>
    <comment ref="F135" authorId="1" shapeId="0" xr:uid="{BFB540DF-71EF-429D-B516-27C12F495091}">
      <text>
        <t>[Threaded comment]
Your version of Excel allows you to read this threaded comment; however, any edits to it will get removed if the file is opened in a newer version of Excel. Learn more: https://go.microsoft.com/fwlink/?linkid=870924
Comment:
    The value to attribute to non-renovated units. Once a unit is renovated, the Post-Renovation value is used.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<sst xmlns="http://schemas.openxmlformats.org/spreadsheetml/2006/main" count="1276" uniqueCount="864">
  <si>
    <t>INVESTMENT UNDERWRITING</t>
  </si>
  <si>
    <t>Name</t>
  </si>
  <si>
    <t>[Investment Name]</t>
  </si>
  <si>
    <t>County</t>
  </si>
  <si>
    <t>[County]</t>
  </si>
  <si>
    <t>Address</t>
  </si>
  <si>
    <t>[Street Address]</t>
  </si>
  <si>
    <t>State</t>
  </si>
  <si>
    <t>[State]</t>
  </si>
  <si>
    <t>City</t>
  </si>
  <si>
    <t>[City]</t>
  </si>
  <si>
    <t>Zip Code</t>
  </si>
  <si>
    <t>[Zip Code]</t>
  </si>
  <si>
    <t>Analysis Begin Date</t>
  </si>
  <si>
    <t>Sale Date</t>
  </si>
  <si>
    <t>Buildings</t>
  </si>
  <si>
    <t>Units/Acre</t>
  </si>
  <si>
    <t>Avg. # of Stories</t>
  </si>
  <si>
    <t>FAR</t>
  </si>
  <si>
    <t>Total Parking Spaces</t>
  </si>
  <si>
    <t>Structured Parking Spaces</t>
  </si>
  <si>
    <t>Parking Ratio</t>
  </si>
  <si>
    <t>Surface Parking Spaces</t>
  </si>
  <si>
    <t>INVESTMENT DESCRIPTION</t>
  </si>
  <si>
    <t>Analysis Year</t>
  </si>
  <si>
    <t>Analysis Month</t>
  </si>
  <si>
    <t>INVESTMENT CASH FLOWS</t>
  </si>
  <si>
    <t>USES</t>
  </si>
  <si>
    <t>START</t>
  </si>
  <si>
    <t>END</t>
  </si>
  <si>
    <t>METHOD</t>
  </si>
  <si>
    <t>AMOUNT</t>
  </si>
  <si>
    <t>Straight-Line</t>
  </si>
  <si>
    <t>Closing Costs</t>
  </si>
  <si>
    <t>[Item]</t>
  </si>
  <si>
    <t>Hard Costs</t>
  </si>
  <si>
    <t>Total Hard Costs</t>
  </si>
  <si>
    <t>Soft Costs</t>
  </si>
  <si>
    <t>Architecture &amp; Engineering</t>
  </si>
  <si>
    <t>Construction Management</t>
  </si>
  <si>
    <t>Total Soft Costs</t>
  </si>
  <si>
    <t>Total Uses</t>
  </si>
  <si>
    <t>ACQUISITION COST</t>
  </si>
  <si>
    <t>Purchase Price</t>
  </si>
  <si>
    <t>SOURCES</t>
  </si>
  <si>
    <t>LTC</t>
  </si>
  <si>
    <t>Total Sources</t>
  </si>
  <si>
    <t>SOURCES AND USES</t>
  </si>
  <si>
    <t>Total Acquisition Costs</t>
  </si>
  <si>
    <t>Acquisition Cost</t>
  </si>
  <si>
    <t>CASH FLOW OF SOURCES</t>
  </si>
  <si>
    <t>GP Equity</t>
  </si>
  <si>
    <t>LP Equity</t>
  </si>
  <si>
    <t>Total Debt</t>
  </si>
  <si>
    <t>EQUITY</t>
  </si>
  <si>
    <t>Bridge Loan</t>
  </si>
  <si>
    <t>Renovation Costs</t>
  </si>
  <si>
    <t>Other Renovation Costs</t>
  </si>
  <si>
    <t>Permitting</t>
  </si>
  <si>
    <t>Feature Requests</t>
  </si>
  <si>
    <t>Changelog</t>
  </si>
  <si>
    <t>Excel 365</t>
  </si>
  <si>
    <t>Excel 2016</t>
  </si>
  <si>
    <t>Browse our entire Library of Real Estate Models</t>
  </si>
  <si>
    <t>Excel 2013</t>
  </si>
  <si>
    <t>Compatibility</t>
  </si>
  <si>
    <t>Guides and Tutorials for Using the Model</t>
  </si>
  <si>
    <t>Visit this Model's Webpage</t>
  </si>
  <si>
    <t>https://www.adventuresincre.com/</t>
  </si>
  <si>
    <t>Important Links:</t>
  </si>
  <si>
    <t>Author: Spencer Burton</t>
  </si>
  <si>
    <t>Model Resources</t>
  </si>
  <si>
    <t>Analysis Date</t>
  </si>
  <si>
    <t>CALCULATIONS</t>
  </si>
  <si>
    <t>S-CURVE</t>
  </si>
  <si>
    <t>Amount</t>
  </si>
  <si>
    <t>Start Period</t>
  </si>
  <si>
    <t>End Period</t>
  </si>
  <si>
    <t>Months</t>
  </si>
  <si>
    <t>StDev</t>
  </si>
  <si>
    <t>Error Check</t>
  </si>
  <si>
    <t>Order</t>
  </si>
  <si>
    <t>Balance</t>
  </si>
  <si>
    <t>Uses by Month</t>
  </si>
  <si>
    <t>Monthly Cash Flow</t>
  </si>
  <si>
    <t>Rate</t>
  </si>
  <si>
    <t>Rate Type</t>
  </si>
  <si>
    <t>Mezz Loan</t>
  </si>
  <si>
    <t>% of Order</t>
  </si>
  <si>
    <t>Share of Equity</t>
  </si>
  <si>
    <t>Amort</t>
  </si>
  <si>
    <t>Term</t>
  </si>
  <si>
    <t>IO</t>
  </si>
  <si>
    <t>FINANCING ASSUMPTIONS</t>
  </si>
  <si>
    <t>INITIAL FINANCING</t>
  </si>
  <si>
    <t>Senior Loan</t>
  </si>
  <si>
    <t>Junior Loan</t>
  </si>
  <si>
    <t>DEBT SERVICE</t>
  </si>
  <si>
    <t>Funding</t>
  </si>
  <si>
    <t>Payoff</t>
  </si>
  <si>
    <t>LTV</t>
  </si>
  <si>
    <t>Funding Order</t>
  </si>
  <si>
    <t>SUBSEQUENT FINANCING</t>
  </si>
  <si>
    <t>Senior Loan 2</t>
  </si>
  <si>
    <t>Junior Loan 2</t>
  </si>
  <si>
    <t>Total Initial Financing</t>
  </si>
  <si>
    <t>Total Subsequent Financing</t>
  </si>
  <si>
    <t>Funding Amt</t>
  </si>
  <si>
    <t>Payoff Amt</t>
  </si>
  <si>
    <t>LT Purch. Price</t>
  </si>
  <si>
    <t>Annual Rate</t>
  </si>
  <si>
    <t>Fees</t>
  </si>
  <si>
    <t>Fees %</t>
  </si>
  <si>
    <t>OPERATING CASH FLOWS</t>
  </si>
  <si>
    <t>IO End</t>
  </si>
  <si>
    <t>RATE</t>
  </si>
  <si>
    <t>DEBT</t>
  </si>
  <si>
    <t>GROWTH RATES</t>
  </si>
  <si>
    <t>Other Income</t>
  </si>
  <si>
    <t>OpEx (Excl. Taxes)</t>
  </si>
  <si>
    <t>Property Taxes</t>
  </si>
  <si>
    <t>CapEx</t>
  </si>
  <si>
    <t>RENTAL INCOME</t>
  </si>
  <si>
    <t>Studio</t>
  </si>
  <si>
    <t>1 Bd/1 Bth</t>
  </si>
  <si>
    <t>1 Bd/1.5 Bth</t>
  </si>
  <si>
    <t>2 Bd/2 Bth</t>
  </si>
  <si>
    <t>2 Bd/2.5 Bth</t>
  </si>
  <si>
    <t>[Unit Type]</t>
  </si>
  <si>
    <t>GROSS RENT</t>
  </si>
  <si>
    <t>In-Place</t>
  </si>
  <si>
    <t>- Concessions (Free Rent)</t>
  </si>
  <si>
    <t>- Non-Revenue (Model) Units</t>
  </si>
  <si>
    <t>TOTAL RENTAL INCOME</t>
  </si>
  <si>
    <t>OTHER INCOME</t>
  </si>
  <si>
    <t>RUBS</t>
  </si>
  <si>
    <t>Parking Income</t>
  </si>
  <si>
    <t>[Other Income Item]</t>
  </si>
  <si>
    <t>TOTAL OTHER INCOME</t>
  </si>
  <si>
    <t>TOTAL POTENTIAL INCOME</t>
  </si>
  <si>
    <t>EFFECTIVE GROSS REVENUE</t>
  </si>
  <si>
    <t>Lease Length</t>
  </si>
  <si>
    <t>Begin Roll</t>
  </si>
  <si>
    <t>Complete Roll</t>
  </si>
  <si>
    <t>OPERATING EXPENSES</t>
  </si>
  <si>
    <t>Repairs and Maintenance</t>
  </si>
  <si>
    <t>Payroll</t>
  </si>
  <si>
    <t>General &amp; Administrative</t>
  </si>
  <si>
    <t>Marketing</t>
  </si>
  <si>
    <t>Utilities</t>
  </si>
  <si>
    <t>Contract Services</t>
  </si>
  <si>
    <t>Make Ready Cost</t>
  </si>
  <si>
    <t>Management Fee</t>
  </si>
  <si>
    <t>Insurance</t>
  </si>
  <si>
    <t>TOTAL OPERATING EXPENSES</t>
  </si>
  <si>
    <t>NET OPERATING INCOME</t>
  </si>
  <si>
    <t>CAPITAL EXPENDITURES</t>
  </si>
  <si>
    <t>Capital Reserves</t>
  </si>
  <si>
    <t>Other Capital Expenditures</t>
  </si>
  <si>
    <t>TOTAL CAPITAL EXPENDITURES</t>
  </si>
  <si>
    <t>CASH FLOW FROM OPERATIONS</t>
  </si>
  <si>
    <t>Unit Type</t>
  </si>
  <si>
    <t>Rent/Yr</t>
  </si>
  <si>
    <t>Months from Begin to Complete</t>
  </si>
  <si>
    <t>Custom Roll?</t>
  </si>
  <si>
    <t>No</t>
  </si>
  <si>
    <t>Detailed</t>
  </si>
  <si>
    <t>Detailed Vacancy</t>
  </si>
  <si>
    <t>CALCULATIONS 2</t>
  </si>
  <si>
    <t>Growth Year</t>
  </si>
  <si>
    <t>Post-Renovation Rent</t>
  </si>
  <si>
    <t>Pre-Reno</t>
  </si>
  <si>
    <t>Post-Reno</t>
  </si>
  <si>
    <t>ROLL-TO-MARKET (PRE-TO-POST RENOVATION)</t>
  </si>
  <si>
    <t>*Post-reno rent starts at column KB</t>
  </si>
  <si>
    <t>Post-Reno Rent</t>
  </si>
  <si>
    <t>*Pre-reno rent starts at column ER</t>
  </si>
  <si>
    <t>RENT GROWTH BY UNIT</t>
  </si>
  <si>
    <t>Stabilized</t>
  </si>
  <si>
    <t>% Renovated</t>
  </si>
  <si>
    <t>Pre-Reno Rent</t>
  </si>
  <si>
    <t>Post-Reno OI/Uni</t>
  </si>
  <si>
    <t>Post-Renovation Other Income</t>
  </si>
  <si>
    <t>Pre-Renovation Other Income</t>
  </si>
  <si>
    <t>Pre-Reno OI/Unit</t>
  </si>
  <si>
    <t>Post-Reno Expenses</t>
  </si>
  <si>
    <t>Post-Renovation Operating Expenses</t>
  </si>
  <si>
    <t>Mill Rate</t>
  </si>
  <si>
    <t>Initial Fund.</t>
  </si>
  <si>
    <t>TOTAL DEBT SERVICE</t>
  </si>
  <si>
    <t>CASH FLOW AFTER FINANCING</t>
  </si>
  <si>
    <t>Economy Vacancy</t>
  </si>
  <si>
    <t>Expense Ratio</t>
  </si>
  <si>
    <t>Utility Reimbursement %</t>
  </si>
  <si>
    <t>- General Vacancy and Credit Loss</t>
  </si>
  <si>
    <t>REVERSION (SALE) CASH FLOWS</t>
  </si>
  <si>
    <t>TIMING</t>
  </si>
  <si>
    <t>REVERSION (SALE) ASSUMPTIONS</t>
  </si>
  <si>
    <t>Construction End Month</t>
  </si>
  <si>
    <t>Market Cap Rate Today</t>
  </si>
  <si>
    <t>Cap Rate at Sale (Terminal Cap)</t>
  </si>
  <si>
    <t>Selling Costs</t>
  </si>
  <si>
    <t>Sale Month</t>
  </si>
  <si>
    <t>SALE</t>
  </si>
  <si>
    <t>SALE PROCEEDS</t>
  </si>
  <si>
    <t>VALUATION</t>
  </si>
  <si>
    <t>Gross Sale Proceeds</t>
  </si>
  <si>
    <t>DIRECT CAPITALIZATION</t>
  </si>
  <si>
    <t>Net Sale Proceeds</t>
  </si>
  <si>
    <t>Cap Rate</t>
  </si>
  <si>
    <t>- Loan Payoff</t>
  </si>
  <si>
    <t>NOI</t>
  </si>
  <si>
    <t>Equity Proceeds from Sale</t>
  </si>
  <si>
    <t>Stabilized Value</t>
  </si>
  <si>
    <t>1st Fully Stabilized Month</t>
  </si>
  <si>
    <t>IN-PLACE</t>
  </si>
  <si>
    <t>STABILIZED</t>
  </si>
  <si>
    <t>IN-PLACE VS STABILIZED PRO FORMA (UNTRENDED)</t>
  </si>
  <si>
    <t>PRO FORMA (TRENDED)</t>
  </si>
  <si>
    <t>RETURNS</t>
  </si>
  <si>
    <t>PROPERTY-LEVEL CASH FLOWS</t>
  </si>
  <si>
    <t>Net Levered Cash Flow</t>
  </si>
  <si>
    <t>Cash Flow from Operations</t>
  </si>
  <si>
    <t>IRR</t>
  </si>
  <si>
    <t>NET PROFIT</t>
  </si>
  <si>
    <t>Net Unlevered Cash Flow</t>
  </si>
  <si>
    <t>Yield-on-Cost</t>
  </si>
  <si>
    <t>Market Cap Rate</t>
  </si>
  <si>
    <t>Prior Distributions</t>
  </si>
  <si>
    <t>Development Spread</t>
  </si>
  <si>
    <t>Total Project Cost (Without Financing)</t>
  </si>
  <si>
    <t>Total Project Cost (With Financing)</t>
  </si>
  <si>
    <t>Financing Costs</t>
  </si>
  <si>
    <t>Cash Flow after Financing</t>
  </si>
  <si>
    <t>Loan Fundings</t>
  </si>
  <si>
    <t>Untrended</t>
  </si>
  <si>
    <t>Loan Payoffs</t>
  </si>
  <si>
    <t>PARTNERSHIP-LEVEL CASH FLOWS</t>
  </si>
  <si>
    <t>GP-LP CONTRIBUTIONS</t>
  </si>
  <si>
    <t>GP</t>
  </si>
  <si>
    <t>LP</t>
  </si>
  <si>
    <t>[General Partner Name]</t>
  </si>
  <si>
    <t>[Limited Partner Name]</t>
  </si>
  <si>
    <t>Total</t>
  </si>
  <si>
    <t>Share</t>
  </si>
  <si>
    <t>DISTRIBUTION WATERFALL</t>
  </si>
  <si>
    <t>IRR Hurdle</t>
  </si>
  <si>
    <t>Pref. Return</t>
  </si>
  <si>
    <t>up to</t>
  </si>
  <si>
    <t>2nd Tier</t>
  </si>
  <si>
    <t>3rd Tier</t>
  </si>
  <si>
    <t>4th Tier</t>
  </si>
  <si>
    <t>above</t>
  </si>
  <si>
    <t>GP-LP DISTRIBUTIONS</t>
  </si>
  <si>
    <t>GP-LP NET CASH FLOW</t>
  </si>
  <si>
    <t xml:space="preserve">EMx </t>
  </si>
  <si>
    <t>Split to GP</t>
  </si>
  <si>
    <t>Split to LP</t>
  </si>
  <si>
    <t>GP Promote</t>
  </si>
  <si>
    <t>NA</t>
  </si>
  <si>
    <t>EQUITY WATERFALL</t>
  </si>
  <si>
    <t>TIER 1</t>
  </si>
  <si>
    <t>Monthly Eff. Required Rate</t>
  </si>
  <si>
    <t>LP Beginning Balance</t>
  </si>
  <si>
    <t>LP Required Return</t>
  </si>
  <si>
    <t>LP Contributions</t>
  </si>
  <si>
    <t>LP Distributions</t>
  </si>
  <si>
    <t>LP Ending Balance</t>
  </si>
  <si>
    <t>LP Cash Flow and IRR Check</t>
  </si>
  <si>
    <t>x</t>
  </si>
  <si>
    <t/>
  </si>
  <si>
    <t>GP Contributions</t>
  </si>
  <si>
    <t>GP Distributions</t>
  </si>
  <si>
    <t>CF Remaining after Tier 1</t>
  </si>
  <si>
    <t>TIER 2</t>
  </si>
  <si>
    <t>TIER 3</t>
  </si>
  <si>
    <t>CF Remaining after Tier 3</t>
  </si>
  <si>
    <t>CF Remaining after Tier 2</t>
  </si>
  <si>
    <t>TIER 4</t>
  </si>
  <si>
    <t>STRENGTHS</t>
  </si>
  <si>
    <t>INSERT IMAGE/MAP</t>
  </si>
  <si>
    <t>[List strength #1]</t>
  </si>
  <si>
    <t>[List strength #2]</t>
  </si>
  <si>
    <t>[List strength #3]</t>
  </si>
  <si>
    <t>Building(s)</t>
  </si>
  <si>
    <t>[List strength #4]</t>
  </si>
  <si>
    <t>Height</t>
  </si>
  <si>
    <t>[List strength #5]</t>
  </si>
  <si>
    <t>Parking Spaces</t>
  </si>
  <si>
    <t>WEAKNESSES</t>
  </si>
  <si>
    <t>Analysis Start</t>
  </si>
  <si>
    <t>[List Weakness #1]</t>
  </si>
  <si>
    <t>Stabilization</t>
  </si>
  <si>
    <t>[List Weakness #5]</t>
  </si>
  <si>
    <t>KEY ASSUMPTIONS &amp; RETURN METRICS</t>
  </si>
  <si>
    <t>Effective Gross Revenue</t>
  </si>
  <si>
    <t>General Vacancy &amp; Credit Loss</t>
  </si>
  <si>
    <t>- Operating Expenses</t>
  </si>
  <si>
    <t>Operating Expense Ratio</t>
  </si>
  <si>
    <t>Net Operating Income</t>
  </si>
  <si>
    <t>- Capital Expenditures</t>
  </si>
  <si>
    <t>PROPERTY RETURNS</t>
  </si>
  <si>
    <t>Valuation</t>
  </si>
  <si>
    <t>DEVELOPMENT RETURNS</t>
  </si>
  <si>
    <t>% of Total Project Cost</t>
  </si>
  <si>
    <t>Valuation/Unit</t>
  </si>
  <si>
    <t>%</t>
  </si>
  <si>
    <t>/Unit</t>
  </si>
  <si>
    <t>/Buildable SF</t>
  </si>
  <si>
    <t>PROPERTY-LEVEL CASH FLOW</t>
  </si>
  <si>
    <t>[COMPANY NAME</t>
  </si>
  <si>
    <t>Stabilization Month</t>
  </si>
  <si>
    <t>% of Units Renovated at Analysis Start</t>
  </si>
  <si>
    <t>- Debt Service</t>
  </si>
  <si>
    <t>Breakeven Occupancy (Trended)</t>
  </si>
  <si>
    <t>DSCR</t>
  </si>
  <si>
    <t>Debt Yield</t>
  </si>
  <si>
    <t>Debt Service Coverage Ratio (Trended)</t>
  </si>
  <si>
    <t>DSCR (Trended)</t>
  </si>
  <si>
    <t>Acquisition Costs</t>
  </si>
  <si>
    <t>VALUE-ADD APARTMENT ACQUISITION MODEL - VERSION NOTES</t>
  </si>
  <si>
    <t>Initial release of the Value-Add Apartment Acquisition Model</t>
  </si>
  <si>
    <t>INVESTMENT CF</t>
  </si>
  <si>
    <t>OPERATING CF</t>
  </si>
  <si>
    <t>REVERSION CF</t>
  </si>
  <si>
    <t>WATERFALL</t>
  </si>
  <si>
    <t>DESCRIPTION</t>
  </si>
  <si>
    <t>beta v0.11</t>
  </si>
  <si>
    <t>Added navigation links at top of Underwriting tab</t>
  </si>
  <si>
    <t>REFI</t>
  </si>
  <si>
    <t>SELL</t>
  </si>
  <si>
    <t>Added 'Refinance vs Sell' toggle</t>
  </si>
  <si>
    <t>Loan Terms</t>
  </si>
  <si>
    <t>Loan Cash Flows</t>
  </si>
  <si>
    <t>LOAN BALANCE</t>
  </si>
  <si>
    <t>Repositioned debt cash flows to accommodate hiding Subsequent financing rows when model is set to 'Sell' mode</t>
  </si>
  <si>
    <t>Event</t>
  </si>
  <si>
    <t>% Rolled-to-Market</t>
  </si>
  <si>
    <t>Status</t>
  </si>
  <si>
    <t>REVERSION CASH FLOWS</t>
  </si>
  <si>
    <t>NET CASH FLOWS</t>
  </si>
  <si>
    <t>Misc. logic fixes</t>
  </si>
  <si>
    <t>Misc. formatting improvements</t>
  </si>
  <si>
    <t>beta v0.12</t>
  </si>
  <si>
    <t>Fixed issue where Market Cap Rate in Development Spread calculation was not dynamic to 'Untrended' vs 'Trended'</t>
  </si>
  <si>
    <t xml:space="preserve">Fixed issue where the 'As of mo.' output in the Reversion section was not displaying the month correctly for the 'Stabilized' pro forma </t>
  </si>
  <si>
    <t>beta v0.13</t>
  </si>
  <si>
    <t>Added Cash-on-Cash return metric to Underwriting and Summary tabs</t>
  </si>
  <si>
    <t>Fixed issue where two GP ownership assumptions existed</t>
  </si>
  <si>
    <t>Average Cash-on-Cash Return</t>
  </si>
  <si>
    <t>Cash-on-Cash Return (Annualized)</t>
  </si>
  <si>
    <t>Cash-on-Cash Return</t>
  </si>
  <si>
    <t>Added option to perform GP-only analysis (i.e. exclude LP)</t>
  </si>
  <si>
    <t>Updated GP and LP equity multiple formula to match logic used for property-level equity multiple formula</t>
  </si>
  <si>
    <t>Removed property-level ROI formula</t>
  </si>
  <si>
    <t>beta v0.10</t>
  </si>
  <si>
    <t>beta v0.2</t>
  </si>
  <si>
    <t>Added 'Term' to Subsequent Financing; note that Subsequent Financing Term is NOT an assumption but rather tied to Analysis End month</t>
  </si>
  <si>
    <t>Updated various input cells to include data validation</t>
  </si>
  <si>
    <t>Net Cash Flow Available for Distribution</t>
  </si>
  <si>
    <t>Gross Cash Flow Available for Distribution</t>
  </si>
  <si>
    <t>GP Beginning Balance</t>
  </si>
  <si>
    <t>GP Required Return</t>
  </si>
  <si>
    <t>GP Ending Balance</t>
  </si>
  <si>
    <t>GP Cash Flow and IRR Check</t>
  </si>
  <si>
    <t>Yes</t>
  </si>
  <si>
    <t>GP Fees</t>
  </si>
  <si>
    <t>Added option to model GP IRR Catch Up</t>
  </si>
  <si>
    <t>Added conditional formatting where GP Catch Up toggle becomes available when GP distribution % in pref tier is less than GP contribution %</t>
  </si>
  <si>
    <t>Created drop-down menu in cell F222 to toggle GP Catch Up on or off (i.e. GP Catch Up toggle)</t>
  </si>
  <si>
    <t>Added option to model GP asset management fee</t>
  </si>
  <si>
    <t>Included assumption in cell F217 to enter annual asset management fee %; paid out monthly per cell G217</t>
  </si>
  <si>
    <t>Updated waterfall module to include GP Catch Up calculation</t>
  </si>
  <si>
    <t>Updated waterfall module to include GP AM fees</t>
  </si>
  <si>
    <t>Added assumption (Max): 'None' means AM fee shortfall accrues to GP, 'Available' means GP is paid lesser of AM fee or available CF</t>
  </si>
  <si>
    <t>GP Dist.</t>
  </si>
  <si>
    <t>LP Dist.</t>
  </si>
  <si>
    <t>GP CF</t>
  </si>
  <si>
    <t>LP CF</t>
  </si>
  <si>
    <t>GP Cont.</t>
  </si>
  <si>
    <t>LP Cont.</t>
  </si>
  <si>
    <t>Total Cont.</t>
  </si>
  <si>
    <t>Total Dist.</t>
  </si>
  <si>
    <t>Unlevered CF</t>
  </si>
  <si>
    <t>Levered CF</t>
  </si>
  <si>
    <t>CFO</t>
  </si>
  <si>
    <t>CFAF</t>
  </si>
  <si>
    <t>Added misc. labels to help better navigate model</t>
  </si>
  <si>
    <t>beta v0.21</t>
  </si>
  <si>
    <t>Fee Accrues?</t>
  </si>
  <si>
    <t>Changed 'Asset Management Fee - Max' language to make it easier to understand; now asks "Fee Accrues" with response Yes or No</t>
  </si>
  <si>
    <t>Simplified AM Fee/Mo formula</t>
  </si>
  <si>
    <t>Fixed error where GP and LP ROI calculations on Summary tab were reversed</t>
  </si>
  <si>
    <t>beta v0.22</t>
  </si>
  <si>
    <t>Fixed error where OpEx and CapEx were growing off of Other Income growth rate assumptions</t>
  </si>
  <si>
    <t>Removed data validation lists from K73 and K74 on the Underwriting tab</t>
  </si>
  <si>
    <t>INITIAL FINANCING FUNDING MONTH</t>
  </si>
  <si>
    <t>Min Funding</t>
  </si>
  <si>
    <t>Fixed issue where Initial Fund months were not displaying correctly (J73 and J74 of Underwriting tab)</t>
  </si>
  <si>
    <t>- General Vacancy</t>
  </si>
  <si>
    <t>- Credit Loss (i.e. Bad Debt)</t>
  </si>
  <si>
    <t>Broke out Credit Loss (i.e. Bad Debt) from General Vacancy</t>
  </si>
  <si>
    <t>Added Rent/SF and Rent/Unit for Total Effective Rental Income on Underwriting tab</t>
  </si>
  <si>
    <t>TOTAL EFFECTIVE RENTAL INCOME</t>
  </si>
  <si>
    <t>beta v0.3</t>
  </si>
  <si>
    <t>AdventuresinCRE.com and its affiliates do not provide tax, legal, investment, or accounting advice. This material has been prepared for informational purposes only, and is not intended to provide, and should not be relied on for, tax, legal or accounting advice. You should consult your own tax, legal and accounting advisors before engaging in any transaction. This model may contains errors. Verify all calculations being using this model to make investment decisions.</t>
  </si>
  <si>
    <t xml:space="preserve">LEARN TO BUILD INSTITUTIONAL-QUALITY REAL ESTATE MODELS FROM SCRATCH
- CLICK HERE TO LEARN MORE - </t>
  </si>
  <si>
    <t>Disclaimer: This model may contain errors</t>
  </si>
  <si>
    <t>Annual Report:</t>
  </si>
  <si>
    <t>Show</t>
  </si>
  <si>
    <t>Hide</t>
  </si>
  <si>
    <t>Added new 'Annual Cash Flow' report tab</t>
  </si>
  <si>
    <t>Incudes toggle on 'Summary' tab in row 34</t>
  </si>
  <si>
    <t>All return metrics are still calculated on a monthly, not annual, basis</t>
  </si>
  <si>
    <t>- GP Fees</t>
  </si>
  <si>
    <t xml:space="preserve">Includes two new macros that hide/show the 'Annual Cash Flow' tab and toggle the Hide/Show buttons </t>
  </si>
  <si>
    <t>Includes summary cash flow report, with monthly cash flows rolled up to annual periods, on the 'Annual Cash Flow' tab</t>
  </si>
  <si>
    <t>ANNUAL CASH FLOW</t>
  </si>
  <si>
    <t>TOTAL PROJECT COST BEFORE FINANCING</t>
  </si>
  <si>
    <t>Carry Costs</t>
  </si>
  <si>
    <t>TOTAL PROJECT COST</t>
  </si>
  <si>
    <t>ANNUAL OPERATING CASH FLOWS</t>
  </si>
  <si>
    <t>Rental Income</t>
  </si>
  <si>
    <t>ANNUAL PROPERTY-LEVEL CASH FLOWS</t>
  </si>
  <si>
    <t>Total Project Cost (Before Carry Costs)</t>
  </si>
  <si>
    <t>Total Loan Draws</t>
  </si>
  <si>
    <t>Updated header in 'Returns' section to make dates/months dynamic to hold period</t>
  </si>
  <si>
    <t>MONTHLY OPERATING CASH FLOWS</t>
  </si>
  <si>
    <t>MONTHLY PROPERTY-LEVEL CASH FLOWS</t>
  </si>
  <si>
    <t>ANNUAL INVESTMENT CASH FLOWS</t>
  </si>
  <si>
    <t>Total Financing Cost (Before Lease-up Income)</t>
  </si>
  <si>
    <t>MONTHLY INVESTMENT CASH FLOWS</t>
  </si>
  <si>
    <t>beta v0.31</t>
  </si>
  <si>
    <t>Changed ROI output on Summary tab to ROI/Yr</t>
  </si>
  <si>
    <t>ROI/Yr</t>
  </si>
  <si>
    <t>Added Mill Rate output under Reversion section of Underwriting tab</t>
  </si>
  <si>
    <t>Sale</t>
  </si>
  <si>
    <t>Note: Growth is assumed to begin month 13</t>
  </si>
  <si>
    <t>Revised growth calculation formulas such that growth year 1 begins in month 1 rather than month 13</t>
  </si>
  <si>
    <t>Forcing growth assumptions to start year 2, such that no growth is assumed in year 1 (i.e. set Growth Year 1 to black font cells)</t>
  </si>
  <si>
    <t>Added note below growth assumptions on 'Underwriting' tab clarify that growth begins month 13</t>
  </si>
  <si>
    <t>Fixed issue where Post-Renovation operating expenses were not growing per the correct assumptions</t>
  </si>
  <si>
    <t>beta v0.32</t>
  </si>
  <si>
    <t>beta v0.4</t>
  </si>
  <si>
    <t xml:space="preserve"># of Acquisition </t>
  </si>
  <si>
    <t># of Hard</t>
  </si>
  <si>
    <t># of Soft</t>
  </si>
  <si>
    <t>Now includes Add/Delete buttons above Acquisition, Hard, and Soft cost sections of budget</t>
  </si>
  <si>
    <t>Wrote VBA macros to add and delete line items</t>
  </si>
  <si>
    <t>Budget sections must contain at least two items (three for Soft costs)</t>
  </si>
  <si>
    <t>Added option to automatically add/delete project budget line items</t>
  </si>
  <si>
    <t>BASIC</t>
  </si>
  <si>
    <t>DETAILED</t>
  </si>
  <si>
    <t>Fixed issue where Management Fee assumptions disappeared when Vacancy was set to 'Detailed'</t>
  </si>
  <si>
    <t>Total Operating Expense</t>
  </si>
  <si>
    <t>Total Fixed Expenses</t>
  </si>
  <si>
    <t>$</t>
  </si>
  <si>
    <t>Other</t>
  </si>
  <si>
    <t>School District</t>
  </si>
  <si>
    <t>Value Adj.</t>
  </si>
  <si>
    <t>Value</t>
  </si>
  <si>
    <t>Prop &amp; casualty</t>
  </si>
  <si>
    <t>Personal property</t>
  </si>
  <si>
    <t>Liability</t>
  </si>
  <si>
    <t>(See Underwriting Tab)</t>
  </si>
  <si>
    <t>Management Fee Percentage</t>
  </si>
  <si>
    <t>Total Controllable Expenses</t>
  </si>
  <si>
    <t>Turnover Assumption</t>
  </si>
  <si>
    <t>Make Ready per Unit</t>
  </si>
  <si>
    <t>Snow Removal Service</t>
  </si>
  <si>
    <t>HOA Management</t>
  </si>
  <si>
    <t>Elevator Service</t>
  </si>
  <si>
    <t>Alarm Monitoring</t>
  </si>
  <si>
    <t>Trash removal recovery</t>
  </si>
  <si>
    <t>Trash removal</t>
  </si>
  <si>
    <t>Natural gas recovery</t>
  </si>
  <si>
    <t>Natural gas</t>
  </si>
  <si>
    <t>Water and sewer-recovery</t>
  </si>
  <si>
    <t>Water and sewer-apartments</t>
  </si>
  <si>
    <t>Water and sewer-house</t>
  </si>
  <si>
    <t>Electricity-recovery</t>
  </si>
  <si>
    <t>Electricity-models</t>
  </si>
  <si>
    <t>Electricity-vacant apartments</t>
  </si>
  <si>
    <t>Electricity-common areas</t>
  </si>
  <si>
    <t>Media</t>
  </si>
  <si>
    <t>Brochures</t>
  </si>
  <si>
    <t>Apartment locator fees</t>
  </si>
  <si>
    <t>Web site, etc.</t>
  </si>
  <si>
    <t xml:space="preserve">Promotion / Common area programming </t>
  </si>
  <si>
    <t>HOA Dues</t>
  </si>
  <si>
    <t>Employee training</t>
  </si>
  <si>
    <t>Professional fees</t>
  </si>
  <si>
    <t>Travel</t>
  </si>
  <si>
    <t>Uniforms</t>
  </si>
  <si>
    <t>Permits &amp; inspection</t>
  </si>
  <si>
    <t>Office equipment</t>
  </si>
  <si>
    <t>Computers</t>
  </si>
  <si>
    <t>Telephone</t>
  </si>
  <si>
    <t>Office supplies</t>
  </si>
  <si>
    <t>Bonuses</t>
  </si>
  <si>
    <t>Benefits, taxes, etc.</t>
  </si>
  <si>
    <t>Sub-total</t>
  </si>
  <si>
    <t>Housekeeper</t>
  </si>
  <si>
    <t>Porter</t>
  </si>
  <si>
    <t>Painter</t>
  </si>
  <si>
    <t>Asst. maint. Technician</t>
  </si>
  <si>
    <t>Maintenance supervisor</t>
  </si>
  <si>
    <t>Concierge</t>
  </si>
  <si>
    <t>Leasing agent</t>
  </si>
  <si>
    <t>Leasing director</t>
  </si>
  <si>
    <t>Assistant manager</t>
  </si>
  <si>
    <t>Business manager</t>
  </si>
  <si>
    <t>Salary</t>
  </si>
  <si>
    <t>Qty</t>
  </si>
  <si>
    <t>Exterminating</t>
  </si>
  <si>
    <t>Pool maintenance</t>
  </si>
  <si>
    <t>Landscaping materials</t>
  </si>
  <si>
    <t>Landscaping maintenance</t>
  </si>
  <si>
    <t>Landscaping</t>
  </si>
  <si>
    <t>Painting</t>
  </si>
  <si>
    <t>General repair</t>
  </si>
  <si>
    <t>Cleaning supplies</t>
  </si>
  <si>
    <t>General cleaning</t>
  </si>
  <si>
    <t>R &amp; M-Apartments</t>
  </si>
  <si>
    <t>Furniture</t>
  </si>
  <si>
    <t>Elevators</t>
  </si>
  <si>
    <t>Maintenance supplies</t>
  </si>
  <si>
    <t>General maintenance</t>
  </si>
  <si>
    <t>R&amp;M General</t>
  </si>
  <si>
    <t>EXPENSES - DETAILED UNDERWRITING</t>
  </si>
  <si>
    <t>DETAILED OPERATING EXPENSES</t>
  </si>
  <si>
    <t>CONTROLLABLE EXPENSES - PRE RENOVATION</t>
  </si>
  <si>
    <t>CONTROLLABLE EXPENSES - POST RENOVATION</t>
  </si>
  <si>
    <t>FIXED EXPENSES - PRE RENOVATION</t>
  </si>
  <si>
    <t>FIXED EXPENSES - POST RENOVATION</t>
  </si>
  <si>
    <t>REPAIRS AND MAINTENANCE</t>
  </si>
  <si>
    <t>Sub-Total R&amp;M General</t>
  </si>
  <si>
    <t>Sub-Total R &amp; M-Apartments</t>
  </si>
  <si>
    <t>Sub-Total Landscaping</t>
  </si>
  <si>
    <t>Total Repairs And Maintenance Cost</t>
  </si>
  <si>
    <t>PAYROLL</t>
  </si>
  <si>
    <t>Total Payroll Cost</t>
  </si>
  <si>
    <t>GENERAL &amp; ADMINISTRATIVE</t>
  </si>
  <si>
    <t>Total General &amp; Administrative Cost</t>
  </si>
  <si>
    <t>MARKETING</t>
  </si>
  <si>
    <t>Total Marketing Cost</t>
  </si>
  <si>
    <t>UTILITIES</t>
  </si>
  <si>
    <t>Total Utilities Cost</t>
  </si>
  <si>
    <t>CONTRACT SERVICES</t>
  </si>
  <si>
    <t>Total Contract Services Cost</t>
  </si>
  <si>
    <t>MAKE READY COST</t>
  </si>
  <si>
    <t>Total Make Ready Cost Cost</t>
  </si>
  <si>
    <t>MANAGEMENT FEE</t>
  </si>
  <si>
    <t>Total Management Fee Cost</t>
  </si>
  <si>
    <t>INSURANCE</t>
  </si>
  <si>
    <t>Total Insurance Cost</t>
  </si>
  <si>
    <t>PROPERTY TAXES</t>
  </si>
  <si>
    <t>Total Property Taxes Cost</t>
  </si>
  <si>
    <t>In-Place Value:</t>
  </si>
  <si>
    <t>Stabilized Value:</t>
  </si>
  <si>
    <t>Pre-Reno Expense Ratio:</t>
  </si>
  <si>
    <t>Post-Reno Expense Ratio:</t>
  </si>
  <si>
    <t>Added Detailed Operating Expense module</t>
  </si>
  <si>
    <t>Built 'Detail Expense' tab with Pre-Renovation and Post-Renovation assumptions</t>
  </si>
  <si>
    <t>Created toggle buttons in row 125 to switch between Basic and Detailed operating expense underwriting</t>
  </si>
  <si>
    <t>Wrote macro so that 'Detail Expense' tab appears when toggle is set to 'Detailed'</t>
  </si>
  <si>
    <t>Wrote macro to link assumptions on Underwriting tab to assumptions on Detail Expense tab when 'Detailed' is toggled</t>
  </si>
  <si>
    <t>OPERATING HISTORY VS. UNDERWRITING</t>
  </si>
  <si>
    <t>Added 'Operating History Vs. Underwriting' analysis section to Detail Expenses</t>
  </si>
  <si>
    <t>Misc. formatting fixes and enhancements</t>
  </si>
  <si>
    <t>beta v0.5</t>
  </si>
  <si>
    <t>Fixed issue where contributions from equity was not properly covering operating shortfall in waterfall calculation</t>
  </si>
  <si>
    <t>Fixed debt yield calculation in 'Subsequent Financing' section</t>
  </si>
  <si>
    <t>Asset Management Fee</t>
  </si>
  <si>
    <t>Added option to model Asset Management Fees as either '% of EGR' or as '% of LP Equity' (cell F221 on Underwriting tab)</t>
  </si>
  <si>
    <t>Created 'Fixed Roll to Market %' metric for each unit type to fix issue related to lease-up rent not calculating properly</t>
  </si>
  <si>
    <t>Minor update to how 'Non-Revenue Model Units' Pre-Reno amount is calculated in In-Place pro forma</t>
  </si>
  <si>
    <t>Added year built and year renovated to Investment Description Section</t>
  </si>
  <si>
    <t>Year Built</t>
  </si>
  <si>
    <t>Year Renovated</t>
  </si>
  <si>
    <t>/SF</t>
  </si>
  <si>
    <t>Inserted new rows on the Underwriting tab (200 and 201), which calculate value on a /unit and /SF basis</t>
  </si>
  <si>
    <t>v0.6</t>
  </si>
  <si>
    <t>Removed beta label</t>
  </si>
  <si>
    <t>Acquisition Fee</t>
  </si>
  <si>
    <t>Disposition Fee</t>
  </si>
  <si>
    <t>of 'Total Acquisition Cost'</t>
  </si>
  <si>
    <t>of Gross Sale Proceeds</t>
  </si>
  <si>
    <t>Total GP Fees</t>
  </si>
  <si>
    <t>GP FEES</t>
  </si>
  <si>
    <t>Asset Management</t>
  </si>
  <si>
    <t>Include in Analysis?</t>
  </si>
  <si>
    <t>GP Fees (Asset Mgmt, Acquisition, Disposition)</t>
  </si>
  <si>
    <t>Created 'GP Fees' module</t>
  </si>
  <si>
    <t>Includes more robust Asset Management fee calculation</t>
  </si>
  <si>
    <t>Ability to turn module off or on</t>
  </si>
  <si>
    <t>Acquisition fee option added</t>
  </si>
  <si>
    <t>Disposition fee option added</t>
  </si>
  <si>
    <t>Recorded short video showing GP Fee module capabilities</t>
  </si>
  <si>
    <t>Moved Sale Date (i.e Analysis End Date) assumption from 'Investment Description' section (J18) to 'Reversion Cash Flow' section (D159)</t>
  </si>
  <si>
    <t xml:space="preserve"> </t>
  </si>
  <si>
    <t>v0.7</t>
  </si>
  <si>
    <t>Schedule</t>
  </si>
  <si>
    <t>Units Renovated</t>
  </si>
  <si>
    <t>- Downtime Vacancy (Renovation)</t>
  </si>
  <si>
    <t>Updated 'Add_Item_Hard_Costs' and 'Add_Item_Soft_Costs' macros to default forecast method to 'Schedule'</t>
  </si>
  <si>
    <t>Added 'Schedule' drop-down option under forecast method for Hard and Soft Cost line items (G30:G42)</t>
  </si>
  <si>
    <t>New Renovation Schedule Hard and Soft Cost forecasting module</t>
  </si>
  <si>
    <t>Month</t>
  </si>
  <si>
    <t>New Downtime-Due-to-Renovation module</t>
  </si>
  <si>
    <t>Added 'Downtime Vacancy (Renovation)' line that takes one month vacancy on units under renovation in that period</t>
  </si>
  <si>
    <t>% of Month</t>
  </si>
  <si>
    <t>Added '% of Month' assumption to 'Downtime Vacancy' line; 100% = one month vacancy/renovation</t>
  </si>
  <si>
    <t>Removed 'Error Check' of OpSt line items, as the checks were throwing off false negatives and are no longer necessary</t>
  </si>
  <si>
    <t>Fixed error where 'Bad Debt' line item had not been appearing in the 'Reversion (Sale) Cash Flow' section</t>
  </si>
  <si>
    <t>% of LP Equity</t>
  </si>
  <si>
    <t>Added header labels to valuation matrix on Summary tab</t>
  </si>
  <si>
    <t>Misc. formatting updates and enhancements</t>
  </si>
  <si>
    <t>v0.71</t>
  </si>
  <si>
    <t>Fixed issue where setting all units to renovated caused the model to error out</t>
  </si>
  <si>
    <t>Fixed issue where setting renovation period to one month caused the model to error out</t>
  </si>
  <si>
    <t>v0.72</t>
  </si>
  <si>
    <t>Renamed cell B175 to 'General Vacancy'</t>
  </si>
  <si>
    <t>Standard</t>
  </si>
  <si>
    <t>Added 'Stabilization Month' output to Investment Description section of Underwriting tab</t>
  </si>
  <si>
    <t>Moved 'Sale Month' output to row 19 of Underwriting tab</t>
  </si>
  <si>
    <t>Equity Invested at Stabilization</t>
  </si>
  <si>
    <t>Fixed Cash-on-cash Return calculation (J26:K26 on the Summary tab) to account for scenarios with cash-out refinance</t>
  </si>
  <si>
    <t>Misc. formatting updates</t>
  </si>
  <si>
    <t>v0.80</t>
  </si>
  <si>
    <t>Set default analysis period to 120 when 'REFI' option selected</t>
  </si>
  <si>
    <t>Analysis Start:</t>
  </si>
  <si>
    <t>Analysis Period:</t>
  </si>
  <si>
    <t>Added 'Analysis Start' and 'Analysis Period' outputs in frozen rows at top</t>
  </si>
  <si>
    <t>Moved default header to below frozen rows</t>
  </si>
  <si>
    <t>Fixed blue header on Partnership Cash Flow section to match other sections</t>
  </si>
  <si>
    <t>- Selling Costs</t>
  </si>
  <si>
    <t>Equity Proceeds</t>
  </si>
  <si>
    <t>Added labels next to Reversion Cash Flows (rows 199:203)</t>
  </si>
  <si>
    <t>Exit Fee</t>
  </si>
  <si>
    <t>Added option to model debt 'Exit Fee' in the initial financing</t>
  </si>
  <si>
    <t>Now includes 'Exit Fee' assumption in cells E65 and E66 of Underwriting tab</t>
  </si>
  <si>
    <t>Formula in rows 78 and 79 of Underwriting tab modified to include Exit Fee</t>
  </si>
  <si>
    <t>Fixed Rate</t>
  </si>
  <si>
    <t>Spread</t>
  </si>
  <si>
    <t>Download Forward Curve:</t>
  </si>
  <si>
    <t>https://www.chathamfinancial.com/technology/us-forward-curves</t>
  </si>
  <si>
    <t>Enhanced Variable Rate Module</t>
  </si>
  <si>
    <t>Added Forward Curve input</t>
  </si>
  <si>
    <t>Added Spread input</t>
  </si>
  <si>
    <t>Created 'Annual Rate' logic, which takes Forward Curve + Spread to arrive at rate by period</t>
  </si>
  <si>
    <t>Inserted link to Forward Curve data</t>
  </si>
  <si>
    <t>Misc. formatting enhancements</t>
  </si>
  <si>
    <t>v0.81</t>
  </si>
  <si>
    <t>Fixed issued with Debt Service payment when interest rate is Fixed</t>
  </si>
  <si>
    <t>v0.82</t>
  </si>
  <si>
    <t>Fixed issued with Loan Balance caused by update to 'Variable Rate Module' in v0.80</t>
  </si>
  <si>
    <t>v0.83</t>
  </si>
  <si>
    <t>Pre-Renovation Operating Expenses (Annual/Unit by Month)</t>
  </si>
  <si>
    <t xml:space="preserve">Added a note that Pre-Renovation Operating Expenses are calculated as an Annual Amount/Unit, but then broken out monthly (Underwriting cell ER127) </t>
  </si>
  <si>
    <t>Fixed Error Check formula starting in Underwriting cell EX219</t>
  </si>
  <si>
    <t>Inc. GP Fees</t>
  </si>
  <si>
    <t>Const. Mgmt</t>
  </si>
  <si>
    <t>Renamed GP Fee in Soft Costs Const. Mgmt to denote that the fee does not flow to partnership waterfall</t>
  </si>
  <si>
    <t>Total Project Cost (With Financing, but excluding Operating Shortfall which is already included in CFAF)</t>
  </si>
  <si>
    <t>Click for details</t>
  </si>
  <si>
    <t>Added note next to Equity + GP Fee section linking to cash flow calculation</t>
  </si>
  <si>
    <t>v0.84</t>
  </si>
  <si>
    <t>Fixed error check formula in cells M78:M80; formula wasn't calculating correctly with debt Exit Fee was used</t>
  </si>
  <si>
    <t>Investment Type</t>
  </si>
  <si>
    <t>Added 'Investment Type' output (Summary E6 and Underwriting K102) that calculates whether an investment is 'Stabilized' (i.e. no renovation planned) or 'Value-Add' (i.e. renovation planned)</t>
  </si>
  <si>
    <t>Misc. updates to placeholder assumptions and formatting</t>
  </si>
  <si>
    <t>v0.841</t>
  </si>
  <si>
    <t>Fixed DSCR and Debt Yield formulas for secondary financing (cells D91:E92)</t>
  </si>
  <si>
    <t>v0.85</t>
  </si>
  <si>
    <t># of Units</t>
  </si>
  <si>
    <t># of Other Income</t>
  </si>
  <si>
    <t>Wrote two new macros: Add_Unit_Type and Delete_Unit_Type</t>
  </si>
  <si>
    <t>Added buttons above Unit Mix table to add or delete unit types</t>
  </si>
  <si>
    <t>Created 'Add Unit Type' and 'Delete Unit Type' functionality; Add unlimited unit types and delete all but two of the unit types</t>
  </si>
  <si>
    <t>Created 'Add Other Income' and 'Delete Other Income' functionality; Add unlimited Other Income line items and delete all but two of the Other Income line items</t>
  </si>
  <si>
    <t>Wrote two new macros: Add_Other_Income and Delete_Other_Income</t>
  </si>
  <si>
    <t>Added buttons above Other Income section to add or delete Other Income line items</t>
  </si>
  <si>
    <t>Created new named ranges (Rel_Other_Income and Items_Other_Income)</t>
  </si>
  <si>
    <t>Created new named ranges (Rel_Unit_Type and Items_Unit_Type)</t>
  </si>
  <si>
    <t>Lender Reserves</t>
  </si>
  <si>
    <t>Released</t>
  </si>
  <si>
    <t>% Released</t>
  </si>
  <si>
    <t>Lender Reserve</t>
  </si>
  <si>
    <t>Added 'Lender Reserve' module</t>
  </si>
  <si>
    <t>Lender Reserve Release</t>
  </si>
  <si>
    <t>Inserted 'Lender Reserve' line to Investment Cash Flows (row 47); enter forecast method, amount, when the reserve will be released, and what % will be released</t>
  </si>
  <si>
    <t>Inserted 'Lender Reserve Release' line to Property-level Cash Flow section (row 220); reserve is returned (i.e. released) to owner via this line</t>
  </si>
  <si>
    <t>Fixed an issue where Year 6 growth rates were not being used in analysis (year 5 were used for all remaining years)</t>
  </si>
  <si>
    <t>v0.851</t>
  </si>
  <si>
    <t>Fixed issue where Other Income Add/Delete buttons were mapped to the wrong macro</t>
  </si>
  <si>
    <t>v0.86</t>
  </si>
  <si>
    <t>REFINANCE OUTCOME</t>
  </si>
  <si>
    <t>% of Total</t>
  </si>
  <si>
    <t>Total Equity Deployed (inc. GP Fees)</t>
  </si>
  <si>
    <t>Added 'Refinance Outcome' section to Subsequent Financing section</t>
  </si>
  <si>
    <t>Includes 'Equity Returned' amount and % of total</t>
  </si>
  <si>
    <t>Includes 'Equity Still Invested' amount and % of total</t>
  </si>
  <si>
    <t>Equity Returned at Refinance (Inc. GP Fees)</t>
  </si>
  <si>
    <t>Equity Still Invested at Refinance (Inc. GP Fees)</t>
  </si>
  <si>
    <t>Changed cells J93:J94 (Subsequent Financing Funding month) to an output, given that the Funding month is driven by the initial loans' payoff month</t>
  </si>
  <si>
    <t>Updated formula that calculates placeholder initial Loan Term (F76:F77) to be dynamic to Refi vs. Sell selection</t>
  </si>
  <si>
    <t>v0.87</t>
  </si>
  <si>
    <t>Updated 'Add_Other_Income ()' macro to insert an Other Income line item under the 'Pro Forma (Trended)' section of the Reversion Cash Flow section</t>
  </si>
  <si>
    <t>Updated 'Delete_Other_Income ()' macro to remove an Other Income line item under the 'Pro Forma (Trended)' section of the Reversion Cash Flow section</t>
  </si>
  <si>
    <t>[List Weakness #2]</t>
  </si>
  <si>
    <t>[List Weakness #3]</t>
  </si>
  <si>
    <t>[List Weakness #4]</t>
  </si>
  <si>
    <t>Fixed placeholder values under 'Weaknesses' list on Summary tab</t>
  </si>
  <si>
    <t>v0.871</t>
  </si>
  <si>
    <t>Fixed issue where property tax growth was being pulled from OpEx growth input rather than property tax growth input</t>
  </si>
  <si>
    <t>Renamed the label 'Pre-Renovation Rent' to 'Current Rent'</t>
  </si>
  <si>
    <t>Current Rent</t>
  </si>
  <si>
    <t>Current</t>
  </si>
  <si>
    <t>Renamed all 'Pre-Reno' labels to 'Current'</t>
  </si>
  <si>
    <t>Minor changes to placeholder values</t>
  </si>
  <si>
    <t>v0.88</t>
  </si>
  <si>
    <t>v0.89</t>
  </si>
  <si>
    <t>Added logic to cells H254 and I254 to hand scenarios where the GP contributes 0% of equity</t>
  </si>
  <si>
    <t>Updated Data Validation for Loan Term to allow for a Loan Term beyond the Analysis Period length</t>
  </si>
  <si>
    <t>v0.90</t>
  </si>
  <si>
    <t>Fixed issue where Post-Reno property tax was being grown by the OpEx Growth assumption, not by the Property Tax Growth assumption</t>
  </si>
  <si>
    <t>Removed Management Fee line items from backend calculation to avoid confusion; the backend logic for Management Fee was not being used so this change has no impact on actual cash flows</t>
  </si>
  <si>
    <t>v0.91</t>
  </si>
  <si>
    <t>Deleted unnecessary GP Contributions lines from the backend waterfall calculations</t>
  </si>
  <si>
    <t>v0.92</t>
  </si>
  <si>
    <t>SF</t>
  </si>
  <si>
    <t>BACKEND</t>
  </si>
  <si>
    <t>Added 'Backend' section at bottom of Underwriting tab to house misc. backend calculations</t>
  </si>
  <si>
    <t>Unit of Measurement</t>
  </si>
  <si>
    <t>M2</t>
  </si>
  <si>
    <t>/M2</t>
  </si>
  <si>
    <t>Unit</t>
  </si>
  <si>
    <t>Bed</t>
  </si>
  <si>
    <t>Room</t>
  </si>
  <si>
    <t>Door</t>
  </si>
  <si>
    <t>Acres</t>
  </si>
  <si>
    <t>Hectares</t>
  </si>
  <si>
    <t>/NRA</t>
  </si>
  <si>
    <t>Total Equity (Before GP Fees)</t>
  </si>
  <si>
    <t>Changed label in cell B64 of the Underwriting tab to Total Equity (Before GP Fees)</t>
  </si>
  <si>
    <t>Month(s)</t>
  </si>
  <si>
    <t>% of TPI</t>
  </si>
  <si>
    <t>TOTAL POTENTIAL INCOME (TPI)</t>
  </si>
  <si>
    <t>Post-Renovation Income</t>
  </si>
  <si>
    <t>Post-Renovation Expenses</t>
  </si>
  <si>
    <t>% of EGR</t>
  </si>
  <si>
    <t>EFFECTIVE GROSS REVENUE (EGR)</t>
  </si>
  <si>
    <t>Numerous changes to labels throughout to accommodate multiple unit and measurement types</t>
  </si>
  <si>
    <t>Option to toggle between Metric (Meters) and Imperial (Feet) unit of measurement; see cell F7 on Underwriting tab</t>
  </si>
  <si>
    <t>Option to toggle between Units, Beds, Rooms, and Doors for use with compatible property types (e.g. student housing, senior housing); see cell G7 on Underwriting tab</t>
  </si>
  <si>
    <t>Added module to accommodate more than one unit and measurement type</t>
  </si>
  <si>
    <t>LP annual average total return</t>
  </si>
  <si>
    <t>Graph showing LP returns over time</t>
  </si>
  <si>
    <t>Include gross vs net returns</t>
  </si>
  <si>
    <t>v0.93</t>
  </si>
  <si>
    <t>Net Returns</t>
  </si>
  <si>
    <t xml:space="preserve">LP EMx </t>
  </si>
  <si>
    <t>LP IRR</t>
  </si>
  <si>
    <t>PROPERTY RETURNS (GROSS RETURNS)</t>
  </si>
  <si>
    <t xml:space="preserve">Net EMx </t>
  </si>
  <si>
    <t>Net IRR</t>
  </si>
  <si>
    <t xml:space="preserve">GP EMx </t>
  </si>
  <si>
    <t>GP IRR</t>
  </si>
  <si>
    <t>PARTNERSHIP RETURNS*</t>
  </si>
  <si>
    <t>Created Data Table on Underwriting tab to calculate Net Returns in all scenarios</t>
  </si>
  <si>
    <t>Updated labels on Summary tab to refer to Gross vs Net returns</t>
  </si>
  <si>
    <t>Unlevered (before GP Fees)</t>
  </si>
  <si>
    <t>Levered (before GP fees)</t>
  </si>
  <si>
    <t>*Inclusive (i.e. net) of GP fees and promote</t>
  </si>
  <si>
    <t>Updated labels on Underwriting tab to refer to Gross returns</t>
  </si>
  <si>
    <t>GROSS EQUITY MULTIPLE</t>
  </si>
  <si>
    <t>GROSS IRR</t>
  </si>
  <si>
    <r>
      <t xml:space="preserve">Note: </t>
    </r>
    <r>
      <rPr>
        <i/>
        <sz val="10"/>
        <color theme="1"/>
        <rFont val="Tw Cen MT"/>
        <family val="2"/>
      </rPr>
      <t>Gross</t>
    </r>
    <r>
      <rPr>
        <sz val="10"/>
        <color theme="1"/>
        <rFont val="Tw Cen MT"/>
        <family val="2"/>
        <scheme val="minor"/>
      </rPr>
      <t xml:space="preserve"> refers to returns BEFORE GP fees and promote; </t>
    </r>
    <r>
      <rPr>
        <i/>
        <sz val="10"/>
        <color theme="1"/>
        <rFont val="Tw Cen MT"/>
        <family val="2"/>
        <scheme val="minor"/>
      </rPr>
      <t>Net</t>
    </r>
    <r>
      <rPr>
        <sz val="10"/>
        <color theme="1"/>
        <rFont val="Tw Cen MT"/>
        <family val="2"/>
        <scheme val="minor"/>
      </rPr>
      <t xml:space="preserve"> refers to returns AFTER GP fees and promote</t>
    </r>
  </si>
  <si>
    <t>Added Net vs Gross Returns concept to the model</t>
  </si>
  <si>
    <t>Fixed issue where Vacancy and Credit Loss result on Summary tab only linked to the Vacancy value</t>
  </si>
  <si>
    <t>Pre-Renovated Income</t>
  </si>
  <si>
    <t>Pre-Renovated Expenses</t>
  </si>
  <si>
    <t>Renamed 'Current Income' and 'Current Expenses' back to 'Pre-Renovation Income/Expenses' since the change had created greater confusion than it had fixed</t>
  </si>
  <si>
    <t>Added a Note to the 'Pre-Renovation Income' and 'Pre-Renovation Expenses' label cells to provide further clarification</t>
  </si>
  <si>
    <t>Avg. Annual Return</t>
  </si>
  <si>
    <t>Calculated the LP and GP annual average rate of return in cells G254:G255 on the Underwriting tab; ROI/Yr on the Summary tab is synonymous with Average Rate of Return</t>
  </si>
  <si>
    <t>Fixed issue where ROI/Yr calculation on the Summary tab was not annualized (was for the entire investment)</t>
  </si>
  <si>
    <t>Detailed Rent Roll analysis module</t>
  </si>
  <si>
    <t>Detailed in-place operating statement analysis module</t>
  </si>
  <si>
    <t>v0.94</t>
  </si>
  <si>
    <t>Updated yield curve (for variable rate loan option) to better reflect rapidly changing rate environment</t>
  </si>
  <si>
    <t>Variable Rate</t>
  </si>
  <si>
    <t>30-Day Term SOFR</t>
  </si>
  <si>
    <t>Renamed 'SOFR' to '30-Day Term SOFR'</t>
  </si>
  <si>
    <t>Added Unit Mix pie chart to Summary tab</t>
  </si>
  <si>
    <t>Misc. updates to placeholder values</t>
  </si>
  <si>
    <t>v0.941</t>
  </si>
  <si>
    <t>Modified to IRR calculations to account for certain edge cases</t>
  </si>
  <si>
    <t>Equity Contributed</t>
  </si>
  <si>
    <t>Modified Average Cash-on-Cash Return formula (D231 - Underwriting) to be weighted based on capital contributed</t>
  </si>
  <si>
    <t>Added line (row 232 - Underwriting) to track Total Equity Contributed by period (not equity outstanding)</t>
  </si>
  <si>
    <t>Having Issues with Macros? Click here to troubleshoot</t>
  </si>
  <si>
    <t>v0.95</t>
  </si>
  <si>
    <t>Fixed an edge case that would break the GP AUM Fee calculation</t>
  </si>
  <si>
    <t>Net Unlevered Cash Flow (property-level only)</t>
  </si>
  <si>
    <t>Net Levered Cash Flow (property-level only)</t>
  </si>
  <si>
    <t>Changed labels in B228 and B229; replaced 'Before GP Fees' to 'Property-Level Only' to clear up possible confusion</t>
  </si>
  <si>
    <t>Total Cost</t>
  </si>
  <si>
    <t>EGR</t>
  </si>
  <si>
    <t>% of Total Cost</t>
  </si>
  <si>
    <t>AUM Base Amount</t>
  </si>
  <si>
    <t>Added AUM Fee option to be calculated based on Total Project Cost (i.e. Gross Assets)</t>
  </si>
  <si>
    <t>Added link to Macro troubleshooting guide to Version tab</t>
  </si>
  <si>
    <t>New to A.CRE Models? Check out our Best Practices Guide</t>
  </si>
  <si>
    <t>v0.96</t>
  </si>
  <si>
    <t>Added link to A.CRE Best Practices in Real Estate Financial Modeling guide to the Versions tab</t>
  </si>
  <si>
    <t>Fixed Model Webpage link on the Verions tab</t>
  </si>
  <si>
    <t>Added note to Data Validation in Reserve Month input</t>
  </si>
  <si>
    <t>Detailed Credit Loss</t>
  </si>
  <si>
    <t>Added 'Detailed' Credit Loss calculation (toggle cell E132 to 'Detailed' and then see row 113)</t>
  </si>
  <si>
    <t>v0.961</t>
  </si>
  <si>
    <t>Assumption Notes (Click [+] / [-] above column O to open/close Notes section)</t>
  </si>
  <si>
    <t>Added 'Assumption Notes' section to Underwriting tab; open/close using the [+] / [-] button at the top of column O; use notes to support inputs on each row</t>
  </si>
  <si>
    <t>Included various placeholder notes for reference</t>
  </si>
  <si>
    <t>Misc. placeholder values and formatting updates</t>
  </si>
  <si>
    <t>Broker whisper price</t>
  </si>
  <si>
    <t>0.50% of purchase price</t>
  </si>
  <si>
    <t>15,000 per unit</t>
  </si>
  <si>
    <t>4% of hard costs</t>
  </si>
  <si>
    <t>1.5% of hard costs</t>
  </si>
  <si>
    <t>250 per unit</t>
  </si>
  <si>
    <t>Rebranding/Marketing</t>
  </si>
  <si>
    <t>New signage, marketing matierals, online advertising</t>
  </si>
  <si>
    <t>3% of hard and soft costs</t>
  </si>
  <si>
    <t>Year 1 estimate of tax, insurance, and CapEx reserves</t>
  </si>
  <si>
    <t>Approximately 0.50% of loan amount</t>
  </si>
  <si>
    <t>Per capital markets advisor guidance</t>
  </si>
  <si>
    <t>Per CoStar rent growth projections</t>
  </si>
  <si>
    <t>Long-term estimate of inflation</t>
  </si>
  <si>
    <t>In-place; per rent comp set</t>
  </si>
  <si>
    <t>T12; assuming burning off concessions post-renovation</t>
  </si>
  <si>
    <t>Two units used for models</t>
  </si>
  <si>
    <t>T12; improve collections to 77% of utility cost post-renovation</t>
  </si>
  <si>
    <t>T12 Other Income ~1.6% of TPI, assuming approximately the same post-renovation</t>
  </si>
  <si>
    <t>Add 30 premium parking stall at 100/stall/mo</t>
  </si>
  <si>
    <t>Per submarket long-term average</t>
  </si>
  <si>
    <t>Per T12 and historicals</t>
  </si>
  <si>
    <t>Sizing to ~0.9% mill rate</t>
  </si>
  <si>
    <t>T12; consistent with expense comp set</t>
  </si>
  <si>
    <t>Per internal historicals</t>
  </si>
  <si>
    <t>Per sales comp set</t>
  </si>
  <si>
    <t>1.25% brokerage fee; 0.25% closing/legal costs</t>
  </si>
  <si>
    <t>F12 with no changes</t>
  </si>
  <si>
    <t>Estimate pending discussions with LP capital</t>
  </si>
  <si>
    <t>v0.962</t>
  </si>
  <si>
    <t>Fixed 'Data Validation' for IO input in Refi debt module</t>
  </si>
  <si>
    <t>Minor updates to placeholder values</t>
  </si>
  <si>
    <t>Fixed formula in cell E98 to use loan payoff rather than initial loan balance</t>
  </si>
  <si>
    <t>Updates to placeholder values for 2025</t>
  </si>
  <si>
    <t>v0.963</t>
  </si>
  <si>
    <t>Updated SOFR curve as of Mar 2025</t>
  </si>
  <si>
    <t>v0.964</t>
  </si>
  <si>
    <t>Updated Tier 1 GP Distributions formula (Cell FC223, Back-up Calculations) to exclude negative values during GP Catch-Up.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</si>
</sst>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2">
    <numFmt numFmtId="41" formatCode="_(* #,##0_);_(* \(#,##0\);_(* &quot;-&quot;_);_(@_)"/>
    <numFmt numFmtId="43" formatCode="_(* #,##0.00_);_(* \(#,##0.00\);_(* &quot;-&quot;??_);_(@_)"/>
    <numFmt numFmtId="164" formatCode="00000"/>
    <numFmt numFmtId="165" formatCode="mmm\-yyyy"/>
    <numFmt numFmtId="166" formatCode="&quot;Month&quot;\ 0"/>
    <numFmt numFmtId="167" formatCode="#,##0\ &quot;SF&quot;"/>
    <numFmt numFmtId="168" formatCode="#,##0.0"/>
    <numFmt numFmtId="169" formatCode="&quot;Year&quot;\ 0"/>
    <numFmt numFmtId="170" formatCode="0.0%"/>
    <numFmt numFmtId="171" formatCode="_(* #,##0_);_(* \(#,##0\);_(* &quot;-&quot;??_);_(@_)"/>
    <numFmt numFmtId="172" formatCode="0.0%\ &quot;LTC&quot;"/>
    <numFmt numFmtId="173" formatCode="0\ &quot;Months&quot;"/>
    <numFmt numFmtId="174" formatCode="&quot;Year&quot;\ 0&quot;+&quot;"/>
    <numFmt numFmtId="175" formatCode="0.0%\ &quot;EF&quot;"/>
    <numFmt numFmtId="176" formatCode="_(* #,##0.00_);_(* \(#,##0.00\);_(* &quot;-&quot;_);_(@_)"/>
    <numFmt numFmtId="177" formatCode="0\ &quot;unit(s)&quot;"/>
    <numFmt numFmtId="178" formatCode="&quot;+&quot;000"/>
    <numFmt numFmtId="179" formatCode="0\ &quot;month(s)&quot;"/>
    <numFmt numFmtId="180" formatCode="&quot;Growth Yr &quot;0"/>
    <numFmt numFmtId="181" formatCode="&quot;As of Mo. &quot;0"/>
    <numFmt numFmtId="182" formatCode="_(* #,##0.0_);_(* \(#,##0.0\);_(* &quot;-&quot;?_);_(@_)"/>
    <numFmt numFmtId="183" formatCode="0.00&quot;X&quot;"/>
    <numFmt numFmtId="184" formatCode="0.0\ &quot;bps&quot;"/>
    <numFmt numFmtId="185" formatCode="#,##0\ &quot;Units&quot;"/>
    <numFmt numFmtId="186" formatCode="0.00&quot;/Unit&quot;"/>
    <numFmt numFmtId="187" formatCode="0\ &quot;Bldg(s)&quot;"/>
    <numFmt numFmtId="188" formatCode="_(* #,##0.000000_);_(* \(#,##0.000000\);_(* &quot;-&quot;??????_);_(@_)"/>
    <numFmt numFmtId="189" formatCode="#,##0\ &quot;NRA&quot;"/>
    <numFmt numFmtId="190" formatCode="0000"/>
    <numFmt numFmtId="191" formatCode="0\ &quot;bps&quot;"/>
    <numFmt numFmtId="192" formatCode="* #,##0.0%;* \(#,##0.0\)%;* &quot;   -&quot;?_)"/>
    <numFmt numFmtId="193" formatCode="#,##0\ &quot;GBA&quot;"/>
  </numFmts>
  <fonts count="80" x14ac:knownFonts="1">
    <font>
      <sz val="11"/>
      <color theme="1"/>
      <name val="Tw Cen MT"/>
      <family val="2"/>
      <scheme val="minor"/>
    </font>
    <font>
      <b/>
      <sz val="11"/>
      <color theme="1"/>
      <name val="Tw Cen MT"/>
      <family val="2"/>
      <scheme val="minor"/>
    </font>
    <font>
      <sz val="10"/>
      <color theme="1"/>
      <name val="Tw Cen MT"/>
      <family val="2"/>
      <scheme val="minor"/>
    </font>
    <font>
      <sz val="8"/>
      <color theme="1"/>
      <name val="Tw Cen MT"/>
      <family val="2"/>
      <scheme val="minor"/>
    </font>
    <font>
      <b/>
      <u/>
      <sz val="10"/>
      <color theme="1"/>
      <name val="Tw Cen MT"/>
      <family val="2"/>
      <scheme val="minor"/>
    </font>
    <font>
      <sz val="9"/>
      <color theme="1"/>
      <name val="Tw Cen MT"/>
      <family val="2"/>
      <scheme val="minor"/>
    </font>
    <font>
      <u/>
      <sz val="11"/>
      <color theme="10"/>
      <name val="Tw Cen MT"/>
      <family val="2"/>
      <scheme val="minor"/>
    </font>
    <font>
      <sz val="9"/>
      <name val="Tw Cen MT"/>
      <family val="2"/>
      <scheme val="minor"/>
    </font>
    <font>
      <sz val="9"/>
      <color indexed="12"/>
      <name val="Tw Cen MT"/>
      <family val="2"/>
      <scheme val="minor"/>
    </font>
    <font>
      <sz val="10"/>
      <color indexed="12"/>
      <name val="Tw Cen MT"/>
      <family val="2"/>
      <scheme val="minor"/>
    </font>
    <font>
      <sz val="10"/>
      <name val="Tw Cen MT"/>
      <family val="2"/>
      <scheme val="minor"/>
    </font>
    <font>
      <u/>
      <sz val="9"/>
      <color theme="1"/>
      <name val="Tw Cen MT"/>
      <family val="2"/>
      <scheme val="minor"/>
    </font>
    <font>
      <u/>
      <sz val="10"/>
      <color theme="1"/>
      <name val="Tw Cen MT"/>
      <family val="2"/>
      <scheme val="minor"/>
    </font>
    <font>
      <u/>
      <sz val="10"/>
      <color indexed="12"/>
      <name val="Tw Cen MT"/>
      <family val="2"/>
      <scheme val="minor"/>
    </font>
    <font>
      <b/>
      <sz val="10"/>
      <name val="Tw Cen MT"/>
      <family val="2"/>
      <scheme val="minor"/>
    </font>
    <font>
      <b/>
      <sz val="9"/>
      <color theme="1"/>
      <name val="Tw Cen MT"/>
      <family val="2"/>
      <scheme val="minor"/>
    </font>
    <font>
      <u/>
      <sz val="10"/>
      <name val="Tw Cen MT"/>
      <family val="2"/>
      <scheme val="minor"/>
    </font>
    <font>
      <b/>
      <sz val="10"/>
      <color theme="1"/>
      <name val="Tw Cen MT"/>
      <family val="2"/>
      <scheme val="minor"/>
    </font>
    <font>
      <u val="singleAccounting"/>
      <sz val="10"/>
      <color theme="1"/>
      <name val="Tw Cen MT"/>
      <family val="2"/>
      <scheme val="minor"/>
    </font>
    <font>
      <i/>
      <u/>
      <sz val="9"/>
      <color theme="1"/>
      <name val="Tw Cen MT"/>
      <family val="2"/>
      <scheme val="minor"/>
    </font>
    <font>
      <i/>
      <sz val="9"/>
      <color theme="1"/>
      <name val="Tw Cen MT"/>
      <family val="2"/>
      <scheme val="minor"/>
    </font>
    <font>
      <u val="singleAccounting"/>
      <sz val="9"/>
      <name val="Tw Cen MT"/>
      <family val="2"/>
      <scheme val="minor"/>
    </font>
    <font>
      <b/>
      <i/>
      <sz val="9"/>
      <color theme="1"/>
      <name val="Tw Cen MT"/>
      <family val="2"/>
      <scheme val="minor"/>
    </font>
    <font>
      <u val="singleAccounting"/>
      <sz val="9"/>
      <color theme="1"/>
      <name val="Tw Cen MT"/>
      <family val="2"/>
      <scheme val="minor"/>
    </font>
    <font>
      <sz val="11"/>
      <color theme="0"/>
      <name val="Tw Cen MT"/>
      <family val="2"/>
      <scheme val="minor"/>
    </font>
    <font>
      <i/>
      <sz val="10"/>
      <color theme="1"/>
      <name val="Tw Cen MT"/>
      <family val="2"/>
      <scheme val="minor"/>
    </font>
    <font>
      <u val="singleAccounting"/>
      <sz val="10"/>
      <name val="Tw Cen MT"/>
      <family val="2"/>
      <scheme val="minor"/>
    </font>
    <font>
      <sz val="8"/>
      <color indexed="12"/>
      <name val="Tw Cen MT"/>
      <family val="2"/>
      <scheme val="minor"/>
    </font>
    <font>
      <b/>
      <u/>
      <sz val="9"/>
      <color theme="1"/>
      <name val="Tw Cen MT"/>
      <family val="2"/>
      <scheme val="minor"/>
    </font>
    <font>
      <u val="singleAccounting"/>
      <sz val="9"/>
      <color indexed="12"/>
      <name val="Tw Cen MT"/>
      <family val="2"/>
      <scheme val="minor"/>
    </font>
    <font>
      <u val="singleAccounting"/>
      <sz val="10"/>
      <color indexed="12"/>
      <name val="Tw Cen MT"/>
      <family val="2"/>
      <scheme val="minor"/>
    </font>
    <font>
      <sz val="8"/>
      <name val="Tw Cen MT"/>
      <family val="2"/>
      <scheme val="minor"/>
    </font>
    <font>
      <i/>
      <sz val="8"/>
      <color theme="1"/>
      <name val="Tw Cen MT"/>
      <family val="2"/>
      <scheme val="minor"/>
    </font>
    <font>
      <u val="singleAccounting"/>
      <sz val="8"/>
      <color theme="1"/>
      <name val="Tw Cen MT"/>
      <family val="2"/>
      <scheme val="minor"/>
    </font>
    <font>
      <u val="singleAccounting"/>
      <sz val="8"/>
      <color indexed="12"/>
      <name val="Tw Cen MT"/>
      <family val="2"/>
      <scheme val="minor"/>
    </font>
    <font>
      <b/>
      <sz val="8"/>
      <color theme="1"/>
      <name val="Tw Cen MT"/>
      <family val="2"/>
      <scheme val="minor"/>
    </font>
    <font>
      <b/>
      <sz val="11"/>
      <color theme="0"/>
      <name val="Tw Cen MT"/>
      <family val="2"/>
      <scheme val="minor"/>
    </font>
    <font>
      <u/>
      <sz val="8"/>
      <color theme="1"/>
      <name val="Tw Cen MT"/>
      <family val="2"/>
      <scheme val="minor"/>
    </font>
    <font>
      <sz val="9"/>
      <color theme="0"/>
      <name val="Tw Cen MT"/>
      <family val="2"/>
      <scheme val="minor"/>
    </font>
    <font>
      <b/>
      <sz val="11"/>
      <name val="Tw Cen MT"/>
      <family val="2"/>
      <scheme val="minor"/>
    </font>
    <font>
      <b/>
      <sz val="9"/>
      <name val="Tw Cen MT"/>
      <family val="2"/>
      <scheme val="minor"/>
    </font>
    <font>
      <b/>
      <sz val="8"/>
      <name val="Tw Cen MT"/>
      <family val="2"/>
      <scheme val="minor"/>
    </font>
    <font>
      <sz val="12"/>
      <color theme="0"/>
      <name val="Tw Cen MT"/>
      <family val="2"/>
      <scheme val="minor"/>
    </font>
    <font>
      <i/>
      <sz val="9"/>
      <color indexed="12"/>
      <name val="Tw Cen MT"/>
      <family val="2"/>
      <scheme val="minor"/>
    </font>
    <font>
      <sz val="9"/>
      <color rgb="FFFF9933"/>
      <name val="Tw Cen MT"/>
      <family val="2"/>
      <scheme val="minor"/>
    </font>
    <font>
      <b/>
      <sz val="12"/>
      <color theme="0"/>
      <name val="Tw Cen MT"/>
      <family val="2"/>
      <scheme val="minor"/>
    </font>
    <font>
      <sz val="8"/>
      <color theme="1" tint="0.34998626667073579"/>
      <name val="Tw Cen MT"/>
      <family val="2"/>
      <scheme val="minor"/>
    </font>
    <font>
      <u/>
      <sz val="8"/>
      <color theme="1" tint="0.34998626667073579"/>
      <name val="Tw Cen MT"/>
      <family val="2"/>
      <scheme val="minor"/>
    </font>
    <font>
      <u val="singleAccounting"/>
      <sz val="8"/>
      <color theme="1" tint="0.34998626667073579"/>
      <name val="Tw Cen MT"/>
      <family val="2"/>
      <scheme val="minor"/>
    </font>
    <font>
      <sz val="11"/>
      <color indexed="12"/>
      <name val="Tw Cen MT"/>
      <family val="2"/>
      <scheme val="minor"/>
    </font>
    <font>
      <sz val="11"/>
      <name val="Tw Cen MT"/>
      <family val="2"/>
      <scheme val="minor"/>
    </font>
    <font>
      <sz val="10"/>
      <color theme="0"/>
      <name val="Tw Cen MT"/>
      <family val="2"/>
      <scheme val="minor"/>
    </font>
    <font>
      <sz val="10"/>
      <color rgb="FFE6E6E6"/>
      <name val="Tw Cen MT"/>
      <family val="2"/>
      <scheme val="minor"/>
    </font>
    <font>
      <i/>
      <sz val="10"/>
      <color rgb="FFFF0000"/>
      <name val="Tw Cen MT"/>
      <family val="2"/>
      <scheme val="minor"/>
    </font>
    <font>
      <i/>
      <u val="singleAccounting"/>
      <sz val="8"/>
      <color theme="1"/>
      <name val="Tw Cen MT"/>
      <family val="2"/>
      <scheme val="minor"/>
    </font>
    <font>
      <strike/>
      <sz val="11"/>
      <color theme="1"/>
      <name val="Tw Cen MT"/>
      <family val="2"/>
      <scheme val="minor"/>
    </font>
    <font>
      <b/>
      <sz val="12"/>
      <color theme="1" tint="0.34998626667073579"/>
      <name val="Tw Cen MT"/>
      <family val="2"/>
      <scheme val="minor"/>
    </font>
    <font>
      <u/>
      <sz val="8"/>
      <name val="Tw Cen MT"/>
      <family val="2"/>
      <scheme val="minor"/>
    </font>
    <font>
      <i/>
      <sz val="10"/>
      <name val="Tw Cen MT"/>
      <family val="2"/>
      <scheme val="minor"/>
    </font>
    <font>
      <b/>
      <sz val="8"/>
      <color indexed="12"/>
      <name val="Tw Cen MT"/>
      <family val="2"/>
      <scheme val="minor"/>
    </font>
    <font>
      <u val="singleAccounting"/>
      <sz val="8"/>
      <name val="Tw Cen MT"/>
      <family val="2"/>
      <scheme val="minor"/>
    </font>
    <font>
      <sz val="8"/>
      <color indexed="17"/>
      <name val="Tw Cen MT"/>
      <family val="2"/>
      <scheme val="minor"/>
    </font>
    <font>
      <b/>
      <sz val="10"/>
      <color indexed="12"/>
      <name val="Tw Cen MT"/>
      <family val="2"/>
      <scheme val="minor"/>
    </font>
    <font>
      <b/>
      <sz val="10"/>
      <color theme="0"/>
      <name val="Tw Cen MT"/>
      <family val="2"/>
      <scheme val="minor"/>
    </font>
    <font>
      <u/>
      <sz val="8"/>
      <color indexed="12"/>
      <name val="Tw Cen MT"/>
      <family val="2"/>
      <scheme val="minor"/>
    </font>
    <font>
      <sz val="12"/>
      <name val="Tw Cen MT"/>
      <family val="2"/>
      <scheme val="minor"/>
    </font>
    <font>
      <sz val="8"/>
      <color theme="0"/>
      <name val="Tw Cen MT"/>
      <family val="2"/>
      <scheme val="minor"/>
    </font>
    <font>
      <i/>
      <sz val="9"/>
      <color rgb="FFFF0000"/>
      <name val="Tw Cen MT"/>
      <family val="2"/>
      <scheme val="minor"/>
    </font>
    <font>
      <sz val="10"/>
      <color rgb="FF0000FF"/>
      <name val="Tw Cen MT"/>
      <family val="2"/>
      <scheme val="minor"/>
    </font>
    <font>
      <i/>
      <sz val="9"/>
      <color rgb="FF0000FF"/>
      <name val="Tw Cen MT"/>
      <family val="2"/>
      <scheme val="minor"/>
    </font>
    <font>
      <u/>
      <sz val="9"/>
      <color rgb="FF0000FF"/>
      <name val="Tw Cen MT"/>
      <family val="2"/>
      <scheme val="minor"/>
    </font>
    <font>
      <sz val="9"/>
      <color rgb="FF0000FF"/>
      <name val="Tw Cen MT"/>
      <family val="2"/>
      <scheme val="minor"/>
    </font>
    <font>
      <sz val="9"/>
      <color rgb="FF000000"/>
      <name val="Tw Cen MT"/>
      <family val="2"/>
      <scheme val="minor"/>
    </font>
    <font>
      <i/>
      <u val="singleAccounting"/>
      <sz val="9"/>
      <color theme="1"/>
      <name val="Tw Cen MT"/>
      <family val="2"/>
      <scheme val="minor"/>
    </font>
    <font>
      <u/>
      <sz val="10"/>
      <color theme="10"/>
      <name val="Tw Cen MT"/>
      <family val="2"/>
      <scheme val="minor"/>
    </font>
    <font>
      <b/>
      <u/>
      <sz val="10"/>
      <name val="Tw Cen MT"/>
      <family val="2"/>
      <scheme val="minor"/>
    </font>
    <font>
      <sz val="10"/>
      <color rgb="FF000000"/>
      <name val="Tw Cen MT"/>
      <family val="2"/>
      <scheme val="minor"/>
    </font>
    <font>
      <i/>
      <u val="singleAccounting"/>
      <sz val="10"/>
      <color theme="1"/>
      <name val="Tw Cen MT"/>
      <family val="2"/>
      <scheme val="minor"/>
    </font>
    <font>
      <sz val="8"/>
      <color rgb="FF000000"/>
      <name val="Tw Cen MT"/>
      <family val="2"/>
      <scheme val="minor"/>
    </font>
    <font>
      <i/>
      <sz val="10"/>
      <color theme="1"/>
      <name val="Tw Cen MT"/>
      <family val="2"/>
    </font>
  </fonts>
  <fills count="13">
    <fill>
      <patternFill patternType="none"/>
    </fill>
    <fill>
      <patternFill patternType="gray125"/>
    </fill>
    <fill>
      <patternFill patternType="solid">
        <fgColor rgb="FFE6E6E6"/>
        <bgColor indexed="64"/>
      </patternFill>
    </fill>
    <fill>
      <patternFill patternType="solid">
        <fgColor theme="0" tint="-0.14999847407452621"/>
        <bgColor indexed="64"/>
      </patternFill>
    </fill>
    <fill>
      <patternFill patternType="solid">
        <fgColor theme="5"/>
        <bgColor indexed="64"/>
      </patternFill>
    </fill>
    <fill>
      <patternFill patternType="solid">
        <fgColor theme="5" tint="0.79998168889431442"/>
        <bgColor indexed="64"/>
      </patternFill>
    </fill>
    <fill>
      <patternFill patternType="solid">
        <fgColor theme="4" tint="0.79998168889431442"/>
        <bgColor indexed="64"/>
      </patternFill>
    </fill>
    <fill>
      <patternFill patternType="gray0625">
        <fgColor theme="1" tint="0.499984740745262"/>
        <bgColor indexed="65"/>
      </patternFill>
    </fill>
    <fill>
      <patternFill patternType="solid">
        <fgColor theme="0" tint="-0.249977111117893"/>
        <bgColor indexed="64"/>
      </patternFill>
    </fill>
    <fill>
      <patternFill patternType="solid">
        <fgColor theme="5" tint="0.59999389629810485"/>
        <bgColor indexed="64"/>
      </patternFill>
    </fill>
    <fill>
      <patternFill patternType="solid">
        <fgColor rgb="FFFFB606"/>
        <bgColor indexed="64"/>
      </patternFill>
    </fill>
    <fill>
      <gradientFill>
        <stop position="0">
          <color theme="5"/>
        </stop>
        <stop position="1">
          <color theme="5" tint="0.80001220740379042"/>
        </stop>
      </gradientFill>
    </fill>
    <fill>
      <patternFill patternType="solid">
        <fgColor theme="1" tint="0.499984740745262"/>
        <bgColor indexed="64"/>
      </patternFill>
    </fill>
  </fills>
  <borders count="40">
    <border>
      <left/>
      <right/>
      <top/>
      <bottom/>
      <diagonal/>
    </border>
    <border>
      <left style="dotted">
        <color auto="1"/>
      </left>
      <right style="dotted">
        <color auto="1"/>
      </right>
      <top/>
      <bottom/>
      <diagonal/>
    </border>
    <border>
      <left style="dotted">
        <color auto="1"/>
      </left>
      <right/>
      <top/>
      <bottom/>
      <diagonal/>
    </border>
    <border>
      <left/>
      <right style="dotted">
        <color auto="1"/>
      </right>
      <top/>
      <bottom/>
      <diagonal/>
    </border>
    <border>
      <left/>
      <right/>
      <top/>
      <bottom style="dashed">
        <color auto="1"/>
      </bottom>
      <diagonal/>
    </border>
    <border>
      <left/>
      <right/>
      <top/>
      <bottom style="dotted">
        <color auto="1"/>
      </bottom>
      <diagonal/>
    </border>
    <border>
      <left/>
      <right style="thin">
        <color theme="5"/>
      </right>
      <top/>
      <bottom style="thin">
        <color theme="5"/>
      </bottom>
      <diagonal/>
    </border>
    <border>
      <left/>
      <right/>
      <top/>
      <bottom style="thin">
        <color theme="5"/>
      </bottom>
      <diagonal/>
    </border>
    <border>
      <left style="thin">
        <color theme="5"/>
      </left>
      <right/>
      <top/>
      <bottom style="thin">
        <color theme="5"/>
      </bottom>
      <diagonal/>
    </border>
    <border>
      <left/>
      <right style="thin">
        <color theme="5"/>
      </right>
      <top/>
      <bottom/>
      <diagonal/>
    </border>
    <border>
      <left style="thin">
        <color theme="5"/>
      </left>
      <right/>
      <top/>
      <bottom/>
      <diagonal/>
    </border>
    <border>
      <left/>
      <right style="thin">
        <color theme="5"/>
      </right>
      <top style="thin">
        <color theme="5"/>
      </top>
      <bottom/>
      <diagonal/>
    </border>
    <border>
      <left/>
      <right/>
      <top style="thin">
        <color theme="5"/>
      </top>
      <bottom/>
      <diagonal/>
    </border>
    <border>
      <left style="thin">
        <color theme="5"/>
      </left>
      <right/>
      <top style="thin">
        <color theme="5"/>
      </top>
      <bottom/>
      <diagonal/>
    </border>
    <border>
      <left style="thin">
        <color theme="5"/>
      </left>
      <right/>
      <top/>
      <bottom style="hair">
        <color auto="1"/>
      </bottom>
      <diagonal/>
    </border>
    <border>
      <left/>
      <right/>
      <top/>
      <bottom style="hair">
        <color auto="1"/>
      </bottom>
      <diagonal/>
    </border>
    <border>
      <left/>
      <right style="thin">
        <color theme="5"/>
      </right>
      <top/>
      <bottom style="hair">
        <color auto="1"/>
      </bottom>
      <diagonal/>
    </border>
    <border>
      <left style="thin">
        <color theme="5"/>
      </left>
      <right/>
      <top style="hair">
        <color auto="1"/>
      </top>
      <bottom style="hair">
        <color auto="1"/>
      </bottom>
      <diagonal/>
    </border>
    <border>
      <left/>
      <right/>
      <top style="hair">
        <color auto="1"/>
      </top>
      <bottom style="hair">
        <color auto="1"/>
      </bottom>
      <diagonal/>
    </border>
    <border>
      <left/>
      <right style="thin">
        <color theme="5"/>
      </right>
      <top style="hair">
        <color auto="1"/>
      </top>
      <bottom style="hair">
        <color auto="1"/>
      </bottom>
      <diagonal/>
    </border>
    <border>
      <left style="thin">
        <color theme="5"/>
      </left>
      <right/>
      <top style="hair">
        <color auto="1"/>
      </top>
      <bottom style="thin">
        <color theme="5"/>
      </bottom>
      <diagonal/>
    </border>
    <border>
      <left/>
      <right/>
      <top style="hair">
        <color auto="1"/>
      </top>
      <bottom style="thin">
        <color theme="5"/>
      </bottom>
      <diagonal/>
    </border>
    <border>
      <left/>
      <right style="thin">
        <color theme="5"/>
      </right>
      <top style="hair">
        <color auto="1"/>
      </top>
      <bottom style="thin">
        <color theme="5"/>
      </bottom>
      <diagonal/>
    </border>
    <border>
      <left style="thin">
        <color theme="5"/>
      </left>
      <right/>
      <top style="thin">
        <color theme="5"/>
      </top>
      <bottom style="thin">
        <color theme="5"/>
      </bottom>
      <diagonal/>
    </border>
    <border>
      <left/>
      <right/>
      <top style="thin">
        <color theme="5"/>
      </top>
      <bottom style="thin">
        <color theme="5"/>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style="thin">
        <color theme="5"/>
      </right>
      <top style="hair">
        <color auto="1"/>
      </top>
      <bottom/>
      <diagonal/>
    </border>
    <border>
      <left/>
      <right/>
      <top style="hair">
        <color auto="1"/>
      </top>
      <bottom/>
      <diagonal/>
    </border>
    <border>
      <left style="hair">
        <color auto="1"/>
      </left>
      <right/>
      <top/>
      <bottom/>
      <diagonal/>
    </border>
    <border>
      <left/>
      <right style="hair">
        <color auto="1"/>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5"/>
      </left>
      <right/>
      <top style="hair">
        <color auto="1"/>
      </top>
      <bottom/>
      <diagonal/>
    </border>
    <border>
      <left/>
      <right/>
      <top style="medium">
        <color indexed="8"/>
      </top>
      <bottom style="thin">
        <color indexed="55"/>
      </bottom>
      <diagonal/>
    </border>
  </borders>
  <cellStyleXfs count="2">
    <xf numFmtId="0" fontId="0" fillId="0" borderId="0"/>
    <xf numFmtId="0" fontId="6" fillId="0" borderId="0" applyNumberFormat="0" applyFill="0" applyBorder="0" applyAlignment="0" applyProtection="0"/>
  </cellStyleXfs>
  <cellXfs count="625">
    <xf numFmtId="0" fontId="0" fillId="0" borderId="0" xfId="0"/>
    <xf numFmtId="0" fontId="0" fillId="0" borderId="0" xfId="0" applyAlignment="1">
      <alignment horizontal="center" vertical="center"/>
    </xf>
    <xf numFmtId="0" fontId="3" fillId="0" borderId="0" xfId="0" applyFont="1"/>
    <xf numFmtId="0" fontId="2" fillId="0" borderId="0" xfId="0" applyFont="1"/>
    <xf numFmtId="0" fontId="2" fillId="0" borderId="0" xfId="0" applyFont="1" applyAlignment="1">
      <alignment horizontal="left" indent="1"/>
    </xf>
    <xf numFmtId="0" fontId="4" fillId="0" borderId="0" xfId="0" applyFont="1" applyAlignment="1">
      <alignment horizontal="left"/>
    </xf>
    <xf numFmtId="0" fontId="4" fillId="0" borderId="0" xfId="0" applyFont="1"/>
    <xf numFmtId="0" fontId="2" fillId="0" borderId="0" xfId="0" applyFont="1" applyAlignment="1">
      <alignment horizontal="left" indent="2"/>
    </xf>
    <xf numFmtId="0" fontId="0" fillId="0" borderId="0" xfId="0" applyAlignment="1">
      <alignment horizontal="left" indent="1"/>
    </xf>
    <xf numFmtId="0" fontId="1" fillId="0" borderId="0" xfId="0" applyFont="1"/>
    <xf numFmtId="0" fontId="6" fillId="0" borderId="0" xfId="1"/>
    <xf numFmtId="0" fontId="0" fillId="3" borderId="0" xfId="0" applyFill="1"/>
    <xf numFmtId="0" fontId="2" fillId="3" borderId="0" xfId="0" applyFont="1" applyFill="1"/>
    <xf numFmtId="0" fontId="2" fillId="3" borderId="0" xfId="0" applyFont="1" applyFill="1" applyAlignment="1">
      <alignment horizontal="right"/>
    </xf>
    <xf numFmtId="0" fontId="0" fillId="4" borderId="0" xfId="0" applyFill="1" applyAlignment="1">
      <alignment horizontal="left" vertical="center"/>
    </xf>
    <xf numFmtId="0" fontId="0" fillId="4" borderId="0" xfId="0" applyFill="1" applyAlignment="1">
      <alignment horizontal="center" vertical="center"/>
    </xf>
    <xf numFmtId="0" fontId="0" fillId="5" borderId="0" xfId="0" applyFill="1" applyAlignment="1">
      <alignment horizontal="left" vertical="center"/>
    </xf>
    <xf numFmtId="0" fontId="0" fillId="5" borderId="0" xfId="0" applyFill="1" applyAlignment="1">
      <alignment horizontal="center" vertical="center"/>
    </xf>
    <xf numFmtId="0" fontId="2" fillId="2" borderId="0" xfId="0" applyFont="1" applyFill="1"/>
    <xf numFmtId="0" fontId="9" fillId="2" borderId="0" xfId="0" applyFont="1" applyFill="1" applyAlignment="1">
      <alignment horizontal="right"/>
    </xf>
    <xf numFmtId="4" fontId="2" fillId="2" borderId="0" xfId="0" applyNumberFormat="1" applyFont="1" applyFill="1"/>
    <xf numFmtId="164" fontId="9" fillId="2" borderId="0" xfId="0" applyNumberFormat="1" applyFont="1" applyFill="1" applyAlignment="1">
      <alignment horizontal="right"/>
    </xf>
    <xf numFmtId="168" fontId="9" fillId="2" borderId="0" xfId="0" applyNumberFormat="1" applyFont="1" applyFill="1" applyAlignment="1">
      <alignment horizontal="right"/>
    </xf>
    <xf numFmtId="0" fontId="10" fillId="2" borderId="0" xfId="0" applyFont="1" applyFill="1" applyAlignment="1">
      <alignment horizontal="right"/>
    </xf>
    <xf numFmtId="168" fontId="10" fillId="2" borderId="0" xfId="0" applyNumberFormat="1" applyFont="1" applyFill="1" applyAlignment="1">
      <alignment horizontal="right"/>
    </xf>
    <xf numFmtId="4" fontId="10" fillId="2" borderId="0" xfId="0" applyNumberFormat="1" applyFont="1" applyFill="1" applyAlignment="1">
      <alignment horizontal="right"/>
    </xf>
    <xf numFmtId="0" fontId="2" fillId="2" borderId="0" xfId="0" applyFont="1" applyFill="1" applyAlignment="1">
      <alignment horizontal="right"/>
    </xf>
    <xf numFmtId="3" fontId="10" fillId="2" borderId="0" xfId="0" applyNumberFormat="1" applyFont="1" applyFill="1" applyAlignment="1">
      <alignment horizontal="right"/>
    </xf>
    <xf numFmtId="0" fontId="12" fillId="2" borderId="0" xfId="0" applyFont="1" applyFill="1"/>
    <xf numFmtId="0" fontId="12" fillId="2" borderId="0" xfId="0" applyFont="1" applyFill="1" applyAlignment="1">
      <alignment horizontal="right"/>
    </xf>
    <xf numFmtId="0" fontId="12" fillId="2" borderId="0" xfId="0" quotePrefix="1" applyFont="1" applyFill="1" applyAlignment="1">
      <alignment horizontal="right"/>
    </xf>
    <xf numFmtId="0" fontId="9" fillId="2" borderId="0" xfId="0" applyFont="1" applyFill="1" applyAlignment="1">
      <alignment horizontal="left" indent="1"/>
    </xf>
    <xf numFmtId="166" fontId="9" fillId="2" borderId="0" xfId="0" applyNumberFormat="1" applyFont="1" applyFill="1" applyAlignment="1">
      <alignment horizontal="right"/>
    </xf>
    <xf numFmtId="43" fontId="2" fillId="2" borderId="0" xfId="0" applyNumberFormat="1" applyFont="1" applyFill="1" applyAlignment="1">
      <alignment horizontal="right"/>
    </xf>
    <xf numFmtId="41" fontId="2" fillId="2" borderId="0" xfId="0" applyNumberFormat="1" applyFont="1" applyFill="1" applyAlignment="1">
      <alignment horizontal="right"/>
    </xf>
    <xf numFmtId="41" fontId="9" fillId="2" borderId="0" xfId="0" applyNumberFormat="1" applyFont="1" applyFill="1" applyAlignment="1">
      <alignment horizontal="right"/>
    </xf>
    <xf numFmtId="41" fontId="12" fillId="2" borderId="0" xfId="0" applyNumberFormat="1" applyFont="1" applyFill="1" applyAlignment="1">
      <alignment horizontal="right"/>
    </xf>
    <xf numFmtId="41" fontId="13" fillId="2" borderId="0" xfId="0" applyNumberFormat="1" applyFont="1" applyFill="1" applyAlignment="1">
      <alignment horizontal="right"/>
    </xf>
    <xf numFmtId="0" fontId="10" fillId="2" borderId="0" xfId="0" applyFont="1" applyFill="1"/>
    <xf numFmtId="166" fontId="10" fillId="2" borderId="0" xfId="0" applyNumberFormat="1" applyFont="1" applyFill="1" applyAlignment="1">
      <alignment horizontal="right"/>
    </xf>
    <xf numFmtId="41" fontId="10" fillId="2" borderId="0" xfId="0" applyNumberFormat="1" applyFont="1" applyFill="1" applyAlignment="1">
      <alignment horizontal="right"/>
    </xf>
    <xf numFmtId="0" fontId="9" fillId="2" borderId="0" xfId="0" applyFont="1" applyFill="1"/>
    <xf numFmtId="3" fontId="2" fillId="2" borderId="0" xfId="0" applyNumberFormat="1" applyFont="1" applyFill="1" applyAlignment="1">
      <alignment horizontal="right"/>
    </xf>
    <xf numFmtId="3" fontId="9" fillId="2" borderId="0" xfId="0" applyNumberFormat="1" applyFont="1" applyFill="1" applyAlignment="1">
      <alignment horizontal="right"/>
    </xf>
    <xf numFmtId="0" fontId="10" fillId="2" borderId="0" xfId="0" applyFont="1" applyFill="1" applyAlignment="1">
      <alignment horizontal="left" indent="1"/>
    </xf>
    <xf numFmtId="170" fontId="2" fillId="2" borderId="0" xfId="0" applyNumberFormat="1" applyFont="1" applyFill="1" applyAlignment="1">
      <alignment horizontal="right"/>
    </xf>
    <xf numFmtId="43" fontId="9" fillId="2" borderId="0" xfId="0" applyNumberFormat="1" applyFont="1" applyFill="1" applyAlignment="1">
      <alignment horizontal="right"/>
    </xf>
    <xf numFmtId="0" fontId="14" fillId="2" borderId="0" xfId="0" applyFont="1" applyFill="1"/>
    <xf numFmtId="0" fontId="14" fillId="2" borderId="0" xfId="0" applyFont="1" applyFill="1" applyAlignment="1">
      <alignment horizontal="right"/>
    </xf>
    <xf numFmtId="166" fontId="14" fillId="2" borderId="0" xfId="0" applyNumberFormat="1" applyFont="1" applyFill="1" applyAlignment="1">
      <alignment horizontal="right"/>
    </xf>
    <xf numFmtId="43" fontId="14" fillId="2" borderId="0" xfId="0" applyNumberFormat="1" applyFont="1" applyFill="1" applyAlignment="1">
      <alignment horizontal="right"/>
    </xf>
    <xf numFmtId="3" fontId="14" fillId="2" borderId="0" xfId="0" applyNumberFormat="1" applyFont="1" applyFill="1" applyAlignment="1">
      <alignment horizontal="right"/>
    </xf>
    <xf numFmtId="170" fontId="2" fillId="2" borderId="0" xfId="0" applyNumberFormat="1" applyFont="1" applyFill="1" applyAlignment="1">
      <alignment horizontal="left"/>
    </xf>
    <xf numFmtId="43" fontId="12" fillId="2" borderId="0" xfId="0" quotePrefix="1" applyNumberFormat="1" applyFont="1" applyFill="1" applyAlignment="1">
      <alignment horizontal="right"/>
    </xf>
    <xf numFmtId="0" fontId="2" fillId="2" borderId="0" xfId="0" applyFont="1" applyFill="1" applyAlignment="1">
      <alignment horizontal="left" indent="1"/>
    </xf>
    <xf numFmtId="43" fontId="12" fillId="2" borderId="0" xfId="0" applyNumberFormat="1" applyFont="1" applyFill="1" applyAlignment="1">
      <alignment horizontal="right"/>
    </xf>
    <xf numFmtId="9" fontId="2" fillId="2" borderId="0" xfId="0" applyNumberFormat="1" applyFont="1" applyFill="1" applyAlignment="1">
      <alignment horizontal="right"/>
    </xf>
    <xf numFmtId="170" fontId="10" fillId="2" borderId="0" xfId="0" applyNumberFormat="1" applyFont="1" applyFill="1" applyAlignment="1">
      <alignment horizontal="right"/>
    </xf>
    <xf numFmtId="170" fontId="16" fillId="2" borderId="0" xfId="0" applyNumberFormat="1" applyFont="1" applyFill="1" applyAlignment="1">
      <alignment horizontal="right"/>
    </xf>
    <xf numFmtId="3" fontId="12" fillId="2" borderId="0" xfId="0" applyNumberFormat="1" applyFont="1" applyFill="1" applyAlignment="1">
      <alignment horizontal="right"/>
    </xf>
    <xf numFmtId="3" fontId="9" fillId="2" borderId="0" xfId="0" applyNumberFormat="1" applyFont="1" applyFill="1"/>
    <xf numFmtId="170" fontId="9" fillId="2" borderId="0" xfId="0" applyNumberFormat="1" applyFont="1" applyFill="1"/>
    <xf numFmtId="170" fontId="16" fillId="2" borderId="0" xfId="0" applyNumberFormat="1" applyFont="1" applyFill="1"/>
    <xf numFmtId="3" fontId="2" fillId="2" borderId="0" xfId="0" applyNumberFormat="1" applyFont="1" applyFill="1"/>
    <xf numFmtId="170" fontId="2" fillId="2" borderId="0" xfId="0" applyNumberFormat="1" applyFont="1" applyFill="1"/>
    <xf numFmtId="172" fontId="12" fillId="2" borderId="0" xfId="0" applyNumberFormat="1" applyFont="1" applyFill="1" applyAlignment="1">
      <alignment horizontal="right"/>
    </xf>
    <xf numFmtId="173" fontId="9" fillId="2" borderId="0" xfId="0" applyNumberFormat="1" applyFont="1" applyFill="1" applyAlignment="1">
      <alignment horizontal="right"/>
    </xf>
    <xf numFmtId="10" fontId="9" fillId="2" borderId="0" xfId="0" applyNumberFormat="1" applyFont="1" applyFill="1" applyAlignment="1">
      <alignment horizontal="right"/>
    </xf>
    <xf numFmtId="170" fontId="9" fillId="2" borderId="0" xfId="0" applyNumberFormat="1" applyFont="1" applyFill="1" applyAlignment="1">
      <alignment horizontal="right"/>
    </xf>
    <xf numFmtId="170" fontId="13" fillId="2" borderId="0" xfId="0" applyNumberFormat="1" applyFont="1" applyFill="1" applyAlignment="1">
      <alignment horizontal="right"/>
    </xf>
    <xf numFmtId="0" fontId="17" fillId="2" borderId="0" xfId="0" applyFont="1" applyFill="1"/>
    <xf numFmtId="0" fontId="17" fillId="2" borderId="0" xfId="0" applyFont="1" applyFill="1" applyAlignment="1">
      <alignment horizontal="right"/>
    </xf>
    <xf numFmtId="170" fontId="14" fillId="2" borderId="0" xfId="0" applyNumberFormat="1" applyFont="1" applyFill="1" applyAlignment="1">
      <alignment horizontal="right"/>
    </xf>
    <xf numFmtId="43" fontId="17" fillId="2" borderId="0" xfId="0" applyNumberFormat="1" applyFont="1" applyFill="1" applyAlignment="1">
      <alignment horizontal="right"/>
    </xf>
    <xf numFmtId="41" fontId="17" fillId="2" borderId="0" xfId="0" applyNumberFormat="1" applyFont="1" applyFill="1" applyAlignment="1">
      <alignment horizontal="right"/>
    </xf>
    <xf numFmtId="3" fontId="17" fillId="2" borderId="0" xfId="0" applyNumberFormat="1" applyFont="1" applyFill="1" applyAlignment="1">
      <alignment horizontal="right"/>
    </xf>
    <xf numFmtId="170" fontId="12" fillId="2" borderId="0" xfId="0" applyNumberFormat="1" applyFont="1" applyFill="1" applyAlignment="1">
      <alignment horizontal="right"/>
    </xf>
    <xf numFmtId="41" fontId="2" fillId="2" borderId="0" xfId="0" applyNumberFormat="1" applyFont="1" applyFill="1" applyAlignment="1">
      <alignment horizontal="left"/>
    </xf>
    <xf numFmtId="0" fontId="16" fillId="2" borderId="0" xfId="0" applyFont="1" applyFill="1" applyAlignment="1">
      <alignment horizontal="left"/>
    </xf>
    <xf numFmtId="43" fontId="18" fillId="2" borderId="0" xfId="0" applyNumberFormat="1" applyFont="1" applyFill="1" applyAlignment="1">
      <alignment horizontal="right"/>
    </xf>
    <xf numFmtId="41" fontId="18" fillId="2" borderId="0" xfId="0" applyNumberFormat="1" applyFont="1" applyFill="1" applyAlignment="1">
      <alignment horizontal="right"/>
    </xf>
    <xf numFmtId="41" fontId="2" fillId="2" borderId="0" xfId="0" applyNumberFormat="1" applyFont="1" applyFill="1"/>
    <xf numFmtId="166" fontId="2" fillId="2" borderId="0" xfId="0" applyNumberFormat="1" applyFont="1" applyFill="1" applyAlignment="1">
      <alignment horizontal="right"/>
    </xf>
    <xf numFmtId="166" fontId="2" fillId="2" borderId="0" xfId="0" applyNumberFormat="1" applyFont="1" applyFill="1"/>
    <xf numFmtId="41" fontId="18" fillId="2" borderId="0" xfId="0" applyNumberFormat="1" applyFont="1" applyFill="1"/>
    <xf numFmtId="0" fontId="2" fillId="2" borderId="0" xfId="0" applyFont="1" applyFill="1" applyAlignment="1">
      <alignment horizontal="left"/>
    </xf>
    <xf numFmtId="0" fontId="5" fillId="0" borderId="0" xfId="0" applyFont="1"/>
    <xf numFmtId="166" fontId="11" fillId="0" borderId="0" xfId="0" applyNumberFormat="1" applyFont="1"/>
    <xf numFmtId="15" fontId="11" fillId="0" borderId="0" xfId="0" applyNumberFormat="1" applyFont="1"/>
    <xf numFmtId="0" fontId="19" fillId="0" borderId="0" xfId="0" applyFont="1" applyAlignment="1">
      <alignment horizontal="right"/>
    </xf>
    <xf numFmtId="41" fontId="20" fillId="0" borderId="0" xfId="0" applyNumberFormat="1" applyFont="1" applyAlignment="1">
      <alignment horizontal="right"/>
    </xf>
    <xf numFmtId="41" fontId="7" fillId="0" borderId="0" xfId="0" applyNumberFormat="1" applyFont="1"/>
    <xf numFmtId="41" fontId="5" fillId="0" borderId="0" xfId="0" applyNumberFormat="1" applyFont="1"/>
    <xf numFmtId="171" fontId="5" fillId="0" borderId="0" xfId="0" applyNumberFormat="1" applyFont="1"/>
    <xf numFmtId="41" fontId="21" fillId="0" borderId="0" xfId="0" applyNumberFormat="1" applyFont="1"/>
    <xf numFmtId="41" fontId="15" fillId="0" borderId="0" xfId="0" applyNumberFormat="1" applyFont="1"/>
    <xf numFmtId="41" fontId="23" fillId="0" borderId="0" xfId="0" applyNumberFormat="1" applyFont="1"/>
    <xf numFmtId="166" fontId="5" fillId="0" borderId="0" xfId="0" applyNumberFormat="1" applyFont="1"/>
    <xf numFmtId="171" fontId="2" fillId="2" borderId="0" xfId="0" applyNumberFormat="1" applyFont="1" applyFill="1"/>
    <xf numFmtId="171" fontId="18" fillId="2" borderId="0" xfId="0" applyNumberFormat="1" applyFont="1" applyFill="1"/>
    <xf numFmtId="10" fontId="10" fillId="2" borderId="0" xfId="0" applyNumberFormat="1" applyFont="1" applyFill="1" applyAlignment="1">
      <alignment horizontal="right"/>
    </xf>
    <xf numFmtId="10" fontId="8" fillId="0" borderId="0" xfId="0" applyNumberFormat="1" applyFont="1"/>
    <xf numFmtId="0" fontId="24" fillId="4" borderId="0" xfId="0" applyFont="1" applyFill="1" applyAlignment="1">
      <alignment horizontal="left" vertical="center"/>
    </xf>
    <xf numFmtId="169" fontId="10" fillId="2" borderId="0" xfId="0" applyNumberFormat="1" applyFont="1" applyFill="1" applyAlignment="1">
      <alignment horizontal="right"/>
    </xf>
    <xf numFmtId="9" fontId="9" fillId="2" borderId="0" xfId="0" applyNumberFormat="1" applyFont="1" applyFill="1" applyAlignment="1">
      <alignment horizontal="right"/>
    </xf>
    <xf numFmtId="10" fontId="9" fillId="2" borderId="0" xfId="0" applyNumberFormat="1" applyFont="1" applyFill="1"/>
    <xf numFmtId="0" fontId="12" fillId="2" borderId="0" xfId="0" applyFont="1" applyFill="1" applyAlignment="1">
      <alignment horizontal="left"/>
    </xf>
    <xf numFmtId="0" fontId="2" fillId="2" borderId="0" xfId="0" quotePrefix="1" applyFont="1" applyFill="1" applyAlignment="1">
      <alignment horizontal="left" indent="1"/>
    </xf>
    <xf numFmtId="178" fontId="12" fillId="2" borderId="0" xfId="0" quotePrefix="1" applyNumberFormat="1" applyFont="1" applyFill="1"/>
    <xf numFmtId="0" fontId="2" fillId="2" borderId="0" xfId="0" quotePrefix="1" applyFont="1" applyFill="1" applyAlignment="1">
      <alignment horizontal="left"/>
    </xf>
    <xf numFmtId="175" fontId="25" fillId="2" borderId="0" xfId="0" applyNumberFormat="1" applyFont="1" applyFill="1"/>
    <xf numFmtId="0" fontId="12" fillId="2" borderId="2" xfId="0" applyFont="1" applyFill="1" applyBorder="1" applyAlignment="1">
      <alignment horizontal="right"/>
    </xf>
    <xf numFmtId="0" fontId="12" fillId="2" borderId="3" xfId="0" applyFont="1" applyFill="1" applyBorder="1" applyAlignment="1">
      <alignment horizontal="right"/>
    </xf>
    <xf numFmtId="0" fontId="12" fillId="2" borderId="1" xfId="0" applyFont="1" applyFill="1" applyBorder="1" applyAlignment="1">
      <alignment horizontal="right"/>
    </xf>
    <xf numFmtId="43" fontId="10" fillId="2" borderId="2" xfId="0" applyNumberFormat="1" applyFont="1" applyFill="1" applyBorder="1"/>
    <xf numFmtId="41" fontId="9" fillId="2" borderId="3" xfId="0" applyNumberFormat="1" applyFont="1" applyFill="1" applyBorder="1"/>
    <xf numFmtId="176" fontId="16" fillId="2" borderId="2" xfId="0" applyNumberFormat="1" applyFont="1" applyFill="1" applyBorder="1"/>
    <xf numFmtId="41" fontId="13" fillId="2" borderId="3" xfId="0" applyNumberFormat="1" applyFont="1" applyFill="1" applyBorder="1"/>
    <xf numFmtId="41" fontId="2" fillId="2" borderId="3" xfId="0" applyNumberFormat="1" applyFont="1" applyFill="1" applyBorder="1"/>
    <xf numFmtId="171" fontId="2" fillId="2" borderId="3" xfId="0" applyNumberFormat="1" applyFont="1" applyFill="1" applyBorder="1"/>
    <xf numFmtId="177" fontId="9" fillId="2" borderId="0" xfId="0" applyNumberFormat="1" applyFont="1" applyFill="1"/>
    <xf numFmtId="10" fontId="2" fillId="2" borderId="0" xfId="0" applyNumberFormat="1" applyFont="1" applyFill="1" applyAlignment="1">
      <alignment horizontal="right"/>
    </xf>
    <xf numFmtId="9" fontId="12" fillId="2" borderId="0" xfId="0" applyNumberFormat="1" applyFont="1" applyFill="1" applyAlignment="1">
      <alignment horizontal="right"/>
    </xf>
    <xf numFmtId="169" fontId="16" fillId="2" borderId="0" xfId="0" applyNumberFormat="1" applyFont="1" applyFill="1" applyAlignment="1">
      <alignment horizontal="right"/>
    </xf>
    <xf numFmtId="174" fontId="16" fillId="2" borderId="0" xfId="0" applyNumberFormat="1" applyFont="1" applyFill="1" applyAlignment="1">
      <alignment horizontal="right"/>
    </xf>
    <xf numFmtId="0" fontId="2" fillId="5" borderId="0" xfId="0" applyFont="1" applyFill="1"/>
    <xf numFmtId="0" fontId="2" fillId="5" borderId="0" xfId="0" applyFont="1" applyFill="1" applyAlignment="1">
      <alignment horizontal="right"/>
    </xf>
    <xf numFmtId="43" fontId="2" fillId="5" borderId="0" xfId="0" applyNumberFormat="1" applyFont="1" applyFill="1" applyAlignment="1">
      <alignment horizontal="right"/>
    </xf>
    <xf numFmtId="179" fontId="9" fillId="2" borderId="0" xfId="0" applyNumberFormat="1" applyFont="1" applyFill="1"/>
    <xf numFmtId="41" fontId="2" fillId="2" borderId="1" xfId="0" applyNumberFormat="1" applyFont="1" applyFill="1" applyBorder="1" applyAlignment="1">
      <alignment horizontal="right"/>
    </xf>
    <xf numFmtId="41" fontId="18" fillId="2" borderId="1" xfId="0" applyNumberFormat="1" applyFont="1" applyFill="1" applyBorder="1" applyAlignment="1">
      <alignment horizontal="right"/>
    </xf>
    <xf numFmtId="0" fontId="2" fillId="2" borderId="2" xfId="0" applyFont="1" applyFill="1" applyBorder="1" applyAlignment="1">
      <alignment horizontal="right"/>
    </xf>
    <xf numFmtId="43" fontId="18" fillId="2" borderId="3" xfId="0" quotePrefix="1" applyNumberFormat="1" applyFont="1" applyFill="1" applyBorder="1" applyAlignment="1">
      <alignment horizontal="right"/>
    </xf>
    <xf numFmtId="10" fontId="2" fillId="2" borderId="2" xfId="0" applyNumberFormat="1" applyFont="1" applyFill="1" applyBorder="1" applyAlignment="1">
      <alignment horizontal="right"/>
    </xf>
    <xf numFmtId="43" fontId="2" fillId="2" borderId="3" xfId="0" applyNumberFormat="1" applyFont="1" applyFill="1" applyBorder="1"/>
    <xf numFmtId="43" fontId="2" fillId="2" borderId="2" xfId="0" applyNumberFormat="1" applyFont="1" applyFill="1" applyBorder="1" applyAlignment="1">
      <alignment horizontal="right"/>
    </xf>
    <xf numFmtId="10" fontId="9" fillId="2" borderId="3" xfId="0" applyNumberFormat="1" applyFont="1" applyFill="1" applyBorder="1"/>
    <xf numFmtId="41" fontId="2" fillId="2" borderId="3" xfId="0" applyNumberFormat="1" applyFont="1" applyFill="1" applyBorder="1" applyAlignment="1">
      <alignment horizontal="right"/>
    </xf>
    <xf numFmtId="41" fontId="2" fillId="2" borderId="2" xfId="0" applyNumberFormat="1" applyFont="1" applyFill="1" applyBorder="1" applyAlignment="1">
      <alignment horizontal="right"/>
    </xf>
    <xf numFmtId="0" fontId="12" fillId="2" borderId="2" xfId="0" quotePrefix="1" applyFont="1" applyFill="1" applyBorder="1" applyAlignment="1">
      <alignment horizontal="right"/>
    </xf>
    <xf numFmtId="41" fontId="2" fillId="2" borderId="2" xfId="0" applyNumberFormat="1" applyFont="1" applyFill="1" applyBorder="1" applyAlignment="1">
      <alignment horizontal="right" indent="2"/>
    </xf>
    <xf numFmtId="4" fontId="10" fillId="2" borderId="0" xfId="0" applyNumberFormat="1" applyFont="1" applyFill="1" applyAlignment="1">
      <alignment horizontal="left" indent="1"/>
    </xf>
    <xf numFmtId="4" fontId="2" fillId="2" borderId="0" xfId="0" applyNumberFormat="1" applyFont="1" applyFill="1" applyAlignment="1">
      <alignment horizontal="left" indent="1"/>
    </xf>
    <xf numFmtId="9" fontId="10" fillId="2" borderId="0" xfId="0" applyNumberFormat="1" applyFont="1" applyFill="1" applyAlignment="1">
      <alignment horizontal="right"/>
    </xf>
    <xf numFmtId="173" fontId="2" fillId="2" borderId="0" xfId="0" applyNumberFormat="1" applyFont="1" applyFill="1" applyAlignment="1">
      <alignment horizontal="right"/>
    </xf>
    <xf numFmtId="41" fontId="5" fillId="0" borderId="0" xfId="0" applyNumberFormat="1" applyFont="1" applyAlignment="1">
      <alignment horizontal="right"/>
    </xf>
    <xf numFmtId="9" fontId="5" fillId="0" borderId="0" xfId="0" applyNumberFormat="1" applyFont="1"/>
    <xf numFmtId="41" fontId="9" fillId="2" borderId="0" xfId="0" applyNumberFormat="1" applyFont="1" applyFill="1"/>
    <xf numFmtId="41" fontId="13" fillId="2" borderId="0" xfId="0" applyNumberFormat="1" applyFont="1" applyFill="1"/>
    <xf numFmtId="41" fontId="10" fillId="2" borderId="1" xfId="0" applyNumberFormat="1" applyFont="1" applyFill="1" applyBorder="1" applyAlignment="1">
      <alignment horizontal="right"/>
    </xf>
    <xf numFmtId="41" fontId="16" fillId="2" borderId="1" xfId="0" applyNumberFormat="1" applyFont="1" applyFill="1" applyBorder="1" applyAlignment="1">
      <alignment horizontal="right"/>
    </xf>
    <xf numFmtId="41" fontId="26" fillId="2" borderId="1" xfId="0" applyNumberFormat="1" applyFont="1" applyFill="1" applyBorder="1" applyAlignment="1">
      <alignment horizontal="right"/>
    </xf>
    <xf numFmtId="0" fontId="17" fillId="2" borderId="1" xfId="0" applyFont="1" applyFill="1" applyBorder="1" applyAlignment="1">
      <alignment horizontal="right"/>
    </xf>
    <xf numFmtId="171" fontId="10" fillId="2" borderId="1" xfId="0" applyNumberFormat="1" applyFont="1" applyFill="1" applyBorder="1" applyAlignment="1">
      <alignment horizontal="right"/>
    </xf>
    <xf numFmtId="0" fontId="16" fillId="2" borderId="0" xfId="0" applyFont="1" applyFill="1" applyAlignment="1">
      <alignment horizontal="right"/>
    </xf>
    <xf numFmtId="9" fontId="16" fillId="2" borderId="0" xfId="0" applyNumberFormat="1" applyFont="1" applyFill="1" applyAlignment="1">
      <alignment horizontal="right"/>
    </xf>
    <xf numFmtId="41" fontId="29" fillId="0" borderId="0" xfId="0" applyNumberFormat="1" applyFont="1"/>
    <xf numFmtId="41" fontId="30" fillId="2" borderId="1" xfId="0" applyNumberFormat="1" applyFont="1" applyFill="1" applyBorder="1" applyAlignment="1">
      <alignment horizontal="right"/>
    </xf>
    <xf numFmtId="41" fontId="25" fillId="2" borderId="0" xfId="0" applyNumberFormat="1" applyFont="1" applyFill="1" applyAlignment="1">
      <alignment horizontal="right"/>
    </xf>
    <xf numFmtId="0" fontId="20" fillId="0" borderId="0" xfId="0" applyFont="1" applyAlignment="1">
      <alignment horizontal="right"/>
    </xf>
    <xf numFmtId="169" fontId="16" fillId="2" borderId="0" xfId="0" applyNumberFormat="1" applyFont="1" applyFill="1" applyAlignment="1">
      <alignment horizontal="left"/>
    </xf>
    <xf numFmtId="0" fontId="3" fillId="2" borderId="0" xfId="0" applyFont="1" applyFill="1" applyAlignment="1">
      <alignment horizontal="right"/>
    </xf>
    <xf numFmtId="0" fontId="3" fillId="2" borderId="0" xfId="0" applyFont="1" applyFill="1" applyAlignment="1">
      <alignment horizontal="left"/>
    </xf>
    <xf numFmtId="10" fontId="27" fillId="2" borderId="0" xfId="0" applyNumberFormat="1" applyFont="1" applyFill="1" applyAlignment="1">
      <alignment horizontal="right"/>
    </xf>
    <xf numFmtId="41" fontId="3" fillId="2" borderId="0" xfId="0" applyNumberFormat="1" applyFont="1" applyFill="1" applyAlignment="1">
      <alignment horizontal="right"/>
    </xf>
    <xf numFmtId="41" fontId="27" fillId="2" borderId="0" xfId="0" applyNumberFormat="1" applyFont="1" applyFill="1" applyAlignment="1">
      <alignment horizontal="right"/>
    </xf>
    <xf numFmtId="41" fontId="33" fillId="2" borderId="0" xfId="0" applyNumberFormat="1" applyFont="1" applyFill="1" applyAlignment="1">
      <alignment horizontal="right"/>
    </xf>
    <xf numFmtId="41" fontId="34" fillId="2" borderId="0" xfId="0" applyNumberFormat="1" applyFont="1" applyFill="1" applyAlignment="1">
      <alignment horizontal="right"/>
    </xf>
    <xf numFmtId="0" fontId="2" fillId="5" borderId="0" xfId="0" applyFont="1" applyFill="1" applyAlignment="1">
      <alignment horizontal="left"/>
    </xf>
    <xf numFmtId="166" fontId="31" fillId="2" borderId="0" xfId="0" applyNumberFormat="1" applyFont="1" applyFill="1" applyAlignment="1">
      <alignment horizontal="left"/>
    </xf>
    <xf numFmtId="166" fontId="3" fillId="2" borderId="0" xfId="0" applyNumberFormat="1" applyFont="1" applyFill="1" applyAlignment="1">
      <alignment horizontal="left"/>
    </xf>
    <xf numFmtId="165" fontId="9" fillId="2" borderId="0" xfId="0" applyNumberFormat="1" applyFont="1" applyFill="1" applyAlignment="1">
      <alignment horizontal="right"/>
    </xf>
    <xf numFmtId="165" fontId="10" fillId="2" borderId="0" xfId="0" applyNumberFormat="1" applyFont="1" applyFill="1" applyAlignment="1">
      <alignment horizontal="right"/>
    </xf>
    <xf numFmtId="173" fontId="10" fillId="2" borderId="0" xfId="0" applyNumberFormat="1" applyFont="1" applyFill="1" applyAlignment="1">
      <alignment horizontal="right"/>
    </xf>
    <xf numFmtId="181" fontId="32" fillId="2" borderId="0" xfId="0" applyNumberFormat="1" applyFont="1" applyFill="1" applyAlignment="1">
      <alignment horizontal="right"/>
    </xf>
    <xf numFmtId="0" fontId="24" fillId="0" borderId="0" xfId="0" applyFont="1"/>
    <xf numFmtId="0" fontId="2" fillId="4" borderId="0" xfId="0" applyFont="1" applyFill="1"/>
    <xf numFmtId="0" fontId="3" fillId="4" borderId="0" xfId="0" applyFont="1" applyFill="1" applyAlignment="1">
      <alignment horizontal="right"/>
    </xf>
    <xf numFmtId="0" fontId="3" fillId="4" borderId="0" xfId="0" applyFont="1" applyFill="1"/>
    <xf numFmtId="0" fontId="24" fillId="4" borderId="0" xfId="0" applyFont="1" applyFill="1"/>
    <xf numFmtId="0" fontId="2" fillId="6" borderId="0" xfId="0" applyFont="1" applyFill="1"/>
    <xf numFmtId="0" fontId="37" fillId="0" borderId="0" xfId="0" applyFont="1" applyAlignment="1">
      <alignment horizontal="right"/>
    </xf>
    <xf numFmtId="0" fontId="36" fillId="0" borderId="0" xfId="0" applyFont="1"/>
    <xf numFmtId="0" fontId="35" fillId="0" borderId="0" xfId="0" applyFont="1"/>
    <xf numFmtId="0" fontId="39" fillId="0" borderId="0" xfId="0" applyFont="1"/>
    <xf numFmtId="41" fontId="40" fillId="0" borderId="0" xfId="0" applyNumberFormat="1" applyFont="1"/>
    <xf numFmtId="0" fontId="40" fillId="0" borderId="0" xfId="0" applyFont="1"/>
    <xf numFmtId="0" fontId="41" fillId="0" borderId="0" xfId="0" applyFont="1"/>
    <xf numFmtId="41" fontId="30" fillId="2" borderId="0" xfId="0" applyNumberFormat="1" applyFont="1" applyFill="1" applyAlignment="1">
      <alignment horizontal="right"/>
    </xf>
    <xf numFmtId="10" fontId="16" fillId="2" borderId="0" xfId="0" applyNumberFormat="1" applyFont="1" applyFill="1" applyAlignment="1">
      <alignment horizontal="right"/>
    </xf>
    <xf numFmtId="0" fontId="0" fillId="0" borderId="0" xfId="0" applyAlignment="1">
      <alignment horizontal="right"/>
    </xf>
    <xf numFmtId="0" fontId="0" fillId="5" borderId="0" xfId="0" applyFill="1" applyAlignment="1">
      <alignment horizontal="right" vertical="center"/>
    </xf>
    <xf numFmtId="0" fontId="0" fillId="4" borderId="0" xfId="0" applyFill="1" applyAlignment="1">
      <alignment horizontal="right" vertical="center"/>
    </xf>
    <xf numFmtId="181" fontId="12" fillId="5" borderId="0" xfId="0" applyNumberFormat="1" applyFont="1" applyFill="1" applyAlignment="1">
      <alignment horizontal="right"/>
    </xf>
    <xf numFmtId="181" fontId="12" fillId="2" borderId="0" xfId="0" applyNumberFormat="1" applyFont="1" applyFill="1" applyAlignment="1">
      <alignment horizontal="right"/>
    </xf>
    <xf numFmtId="0" fontId="2" fillId="0" borderId="0" xfId="0" applyFont="1" applyAlignment="1">
      <alignment horizontal="right"/>
    </xf>
    <xf numFmtId="0" fontId="2" fillId="2" borderId="4" xfId="0" applyFont="1" applyFill="1" applyBorder="1"/>
    <xf numFmtId="0" fontId="42" fillId="4" borderId="0" xfId="0" applyFont="1" applyFill="1"/>
    <xf numFmtId="0" fontId="38" fillId="4" borderId="0" xfId="0" applyFont="1" applyFill="1" applyAlignment="1">
      <alignment horizontal="right"/>
    </xf>
    <xf numFmtId="0" fontId="5" fillId="7" borderId="0" xfId="0" applyFont="1" applyFill="1"/>
    <xf numFmtId="4" fontId="5" fillId="7" borderId="0" xfId="0" applyNumberFormat="1" applyFont="1" applyFill="1" applyAlignment="1">
      <alignment horizontal="left"/>
    </xf>
    <xf numFmtId="0" fontId="3" fillId="7" borderId="0" xfId="0" applyFont="1" applyFill="1"/>
    <xf numFmtId="0" fontId="15" fillId="7" borderId="0" xfId="0" applyFont="1" applyFill="1"/>
    <xf numFmtId="0" fontId="11" fillId="7" borderId="0" xfId="0" applyFont="1" applyFill="1" applyAlignment="1">
      <alignment horizontal="right"/>
    </xf>
    <xf numFmtId="166" fontId="11" fillId="7" borderId="0" xfId="0" applyNumberFormat="1" applyFont="1" applyFill="1"/>
    <xf numFmtId="4" fontId="11" fillId="7" borderId="0" xfId="0" applyNumberFormat="1" applyFont="1" applyFill="1" applyAlignment="1">
      <alignment horizontal="left"/>
    </xf>
    <xf numFmtId="15" fontId="11" fillId="7" borderId="0" xfId="0" applyNumberFormat="1" applyFont="1" applyFill="1"/>
    <xf numFmtId="41" fontId="5" fillId="7" borderId="0" xfId="0" applyNumberFormat="1" applyFont="1" applyFill="1"/>
    <xf numFmtId="15" fontId="5" fillId="7" borderId="0" xfId="0" applyNumberFormat="1" applyFont="1" applyFill="1"/>
    <xf numFmtId="3" fontId="5" fillId="7" borderId="0" xfId="0" applyNumberFormat="1" applyFont="1" applyFill="1"/>
    <xf numFmtId="4" fontId="5" fillId="7" borderId="0" xfId="0" applyNumberFormat="1" applyFont="1" applyFill="1"/>
    <xf numFmtId="171" fontId="5" fillId="7" borderId="0" xfId="0" applyNumberFormat="1" applyFont="1" applyFill="1"/>
    <xf numFmtId="0" fontId="40" fillId="7" borderId="0" xfId="0" applyFont="1" applyFill="1"/>
    <xf numFmtId="4" fontId="7" fillId="7" borderId="0" xfId="0" applyNumberFormat="1" applyFont="1" applyFill="1" applyAlignment="1">
      <alignment horizontal="left"/>
    </xf>
    <xf numFmtId="0" fontId="41" fillId="7" borderId="0" xfId="0" applyFont="1" applyFill="1"/>
    <xf numFmtId="0" fontId="11" fillId="7" borderId="0" xfId="0" applyFont="1" applyFill="1"/>
    <xf numFmtId="0" fontId="5" fillId="7" borderId="0" xfId="0" applyFont="1" applyFill="1" applyAlignment="1">
      <alignment horizontal="right"/>
    </xf>
    <xf numFmtId="170" fontId="5" fillId="7" borderId="0" xfId="0" applyNumberFormat="1" applyFont="1" applyFill="1"/>
    <xf numFmtId="4" fontId="3" fillId="7" borderId="0" xfId="0" applyNumberFormat="1" applyFont="1" applyFill="1" applyAlignment="1">
      <alignment horizontal="left"/>
    </xf>
    <xf numFmtId="173" fontId="5" fillId="7" borderId="0" xfId="0" applyNumberFormat="1" applyFont="1" applyFill="1" applyAlignment="1">
      <alignment horizontal="right"/>
    </xf>
    <xf numFmtId="166" fontId="5" fillId="7" borderId="0" xfId="0" applyNumberFormat="1" applyFont="1" applyFill="1"/>
    <xf numFmtId="10" fontId="5" fillId="7" borderId="0" xfId="0" applyNumberFormat="1" applyFont="1" applyFill="1"/>
    <xf numFmtId="0" fontId="20" fillId="7" borderId="0" xfId="0" applyFont="1" applyFill="1"/>
    <xf numFmtId="169" fontId="5" fillId="7" borderId="0" xfId="0" applyNumberFormat="1" applyFont="1" applyFill="1"/>
    <xf numFmtId="180" fontId="11" fillId="7" borderId="0" xfId="0" applyNumberFormat="1" applyFont="1" applyFill="1"/>
    <xf numFmtId="43" fontId="5" fillId="7" borderId="0" xfId="0" applyNumberFormat="1" applyFont="1" applyFill="1"/>
    <xf numFmtId="0" fontId="28" fillId="7" borderId="0" xfId="0" applyFont="1" applyFill="1"/>
    <xf numFmtId="166" fontId="11" fillId="7" borderId="0" xfId="0" applyNumberFormat="1" applyFont="1" applyFill="1" applyAlignment="1">
      <alignment horizontal="right"/>
    </xf>
    <xf numFmtId="0" fontId="3" fillId="7" borderId="0" xfId="0" applyFont="1" applyFill="1" applyAlignment="1">
      <alignment horizontal="right"/>
    </xf>
    <xf numFmtId="0" fontId="35" fillId="7" borderId="0" xfId="0" applyFont="1" applyFill="1"/>
    <xf numFmtId="166" fontId="3" fillId="7" borderId="0" xfId="0" applyNumberFormat="1" applyFont="1" applyFill="1"/>
    <xf numFmtId="41" fontId="3" fillId="7" borderId="0" xfId="0" applyNumberFormat="1" applyFont="1" applyFill="1"/>
    <xf numFmtId="10" fontId="3" fillId="7" borderId="0" xfId="0" applyNumberFormat="1" applyFont="1" applyFill="1" applyAlignment="1">
      <alignment horizontal="right"/>
    </xf>
    <xf numFmtId="41" fontId="20" fillId="7" borderId="0" xfId="0" applyNumberFormat="1" applyFont="1" applyFill="1"/>
    <xf numFmtId="4" fontId="32" fillId="7" borderId="0" xfId="0" applyNumberFormat="1" applyFont="1" applyFill="1" applyAlignment="1">
      <alignment horizontal="left"/>
    </xf>
    <xf numFmtId="182" fontId="3" fillId="7" borderId="0" xfId="0" applyNumberFormat="1" applyFont="1" applyFill="1" applyAlignment="1">
      <alignment horizontal="right"/>
    </xf>
    <xf numFmtId="41" fontId="3" fillId="7" borderId="0" xfId="0" applyNumberFormat="1" applyFont="1" applyFill="1" applyAlignment="1">
      <alignment horizontal="right"/>
    </xf>
    <xf numFmtId="170" fontId="3" fillId="7" borderId="0" xfId="0" applyNumberFormat="1" applyFont="1" applyFill="1" applyAlignment="1">
      <alignment horizontal="right"/>
    </xf>
    <xf numFmtId="0" fontId="32" fillId="7" borderId="0" xfId="0" applyFont="1" applyFill="1" applyAlignment="1">
      <alignment horizontal="right"/>
    </xf>
    <xf numFmtId="41" fontId="32" fillId="7" borderId="0" xfId="0" applyNumberFormat="1" applyFont="1" applyFill="1" applyAlignment="1">
      <alignment horizontal="right"/>
    </xf>
    <xf numFmtId="0" fontId="0" fillId="8" borderId="0" xfId="0" applyFill="1"/>
    <xf numFmtId="166" fontId="11" fillId="8" borderId="0" xfId="0" applyNumberFormat="1" applyFont="1" applyFill="1"/>
    <xf numFmtId="0" fontId="5" fillId="8" borderId="0" xfId="0" applyFont="1" applyFill="1"/>
    <xf numFmtId="41" fontId="5" fillId="8" borderId="0" xfId="0" applyNumberFormat="1" applyFont="1" applyFill="1"/>
    <xf numFmtId="0" fontId="19" fillId="8" borderId="0" xfId="0" applyFont="1" applyFill="1" applyAlignment="1">
      <alignment horizontal="right"/>
    </xf>
    <xf numFmtId="0" fontId="2" fillId="6" borderId="0" xfId="0" applyFont="1" applyFill="1" applyAlignment="1">
      <alignment horizontal="right"/>
    </xf>
    <xf numFmtId="183" fontId="17" fillId="2" borderId="0" xfId="0" applyNumberFormat="1" applyFont="1" applyFill="1" applyAlignment="1">
      <alignment horizontal="right"/>
    </xf>
    <xf numFmtId="10" fontId="17" fillId="2" borderId="0" xfId="0" applyNumberFormat="1" applyFont="1" applyFill="1" applyAlignment="1">
      <alignment horizontal="right"/>
    </xf>
    <xf numFmtId="184" fontId="17" fillId="2" borderId="0" xfId="0" applyNumberFormat="1" applyFont="1" applyFill="1" applyAlignment="1">
      <alignment horizontal="right"/>
    </xf>
    <xf numFmtId="183" fontId="2" fillId="2" borderId="0" xfId="0" applyNumberFormat="1" applyFont="1" applyFill="1" applyAlignment="1">
      <alignment horizontal="right"/>
    </xf>
    <xf numFmtId="10" fontId="12" fillId="2" borderId="0" xfId="0" applyNumberFormat="1" applyFont="1" applyFill="1" applyAlignment="1">
      <alignment horizontal="right"/>
    </xf>
    <xf numFmtId="183" fontId="12" fillId="2" borderId="0" xfId="0" applyNumberFormat="1" applyFont="1" applyFill="1" applyAlignment="1">
      <alignment horizontal="right"/>
    </xf>
    <xf numFmtId="10" fontId="2" fillId="2" borderId="4" xfId="0" applyNumberFormat="1" applyFont="1" applyFill="1" applyBorder="1" applyAlignment="1">
      <alignment horizontal="right"/>
    </xf>
    <xf numFmtId="183" fontId="2" fillId="2" borderId="4" xfId="0" applyNumberFormat="1" applyFont="1" applyFill="1" applyBorder="1" applyAlignment="1">
      <alignment horizontal="right"/>
    </xf>
    <xf numFmtId="10" fontId="2" fillId="2" borderId="5" xfId="0" applyNumberFormat="1" applyFont="1" applyFill="1" applyBorder="1" applyAlignment="1">
      <alignment horizontal="right"/>
    </xf>
    <xf numFmtId="170" fontId="2" fillId="2" borderId="5" xfId="0" applyNumberFormat="1" applyFont="1" applyFill="1" applyBorder="1" applyAlignment="1">
      <alignment horizontal="right"/>
    </xf>
    <xf numFmtId="41" fontId="2" fillId="2" borderId="4" xfId="0" applyNumberFormat="1" applyFont="1" applyFill="1" applyBorder="1" applyAlignment="1">
      <alignment horizontal="right"/>
    </xf>
    <xf numFmtId="0" fontId="20" fillId="8" borderId="0" xfId="0" applyFont="1" applyFill="1" applyAlignment="1">
      <alignment horizontal="right"/>
    </xf>
    <xf numFmtId="0" fontId="20" fillId="4" borderId="0" xfId="0" applyFont="1" applyFill="1" applyAlignment="1">
      <alignment horizontal="right" vertical="center"/>
    </xf>
    <xf numFmtId="0" fontId="5" fillId="4" borderId="0" xfId="0" applyFont="1" applyFill="1" applyAlignment="1">
      <alignment horizontal="center" vertical="center"/>
    </xf>
    <xf numFmtId="0" fontId="22" fillId="0" borderId="0" xfId="0" applyFont="1" applyAlignment="1">
      <alignment horizontal="right"/>
    </xf>
    <xf numFmtId="0" fontId="20" fillId="5" borderId="0" xfId="0" applyFont="1" applyFill="1" applyAlignment="1">
      <alignment horizontal="right" vertical="center"/>
    </xf>
    <xf numFmtId="0" fontId="5" fillId="5" borderId="0" xfId="0" applyFont="1" applyFill="1" applyAlignment="1">
      <alignment horizontal="center" vertical="center"/>
    </xf>
    <xf numFmtId="0" fontId="20" fillId="0" borderId="0" xfId="0" applyFont="1" applyAlignment="1">
      <alignment horizontal="left"/>
    </xf>
    <xf numFmtId="10" fontId="7" fillId="0" borderId="0" xfId="0" applyNumberFormat="1" applyFont="1"/>
    <xf numFmtId="4" fontId="7" fillId="0" borderId="0" xfId="0" applyNumberFormat="1" applyFont="1"/>
    <xf numFmtId="170" fontId="8" fillId="0" borderId="0" xfId="0" applyNumberFormat="1" applyFont="1"/>
    <xf numFmtId="169" fontId="19" fillId="0" borderId="0" xfId="0" applyNumberFormat="1" applyFont="1" applyAlignment="1">
      <alignment horizontal="right"/>
    </xf>
    <xf numFmtId="0" fontId="20" fillId="4" borderId="0" xfId="0" applyFont="1" applyFill="1" applyAlignment="1">
      <alignment horizontal="right"/>
    </xf>
    <xf numFmtId="0" fontId="5" fillId="4" borderId="0" xfId="0" applyFont="1" applyFill="1"/>
    <xf numFmtId="169" fontId="20" fillId="0" borderId="0" xfId="0" applyNumberFormat="1" applyFont="1" applyAlignment="1">
      <alignment horizontal="right"/>
    </xf>
    <xf numFmtId="0" fontId="2" fillId="0" borderId="10" xfId="0" applyFont="1" applyBorder="1"/>
    <xf numFmtId="0" fontId="2" fillId="0" borderId="8" xfId="0" applyFont="1" applyBorder="1"/>
    <xf numFmtId="0" fontId="2" fillId="0" borderId="7" xfId="0" applyFont="1" applyBorder="1"/>
    <xf numFmtId="0" fontId="2" fillId="0" borderId="12" xfId="0" applyFont="1" applyBorder="1"/>
    <xf numFmtId="0" fontId="2" fillId="9" borderId="9" xfId="0" applyFont="1" applyFill="1" applyBorder="1" applyAlignment="1">
      <alignment horizontal="right" vertical="center"/>
    </xf>
    <xf numFmtId="0" fontId="2" fillId="9" borderId="0" xfId="0" applyFont="1" applyFill="1" applyAlignment="1">
      <alignment horizontal="right" vertical="center"/>
    </xf>
    <xf numFmtId="0" fontId="2" fillId="9" borderId="0" xfId="0" applyFont="1" applyFill="1" applyAlignment="1">
      <alignment horizontal="right"/>
    </xf>
    <xf numFmtId="0" fontId="2" fillId="9" borderId="0" xfId="0" applyFont="1" applyFill="1"/>
    <xf numFmtId="0" fontId="2" fillId="9" borderId="10" xfId="0" applyFont="1" applyFill="1" applyBorder="1"/>
    <xf numFmtId="0" fontId="2" fillId="4" borderId="9" xfId="0" applyFont="1" applyFill="1" applyBorder="1" applyAlignment="1">
      <alignment horizontal="right" vertical="center"/>
    </xf>
    <xf numFmtId="0" fontId="2" fillId="4" borderId="0" xfId="0" applyFont="1" applyFill="1" applyAlignment="1">
      <alignment vertical="center"/>
    </xf>
    <xf numFmtId="0" fontId="2" fillId="4" borderId="10" xfId="0" applyFont="1" applyFill="1" applyBorder="1"/>
    <xf numFmtId="0" fontId="45" fillId="4" borderId="11" xfId="0" applyFont="1" applyFill="1" applyBorder="1" applyAlignment="1">
      <alignment horizontal="right"/>
    </xf>
    <xf numFmtId="0" fontId="39" fillId="4" borderId="12" xfId="0" applyFont="1" applyFill="1" applyBorder="1"/>
    <xf numFmtId="0" fontId="45" fillId="4" borderId="13" xfId="0" applyFont="1" applyFill="1" applyBorder="1"/>
    <xf numFmtId="0" fontId="2" fillId="9" borderId="0" xfId="0" applyFont="1" applyFill="1" applyAlignment="1">
      <alignment vertical="center"/>
    </xf>
    <xf numFmtId="0" fontId="2" fillId="0" borderId="13" xfId="0" applyFont="1" applyBorder="1"/>
    <xf numFmtId="0" fontId="46" fillId="0" borderId="12" xfId="0" applyFont="1" applyBorder="1"/>
    <xf numFmtId="0" fontId="46" fillId="0" borderId="11" xfId="0" applyFont="1" applyBorder="1" applyAlignment="1">
      <alignment horizontal="right"/>
    </xf>
    <xf numFmtId="0" fontId="17" fillId="0" borderId="13" xfId="0" applyFont="1" applyBorder="1"/>
    <xf numFmtId="0" fontId="2" fillId="0" borderId="11" xfId="0" applyFont="1" applyBorder="1"/>
    <xf numFmtId="0" fontId="46" fillId="0" borderId="0" xfId="0" applyFont="1"/>
    <xf numFmtId="0" fontId="27" fillId="0" borderId="14" xfId="0" applyFont="1" applyBorder="1"/>
    <xf numFmtId="0" fontId="9" fillId="0" borderId="15" xfId="0" applyFont="1" applyBorder="1"/>
    <xf numFmtId="0" fontId="9" fillId="0" borderId="16" xfId="0" applyFont="1" applyBorder="1"/>
    <xf numFmtId="0" fontId="2" fillId="0" borderId="10" xfId="0" applyFont="1" applyBorder="1" applyAlignment="1">
      <alignment horizontal="left"/>
    </xf>
    <xf numFmtId="0" fontId="27" fillId="0" borderId="17" xfId="0" applyFont="1" applyBorder="1"/>
    <xf numFmtId="0" fontId="9" fillId="0" borderId="18" xfId="0" applyFont="1" applyBorder="1"/>
    <xf numFmtId="0" fontId="9" fillId="0" borderId="19" xfId="0" applyFont="1" applyBorder="1"/>
    <xf numFmtId="0" fontId="46" fillId="0" borderId="9" xfId="0" applyFont="1" applyBorder="1" applyAlignment="1">
      <alignment horizontal="right"/>
    </xf>
    <xf numFmtId="0" fontId="46" fillId="0" borderId="9" xfId="0" applyFont="1" applyBorder="1"/>
    <xf numFmtId="186" fontId="46" fillId="0" borderId="9" xfId="0" applyNumberFormat="1" applyFont="1" applyBorder="1"/>
    <xf numFmtId="166" fontId="46" fillId="0" borderId="0" xfId="0" applyNumberFormat="1" applyFont="1"/>
    <xf numFmtId="165" fontId="46" fillId="0" borderId="9" xfId="0" applyNumberFormat="1" applyFont="1" applyBorder="1"/>
    <xf numFmtId="0" fontId="27" fillId="0" borderId="20" xfId="0" applyFont="1" applyBorder="1"/>
    <xf numFmtId="0" fontId="9" fillId="0" borderId="21" xfId="0" applyFont="1" applyBorder="1"/>
    <xf numFmtId="0" fontId="9" fillId="0" borderId="22" xfId="0" applyFont="1" applyBorder="1"/>
    <xf numFmtId="0" fontId="12" fillId="0" borderId="13" xfId="0" applyFont="1" applyBorder="1"/>
    <xf numFmtId="0" fontId="47" fillId="0" borderId="12" xfId="0" applyFont="1" applyBorder="1" applyAlignment="1">
      <alignment horizontal="right"/>
    </xf>
    <xf numFmtId="0" fontId="47" fillId="0" borderId="11" xfId="0" applyFont="1" applyBorder="1" applyAlignment="1">
      <alignment horizontal="right"/>
    </xf>
    <xf numFmtId="41" fontId="46" fillId="0" borderId="0" xfId="0" applyNumberFormat="1" applyFont="1"/>
    <xf numFmtId="41" fontId="46" fillId="0" borderId="9" xfId="0" applyNumberFormat="1" applyFont="1" applyBorder="1"/>
    <xf numFmtId="170" fontId="46" fillId="0" borderId="0" xfId="0" applyNumberFormat="1" applyFont="1"/>
    <xf numFmtId="183" fontId="46" fillId="0" borderId="0" xfId="0" applyNumberFormat="1" applyFont="1"/>
    <xf numFmtId="10" fontId="46" fillId="0" borderId="9" xfId="0" applyNumberFormat="1" applyFont="1" applyBorder="1"/>
    <xf numFmtId="0" fontId="2" fillId="0" borderId="10" xfId="0" quotePrefix="1" applyFont="1" applyBorder="1" applyAlignment="1">
      <alignment horizontal="left" indent="1"/>
    </xf>
    <xf numFmtId="41" fontId="48" fillId="0" borderId="0" xfId="0" applyNumberFormat="1" applyFont="1"/>
    <xf numFmtId="41" fontId="48" fillId="0" borderId="9" xfId="0" applyNumberFormat="1" applyFont="1" applyBorder="1"/>
    <xf numFmtId="0" fontId="12" fillId="0" borderId="10" xfId="0" applyFont="1" applyBorder="1"/>
    <xf numFmtId="0" fontId="47" fillId="0" borderId="0" xfId="0" applyFont="1" applyAlignment="1">
      <alignment horizontal="right"/>
    </xf>
    <xf numFmtId="0" fontId="47" fillId="0" borderId="9" xfId="0" applyFont="1" applyBorder="1" applyAlignment="1">
      <alignment horizontal="right"/>
    </xf>
    <xf numFmtId="0" fontId="2" fillId="0" borderId="10" xfId="0" quotePrefix="1" applyFont="1" applyBorder="1"/>
    <xf numFmtId="10" fontId="46" fillId="0" borderId="0" xfId="0" applyNumberFormat="1" applyFont="1"/>
    <xf numFmtId="170" fontId="46" fillId="0" borderId="9" xfId="0" applyNumberFormat="1" applyFont="1" applyBorder="1"/>
    <xf numFmtId="3" fontId="46" fillId="0" borderId="0" xfId="0" applyNumberFormat="1" applyFont="1"/>
    <xf numFmtId="3" fontId="46" fillId="0" borderId="9" xfId="0" applyNumberFormat="1" applyFont="1" applyBorder="1"/>
    <xf numFmtId="10" fontId="47" fillId="0" borderId="0" xfId="0" applyNumberFormat="1" applyFont="1"/>
    <xf numFmtId="10" fontId="47" fillId="0" borderId="9" xfId="0" applyNumberFormat="1" applyFont="1" applyBorder="1"/>
    <xf numFmtId="184" fontId="46" fillId="0" borderId="0" xfId="0" applyNumberFormat="1" applyFont="1"/>
    <xf numFmtId="184" fontId="46" fillId="0" borderId="9" xfId="0" applyNumberFormat="1" applyFont="1" applyBorder="1"/>
    <xf numFmtId="0" fontId="47" fillId="0" borderId="0" xfId="0" quotePrefix="1" applyFont="1" applyAlignment="1">
      <alignment horizontal="right"/>
    </xf>
    <xf numFmtId="170" fontId="46" fillId="0" borderId="7" xfId="0" applyNumberFormat="1" applyFont="1" applyBorder="1"/>
    <xf numFmtId="41" fontId="46" fillId="0" borderId="7" xfId="0" applyNumberFormat="1" applyFont="1" applyBorder="1"/>
    <xf numFmtId="41" fontId="46" fillId="0" borderId="6" xfId="0" applyNumberFormat="1" applyFont="1" applyBorder="1"/>
    <xf numFmtId="0" fontId="49" fillId="5" borderId="0" xfId="0" applyFont="1" applyFill="1" applyAlignment="1">
      <alignment horizontal="right" vertical="center"/>
    </xf>
    <xf numFmtId="187" fontId="46" fillId="0" borderId="9" xfId="0" applyNumberFormat="1" applyFont="1" applyBorder="1" applyAlignment="1">
      <alignment horizontal="right"/>
    </xf>
    <xf numFmtId="0" fontId="2" fillId="9" borderId="23" xfId="0" applyFont="1" applyFill="1" applyBorder="1"/>
    <xf numFmtId="0" fontId="2" fillId="9" borderId="24" xfId="0" applyFont="1" applyFill="1" applyBorder="1"/>
    <xf numFmtId="0" fontId="46" fillId="0" borderId="0" xfId="0" applyFont="1" applyAlignment="1">
      <alignment horizontal="right"/>
    </xf>
    <xf numFmtId="0" fontId="12" fillId="0" borderId="0" xfId="0" applyFont="1"/>
    <xf numFmtId="43" fontId="46" fillId="0" borderId="0" xfId="0" applyNumberFormat="1" applyFont="1"/>
    <xf numFmtId="171" fontId="46" fillId="0" borderId="0" xfId="0" applyNumberFormat="1" applyFont="1"/>
    <xf numFmtId="4" fontId="2" fillId="2" borderId="0" xfId="0" applyNumberFormat="1" applyFont="1" applyFill="1" applyAlignment="1">
      <alignment horizontal="right"/>
    </xf>
    <xf numFmtId="3" fontId="16" fillId="2" borderId="0" xfId="0" applyNumberFormat="1" applyFont="1" applyFill="1" applyAlignment="1">
      <alignment horizontal="right"/>
    </xf>
    <xf numFmtId="183" fontId="2" fillId="2" borderId="0" xfId="0" applyNumberFormat="1" applyFont="1" applyFill="1"/>
    <xf numFmtId="41" fontId="18" fillId="2" borderId="0" xfId="0" applyNumberFormat="1" applyFont="1" applyFill="1" applyAlignment="1">
      <alignment horizontal="left"/>
    </xf>
    <xf numFmtId="10" fontId="2" fillId="2" borderId="0" xfId="0" applyNumberFormat="1" applyFont="1" applyFill="1"/>
    <xf numFmtId="170" fontId="47" fillId="0" borderId="0" xfId="0" applyNumberFormat="1" applyFont="1"/>
    <xf numFmtId="0" fontId="25" fillId="0" borderId="0" xfId="0" applyFont="1"/>
    <xf numFmtId="0" fontId="2" fillId="9" borderId="24" xfId="0" applyFont="1" applyFill="1" applyBorder="1" applyAlignment="1">
      <alignment horizontal="right"/>
    </xf>
    <xf numFmtId="0" fontId="2" fillId="9" borderId="24" xfId="0" applyFont="1" applyFill="1" applyBorder="1" applyAlignment="1">
      <alignment vertical="center"/>
    </xf>
    <xf numFmtId="0" fontId="2" fillId="9" borderId="24" xfId="0" applyFont="1" applyFill="1" applyBorder="1" applyAlignment="1">
      <alignment horizontal="right" vertical="center"/>
    </xf>
    <xf numFmtId="43" fontId="48" fillId="0" borderId="0" xfId="0" applyNumberFormat="1" applyFont="1"/>
    <xf numFmtId="43" fontId="46" fillId="0" borderId="7" xfId="0" applyNumberFormat="1" applyFont="1" applyBorder="1"/>
    <xf numFmtId="0" fontId="0" fillId="0" borderId="13" xfId="0" applyBorder="1"/>
    <xf numFmtId="0" fontId="0" fillId="0" borderId="12" xfId="0" applyBorder="1"/>
    <xf numFmtId="0" fontId="0" fillId="0" borderId="11" xfId="0" applyBorder="1"/>
    <xf numFmtId="0" fontId="0" fillId="0" borderId="10" xfId="0" applyBorder="1"/>
    <xf numFmtId="0" fontId="0" fillId="0" borderId="9" xfId="0" applyBorder="1"/>
    <xf numFmtId="0" fontId="0" fillId="0" borderId="8" xfId="0" applyBorder="1"/>
    <xf numFmtId="0" fontId="0" fillId="0" borderId="7" xfId="0" applyBorder="1"/>
    <xf numFmtId="0" fontId="0" fillId="0" borderId="6" xfId="0" applyBorder="1"/>
    <xf numFmtId="41" fontId="46" fillId="0" borderId="0" xfId="0" applyNumberFormat="1" applyFont="1" applyAlignment="1">
      <alignment horizontal="right"/>
    </xf>
    <xf numFmtId="41" fontId="46" fillId="0" borderId="9" xfId="0" applyNumberFormat="1" applyFont="1" applyBorder="1" applyAlignment="1">
      <alignment horizontal="right"/>
    </xf>
    <xf numFmtId="0" fontId="2" fillId="0" borderId="0" xfId="0" quotePrefix="1" applyFont="1" applyAlignment="1">
      <alignment horizontal="left" indent="1"/>
    </xf>
    <xf numFmtId="0" fontId="2" fillId="0" borderId="0" xfId="0" quotePrefix="1" applyFont="1"/>
    <xf numFmtId="170" fontId="46" fillId="0" borderId="12" xfId="0" applyNumberFormat="1" applyFont="1" applyBorder="1"/>
    <xf numFmtId="9" fontId="46" fillId="0" borderId="11" xfId="0" applyNumberFormat="1" applyFont="1" applyBorder="1" applyAlignment="1">
      <alignment horizontal="right"/>
    </xf>
    <xf numFmtId="10" fontId="46" fillId="0" borderId="9" xfId="0" applyNumberFormat="1" applyFont="1" applyBorder="1" applyAlignment="1">
      <alignment horizontal="right"/>
    </xf>
    <xf numFmtId="171" fontId="46" fillId="0" borderId="9" xfId="0" applyNumberFormat="1" applyFont="1" applyBorder="1" applyAlignment="1">
      <alignment horizontal="right"/>
    </xf>
    <xf numFmtId="170" fontId="46" fillId="0" borderId="9" xfId="0" applyNumberFormat="1" applyFont="1" applyBorder="1" applyAlignment="1">
      <alignment horizontal="right"/>
    </xf>
    <xf numFmtId="183" fontId="46" fillId="0" borderId="9" xfId="0" applyNumberFormat="1" applyFont="1" applyBorder="1" applyAlignment="1">
      <alignment horizontal="right"/>
    </xf>
    <xf numFmtId="0" fontId="24" fillId="0" borderId="0" xfId="0" applyFont="1" applyAlignment="1">
      <alignment horizontal="center" vertical="center"/>
    </xf>
    <xf numFmtId="169" fontId="5" fillId="0" borderId="0" xfId="0" applyNumberFormat="1" applyFont="1"/>
    <xf numFmtId="0" fontId="9" fillId="0" borderId="29" xfId="0" applyFont="1" applyBorder="1"/>
    <xf numFmtId="0" fontId="9" fillId="0" borderId="28" xfId="0" applyFont="1" applyBorder="1"/>
    <xf numFmtId="0" fontId="50" fillId="9" borderId="25" xfId="0" applyFont="1" applyFill="1" applyBorder="1" applyAlignment="1">
      <alignment horizontal="center" vertical="center"/>
    </xf>
    <xf numFmtId="0" fontId="50" fillId="5" borderId="25" xfId="0" applyFont="1" applyFill="1" applyBorder="1" applyAlignment="1">
      <alignment horizontal="center" vertical="center"/>
    </xf>
    <xf numFmtId="170" fontId="51" fillId="4" borderId="25" xfId="0" applyNumberFormat="1" applyFont="1" applyFill="1" applyBorder="1" applyAlignment="1">
      <alignment horizontal="center" vertical="center"/>
    </xf>
    <xf numFmtId="0" fontId="52" fillId="2" borderId="0" xfId="0" applyFont="1" applyFill="1" applyAlignment="1">
      <alignment horizontal="left"/>
    </xf>
    <xf numFmtId="0" fontId="53" fillId="2" borderId="0" xfId="0" applyFont="1" applyFill="1"/>
    <xf numFmtId="0" fontId="20" fillId="0" borderId="0" xfId="0" applyFont="1" applyAlignment="1">
      <alignment horizontal="right" vertical="center"/>
    </xf>
    <xf numFmtId="0" fontId="5" fillId="0" borderId="0" xfId="0" applyFont="1" applyAlignment="1">
      <alignment horizontal="center" vertical="center"/>
    </xf>
    <xf numFmtId="171" fontId="2" fillId="2" borderId="1" xfId="0" applyNumberFormat="1" applyFont="1" applyFill="1" applyBorder="1" applyAlignment="1">
      <alignment horizontal="right"/>
    </xf>
    <xf numFmtId="9" fontId="20" fillId="0" borderId="0" xfId="0" applyNumberFormat="1" applyFont="1" applyAlignment="1">
      <alignment horizontal="right"/>
    </xf>
    <xf numFmtId="9" fontId="32" fillId="0" borderId="0" xfId="0" applyNumberFormat="1" applyFont="1" applyAlignment="1">
      <alignment horizontal="right"/>
    </xf>
    <xf numFmtId="0" fontId="17" fillId="2" borderId="0" xfId="0" applyFont="1" applyFill="1" applyAlignment="1">
      <alignment horizontal="left" indent="1"/>
    </xf>
    <xf numFmtId="10" fontId="15" fillId="0" borderId="0" xfId="0" applyNumberFormat="1" applyFont="1"/>
    <xf numFmtId="41" fontId="15" fillId="0" borderId="0" xfId="0" applyNumberFormat="1" applyFont="1" applyAlignment="1">
      <alignment horizontal="right"/>
    </xf>
    <xf numFmtId="0" fontId="52" fillId="2" borderId="0" xfId="0" applyFont="1" applyFill="1" applyAlignment="1">
      <alignment horizontal="right"/>
    </xf>
    <xf numFmtId="183" fontId="46" fillId="0" borderId="0" xfId="0" applyNumberFormat="1" applyFont="1" applyAlignment="1">
      <alignment horizontal="right"/>
    </xf>
    <xf numFmtId="166" fontId="37" fillId="7" borderId="0" xfId="0" applyNumberFormat="1" applyFont="1" applyFill="1"/>
    <xf numFmtId="0" fontId="32" fillId="7" borderId="0" xfId="0" applyFont="1" applyFill="1"/>
    <xf numFmtId="41" fontId="32" fillId="7" borderId="0" xfId="0" applyNumberFormat="1" applyFont="1" applyFill="1"/>
    <xf numFmtId="0" fontId="3" fillId="7" borderId="0" xfId="0" quotePrefix="1" applyFont="1" applyFill="1"/>
    <xf numFmtId="41" fontId="54" fillId="7" borderId="0" xfId="0" applyNumberFormat="1" applyFont="1" applyFill="1"/>
    <xf numFmtId="41" fontId="23" fillId="0" borderId="0" xfId="0" applyNumberFormat="1" applyFont="1" applyAlignment="1">
      <alignment horizontal="right"/>
    </xf>
    <xf numFmtId="171" fontId="5" fillId="0" borderId="0" xfId="0" applyNumberFormat="1" applyFont="1" applyAlignment="1">
      <alignment horizontal="right"/>
    </xf>
    <xf numFmtId="171" fontId="23" fillId="0" borderId="0" xfId="0" applyNumberFormat="1" applyFont="1"/>
    <xf numFmtId="171" fontId="26" fillId="2" borderId="1" xfId="0" applyNumberFormat="1" applyFont="1" applyFill="1" applyBorder="1" applyAlignment="1">
      <alignment horizontal="right"/>
    </xf>
    <xf numFmtId="171" fontId="18" fillId="2" borderId="1" xfId="0" applyNumberFormat="1" applyFont="1" applyFill="1" applyBorder="1" applyAlignment="1">
      <alignment horizontal="right"/>
    </xf>
    <xf numFmtId="0" fontId="55" fillId="0" borderId="0" xfId="0" applyFont="1"/>
    <xf numFmtId="43" fontId="2" fillId="2" borderId="2" xfId="0" applyNumberFormat="1" applyFont="1" applyFill="1" applyBorder="1"/>
    <xf numFmtId="171" fontId="10" fillId="2" borderId="3" xfId="0" applyNumberFormat="1" applyFont="1" applyFill="1" applyBorder="1"/>
    <xf numFmtId="169" fontId="3" fillId="0" borderId="13" xfId="0" applyNumberFormat="1" applyFont="1" applyBorder="1"/>
    <xf numFmtId="0" fontId="3" fillId="0" borderId="12" xfId="0" applyFont="1" applyBorder="1" applyAlignment="1">
      <alignment horizontal="right"/>
    </xf>
    <xf numFmtId="169" fontId="3" fillId="0" borderId="12" xfId="0" applyNumberFormat="1" applyFont="1" applyBorder="1"/>
    <xf numFmtId="169" fontId="2" fillId="0" borderId="12" xfId="0" applyNumberFormat="1" applyFont="1" applyBorder="1"/>
    <xf numFmtId="169" fontId="2" fillId="0" borderId="12" xfId="0" applyNumberFormat="1" applyFont="1" applyBorder="1" applyAlignment="1">
      <alignment horizontal="center" vertical="center"/>
    </xf>
    <xf numFmtId="169" fontId="2" fillId="0" borderId="11" xfId="0" applyNumberFormat="1" applyFont="1" applyBorder="1" applyAlignment="1">
      <alignment horizontal="center" vertical="center"/>
    </xf>
    <xf numFmtId="0" fontId="31" fillId="0" borderId="8" xfId="0" applyFont="1" applyBorder="1"/>
    <xf numFmtId="0" fontId="3" fillId="0" borderId="7" xfId="0" applyFont="1" applyBorder="1" applyAlignment="1">
      <alignment horizontal="right"/>
    </xf>
    <xf numFmtId="165" fontId="57" fillId="0" borderId="7" xfId="0" applyNumberFormat="1" applyFont="1" applyBorder="1"/>
    <xf numFmtId="165" fontId="10" fillId="0" borderId="7" xfId="0" applyNumberFormat="1" applyFont="1" applyBorder="1"/>
    <xf numFmtId="165" fontId="10" fillId="0" borderId="7" xfId="0" applyNumberFormat="1" applyFont="1" applyBorder="1" applyAlignment="1">
      <alignment horizontal="center" vertical="center"/>
    </xf>
    <xf numFmtId="165" fontId="10" fillId="0" borderId="6" xfId="0" applyNumberFormat="1" applyFont="1" applyBorder="1" applyAlignment="1">
      <alignment horizontal="center" vertical="center"/>
    </xf>
    <xf numFmtId="0" fontId="17" fillId="0" borderId="10" xfId="0" applyFont="1" applyBorder="1"/>
    <xf numFmtId="0" fontId="10" fillId="0" borderId="0" xfId="0" applyFont="1"/>
    <xf numFmtId="0" fontId="31" fillId="0" borderId="0" xfId="0" applyFont="1"/>
    <xf numFmtId="167" fontId="10" fillId="0" borderId="0" xfId="0" applyNumberFormat="1" applyFont="1"/>
    <xf numFmtId="0" fontId="10" fillId="0" borderId="0" xfId="0" applyFont="1" applyAlignment="1">
      <alignment horizontal="center" vertical="center"/>
    </xf>
    <xf numFmtId="0" fontId="10" fillId="0" borderId="9" xfId="0" applyFont="1" applyBorder="1" applyAlignment="1">
      <alignment horizontal="center" vertical="center"/>
    </xf>
    <xf numFmtId="0" fontId="2" fillId="0" borderId="10" xfId="0" applyFont="1" applyBorder="1" applyAlignment="1">
      <alignment horizontal="left" indent="1"/>
    </xf>
    <xf numFmtId="41" fontId="10" fillId="0" borderId="0" xfId="0" applyNumberFormat="1" applyFont="1"/>
    <xf numFmtId="41" fontId="10" fillId="0" borderId="0" xfId="0" applyNumberFormat="1" applyFont="1" applyAlignment="1">
      <alignment horizontal="center" vertical="center"/>
    </xf>
    <xf numFmtId="41" fontId="10" fillId="0" borderId="9" xfId="0" applyNumberFormat="1" applyFont="1" applyBorder="1" applyAlignment="1">
      <alignment horizontal="center" vertical="center"/>
    </xf>
    <xf numFmtId="41" fontId="10" fillId="0" borderId="0" xfId="0" applyNumberFormat="1" applyFont="1" applyAlignment="1">
      <alignment horizontal="right"/>
    </xf>
    <xf numFmtId="41" fontId="26" fillId="0" borderId="0" xfId="0" applyNumberFormat="1" applyFont="1" applyAlignment="1">
      <alignment horizontal="right"/>
    </xf>
    <xf numFmtId="41" fontId="26" fillId="0" borderId="0" xfId="0" applyNumberFormat="1" applyFont="1"/>
    <xf numFmtId="41" fontId="26" fillId="0" borderId="0" xfId="0" applyNumberFormat="1" applyFont="1" applyAlignment="1">
      <alignment horizontal="center" vertical="center"/>
    </xf>
    <xf numFmtId="41" fontId="26" fillId="0" borderId="9" xfId="0" applyNumberFormat="1" applyFont="1" applyBorder="1" applyAlignment="1">
      <alignment horizontal="center" vertical="center"/>
    </xf>
    <xf numFmtId="41" fontId="14" fillId="0" borderId="0" xfId="0" applyNumberFormat="1" applyFont="1"/>
    <xf numFmtId="166" fontId="31" fillId="0" borderId="0" xfId="0" applyNumberFormat="1" applyFont="1"/>
    <xf numFmtId="0" fontId="10" fillId="0" borderId="7" xfId="0" applyFont="1" applyBorder="1"/>
    <xf numFmtId="41" fontId="10" fillId="0" borderId="7" xfId="0" applyNumberFormat="1" applyFont="1" applyBorder="1"/>
    <xf numFmtId="41" fontId="10" fillId="0" borderId="7" xfId="0" applyNumberFormat="1" applyFont="1" applyBorder="1" applyAlignment="1">
      <alignment horizontal="right"/>
    </xf>
    <xf numFmtId="41" fontId="10" fillId="0" borderId="7" xfId="0" applyNumberFormat="1" applyFont="1" applyBorder="1" applyAlignment="1">
      <alignment vertical="center"/>
    </xf>
    <xf numFmtId="41" fontId="10" fillId="0" borderId="7" xfId="0" applyNumberFormat="1" applyFont="1" applyBorder="1" applyAlignment="1">
      <alignment horizontal="right" vertical="center"/>
    </xf>
    <xf numFmtId="41" fontId="10" fillId="0" borderId="6" xfId="0" applyNumberFormat="1" applyFont="1" applyBorder="1" applyAlignment="1">
      <alignment horizontal="right" vertical="center"/>
    </xf>
    <xf numFmtId="41" fontId="10" fillId="0" borderId="9" xfId="0" applyNumberFormat="1" applyFont="1" applyBorder="1" applyAlignment="1">
      <alignment horizontal="right"/>
    </xf>
    <xf numFmtId="41" fontId="10" fillId="0" borderId="9" xfId="0" applyNumberFormat="1" applyFont="1" applyBorder="1"/>
    <xf numFmtId="41" fontId="10" fillId="0" borderId="0" xfId="0" quotePrefix="1" applyNumberFormat="1" applyFont="1" applyAlignment="1">
      <alignment horizontal="left" indent="1"/>
    </xf>
    <xf numFmtId="41" fontId="26" fillId="0" borderId="9" xfId="0" applyNumberFormat="1" applyFont="1" applyBorder="1"/>
    <xf numFmtId="41" fontId="26" fillId="0" borderId="0" xfId="0" quotePrefix="1" applyNumberFormat="1" applyFont="1"/>
    <xf numFmtId="41" fontId="10" fillId="0" borderId="0" xfId="0" quotePrefix="1" applyNumberFormat="1" applyFont="1"/>
    <xf numFmtId="0" fontId="10" fillId="0" borderId="0" xfId="0" applyFont="1" applyAlignment="1">
      <alignment horizontal="right"/>
    </xf>
    <xf numFmtId="0" fontId="57" fillId="0" borderId="0" xfId="0" applyFont="1" applyAlignment="1">
      <alignment horizontal="right"/>
    </xf>
    <xf numFmtId="41" fontId="10" fillId="0" borderId="0" xfId="0" quotePrefix="1" applyNumberFormat="1" applyFont="1" applyAlignment="1">
      <alignment horizontal="right"/>
    </xf>
    <xf numFmtId="170" fontId="31" fillId="0" borderId="0" xfId="0" applyNumberFormat="1" applyFont="1"/>
    <xf numFmtId="41" fontId="58" fillId="0" borderId="0" xfId="0" applyNumberFormat="1" applyFont="1"/>
    <xf numFmtId="41" fontId="10" fillId="0" borderId="0" xfId="0" applyNumberFormat="1" applyFont="1" applyAlignment="1">
      <alignment horizontal="left"/>
    </xf>
    <xf numFmtId="41" fontId="10" fillId="0" borderId="0" xfId="0" applyNumberFormat="1" applyFont="1" applyAlignment="1">
      <alignment vertical="center"/>
    </xf>
    <xf numFmtId="41" fontId="10" fillId="0" borderId="9" xfId="0" applyNumberFormat="1" applyFont="1" applyBorder="1" applyAlignment="1">
      <alignment vertical="center"/>
    </xf>
    <xf numFmtId="41" fontId="10" fillId="0" borderId="6" xfId="0" applyNumberFormat="1" applyFont="1" applyBorder="1"/>
    <xf numFmtId="0" fontId="10" fillId="0" borderId="8" xfId="0" applyFont="1" applyBorder="1"/>
    <xf numFmtId="169" fontId="2" fillId="0" borderId="0" xfId="0" applyNumberFormat="1" applyFont="1"/>
    <xf numFmtId="166" fontId="12" fillId="0" borderId="0" xfId="0" applyNumberFormat="1" applyFont="1"/>
    <xf numFmtId="41" fontId="2" fillId="0" borderId="0" xfId="0" applyNumberFormat="1" applyFont="1" applyAlignment="1">
      <alignment horizontal="right"/>
    </xf>
    <xf numFmtId="41" fontId="12" fillId="0" borderId="0" xfId="0" applyNumberFormat="1" applyFont="1" applyAlignment="1">
      <alignment horizontal="right"/>
    </xf>
    <xf numFmtId="41" fontId="2" fillId="0" borderId="0" xfId="0" applyNumberFormat="1" applyFont="1"/>
    <xf numFmtId="41" fontId="12" fillId="0" borderId="0" xfId="0" applyNumberFormat="1" applyFont="1"/>
    <xf numFmtId="41" fontId="18" fillId="0" borderId="0" xfId="0" applyNumberFormat="1" applyFont="1"/>
    <xf numFmtId="15" fontId="2" fillId="0" borderId="0" xfId="0" applyNumberFormat="1" applyFont="1"/>
    <xf numFmtId="0" fontId="17" fillId="0" borderId="0" xfId="0" applyFont="1"/>
    <xf numFmtId="41" fontId="26" fillId="0" borderId="0" xfId="0" quotePrefix="1" applyNumberFormat="1" applyFont="1" applyAlignment="1">
      <alignment horizontal="left" indent="1"/>
    </xf>
    <xf numFmtId="0" fontId="25" fillId="2" borderId="0" xfId="0" quotePrefix="1" applyFont="1" applyFill="1"/>
    <xf numFmtId="10" fontId="10" fillId="2" borderId="0" xfId="0" applyNumberFormat="1" applyFont="1" applyFill="1"/>
    <xf numFmtId="43" fontId="3" fillId="0" borderId="0" xfId="0" applyNumberFormat="1" applyFont="1" applyAlignment="1">
      <alignment horizontal="right"/>
    </xf>
    <xf numFmtId="41" fontId="31" fillId="0" borderId="0" xfId="0" applyNumberFormat="1" applyFont="1" applyAlignment="1">
      <alignment horizontal="right"/>
    </xf>
    <xf numFmtId="41" fontId="27" fillId="0" borderId="0" xfId="0" applyNumberFormat="1" applyFont="1" applyAlignment="1">
      <alignment horizontal="right"/>
    </xf>
    <xf numFmtId="41" fontId="3" fillId="0" borderId="0" xfId="0" applyNumberFormat="1" applyFont="1" applyAlignment="1">
      <alignment horizontal="right"/>
    </xf>
    <xf numFmtId="0" fontId="10" fillId="0" borderId="0" xfId="0" applyFont="1" applyAlignment="1">
      <alignment horizontal="left"/>
    </xf>
    <xf numFmtId="43" fontId="35" fillId="2" borderId="0" xfId="0" applyNumberFormat="1" applyFont="1" applyFill="1" applyAlignment="1">
      <alignment horizontal="right"/>
    </xf>
    <xf numFmtId="41" fontId="41" fillId="2" borderId="0" xfId="0" applyNumberFormat="1" applyFont="1" applyFill="1" applyAlignment="1">
      <alignment horizontal="right"/>
    </xf>
    <xf numFmtId="41" fontId="59" fillId="2" borderId="0" xfId="0" applyNumberFormat="1" applyFont="1" applyFill="1" applyAlignment="1">
      <alignment horizontal="right"/>
    </xf>
    <xf numFmtId="41" fontId="35" fillId="2" borderId="0" xfId="0" applyNumberFormat="1" applyFont="1" applyFill="1" applyAlignment="1">
      <alignment horizontal="right"/>
    </xf>
    <xf numFmtId="0" fontId="14" fillId="2" borderId="0" xfId="0" applyFont="1" applyFill="1" applyAlignment="1">
      <alignment horizontal="left"/>
    </xf>
    <xf numFmtId="43" fontId="3" fillId="2" borderId="0" xfId="0" applyNumberFormat="1" applyFont="1" applyFill="1" applyAlignment="1">
      <alignment horizontal="right"/>
    </xf>
    <xf numFmtId="41" fontId="31" fillId="2" borderId="0" xfId="0" applyNumberFormat="1" applyFont="1" applyFill="1" applyAlignment="1">
      <alignment horizontal="right"/>
    </xf>
    <xf numFmtId="0" fontId="10" fillId="2" borderId="0" xfId="0" applyFont="1" applyFill="1" applyAlignment="1">
      <alignment horizontal="left"/>
    </xf>
    <xf numFmtId="43" fontId="33" fillId="2" borderId="0" xfId="0" applyNumberFormat="1" applyFont="1" applyFill="1" applyAlignment="1">
      <alignment horizontal="right"/>
    </xf>
    <xf numFmtId="41" fontId="60" fillId="2" borderId="0" xfId="0" applyNumberFormat="1" applyFont="1" applyFill="1" applyAlignment="1">
      <alignment horizontal="right"/>
    </xf>
    <xf numFmtId="0" fontId="37" fillId="2" borderId="0" xfId="0" quotePrefix="1" applyFont="1" applyFill="1" applyAlignment="1">
      <alignment horizontal="right"/>
    </xf>
    <xf numFmtId="0" fontId="37" fillId="2" borderId="0" xfId="0" applyFont="1" applyFill="1" applyAlignment="1">
      <alignment horizontal="right"/>
    </xf>
    <xf numFmtId="170" fontId="27" fillId="2" borderId="0" xfId="0" quotePrefix="1" applyNumberFormat="1" applyFont="1" applyFill="1" applyAlignment="1">
      <alignment horizontal="right"/>
    </xf>
    <xf numFmtId="188" fontId="27" fillId="2" borderId="0" xfId="0" applyNumberFormat="1" applyFont="1" applyFill="1" applyAlignment="1">
      <alignment horizontal="right"/>
    </xf>
    <xf numFmtId="0" fontId="27" fillId="2" borderId="0" xfId="0" applyFont="1" applyFill="1" applyAlignment="1">
      <alignment horizontal="right"/>
    </xf>
    <xf numFmtId="166" fontId="27" fillId="2" borderId="0" xfId="0" applyNumberFormat="1" applyFont="1" applyFill="1" applyAlignment="1">
      <alignment horizontal="right"/>
    </xf>
    <xf numFmtId="10" fontId="61" fillId="2" borderId="0" xfId="0" applyNumberFormat="1" applyFont="1" applyFill="1" applyAlignment="1">
      <alignment horizontal="right"/>
    </xf>
    <xf numFmtId="41" fontId="14" fillId="2" borderId="0" xfId="0" applyNumberFormat="1" applyFont="1" applyFill="1" applyAlignment="1">
      <alignment horizontal="right"/>
    </xf>
    <xf numFmtId="166" fontId="62" fillId="2" borderId="0" xfId="0" applyNumberFormat="1" applyFont="1" applyFill="1" applyAlignment="1">
      <alignment horizontal="right"/>
    </xf>
    <xf numFmtId="0" fontId="63" fillId="0" borderId="0" xfId="0" applyFont="1"/>
    <xf numFmtId="9" fontId="27" fillId="2" borderId="0" xfId="0" applyNumberFormat="1" applyFont="1" applyFill="1" applyAlignment="1">
      <alignment horizontal="right"/>
    </xf>
    <xf numFmtId="43" fontId="27" fillId="2" borderId="0" xfId="0" applyNumberFormat="1" applyFont="1" applyFill="1" applyAlignment="1">
      <alignment horizontal="right"/>
    </xf>
    <xf numFmtId="0" fontId="64" fillId="2" borderId="0" xfId="0" applyFont="1" applyFill="1" applyAlignment="1">
      <alignment horizontal="right"/>
    </xf>
    <xf numFmtId="0" fontId="0" fillId="4" borderId="0" xfId="0" applyFill="1"/>
    <xf numFmtId="0" fontId="2" fillId="4" borderId="0" xfId="0" applyFont="1" applyFill="1" applyAlignment="1">
      <alignment horizontal="center" vertical="center"/>
    </xf>
    <xf numFmtId="0" fontId="3" fillId="0" borderId="0" xfId="0" applyFont="1" applyAlignment="1">
      <alignment vertical="top"/>
    </xf>
    <xf numFmtId="184" fontId="5" fillId="0" borderId="0" xfId="0" applyNumberFormat="1" applyFont="1" applyAlignment="1">
      <alignment horizontal="left" vertical="top"/>
    </xf>
    <xf numFmtId="3" fontId="5" fillId="0" borderId="0" xfId="0" applyNumberFormat="1" applyFont="1" applyAlignment="1">
      <alignment horizontal="left" vertical="top"/>
    </xf>
    <xf numFmtId="10" fontId="5" fillId="0" borderId="0" xfId="0" applyNumberFormat="1" applyFont="1" applyAlignment="1">
      <alignment horizontal="right" vertical="top"/>
    </xf>
    <xf numFmtId="170" fontId="5" fillId="0" borderId="0" xfId="0" applyNumberFormat="1" applyFont="1" applyAlignment="1">
      <alignment horizontal="left" vertical="top"/>
    </xf>
    <xf numFmtId="0" fontId="5" fillId="0" borderId="0" xfId="0" applyFont="1" applyAlignment="1">
      <alignment horizontal="right" vertical="top"/>
    </xf>
    <xf numFmtId="0" fontId="24" fillId="0" borderId="0" xfId="0" applyFont="1" applyAlignment="1">
      <alignment vertical="top"/>
    </xf>
    <xf numFmtId="0" fontId="16" fillId="2" borderId="0" xfId="0" applyFont="1" applyFill="1"/>
    <xf numFmtId="0" fontId="10" fillId="5" borderId="0" xfId="0" applyFont="1" applyFill="1" applyAlignment="1">
      <alignment horizontal="left"/>
    </xf>
    <xf numFmtId="0" fontId="42" fillId="4" borderId="0" xfId="0" applyFont="1" applyFill="1" applyAlignment="1">
      <alignment horizontal="left"/>
    </xf>
    <xf numFmtId="0" fontId="24" fillId="4" borderId="0" xfId="0" applyFont="1" applyFill="1" applyAlignment="1">
      <alignment horizontal="center"/>
    </xf>
    <xf numFmtId="0" fontId="66" fillId="4" borderId="0" xfId="0" applyFont="1" applyFill="1"/>
    <xf numFmtId="0" fontId="3" fillId="5" borderId="0" xfId="0" applyFont="1" applyFill="1"/>
    <xf numFmtId="0" fontId="0" fillId="5" borderId="0" xfId="0" applyFill="1"/>
    <xf numFmtId="0" fontId="65" fillId="5" borderId="0" xfId="0" applyFont="1" applyFill="1" applyAlignment="1">
      <alignment horizontal="right"/>
    </xf>
    <xf numFmtId="0" fontId="3" fillId="11" borderId="0" xfId="0" applyFont="1" applyFill="1"/>
    <xf numFmtId="43" fontId="31" fillId="2" borderId="0" xfId="0" applyNumberFormat="1" applyFont="1" applyFill="1" applyAlignment="1">
      <alignment horizontal="right"/>
    </xf>
    <xf numFmtId="189" fontId="3" fillId="5" borderId="0" xfId="0" applyNumberFormat="1" applyFont="1" applyFill="1"/>
    <xf numFmtId="0" fontId="5" fillId="0" borderId="0" xfId="0" applyFont="1" applyAlignment="1">
      <alignment vertical="top"/>
    </xf>
    <xf numFmtId="0" fontId="2" fillId="0" borderId="0" xfId="0" quotePrefix="1" applyFont="1" applyAlignment="1">
      <alignment horizontal="left" indent="2"/>
    </xf>
    <xf numFmtId="0" fontId="27" fillId="5" borderId="0" xfId="0" applyFont="1" applyFill="1"/>
    <xf numFmtId="0" fontId="3" fillId="2" borderId="0" xfId="0" applyFont="1" applyFill="1"/>
    <xf numFmtId="0" fontId="3" fillId="2" borderId="0" xfId="0" applyFont="1" applyFill="1" applyAlignment="1">
      <alignment horizontal="left" indent="1"/>
    </xf>
    <xf numFmtId="0" fontId="31" fillId="5" borderId="0" xfId="0" applyFont="1" applyFill="1" applyAlignment="1">
      <alignment horizontal="right"/>
    </xf>
    <xf numFmtId="189" fontId="31" fillId="5" borderId="0" xfId="0" applyNumberFormat="1" applyFont="1" applyFill="1" applyAlignment="1">
      <alignment horizontal="right"/>
    </xf>
    <xf numFmtId="0" fontId="13" fillId="2" borderId="0" xfId="0" applyFont="1" applyFill="1" applyAlignment="1">
      <alignment horizontal="right"/>
    </xf>
    <xf numFmtId="3" fontId="20" fillId="0" borderId="0" xfId="0" applyNumberFormat="1" applyFont="1" applyAlignment="1">
      <alignment horizontal="right"/>
    </xf>
    <xf numFmtId="9" fontId="5" fillId="7" borderId="0" xfId="0" applyNumberFormat="1" applyFont="1" applyFill="1"/>
    <xf numFmtId="9" fontId="11" fillId="7" borderId="0" xfId="0" applyNumberFormat="1" applyFont="1" applyFill="1"/>
    <xf numFmtId="190" fontId="9" fillId="2" borderId="0" xfId="0" applyNumberFormat="1" applyFont="1" applyFill="1" applyAlignment="1">
      <alignment horizontal="right"/>
    </xf>
    <xf numFmtId="0" fontId="17" fillId="2" borderId="0" xfId="0" quotePrefix="1" applyFont="1" applyFill="1" applyAlignment="1">
      <alignment horizontal="right"/>
    </xf>
    <xf numFmtId="3" fontId="5" fillId="7" borderId="0" xfId="0" applyNumberFormat="1" applyFont="1" applyFill="1" applyAlignment="1">
      <alignment horizontal="right"/>
    </xf>
    <xf numFmtId="0" fontId="2" fillId="2" borderId="30" xfId="0" applyFont="1" applyFill="1" applyBorder="1" applyAlignment="1">
      <alignment horizontal="right"/>
    </xf>
    <xf numFmtId="0" fontId="12" fillId="2" borderId="31" xfId="0" applyFont="1" applyFill="1" applyBorder="1" applyAlignment="1">
      <alignment horizontal="right"/>
    </xf>
    <xf numFmtId="0" fontId="9" fillId="2" borderId="31" xfId="0" applyFont="1" applyFill="1" applyBorder="1" applyAlignment="1">
      <alignment horizontal="right"/>
    </xf>
    <xf numFmtId="0" fontId="2" fillId="2" borderId="31" xfId="0" applyFont="1" applyFill="1" applyBorder="1"/>
    <xf numFmtId="0" fontId="2" fillId="6" borderId="30" xfId="0" applyFont="1" applyFill="1" applyBorder="1" applyAlignment="1">
      <alignment horizontal="left"/>
    </xf>
    <xf numFmtId="10" fontId="9" fillId="2" borderId="0" xfId="0" applyNumberFormat="1" applyFont="1" applyFill="1" applyAlignment="1">
      <alignment horizontal="left"/>
    </xf>
    <xf numFmtId="0" fontId="9" fillId="6" borderId="31" xfId="0" applyFont="1" applyFill="1" applyBorder="1" applyAlignment="1">
      <alignment horizontal="right"/>
    </xf>
    <xf numFmtId="166" fontId="27" fillId="2" borderId="0" xfId="0" applyNumberFormat="1" applyFont="1" applyFill="1" applyAlignment="1">
      <alignment horizontal="left"/>
    </xf>
    <xf numFmtId="0" fontId="0" fillId="0" borderId="15" xfId="0" applyBorder="1"/>
    <xf numFmtId="0" fontId="43" fillId="0" borderId="15" xfId="0" applyFont="1" applyBorder="1" applyAlignment="1">
      <alignment horizontal="left"/>
    </xf>
    <xf numFmtId="0" fontId="43" fillId="0" borderId="15" xfId="0" applyFont="1" applyBorder="1" applyAlignment="1">
      <alignment horizontal="right"/>
    </xf>
    <xf numFmtId="10" fontId="44" fillId="0" borderId="15" xfId="0" applyNumberFormat="1" applyFont="1" applyBorder="1"/>
    <xf numFmtId="9" fontId="20" fillId="0" borderId="0" xfId="0" applyNumberFormat="1" applyFont="1" applyAlignment="1">
      <alignment horizontal="left"/>
    </xf>
    <xf numFmtId="171" fontId="7" fillId="0" borderId="0" xfId="0" applyNumberFormat="1" applyFont="1"/>
    <xf numFmtId="0" fontId="67" fillId="8" borderId="0" xfId="0" applyFont="1" applyFill="1" applyAlignment="1">
      <alignment horizontal="right"/>
    </xf>
    <xf numFmtId="169" fontId="5" fillId="8" borderId="0" xfId="0" applyNumberFormat="1" applyFont="1" applyFill="1"/>
    <xf numFmtId="0" fontId="20" fillId="0" borderId="32" xfId="0" applyFont="1" applyBorder="1" applyAlignment="1">
      <alignment horizontal="right"/>
    </xf>
    <xf numFmtId="165" fontId="5" fillId="0" borderId="33" xfId="0" applyNumberFormat="1" applyFont="1" applyBorder="1" applyAlignment="1">
      <alignment horizontal="left"/>
    </xf>
    <xf numFmtId="0" fontId="3" fillId="0" borderId="34" xfId="0" applyFont="1" applyBorder="1"/>
    <xf numFmtId="0" fontId="3" fillId="0" borderId="35" xfId="0" applyFont="1" applyBorder="1" applyAlignment="1">
      <alignment horizontal="left"/>
    </xf>
    <xf numFmtId="0" fontId="20" fillId="0" borderId="36" xfId="0" applyFont="1" applyBorder="1" applyAlignment="1">
      <alignment horizontal="right"/>
    </xf>
    <xf numFmtId="173" fontId="5" fillId="0" borderId="37" xfId="0" applyNumberFormat="1" applyFont="1" applyBorder="1" applyAlignment="1">
      <alignment horizontal="left"/>
    </xf>
    <xf numFmtId="0" fontId="20" fillId="0" borderId="0" xfId="0" quotePrefix="1" applyFont="1" applyAlignment="1">
      <alignment horizontal="right"/>
    </xf>
    <xf numFmtId="10" fontId="68" fillId="2" borderId="0" xfId="0" applyNumberFormat="1" applyFont="1" applyFill="1" applyAlignment="1">
      <alignment horizontal="right"/>
    </xf>
    <xf numFmtId="3" fontId="8" fillId="0" borderId="0" xfId="0" applyNumberFormat="1" applyFont="1"/>
    <xf numFmtId="0" fontId="69" fillId="0" borderId="0" xfId="0" applyFont="1" applyAlignment="1">
      <alignment horizontal="right"/>
    </xf>
    <xf numFmtId="10" fontId="71" fillId="0" borderId="0" xfId="0" applyNumberFormat="1" applyFont="1"/>
    <xf numFmtId="191" fontId="68" fillId="2" borderId="0" xfId="0" applyNumberFormat="1" applyFont="1" applyFill="1" applyAlignment="1">
      <alignment horizontal="right"/>
    </xf>
    <xf numFmtId="10" fontId="72" fillId="0" borderId="0" xfId="0" applyNumberFormat="1" applyFont="1"/>
    <xf numFmtId="0" fontId="5" fillId="0" borderId="0" xfId="0" applyFont="1" applyAlignment="1">
      <alignment horizontal="right" vertical="center"/>
    </xf>
    <xf numFmtId="192" fontId="32" fillId="7" borderId="0" xfId="0" applyNumberFormat="1" applyFont="1" applyFill="1" applyAlignment="1">
      <alignment horizontal="right"/>
    </xf>
    <xf numFmtId="0" fontId="19" fillId="2" borderId="0" xfId="0" applyFont="1" applyFill="1" applyAlignment="1">
      <alignment horizontal="right"/>
    </xf>
    <xf numFmtId="41" fontId="20" fillId="2" borderId="0" xfId="0" applyNumberFormat="1" applyFont="1" applyFill="1"/>
    <xf numFmtId="41" fontId="73" fillId="2" borderId="0" xfId="0" applyNumberFormat="1" applyFont="1" applyFill="1"/>
    <xf numFmtId="0" fontId="20" fillId="2" borderId="0" xfId="0" applyFont="1" applyFill="1" applyAlignment="1">
      <alignment wrapText="1"/>
    </xf>
    <xf numFmtId="0" fontId="74" fillId="2" borderId="0" xfId="1" applyFont="1" applyFill="1" applyAlignment="1"/>
    <xf numFmtId="0" fontId="27" fillId="0" borderId="38" xfId="0" applyFont="1" applyBorder="1"/>
    <xf numFmtId="185" fontId="46" fillId="0" borderId="9" xfId="0" applyNumberFormat="1" applyFont="1" applyBorder="1" applyAlignment="1">
      <alignment horizontal="right"/>
    </xf>
    <xf numFmtId="166" fontId="75" fillId="2" borderId="0" xfId="0" applyNumberFormat="1" applyFont="1" applyFill="1" applyAlignment="1">
      <alignment horizontal="right"/>
    </xf>
    <xf numFmtId="170" fontId="68" fillId="2" borderId="0" xfId="0" applyNumberFormat="1" applyFont="1" applyFill="1" applyAlignment="1">
      <alignment horizontal="right"/>
    </xf>
    <xf numFmtId="166" fontId="76" fillId="2" borderId="0" xfId="0" applyNumberFormat="1" applyFont="1" applyFill="1" applyAlignment="1">
      <alignment horizontal="right"/>
    </xf>
    <xf numFmtId="41" fontId="77" fillId="2" borderId="0" xfId="0" applyNumberFormat="1" applyFont="1" applyFill="1" applyAlignment="1">
      <alignment horizontal="right"/>
    </xf>
    <xf numFmtId="170" fontId="25" fillId="2" borderId="0" xfId="0" applyNumberFormat="1" applyFont="1" applyFill="1" applyAlignment="1">
      <alignment horizontal="right"/>
    </xf>
    <xf numFmtId="0" fontId="1" fillId="0" borderId="39" xfId="0" applyFont="1" applyBorder="1"/>
    <xf numFmtId="41" fontId="78" fillId="2" borderId="0" xfId="0" applyNumberFormat="1" applyFont="1" applyFill="1" applyAlignment="1">
      <alignment horizontal="right"/>
    </xf>
    <xf numFmtId="0" fontId="2" fillId="12" borderId="0" xfId="0" applyFont="1" applyFill="1"/>
    <xf numFmtId="0" fontId="3" fillId="12" borderId="0" xfId="0" applyFont="1" applyFill="1" applyAlignment="1">
      <alignment horizontal="right"/>
    </xf>
    <xf numFmtId="0" fontId="24" fillId="12" borderId="0" xfId="0" applyFont="1" applyFill="1"/>
    <xf numFmtId="0" fontId="68" fillId="0" borderId="0" xfId="0" applyFont="1"/>
    <xf numFmtId="0" fontId="68" fillId="0" borderId="0" xfId="0" quotePrefix="1" applyFont="1"/>
    <xf numFmtId="4" fontId="9" fillId="2" borderId="0" xfId="0" applyNumberFormat="1" applyFont="1" applyFill="1" applyAlignment="1">
      <alignment horizontal="right"/>
    </xf>
    <xf numFmtId="0" fontId="68" fillId="5" borderId="0" xfId="0" applyFont="1" applyFill="1" applyAlignment="1">
      <alignment horizontal="center" vertical="center"/>
    </xf>
    <xf numFmtId="189" fontId="25" fillId="2" borderId="0" xfId="0" applyNumberFormat="1" applyFont="1" applyFill="1"/>
    <xf numFmtId="193" fontId="25" fillId="2" borderId="0" xfId="0" applyNumberFormat="1" applyFont="1" applyFill="1"/>
    <xf numFmtId="4" fontId="9" fillId="2" borderId="3" xfId="0" applyNumberFormat="1" applyFont="1" applyFill="1" applyBorder="1"/>
    <xf numFmtId="168" fontId="46" fillId="0" borderId="9" xfId="0" applyNumberFormat="1" applyFont="1" applyBorder="1"/>
    <xf numFmtId="4" fontId="46" fillId="0" borderId="9" xfId="0" applyNumberFormat="1" applyFont="1" applyBorder="1" applyAlignment="1">
      <alignment horizontal="right"/>
    </xf>
    <xf numFmtId="183" fontId="2" fillId="0" borderId="0" xfId="0" applyNumberFormat="1" applyFont="1" applyAlignment="1">
      <alignment horizontal="right"/>
    </xf>
    <xf numFmtId="10" fontId="2" fillId="0" borderId="0" xfId="0" applyNumberFormat="1" applyFont="1" applyAlignment="1">
      <alignment horizontal="right"/>
    </xf>
    <xf numFmtId="0" fontId="12" fillId="0" borderId="0" xfId="0" applyFont="1" applyAlignment="1">
      <alignment horizontal="right"/>
    </xf>
    <xf numFmtId="0" fontId="20" fillId="0" borderId="10" xfId="0" quotePrefix="1" applyFont="1" applyBorder="1"/>
    <xf numFmtId="41" fontId="32" fillId="0" borderId="0" xfId="0" applyNumberFormat="1" applyFont="1" applyAlignment="1">
      <alignment horizontal="right"/>
    </xf>
    <xf numFmtId="41" fontId="32" fillId="0" borderId="0" xfId="0" applyNumberFormat="1" applyFont="1"/>
    <xf numFmtId="0" fontId="2" fillId="0" borderId="0" xfId="0" applyFont="1" applyAlignment="1">
      <alignment horizontal="center" vertical="center"/>
    </xf>
    <xf numFmtId="0" fontId="20" fillId="0" borderId="0" xfId="0" applyFont="1" applyAlignment="1">
      <alignment horizontal="left" indent="1"/>
    </xf>
    <xf numFmtId="0" fontId="28" fillId="0" borderId="0" xfId="0" applyFont="1" applyAlignment="1">
      <alignment vertical="top"/>
    </xf>
    <xf numFmtId="0" fontId="2" fillId="5" borderId="0" xfId="0" applyFont="1" applyFill="1" applyAlignment="1">
      <alignment horizontal="center" vertical="center"/>
    </xf>
    <xf numFmtId="0" fontId="56" fillId="10" borderId="0" xfId="1" applyFont="1" applyFill="1" applyAlignment="1">
      <alignment horizontal="center" vertical="center" wrapText="1"/>
    </xf>
    <xf numFmtId="0" fontId="6" fillId="0" borderId="0" xfId="1" applyFill="1" applyAlignment="1">
      <alignment horizontal="left"/>
    </xf>
    <xf numFmtId="0" fontId="5" fillId="0" borderId="0" xfId="0" applyFont="1" applyAlignment="1">
      <alignment wrapText="1"/>
    </xf>
    <xf numFmtId="0" fontId="6" fillId="0" borderId="0" xfId="1" applyFill="1"/>
    <xf numFmtId="0" fontId="6" fillId="0" borderId="0" xfId="1" applyAlignment="1">
      <alignment horizontal="left"/>
    </xf>
    <xf numFmtId="0" fontId="6" fillId="0" borderId="0" xfId="1"/>
    <xf numFmtId="0" fontId="2" fillId="0" borderId="13" xfId="0" applyFont="1" applyBorder="1" applyAlignment="1">
      <alignment horizontal="center" vertical="center"/>
    </xf>
    <xf numFmtId="0" fontId="2" fillId="0" borderId="12" xfId="0" applyFont="1" applyBorder="1" applyAlignment="1">
      <alignment horizontal="center" vertical="center"/>
    </xf>
    <xf numFmtId="0" fontId="2" fillId="0" borderId="11" xfId="0" applyFont="1" applyBorder="1" applyAlignment="1">
      <alignment horizontal="center" vertical="center"/>
    </xf>
    <xf numFmtId="0" fontId="2" fillId="0" borderId="10" xfId="0" applyFont="1" applyBorder="1" applyAlignment="1">
      <alignment horizontal="center" vertical="center"/>
    </xf>
    <xf numFmtId="0" fontId="2" fillId="0" borderId="0" xfId="0" applyFont="1" applyAlignment="1">
      <alignment horizontal="center" vertical="center"/>
    </xf>
    <xf numFmtId="0" fontId="2" fillId="0" borderId="9" xfId="0" applyFont="1" applyBorder="1" applyAlignment="1">
      <alignment horizontal="center" vertical="center"/>
    </xf>
    <xf numFmtId="0" fontId="2" fillId="0" borderId="8" xfId="0" applyFont="1" applyBorder="1" applyAlignment="1">
      <alignment horizontal="center" vertical="center"/>
    </xf>
    <xf numFmtId="0" fontId="2" fillId="0" borderId="7" xfId="0" applyFont="1" applyBorder="1" applyAlignment="1">
      <alignment horizontal="center" vertical="center"/>
    </xf>
    <xf numFmtId="0" fontId="2" fillId="0" borderId="6" xfId="0" applyFont="1" applyBorder="1" applyAlignment="1">
      <alignment horizontal="center" vertical="center"/>
    </xf>
    <xf numFmtId="0" fontId="70" fillId="0" borderId="0" xfId="1" applyFont="1" applyFill="1" applyAlignment="1">
      <alignment horizontal="left" vertical="center"/>
    </xf>
    <xf numFmtId="0" fontId="17" fillId="2" borderId="2" xfId="0" applyFont="1" applyFill="1" applyBorder="1" applyAlignment="1">
      <alignment horizontal="center"/>
    </xf>
    <xf numFmtId="0" fontId="17" fillId="2" borderId="3" xfId="0" applyFont="1" applyFill="1" applyBorder="1" applyAlignment="1">
      <alignment horizontal="center"/>
    </xf>
    <xf numFmtId="0" fontId="24" fillId="4" borderId="0" xfId="0" applyFont="1" applyFill="1" applyAlignment="1">
      <alignment horizontal="center" vertical="center"/>
    </xf>
    <xf numFmtId="0" fontId="0" fillId="5" borderId="0" xfId="0" applyFill="1" applyAlignment="1">
      <alignment horizontal="center" vertical="center"/>
    </xf>
    <xf numFmtId="0" fontId="10" fillId="0" borderId="26" xfId="0" applyFont="1" applyBorder="1" applyAlignment="1">
      <alignment horizontal="center" vertical="center"/>
    </xf>
    <xf numFmtId="0" fontId="10" fillId="0" borderId="27" xfId="0" applyFont="1" applyBorder="1" applyAlignment="1">
      <alignment horizontal="center" vertical="center"/>
    </xf>
    <xf numFmtId="0" fontId="2" fillId="0" borderId="26" xfId="0" applyFont="1" applyBorder="1" applyAlignment="1">
      <alignment horizontal="center"/>
    </xf>
    <xf numFmtId="0" fontId="2" fillId="0" borderId="27" xfId="0" applyFont="1" applyBorder="1" applyAlignment="1">
      <alignment horizontal="center"/>
    </xf>
    <xf numFmtId="0" fontId="50" fillId="9" borderId="26" xfId="0" applyFont="1" applyFill="1" applyBorder="1" applyAlignment="1">
      <alignment horizontal="center" vertical="center"/>
    </xf>
    <xf numFmtId="0" fontId="50" fillId="9" borderId="27" xfId="0" applyFont="1" applyFill="1" applyBorder="1" applyAlignment="1">
      <alignment horizontal="center" vertical="center"/>
    </xf>
    <xf numFmtId="0" fontId="50" fillId="5" borderId="26" xfId="0" applyFont="1" applyFill="1" applyBorder="1" applyAlignment="1">
      <alignment horizontal="center" vertical="center"/>
    </xf>
    <xf numFmtId="0" fontId="50" fillId="5" borderId="27" xfId="0" applyFont="1" applyFill="1" applyBorder="1" applyAlignment="1">
      <alignment horizontal="center" vertical="center"/>
    </xf>
  </cellXfs>
  <cellStyles count="2">
    <cellStyle name="Hyperlink" xfId="1" builtinId="8"/>
    <cellStyle name="Normal" xfId="0" builtinId="0"/>
  </cellStyles>
  <dxfs count="55">
    <dxf>
      <font>
        <color theme="0"/>
      </font>
      <fill>
        <patternFill>
          <bgColor rgb="FFFF0000"/>
        </patternFill>
      </fill>
    </dxf>
    <dxf>
      <font>
        <color theme="0"/>
      </font>
    </dxf>
    <dxf>
      <font>
        <color theme="0"/>
      </font>
    </dxf>
    <dxf>
      <font>
        <color rgb="FF0000FF"/>
      </font>
    </dxf>
    <dxf>
      <font>
        <color rgb="FF0000FF"/>
      </font>
      <fill>
        <patternFill>
          <bgColor rgb="FFEAF5FC"/>
        </patternFill>
      </fill>
    </dxf>
    <dxf>
      <font>
        <color theme="0"/>
      </font>
    </dxf>
    <dxf>
      <font>
        <color rgb="FFE6E6E6"/>
      </font>
    </dxf>
    <dxf>
      <font>
        <color rgb="FFE6E6E6"/>
      </font>
    </dxf>
    <dxf>
      <font>
        <color rgb="FFE6E6E6"/>
      </font>
    </dxf>
    <dxf>
      <font>
        <color rgb="FFE6E6E6"/>
      </font>
    </dxf>
    <dxf>
      <font>
        <color theme="0"/>
      </font>
    </dxf>
    <dxf>
      <font>
        <color rgb="FFE6E6E6"/>
      </font>
    </dxf>
    <dxf>
      <font>
        <color rgb="FFE6E6E6"/>
      </font>
    </dxf>
    <dxf>
      <font>
        <color theme="0" tint="-0.34998626667073579"/>
      </font>
      <numFmt numFmtId="194" formatCode="&quot;Detail&quot;"/>
    </dxf>
    <dxf>
      <font>
        <color theme="0"/>
      </font>
    </dxf>
    <dxf>
      <font>
        <color rgb="FFE6E6E6"/>
      </font>
      <fill>
        <patternFill>
          <bgColor rgb="FFE6E6E6"/>
        </patternFill>
      </fill>
    </dxf>
    <dxf>
      <font>
        <color rgb="FFE6E6E6"/>
      </font>
    </dxf>
    <dxf>
      <font>
        <color rgb="FF008000"/>
      </font>
    </dxf>
    <dxf>
      <font>
        <color theme="5"/>
      </font>
      <fill>
        <patternFill patternType="none">
          <bgColor auto="1"/>
        </patternFill>
      </fill>
    </dxf>
    <dxf>
      <font>
        <color theme="5"/>
      </font>
      <fill>
        <patternFill patternType="none">
          <bgColor auto="1"/>
        </patternFill>
      </fill>
    </dxf>
    <dxf>
      <font>
        <color theme="0" tint="-0.34998626667073579"/>
      </font>
      <numFmt numFmtId="195" formatCode="&quot;Detailed&quot;"/>
      <fill>
        <patternFill>
          <bgColor rgb="FFE6E6E6"/>
        </patternFill>
      </fill>
    </dxf>
    <dxf>
      <font>
        <color rgb="FFE6E6E6"/>
      </font>
    </dxf>
    <dxf>
      <font>
        <color rgb="FFE6E6E6"/>
      </font>
    </dxf>
    <dxf>
      <font>
        <color theme="5"/>
      </font>
      <fill>
        <patternFill patternType="none">
          <bgColor auto="1"/>
        </patternFill>
      </fill>
    </dxf>
    <dxf>
      <font>
        <color theme="5"/>
      </font>
      <fill>
        <patternFill patternType="none">
          <bgColor auto="1"/>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rgb="FF0000FF"/>
      </font>
      <fill>
        <patternFill>
          <bgColor rgb="FFEAF5FC"/>
        </patternFill>
      </fill>
    </dxf>
    <dxf>
      <font>
        <color theme="0"/>
      </font>
      <fill>
        <patternFill>
          <bgColor rgb="FFFF0000"/>
        </patternFill>
      </fill>
    </dxf>
    <dxf>
      <font>
        <color theme="0"/>
      </font>
      <fill>
        <patternFill>
          <bgColor rgb="FFFF0000"/>
        </patternFill>
      </fill>
    </dxf>
    <dxf>
      <font>
        <color theme="0"/>
      </font>
    </dxf>
    <dxf>
      <font>
        <color rgb="FF0000FF"/>
      </font>
    </dxf>
    <dxf>
      <font>
        <color theme="0" tint="-0.34998626667073579"/>
      </font>
      <numFmt numFmtId="195" formatCode="&quot;Detailed&quot;"/>
      <fill>
        <patternFill>
          <bgColor rgb="FFE6E6E6"/>
        </patternFill>
      </fill>
    </dxf>
    <dxf>
      <font>
        <color rgb="FF0000FF"/>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ill>
        <patternFill>
          <bgColor rgb="FFE6E6E6"/>
        </patternFill>
      </fill>
    </dxf>
    <dxf>
      <fill>
        <patternFill>
          <bgColor rgb="FFE6E6E6"/>
        </patternFill>
      </fill>
    </dxf>
    <dxf>
      <fill>
        <patternFill>
          <bgColor rgb="FFE6E6E6"/>
        </patternFill>
      </fill>
    </dxf>
    <dxf>
      <font>
        <color theme="0"/>
      </font>
      <fill>
        <patternFill>
          <bgColor rgb="FFFF0000"/>
        </patternFill>
      </fill>
    </dxf>
    <dxf>
      <font>
        <u/>
      </font>
    </dxf>
    <dxf>
      <font>
        <u val="none"/>
      </font>
    </dxf>
    <dxf>
      <font>
        <u/>
      </font>
    </dxf>
    <dxf>
      <font>
        <u val="none"/>
      </font>
    </dxf>
    <dxf>
      <font>
        <color theme="5"/>
      </font>
      <fill>
        <patternFill patternType="none">
          <bgColor auto="1"/>
        </patternFill>
      </fill>
    </dxf>
    <dxf>
      <font>
        <color theme="5"/>
      </font>
      <fill>
        <patternFill patternType="none">
          <bgColor auto="1"/>
        </patternFill>
      </fill>
    </dxf>
    <dxf>
      <font>
        <u/>
      </font>
    </dxf>
    <dxf>
      <font>
        <u val="none"/>
      </font>
    </dxf>
    <dxf>
      <font>
        <u/>
      </font>
    </dxf>
    <dxf>
      <font>
        <u val="none"/>
      </font>
    </dxf>
  </dxfs>
  <tableStyles count="0" defaultTableStyle="TableStyleMedium2" defaultPivotStyle="PivotStyleLight16"/>
  <colors>
    <mruColors>
      <color rgb="FFEAF5FC"/>
      <color rgb="FFE6E6E6"/>
      <color rgb="FF008000"/>
      <color rgb="FF006600"/>
      <color rgb="FFB88C00"/>
      <color rgb="FFFF9933"/>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t>Net Operating Income 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Net Operating Income</c:v>
          </c:tx>
          <c:spPr>
            <a:noFill/>
            <a:ln w="25400" cap="flat" cmpd="sng" algn="ctr">
              <a:solidFill>
                <a:schemeClr val="accent1"/>
              </a:solidFill>
              <a:miter lim="800000"/>
            </a:ln>
            <a:effectLst/>
          </c:spPr>
          <c:invertIfNegative val="0"/>
          <c:cat>
            <c:numRef>
              <c:f>[0]!Range_Months</c:f>
              <c:numCache>
                <c:formatCode>"Month"\ 0</c:formatCod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numCache>
            </c:numRef>
          </c:cat>
          <c:val>
            <c:numRef>
              <c:f>[0]!Range_NOI</c:f>
              <c:numCache>
                <c:formatCode>_(* #,##0_);_(* \(#,##0\);_(* "-"_);_(@_)</c:formatCode>
                <c:ptCount val="36"/>
                <c:pt idx="0">
                  <c:v>260693.37575833331</c:v>
                </c:pt>
                <c:pt idx="1">
                  <c:v>264486.90061326924</c:v>
                </c:pt>
                <c:pt idx="2">
                  <c:v>268304.89628932695</c:v>
                </c:pt>
                <c:pt idx="3">
                  <c:v>272147.40918794868</c:v>
                </c:pt>
                <c:pt idx="4">
                  <c:v>276014.48571057688</c:v>
                </c:pt>
                <c:pt idx="5">
                  <c:v>279906.17225865385</c:v>
                </c:pt>
                <c:pt idx="6">
                  <c:v>283822.51523362182</c:v>
                </c:pt>
                <c:pt idx="7">
                  <c:v>287763.56103692303</c:v>
                </c:pt>
                <c:pt idx="8">
                  <c:v>291729.35606999998</c:v>
                </c:pt>
                <c:pt idx="9">
                  <c:v>295719.94673429488</c:v>
                </c:pt>
                <c:pt idx="10">
                  <c:v>299735.37943124998</c:v>
                </c:pt>
                <c:pt idx="11">
                  <c:v>303775.70056230773</c:v>
                </c:pt>
                <c:pt idx="12">
                  <c:v>308475.05849651166</c:v>
                </c:pt>
                <c:pt idx="13">
                  <c:v>313217.57160639425</c:v>
                </c:pt>
                <c:pt idx="14">
                  <c:v>318003.49609635735</c:v>
                </c:pt>
                <c:pt idx="15">
                  <c:v>322833.0893419499</c:v>
                </c:pt>
                <c:pt idx="16">
                  <c:v>327706.60989441851</c:v>
                </c:pt>
                <c:pt idx="17">
                  <c:v>332624.31748527603</c:v>
                </c:pt>
                <c:pt idx="18">
                  <c:v>337586.47303088324</c:v>
                </c:pt>
                <c:pt idx="19">
                  <c:v>342593.33863704838</c:v>
                </c:pt>
                <c:pt idx="20">
                  <c:v>347645.17760364211</c:v>
                </c:pt>
                <c:pt idx="21">
                  <c:v>352742.2544292282</c:v>
                </c:pt>
                <c:pt idx="22">
                  <c:v>357884.83481571113</c:v>
                </c:pt>
                <c:pt idx="23">
                  <c:v>363073.18567299953</c:v>
                </c:pt>
                <c:pt idx="24">
                  <c:v>385253.31976810604</c:v>
                </c:pt>
                <c:pt idx="25">
                  <c:v>386046.87852924177</c:v>
                </c:pt>
                <c:pt idx="26">
                  <c:v>386842.07189149578</c:v>
                </c:pt>
                <c:pt idx="27">
                  <c:v>387638.9032218791</c:v>
                </c:pt>
                <c:pt idx="28">
                  <c:v>388437.3758943376</c:v>
                </c:pt>
                <c:pt idx="29">
                  <c:v>389237.49328976736</c:v>
                </c:pt>
                <c:pt idx="30">
                  <c:v>390039.25879602821</c:v>
                </c:pt>
                <c:pt idx="31">
                  <c:v>390842.67580795882</c:v>
                </c:pt>
                <c:pt idx="32">
                  <c:v>391647.74772739044</c:v>
                </c:pt>
                <c:pt idx="33">
                  <c:v>392454.47796316165</c:v>
                </c:pt>
                <c:pt idx="34">
                  <c:v>393262.86993113224</c:v>
                </c:pt>
                <c:pt idx="35">
                  <c:v>394072.92705419892</c:v>
                </c:pt>
              </c:numCache>
            </c:numRef>
          </c:val>
          <c:extLst>
            <c:ext xmlns:c16="http://schemas.microsoft.com/office/drawing/2014/chart" uri="{C3380CC4-5D6E-409C-BE32-E72D297353CC}">
              <c16:uniqueId val="{00000000-327A-4C78-B07A-4CF471446CC4}"/>
            </c:ext>
          </c:extLst>
        </c:ser>
        <c:dLbls>
          <c:showLegendKey val="0"/>
          <c:showVal val="0"/>
          <c:showCatName val="0"/>
          <c:showSerName val="0"/>
          <c:showPercent val="0"/>
          <c:showBubbleSize val="0"/>
        </c:dLbls>
        <c:gapWidth val="164"/>
        <c:overlap val="-35"/>
        <c:axId val="459365471"/>
        <c:axId val="723391263"/>
      </c:barChart>
      <c:catAx>
        <c:axId val="459365471"/>
        <c:scaling>
          <c:orientation val="minMax"/>
        </c:scaling>
        <c:delete val="0"/>
        <c:axPos val="b"/>
        <c:numFmt formatCode="&quot;Month&quot;\ 0" sourceLinked="1"/>
        <c:majorTickMark val="none"/>
        <c:minorTickMark val="none"/>
        <c:tickLblPos val="nextTo"/>
        <c:spPr>
          <a:noFill/>
          <a:ln>
            <a:noFill/>
          </a:ln>
          <a:effectLst/>
        </c:spPr>
        <c:txPr>
          <a:bodyPr rot="-1860000" spcFirstLastPara="1" vertOverflow="ellipsis"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23391263"/>
        <c:crosses val="autoZero"/>
        <c:auto val="1"/>
        <c:lblAlgn val="ctr"/>
        <c:lblOffset val="100"/>
        <c:noMultiLvlLbl val="0"/>
      </c:catAx>
      <c:valAx>
        <c:axId val="723391263"/>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59365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t>Cash Flow after Financing by Month</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Cash Flow after Financing</c:v>
          </c:tx>
          <c:spPr>
            <a:noFill/>
            <a:ln w="25400" cap="flat" cmpd="sng" algn="ctr">
              <a:solidFill>
                <a:schemeClr val="accent1"/>
              </a:solidFill>
              <a:miter lim="800000"/>
            </a:ln>
            <a:effectLst/>
          </c:spPr>
          <c:invertIfNegative val="0"/>
          <c:cat>
            <c:numRef>
              <c:f>[0]!Range_Months</c:f>
              <c:numCache>
                <c:formatCode>"Month"\ 0</c:formatCode>
                <c:ptCount val="3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numCache>
            </c:numRef>
          </c:cat>
          <c:val>
            <c:numRef>
              <c:f>[0]!Range_CFAF</c:f>
              <c:numCache>
                <c:formatCode>_(* #,##0_);_(* \(#,##0\);_(* "-"_);_(@_)</c:formatCode>
                <c:ptCount val="36"/>
                <c:pt idx="0">
                  <c:v>84853.984244358144</c:v>
                </c:pt>
                <c:pt idx="1">
                  <c:v>90134.378114341001</c:v>
                </c:pt>
                <c:pt idx="2">
                  <c:v>92940.258041209541</c:v>
                </c:pt>
                <c:pt idx="3">
                  <c:v>96307.948161248059</c:v>
                </c:pt>
                <c:pt idx="4">
                  <c:v>100517.47508651271</c:v>
                </c:pt>
                <c:pt idx="5">
                  <c:v>103397.89849310924</c:v>
                </c:pt>
                <c:pt idx="6">
                  <c:v>106417.69750160788</c:v>
                </c:pt>
                <c:pt idx="7">
                  <c:v>109668.54384584576</c:v>
                </c:pt>
                <c:pt idx="8">
                  <c:v>112627.08361356609</c:v>
                </c:pt>
                <c:pt idx="9">
                  <c:v>115562.59759384239</c:v>
                </c:pt>
                <c:pt idx="10">
                  <c:v>118487.23286179252</c:v>
                </c:pt>
                <c:pt idx="11">
                  <c:v>121393.59883056002</c:v>
                </c:pt>
                <c:pt idx="12">
                  <c:v>124914.30293087487</c:v>
                </c:pt>
                <c:pt idx="13">
                  <c:v>128395.48852891321</c:v>
                </c:pt>
                <c:pt idx="14">
                  <c:v>131927.9876215909</c:v>
                </c:pt>
                <c:pt idx="15">
                  <c:v>135486.62501190428</c:v>
                </c:pt>
                <c:pt idx="16">
                  <c:v>139069.40118646069</c:v>
                </c:pt>
                <c:pt idx="17">
                  <c:v>142683.35416291468</c:v>
                </c:pt>
                <c:pt idx="18">
                  <c:v>146316.06417419281</c:v>
                </c:pt>
                <c:pt idx="19">
                  <c:v>150003.80515910525</c:v>
                </c:pt>
                <c:pt idx="20">
                  <c:v>153718.00083888386</c:v>
                </c:pt>
                <c:pt idx="21">
                  <c:v>157456.60182851288</c:v>
                </c:pt>
                <c:pt idx="22">
                  <c:v>161225.11929717308</c:v>
                </c:pt>
                <c:pt idx="23">
                  <c:v>166080.45622274841</c:v>
                </c:pt>
                <c:pt idx="24">
                  <c:v>187894.71920647362</c:v>
                </c:pt>
                <c:pt idx="25">
                  <c:v>188315.8180153594</c:v>
                </c:pt>
                <c:pt idx="26">
                  <c:v>188783.11676020076</c:v>
                </c:pt>
                <c:pt idx="27">
                  <c:v>189219.54179575754</c:v>
                </c:pt>
                <c:pt idx="28">
                  <c:v>189697.68014224386</c:v>
                </c:pt>
                <c:pt idx="29">
                  <c:v>190188.15602236622</c:v>
                </c:pt>
                <c:pt idx="30">
                  <c:v>190686.47950269585</c:v>
                </c:pt>
                <c:pt idx="31">
                  <c:v>191212.0095838205</c:v>
                </c:pt>
                <c:pt idx="32">
                  <c:v>191720.50813421857</c:v>
                </c:pt>
                <c:pt idx="33">
                  <c:v>192283.8709352903</c:v>
                </c:pt>
                <c:pt idx="34">
                  <c:v>192853.71222986083</c:v>
                </c:pt>
                <c:pt idx="35">
                  <c:v>193432.10921494756</c:v>
                </c:pt>
              </c:numCache>
            </c:numRef>
          </c:val>
          <c:extLst>
            <c:ext xmlns:c16="http://schemas.microsoft.com/office/drawing/2014/chart" uri="{C3380CC4-5D6E-409C-BE32-E72D297353CC}">
              <c16:uniqueId val="{00000000-0B76-4CCB-8975-763472F63C0B}"/>
            </c:ext>
          </c:extLst>
        </c:ser>
        <c:dLbls>
          <c:showLegendKey val="0"/>
          <c:showVal val="0"/>
          <c:showCatName val="0"/>
          <c:showSerName val="0"/>
          <c:showPercent val="0"/>
          <c:showBubbleSize val="0"/>
        </c:dLbls>
        <c:gapWidth val="164"/>
        <c:overlap val="-35"/>
        <c:axId val="459365471"/>
        <c:axId val="723391263"/>
      </c:barChart>
      <c:catAx>
        <c:axId val="459365471"/>
        <c:scaling>
          <c:orientation val="minMax"/>
        </c:scaling>
        <c:delete val="0"/>
        <c:axPos val="b"/>
        <c:numFmt formatCode="&quot;Month&quot;\ 0" sourceLinked="1"/>
        <c:majorTickMark val="none"/>
        <c:minorTickMark val="none"/>
        <c:tickLblPos val="nextTo"/>
        <c:spPr>
          <a:noFill/>
          <a:ln>
            <a:noFill/>
          </a:ln>
          <a:effectLst/>
        </c:spPr>
        <c:txPr>
          <a:bodyPr rot="-1860000" spcFirstLastPara="1" vertOverflow="ellipsis"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23391263"/>
        <c:crosses val="autoZero"/>
        <c:auto val="1"/>
        <c:lblAlgn val="ctr"/>
        <c:lblOffset val="100"/>
        <c:noMultiLvlLbl val="0"/>
      </c:catAx>
      <c:valAx>
        <c:axId val="723391263"/>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4593654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Unit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C74-4C03-AE57-7A85C30427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C74-4C03-AE57-7A85C304273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C74-4C03-AE57-7A85C304273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C74-4C03-AE57-7A85C304273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C74-4C03-AE57-7A85C304273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C74-4C03-AE57-7A85C304273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Underwriting!$B$114:$B$119</c:f>
              <c:strCache>
                <c:ptCount val="6"/>
                <c:pt idx="0">
                  <c:v>Studio</c:v>
                </c:pt>
                <c:pt idx="1">
                  <c:v>1 Bd/1 Bth</c:v>
                </c:pt>
                <c:pt idx="2">
                  <c:v>1 Bd/1.5 Bth</c:v>
                </c:pt>
                <c:pt idx="3">
                  <c:v>2 Bd/2 Bth</c:v>
                </c:pt>
                <c:pt idx="4">
                  <c:v>2 Bd/2.5 Bth</c:v>
                </c:pt>
                <c:pt idx="5">
                  <c:v>[Unit Type]</c:v>
                </c:pt>
              </c:strCache>
            </c:strRef>
          </c:cat>
          <c:val>
            <c:numRef>
              <c:f>Underwriting!$C$114:$C$119</c:f>
              <c:numCache>
                <c:formatCode>_(* #,##0_);_(* \(#,##0\);_(* "-"_);_(@_)</c:formatCode>
                <c:ptCount val="6"/>
                <c:pt idx="0">
                  <c:v>60</c:v>
                </c:pt>
                <c:pt idx="1">
                  <c:v>60</c:v>
                </c:pt>
                <c:pt idx="2">
                  <c:v>60</c:v>
                </c:pt>
                <c:pt idx="3">
                  <c:v>60</c:v>
                </c:pt>
                <c:pt idx="4">
                  <c:v>60</c:v>
                </c:pt>
                <c:pt idx="5">
                  <c:v>0</c:v>
                </c:pt>
              </c:numCache>
            </c:numRef>
          </c:val>
          <c:extLst>
            <c:ext xmlns:c16="http://schemas.microsoft.com/office/drawing/2014/chart" uri="{C3380CC4-5D6E-409C-BE32-E72D297353CC}">
              <c16:uniqueId val="{0000000C-4C74-4C03-AE57-7A85C304273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jpeg"/><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8" Type="http://schemas.openxmlformats.org/officeDocument/2006/relationships/hyperlink" Target="#Underwriting!A6"/><Relationship Id="rId3" Type="http://schemas.openxmlformats.org/officeDocument/2006/relationships/hyperlink" Target="#Nav_Operating_CF"/><Relationship Id="rId7" Type="http://schemas.openxmlformats.org/officeDocument/2006/relationships/hyperlink" Target="#Summary!A1"/><Relationship Id="rId2" Type="http://schemas.openxmlformats.org/officeDocument/2006/relationships/hyperlink" Target="#Nav_Investment_CF"/><Relationship Id="rId1" Type="http://schemas.openxmlformats.org/officeDocument/2006/relationships/hyperlink" Target="#Nav_Description"/><Relationship Id="rId6" Type="http://schemas.openxmlformats.org/officeDocument/2006/relationships/hyperlink" Target="#Nav_Waterfall"/><Relationship Id="rId5" Type="http://schemas.openxmlformats.org/officeDocument/2006/relationships/hyperlink" Target="#Nav_Returns"/><Relationship Id="rId4" Type="http://schemas.openxmlformats.org/officeDocument/2006/relationships/hyperlink" Target="#Nav_Reversion_CF"/></Relationships>
</file>

<file path=xl/drawings/_rels/drawing3.xml.rels><?xml version="1.0" encoding="UTF-8" standalone="yes"?>
<Relationships xmlns="http://schemas.openxmlformats.org/package/2006/relationships"><Relationship Id="rId3" Type="http://schemas.openxmlformats.org/officeDocument/2006/relationships/hyperlink" Target="#Nav_Controllable_Expenses"/><Relationship Id="rId2" Type="http://schemas.openxmlformats.org/officeDocument/2006/relationships/hyperlink" Target="#OpEx_Underwriting_Type"/><Relationship Id="rId1" Type="http://schemas.openxmlformats.org/officeDocument/2006/relationships/hyperlink" Target="#Underwriting!B188:H216"/><Relationship Id="rId4" Type="http://schemas.openxmlformats.org/officeDocument/2006/relationships/hyperlink" Target="#Nav_Fixed_Expenses"/></Relationships>
</file>

<file path=xl/drawings/drawing1.xml><?xml version="1.0" encoding="utf-8"?>
<xdr:wsDr xmlns:xdr="http://schemas.openxmlformats.org/drawingml/2006/spreadsheetDrawing" xmlns:a="http://schemas.openxmlformats.org/drawingml/2006/main">
  <xdr:twoCellAnchor editAs="oneCell">
    <xdr:from>
      <xdr:col>11</xdr:col>
      <xdr:colOff>19049</xdr:colOff>
      <xdr:row>4</xdr:row>
      <xdr:rowOff>19050</xdr:rowOff>
    </xdr:from>
    <xdr:to>
      <xdr:col>15</xdr:col>
      <xdr:colOff>628650</xdr:colOff>
      <xdr:row>14</xdr:row>
      <xdr:rowOff>171450</xdr:rowOff>
    </xdr:to>
    <xdr:pic>
      <xdr:nvPicPr>
        <xdr:cNvPr id="21" name="Picture 20">
          <a:extLst>
            <a:ext uri="{FF2B5EF4-FFF2-40B4-BE49-F238E27FC236}">
              <a16:creationId xmlns:a16="http://schemas.microsoft.com/office/drawing/2014/main" id="{8E4EDCEB-5A0A-44F9-90EB-28F3C1C717D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7019924" y="638175"/>
          <a:ext cx="3400426" cy="1962150"/>
        </a:xfrm>
        <a:prstGeom prst="rect">
          <a:avLst/>
        </a:prstGeom>
      </xdr:spPr>
    </xdr:pic>
    <xdr:clientData/>
  </xdr:twoCellAnchor>
  <xdr:twoCellAnchor>
    <xdr:from>
      <xdr:col>1</xdr:col>
      <xdr:colOff>38100</xdr:colOff>
      <xdr:row>35</xdr:row>
      <xdr:rowOff>28575</xdr:rowOff>
    </xdr:from>
    <xdr:to>
      <xdr:col>15</xdr:col>
      <xdr:colOff>676274</xdr:colOff>
      <xdr:row>54</xdr:row>
      <xdr:rowOff>38100</xdr:rowOff>
    </xdr:to>
    <xdr:graphicFrame macro="">
      <xdr:nvGraphicFramePr>
        <xdr:cNvPr id="22" name="Chart 21">
          <a:extLst>
            <a:ext uri="{FF2B5EF4-FFF2-40B4-BE49-F238E27FC236}">
              <a16:creationId xmlns:a16="http://schemas.microsoft.com/office/drawing/2014/main" id="{28C60F27-60E5-4FBB-9683-774F5F1A76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247650</xdr:colOff>
      <xdr:row>54</xdr:row>
      <xdr:rowOff>85725</xdr:rowOff>
    </xdr:from>
    <xdr:to>
      <xdr:col>15</xdr:col>
      <xdr:colOff>666750</xdr:colOff>
      <xdr:row>74</xdr:row>
      <xdr:rowOff>161925</xdr:rowOff>
    </xdr:to>
    <xdr:graphicFrame macro="">
      <xdr:nvGraphicFramePr>
        <xdr:cNvPr id="23" name="Chart 22">
          <a:extLst>
            <a:ext uri="{FF2B5EF4-FFF2-40B4-BE49-F238E27FC236}">
              <a16:creationId xmlns:a16="http://schemas.microsoft.com/office/drawing/2014/main" id="{3F1BD014-1099-4A13-8955-E753EBFDB8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34</xdr:row>
      <xdr:rowOff>0</xdr:rowOff>
    </xdr:from>
    <xdr:to>
      <xdr:col>15</xdr:col>
      <xdr:colOff>0</xdr:colOff>
      <xdr:row>35</xdr:row>
      <xdr:rowOff>0</xdr:rowOff>
    </xdr:to>
    <xdr:sp macro="[0]!Hide_Annual_CF" textlink="">
      <xdr:nvSpPr>
        <xdr:cNvPr id="7" name="Rectangle 6">
          <a:extLst>
            <a:ext uri="{FF2B5EF4-FFF2-40B4-BE49-F238E27FC236}">
              <a16:creationId xmlns:a16="http://schemas.microsoft.com/office/drawing/2014/main" id="{D2089BB3-0EC9-45DB-B679-DA35F53AE2F8}"/>
            </a:ext>
          </a:extLst>
        </xdr:cNvPr>
        <xdr:cNvSpPr/>
      </xdr:nvSpPr>
      <xdr:spPr>
        <a:xfrm>
          <a:off x="2752725" y="12220575"/>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xdr:colOff>
      <xdr:row>34</xdr:row>
      <xdr:rowOff>0</xdr:rowOff>
    </xdr:from>
    <xdr:to>
      <xdr:col>15</xdr:col>
      <xdr:colOff>723901</xdr:colOff>
      <xdr:row>34</xdr:row>
      <xdr:rowOff>161925</xdr:rowOff>
    </xdr:to>
    <xdr:sp macro="[0]!Show_Annual_CF" textlink="">
      <xdr:nvSpPr>
        <xdr:cNvPr id="8" name="Rectangle 7">
          <a:extLst>
            <a:ext uri="{FF2B5EF4-FFF2-40B4-BE49-F238E27FC236}">
              <a16:creationId xmlns:a16="http://schemas.microsoft.com/office/drawing/2014/main" id="{C98CB9C5-448C-4A4D-B456-A60D6C7AA969}"/>
            </a:ext>
          </a:extLst>
        </xdr:cNvPr>
        <xdr:cNvSpPr/>
      </xdr:nvSpPr>
      <xdr:spPr>
        <a:xfrm>
          <a:off x="3543301" y="12220575"/>
          <a:ext cx="723900"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38100</xdr:colOff>
      <xdr:row>54</xdr:row>
      <xdr:rowOff>85725</xdr:rowOff>
    </xdr:from>
    <xdr:to>
      <xdr:col>8</xdr:col>
      <xdr:colOff>209550</xdr:colOff>
      <xdr:row>74</xdr:row>
      <xdr:rowOff>152400</xdr:rowOff>
    </xdr:to>
    <xdr:graphicFrame macro="">
      <xdr:nvGraphicFramePr>
        <xdr:cNvPr id="2" name="Chart 1">
          <a:extLst>
            <a:ext uri="{FF2B5EF4-FFF2-40B4-BE49-F238E27FC236}">
              <a16:creationId xmlns:a16="http://schemas.microsoft.com/office/drawing/2014/main" id="{352BFAFF-2AFD-4970-B8B5-A816304610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3</xdr:row>
      <xdr:rowOff>9525</xdr:rowOff>
    </xdr:from>
    <xdr:to>
      <xdr:col>2</xdr:col>
      <xdr:colOff>0</xdr:colOff>
      <xdr:row>4</xdr:row>
      <xdr:rowOff>9525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28C9A30-2BE8-45BD-B9FC-1D771B236274}"/>
            </a:ext>
          </a:extLst>
        </xdr:cNvPr>
        <xdr:cNvSpPr/>
      </xdr:nvSpPr>
      <xdr:spPr>
        <a:xfrm>
          <a:off x="123825" y="304800"/>
          <a:ext cx="1219200"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0</xdr:colOff>
      <xdr:row>3</xdr:row>
      <xdr:rowOff>0</xdr:rowOff>
    </xdr:from>
    <xdr:to>
      <xdr:col>4</xdr:col>
      <xdr:colOff>0</xdr:colOff>
      <xdr:row>4</xdr:row>
      <xdr:rowOff>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7A75722-C317-4A9E-B855-1366A2527FE3}"/>
            </a:ext>
          </a:extLst>
        </xdr:cNvPr>
        <xdr:cNvSpPr/>
      </xdr:nvSpPr>
      <xdr:spPr>
        <a:xfrm>
          <a:off x="1343025" y="295275"/>
          <a:ext cx="1409700"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800099</xdr:colOff>
      <xdr:row>3</xdr:row>
      <xdr:rowOff>0</xdr:rowOff>
    </xdr:from>
    <xdr:to>
      <xdr:col>6</xdr:col>
      <xdr:colOff>9524</xdr:colOff>
      <xdr:row>4</xdr:row>
      <xdr:rowOff>9525</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E710E37-B8E0-4DE6-9030-179F5C1234FD}"/>
            </a:ext>
          </a:extLst>
        </xdr:cNvPr>
        <xdr:cNvSpPr/>
      </xdr:nvSpPr>
      <xdr:spPr>
        <a:xfrm>
          <a:off x="2752724" y="295275"/>
          <a:ext cx="1533525"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733424</xdr:colOff>
      <xdr:row>3</xdr:row>
      <xdr:rowOff>0</xdr:rowOff>
    </xdr:from>
    <xdr:to>
      <xdr:col>7</xdr:col>
      <xdr:colOff>723899</xdr:colOff>
      <xdr:row>4</xdr:row>
      <xdr:rowOff>9525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CF9B00B6-1088-40BF-9E11-19284591F29C}"/>
            </a:ext>
          </a:extLst>
        </xdr:cNvPr>
        <xdr:cNvSpPr/>
      </xdr:nvSpPr>
      <xdr:spPr>
        <a:xfrm>
          <a:off x="4276724" y="295275"/>
          <a:ext cx="1495425"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3</xdr:row>
      <xdr:rowOff>0</xdr:rowOff>
    </xdr:from>
    <xdr:to>
      <xdr:col>10</xdr:col>
      <xdr:colOff>0</xdr:colOff>
      <xdr:row>4</xdr:row>
      <xdr:rowOff>9525</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9A8FA227-299E-4E08-906B-E1E7E1BF19D0}"/>
            </a:ext>
          </a:extLst>
        </xdr:cNvPr>
        <xdr:cNvSpPr/>
      </xdr:nvSpPr>
      <xdr:spPr>
        <a:xfrm>
          <a:off x="5838825" y="295275"/>
          <a:ext cx="1619250"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0</xdr:colOff>
      <xdr:row>2</xdr:row>
      <xdr:rowOff>57149</xdr:rowOff>
    </xdr:from>
    <xdr:to>
      <xdr:col>10</xdr:col>
      <xdr:colOff>923925</xdr:colOff>
      <xdr:row>4</xdr:row>
      <xdr:rowOff>0</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6BE33928-B9D6-44FD-98B5-0B9F17407C8F}"/>
            </a:ext>
          </a:extLst>
        </xdr:cNvPr>
        <xdr:cNvSpPr/>
      </xdr:nvSpPr>
      <xdr:spPr>
        <a:xfrm>
          <a:off x="7458075" y="295274"/>
          <a:ext cx="923925" cy="1809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1</xdr:row>
      <xdr:rowOff>0</xdr:rowOff>
    </xdr:from>
    <xdr:to>
      <xdr:col>11</xdr:col>
      <xdr:colOff>0</xdr:colOff>
      <xdr:row>2</xdr:row>
      <xdr:rowOff>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CD53B2BD-54FC-4866-98F8-9E9E90CF6642}"/>
            </a:ext>
          </a:extLst>
        </xdr:cNvPr>
        <xdr:cNvSpPr/>
      </xdr:nvSpPr>
      <xdr:spPr>
        <a:xfrm>
          <a:off x="5781675" y="57150"/>
          <a:ext cx="2552700"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83</xdr:row>
      <xdr:rowOff>0</xdr:rowOff>
    </xdr:from>
    <xdr:to>
      <xdr:col>5</xdr:col>
      <xdr:colOff>0</xdr:colOff>
      <xdr:row>84</xdr:row>
      <xdr:rowOff>0</xdr:rowOff>
    </xdr:to>
    <xdr:sp macro="[0]!Toggle_Refi" textlink="">
      <xdr:nvSpPr>
        <xdr:cNvPr id="10" name="Rectangle 9">
          <a:extLst>
            <a:ext uri="{FF2B5EF4-FFF2-40B4-BE49-F238E27FC236}">
              <a16:creationId xmlns:a16="http://schemas.microsoft.com/office/drawing/2014/main" id="{745BAA85-E567-4883-84D6-5AA837382634}"/>
            </a:ext>
          </a:extLst>
        </xdr:cNvPr>
        <xdr:cNvSpPr/>
      </xdr:nvSpPr>
      <xdr:spPr>
        <a:xfrm>
          <a:off x="2752725" y="1224915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83</xdr:row>
      <xdr:rowOff>0</xdr:rowOff>
    </xdr:from>
    <xdr:to>
      <xdr:col>5</xdr:col>
      <xdr:colOff>723901</xdr:colOff>
      <xdr:row>83</xdr:row>
      <xdr:rowOff>161925</xdr:rowOff>
    </xdr:to>
    <xdr:sp macro="[0]!Toggle_Sell" textlink="">
      <xdr:nvSpPr>
        <xdr:cNvPr id="11" name="Rectangle 10">
          <a:extLst>
            <a:ext uri="{FF2B5EF4-FFF2-40B4-BE49-F238E27FC236}">
              <a16:creationId xmlns:a16="http://schemas.microsoft.com/office/drawing/2014/main" id="{DD02C92E-0B99-4976-9BAA-B01D26AEEC6D}"/>
            </a:ext>
          </a:extLst>
        </xdr:cNvPr>
        <xdr:cNvSpPr/>
      </xdr:nvSpPr>
      <xdr:spPr>
        <a:xfrm>
          <a:off x="3543301" y="12249150"/>
          <a:ext cx="723900"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xdr:row>
      <xdr:rowOff>0</xdr:rowOff>
    </xdr:from>
    <xdr:to>
      <xdr:col>3</xdr:col>
      <xdr:colOff>781050</xdr:colOff>
      <xdr:row>2</xdr:row>
      <xdr:rowOff>19050</xdr:rowOff>
    </xdr:to>
    <xdr:sp macro="" textlink="">
      <xdr:nvSpPr>
        <xdr:cNvPr id="12" name="Rectangle 11">
          <a:hlinkClick xmlns:r="http://schemas.openxmlformats.org/officeDocument/2006/relationships" r:id="rId8"/>
          <a:extLst>
            <a:ext uri="{FF2B5EF4-FFF2-40B4-BE49-F238E27FC236}">
              <a16:creationId xmlns:a16="http://schemas.microsoft.com/office/drawing/2014/main" id="{158613AF-4E95-415A-808B-650EEC6B5C8B}"/>
            </a:ext>
          </a:extLst>
        </xdr:cNvPr>
        <xdr:cNvSpPr/>
      </xdr:nvSpPr>
      <xdr:spPr>
        <a:xfrm>
          <a:off x="123825" y="57150"/>
          <a:ext cx="2609850" cy="2000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1162050</xdr:colOff>
      <xdr:row>22</xdr:row>
      <xdr:rowOff>38100</xdr:rowOff>
    </xdr:from>
    <xdr:to>
      <xdr:col>3</xdr:col>
      <xdr:colOff>64770</xdr:colOff>
      <xdr:row>23</xdr:row>
      <xdr:rowOff>9525</xdr:rowOff>
    </xdr:to>
    <xdr:sp macro="[0]!Add_Item_Acquistion_Costs" textlink="">
      <xdr:nvSpPr>
        <xdr:cNvPr id="13" name="Rectangle 12">
          <a:extLst>
            <a:ext uri="{FF2B5EF4-FFF2-40B4-BE49-F238E27FC236}">
              <a16:creationId xmlns:a16="http://schemas.microsoft.com/office/drawing/2014/main" id="{76299972-E6C2-47A2-ACD3-36B90E9DA006}"/>
            </a:ext>
          </a:extLst>
        </xdr:cNvPr>
        <xdr:cNvSpPr/>
      </xdr:nvSpPr>
      <xdr:spPr>
        <a:xfrm>
          <a:off x="1285875" y="31051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3</xdr:col>
      <xdr:colOff>228600</xdr:colOff>
      <xdr:row>22</xdr:row>
      <xdr:rowOff>38100</xdr:rowOff>
    </xdr:from>
    <xdr:to>
      <xdr:col>4</xdr:col>
      <xdr:colOff>160020</xdr:colOff>
      <xdr:row>23</xdr:row>
      <xdr:rowOff>9525</xdr:rowOff>
    </xdr:to>
    <xdr:sp macro="[0]!Delete_Item_Acquisition_Costs" textlink="">
      <xdr:nvSpPr>
        <xdr:cNvPr id="14" name="Rectangle 13">
          <a:extLst>
            <a:ext uri="{FF2B5EF4-FFF2-40B4-BE49-F238E27FC236}">
              <a16:creationId xmlns:a16="http://schemas.microsoft.com/office/drawing/2014/main" id="{FD39DB87-6078-4A5E-8CE1-C05A66BE791A}"/>
            </a:ext>
          </a:extLst>
        </xdr:cNvPr>
        <xdr:cNvSpPr/>
      </xdr:nvSpPr>
      <xdr:spPr>
        <a:xfrm>
          <a:off x="2181225" y="31051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1</xdr:col>
      <xdr:colOff>1162050</xdr:colOff>
      <xdr:row>29</xdr:row>
      <xdr:rowOff>0</xdr:rowOff>
    </xdr:from>
    <xdr:to>
      <xdr:col>3</xdr:col>
      <xdr:colOff>64770</xdr:colOff>
      <xdr:row>29</xdr:row>
      <xdr:rowOff>152400</xdr:rowOff>
    </xdr:to>
    <xdr:sp macro="[0]!Add_Item_Hard_Costs" textlink="">
      <xdr:nvSpPr>
        <xdr:cNvPr id="15" name="Rectangle 14">
          <a:extLst>
            <a:ext uri="{FF2B5EF4-FFF2-40B4-BE49-F238E27FC236}">
              <a16:creationId xmlns:a16="http://schemas.microsoft.com/office/drawing/2014/main" id="{6E5DF9CE-32D6-4EC3-8C23-562C1420D5B4}"/>
            </a:ext>
          </a:extLst>
        </xdr:cNvPr>
        <xdr:cNvSpPr/>
      </xdr:nvSpPr>
      <xdr:spPr>
        <a:xfrm>
          <a:off x="1285875" y="4057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3</xdr:col>
      <xdr:colOff>228600</xdr:colOff>
      <xdr:row>29</xdr:row>
      <xdr:rowOff>0</xdr:rowOff>
    </xdr:from>
    <xdr:to>
      <xdr:col>4</xdr:col>
      <xdr:colOff>160020</xdr:colOff>
      <xdr:row>29</xdr:row>
      <xdr:rowOff>152400</xdr:rowOff>
    </xdr:to>
    <xdr:sp macro="[0]!Delete_Item_Hard_Costs" textlink="">
      <xdr:nvSpPr>
        <xdr:cNvPr id="16" name="Rectangle 15">
          <a:extLst>
            <a:ext uri="{FF2B5EF4-FFF2-40B4-BE49-F238E27FC236}">
              <a16:creationId xmlns:a16="http://schemas.microsoft.com/office/drawing/2014/main" id="{C76DA000-F06D-4106-B922-C0886199EAC6}"/>
            </a:ext>
          </a:extLst>
        </xdr:cNvPr>
        <xdr:cNvSpPr/>
      </xdr:nvSpPr>
      <xdr:spPr>
        <a:xfrm>
          <a:off x="2181225" y="40576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editAs="oneCell">
    <xdr:from>
      <xdr:col>1</xdr:col>
      <xdr:colOff>1162050</xdr:colOff>
      <xdr:row>36</xdr:row>
      <xdr:rowOff>0</xdr:rowOff>
    </xdr:from>
    <xdr:to>
      <xdr:col>3</xdr:col>
      <xdr:colOff>64770</xdr:colOff>
      <xdr:row>36</xdr:row>
      <xdr:rowOff>152400</xdr:rowOff>
    </xdr:to>
    <xdr:sp macro="[0]!Add_Item_Soft_Costs" textlink="">
      <xdr:nvSpPr>
        <xdr:cNvPr id="17" name="Rectangle 16">
          <a:extLst>
            <a:ext uri="{FF2B5EF4-FFF2-40B4-BE49-F238E27FC236}">
              <a16:creationId xmlns:a16="http://schemas.microsoft.com/office/drawing/2014/main" id="{8E2F82AE-B93C-4F3F-82D1-693D1C0503EA}"/>
            </a:ext>
          </a:extLst>
        </xdr:cNvPr>
        <xdr:cNvSpPr/>
      </xdr:nvSpPr>
      <xdr:spPr>
        <a:xfrm>
          <a:off x="1285875" y="50482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Item</a:t>
          </a:r>
        </a:p>
      </xdr:txBody>
    </xdr:sp>
    <xdr:clientData/>
  </xdr:twoCellAnchor>
  <xdr:twoCellAnchor editAs="oneCell">
    <xdr:from>
      <xdr:col>3</xdr:col>
      <xdr:colOff>228600</xdr:colOff>
      <xdr:row>36</xdr:row>
      <xdr:rowOff>0</xdr:rowOff>
    </xdr:from>
    <xdr:to>
      <xdr:col>4</xdr:col>
      <xdr:colOff>160020</xdr:colOff>
      <xdr:row>36</xdr:row>
      <xdr:rowOff>152400</xdr:rowOff>
    </xdr:to>
    <xdr:sp macro="[0]!Delete_Item_Soft_Costs" textlink="">
      <xdr:nvSpPr>
        <xdr:cNvPr id="18" name="Rectangle 17">
          <a:extLst>
            <a:ext uri="{FF2B5EF4-FFF2-40B4-BE49-F238E27FC236}">
              <a16:creationId xmlns:a16="http://schemas.microsoft.com/office/drawing/2014/main" id="{054A4A84-4E7A-49E6-AB2C-7B6BF54DED82}"/>
            </a:ext>
          </a:extLst>
        </xdr:cNvPr>
        <xdr:cNvSpPr/>
      </xdr:nvSpPr>
      <xdr:spPr>
        <a:xfrm>
          <a:off x="2181225" y="5048250"/>
          <a:ext cx="73152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Item</a:t>
          </a:r>
        </a:p>
      </xdr:txBody>
    </xdr:sp>
    <xdr:clientData/>
  </xdr:twoCellAnchor>
  <xdr:twoCellAnchor>
    <xdr:from>
      <xdr:col>3</xdr:col>
      <xdr:colOff>0</xdr:colOff>
      <xdr:row>134</xdr:row>
      <xdr:rowOff>0</xdr:rowOff>
    </xdr:from>
    <xdr:to>
      <xdr:col>4</xdr:col>
      <xdr:colOff>0</xdr:colOff>
      <xdr:row>135</xdr:row>
      <xdr:rowOff>0</xdr:rowOff>
    </xdr:to>
    <xdr:sp macro="[0]!OpEx_Basic" textlink="">
      <xdr:nvSpPr>
        <xdr:cNvPr id="19" name="Rectangle 18">
          <a:extLst>
            <a:ext uri="{FF2B5EF4-FFF2-40B4-BE49-F238E27FC236}">
              <a16:creationId xmlns:a16="http://schemas.microsoft.com/office/drawing/2014/main" id="{75C71C3C-27FE-4929-8A6E-219E73C4C108}"/>
            </a:ext>
          </a:extLst>
        </xdr:cNvPr>
        <xdr:cNvSpPr/>
      </xdr:nvSpPr>
      <xdr:spPr>
        <a:xfrm>
          <a:off x="2752725" y="12763500"/>
          <a:ext cx="790575" cy="1809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xdr:colOff>
      <xdr:row>134</xdr:row>
      <xdr:rowOff>9525</xdr:rowOff>
    </xdr:from>
    <xdr:to>
      <xdr:col>5</xdr:col>
      <xdr:colOff>0</xdr:colOff>
      <xdr:row>134</xdr:row>
      <xdr:rowOff>171450</xdr:rowOff>
    </xdr:to>
    <xdr:sp macro="[0]!OpEx_Detailed" textlink="">
      <xdr:nvSpPr>
        <xdr:cNvPr id="20" name="Rectangle 19">
          <a:extLst>
            <a:ext uri="{FF2B5EF4-FFF2-40B4-BE49-F238E27FC236}">
              <a16:creationId xmlns:a16="http://schemas.microsoft.com/office/drawing/2014/main" id="{F7C831ED-DC56-4D6F-86B6-DDBBF9EC077D}"/>
            </a:ext>
          </a:extLst>
        </xdr:cNvPr>
        <xdr:cNvSpPr/>
      </xdr:nvSpPr>
      <xdr:spPr>
        <a:xfrm>
          <a:off x="2752726" y="19002375"/>
          <a:ext cx="790574" cy="1619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266700</xdr:colOff>
      <xdr:row>110</xdr:row>
      <xdr:rowOff>9525</xdr:rowOff>
    </xdr:from>
    <xdr:to>
      <xdr:col>5</xdr:col>
      <xdr:colOff>443865</xdr:colOff>
      <xdr:row>110</xdr:row>
      <xdr:rowOff>161925</xdr:rowOff>
    </xdr:to>
    <xdr:sp macro="[0]!Add_Unit_Type" textlink="">
      <xdr:nvSpPr>
        <xdr:cNvPr id="21" name="Rectangle 20">
          <a:extLst>
            <a:ext uri="{FF2B5EF4-FFF2-40B4-BE49-F238E27FC236}">
              <a16:creationId xmlns:a16="http://schemas.microsoft.com/office/drawing/2014/main" id="{C643655B-C356-4CD9-9B7C-29B7B0CBB4B5}"/>
            </a:ext>
          </a:extLst>
        </xdr:cNvPr>
        <xdr:cNvSpPr/>
      </xdr:nvSpPr>
      <xdr:spPr>
        <a:xfrm>
          <a:off x="3019425" y="150590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Unit</a:t>
          </a:r>
        </a:p>
      </xdr:txBody>
    </xdr:sp>
    <xdr:clientData/>
  </xdr:twoCellAnchor>
  <xdr:twoCellAnchor editAs="oneCell">
    <xdr:from>
      <xdr:col>5</xdr:col>
      <xdr:colOff>476250</xdr:colOff>
      <xdr:row>110</xdr:row>
      <xdr:rowOff>9525</xdr:rowOff>
    </xdr:from>
    <xdr:to>
      <xdr:col>6</xdr:col>
      <xdr:colOff>720090</xdr:colOff>
      <xdr:row>110</xdr:row>
      <xdr:rowOff>161925</xdr:rowOff>
    </xdr:to>
    <xdr:sp macro="[0]!Delete_Unit_Type" textlink="">
      <xdr:nvSpPr>
        <xdr:cNvPr id="22" name="Rectangle 21">
          <a:extLst>
            <a:ext uri="{FF2B5EF4-FFF2-40B4-BE49-F238E27FC236}">
              <a16:creationId xmlns:a16="http://schemas.microsoft.com/office/drawing/2014/main" id="{5F06697C-16C6-44C3-AA2B-B769DEF4B338}"/>
            </a:ext>
          </a:extLst>
        </xdr:cNvPr>
        <xdr:cNvSpPr/>
      </xdr:nvSpPr>
      <xdr:spPr>
        <a:xfrm>
          <a:off x="4057650" y="15059025"/>
          <a:ext cx="100584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Unit</a:t>
          </a:r>
        </a:p>
      </xdr:txBody>
    </xdr:sp>
    <xdr:clientData/>
  </xdr:twoCellAnchor>
  <xdr:twoCellAnchor editAs="oneCell">
    <xdr:from>
      <xdr:col>1</xdr:col>
      <xdr:colOff>1114425</xdr:colOff>
      <xdr:row>124</xdr:row>
      <xdr:rowOff>19050</xdr:rowOff>
    </xdr:from>
    <xdr:to>
      <xdr:col>3</xdr:col>
      <xdr:colOff>428625</xdr:colOff>
      <xdr:row>124</xdr:row>
      <xdr:rowOff>171450</xdr:rowOff>
    </xdr:to>
    <xdr:sp macro="[0]!Add_Other_Income" textlink="">
      <xdr:nvSpPr>
        <xdr:cNvPr id="23" name="Rectangle 22">
          <a:extLst>
            <a:ext uri="{FF2B5EF4-FFF2-40B4-BE49-F238E27FC236}">
              <a16:creationId xmlns:a16="http://schemas.microsoft.com/office/drawing/2014/main" id="{8D134279-F1D7-4034-B8D9-FEED25D7654D}"/>
            </a:ext>
          </a:extLst>
        </xdr:cNvPr>
        <xdr:cNvSpPr/>
      </xdr:nvSpPr>
      <xdr:spPr>
        <a:xfrm>
          <a:off x="1238250" y="17659350"/>
          <a:ext cx="114300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Add Other</a:t>
          </a:r>
          <a:r>
            <a:rPr lang="en-US" sz="1000" baseline="0">
              <a:solidFill>
                <a:schemeClr val="accent2"/>
              </a:solidFill>
            </a:rPr>
            <a:t> Income</a:t>
          </a:r>
          <a:endParaRPr lang="en-US" sz="1000">
            <a:solidFill>
              <a:schemeClr val="accent2"/>
            </a:solidFill>
          </a:endParaRPr>
        </a:p>
      </xdr:txBody>
    </xdr:sp>
    <xdr:clientData/>
  </xdr:twoCellAnchor>
  <xdr:twoCellAnchor editAs="oneCell">
    <xdr:from>
      <xdr:col>3</xdr:col>
      <xdr:colOff>457200</xdr:colOff>
      <xdr:row>124</xdr:row>
      <xdr:rowOff>19050</xdr:rowOff>
    </xdr:from>
    <xdr:to>
      <xdr:col>4</xdr:col>
      <xdr:colOff>800100</xdr:colOff>
      <xdr:row>124</xdr:row>
      <xdr:rowOff>171450</xdr:rowOff>
    </xdr:to>
    <xdr:sp macro="[0]!Delete_Other_Income" textlink="">
      <xdr:nvSpPr>
        <xdr:cNvPr id="24" name="Rectangle 23">
          <a:extLst>
            <a:ext uri="{FF2B5EF4-FFF2-40B4-BE49-F238E27FC236}">
              <a16:creationId xmlns:a16="http://schemas.microsoft.com/office/drawing/2014/main" id="{8670147C-58FD-470D-A2EA-CB3F96E225EE}"/>
            </a:ext>
          </a:extLst>
        </xdr:cNvPr>
        <xdr:cNvSpPr/>
      </xdr:nvSpPr>
      <xdr:spPr>
        <a:xfrm>
          <a:off x="2409825" y="17659350"/>
          <a:ext cx="1143000" cy="152400"/>
        </a:xfrm>
        <a:prstGeom prst="rect">
          <a:avLst/>
        </a:prstGeom>
        <a:noFill/>
        <a:ln w="31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chemeClr val="accent2"/>
              </a:solidFill>
            </a:rPr>
            <a:t>Del. Other Income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xdr:colOff>
      <xdr:row>2</xdr:row>
      <xdr:rowOff>45718</xdr:rowOff>
    </xdr:from>
    <xdr:to>
      <xdr:col>14</xdr:col>
      <xdr:colOff>26670</xdr:colOff>
      <xdr:row>3</xdr:row>
      <xdr:rowOff>53337</xdr:rowOff>
    </xdr:to>
    <xdr:grpSp>
      <xdr:nvGrpSpPr>
        <xdr:cNvPr id="2" name="Group 1">
          <a:hlinkClick xmlns:r="http://schemas.openxmlformats.org/officeDocument/2006/relationships" r:id="rId1"/>
          <a:extLst>
            <a:ext uri="{FF2B5EF4-FFF2-40B4-BE49-F238E27FC236}">
              <a16:creationId xmlns:a16="http://schemas.microsoft.com/office/drawing/2014/main" id="{39AF64F1-70EE-4E8A-845E-561C8C8A4CB9}"/>
            </a:ext>
          </a:extLst>
        </xdr:cNvPr>
        <xdr:cNvGrpSpPr>
          <a:grpSpLocks noChangeAspect="1"/>
        </xdr:cNvGrpSpPr>
      </xdr:nvGrpSpPr>
      <xdr:grpSpPr>
        <a:xfrm>
          <a:off x="68581" y="304798"/>
          <a:ext cx="8766809" cy="182879"/>
          <a:chOff x="147329" y="291176"/>
          <a:chExt cx="8418167" cy="182880"/>
        </a:xfrm>
      </xdr:grpSpPr>
      <xdr:sp macro="" textlink="">
        <xdr:nvSpPr>
          <xdr:cNvPr id="3" name="Rectangle 2">
            <a:hlinkClick xmlns:r="http://schemas.openxmlformats.org/officeDocument/2006/relationships" r:id="rId2"/>
            <a:extLst>
              <a:ext uri="{FF2B5EF4-FFF2-40B4-BE49-F238E27FC236}">
                <a16:creationId xmlns:a16="http://schemas.microsoft.com/office/drawing/2014/main" id="{A907F22D-FC57-42A6-B3F4-5E3A377B36EC}"/>
              </a:ext>
            </a:extLst>
          </xdr:cNvPr>
          <xdr:cNvSpPr/>
        </xdr:nvSpPr>
        <xdr:spPr>
          <a:xfrm>
            <a:off x="147329" y="291176"/>
            <a:ext cx="1263322" cy="176967"/>
          </a:xfrm>
          <a:prstGeom prst="rect">
            <a:avLst/>
          </a:prstGeom>
          <a:solidFill>
            <a:schemeClr val="accent5"/>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Return to Underwriting</a:t>
            </a:r>
            <a:endParaRPr lang="en-US" sz="1100"/>
          </a:p>
        </xdr:txBody>
      </xdr:sp>
      <xdr:sp macro="" textlink="">
        <xdr:nvSpPr>
          <xdr:cNvPr id="4" name="Rectangle 3">
            <a:hlinkClick xmlns:r="http://schemas.openxmlformats.org/officeDocument/2006/relationships" r:id="rId3"/>
            <a:extLst>
              <a:ext uri="{FF2B5EF4-FFF2-40B4-BE49-F238E27FC236}">
                <a16:creationId xmlns:a16="http://schemas.microsoft.com/office/drawing/2014/main" id="{2282AF10-B847-4C34-A28A-68F83D9D9031}"/>
              </a:ext>
            </a:extLst>
          </xdr:cNvPr>
          <xdr:cNvSpPr/>
        </xdr:nvSpPr>
        <xdr:spPr>
          <a:xfrm>
            <a:off x="6906241" y="291176"/>
            <a:ext cx="822960" cy="182880"/>
          </a:xfrm>
          <a:prstGeom prst="rect">
            <a:avLst/>
          </a:prstGeom>
          <a:solidFill>
            <a:schemeClr val="accent5"/>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Controllable</a:t>
            </a:r>
          </a:p>
        </xdr:txBody>
      </xdr:sp>
      <xdr:sp macro="" textlink="">
        <xdr:nvSpPr>
          <xdr:cNvPr id="5" name="Rectangle 4">
            <a:hlinkClick xmlns:r="http://schemas.openxmlformats.org/officeDocument/2006/relationships" r:id="rId4"/>
            <a:extLst>
              <a:ext uri="{FF2B5EF4-FFF2-40B4-BE49-F238E27FC236}">
                <a16:creationId xmlns:a16="http://schemas.microsoft.com/office/drawing/2014/main" id="{BEAE15F9-C947-4752-BFE7-E4366248032D}"/>
              </a:ext>
            </a:extLst>
          </xdr:cNvPr>
          <xdr:cNvSpPr/>
        </xdr:nvSpPr>
        <xdr:spPr>
          <a:xfrm>
            <a:off x="7742536" y="291176"/>
            <a:ext cx="822960" cy="182880"/>
          </a:xfrm>
          <a:prstGeom prst="rect">
            <a:avLst/>
          </a:prstGeom>
          <a:solidFill>
            <a:schemeClr val="accent5"/>
          </a:solidFill>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en-US" sz="900"/>
              <a:t>Fixed</a:t>
            </a: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Spencer Burton" id="{F7D4520A-70A7-4646-A0FF-1B37E21EC05C}" userId="3c49fcbc9051fe9f" providerId="Windows Live"/>
</personList>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threadedComments/threadedComment1.xml><?xml version="1.0" encoding="utf-8"?>
<ThreadedComments xmlns="http://schemas.microsoft.com/office/spreadsheetml/2018/threadedcomments" xmlns:x="http://schemas.openxmlformats.org/spreadsheetml/2006/main">
  <threadedComment ref="F112" dT="2022-07-30T16:39:28.18" personId="{F7D4520A-70A7-4646-A0FF-1B37E21EC05C}" id="{D454C87A-15B6-43D4-B616-60DBD1669DCA}">
    <text>The value to attribute to non-renovated units. Once a unit is renovated, the Post-Renovation value is used.</text>
  </threadedComment>
  <threadedComment ref="F135" dT="2022-07-30T16:39:36.82" personId="{F7D4520A-70A7-4646-A0FF-1B37E21EC05C}" id="{BFB540DF-71EF-429D-B516-27C12F495091}">
    <text>The value to attribute to non-renovated units. Once a unit is renovated, the Post-Renovation value is used.</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www.adventuresincre.com/re-modeling-best-practices/" TargetMode="External"/><Relationship Id="rId3" Type="http://schemas.openxmlformats.org/officeDocument/2006/relationships/hyperlink" Target="https://www.adventuresincre.com/a-cre-value-add-apartment-acquisition-model/" TargetMode="External"/><Relationship Id="rId7" Type="http://schemas.openxmlformats.org/officeDocument/2006/relationships/hyperlink" Target="https://www.adventuresincre.com/support/knowledgebase/microsoft-blocked-macros/" TargetMode="External"/><Relationship Id="rId2" Type="http://schemas.openxmlformats.org/officeDocument/2006/relationships/hyperlink" Target="https://www.adventuresincre.com/library-real-estate-excel-models/" TargetMode="External"/><Relationship Id="rId1" Type="http://schemas.openxmlformats.org/officeDocument/2006/relationships/hyperlink" Target="https://www.adventuresincre.com/" TargetMode="External"/><Relationship Id="rId6" Type="http://schemas.openxmlformats.org/officeDocument/2006/relationships/hyperlink" Target="https://www.adventuresincre.com/acre-disclaimer/" TargetMode="External"/><Relationship Id="rId5" Type="http://schemas.openxmlformats.org/officeDocument/2006/relationships/hyperlink" Target="https://www.adventuresincre.com/accelerator/" TargetMode="External"/><Relationship Id="rId4" Type="http://schemas.openxmlformats.org/officeDocument/2006/relationships/hyperlink" Target="https://www.adventuresincre.com/value-add-apartment-acquisition-tutoria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hyperlink" Target="https://www.chathamfinancial.com/technology/us-forward-curves"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51D3B-98DA-4FFD-9370-34FBFF5B4D27}">
  <sheetPr codeName="Sheet7"/>
  <dimension ref="A1:T329"/>
  <sheetViews>
    <sheetView showGridLines="0" tabSelected="1" zoomScaleNormal="100" workbookViewId="0"/>
  </sheetViews>
  <sheetFormatPr defaultColWidth="0" defaultRowHeight="13.8" x14ac:dyDescent="0.25"/>
  <cols>
    <col min="1" max="1" width="1.59765625" customWidth="1"/>
    <col min="2" max="2" width="9" style="4" customWidth="1"/>
    <col min="3" max="17" width="9" style="3" customWidth="1"/>
    <col min="18" max="18" width="0.8984375" customWidth="1"/>
    <col min="19" max="19" width="0" hidden="1" customWidth="1"/>
    <col min="20" max="16384" width="9" hidden="1"/>
  </cols>
  <sheetData>
    <row r="1" spans="2:20" ht="5.0999999999999996" customHeight="1" x14ac:dyDescent="0.25">
      <c r="B1"/>
      <c r="C1"/>
      <c r="D1"/>
      <c r="E1"/>
      <c r="F1"/>
      <c r="G1"/>
      <c r="H1"/>
      <c r="I1"/>
      <c r="J1"/>
      <c r="K1"/>
      <c r="L1"/>
      <c r="M1"/>
      <c r="N1"/>
      <c r="O1"/>
      <c r="P1"/>
      <c r="Q1"/>
    </row>
    <row r="2" spans="2:20" ht="15.6" x14ac:dyDescent="0.3">
      <c r="B2" s="197" t="s">
        <v>320</v>
      </c>
      <c r="C2" s="179"/>
      <c r="D2" s="179"/>
      <c r="E2" s="179"/>
      <c r="F2" s="179"/>
      <c r="G2" s="179"/>
      <c r="H2" s="179"/>
      <c r="I2" s="179"/>
      <c r="J2" s="179"/>
      <c r="K2" s="179"/>
      <c r="L2" s="179"/>
      <c r="M2" s="179"/>
      <c r="N2" s="179"/>
      <c r="O2" s="198"/>
      <c r="P2" s="179"/>
      <c r="Q2" s="179"/>
    </row>
    <row r="3" spans="2:20" x14ac:dyDescent="0.25">
      <c r="B3" s="11" t="s">
        <v>71</v>
      </c>
      <c r="C3" s="12"/>
      <c r="D3" s="12"/>
      <c r="E3" s="12"/>
      <c r="F3" s="12"/>
      <c r="G3" s="12"/>
      <c r="H3" s="12"/>
      <c r="I3" s="12"/>
      <c r="J3" s="12"/>
      <c r="K3" s="12"/>
      <c r="L3" s="12"/>
      <c r="M3" s="12"/>
      <c r="N3" s="12"/>
      <c r="O3" s="12"/>
      <c r="P3" s="12"/>
      <c r="Q3" s="13" t="str">
        <f>B16</f>
        <v>v0.964</v>
      </c>
    </row>
    <row r="4" spans="2:20" x14ac:dyDescent="0.25">
      <c r="B4" t="s">
        <v>70</v>
      </c>
      <c r="C4"/>
      <c r="D4"/>
      <c r="E4"/>
      <c r="F4"/>
      <c r="G4"/>
      <c r="H4"/>
      <c r="I4"/>
      <c r="J4"/>
      <c r="K4"/>
      <c r="L4" s="9" t="s">
        <v>69</v>
      </c>
      <c r="M4"/>
      <c r="N4"/>
      <c r="P4"/>
      <c r="Q4"/>
    </row>
    <row r="5" spans="2:20" x14ac:dyDescent="0.25">
      <c r="B5" s="10" t="s">
        <v>68</v>
      </c>
      <c r="C5"/>
      <c r="D5"/>
      <c r="E5"/>
      <c r="F5"/>
      <c r="G5"/>
      <c r="H5"/>
      <c r="I5"/>
      <c r="J5"/>
      <c r="K5"/>
      <c r="L5" s="600" t="s">
        <v>67</v>
      </c>
      <c r="M5" s="600"/>
      <c r="N5" s="600"/>
      <c r="O5" s="600"/>
      <c r="P5" s="600"/>
      <c r="Q5"/>
    </row>
    <row r="6" spans="2:20" x14ac:dyDescent="0.25">
      <c r="B6"/>
      <c r="C6"/>
      <c r="D6"/>
      <c r="E6"/>
      <c r="F6"/>
      <c r="G6"/>
      <c r="H6"/>
      <c r="I6"/>
      <c r="J6"/>
      <c r="K6"/>
      <c r="L6" s="600" t="s">
        <v>66</v>
      </c>
      <c r="M6" s="600"/>
      <c r="N6" s="600"/>
      <c r="O6" s="600"/>
      <c r="P6" s="600"/>
      <c r="Q6"/>
    </row>
    <row r="7" spans="2:20" x14ac:dyDescent="0.25">
      <c r="B7" s="9" t="s">
        <v>65</v>
      </c>
      <c r="C7"/>
      <c r="D7"/>
      <c r="E7"/>
      <c r="F7"/>
      <c r="G7"/>
      <c r="H7"/>
      <c r="I7"/>
      <c r="J7"/>
      <c r="K7"/>
      <c r="L7" s="601" t="s">
        <v>63</v>
      </c>
      <c r="M7" s="601"/>
      <c r="N7" s="601"/>
      <c r="O7" s="601"/>
      <c r="P7" s="601"/>
      <c r="Q7"/>
    </row>
    <row r="8" spans="2:20" x14ac:dyDescent="0.25">
      <c r="B8" s="8" t="s">
        <v>64</v>
      </c>
      <c r="C8"/>
      <c r="D8"/>
      <c r="E8"/>
      <c r="F8"/>
      <c r="G8"/>
      <c r="H8"/>
      <c r="I8"/>
      <c r="J8"/>
      <c r="K8"/>
      <c r="Q8"/>
    </row>
    <row r="9" spans="2:20" x14ac:dyDescent="0.25">
      <c r="B9" s="8" t="s">
        <v>62</v>
      </c>
      <c r="C9"/>
      <c r="D9"/>
      <c r="E9"/>
      <c r="F9"/>
      <c r="G9"/>
      <c r="H9"/>
      <c r="I9"/>
      <c r="J9"/>
      <c r="K9"/>
      <c r="L9" s="602" t="s">
        <v>814</v>
      </c>
      <c r="M9" s="602"/>
      <c r="N9" s="602"/>
      <c r="O9" s="602"/>
      <c r="P9" s="602"/>
      <c r="Q9"/>
    </row>
    <row r="10" spans="2:20" x14ac:dyDescent="0.25">
      <c r="B10" s="8" t="s">
        <v>61</v>
      </c>
      <c r="C10"/>
      <c r="D10"/>
      <c r="E10"/>
      <c r="F10"/>
      <c r="G10"/>
      <c r="H10"/>
      <c r="I10"/>
      <c r="J10"/>
      <c r="K10"/>
      <c r="L10" s="602" t="s">
        <v>802</v>
      </c>
      <c r="M10" s="602"/>
      <c r="N10" s="602"/>
      <c r="O10" s="602"/>
      <c r="P10" s="602"/>
      <c r="Q10"/>
    </row>
    <row r="11" spans="2:20" x14ac:dyDescent="0.25">
      <c r="B11" s="8"/>
      <c r="C11"/>
      <c r="D11"/>
      <c r="E11"/>
      <c r="F11"/>
      <c r="G11"/>
      <c r="H11"/>
      <c r="I11"/>
      <c r="J11"/>
      <c r="K11"/>
      <c r="L11"/>
      <c r="M11"/>
      <c r="N11"/>
      <c r="O11"/>
      <c r="P11"/>
      <c r="Q11"/>
    </row>
    <row r="12" spans="2:20" x14ac:dyDescent="0.25">
      <c r="B12"/>
      <c r="C12"/>
      <c r="D12"/>
      <c r="E12"/>
      <c r="F12"/>
      <c r="G12"/>
      <c r="H12"/>
      <c r="I12"/>
      <c r="J12"/>
      <c r="K12"/>
      <c r="L12" s="598" t="s">
        <v>407</v>
      </c>
      <c r="M12" s="598"/>
      <c r="N12" s="598"/>
      <c r="O12" s="598"/>
      <c r="P12" s="598"/>
      <c r="Q12" s="598"/>
      <c r="R12" s="598"/>
      <c r="S12" s="598"/>
      <c r="T12" s="598"/>
    </row>
    <row r="13" spans="2:20" ht="39.75" customHeight="1" x14ac:dyDescent="0.25">
      <c r="B13" s="599" t="s">
        <v>405</v>
      </c>
      <c r="C13" s="599"/>
      <c r="D13" s="599"/>
      <c r="E13" s="599"/>
      <c r="F13" s="599"/>
      <c r="G13" s="599"/>
      <c r="H13" s="599"/>
      <c r="I13" s="599"/>
      <c r="J13" s="599"/>
      <c r="K13" s="599"/>
      <c r="L13" s="599"/>
      <c r="M13" s="599"/>
      <c r="N13" s="599"/>
      <c r="O13" s="599"/>
      <c r="P13" s="599"/>
      <c r="Q13" s="599"/>
    </row>
    <row r="14" spans="2:20" ht="37.5" customHeight="1" x14ac:dyDescent="0.25">
      <c r="B14" s="597" t="s">
        <v>406</v>
      </c>
      <c r="C14" s="597"/>
      <c r="D14" s="597"/>
      <c r="E14" s="597"/>
      <c r="F14" s="597"/>
      <c r="G14" s="597"/>
      <c r="H14" s="597"/>
      <c r="I14" s="597"/>
      <c r="J14" s="597"/>
      <c r="K14" s="597"/>
      <c r="L14" s="597"/>
      <c r="M14" s="597"/>
      <c r="N14" s="597"/>
      <c r="O14" s="597"/>
      <c r="P14" s="597"/>
      <c r="Q14" s="597"/>
    </row>
    <row r="15" spans="2:20" x14ac:dyDescent="0.25">
      <c r="B15" s="11" t="s">
        <v>60</v>
      </c>
      <c r="C15" s="12"/>
      <c r="D15" s="12"/>
      <c r="E15" s="12"/>
      <c r="F15" s="12"/>
      <c r="G15" s="12"/>
      <c r="H15" s="12"/>
      <c r="I15" s="12"/>
      <c r="J15" s="12"/>
      <c r="K15" s="12"/>
      <c r="L15" s="12"/>
      <c r="M15" s="12"/>
      <c r="N15" s="11" t="s">
        <v>59</v>
      </c>
      <c r="O15" s="12"/>
      <c r="P15" s="12"/>
      <c r="Q15" s="12"/>
    </row>
    <row r="16" spans="2:20" x14ac:dyDescent="0.25">
      <c r="B16" s="6" t="s">
        <v>862</v>
      </c>
      <c r="N16" s="402" t="s">
        <v>759</v>
      </c>
    </row>
    <row r="17" spans="2:14" x14ac:dyDescent="0.25">
      <c r="B17" s="4" t="s">
        <v>863</v>
      </c>
      <c r="N17" s="402" t="s">
        <v>757</v>
      </c>
    </row>
    <row r="18" spans="2:14" x14ac:dyDescent="0.25">
      <c r="N18" t="s">
        <v>758</v>
      </c>
    </row>
    <row r="19" spans="2:14" x14ac:dyDescent="0.25">
      <c r="B19" s="6" t="s">
        <v>860</v>
      </c>
      <c r="N19" t="s">
        <v>788</v>
      </c>
    </row>
    <row r="20" spans="2:14" x14ac:dyDescent="0.25">
      <c r="B20" s="4" t="s">
        <v>859</v>
      </c>
      <c r="N20" t="s">
        <v>789</v>
      </c>
    </row>
    <row r="21" spans="2:14" x14ac:dyDescent="0.25">
      <c r="B21" s="4" t="s">
        <v>861</v>
      </c>
      <c r="N21"/>
    </row>
    <row r="22" spans="2:14" x14ac:dyDescent="0.25">
      <c r="N22"/>
    </row>
    <row r="23" spans="2:14" x14ac:dyDescent="0.25">
      <c r="B23" s="6" t="s">
        <v>855</v>
      </c>
      <c r="N23"/>
    </row>
    <row r="24" spans="2:14" x14ac:dyDescent="0.25">
      <c r="B24" s="4" t="s">
        <v>856</v>
      </c>
      <c r="N24"/>
    </row>
    <row r="25" spans="2:14" x14ac:dyDescent="0.25">
      <c r="B25" s="4" t="s">
        <v>858</v>
      </c>
      <c r="N25"/>
    </row>
    <row r="26" spans="2:14" x14ac:dyDescent="0.25">
      <c r="B26" s="4" t="s">
        <v>857</v>
      </c>
      <c r="N26"/>
    </row>
    <row r="27" spans="2:14" x14ac:dyDescent="0.25">
      <c r="N27"/>
    </row>
    <row r="28" spans="2:14" x14ac:dyDescent="0.25">
      <c r="B28" s="6" t="s">
        <v>821</v>
      </c>
      <c r="N28"/>
    </row>
    <row r="29" spans="2:14" x14ac:dyDescent="0.25">
      <c r="B29" s="4" t="s">
        <v>823</v>
      </c>
      <c r="N29"/>
    </row>
    <row r="30" spans="2:14" x14ac:dyDescent="0.25">
      <c r="B30" s="7" t="s">
        <v>824</v>
      </c>
      <c r="N30"/>
    </row>
    <row r="31" spans="2:14" x14ac:dyDescent="0.25">
      <c r="B31" s="4" t="s">
        <v>825</v>
      </c>
      <c r="N31"/>
    </row>
    <row r="32" spans="2:14" x14ac:dyDescent="0.25">
      <c r="N32"/>
    </row>
    <row r="33" spans="2:14" x14ac:dyDescent="0.25">
      <c r="B33" s="6" t="s">
        <v>815</v>
      </c>
      <c r="M33"/>
      <c r="N33" s="402"/>
    </row>
    <row r="34" spans="2:14" x14ac:dyDescent="0.25">
      <c r="B34" s="4" t="s">
        <v>816</v>
      </c>
      <c r="M34"/>
      <c r="N34" s="402"/>
    </row>
    <row r="35" spans="2:14" x14ac:dyDescent="0.25">
      <c r="B35" s="4" t="s">
        <v>817</v>
      </c>
      <c r="M35"/>
      <c r="N35" s="402"/>
    </row>
    <row r="36" spans="2:14" x14ac:dyDescent="0.25">
      <c r="B36" s="4" t="s">
        <v>818</v>
      </c>
      <c r="M36"/>
      <c r="N36" s="402"/>
    </row>
    <row r="37" spans="2:14" x14ac:dyDescent="0.25">
      <c r="B37" s="4" t="s">
        <v>820</v>
      </c>
      <c r="M37"/>
      <c r="N37" s="402"/>
    </row>
    <row r="38" spans="2:14" x14ac:dyDescent="0.25">
      <c r="B38" s="4" t="s">
        <v>796</v>
      </c>
      <c r="M38"/>
      <c r="N38" s="402"/>
    </row>
    <row r="39" spans="2:14" x14ac:dyDescent="0.25">
      <c r="M39"/>
      <c r="N39" s="402"/>
    </row>
    <row r="40" spans="2:14" x14ac:dyDescent="0.25">
      <c r="B40" s="6" t="s">
        <v>803</v>
      </c>
      <c r="M40"/>
      <c r="N40" s="402"/>
    </row>
    <row r="41" spans="2:14" x14ac:dyDescent="0.25">
      <c r="B41" s="4" t="s">
        <v>804</v>
      </c>
      <c r="M41"/>
      <c r="N41" s="402"/>
    </row>
    <row r="42" spans="2:14" x14ac:dyDescent="0.25">
      <c r="B42" s="4" t="s">
        <v>807</v>
      </c>
      <c r="M42"/>
      <c r="N42" s="402"/>
    </row>
    <row r="43" spans="2:14" x14ac:dyDescent="0.25">
      <c r="B43" s="4" t="s">
        <v>812</v>
      </c>
      <c r="M43"/>
      <c r="N43" s="402"/>
    </row>
    <row r="44" spans="2:14" x14ac:dyDescent="0.25">
      <c r="B44" s="4" t="s">
        <v>813</v>
      </c>
      <c r="M44"/>
      <c r="N44" s="402"/>
    </row>
    <row r="45" spans="2:14" x14ac:dyDescent="0.25">
      <c r="B45" s="4" t="s">
        <v>796</v>
      </c>
      <c r="M45"/>
      <c r="N45" s="402"/>
    </row>
    <row r="46" spans="2:14" x14ac:dyDescent="0.25">
      <c r="M46"/>
      <c r="N46" s="402"/>
    </row>
    <row r="47" spans="2:14" x14ac:dyDescent="0.25">
      <c r="B47" s="6" t="s">
        <v>797</v>
      </c>
      <c r="M47"/>
      <c r="N47" s="402"/>
    </row>
    <row r="48" spans="2:14" x14ac:dyDescent="0.25">
      <c r="B48" s="4" t="s">
        <v>798</v>
      </c>
      <c r="M48"/>
      <c r="N48" s="402"/>
    </row>
    <row r="49" spans="2:14" x14ac:dyDescent="0.25">
      <c r="B49" s="4" t="s">
        <v>801</v>
      </c>
      <c r="M49"/>
      <c r="N49" s="402"/>
    </row>
    <row r="50" spans="2:14" x14ac:dyDescent="0.25">
      <c r="B50" s="4" t="s">
        <v>800</v>
      </c>
      <c r="M50"/>
      <c r="N50" s="402"/>
    </row>
    <row r="51" spans="2:14" x14ac:dyDescent="0.25">
      <c r="M51"/>
      <c r="N51" s="402"/>
    </row>
    <row r="52" spans="2:14" x14ac:dyDescent="0.25">
      <c r="B52" s="6" t="s">
        <v>790</v>
      </c>
      <c r="M52"/>
      <c r="N52" s="402"/>
    </row>
    <row r="53" spans="2:14" x14ac:dyDescent="0.25">
      <c r="B53" s="4" t="s">
        <v>791</v>
      </c>
      <c r="M53"/>
      <c r="N53" s="402"/>
    </row>
    <row r="54" spans="2:14" x14ac:dyDescent="0.25">
      <c r="B54" s="4" t="s">
        <v>794</v>
      </c>
      <c r="M54"/>
      <c r="N54" s="402"/>
    </row>
    <row r="55" spans="2:14" x14ac:dyDescent="0.25">
      <c r="B55" s="4" t="s">
        <v>795</v>
      </c>
      <c r="M55"/>
      <c r="N55" s="402"/>
    </row>
    <row r="56" spans="2:14" x14ac:dyDescent="0.25">
      <c r="B56" s="4" t="s">
        <v>796</v>
      </c>
      <c r="M56"/>
      <c r="N56" s="402"/>
    </row>
    <row r="57" spans="2:14" x14ac:dyDescent="0.25">
      <c r="B57" s="7"/>
      <c r="M57"/>
      <c r="N57" s="402"/>
    </row>
    <row r="58" spans="2:14" x14ac:dyDescent="0.25">
      <c r="B58" s="6" t="s">
        <v>760</v>
      </c>
      <c r="M58"/>
      <c r="N58" s="402"/>
    </row>
    <row r="59" spans="2:14" x14ac:dyDescent="0.25">
      <c r="B59" s="4" t="s">
        <v>779</v>
      </c>
      <c r="M59"/>
      <c r="N59" s="402"/>
    </row>
    <row r="60" spans="2:14" x14ac:dyDescent="0.25">
      <c r="B60" s="7" t="s">
        <v>778</v>
      </c>
      <c r="M60"/>
      <c r="N60" s="402"/>
    </row>
    <row r="61" spans="2:14" x14ac:dyDescent="0.25">
      <c r="B61" s="7" t="s">
        <v>770</v>
      </c>
      <c r="M61"/>
      <c r="N61" s="402"/>
    </row>
    <row r="62" spans="2:14" x14ac:dyDescent="0.25">
      <c r="B62" s="7" t="s">
        <v>771</v>
      </c>
      <c r="M62"/>
      <c r="N62" s="402"/>
    </row>
    <row r="63" spans="2:14" x14ac:dyDescent="0.25">
      <c r="B63" s="7" t="s">
        <v>775</v>
      </c>
      <c r="M63" s="402"/>
      <c r="N63" s="402"/>
    </row>
    <row r="64" spans="2:14" x14ac:dyDescent="0.25">
      <c r="B64" s="4" t="s">
        <v>780</v>
      </c>
      <c r="M64" s="402"/>
      <c r="N64" s="402"/>
    </row>
    <row r="65" spans="2:14" x14ac:dyDescent="0.25">
      <c r="B65" s="4" t="s">
        <v>783</v>
      </c>
      <c r="M65" s="402"/>
      <c r="N65" s="402"/>
    </row>
    <row r="66" spans="2:14" x14ac:dyDescent="0.25">
      <c r="B66" s="4" t="s">
        <v>784</v>
      </c>
      <c r="M66" s="402"/>
      <c r="N66" s="402"/>
    </row>
    <row r="67" spans="2:14" x14ac:dyDescent="0.25">
      <c r="B67" s="4" t="s">
        <v>786</v>
      </c>
      <c r="M67" s="402"/>
      <c r="N67" s="402"/>
    </row>
    <row r="68" spans="2:14" x14ac:dyDescent="0.25">
      <c r="B68" s="4" t="s">
        <v>787</v>
      </c>
      <c r="M68" s="402"/>
      <c r="N68" s="402"/>
    </row>
    <row r="69" spans="2:14" x14ac:dyDescent="0.25">
      <c r="M69" s="402"/>
      <c r="N69" s="402"/>
    </row>
    <row r="70" spans="2:14" x14ac:dyDescent="0.25">
      <c r="B70" s="6" t="s">
        <v>730</v>
      </c>
      <c r="M70" s="402"/>
      <c r="N70" s="402"/>
    </row>
    <row r="71" spans="2:14" x14ac:dyDescent="0.25">
      <c r="B71" s="4" t="s">
        <v>756</v>
      </c>
      <c r="M71" s="402"/>
      <c r="N71" s="402"/>
    </row>
    <row r="72" spans="2:14" x14ac:dyDescent="0.25">
      <c r="B72" s="7" t="s">
        <v>754</v>
      </c>
      <c r="M72" s="402"/>
      <c r="N72" s="402"/>
    </row>
    <row r="73" spans="2:14" x14ac:dyDescent="0.25">
      <c r="B73" s="7" t="s">
        <v>755</v>
      </c>
      <c r="M73" s="402"/>
      <c r="N73" s="402"/>
    </row>
    <row r="74" spans="2:14" x14ac:dyDescent="0.25">
      <c r="B74" s="7" t="s">
        <v>753</v>
      </c>
      <c r="M74" s="402"/>
      <c r="N74" s="402"/>
    </row>
    <row r="75" spans="2:14" x14ac:dyDescent="0.25">
      <c r="B75" s="4" t="s">
        <v>733</v>
      </c>
      <c r="M75" s="402"/>
      <c r="N75" s="402"/>
    </row>
    <row r="76" spans="2:14" x14ac:dyDescent="0.25">
      <c r="B76" s="4" t="s">
        <v>745</v>
      </c>
      <c r="M76" s="402"/>
      <c r="N76" s="402"/>
    </row>
    <row r="77" spans="2:14" x14ac:dyDescent="0.25">
      <c r="B77" s="4" t="s">
        <v>628</v>
      </c>
      <c r="M77" s="402"/>
      <c r="N77" s="402"/>
    </row>
    <row r="78" spans="2:14" x14ac:dyDescent="0.25">
      <c r="M78" s="402"/>
      <c r="N78" s="402"/>
    </row>
    <row r="79" spans="2:14" x14ac:dyDescent="0.25">
      <c r="B79" s="6" t="s">
        <v>728</v>
      </c>
      <c r="M79" s="402"/>
      <c r="N79" s="402"/>
    </row>
    <row r="80" spans="2:14" x14ac:dyDescent="0.25">
      <c r="B80" s="4" t="s">
        <v>729</v>
      </c>
      <c r="M80" s="402"/>
      <c r="N80" s="402"/>
    </row>
    <row r="81" spans="2:14" x14ac:dyDescent="0.25">
      <c r="B81" s="4" t="s">
        <v>720</v>
      </c>
      <c r="M81" s="402"/>
      <c r="N81" s="402"/>
    </row>
    <row r="82" spans="2:14" x14ac:dyDescent="0.25">
      <c r="M82" s="402"/>
      <c r="N82" s="402"/>
    </row>
    <row r="83" spans="2:14" x14ac:dyDescent="0.25">
      <c r="B83" s="6" t="s">
        <v>725</v>
      </c>
      <c r="M83" s="402"/>
      <c r="N83" s="402"/>
    </row>
    <row r="84" spans="2:14" x14ac:dyDescent="0.25">
      <c r="B84" s="4" t="s">
        <v>726</v>
      </c>
      <c r="M84" s="402"/>
      <c r="N84" s="402"/>
    </row>
    <row r="85" spans="2:14" x14ac:dyDescent="0.25">
      <c r="B85" s="4" t="s">
        <v>727</v>
      </c>
      <c r="M85" s="402"/>
      <c r="N85" s="402"/>
    </row>
    <row r="86" spans="2:14" x14ac:dyDescent="0.25">
      <c r="M86" s="402"/>
      <c r="N86" s="402"/>
    </row>
    <row r="87" spans="2:14" x14ac:dyDescent="0.25">
      <c r="B87" s="6" t="s">
        <v>722</v>
      </c>
      <c r="M87" s="402"/>
      <c r="N87" s="402"/>
    </row>
    <row r="88" spans="2:14" x14ac:dyDescent="0.25">
      <c r="B88" s="4" t="s">
        <v>723</v>
      </c>
      <c r="M88" s="402"/>
      <c r="N88" s="402"/>
    </row>
    <row r="89" spans="2:14" x14ac:dyDescent="0.25">
      <c r="B89" s="4" t="s">
        <v>724</v>
      </c>
      <c r="M89" s="402"/>
      <c r="N89" s="402"/>
    </row>
    <row r="90" spans="2:14" x14ac:dyDescent="0.25">
      <c r="M90" s="402"/>
      <c r="N90" s="402"/>
    </row>
    <row r="91" spans="2:14" x14ac:dyDescent="0.25">
      <c r="B91" s="6" t="s">
        <v>721</v>
      </c>
      <c r="M91" s="402"/>
      <c r="N91" s="402"/>
    </row>
    <row r="92" spans="2:14" x14ac:dyDescent="0.25">
      <c r="B92" s="4" t="s">
        <v>716</v>
      </c>
      <c r="M92" s="402"/>
      <c r="N92" s="402"/>
    </row>
    <row r="93" spans="2:14" x14ac:dyDescent="0.25">
      <c r="B93" s="4" t="s">
        <v>719</v>
      </c>
      <c r="M93" s="402"/>
      <c r="N93" s="402"/>
    </row>
    <row r="94" spans="2:14" x14ac:dyDescent="0.25">
      <c r="B94" s="4" t="s">
        <v>720</v>
      </c>
      <c r="M94" s="402"/>
      <c r="N94" s="402"/>
    </row>
    <row r="95" spans="2:14" x14ac:dyDescent="0.25">
      <c r="M95" s="402"/>
      <c r="N95" s="402"/>
    </row>
    <row r="96" spans="2:14" x14ac:dyDescent="0.25">
      <c r="B96" s="6" t="s">
        <v>714</v>
      </c>
      <c r="M96" s="402"/>
      <c r="N96" s="402"/>
    </row>
    <row r="97" spans="2:14" x14ac:dyDescent="0.25">
      <c r="B97" s="4" t="s">
        <v>715</v>
      </c>
      <c r="M97" s="402"/>
      <c r="N97" s="402"/>
    </row>
    <row r="98" spans="2:14" x14ac:dyDescent="0.25">
      <c r="M98" s="402"/>
      <c r="N98" s="402"/>
    </row>
    <row r="99" spans="2:14" x14ac:dyDescent="0.25">
      <c r="B99" s="6" t="s">
        <v>707</v>
      </c>
      <c r="M99" s="402"/>
      <c r="N99" s="402"/>
    </row>
    <row r="100" spans="2:14" x14ac:dyDescent="0.25">
      <c r="B100" s="4" t="s">
        <v>708</v>
      </c>
      <c r="M100" s="402"/>
      <c r="N100" s="402"/>
    </row>
    <row r="101" spans="2:14" x14ac:dyDescent="0.25">
      <c r="B101" s="4" t="s">
        <v>709</v>
      </c>
      <c r="M101" s="402"/>
      <c r="N101" s="402"/>
    </row>
    <row r="102" spans="2:14" x14ac:dyDescent="0.25">
      <c r="B102" s="4" t="s">
        <v>713</v>
      </c>
      <c r="M102" s="402"/>
      <c r="N102" s="402"/>
    </row>
    <row r="103" spans="2:14" x14ac:dyDescent="0.25">
      <c r="B103" s="7"/>
      <c r="M103" s="402"/>
      <c r="N103" s="402"/>
    </row>
    <row r="104" spans="2:14" x14ac:dyDescent="0.25">
      <c r="B104" s="6" t="s">
        <v>696</v>
      </c>
      <c r="M104" s="402"/>
      <c r="N104" s="402"/>
    </row>
    <row r="105" spans="2:14" x14ac:dyDescent="0.25">
      <c r="B105" s="4" t="s">
        <v>700</v>
      </c>
      <c r="M105" s="402"/>
      <c r="N105" s="402"/>
    </row>
    <row r="106" spans="2:14" x14ac:dyDescent="0.25">
      <c r="B106" s="7" t="s">
        <v>701</v>
      </c>
      <c r="M106" s="402"/>
      <c r="N106" s="402"/>
    </row>
    <row r="107" spans="2:14" x14ac:dyDescent="0.25">
      <c r="B107" s="7" t="s">
        <v>702</v>
      </c>
      <c r="M107" s="402"/>
      <c r="N107" s="402"/>
    </row>
    <row r="108" spans="2:14" x14ac:dyDescent="0.25">
      <c r="B108" s="4" t="s">
        <v>705</v>
      </c>
      <c r="M108" s="402"/>
      <c r="N108" s="402"/>
    </row>
    <row r="109" spans="2:14" x14ac:dyDescent="0.25">
      <c r="B109" s="4" t="s">
        <v>706</v>
      </c>
      <c r="M109" s="402"/>
      <c r="N109" s="402"/>
    </row>
    <row r="110" spans="2:14" x14ac:dyDescent="0.25">
      <c r="B110" s="7"/>
      <c r="M110" s="402"/>
      <c r="N110" s="402"/>
    </row>
    <row r="111" spans="2:14" x14ac:dyDescent="0.25">
      <c r="B111" s="6" t="s">
        <v>694</v>
      </c>
      <c r="M111" s="402"/>
      <c r="N111" s="402"/>
    </row>
    <row r="112" spans="2:14" x14ac:dyDescent="0.25">
      <c r="B112" s="4" t="s">
        <v>695</v>
      </c>
      <c r="M112" s="402"/>
      <c r="N112" s="402"/>
    </row>
    <row r="113" spans="2:14" x14ac:dyDescent="0.25">
      <c r="B113" s="7"/>
      <c r="M113" s="402"/>
      <c r="N113" s="402"/>
    </row>
    <row r="114" spans="2:14" x14ac:dyDescent="0.25">
      <c r="B114" s="6" t="s">
        <v>674</v>
      </c>
      <c r="M114" s="402"/>
      <c r="N114" s="402"/>
    </row>
    <row r="115" spans="2:14" x14ac:dyDescent="0.25">
      <c r="B115" s="4" t="s">
        <v>679</v>
      </c>
      <c r="M115" s="402"/>
      <c r="N115" s="402"/>
    </row>
    <row r="116" spans="2:14" x14ac:dyDescent="0.25">
      <c r="B116" s="7" t="s">
        <v>677</v>
      </c>
      <c r="M116" s="402"/>
      <c r="N116" s="402"/>
    </row>
    <row r="117" spans="2:14" x14ac:dyDescent="0.25">
      <c r="B117" s="7" t="s">
        <v>678</v>
      </c>
      <c r="M117" s="402"/>
      <c r="N117" s="402"/>
    </row>
    <row r="118" spans="2:14" x14ac:dyDescent="0.25">
      <c r="B118" s="7" t="s">
        <v>684</v>
      </c>
      <c r="M118" s="402"/>
      <c r="N118" s="402"/>
    </row>
    <row r="119" spans="2:14" x14ac:dyDescent="0.25">
      <c r="B119" s="4" t="s">
        <v>680</v>
      </c>
      <c r="M119" s="402"/>
      <c r="N119" s="402"/>
    </row>
    <row r="120" spans="2:14" x14ac:dyDescent="0.25">
      <c r="B120" s="7" t="s">
        <v>681</v>
      </c>
      <c r="M120" s="402"/>
      <c r="N120" s="402"/>
    </row>
    <row r="121" spans="2:14" x14ac:dyDescent="0.25">
      <c r="B121" s="7" t="s">
        <v>682</v>
      </c>
      <c r="M121" s="402"/>
      <c r="N121" s="402"/>
    </row>
    <row r="122" spans="2:14" x14ac:dyDescent="0.25">
      <c r="B122" s="7" t="s">
        <v>683</v>
      </c>
      <c r="M122" s="402"/>
      <c r="N122" s="402"/>
    </row>
    <row r="123" spans="2:14" x14ac:dyDescent="0.25">
      <c r="B123" s="4" t="s">
        <v>689</v>
      </c>
      <c r="M123" s="402"/>
      <c r="N123" s="402"/>
    </row>
    <row r="124" spans="2:14" x14ac:dyDescent="0.25">
      <c r="B124" s="7" t="s">
        <v>691</v>
      </c>
      <c r="M124" s="402"/>
      <c r="N124" s="402"/>
    </row>
    <row r="125" spans="2:14" x14ac:dyDescent="0.25">
      <c r="B125" s="7" t="s">
        <v>692</v>
      </c>
      <c r="M125" s="402"/>
      <c r="N125" s="402"/>
    </row>
    <row r="126" spans="2:14" x14ac:dyDescent="0.25">
      <c r="B126" s="4" t="s">
        <v>693</v>
      </c>
      <c r="M126" s="402"/>
      <c r="N126" s="402"/>
    </row>
    <row r="127" spans="2:14" x14ac:dyDescent="0.25">
      <c r="B127" s="4" t="s">
        <v>628</v>
      </c>
      <c r="M127" s="402"/>
      <c r="N127" s="402"/>
    </row>
    <row r="128" spans="2:14" x14ac:dyDescent="0.25">
      <c r="M128" s="402"/>
      <c r="N128" s="402"/>
    </row>
    <row r="129" spans="2:14" x14ac:dyDescent="0.25">
      <c r="B129" s="6" t="s">
        <v>672</v>
      </c>
      <c r="M129" s="402"/>
      <c r="N129" s="402"/>
    </row>
    <row r="130" spans="2:14" x14ac:dyDescent="0.25">
      <c r="B130" s="4" t="s">
        <v>673</v>
      </c>
      <c r="M130" s="402"/>
      <c r="N130" s="402"/>
    </row>
    <row r="131" spans="2:14" x14ac:dyDescent="0.25">
      <c r="M131" s="402"/>
      <c r="N131" s="402"/>
    </row>
    <row r="132" spans="2:14" x14ac:dyDescent="0.25">
      <c r="B132" s="6" t="s">
        <v>667</v>
      </c>
      <c r="M132" s="402"/>
      <c r="N132" s="402"/>
    </row>
    <row r="133" spans="2:14" x14ac:dyDescent="0.25">
      <c r="B133" s="4" t="s">
        <v>668</v>
      </c>
      <c r="M133" s="402"/>
      <c r="N133" s="402"/>
    </row>
    <row r="134" spans="2:14" x14ac:dyDescent="0.25">
      <c r="B134" s="4" t="s">
        <v>670</v>
      </c>
      <c r="M134" s="402"/>
      <c r="N134" s="402"/>
    </row>
    <row r="135" spans="2:14" x14ac:dyDescent="0.25">
      <c r="B135" s="4" t="s">
        <v>671</v>
      </c>
      <c r="M135" s="402"/>
      <c r="N135" s="402"/>
    </row>
    <row r="136" spans="2:14" x14ac:dyDescent="0.25">
      <c r="M136" s="402"/>
      <c r="N136" s="402"/>
    </row>
    <row r="137" spans="2:14" x14ac:dyDescent="0.25">
      <c r="B137" s="6" t="s">
        <v>657</v>
      </c>
      <c r="M137" s="402"/>
      <c r="N137" s="402"/>
    </row>
    <row r="138" spans="2:14" x14ac:dyDescent="0.25">
      <c r="B138" s="4" t="s">
        <v>659</v>
      </c>
      <c r="M138" s="402"/>
      <c r="N138" s="402"/>
    </row>
    <row r="139" spans="2:14" x14ac:dyDescent="0.25">
      <c r="B139" s="4" t="s">
        <v>660</v>
      </c>
      <c r="M139" s="402"/>
      <c r="N139" s="402"/>
    </row>
    <row r="140" spans="2:14" x14ac:dyDescent="0.25">
      <c r="B140" s="4" t="s">
        <v>663</v>
      </c>
      <c r="M140" s="402"/>
      <c r="N140" s="402"/>
    </row>
    <row r="141" spans="2:14" x14ac:dyDescent="0.25">
      <c r="B141" s="4" t="s">
        <v>666</v>
      </c>
      <c r="M141" s="402"/>
      <c r="N141" s="402"/>
    </row>
    <row r="142" spans="2:14" x14ac:dyDescent="0.25">
      <c r="B142" s="4" t="s">
        <v>652</v>
      </c>
      <c r="M142" s="402"/>
      <c r="N142" s="402"/>
    </row>
    <row r="143" spans="2:14" x14ac:dyDescent="0.25">
      <c r="M143" s="402"/>
      <c r="N143" s="402"/>
    </row>
    <row r="144" spans="2:14" x14ac:dyDescent="0.25">
      <c r="B144" s="6" t="s">
        <v>655</v>
      </c>
      <c r="M144" s="402"/>
      <c r="N144" s="402"/>
    </row>
    <row r="145" spans="2:14" x14ac:dyDescent="0.25">
      <c r="B145" s="4" t="s">
        <v>656</v>
      </c>
      <c r="M145" s="402"/>
      <c r="N145" s="402"/>
    </row>
    <row r="146" spans="2:14" x14ac:dyDescent="0.25">
      <c r="M146" s="402"/>
      <c r="N146" s="402"/>
    </row>
    <row r="147" spans="2:14" x14ac:dyDescent="0.25">
      <c r="B147" s="6" t="s">
        <v>653</v>
      </c>
      <c r="M147" s="402"/>
      <c r="N147" s="402"/>
    </row>
    <row r="148" spans="2:14" x14ac:dyDescent="0.25">
      <c r="B148" s="4" t="s">
        <v>654</v>
      </c>
      <c r="M148" s="402"/>
      <c r="N148" s="402"/>
    </row>
    <row r="149" spans="2:14" x14ac:dyDescent="0.25">
      <c r="M149" s="402"/>
      <c r="N149" s="402"/>
    </row>
    <row r="150" spans="2:14" x14ac:dyDescent="0.25">
      <c r="B150" s="6" t="s">
        <v>629</v>
      </c>
      <c r="M150" s="402"/>
      <c r="N150" s="402"/>
    </row>
    <row r="151" spans="2:14" x14ac:dyDescent="0.25">
      <c r="B151" s="4" t="s">
        <v>630</v>
      </c>
      <c r="M151" s="402"/>
      <c r="N151" s="402"/>
    </row>
    <row r="152" spans="2:14" x14ac:dyDescent="0.25">
      <c r="B152" s="4" t="s">
        <v>633</v>
      </c>
      <c r="M152" s="402"/>
      <c r="N152" s="402"/>
    </row>
    <row r="153" spans="2:14" x14ac:dyDescent="0.25">
      <c r="B153" s="4" t="s">
        <v>634</v>
      </c>
      <c r="M153" s="402"/>
      <c r="N153" s="402"/>
    </row>
    <row r="154" spans="2:14" x14ac:dyDescent="0.25">
      <c r="B154" s="4" t="s">
        <v>635</v>
      </c>
      <c r="M154" s="402"/>
      <c r="N154" s="402"/>
    </row>
    <row r="155" spans="2:14" x14ac:dyDescent="0.25">
      <c r="B155" s="4" t="s">
        <v>638</v>
      </c>
      <c r="M155" s="402"/>
      <c r="N155" s="402"/>
    </row>
    <row r="156" spans="2:14" x14ac:dyDescent="0.25">
      <c r="B156" s="4" t="s">
        <v>640</v>
      </c>
      <c r="M156" s="402"/>
      <c r="N156" s="402"/>
    </row>
    <row r="157" spans="2:14" x14ac:dyDescent="0.25">
      <c r="B157" s="7" t="s">
        <v>641</v>
      </c>
      <c r="M157" s="402"/>
      <c r="N157" s="402"/>
    </row>
    <row r="158" spans="2:14" x14ac:dyDescent="0.25">
      <c r="B158" s="7" t="s">
        <v>642</v>
      </c>
      <c r="M158" s="402"/>
      <c r="N158" s="402"/>
    </row>
    <row r="159" spans="2:14" x14ac:dyDescent="0.25">
      <c r="B159" s="4" t="s">
        <v>647</v>
      </c>
      <c r="M159" s="402"/>
      <c r="N159" s="402"/>
    </row>
    <row r="160" spans="2:14" x14ac:dyDescent="0.25">
      <c r="B160" s="7" t="s">
        <v>648</v>
      </c>
      <c r="M160" s="402"/>
      <c r="N160" s="402"/>
    </row>
    <row r="161" spans="2:14" x14ac:dyDescent="0.25">
      <c r="B161" s="7" t="s">
        <v>649</v>
      </c>
      <c r="M161" s="402"/>
      <c r="N161" s="402"/>
    </row>
    <row r="162" spans="2:14" x14ac:dyDescent="0.25">
      <c r="B162" s="7" t="s">
        <v>650</v>
      </c>
      <c r="M162" s="402"/>
      <c r="N162" s="402"/>
    </row>
    <row r="163" spans="2:14" x14ac:dyDescent="0.25">
      <c r="B163" s="7" t="s">
        <v>651</v>
      </c>
      <c r="M163" s="402"/>
      <c r="N163" s="402"/>
    </row>
    <row r="164" spans="2:14" x14ac:dyDescent="0.25">
      <c r="B164" s="4" t="s">
        <v>652</v>
      </c>
      <c r="M164" s="402"/>
      <c r="N164" s="402"/>
    </row>
    <row r="165" spans="2:14" x14ac:dyDescent="0.25">
      <c r="M165" s="402"/>
      <c r="N165" s="402"/>
    </row>
    <row r="166" spans="2:14" x14ac:dyDescent="0.25">
      <c r="B166" s="6" t="s">
        <v>621</v>
      </c>
      <c r="M166" s="402"/>
      <c r="N166" s="402"/>
    </row>
    <row r="167" spans="2:14" x14ac:dyDescent="0.25">
      <c r="B167" s="4" t="s">
        <v>622</v>
      </c>
      <c r="M167" s="402"/>
      <c r="N167" s="402"/>
    </row>
    <row r="168" spans="2:14" x14ac:dyDescent="0.25">
      <c r="B168" s="4" t="s">
        <v>624</v>
      </c>
      <c r="M168" s="402"/>
      <c r="N168" s="402"/>
    </row>
    <row r="169" spans="2:14" x14ac:dyDescent="0.25">
      <c r="B169" s="4" t="s">
        <v>625</v>
      </c>
      <c r="M169" s="402"/>
      <c r="N169" s="402"/>
    </row>
    <row r="170" spans="2:14" x14ac:dyDescent="0.25">
      <c r="B170" s="4" t="s">
        <v>627</v>
      </c>
      <c r="M170" s="402"/>
      <c r="N170" s="402"/>
    </row>
    <row r="171" spans="2:14" x14ac:dyDescent="0.25">
      <c r="B171" s="4" t="s">
        <v>628</v>
      </c>
      <c r="M171" s="402"/>
      <c r="N171" s="402"/>
    </row>
    <row r="172" spans="2:14" x14ac:dyDescent="0.25">
      <c r="M172" s="402"/>
      <c r="N172" s="402"/>
    </row>
    <row r="173" spans="2:14" x14ac:dyDescent="0.25">
      <c r="B173" s="6" t="s">
        <v>618</v>
      </c>
      <c r="M173"/>
      <c r="N173"/>
    </row>
    <row r="174" spans="2:14" x14ac:dyDescent="0.25">
      <c r="B174" s="4" t="s">
        <v>619</v>
      </c>
      <c r="M174"/>
      <c r="N174"/>
    </row>
    <row r="175" spans="2:14" x14ac:dyDescent="0.25">
      <c r="B175" s="4" t="s">
        <v>620</v>
      </c>
      <c r="M175"/>
      <c r="N175"/>
    </row>
    <row r="176" spans="2:14" x14ac:dyDescent="0.25">
      <c r="B176" s="7"/>
      <c r="M176"/>
      <c r="N176"/>
    </row>
    <row r="177" spans="2:14" x14ac:dyDescent="0.25">
      <c r="B177" s="6" t="s">
        <v>601</v>
      </c>
      <c r="M177"/>
      <c r="N177"/>
    </row>
    <row r="178" spans="2:14" x14ac:dyDescent="0.25">
      <c r="B178" s="4" t="s">
        <v>607</v>
      </c>
      <c r="M178"/>
      <c r="N178"/>
    </row>
    <row r="179" spans="2:14" x14ac:dyDescent="0.25">
      <c r="B179" s="7" t="s">
        <v>606</v>
      </c>
      <c r="M179"/>
      <c r="N179"/>
    </row>
    <row r="180" spans="2:14" x14ac:dyDescent="0.25">
      <c r="B180" s="7" t="s">
        <v>605</v>
      </c>
      <c r="M180"/>
      <c r="N180"/>
    </row>
    <row r="181" spans="2:14" x14ac:dyDescent="0.25">
      <c r="B181" s="4" t="s">
        <v>609</v>
      </c>
      <c r="M181"/>
      <c r="N181"/>
    </row>
    <row r="182" spans="2:14" x14ac:dyDescent="0.25">
      <c r="B182" s="7" t="s">
        <v>610</v>
      </c>
      <c r="M182"/>
      <c r="N182"/>
    </row>
    <row r="183" spans="2:14" x14ac:dyDescent="0.25">
      <c r="B183" s="7" t="s">
        <v>612</v>
      </c>
      <c r="M183"/>
      <c r="N183"/>
    </row>
    <row r="184" spans="2:14" x14ac:dyDescent="0.25">
      <c r="B184" s="4" t="s">
        <v>613</v>
      </c>
      <c r="M184"/>
      <c r="N184"/>
    </row>
    <row r="185" spans="2:14" x14ac:dyDescent="0.25">
      <c r="B185" s="4" t="s">
        <v>614</v>
      </c>
      <c r="M185"/>
      <c r="N185"/>
    </row>
    <row r="186" spans="2:14" x14ac:dyDescent="0.25">
      <c r="B186" s="4" t="s">
        <v>616</v>
      </c>
      <c r="M186"/>
      <c r="N186"/>
    </row>
    <row r="187" spans="2:14" x14ac:dyDescent="0.25">
      <c r="B187" s="4" t="s">
        <v>617</v>
      </c>
      <c r="M187"/>
      <c r="N187"/>
    </row>
    <row r="188" spans="2:14" x14ac:dyDescent="0.25">
      <c r="M188"/>
      <c r="N188"/>
    </row>
    <row r="189" spans="2:14" x14ac:dyDescent="0.25">
      <c r="B189" s="6" t="s">
        <v>582</v>
      </c>
      <c r="M189"/>
      <c r="N189"/>
    </row>
    <row r="190" spans="2:14" x14ac:dyDescent="0.25">
      <c r="B190" s="4" t="s">
        <v>583</v>
      </c>
      <c r="M190"/>
      <c r="N190"/>
    </row>
    <row r="191" spans="2:14" x14ac:dyDescent="0.25">
      <c r="B191" s="4" t="s">
        <v>577</v>
      </c>
      <c r="M191"/>
      <c r="N191"/>
    </row>
    <row r="192" spans="2:14" x14ac:dyDescent="0.25">
      <c r="B192" s="4" t="s">
        <v>581</v>
      </c>
      <c r="M192"/>
      <c r="N192"/>
    </row>
    <row r="193" spans="2:14" x14ac:dyDescent="0.25">
      <c r="B193" s="4" t="s">
        <v>593</v>
      </c>
      <c r="M193"/>
      <c r="N193"/>
    </row>
    <row r="194" spans="2:14" x14ac:dyDescent="0.25">
      <c r="B194" s="7" t="s">
        <v>594</v>
      </c>
      <c r="M194"/>
      <c r="N194"/>
    </row>
    <row r="195" spans="2:14" x14ac:dyDescent="0.25">
      <c r="B195" s="7" t="s">
        <v>595</v>
      </c>
      <c r="M195"/>
      <c r="N195"/>
    </row>
    <row r="196" spans="2:14" x14ac:dyDescent="0.25">
      <c r="B196" s="7" t="s">
        <v>596</v>
      </c>
      <c r="M196"/>
      <c r="N196"/>
    </row>
    <row r="197" spans="2:14" x14ac:dyDescent="0.25">
      <c r="B197" s="7" t="s">
        <v>597</v>
      </c>
      <c r="M197"/>
      <c r="N197"/>
    </row>
    <row r="198" spans="2:14" x14ac:dyDescent="0.25">
      <c r="B198" s="7" t="s">
        <v>598</v>
      </c>
      <c r="M198"/>
      <c r="N198"/>
    </row>
    <row r="199" spans="2:14" x14ac:dyDescent="0.25">
      <c r="B199" s="4" t="s">
        <v>599</v>
      </c>
      <c r="M199"/>
      <c r="N199"/>
    </row>
    <row r="200" spans="2:14" x14ac:dyDescent="0.25">
      <c r="M200"/>
      <c r="N200"/>
    </row>
    <row r="201" spans="2:14" x14ac:dyDescent="0.25">
      <c r="B201" s="6" t="s">
        <v>570</v>
      </c>
      <c r="M201"/>
      <c r="N201"/>
    </row>
    <row r="202" spans="2:14" x14ac:dyDescent="0.25">
      <c r="B202" s="4" t="s">
        <v>571</v>
      </c>
      <c r="M202"/>
      <c r="N202"/>
    </row>
    <row r="203" spans="2:14" x14ac:dyDescent="0.25">
      <c r="B203" s="4" t="s">
        <v>574</v>
      </c>
      <c r="M203"/>
      <c r="N203"/>
    </row>
    <row r="204" spans="2:14" x14ac:dyDescent="0.25">
      <c r="B204" s="4" t="s">
        <v>572</v>
      </c>
      <c r="M204"/>
      <c r="N204"/>
    </row>
    <row r="205" spans="2:14" x14ac:dyDescent="0.25">
      <c r="B205" s="4" t="s">
        <v>575</v>
      </c>
      <c r="M205"/>
      <c r="N205"/>
    </row>
    <row r="206" spans="2:14" x14ac:dyDescent="0.25">
      <c r="B206" s="4" t="s">
        <v>576</v>
      </c>
      <c r="M206"/>
      <c r="N206"/>
    </row>
    <row r="207" spans="2:14" x14ac:dyDescent="0.25">
      <c r="B207" s="4" t="s">
        <v>342</v>
      </c>
      <c r="M207"/>
      <c r="N207"/>
    </row>
    <row r="208" spans="2:14" x14ac:dyDescent="0.25">
      <c r="M208" s="402"/>
      <c r="N208" s="402"/>
    </row>
    <row r="209" spans="2:14" x14ac:dyDescent="0.25">
      <c r="B209" s="6" t="s">
        <v>443</v>
      </c>
      <c r="M209" s="402"/>
      <c r="N209" s="402"/>
    </row>
    <row r="210" spans="2:14" x14ac:dyDescent="0.25">
      <c r="B210" s="4" t="s">
        <v>450</v>
      </c>
      <c r="M210" s="402"/>
      <c r="N210" s="402"/>
    </row>
    <row r="211" spans="2:14" x14ac:dyDescent="0.25">
      <c r="B211" s="7" t="s">
        <v>447</v>
      </c>
      <c r="M211" s="402"/>
      <c r="N211" s="402"/>
    </row>
    <row r="212" spans="2:14" x14ac:dyDescent="0.25">
      <c r="B212" s="7" t="s">
        <v>448</v>
      </c>
      <c r="M212" s="402"/>
      <c r="N212" s="402"/>
    </row>
    <row r="213" spans="2:14" x14ac:dyDescent="0.25">
      <c r="B213" s="7" t="s">
        <v>449</v>
      </c>
      <c r="M213" s="402"/>
      <c r="N213" s="402"/>
    </row>
    <row r="214" spans="2:14" x14ac:dyDescent="0.25">
      <c r="B214" s="4" t="s">
        <v>453</v>
      </c>
      <c r="M214" s="402"/>
      <c r="N214" s="402"/>
    </row>
    <row r="215" spans="2:14" x14ac:dyDescent="0.25">
      <c r="B215" s="4" t="s">
        <v>562</v>
      </c>
      <c r="M215"/>
      <c r="N215"/>
    </row>
    <row r="216" spans="2:14" x14ac:dyDescent="0.25">
      <c r="B216" s="7" t="s">
        <v>564</v>
      </c>
      <c r="M216"/>
      <c r="N216"/>
    </row>
    <row r="217" spans="2:14" x14ac:dyDescent="0.25">
      <c r="B217" s="517" t="s">
        <v>565</v>
      </c>
      <c r="M217"/>
      <c r="N217"/>
    </row>
    <row r="218" spans="2:14" x14ac:dyDescent="0.25">
      <c r="B218" s="7" t="s">
        <v>563</v>
      </c>
      <c r="M218"/>
      <c r="N218"/>
    </row>
    <row r="219" spans="2:14" x14ac:dyDescent="0.25">
      <c r="B219" s="7" t="s">
        <v>566</v>
      </c>
      <c r="M219"/>
      <c r="N219"/>
    </row>
    <row r="220" spans="2:14" x14ac:dyDescent="0.25">
      <c r="B220" s="7" t="s">
        <v>568</v>
      </c>
      <c r="M220"/>
      <c r="N220"/>
    </row>
    <row r="221" spans="2:14" x14ac:dyDescent="0.25">
      <c r="B221" s="4" t="s">
        <v>569</v>
      </c>
      <c r="M221"/>
      <c r="N221"/>
    </row>
    <row r="222" spans="2:14" x14ac:dyDescent="0.25">
      <c r="B222" s="7"/>
      <c r="M222"/>
      <c r="N222"/>
    </row>
    <row r="223" spans="2:14" x14ac:dyDescent="0.25">
      <c r="B223" s="6" t="s">
        <v>442</v>
      </c>
      <c r="M223"/>
      <c r="N223"/>
    </row>
    <row r="224" spans="2:14" x14ac:dyDescent="0.25">
      <c r="B224" s="4" t="s">
        <v>438</v>
      </c>
      <c r="M224"/>
      <c r="N224"/>
    </row>
    <row r="225" spans="2:14" x14ac:dyDescent="0.25">
      <c r="B225" s="4" t="s">
        <v>439</v>
      </c>
      <c r="M225"/>
      <c r="N225"/>
    </row>
    <row r="226" spans="2:14" x14ac:dyDescent="0.25">
      <c r="B226" s="4" t="s">
        <v>440</v>
      </c>
      <c r="M226"/>
      <c r="N226"/>
    </row>
    <row r="227" spans="2:14" x14ac:dyDescent="0.25">
      <c r="B227" s="4" t="s">
        <v>441</v>
      </c>
      <c r="M227"/>
      <c r="N227"/>
    </row>
    <row r="228" spans="2:14" x14ac:dyDescent="0.25">
      <c r="M228"/>
      <c r="N228"/>
    </row>
    <row r="229" spans="2:14" x14ac:dyDescent="0.25">
      <c r="B229" s="6" t="s">
        <v>432</v>
      </c>
      <c r="M229"/>
      <c r="N229"/>
    </row>
    <row r="230" spans="2:14" x14ac:dyDescent="0.25">
      <c r="B230" s="4" t="s">
        <v>433</v>
      </c>
      <c r="M230"/>
      <c r="N230"/>
    </row>
    <row r="231" spans="2:14" x14ac:dyDescent="0.25">
      <c r="B231" s="4" t="s">
        <v>435</v>
      </c>
      <c r="M231"/>
      <c r="N231"/>
    </row>
    <row r="232" spans="2:14" x14ac:dyDescent="0.25">
      <c r="M232"/>
      <c r="N232"/>
    </row>
    <row r="233" spans="2:14" x14ac:dyDescent="0.25">
      <c r="B233" s="6" t="s">
        <v>404</v>
      </c>
      <c r="M233"/>
      <c r="N233"/>
    </row>
    <row r="234" spans="2:14" x14ac:dyDescent="0.25">
      <c r="B234" s="4" t="s">
        <v>402</v>
      </c>
      <c r="M234"/>
      <c r="N234"/>
    </row>
    <row r="235" spans="2:14" x14ac:dyDescent="0.25">
      <c r="B235" s="4" t="s">
        <v>411</v>
      </c>
      <c r="M235"/>
      <c r="N235"/>
    </row>
    <row r="236" spans="2:14" x14ac:dyDescent="0.25">
      <c r="B236" s="7" t="s">
        <v>412</v>
      </c>
      <c r="M236"/>
      <c r="N236"/>
    </row>
    <row r="237" spans="2:14" x14ac:dyDescent="0.25">
      <c r="B237" s="7" t="s">
        <v>415</v>
      </c>
      <c r="M237"/>
      <c r="N237"/>
    </row>
    <row r="238" spans="2:14" x14ac:dyDescent="0.25">
      <c r="B238" s="7" t="s">
        <v>416</v>
      </c>
      <c r="M238"/>
      <c r="N238"/>
    </row>
    <row r="239" spans="2:14" x14ac:dyDescent="0.25">
      <c r="B239" s="7" t="s">
        <v>413</v>
      </c>
      <c r="M239"/>
      <c r="N239"/>
    </row>
    <row r="240" spans="2:14" x14ac:dyDescent="0.25">
      <c r="B240" s="4" t="s">
        <v>426</v>
      </c>
      <c r="M240"/>
      <c r="N240"/>
    </row>
    <row r="241" spans="2:14" x14ac:dyDescent="0.25">
      <c r="M241"/>
      <c r="N241"/>
    </row>
    <row r="242" spans="2:14" x14ac:dyDescent="0.25">
      <c r="B242" s="6" t="s">
        <v>393</v>
      </c>
      <c r="M242"/>
      <c r="N242"/>
    </row>
    <row r="243" spans="2:14" x14ac:dyDescent="0.25">
      <c r="B243" s="4" t="s">
        <v>394</v>
      </c>
      <c r="M243"/>
      <c r="N243"/>
    </row>
    <row r="244" spans="2:14" x14ac:dyDescent="0.25">
      <c r="B244" s="4" t="s">
        <v>395</v>
      </c>
      <c r="M244"/>
      <c r="N244"/>
    </row>
    <row r="245" spans="2:14" x14ac:dyDescent="0.25">
      <c r="B245" s="4" t="s">
        <v>398</v>
      </c>
      <c r="M245"/>
      <c r="N245"/>
    </row>
    <row r="246" spans="2:14" x14ac:dyDescent="0.25">
      <c r="B246" s="4" t="s">
        <v>395</v>
      </c>
      <c r="M246"/>
      <c r="N246"/>
    </row>
    <row r="247" spans="2:14" x14ac:dyDescent="0.25">
      <c r="B247" s="4" t="s">
        <v>401</v>
      </c>
      <c r="M247"/>
      <c r="N247"/>
    </row>
    <row r="248" spans="2:14" x14ac:dyDescent="0.25">
      <c r="B248" s="6"/>
      <c r="M248"/>
      <c r="N248"/>
    </row>
    <row r="249" spans="2:14" x14ac:dyDescent="0.25">
      <c r="B249" s="6" t="s">
        <v>388</v>
      </c>
      <c r="M249"/>
      <c r="N249"/>
    </row>
    <row r="250" spans="2:14" x14ac:dyDescent="0.25">
      <c r="B250" s="4" t="s">
        <v>392</v>
      </c>
      <c r="M250"/>
      <c r="N250"/>
    </row>
    <row r="251" spans="2:14" x14ac:dyDescent="0.25">
      <c r="B251" s="4" t="s">
        <v>390</v>
      </c>
      <c r="M251"/>
      <c r="N251"/>
    </row>
    <row r="252" spans="2:14" x14ac:dyDescent="0.25">
      <c r="B252" s="4" t="s">
        <v>391</v>
      </c>
      <c r="M252"/>
      <c r="N252"/>
    </row>
    <row r="253" spans="2:14" x14ac:dyDescent="0.25">
      <c r="M253"/>
      <c r="N253"/>
    </row>
    <row r="254" spans="2:14" x14ac:dyDescent="0.25">
      <c r="B254" s="6" t="s">
        <v>356</v>
      </c>
      <c r="M254"/>
      <c r="N254"/>
    </row>
    <row r="255" spans="2:14" x14ac:dyDescent="0.25">
      <c r="B255" s="4" t="s">
        <v>357</v>
      </c>
      <c r="M255"/>
      <c r="N255"/>
    </row>
    <row r="256" spans="2:14" x14ac:dyDescent="0.25">
      <c r="B256" s="4" t="s">
        <v>358</v>
      </c>
      <c r="M256"/>
      <c r="N256"/>
    </row>
    <row r="257" spans="2:14" x14ac:dyDescent="0.25">
      <c r="B257" s="4" t="s">
        <v>367</v>
      </c>
      <c r="M257"/>
      <c r="N257"/>
    </row>
    <row r="258" spans="2:14" x14ac:dyDescent="0.25">
      <c r="B258" s="7" t="s">
        <v>369</v>
      </c>
      <c r="M258"/>
      <c r="N258"/>
    </row>
    <row r="259" spans="2:14" x14ac:dyDescent="0.25">
      <c r="B259" s="7" t="s">
        <v>368</v>
      </c>
      <c r="M259"/>
      <c r="N259"/>
    </row>
    <row r="260" spans="2:14" x14ac:dyDescent="0.25">
      <c r="B260" s="7" t="s">
        <v>372</v>
      </c>
      <c r="M260"/>
      <c r="N260"/>
    </row>
    <row r="261" spans="2:14" x14ac:dyDescent="0.25">
      <c r="B261" s="4" t="s">
        <v>370</v>
      </c>
      <c r="M261"/>
      <c r="N261"/>
    </row>
    <row r="262" spans="2:14" x14ac:dyDescent="0.25">
      <c r="B262" s="7" t="s">
        <v>371</v>
      </c>
      <c r="M262"/>
      <c r="N262"/>
    </row>
    <row r="263" spans="2:14" x14ac:dyDescent="0.25">
      <c r="B263" s="7" t="s">
        <v>374</v>
      </c>
      <c r="M263"/>
      <c r="N263"/>
    </row>
    <row r="264" spans="2:14" x14ac:dyDescent="0.25">
      <c r="B264" s="7" t="s">
        <v>373</v>
      </c>
      <c r="M264"/>
      <c r="N264"/>
    </row>
    <row r="265" spans="2:14" x14ac:dyDescent="0.25">
      <c r="B265" s="4" t="s">
        <v>387</v>
      </c>
      <c r="M265"/>
      <c r="N265"/>
    </row>
    <row r="266" spans="2:14" x14ac:dyDescent="0.25">
      <c r="M266"/>
      <c r="N266"/>
    </row>
    <row r="267" spans="2:14" x14ac:dyDescent="0.25">
      <c r="B267" s="6" t="s">
        <v>346</v>
      </c>
      <c r="M267"/>
      <c r="N267"/>
    </row>
    <row r="268" spans="2:14" x14ac:dyDescent="0.25">
      <c r="B268" s="4" t="s">
        <v>347</v>
      </c>
      <c r="M268"/>
      <c r="N268"/>
    </row>
    <row r="269" spans="2:14" x14ac:dyDescent="0.25">
      <c r="B269" s="4" t="s">
        <v>348</v>
      </c>
      <c r="M269"/>
      <c r="N269"/>
    </row>
    <row r="270" spans="2:14" x14ac:dyDescent="0.25">
      <c r="B270" s="4" t="s">
        <v>352</v>
      </c>
      <c r="M270"/>
      <c r="N270"/>
    </row>
    <row r="271" spans="2:14" x14ac:dyDescent="0.25">
      <c r="B271" s="4" t="s">
        <v>353</v>
      </c>
      <c r="M271"/>
      <c r="N271"/>
    </row>
    <row r="272" spans="2:14" x14ac:dyDescent="0.25">
      <c r="B272" s="4" t="s">
        <v>354</v>
      </c>
      <c r="M272"/>
      <c r="N272"/>
    </row>
    <row r="273" spans="2:14" x14ac:dyDescent="0.25">
      <c r="M273"/>
      <c r="N273"/>
    </row>
    <row r="274" spans="2:14" x14ac:dyDescent="0.25">
      <c r="B274" s="6" t="s">
        <v>343</v>
      </c>
      <c r="M274"/>
      <c r="N274"/>
    </row>
    <row r="275" spans="2:14" x14ac:dyDescent="0.25">
      <c r="B275" s="4" t="s">
        <v>344</v>
      </c>
      <c r="M275"/>
      <c r="N275"/>
    </row>
    <row r="276" spans="2:14" x14ac:dyDescent="0.25">
      <c r="B276" s="4" t="s">
        <v>345</v>
      </c>
      <c r="M276"/>
      <c r="N276"/>
    </row>
    <row r="277" spans="2:14" x14ac:dyDescent="0.25">
      <c r="M277"/>
      <c r="N277"/>
    </row>
    <row r="278" spans="2:14" x14ac:dyDescent="0.25">
      <c r="B278" s="6" t="s">
        <v>327</v>
      </c>
      <c r="M278"/>
      <c r="N278"/>
    </row>
    <row r="279" spans="2:14" x14ac:dyDescent="0.25">
      <c r="B279" s="4" t="s">
        <v>328</v>
      </c>
      <c r="M279"/>
      <c r="N279"/>
    </row>
    <row r="280" spans="2:14" x14ac:dyDescent="0.25">
      <c r="B280" s="4" t="s">
        <v>331</v>
      </c>
      <c r="M280"/>
      <c r="N280"/>
    </row>
    <row r="281" spans="2:14" x14ac:dyDescent="0.25">
      <c r="B281" s="4" t="s">
        <v>335</v>
      </c>
      <c r="M281"/>
      <c r="N281"/>
    </row>
    <row r="282" spans="2:14" x14ac:dyDescent="0.25">
      <c r="B282" s="4" t="s">
        <v>341</v>
      </c>
      <c r="M282"/>
      <c r="N282"/>
    </row>
    <row r="283" spans="2:14" x14ac:dyDescent="0.25">
      <c r="B283" s="4" t="s">
        <v>342</v>
      </c>
      <c r="M283"/>
      <c r="N283"/>
    </row>
    <row r="284" spans="2:14" x14ac:dyDescent="0.25">
      <c r="M284"/>
      <c r="N284"/>
    </row>
    <row r="285" spans="2:14" x14ac:dyDescent="0.25">
      <c r="B285" s="6" t="s">
        <v>355</v>
      </c>
      <c r="M285"/>
      <c r="N285"/>
    </row>
    <row r="286" spans="2:14" x14ac:dyDescent="0.25">
      <c r="B286" s="4" t="s">
        <v>321</v>
      </c>
      <c r="M286"/>
      <c r="N286"/>
    </row>
    <row r="287" spans="2:14" x14ac:dyDescent="0.25">
      <c r="M287"/>
      <c r="N287"/>
    </row>
    <row r="288" spans="2:14" x14ac:dyDescent="0.25">
      <c r="M288"/>
      <c r="N288"/>
    </row>
    <row r="289" spans="2:14" x14ac:dyDescent="0.25">
      <c r="M289"/>
      <c r="N289"/>
    </row>
    <row r="290" spans="2:14" x14ac:dyDescent="0.25">
      <c r="M290"/>
      <c r="N290"/>
    </row>
    <row r="291" spans="2:14" x14ac:dyDescent="0.25">
      <c r="M291"/>
      <c r="N291"/>
    </row>
    <row r="292" spans="2:14" x14ac:dyDescent="0.25">
      <c r="M292"/>
      <c r="N292"/>
    </row>
    <row r="293" spans="2:14" x14ac:dyDescent="0.25">
      <c r="M293"/>
      <c r="N293"/>
    </row>
    <row r="294" spans="2:14" x14ac:dyDescent="0.25">
      <c r="B294" s="6"/>
      <c r="M294"/>
      <c r="N294"/>
    </row>
    <row r="295" spans="2:14" x14ac:dyDescent="0.25">
      <c r="M295"/>
      <c r="N295"/>
    </row>
    <row r="296" spans="2:14" x14ac:dyDescent="0.25">
      <c r="M296"/>
      <c r="N296"/>
    </row>
    <row r="297" spans="2:14" x14ac:dyDescent="0.25">
      <c r="M297"/>
      <c r="N297"/>
    </row>
    <row r="298" spans="2:14" x14ac:dyDescent="0.25">
      <c r="M298"/>
      <c r="N298"/>
    </row>
    <row r="299" spans="2:14" x14ac:dyDescent="0.25">
      <c r="M299"/>
      <c r="N299"/>
    </row>
    <row r="300" spans="2:14" x14ac:dyDescent="0.25">
      <c r="M300"/>
      <c r="N300"/>
    </row>
    <row r="301" spans="2:14" x14ac:dyDescent="0.25">
      <c r="B301" s="6"/>
      <c r="M301"/>
      <c r="N301"/>
    </row>
    <row r="302" spans="2:14" x14ac:dyDescent="0.25">
      <c r="M302"/>
      <c r="N302"/>
    </row>
    <row r="303" spans="2:14" x14ac:dyDescent="0.25">
      <c r="M303"/>
      <c r="N303"/>
    </row>
    <row r="304" spans="2:14" x14ac:dyDescent="0.25">
      <c r="B304" s="7"/>
      <c r="M304"/>
      <c r="N304"/>
    </row>
    <row r="305" spans="2:14" x14ac:dyDescent="0.25">
      <c r="B305" s="7"/>
      <c r="M305"/>
      <c r="N305"/>
    </row>
    <row r="306" spans="2:14" x14ac:dyDescent="0.25">
      <c r="B306" s="7"/>
      <c r="M306"/>
      <c r="N306"/>
    </row>
    <row r="307" spans="2:14" x14ac:dyDescent="0.25">
      <c r="M307"/>
      <c r="N307"/>
    </row>
    <row r="308" spans="2:14" x14ac:dyDescent="0.25">
      <c r="B308" s="6"/>
      <c r="M308"/>
      <c r="N308"/>
    </row>
    <row r="309" spans="2:14" x14ac:dyDescent="0.25">
      <c r="M309"/>
      <c r="N309"/>
    </row>
    <row r="310" spans="2:14" x14ac:dyDescent="0.25">
      <c r="M310"/>
      <c r="N310"/>
    </row>
    <row r="311" spans="2:14" x14ac:dyDescent="0.25">
      <c r="B311" s="7"/>
      <c r="M311"/>
      <c r="N311"/>
    </row>
    <row r="312" spans="2:14" x14ac:dyDescent="0.25">
      <c r="B312" s="7"/>
      <c r="M312"/>
      <c r="N312"/>
    </row>
    <row r="313" spans="2:14" x14ac:dyDescent="0.25">
      <c r="B313" s="7"/>
      <c r="M313"/>
      <c r="N313"/>
    </row>
    <row r="314" spans="2:14" x14ac:dyDescent="0.25">
      <c r="B314" s="7"/>
      <c r="M314"/>
      <c r="N314"/>
    </row>
    <row r="315" spans="2:14" x14ac:dyDescent="0.25">
      <c r="M315"/>
      <c r="N315"/>
    </row>
    <row r="316" spans="2:14" x14ac:dyDescent="0.25">
      <c r="M316"/>
      <c r="N316"/>
    </row>
    <row r="317" spans="2:14" x14ac:dyDescent="0.25">
      <c r="B317" s="6"/>
      <c r="M317"/>
      <c r="N317"/>
    </row>
    <row r="318" spans="2:14" x14ac:dyDescent="0.25">
      <c r="M318"/>
      <c r="N318"/>
    </row>
    <row r="319" spans="2:14" x14ac:dyDescent="0.25">
      <c r="M319"/>
      <c r="N319"/>
    </row>
    <row r="320" spans="2:14" x14ac:dyDescent="0.25">
      <c r="M320"/>
      <c r="N320"/>
    </row>
    <row r="321" spans="2:14" x14ac:dyDescent="0.25">
      <c r="M321"/>
      <c r="N321"/>
    </row>
    <row r="322" spans="2:14" x14ac:dyDescent="0.25">
      <c r="M322"/>
      <c r="N322"/>
    </row>
    <row r="323" spans="2:14" x14ac:dyDescent="0.25">
      <c r="B323"/>
      <c r="M323"/>
      <c r="N323"/>
    </row>
    <row r="324" spans="2:14" x14ac:dyDescent="0.25">
      <c r="B324" s="6"/>
    </row>
    <row r="329" spans="2:14" x14ac:dyDescent="0.25">
      <c r="B329" s="5"/>
    </row>
  </sheetData>
  <mergeCells count="8">
    <mergeCell ref="B14:Q14"/>
    <mergeCell ref="L12:T12"/>
    <mergeCell ref="B13:Q13"/>
    <mergeCell ref="L5:P5"/>
    <mergeCell ref="L6:P6"/>
    <mergeCell ref="L7:P7"/>
    <mergeCell ref="L10:P10"/>
    <mergeCell ref="L9:P9"/>
  </mergeCells>
  <hyperlinks>
    <hyperlink ref="B5" r:id="rId1" xr:uid="{56AB3E71-C93A-4242-829E-A4B6EEAAEC38}"/>
    <hyperlink ref="L7" r:id="rId2" xr:uid="{CAF093AB-96E7-4FE2-B81A-08F204EA7298}"/>
    <hyperlink ref="L5:P5" r:id="rId3" display="Visit this Model's Webpage" xr:uid="{021978FA-4881-4CE6-992D-4601F8CB9D89}"/>
    <hyperlink ref="L6:P6" r:id="rId4" display="Guides and Tutorials for Using the Model" xr:uid="{7FAE03C3-7C61-4D01-8D98-4480CC96361E}"/>
    <hyperlink ref="B14:M14" r:id="rId5" display="https://www.adventuresincre.com/accelerator/" xr:uid="{FDB00D02-7BDA-4CF7-A082-8A041CC05073}"/>
    <hyperlink ref="L12" r:id="rId6" xr:uid="{06462567-F5FE-4440-B552-41233D6DE5B5}"/>
    <hyperlink ref="L10" r:id="rId7" display="Having Issues with Macros? Click here to troubleshoot." xr:uid="{145B056B-4169-4276-BBA5-5867284962F2}"/>
    <hyperlink ref="L9:P9" r:id="rId8" display="New to A.CRE Models? Check out our Best Practices Guide" xr:uid="{843061A9-2864-4B7D-A091-35F2C8F4D2F5}"/>
  </hyperlinks>
  <pageMargins left="0.7" right="0.7" top="0.75" bottom="0.75" header="0.3" footer="0.3"/>
  <pageSetup orientation="portrait" horizontalDpi="1200" verticalDpi="12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E9BCC-C530-483C-BE23-150113470594}">
  <sheetPr codeName="Sheet1">
    <tabColor theme="8" tint="0.79998168889431442"/>
    <pageSetUpPr fitToPage="1"/>
  </sheetPr>
  <dimension ref="A1:Q82"/>
  <sheetViews>
    <sheetView showGridLines="0" zoomScaleNormal="100" zoomScaleSheetLayoutView="100" workbookViewId="0"/>
  </sheetViews>
  <sheetFormatPr defaultColWidth="0" defaultRowHeight="13.8" zeroHeight="1" x14ac:dyDescent="0.25"/>
  <cols>
    <col min="1" max="1" width="1.59765625" customWidth="1"/>
    <col min="2" max="2" width="9.69921875" customWidth="1"/>
    <col min="3" max="4" width="9" customWidth="1"/>
    <col min="5" max="5" width="9.19921875" bestFit="1" customWidth="1"/>
    <col min="6" max="6" width="9" customWidth="1"/>
    <col min="7" max="7" width="11.5" bestFit="1" customWidth="1"/>
    <col min="8" max="13" width="9" customWidth="1"/>
    <col min="14" max="14" width="9.59765625" customWidth="1"/>
    <col min="15" max="16" width="9" customWidth="1"/>
    <col min="17" max="17" width="1.59765625" customWidth="1"/>
    <col min="18" max="16384" width="9" hidden="1"/>
  </cols>
  <sheetData>
    <row r="1" spans="1:16" ht="5.0999999999999996" customHeight="1" x14ac:dyDescent="0.25">
      <c r="A1" s="573"/>
    </row>
    <row r="2" spans="1:16" ht="15.6" x14ac:dyDescent="0.3">
      <c r="B2" s="285" t="str">
        <f>UPPER(Underwriting!F8)</f>
        <v>[INVESTMENT NAME]</v>
      </c>
      <c r="C2" s="284"/>
      <c r="D2" s="284"/>
      <c r="E2" s="284"/>
      <c r="F2" s="284"/>
      <c r="G2" s="284"/>
      <c r="H2" s="284"/>
      <c r="I2" s="284"/>
      <c r="J2" s="284"/>
      <c r="K2" s="284"/>
      <c r="L2" s="284"/>
      <c r="M2" s="284"/>
      <c r="N2" s="284"/>
      <c r="O2" s="284"/>
      <c r="P2" s="283" t="str">
        <f>Underwriting!K7</f>
        <v>[COMPANY NAME</v>
      </c>
    </row>
    <row r="3" spans="1:16" x14ac:dyDescent="0.25">
      <c r="B3" s="282" t="str">
        <f>Underwriting!F10&amp;", "&amp;Underwriting!K9</f>
        <v>[City], [State]</v>
      </c>
      <c r="C3" s="176"/>
      <c r="D3" s="176"/>
      <c r="E3" s="176"/>
      <c r="F3" s="176"/>
      <c r="G3" s="176"/>
      <c r="H3" s="176"/>
      <c r="I3" s="176"/>
      <c r="J3" s="176"/>
      <c r="K3" s="176"/>
      <c r="L3" s="281"/>
      <c r="M3" s="281"/>
      <c r="N3" s="281"/>
      <c r="O3" s="281"/>
      <c r="P3" s="280" t="str">
        <f>"Analysis Start "&amp;TEXT(Underwriting!F18,"MMM YYYY")</f>
        <v>Analysis Start Jan 2026</v>
      </c>
    </row>
    <row r="4" spans="1:16" x14ac:dyDescent="0.25">
      <c r="B4" s="279" t="s">
        <v>23</v>
      </c>
      <c r="C4" s="278"/>
      <c r="D4" s="278"/>
      <c r="E4" s="278"/>
      <c r="F4" s="278"/>
      <c r="G4" s="278"/>
      <c r="H4" s="278"/>
      <c r="I4" s="278"/>
      <c r="J4" s="278"/>
      <c r="K4" s="278"/>
      <c r="L4" s="286"/>
      <c r="M4" s="286"/>
      <c r="N4" s="286"/>
      <c r="O4" s="286"/>
      <c r="P4" s="275" t="str">
        <f>IF(F18=1,"CORE ACQUISITION","VALUE-ADD ACQUISITION")</f>
        <v>VALUE-ADD ACQUISITION</v>
      </c>
    </row>
    <row r="5" spans="1:16" x14ac:dyDescent="0.25">
      <c r="B5" s="287" t="s">
        <v>5</v>
      </c>
      <c r="C5" s="274"/>
      <c r="D5" s="288"/>
      <c r="E5" s="289" t="str">
        <f>Underwriting!F9&amp;", "&amp;Underwriting!F10&amp;", "&amp;Underwriting!K9</f>
        <v>[Street Address], [City], [State]</v>
      </c>
      <c r="F5" s="290" t="s">
        <v>279</v>
      </c>
      <c r="G5" s="274"/>
      <c r="H5" s="274"/>
      <c r="I5" s="274"/>
      <c r="J5" s="274"/>
      <c r="K5" s="291"/>
      <c r="L5" s="603" t="s">
        <v>280</v>
      </c>
      <c r="M5" s="604"/>
      <c r="N5" s="604"/>
      <c r="O5" s="604"/>
      <c r="P5" s="605"/>
    </row>
    <row r="6" spans="1:16" x14ac:dyDescent="0.25">
      <c r="B6" s="271" t="s">
        <v>669</v>
      </c>
      <c r="E6" s="567" t="str">
        <f>Underwriting!K109</f>
        <v>Value-Add</v>
      </c>
      <c r="F6" s="293" t="s">
        <v>281</v>
      </c>
      <c r="G6" s="294"/>
      <c r="H6" s="294"/>
      <c r="I6" s="294"/>
      <c r="J6" s="294"/>
      <c r="K6" s="295"/>
      <c r="L6" s="606"/>
      <c r="M6" s="607"/>
      <c r="N6" s="607"/>
      <c r="O6" s="607"/>
      <c r="P6" s="608"/>
    </row>
    <row r="7" spans="1:16" x14ac:dyDescent="0.25">
      <c r="B7" s="271" t="str">
        <f>Unit_Type_Plural</f>
        <v>Units</v>
      </c>
      <c r="C7" s="3"/>
      <c r="D7" s="292"/>
      <c r="E7" s="326">
        <f>Units</f>
        <v>300</v>
      </c>
      <c r="F7" s="297" t="s">
        <v>282</v>
      </c>
      <c r="G7" s="298"/>
      <c r="H7" s="298"/>
      <c r="I7" s="298"/>
      <c r="J7" s="298"/>
      <c r="K7" s="299"/>
      <c r="L7" s="606"/>
      <c r="M7" s="607"/>
      <c r="N7" s="607"/>
      <c r="O7" s="607"/>
      <c r="P7" s="608"/>
    </row>
    <row r="8" spans="1:16" x14ac:dyDescent="0.25">
      <c r="B8" s="296" t="str">
        <f>"NRA ("&amp;Unit_Measure&amp;")"</f>
        <v>NRA (SF)</v>
      </c>
      <c r="C8" s="3"/>
      <c r="D8" s="292"/>
      <c r="E8" s="326">
        <f>Units_SF</f>
        <v>252000</v>
      </c>
      <c r="F8" s="297" t="s">
        <v>283</v>
      </c>
      <c r="G8" s="298"/>
      <c r="H8" s="298"/>
      <c r="I8" s="298"/>
      <c r="J8" s="298"/>
      <c r="K8" s="299"/>
      <c r="L8" s="606"/>
      <c r="M8" s="607"/>
      <c r="N8" s="607"/>
      <c r="O8" s="607"/>
      <c r="P8" s="608"/>
    </row>
    <row r="9" spans="1:16" x14ac:dyDescent="0.25">
      <c r="B9" s="271" t="str">
        <f>"Land Area ("&amp;Unit_Measure&amp;" / "&amp;Unit_Measure_Land&amp;")"</f>
        <v>Land Area (SF / Acres)</v>
      </c>
      <c r="C9" s="3"/>
      <c r="D9" s="325">
        <f>E9*43560</f>
        <v>196020</v>
      </c>
      <c r="E9" s="585">
        <f>Underwriting!F11</f>
        <v>4.5</v>
      </c>
      <c r="F9" s="297" t="s">
        <v>285</v>
      </c>
      <c r="G9" s="298"/>
      <c r="H9" s="298"/>
      <c r="I9" s="298"/>
      <c r="J9" s="298"/>
      <c r="K9" s="299"/>
      <c r="L9" s="606"/>
      <c r="M9" s="607"/>
      <c r="N9" s="607"/>
      <c r="O9" s="607"/>
      <c r="P9" s="608"/>
    </row>
    <row r="10" spans="1:16" x14ac:dyDescent="0.25">
      <c r="B10" s="271" t="s">
        <v>284</v>
      </c>
      <c r="C10" s="3"/>
      <c r="D10" s="292"/>
      <c r="E10" s="336" t="str">
        <f>IF(Underwriting!K11=1,Underwriting!K11&amp;" Bldg",Underwriting!K11&amp;" Bldgs")</f>
        <v>1 Bldg</v>
      </c>
      <c r="F10" s="297" t="s">
        <v>287</v>
      </c>
      <c r="G10" s="298"/>
      <c r="H10" s="298"/>
      <c r="I10" s="298"/>
      <c r="J10" s="298"/>
      <c r="K10" s="299"/>
      <c r="L10" s="606"/>
      <c r="M10" s="607"/>
      <c r="N10" s="607"/>
      <c r="O10" s="607"/>
      <c r="P10" s="608"/>
    </row>
    <row r="11" spans="1:16" x14ac:dyDescent="0.25">
      <c r="B11" s="296" t="s">
        <v>286</v>
      </c>
      <c r="C11" s="3"/>
      <c r="D11" s="292"/>
      <c r="E11" s="300" t="str">
        <f>Underwriting!K12&amp;"-Story"</f>
        <v>4-Story</v>
      </c>
      <c r="F11" s="290" t="s">
        <v>289</v>
      </c>
      <c r="G11" s="375"/>
      <c r="H11" s="375"/>
      <c r="I11" s="375"/>
      <c r="J11" s="375"/>
      <c r="K11" s="376"/>
      <c r="L11" s="606"/>
      <c r="M11" s="607"/>
      <c r="N11" s="607"/>
      <c r="O11" s="607"/>
      <c r="P11" s="608"/>
    </row>
    <row r="12" spans="1:16" x14ac:dyDescent="0.25">
      <c r="B12" s="271" t="s">
        <v>288</v>
      </c>
      <c r="C12" s="3"/>
      <c r="D12" s="292"/>
      <c r="E12" s="301">
        <f>SUM(Underwriting!K15:K16)</f>
        <v>340</v>
      </c>
      <c r="F12" s="293" t="s">
        <v>291</v>
      </c>
      <c r="G12" s="294"/>
      <c r="H12" s="294"/>
      <c r="I12" s="294"/>
      <c r="J12" s="294"/>
      <c r="K12" s="295"/>
      <c r="L12" s="606"/>
      <c r="M12" s="607"/>
      <c r="N12" s="607"/>
      <c r="O12" s="607"/>
      <c r="P12" s="608"/>
    </row>
    <row r="13" spans="1:16" x14ac:dyDescent="0.25">
      <c r="B13" s="271" t="s">
        <v>21</v>
      </c>
      <c r="C13" s="3"/>
      <c r="D13" s="292"/>
      <c r="E13" s="302">
        <f>E12/Units</f>
        <v>1.1333333333333333</v>
      </c>
      <c r="F13" s="293" t="s">
        <v>710</v>
      </c>
      <c r="G13" s="294"/>
      <c r="H13" s="294"/>
      <c r="I13" s="294"/>
      <c r="J13" s="294"/>
      <c r="K13" s="295"/>
      <c r="L13" s="606"/>
      <c r="M13" s="607"/>
      <c r="N13" s="607"/>
      <c r="O13" s="607"/>
      <c r="P13" s="608"/>
    </row>
    <row r="14" spans="1:16" x14ac:dyDescent="0.25">
      <c r="B14" s="271" t="s">
        <v>290</v>
      </c>
      <c r="C14" s="3"/>
      <c r="D14" s="303">
        <v>0</v>
      </c>
      <c r="E14" s="304">
        <f>Underwriting!F18</f>
        <v>46023</v>
      </c>
      <c r="F14" s="297" t="s">
        <v>711</v>
      </c>
      <c r="G14" s="298"/>
      <c r="H14" s="298"/>
      <c r="I14" s="298"/>
      <c r="J14" s="298"/>
      <c r="K14" s="299"/>
      <c r="L14" s="606"/>
      <c r="M14" s="607"/>
      <c r="N14" s="607"/>
      <c r="O14" s="607"/>
      <c r="P14" s="608"/>
    </row>
    <row r="15" spans="1:16" x14ac:dyDescent="0.25">
      <c r="B15" s="271" t="s">
        <v>292</v>
      </c>
      <c r="C15" s="3"/>
      <c r="D15" s="303">
        <f>Stabilization_Month</f>
        <v>24</v>
      </c>
      <c r="E15" s="304">
        <f>INDEX(Underwriting!T216:EU216,,D15)</f>
        <v>46783</v>
      </c>
      <c r="F15" s="566" t="s">
        <v>712</v>
      </c>
      <c r="G15" s="375"/>
      <c r="H15" s="375"/>
      <c r="I15" s="375"/>
      <c r="J15" s="375"/>
      <c r="K15" s="376"/>
      <c r="L15" s="606"/>
      <c r="M15" s="607"/>
      <c r="N15" s="607"/>
      <c r="O15" s="607"/>
      <c r="P15" s="608"/>
    </row>
    <row r="16" spans="1:16" x14ac:dyDescent="0.25">
      <c r="B16" s="271" t="s">
        <v>14</v>
      </c>
      <c r="C16" s="3"/>
      <c r="D16" s="303">
        <f>Underwriting!D168</f>
        <v>36</v>
      </c>
      <c r="E16" s="304">
        <f>INDEX(Underwriting!T216:EU216,,D16)</f>
        <v>47149</v>
      </c>
      <c r="F16" s="305" t="s">
        <v>293</v>
      </c>
      <c r="G16" s="306"/>
      <c r="H16" s="306"/>
      <c r="I16" s="306"/>
      <c r="J16" s="306"/>
      <c r="K16" s="307"/>
      <c r="L16" s="609"/>
      <c r="M16" s="610"/>
      <c r="N16" s="610"/>
      <c r="O16" s="610"/>
      <c r="P16" s="611"/>
    </row>
    <row r="17" spans="2:16" x14ac:dyDescent="0.25">
      <c r="B17" s="337" t="s">
        <v>294</v>
      </c>
      <c r="C17" s="338"/>
      <c r="D17" s="338"/>
      <c r="E17" s="338"/>
      <c r="F17" s="338"/>
      <c r="G17" s="338"/>
      <c r="H17" s="338"/>
      <c r="I17" s="277"/>
      <c r="J17" s="277"/>
      <c r="K17" s="277"/>
      <c r="L17" s="286"/>
      <c r="M17" s="286"/>
      <c r="N17" s="276"/>
      <c r="O17" s="276"/>
      <c r="P17" s="275"/>
    </row>
    <row r="18" spans="2:16" x14ac:dyDescent="0.25">
      <c r="B18" s="287" t="s">
        <v>312</v>
      </c>
      <c r="C18" s="274"/>
      <c r="D18" s="274"/>
      <c r="E18" s="367"/>
      <c r="F18" s="368">
        <f>Underwriting!E120</f>
        <v>0</v>
      </c>
      <c r="G18" s="340" t="s">
        <v>218</v>
      </c>
      <c r="H18" s="3"/>
      <c r="I18" s="309" t="str">
        <f>PROPER(Underwriting!I170)</f>
        <v>In-Place</v>
      </c>
      <c r="J18" s="309" t="str">
        <f>PROPER(Underwriting!J170)</f>
        <v>Stabilized</v>
      </c>
      <c r="K18" s="310" t="str">
        <f>PROPER(Underwriting!K170)</f>
        <v>Sale</v>
      </c>
      <c r="L18" s="308" t="s">
        <v>769</v>
      </c>
      <c r="M18" s="274"/>
      <c r="N18" s="309" t="s">
        <v>434</v>
      </c>
      <c r="O18" s="309" t="s">
        <v>765</v>
      </c>
      <c r="P18" s="310" t="s">
        <v>766</v>
      </c>
    </row>
    <row r="19" spans="2:16" x14ac:dyDescent="0.25">
      <c r="B19" s="271" t="str">
        <f>Unit_Type_Plural&amp;" Renovated/Month"</f>
        <v>Units Renovated/Month</v>
      </c>
      <c r="C19" s="3"/>
      <c r="D19" s="3"/>
      <c r="E19" s="320"/>
      <c r="F19" s="586">
        <f>(Units-(Units*Underwriting!E120))/(Underwriting!K105-Underwriting!K104+1)</f>
        <v>12.5</v>
      </c>
      <c r="G19" s="3" t="s">
        <v>295</v>
      </c>
      <c r="H19" s="3"/>
      <c r="I19" s="311">
        <f>Underwriting!I185</f>
        <v>5028370.6901538465</v>
      </c>
      <c r="J19" s="311">
        <f ca="1">Underwriting!J185</f>
        <v>6679535.7629377497</v>
      </c>
      <c r="K19" s="312">
        <f ca="1">Underwriting!K185</f>
        <v>6845081.5438236827</v>
      </c>
      <c r="L19" s="271" t="str">
        <f>Underwriting!C237</f>
        <v>[General Partner Name]</v>
      </c>
      <c r="M19" s="3"/>
      <c r="N19" s="313">
        <f ca="1">Underwriting!G254</f>
        <v>0.67238020167789037</v>
      </c>
      <c r="O19" s="314">
        <f>Underwriting!J262</f>
        <v>4.6294741508225226</v>
      </c>
      <c r="P19" s="315">
        <f ca="1">Underwriting!K261</f>
        <v>0.87085801362991333</v>
      </c>
    </row>
    <row r="20" spans="2:16" ht="15" x14ac:dyDescent="0.35">
      <c r="B20" s="271"/>
      <c r="C20" s="3"/>
      <c r="D20" s="3"/>
      <c r="E20" s="320" t="s">
        <v>130</v>
      </c>
      <c r="F20" s="321" t="s">
        <v>178</v>
      </c>
      <c r="G20" s="365" t="s">
        <v>297</v>
      </c>
      <c r="H20" s="3"/>
      <c r="I20" s="317">
        <f>-Underwriting!I197</f>
        <v>-1718351.1207046155</v>
      </c>
      <c r="J20" s="317">
        <f ca="1">-Underwriting!J197</f>
        <v>-2011302.3794442499</v>
      </c>
      <c r="K20" s="318">
        <f ca="1">-Underwriting!K197</f>
        <v>-2062262.9671284785</v>
      </c>
      <c r="L20" s="271" t="str">
        <f>Underwriting!C238</f>
        <v>[Limited Partner Name]</v>
      </c>
      <c r="M20" s="3"/>
      <c r="N20" s="313">
        <f ca="1">Underwriting!G255</f>
        <v>0.15566161264119069</v>
      </c>
      <c r="O20" s="391">
        <f>Underwriting!H262</f>
        <v>1.4669848379235726</v>
      </c>
      <c r="P20" s="369">
        <f>Underwriting!I262</f>
        <v>0.14396510720252995</v>
      </c>
    </row>
    <row r="21" spans="2:16" x14ac:dyDescent="0.25">
      <c r="B21" s="271" t="str">
        <f>"Effective Rent - Per "&amp;Unit_Measure&amp;" / Per "&amp;Unit_Type</f>
        <v>Effective Rent - Per SF / Per Unit</v>
      </c>
      <c r="C21" s="3"/>
      <c r="D21" s="3"/>
      <c r="E21" s="339" t="str">
        <f>TEXT(Underwriting!F120,"0.00")&amp;" / "&amp;TEXT(Underwriting!G120,"#,##0")</f>
        <v>1.90 / 1,592</v>
      </c>
      <c r="F21" s="300" t="str">
        <f>TEXT(Underwriting!H120,"0.00")&amp;" / "&amp;TEXT(Underwriting!I120,"#,##0")</f>
        <v>2.18 / 1,831</v>
      </c>
      <c r="G21" s="3" t="s">
        <v>299</v>
      </c>
      <c r="H21" s="3"/>
      <c r="I21" s="311">
        <f>I19+I20</f>
        <v>3310019.569449231</v>
      </c>
      <c r="J21" s="311">
        <f t="shared" ref="J21:K21" ca="1" si="0">J19+J20</f>
        <v>4668233.3834934998</v>
      </c>
      <c r="K21" s="312">
        <f t="shared" ca="1" si="0"/>
        <v>4782818.5766952038</v>
      </c>
      <c r="L21" s="590" t="s">
        <v>774</v>
      </c>
      <c r="M21" s="3"/>
      <c r="N21" s="313"/>
      <c r="O21" s="314" t="s">
        <v>270</v>
      </c>
      <c r="P21" s="315" t="s">
        <v>270</v>
      </c>
    </row>
    <row r="22" spans="2:16" ht="15" x14ac:dyDescent="0.35">
      <c r="B22" s="271" t="s">
        <v>296</v>
      </c>
      <c r="C22" s="3"/>
      <c r="D22" s="3"/>
      <c r="E22" s="323">
        <f>SUM(Underwriting!G132:G133)</f>
        <v>0.08</v>
      </c>
      <c r="F22" s="369">
        <f>SUM(Underwriting!I132:I133)</f>
        <v>6.0000000000000005E-2</v>
      </c>
      <c r="G22" s="365" t="s">
        <v>300</v>
      </c>
      <c r="H22" s="3"/>
      <c r="I22" s="317">
        <f>-Underwriting!I203</f>
        <v>-60000</v>
      </c>
      <c r="J22" s="317">
        <f ca="1">-Underwriting!J203</f>
        <v>-62201.545761583453</v>
      </c>
      <c r="K22" s="318">
        <f ca="1">-Underwriting!K203</f>
        <v>-63756.584405622954</v>
      </c>
      <c r="L22" s="319" t="s">
        <v>764</v>
      </c>
      <c r="M22" s="3"/>
      <c r="N22" s="320"/>
      <c r="O22" s="320" t="s">
        <v>255</v>
      </c>
      <c r="P22" s="321" t="s">
        <v>223</v>
      </c>
    </row>
    <row r="23" spans="2:16" x14ac:dyDescent="0.25">
      <c r="B23" s="271" t="str">
        <f>"Operating Expense / "&amp;Unit_Type</f>
        <v>Operating Expense / Unit</v>
      </c>
      <c r="C23" s="3"/>
      <c r="D23" s="3"/>
      <c r="E23" s="342">
        <f>Underwriting!J146/Units</f>
        <v>5727.8370690153852</v>
      </c>
      <c r="F23" s="370">
        <f>Underwriting!K146/Units</f>
        <v>6469.1764352</v>
      </c>
      <c r="G23" s="366" t="s">
        <v>222</v>
      </c>
      <c r="H23" s="3"/>
      <c r="I23" s="311">
        <f>SUM(I21:I22)</f>
        <v>3250019.569449231</v>
      </c>
      <c r="J23" s="311">
        <f t="shared" ref="J23:K23" ca="1" si="1">SUM(J21:J22)</f>
        <v>4606031.8377319165</v>
      </c>
      <c r="K23" s="312">
        <f t="shared" ca="1" si="1"/>
        <v>4719061.9922895804</v>
      </c>
      <c r="L23" s="271" t="s">
        <v>772</v>
      </c>
      <c r="M23" s="3"/>
      <c r="N23" s="313"/>
      <c r="O23" s="314">
        <f ca="1">Underwriting!I228</f>
        <v>1.3529422089062138</v>
      </c>
      <c r="P23" s="315">
        <f ca="1">Underwriting!J228</f>
        <v>0.10864307284355162</v>
      </c>
    </row>
    <row r="24" spans="2:16" ht="15" x14ac:dyDescent="0.35">
      <c r="B24" s="271" t="s">
        <v>298</v>
      </c>
      <c r="C24" s="3"/>
      <c r="D24" s="3"/>
      <c r="E24" s="313">
        <f>Underwriting!J146/Underwriting!J134</f>
        <v>0.34173119417575026</v>
      </c>
      <c r="F24" s="371">
        <f>Underwriting!K146/Underwriting!K134</f>
        <v>0.30127661064743028</v>
      </c>
      <c r="G24" s="365" t="s">
        <v>313</v>
      </c>
      <c r="H24" s="3"/>
      <c r="I24" s="317">
        <f>-Underwriting!J160</f>
        <v>-2071791.0024985129</v>
      </c>
      <c r="J24" s="317">
        <f ca="1">-Underwriting!K160</f>
        <v>-2306676.5268089939</v>
      </c>
      <c r="K24" s="318">
        <f ca="1">J24</f>
        <v>-2306676.5268089939</v>
      </c>
      <c r="L24" s="271" t="s">
        <v>773</v>
      </c>
      <c r="M24" s="3"/>
      <c r="N24" s="313"/>
      <c r="O24" s="314">
        <f ca="1">Underwriting!I229</f>
        <v>1.5568614482637826</v>
      </c>
      <c r="P24" s="315">
        <f ca="1">Underwriting!J229</f>
        <v>0.169476991891861</v>
      </c>
    </row>
    <row r="25" spans="2:16" x14ac:dyDescent="0.25">
      <c r="B25" s="271" t="s">
        <v>314</v>
      </c>
      <c r="C25" s="3"/>
      <c r="D25" s="3"/>
      <c r="E25" s="313">
        <f>-(I20+I22+I24)/I19</f>
        <v>0.76568382890747677</v>
      </c>
      <c r="F25" s="371">
        <f ca="1">-(J20+J22+J24)/J19</f>
        <v>0.6557612096814891</v>
      </c>
      <c r="G25" s="366" t="s">
        <v>233</v>
      </c>
      <c r="H25" s="3"/>
      <c r="I25" s="311">
        <f>SUM(I23:I24)</f>
        <v>1178228.5669507182</v>
      </c>
      <c r="J25" s="311">
        <f t="shared" ref="J25" ca="1" si="2">SUM(J23:J24)</f>
        <v>2299355.3109229226</v>
      </c>
      <c r="K25" s="312">
        <f t="shared" ref="K25" ca="1" si="3">SUM(K23:K24)</f>
        <v>2412385.4654805865</v>
      </c>
      <c r="L25" s="319" t="s">
        <v>303</v>
      </c>
      <c r="M25" s="3"/>
      <c r="N25" s="320"/>
      <c r="O25" s="320" t="str">
        <f>Underwriting!I232</f>
        <v>Untrended</v>
      </c>
      <c r="P25" s="321" t="str">
        <f>IF(P26="","","Sale")</f>
        <v/>
      </c>
    </row>
    <row r="26" spans="2:16" x14ac:dyDescent="0.25">
      <c r="B26" s="271" t="s">
        <v>317</v>
      </c>
      <c r="C26" s="3"/>
      <c r="D26" s="3"/>
      <c r="E26" s="314">
        <f>I23/-I24</f>
        <v>1.5687004941762044</v>
      </c>
      <c r="F26" s="372">
        <f ca="1">J23/-J24</f>
        <v>1.9968260760444816</v>
      </c>
      <c r="L26" s="271" t="s">
        <v>226</v>
      </c>
      <c r="M26" s="3"/>
      <c r="N26" s="323"/>
      <c r="O26" s="323">
        <f>Underwriting!J232</f>
        <v>6.5111899258939926E-2</v>
      </c>
      <c r="P26" s="315" t="str">
        <f>Underwriting!K232</f>
        <v/>
      </c>
    </row>
    <row r="27" spans="2:16" x14ac:dyDescent="0.25">
      <c r="B27" s="271"/>
      <c r="C27" s="3"/>
      <c r="D27" s="3"/>
      <c r="E27" s="292"/>
      <c r="F27" s="364"/>
      <c r="G27" s="366" t="s">
        <v>351</v>
      </c>
      <c r="H27" s="3"/>
      <c r="I27" s="323">
        <f>+I25/Underwriting!$K$64</f>
        <v>4.2610811533308937E-2</v>
      </c>
      <c r="J27" s="323">
        <f ca="1">IF(J25/Underwriting!J90&lt;0,"NA",J25/Underwriting!J90)</f>
        <v>8.3156527137529287E-2</v>
      </c>
      <c r="K27" s="315">
        <f ca="1">IF(K25/Underwriting!J90&lt;0,"NA",K25/Underwriting!J90)</f>
        <v>8.7244279504544206E-2</v>
      </c>
      <c r="L27" s="271" t="s">
        <v>227</v>
      </c>
      <c r="M27" s="3"/>
      <c r="N27" s="327"/>
      <c r="O27" s="327">
        <f>Underwriting!J233</f>
        <v>5.5E-2</v>
      </c>
      <c r="P27" s="328" t="str">
        <f>Underwriting!K233</f>
        <v/>
      </c>
    </row>
    <row r="28" spans="2:16" x14ac:dyDescent="0.25">
      <c r="B28" s="271"/>
      <c r="C28" s="3"/>
      <c r="D28" s="3"/>
      <c r="E28" s="292"/>
      <c r="F28" s="364"/>
      <c r="L28" s="271" t="s">
        <v>229</v>
      </c>
      <c r="M28" s="3"/>
      <c r="N28" s="329"/>
      <c r="O28" s="329">
        <f>Underwriting!J234</f>
        <v>101.11899258939926</v>
      </c>
      <c r="P28" s="330" t="str">
        <f>Underwriting!K234</f>
        <v/>
      </c>
    </row>
    <row r="29" spans="2:16" x14ac:dyDescent="0.25">
      <c r="B29" s="319" t="s">
        <v>44</v>
      </c>
      <c r="C29" s="195"/>
      <c r="D29" s="320" t="s">
        <v>306</v>
      </c>
      <c r="E29" s="331" t="str">
        <f>PROPER(Underwriting!J22)</f>
        <v>/ Unit</v>
      </c>
      <c r="F29" s="321" t="s">
        <v>75</v>
      </c>
      <c r="G29" s="340" t="s">
        <v>27</v>
      </c>
      <c r="H29" s="320" t="s">
        <v>306</v>
      </c>
      <c r="I29" s="331" t="s">
        <v>308</v>
      </c>
      <c r="J29" s="331" t="str">
        <f>E29</f>
        <v>/ Unit</v>
      </c>
      <c r="K29" s="321" t="s">
        <v>75</v>
      </c>
      <c r="L29" s="271"/>
      <c r="M29" s="3"/>
      <c r="N29" s="320" t="s">
        <v>130</v>
      </c>
      <c r="O29" s="320" t="s">
        <v>178</v>
      </c>
      <c r="P29" s="321" t="s">
        <v>436</v>
      </c>
    </row>
    <row r="30" spans="2:16" x14ac:dyDescent="0.25">
      <c r="B30" s="271" t="str">
        <f>Underwriting!B67</f>
        <v>Senior Loan</v>
      </c>
      <c r="C30" s="3"/>
      <c r="D30" s="313">
        <f>F30/$F$34</f>
        <v>0.6</v>
      </c>
      <c r="E30" s="311">
        <f>IFERROR(F30/Units,"")</f>
        <v>138254.65</v>
      </c>
      <c r="F30" s="312">
        <f>Underwriting!K67</f>
        <v>41476395</v>
      </c>
      <c r="G30" s="3" t="s">
        <v>319</v>
      </c>
      <c r="H30" s="313">
        <f>K30/$K$34</f>
        <v>0.90864936550054554</v>
      </c>
      <c r="I30" s="341">
        <f>J30/Underwriting!$D$120</f>
        <v>249.25595238095238</v>
      </c>
      <c r="J30" s="311">
        <f>IFERROR(K30/Units,"")</f>
        <v>209375</v>
      </c>
      <c r="K30" s="312">
        <f>Underwriting!K28</f>
        <v>62812500</v>
      </c>
      <c r="L30" s="271" t="s">
        <v>299</v>
      </c>
      <c r="M30" s="349"/>
      <c r="N30" s="363">
        <f>+I21</f>
        <v>3310019.569449231</v>
      </c>
      <c r="O30" s="363">
        <f t="shared" ref="O30:P30" ca="1" si="4">+J21</f>
        <v>4668233.3834934998</v>
      </c>
      <c r="P30" s="364">
        <f t="shared" ca="1" si="4"/>
        <v>4782818.5766952038</v>
      </c>
    </row>
    <row r="31" spans="2:16" x14ac:dyDescent="0.25">
      <c r="B31" s="271" t="str">
        <f>Underwriting!B68</f>
        <v>Junior Loan</v>
      </c>
      <c r="C31" s="3"/>
      <c r="D31" s="313">
        <f t="shared" ref="D31:D34" si="5">F31/$F$34</f>
        <v>0</v>
      </c>
      <c r="E31" s="311">
        <f>IFERROR(F31/Units,"")</f>
        <v>0</v>
      </c>
      <c r="F31" s="312">
        <f>Underwriting!K68</f>
        <v>0</v>
      </c>
      <c r="G31" s="3" t="s">
        <v>35</v>
      </c>
      <c r="H31" s="313">
        <f>K31/$K$34</f>
        <v>6.5097267976158488E-2</v>
      </c>
      <c r="I31" s="341">
        <f>J31/Underwriting!$D$120</f>
        <v>17.857142857142858</v>
      </c>
      <c r="J31" s="311">
        <f>IFERROR(K31/Units,"")</f>
        <v>15000</v>
      </c>
      <c r="K31" s="312">
        <f>Underwriting!K35</f>
        <v>4500000</v>
      </c>
      <c r="L31" s="316" t="s">
        <v>209</v>
      </c>
      <c r="M31" s="3"/>
      <c r="N31" s="323">
        <f>Underwriting!I208</f>
        <v>5.5E-2</v>
      </c>
      <c r="O31" s="323">
        <f>Underwriting!J208</f>
        <v>5.8333333333333334E-2</v>
      </c>
      <c r="P31" s="315">
        <f>Underwriting!K208</f>
        <v>0.06</v>
      </c>
    </row>
    <row r="32" spans="2:16" x14ac:dyDescent="0.25">
      <c r="B32" s="271" t="str">
        <f>Underwriting!B62</f>
        <v>GP Equity</v>
      </c>
      <c r="C32" s="3"/>
      <c r="D32" s="313">
        <f t="shared" si="5"/>
        <v>0.02</v>
      </c>
      <c r="E32" s="311">
        <f>IFERROR(F32/Units,"")</f>
        <v>4608.4883333333337</v>
      </c>
      <c r="F32" s="312">
        <f>Underwriting!K62</f>
        <v>1382546.5</v>
      </c>
      <c r="G32" s="3" t="s">
        <v>37</v>
      </c>
      <c r="H32" s="313">
        <f>K32/$K$34</f>
        <v>1.2420197078362283E-2</v>
      </c>
      <c r="I32" s="341">
        <f>J32/Underwriting!$D$120</f>
        <v>3.4070436507936508</v>
      </c>
      <c r="J32" s="311">
        <f>IFERROR(K32/Units,"")</f>
        <v>2861.9166666666665</v>
      </c>
      <c r="K32" s="312">
        <f>Underwriting!K44</f>
        <v>858575</v>
      </c>
      <c r="L32" s="322" t="s">
        <v>302</v>
      </c>
      <c r="M32" s="3"/>
      <c r="N32" s="311">
        <f>Underwriting!I210</f>
        <v>60182173.989986017</v>
      </c>
      <c r="O32" s="311">
        <f ca="1">Underwriting!J210</f>
        <v>80026858.002745703</v>
      </c>
      <c r="P32" s="312">
        <f ca="1">Underwriting!K210</f>
        <v>79713642.944920063</v>
      </c>
    </row>
    <row r="33" spans="1:16" ht="15" x14ac:dyDescent="0.35">
      <c r="B33" s="271" t="str">
        <f>Underwriting!B63</f>
        <v>LP Equity</v>
      </c>
      <c r="C33" s="3"/>
      <c r="D33" s="348">
        <f t="shared" si="5"/>
        <v>0.38</v>
      </c>
      <c r="E33" s="317">
        <f>IFERROR(F33/Units,"")</f>
        <v>87561.278333333335</v>
      </c>
      <c r="F33" s="318">
        <f>Underwriting!K63</f>
        <v>26268383.5</v>
      </c>
      <c r="G33" s="3" t="s">
        <v>232</v>
      </c>
      <c r="H33" s="348">
        <f>K33/$K$34</f>
        <v>1.3833169444933678E-2</v>
      </c>
      <c r="I33" s="353">
        <f>J33/Underwriting!$D$120</f>
        <v>3.7946428571428572</v>
      </c>
      <c r="J33" s="317">
        <f>IFERROR(K33/Units,"")</f>
        <v>3187.5</v>
      </c>
      <c r="K33" s="318">
        <f>Underwriting!K48+Underwriting!K47</f>
        <v>956250</v>
      </c>
      <c r="L33" s="322" t="s">
        <v>304</v>
      </c>
      <c r="M33" s="3"/>
      <c r="N33" s="313">
        <f>N32/$K$34</f>
        <v>0.87059891280309221</v>
      </c>
      <c r="O33" s="313">
        <f ca="1">O32/$K$34</f>
        <v>1.1576732934877156</v>
      </c>
      <c r="P33" s="324">
        <f ca="1">P32/$K$34</f>
        <v>1.1531423058091725</v>
      </c>
    </row>
    <row r="34" spans="1:16" x14ac:dyDescent="0.25">
      <c r="B34" s="272" t="s">
        <v>46</v>
      </c>
      <c r="C34" s="273"/>
      <c r="D34" s="332">
        <f t="shared" si="5"/>
        <v>1</v>
      </c>
      <c r="E34" s="333">
        <f>SUM(E30:E33)</f>
        <v>230424.41666666669</v>
      </c>
      <c r="F34" s="334">
        <f>SUM(F30:F33)</f>
        <v>69127325</v>
      </c>
      <c r="G34" s="273" t="s">
        <v>41</v>
      </c>
      <c r="H34" s="332">
        <f>K34/$K$34</f>
        <v>1</v>
      </c>
      <c r="I34" s="354">
        <f>SUM(I30:I33)</f>
        <v>274.31478174603171</v>
      </c>
      <c r="J34" s="333">
        <f>SUM(J30:J33)</f>
        <v>230424.41666666666</v>
      </c>
      <c r="K34" s="334">
        <f>SUM(K30:K33)</f>
        <v>69127325</v>
      </c>
      <c r="L34" s="322" t="s">
        <v>305</v>
      </c>
      <c r="M34" s="3"/>
      <c r="N34" s="325">
        <f>N32/Units</f>
        <v>200607.24663328673</v>
      </c>
      <c r="O34" s="325">
        <f ca="1">O32/Units</f>
        <v>266756.1933424857</v>
      </c>
      <c r="P34" s="326">
        <f ca="1">P32/Units</f>
        <v>265712.14314973354</v>
      </c>
    </row>
    <row r="35" spans="1:16" x14ac:dyDescent="0.25">
      <c r="A35" s="175">
        <v>1</v>
      </c>
      <c r="B35" s="337" t="s">
        <v>309</v>
      </c>
      <c r="C35" s="338"/>
      <c r="D35" s="338"/>
      <c r="E35" s="338"/>
      <c r="F35" s="338"/>
      <c r="G35" s="338"/>
      <c r="H35" s="338"/>
      <c r="I35" s="350"/>
      <c r="J35" s="350"/>
      <c r="K35" s="350"/>
      <c r="L35" s="351"/>
      <c r="M35" s="351"/>
      <c r="N35" s="352" t="s">
        <v>408</v>
      </c>
      <c r="O35" s="379" t="s">
        <v>410</v>
      </c>
      <c r="P35" s="379" t="s">
        <v>409</v>
      </c>
    </row>
    <row r="36" spans="1:16" x14ac:dyDescent="0.25">
      <c r="B36" s="355"/>
      <c r="C36" s="356"/>
      <c r="D36" s="356"/>
      <c r="E36" s="356"/>
      <c r="F36" s="356"/>
      <c r="G36" s="356"/>
      <c r="H36" s="356"/>
      <c r="I36" s="356"/>
      <c r="J36" s="356"/>
      <c r="K36" s="356"/>
      <c r="L36" s="356"/>
      <c r="M36" s="356"/>
      <c r="N36" s="356"/>
      <c r="O36" s="356"/>
      <c r="P36" s="357"/>
    </row>
    <row r="37" spans="1:16" x14ac:dyDescent="0.25">
      <c r="B37" s="358"/>
      <c r="P37" s="359"/>
    </row>
    <row r="38" spans="1:16" x14ac:dyDescent="0.25">
      <c r="B38" s="358"/>
      <c r="P38" s="359"/>
    </row>
    <row r="39" spans="1:16" x14ac:dyDescent="0.25">
      <c r="B39" s="358"/>
      <c r="P39" s="359"/>
    </row>
    <row r="40" spans="1:16" x14ac:dyDescent="0.25">
      <c r="B40" s="358"/>
      <c r="P40" s="359"/>
    </row>
    <row r="41" spans="1:16" x14ac:dyDescent="0.25">
      <c r="B41" s="358"/>
      <c r="P41" s="359"/>
    </row>
    <row r="42" spans="1:16" x14ac:dyDescent="0.25">
      <c r="B42" s="358"/>
      <c r="P42" s="359"/>
    </row>
    <row r="43" spans="1:16" x14ac:dyDescent="0.25">
      <c r="B43" s="358"/>
      <c r="P43" s="359"/>
    </row>
    <row r="44" spans="1:16" x14ac:dyDescent="0.25">
      <c r="B44" s="358"/>
      <c r="P44" s="359"/>
    </row>
    <row r="45" spans="1:16" x14ac:dyDescent="0.25">
      <c r="B45" s="358"/>
      <c r="P45" s="359"/>
    </row>
    <row r="46" spans="1:16" x14ac:dyDescent="0.25">
      <c r="B46" s="358"/>
      <c r="P46" s="359"/>
    </row>
    <row r="47" spans="1:16" x14ac:dyDescent="0.25">
      <c r="B47" s="358"/>
      <c r="P47" s="359"/>
    </row>
    <row r="48" spans="1:16" x14ac:dyDescent="0.25">
      <c r="B48" s="358"/>
      <c r="P48" s="359"/>
    </row>
    <row r="49" spans="2:16" x14ac:dyDescent="0.25">
      <c r="B49" s="358"/>
      <c r="P49" s="359"/>
    </row>
    <row r="50" spans="2:16" x14ac:dyDescent="0.25">
      <c r="B50" s="358"/>
      <c r="P50" s="359"/>
    </row>
    <row r="51" spans="2:16" x14ac:dyDescent="0.25">
      <c r="B51" s="358"/>
      <c r="P51" s="359"/>
    </row>
    <row r="52" spans="2:16" x14ac:dyDescent="0.25">
      <c r="B52" s="358"/>
      <c r="P52" s="359"/>
    </row>
    <row r="53" spans="2:16" x14ac:dyDescent="0.25">
      <c r="B53" s="358"/>
      <c r="P53" s="359"/>
    </row>
    <row r="54" spans="2:16" x14ac:dyDescent="0.25">
      <c r="B54" s="358"/>
      <c r="P54" s="359"/>
    </row>
    <row r="55" spans="2:16" x14ac:dyDescent="0.25">
      <c r="B55" s="358"/>
      <c r="P55" s="359"/>
    </row>
    <row r="56" spans="2:16" x14ac:dyDescent="0.25">
      <c r="B56" s="358"/>
      <c r="P56" s="359"/>
    </row>
    <row r="57" spans="2:16" x14ac:dyDescent="0.25">
      <c r="B57" s="358"/>
      <c r="P57" s="359"/>
    </row>
    <row r="58" spans="2:16" x14ac:dyDescent="0.25">
      <c r="B58" s="358"/>
      <c r="P58" s="359"/>
    </row>
    <row r="59" spans="2:16" x14ac:dyDescent="0.25">
      <c r="B59" s="358"/>
      <c r="P59" s="359"/>
    </row>
    <row r="60" spans="2:16" x14ac:dyDescent="0.25">
      <c r="B60" s="358"/>
      <c r="P60" s="359"/>
    </row>
    <row r="61" spans="2:16" x14ac:dyDescent="0.25">
      <c r="B61" s="358"/>
      <c r="P61" s="359"/>
    </row>
    <row r="62" spans="2:16" x14ac:dyDescent="0.25">
      <c r="B62" s="358"/>
      <c r="P62" s="359"/>
    </row>
    <row r="63" spans="2:16" x14ac:dyDescent="0.25">
      <c r="B63" s="358"/>
      <c r="P63" s="359"/>
    </row>
    <row r="64" spans="2:16" x14ac:dyDescent="0.25">
      <c r="B64" s="358"/>
      <c r="P64" s="359"/>
    </row>
    <row r="65" spans="2:16" x14ac:dyDescent="0.25">
      <c r="B65" s="358"/>
      <c r="P65" s="359"/>
    </row>
    <row r="66" spans="2:16" x14ac:dyDescent="0.25">
      <c r="B66" s="358"/>
      <c r="P66" s="359"/>
    </row>
    <row r="67" spans="2:16" x14ac:dyDescent="0.25">
      <c r="B67" s="358"/>
      <c r="P67" s="359"/>
    </row>
    <row r="68" spans="2:16" x14ac:dyDescent="0.25">
      <c r="B68" s="358"/>
      <c r="P68" s="359"/>
    </row>
    <row r="69" spans="2:16" x14ac:dyDescent="0.25">
      <c r="B69" s="358"/>
      <c r="P69" s="359"/>
    </row>
    <row r="70" spans="2:16" x14ac:dyDescent="0.25">
      <c r="B70" s="358"/>
      <c r="P70" s="359"/>
    </row>
    <row r="71" spans="2:16" x14ac:dyDescent="0.25">
      <c r="B71" s="358"/>
      <c r="P71" s="359"/>
    </row>
    <row r="72" spans="2:16" x14ac:dyDescent="0.25">
      <c r="B72" s="358"/>
      <c r="P72" s="359"/>
    </row>
    <row r="73" spans="2:16" x14ac:dyDescent="0.25">
      <c r="B73" s="358"/>
      <c r="P73" s="359"/>
    </row>
    <row r="74" spans="2:16" x14ac:dyDescent="0.25">
      <c r="B74" s="358"/>
      <c r="P74" s="359"/>
    </row>
    <row r="75" spans="2:16" x14ac:dyDescent="0.25">
      <c r="B75" s="360"/>
      <c r="C75" s="361"/>
      <c r="D75" s="361"/>
      <c r="E75" s="361"/>
      <c r="F75" s="361"/>
      <c r="G75" s="361"/>
      <c r="H75" s="361"/>
      <c r="I75" s="361"/>
      <c r="J75" s="361"/>
      <c r="K75" s="361"/>
      <c r="L75" s="361"/>
      <c r="M75" s="361"/>
      <c r="N75" s="361"/>
      <c r="O75" s="361"/>
      <c r="P75" s="362"/>
    </row>
    <row r="76" spans="2:16" x14ac:dyDescent="0.25"/>
    <row r="81" customFormat="1" hidden="1" x14ac:dyDescent="0.25"/>
    <row r="82" customFormat="1" hidden="1" x14ac:dyDescent="0.25"/>
  </sheetData>
  <mergeCells count="1">
    <mergeCell ref="L5:P16"/>
  </mergeCells>
  <conditionalFormatting sqref="F33">
    <cfRule type="expression" dxfId="54" priority="8">
      <formula>$B$34=""</formula>
    </cfRule>
  </conditionalFormatting>
  <conditionalFormatting sqref="F32">
    <cfRule type="expression" dxfId="53" priority="7">
      <formula>$B$34=""</formula>
    </cfRule>
  </conditionalFormatting>
  <conditionalFormatting sqref="E33">
    <cfRule type="expression" dxfId="52" priority="6">
      <formula>$B$34=""</formula>
    </cfRule>
  </conditionalFormatting>
  <conditionalFormatting sqref="E32">
    <cfRule type="expression" dxfId="51" priority="5">
      <formula>$B$34=""</formula>
    </cfRule>
  </conditionalFormatting>
  <conditionalFormatting sqref="O35">
    <cfRule type="expression" dxfId="50" priority="2">
      <formula>Toggle_Annual_Report=0</formula>
    </cfRule>
  </conditionalFormatting>
  <conditionalFormatting sqref="P35">
    <cfRule type="expression" dxfId="49" priority="1">
      <formula>Toggle_Annual_Report=1</formula>
    </cfRule>
  </conditionalFormatting>
  <pageMargins left="0.7" right="0.7" top="0.75" bottom="0.75" header="0.3" footer="0.3"/>
  <pageSetup scale="60"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0AA6A-3A6C-42E2-9360-AB6D45D0EAAD}">
  <sheetPr codeName="Sheet3">
    <tabColor theme="8" tint="0.79998168889431442"/>
    <pageSetUpPr fitToPage="1"/>
  </sheetPr>
  <dimension ref="A1:EI117"/>
  <sheetViews>
    <sheetView showGridLines="0" view="pageBreakPreview" zoomScaleNormal="100" zoomScaleSheetLayoutView="100" workbookViewId="0"/>
  </sheetViews>
  <sheetFormatPr defaultColWidth="0" defaultRowHeight="13.8" zeroHeight="1" outlineLevelRow="1" x14ac:dyDescent="0.25"/>
  <cols>
    <col min="1" max="1" width="0.8984375" customWidth="1"/>
    <col min="2" max="6" width="8.59765625" customWidth="1"/>
    <col min="7" max="18" width="10.09765625" customWidth="1"/>
    <col min="19" max="19" width="0.8984375" customWidth="1"/>
    <col min="20" max="30" width="9" customWidth="1"/>
    <col min="31" max="39" width="9.09765625" bestFit="1" customWidth="1"/>
    <col min="40" max="44" width="9.69921875" bestFit="1" customWidth="1"/>
    <col min="45" max="45" width="11.5" bestFit="1" customWidth="1"/>
    <col min="46" max="139" width="9" customWidth="1"/>
    <col min="140" max="16384" width="9" hidden="1"/>
  </cols>
  <sheetData>
    <row r="1" spans="2:18" ht="5.0999999999999996" customHeight="1" x14ac:dyDescent="0.25"/>
    <row r="2" spans="2:18" ht="15.6" x14ac:dyDescent="0.3">
      <c r="B2" s="285" t="str">
        <f>Summary!B2</f>
        <v>[INVESTMENT NAME]</v>
      </c>
      <c r="C2" s="284"/>
      <c r="D2" s="284"/>
      <c r="E2" s="284"/>
      <c r="F2" s="284"/>
      <c r="G2" s="284"/>
      <c r="H2" s="284"/>
      <c r="I2" s="284"/>
      <c r="J2" s="284"/>
      <c r="K2" s="284"/>
      <c r="L2" s="284"/>
      <c r="M2" s="284"/>
      <c r="N2" s="284"/>
      <c r="O2" s="284"/>
      <c r="P2" s="284"/>
      <c r="Q2" s="284"/>
      <c r="R2" s="283" t="str">
        <f>Summary!P2</f>
        <v>[COMPANY NAME</v>
      </c>
    </row>
    <row r="3" spans="2:18" x14ac:dyDescent="0.25">
      <c r="B3" s="282" t="str">
        <f>Summary!B3</f>
        <v>[City], [State]</v>
      </c>
      <c r="C3" s="176"/>
      <c r="D3" s="176"/>
      <c r="E3" s="176"/>
      <c r="F3" s="176"/>
      <c r="G3" s="176"/>
      <c r="H3" s="176"/>
      <c r="I3" s="176"/>
      <c r="J3" s="176"/>
      <c r="K3" s="176"/>
      <c r="L3" s="281"/>
      <c r="M3" s="281"/>
      <c r="N3" s="281"/>
      <c r="O3" s="281"/>
      <c r="P3" s="281"/>
      <c r="Q3" s="281"/>
      <c r="R3" s="280" t="str">
        <f>Summary!P3</f>
        <v>Analysis Start Jan 2026</v>
      </c>
    </row>
    <row r="4" spans="2:18" x14ac:dyDescent="0.25">
      <c r="B4" s="279" t="s">
        <v>417</v>
      </c>
      <c r="C4" s="278"/>
      <c r="D4" s="278"/>
      <c r="E4" s="278"/>
      <c r="F4" s="278"/>
      <c r="G4" s="277"/>
      <c r="H4" s="277" t="str">
        <f>IF(H5="","",IF(EOMONTH(G6,12)&gt;H6,"EXIT",""))</f>
        <v/>
      </c>
      <c r="I4" s="277" t="str">
        <f t="shared" ref="I4:R4" si="0">IF(I5="","",IF(EOMONTH(H6,12)&gt;I6,"EXIT",""))</f>
        <v/>
      </c>
      <c r="J4" s="277" t="str">
        <f t="shared" si="0"/>
        <v/>
      </c>
      <c r="K4" s="277" t="str">
        <f t="shared" si="0"/>
        <v/>
      </c>
      <c r="L4" s="276" t="str">
        <f t="shared" si="0"/>
        <v/>
      </c>
      <c r="M4" s="276" t="str">
        <f t="shared" si="0"/>
        <v/>
      </c>
      <c r="N4" s="276" t="str">
        <f t="shared" si="0"/>
        <v/>
      </c>
      <c r="O4" s="276" t="str">
        <f t="shared" si="0"/>
        <v/>
      </c>
      <c r="P4" s="276" t="str">
        <f t="shared" si="0"/>
        <v/>
      </c>
      <c r="Q4" s="276" t="str">
        <f t="shared" si="0"/>
        <v/>
      </c>
      <c r="R4" s="275" t="str">
        <f t="shared" si="0"/>
        <v/>
      </c>
    </row>
    <row r="5" spans="2:18" s="3" customFormat="1" ht="13.2" x14ac:dyDescent="0.25">
      <c r="B5" s="405"/>
      <c r="C5" s="274"/>
      <c r="D5" s="274"/>
      <c r="E5" s="274"/>
      <c r="F5" s="406" t="s">
        <v>25</v>
      </c>
      <c r="G5" s="407">
        <v>0</v>
      </c>
      <c r="H5" s="407">
        <f>IF(OR(G5="",G5=MAX($G$62:$EI$62)),"",G5+1)</f>
        <v>1</v>
      </c>
      <c r="I5" s="407">
        <f t="shared" ref="I5:R5" si="1">IF(OR(H5="",H5=MAX($G$62:$EI$62)),"",H5+1)</f>
        <v>2</v>
      </c>
      <c r="J5" s="407">
        <f t="shared" si="1"/>
        <v>3</v>
      </c>
      <c r="K5" s="407" t="str">
        <f t="shared" si="1"/>
        <v/>
      </c>
      <c r="L5" s="408" t="str">
        <f t="shared" si="1"/>
        <v/>
      </c>
      <c r="M5" s="408" t="str">
        <f t="shared" si="1"/>
        <v/>
      </c>
      <c r="N5" s="408" t="str">
        <f t="shared" si="1"/>
        <v/>
      </c>
      <c r="O5" s="408" t="str">
        <f t="shared" si="1"/>
        <v/>
      </c>
      <c r="P5" s="409" t="str">
        <f t="shared" si="1"/>
        <v/>
      </c>
      <c r="Q5" s="409" t="str">
        <f t="shared" si="1"/>
        <v/>
      </c>
      <c r="R5" s="410" t="str">
        <f t="shared" si="1"/>
        <v/>
      </c>
    </row>
    <row r="6" spans="2:18" s="3" customFormat="1" ht="13.2" x14ac:dyDescent="0.25">
      <c r="B6" s="411"/>
      <c r="C6" s="273"/>
      <c r="D6" s="273"/>
      <c r="E6" s="273"/>
      <c r="F6" s="412" t="s">
        <v>72</v>
      </c>
      <c r="G6" s="413">
        <f>EOMONTH(Underwriting!F18,-1)</f>
        <v>46022</v>
      </c>
      <c r="H6" s="413">
        <f t="shared" ref="H6:J6" si="2">IF(H5="","",IF(I5="",MAX($G$63:$EI$63),EOMONTH(G6,12)))</f>
        <v>46387</v>
      </c>
      <c r="I6" s="413">
        <f t="shared" si="2"/>
        <v>46752</v>
      </c>
      <c r="J6" s="413">
        <f t="shared" si="2"/>
        <v>47149</v>
      </c>
      <c r="K6" s="413" t="str">
        <f>IF(K5="","",IF(L5="",MAX($G$63:$EI$63),EOMONTH(J6,12)))</f>
        <v/>
      </c>
      <c r="L6" s="414" t="str">
        <f t="shared" ref="L6:R6" si="3">IF(L5="","",IF(M5="",MAX($G$63:$EI$63),EOMONTH(K6,12)))</f>
        <v/>
      </c>
      <c r="M6" s="414" t="str">
        <f t="shared" si="3"/>
        <v/>
      </c>
      <c r="N6" s="414" t="str">
        <f t="shared" si="3"/>
        <v/>
      </c>
      <c r="O6" s="414" t="str">
        <f t="shared" si="3"/>
        <v/>
      </c>
      <c r="P6" s="415" t="str">
        <f t="shared" si="3"/>
        <v/>
      </c>
      <c r="Q6" s="415" t="str">
        <f t="shared" si="3"/>
        <v/>
      </c>
      <c r="R6" s="416" t="str">
        <f t="shared" si="3"/>
        <v/>
      </c>
    </row>
    <row r="7" spans="2:18" s="3" customFormat="1" ht="13.2" x14ac:dyDescent="0.25">
      <c r="B7" s="417" t="s">
        <v>429</v>
      </c>
      <c r="C7" s="418"/>
      <c r="D7" s="418"/>
      <c r="E7" s="418"/>
      <c r="F7" s="419"/>
      <c r="G7" s="420"/>
      <c r="H7" s="418"/>
      <c r="I7" s="418"/>
      <c r="J7" s="418"/>
      <c r="K7" s="418"/>
      <c r="L7" s="418"/>
      <c r="M7" s="418"/>
      <c r="N7" s="421"/>
      <c r="O7" s="421"/>
      <c r="P7" s="421"/>
      <c r="Q7" s="421"/>
      <c r="R7" s="422"/>
    </row>
    <row r="8" spans="2:18" s="3" customFormat="1" ht="13.2" x14ac:dyDescent="0.25">
      <c r="B8" s="423" t="s">
        <v>319</v>
      </c>
      <c r="C8" s="418"/>
      <c r="D8" s="418"/>
      <c r="E8" s="418"/>
      <c r="F8" s="419"/>
      <c r="G8" s="424">
        <f>IF(G$5="","",SUMIF($G$62:$EI$62,G$5,$G65:$EI65))</f>
        <v>62812500</v>
      </c>
      <c r="H8" s="424">
        <f t="shared" ref="H8:R8" si="4">IF(H$5="","",SUMIF($G$62:$EI$62,H$5,$G65:$EI65))</f>
        <v>0</v>
      </c>
      <c r="I8" s="424">
        <f t="shared" si="4"/>
        <v>0</v>
      </c>
      <c r="J8" s="424">
        <f t="shared" si="4"/>
        <v>0</v>
      </c>
      <c r="K8" s="424" t="str">
        <f t="shared" si="4"/>
        <v/>
      </c>
      <c r="L8" s="424" t="str">
        <f t="shared" si="4"/>
        <v/>
      </c>
      <c r="M8" s="424" t="str">
        <f t="shared" si="4"/>
        <v/>
      </c>
      <c r="N8" s="425" t="str">
        <f t="shared" si="4"/>
        <v/>
      </c>
      <c r="O8" s="425" t="str">
        <f t="shared" si="4"/>
        <v/>
      </c>
      <c r="P8" s="425" t="str">
        <f t="shared" si="4"/>
        <v/>
      </c>
      <c r="Q8" s="425" t="str">
        <f t="shared" si="4"/>
        <v/>
      </c>
      <c r="R8" s="426" t="str">
        <f t="shared" si="4"/>
        <v/>
      </c>
    </row>
    <row r="9" spans="2:18" s="3" customFormat="1" ht="13.2" x14ac:dyDescent="0.25">
      <c r="B9" s="423" t="s">
        <v>35</v>
      </c>
      <c r="C9" s="418"/>
      <c r="D9" s="418"/>
      <c r="E9" s="418"/>
      <c r="F9" s="419"/>
      <c r="G9" s="427">
        <f t="shared" ref="G9:R9" si="5">IF(G$5="","",SUMIF($G$62:$EI$62,G$5,$G66:$EI66))</f>
        <v>187499.99999999997</v>
      </c>
      <c r="H9" s="424">
        <f t="shared" si="5"/>
        <v>2249999.9999999995</v>
      </c>
      <c r="I9" s="424">
        <f t="shared" si="5"/>
        <v>2062499.9999999995</v>
      </c>
      <c r="J9" s="424">
        <f t="shared" si="5"/>
        <v>0</v>
      </c>
      <c r="K9" s="424" t="str">
        <f t="shared" si="5"/>
        <v/>
      </c>
      <c r="L9" s="424" t="str">
        <f t="shared" si="5"/>
        <v/>
      </c>
      <c r="M9" s="424" t="str">
        <f t="shared" si="5"/>
        <v/>
      </c>
      <c r="N9" s="425" t="str">
        <f t="shared" si="5"/>
        <v/>
      </c>
      <c r="O9" s="425" t="str">
        <f t="shared" si="5"/>
        <v/>
      </c>
      <c r="P9" s="425" t="str">
        <f t="shared" si="5"/>
        <v/>
      </c>
      <c r="Q9" s="425" t="str">
        <f t="shared" si="5"/>
        <v/>
      </c>
      <c r="R9" s="426" t="str">
        <f t="shared" si="5"/>
        <v/>
      </c>
    </row>
    <row r="10" spans="2:18" s="3" customFormat="1" ht="15" x14ac:dyDescent="0.4">
      <c r="B10" s="423" t="s">
        <v>37</v>
      </c>
      <c r="C10" s="418"/>
      <c r="D10" s="418"/>
      <c r="E10" s="418"/>
      <c r="F10" s="419"/>
      <c r="G10" s="428">
        <f t="shared" ref="G10:R10" si="6">IF(G$5="","",SUMIF($G$62:$EI$62,G$5,$G67:$EI67))</f>
        <v>35773.958333333328</v>
      </c>
      <c r="H10" s="429">
        <f t="shared" si="6"/>
        <v>429287.49999999994</v>
      </c>
      <c r="I10" s="429">
        <f t="shared" si="6"/>
        <v>393513.54166666657</v>
      </c>
      <c r="J10" s="429">
        <f t="shared" si="6"/>
        <v>0</v>
      </c>
      <c r="K10" s="429" t="str">
        <f t="shared" si="6"/>
        <v/>
      </c>
      <c r="L10" s="429" t="str">
        <f t="shared" si="6"/>
        <v/>
      </c>
      <c r="M10" s="429" t="str">
        <f t="shared" si="6"/>
        <v/>
      </c>
      <c r="N10" s="430" t="str">
        <f t="shared" si="6"/>
        <v/>
      </c>
      <c r="O10" s="430" t="str">
        <f t="shared" si="6"/>
        <v/>
      </c>
      <c r="P10" s="430" t="str">
        <f t="shared" si="6"/>
        <v/>
      </c>
      <c r="Q10" s="430" t="str">
        <f t="shared" si="6"/>
        <v/>
      </c>
      <c r="R10" s="431" t="str">
        <f t="shared" si="6"/>
        <v/>
      </c>
    </row>
    <row r="11" spans="2:18" s="3" customFormat="1" ht="13.2" x14ac:dyDescent="0.25">
      <c r="B11" s="271" t="s">
        <v>418</v>
      </c>
      <c r="C11" s="418"/>
      <c r="D11" s="418"/>
      <c r="E11" s="418"/>
      <c r="F11" s="419"/>
      <c r="G11" s="424">
        <f>IF(G$5="","",SUM(G8:G10))</f>
        <v>63035773.958333336</v>
      </c>
      <c r="H11" s="424">
        <f t="shared" ref="H11:R11" si="7">IF(H$5="","",SUM(H8:H10))</f>
        <v>2679287.4999999995</v>
      </c>
      <c r="I11" s="424">
        <f t="shared" si="7"/>
        <v>2456013.541666666</v>
      </c>
      <c r="J11" s="424">
        <f t="shared" si="7"/>
        <v>0</v>
      </c>
      <c r="K11" s="424" t="str">
        <f t="shared" si="7"/>
        <v/>
      </c>
      <c r="L11" s="424" t="str">
        <f t="shared" si="7"/>
        <v/>
      </c>
      <c r="M11" s="424" t="str">
        <f t="shared" si="7"/>
        <v/>
      </c>
      <c r="N11" s="425" t="str">
        <f t="shared" si="7"/>
        <v/>
      </c>
      <c r="O11" s="425" t="str">
        <f t="shared" si="7"/>
        <v/>
      </c>
      <c r="P11" s="425" t="str">
        <f t="shared" si="7"/>
        <v/>
      </c>
      <c r="Q11" s="425" t="str">
        <f t="shared" si="7"/>
        <v/>
      </c>
      <c r="R11" s="426" t="str">
        <f t="shared" si="7"/>
        <v/>
      </c>
    </row>
    <row r="12" spans="2:18" s="3" customFormat="1" ht="5.0999999999999996" customHeight="1" x14ac:dyDescent="0.25">
      <c r="B12" s="271"/>
      <c r="C12" s="418"/>
      <c r="D12" s="418"/>
      <c r="E12" s="418"/>
      <c r="F12" s="419"/>
      <c r="G12" s="424"/>
      <c r="H12" s="432"/>
      <c r="I12" s="424"/>
      <c r="J12" s="424"/>
      <c r="K12" s="424"/>
      <c r="L12" s="424"/>
      <c r="M12" s="424"/>
      <c r="N12" s="425"/>
      <c r="O12" s="425"/>
      <c r="P12" s="425"/>
      <c r="Q12" s="425"/>
      <c r="R12" s="426"/>
    </row>
    <row r="13" spans="2:18" s="3" customFormat="1" ht="13.2" x14ac:dyDescent="0.25">
      <c r="B13" s="423" t="s">
        <v>419</v>
      </c>
      <c r="C13" s="418"/>
      <c r="D13" s="418"/>
      <c r="E13" s="418"/>
      <c r="F13" s="433"/>
      <c r="G13" s="424">
        <f t="shared" ref="G13:R13" si="8">IF(G$5="","",SUMIF($G$62:$EI$62,G$5,$G70:$EI70))</f>
        <v>225000</v>
      </c>
      <c r="H13" s="424">
        <f t="shared" si="8"/>
        <v>0</v>
      </c>
      <c r="I13" s="424">
        <f t="shared" si="8"/>
        <v>0</v>
      </c>
      <c r="J13" s="424">
        <f t="shared" si="8"/>
        <v>0</v>
      </c>
      <c r="K13" s="424" t="str">
        <f t="shared" si="8"/>
        <v/>
      </c>
      <c r="L13" s="424" t="str">
        <f t="shared" si="8"/>
        <v/>
      </c>
      <c r="M13" s="424" t="str">
        <f t="shared" si="8"/>
        <v/>
      </c>
      <c r="N13" s="425" t="str">
        <f t="shared" si="8"/>
        <v/>
      </c>
      <c r="O13" s="425" t="str">
        <f t="shared" si="8"/>
        <v/>
      </c>
      <c r="P13" s="425" t="str">
        <f t="shared" si="8"/>
        <v/>
      </c>
      <c r="Q13" s="425" t="str">
        <f t="shared" si="8"/>
        <v/>
      </c>
      <c r="R13" s="426" t="str">
        <f t="shared" si="8"/>
        <v/>
      </c>
    </row>
    <row r="14" spans="2:18" s="3" customFormat="1" ht="5.0999999999999996" customHeight="1" x14ac:dyDescent="0.25">
      <c r="B14" s="271"/>
      <c r="C14" s="418"/>
      <c r="D14" s="418"/>
      <c r="E14" s="418"/>
      <c r="F14" s="433"/>
      <c r="G14" s="424"/>
      <c r="H14" s="424"/>
      <c r="I14" s="424"/>
      <c r="J14" s="424"/>
      <c r="K14" s="424"/>
      <c r="L14" s="424"/>
      <c r="M14" s="424"/>
      <c r="N14" s="425"/>
      <c r="O14" s="425"/>
      <c r="P14" s="425"/>
      <c r="Q14" s="425"/>
      <c r="R14" s="426"/>
    </row>
    <row r="15" spans="2:18" s="3" customFormat="1" ht="13.2" x14ac:dyDescent="0.25">
      <c r="B15" s="271" t="s">
        <v>420</v>
      </c>
      <c r="C15" s="418"/>
      <c r="D15" s="418"/>
      <c r="E15" s="418"/>
      <c r="F15" s="433"/>
      <c r="G15" s="424">
        <f>IF(G$5="","",G11+G13)</f>
        <v>63260773.958333336</v>
      </c>
      <c r="H15" s="424">
        <f t="shared" ref="H15:R15" si="9">IF(H$5="","",H11+H13)</f>
        <v>2679287.4999999995</v>
      </c>
      <c r="I15" s="424">
        <f t="shared" si="9"/>
        <v>2456013.541666666</v>
      </c>
      <c r="J15" s="424">
        <f t="shared" si="9"/>
        <v>0</v>
      </c>
      <c r="K15" s="424" t="str">
        <f t="shared" si="9"/>
        <v/>
      </c>
      <c r="L15" s="424" t="str">
        <f t="shared" si="9"/>
        <v/>
      </c>
      <c r="M15" s="424" t="str">
        <f t="shared" si="9"/>
        <v/>
      </c>
      <c r="N15" s="425" t="str">
        <f t="shared" si="9"/>
        <v/>
      </c>
      <c r="O15" s="425" t="str">
        <f t="shared" si="9"/>
        <v/>
      </c>
      <c r="P15" s="425" t="str">
        <f t="shared" si="9"/>
        <v/>
      </c>
      <c r="Q15" s="425" t="str">
        <f t="shared" si="9"/>
        <v/>
      </c>
      <c r="R15" s="426" t="str">
        <f t="shared" si="9"/>
        <v/>
      </c>
    </row>
    <row r="16" spans="2:18" s="3" customFormat="1" ht="5.0999999999999996" customHeight="1" x14ac:dyDescent="0.25">
      <c r="B16" s="271"/>
      <c r="C16" s="418"/>
      <c r="D16" s="418"/>
      <c r="E16" s="418"/>
      <c r="F16" s="433"/>
      <c r="G16" s="424"/>
      <c r="H16" s="424"/>
      <c r="I16" s="424"/>
      <c r="J16" s="424"/>
      <c r="K16" s="424"/>
      <c r="L16" s="424"/>
      <c r="M16" s="424"/>
      <c r="N16" s="425"/>
      <c r="O16" s="425"/>
      <c r="P16" s="425"/>
      <c r="Q16" s="425"/>
      <c r="R16" s="426"/>
    </row>
    <row r="17" spans="2:18" s="3" customFormat="1" ht="13.2" x14ac:dyDescent="0.25">
      <c r="B17" s="271" t="s">
        <v>44</v>
      </c>
      <c r="C17" s="418"/>
      <c r="D17" s="418"/>
      <c r="E17" s="418"/>
      <c r="F17" s="433"/>
      <c r="G17" s="424">
        <f t="shared" ref="G17:R17" si="10">IF(G$5="","",SUMIF($G$62:$EI$62,G$5,$G74:$EI74))</f>
        <v>63992023.958333336</v>
      </c>
      <c r="H17" s="424">
        <f t="shared" si="10"/>
        <v>2679287.4999999995</v>
      </c>
      <c r="I17" s="424">
        <f t="shared" si="10"/>
        <v>2456013.541666666</v>
      </c>
      <c r="J17" s="424">
        <f t="shared" si="10"/>
        <v>0</v>
      </c>
      <c r="K17" s="424" t="str">
        <f t="shared" si="10"/>
        <v/>
      </c>
      <c r="L17" s="424" t="str">
        <f t="shared" si="10"/>
        <v/>
      </c>
      <c r="M17" s="424" t="str">
        <f t="shared" si="10"/>
        <v/>
      </c>
      <c r="N17" s="425" t="str">
        <f t="shared" si="10"/>
        <v/>
      </c>
      <c r="O17" s="425" t="str">
        <f t="shared" si="10"/>
        <v/>
      </c>
      <c r="P17" s="425" t="str">
        <f t="shared" si="10"/>
        <v/>
      </c>
      <c r="Q17" s="425" t="str">
        <f t="shared" si="10"/>
        <v/>
      </c>
      <c r="R17" s="426" t="str">
        <f t="shared" si="10"/>
        <v/>
      </c>
    </row>
    <row r="18" spans="2:18" s="3" customFormat="1" ht="13.2" x14ac:dyDescent="0.25">
      <c r="B18" s="271" t="s">
        <v>27</v>
      </c>
      <c r="C18" s="418"/>
      <c r="D18" s="418"/>
      <c r="E18" s="418"/>
      <c r="F18" s="433"/>
      <c r="G18" s="424">
        <f>+G15</f>
        <v>63260773.958333336</v>
      </c>
      <c r="H18" s="424">
        <f t="shared" ref="H18:R18" si="11">+H15</f>
        <v>2679287.4999999995</v>
      </c>
      <c r="I18" s="424">
        <f t="shared" si="11"/>
        <v>2456013.541666666</v>
      </c>
      <c r="J18" s="424">
        <f t="shared" si="11"/>
        <v>0</v>
      </c>
      <c r="K18" s="424" t="str">
        <f t="shared" si="11"/>
        <v/>
      </c>
      <c r="L18" s="424" t="str">
        <f t="shared" si="11"/>
        <v/>
      </c>
      <c r="M18" s="424" t="str">
        <f t="shared" si="11"/>
        <v/>
      </c>
      <c r="N18" s="425" t="str">
        <f t="shared" si="11"/>
        <v/>
      </c>
      <c r="O18" s="425" t="str">
        <f t="shared" si="11"/>
        <v/>
      </c>
      <c r="P18" s="425" t="str">
        <f t="shared" si="11"/>
        <v/>
      </c>
      <c r="Q18" s="425" t="str">
        <f t="shared" si="11"/>
        <v/>
      </c>
      <c r="R18" s="426" t="str">
        <f t="shared" si="11"/>
        <v/>
      </c>
    </row>
    <row r="19" spans="2:18" x14ac:dyDescent="0.25">
      <c r="B19" s="272"/>
      <c r="C19" s="434"/>
      <c r="D19" s="434"/>
      <c r="E19" s="434"/>
      <c r="F19" s="434"/>
      <c r="G19" s="435"/>
      <c r="H19" s="435"/>
      <c r="I19" s="435"/>
      <c r="J19" s="435"/>
      <c r="K19" s="436"/>
      <c r="L19" s="436"/>
      <c r="M19" s="436"/>
      <c r="N19" s="437"/>
      <c r="O19" s="437"/>
      <c r="P19" s="438"/>
      <c r="Q19" s="438"/>
      <c r="R19" s="439"/>
    </row>
    <row r="20" spans="2:18" s="3" customFormat="1" ht="13.2" x14ac:dyDescent="0.25">
      <c r="B20" s="417" t="s">
        <v>421</v>
      </c>
      <c r="C20" s="418"/>
      <c r="D20" s="418"/>
      <c r="E20" s="418"/>
      <c r="F20" s="418"/>
      <c r="G20" s="424"/>
      <c r="H20" s="427"/>
      <c r="I20" s="424"/>
      <c r="J20" s="424"/>
      <c r="K20" s="427"/>
      <c r="L20" s="427"/>
      <c r="M20" s="427"/>
      <c r="N20" s="424"/>
      <c r="O20" s="424"/>
      <c r="P20" s="427"/>
      <c r="Q20" s="427"/>
      <c r="R20" s="440"/>
    </row>
    <row r="21" spans="2:18" s="3" customFormat="1" ht="13.2" x14ac:dyDescent="0.25">
      <c r="B21" s="423" t="s">
        <v>422</v>
      </c>
      <c r="C21" s="418"/>
      <c r="D21" s="418"/>
      <c r="E21" s="418"/>
      <c r="F21" s="418"/>
      <c r="G21" s="424">
        <f t="shared" ref="G21:R21" si="12">IF(G$5="","",SUMIF($G$62:$EI$62,G$5,$G78:$EI78))</f>
        <v>0</v>
      </c>
      <c r="H21" s="427">
        <f t="shared" si="12"/>
        <v>5342615.7615384609</v>
      </c>
      <c r="I21" s="424">
        <f t="shared" si="12"/>
        <v>6055415.2446949501</v>
      </c>
      <c r="J21" s="424">
        <f t="shared" si="12"/>
        <v>6801144.4093262944</v>
      </c>
      <c r="K21" s="424" t="str">
        <f t="shared" si="12"/>
        <v/>
      </c>
      <c r="L21" s="424" t="str">
        <f t="shared" si="12"/>
        <v/>
      </c>
      <c r="M21" s="424" t="str">
        <f t="shared" si="12"/>
        <v/>
      </c>
      <c r="N21" s="424" t="str">
        <f t="shared" si="12"/>
        <v/>
      </c>
      <c r="O21" s="424" t="str">
        <f t="shared" si="12"/>
        <v/>
      </c>
      <c r="P21" s="424" t="str">
        <f t="shared" si="12"/>
        <v/>
      </c>
      <c r="Q21" s="424" t="str">
        <f t="shared" si="12"/>
        <v/>
      </c>
      <c r="R21" s="441" t="str">
        <f t="shared" si="12"/>
        <v/>
      </c>
    </row>
    <row r="22" spans="2:18" s="3" customFormat="1" ht="15" x14ac:dyDescent="0.4">
      <c r="B22" s="423" t="s">
        <v>118</v>
      </c>
      <c r="C22" s="418"/>
      <c r="D22" s="418"/>
      <c r="E22" s="418"/>
      <c r="F22" s="418"/>
      <c r="G22" s="429">
        <f t="shared" ref="G22:R22" si="13">IF(G$5="","",SUMIF($G$62:$EI$62,G$5,$G79:$EI79))</f>
        <v>0</v>
      </c>
      <c r="H22" s="428">
        <f t="shared" si="13"/>
        <v>227250</v>
      </c>
      <c r="I22" s="465">
        <f t="shared" si="13"/>
        <v>285156.05863173318</v>
      </c>
      <c r="J22" s="429">
        <f t="shared" si="13"/>
        <v>317881.3208840756</v>
      </c>
      <c r="K22" s="429" t="str">
        <f t="shared" si="13"/>
        <v/>
      </c>
      <c r="L22" s="429" t="str">
        <f t="shared" si="13"/>
        <v/>
      </c>
      <c r="M22" s="429" t="str">
        <f t="shared" si="13"/>
        <v/>
      </c>
      <c r="N22" s="429" t="str">
        <f t="shared" si="13"/>
        <v/>
      </c>
      <c r="O22" s="429" t="str">
        <f t="shared" si="13"/>
        <v/>
      </c>
      <c r="P22" s="429" t="str">
        <f t="shared" si="13"/>
        <v/>
      </c>
      <c r="Q22" s="429" t="str">
        <f t="shared" si="13"/>
        <v/>
      </c>
      <c r="R22" s="443" t="str">
        <f t="shared" si="13"/>
        <v/>
      </c>
    </row>
    <row r="23" spans="2:18" s="3" customFormat="1" ht="13.2" x14ac:dyDescent="0.25">
      <c r="B23" s="271" t="s">
        <v>139</v>
      </c>
      <c r="C23" s="418"/>
      <c r="D23" s="418"/>
      <c r="E23" s="418"/>
      <c r="F23" s="418"/>
      <c r="G23" s="424">
        <f>IF(G$5="","",SUM(G21:G22))</f>
        <v>0</v>
      </c>
      <c r="H23" s="427">
        <f t="shared" ref="H23:R23" si="14">IF(H$5="","",SUM(H21:H22))</f>
        <v>5569865.7615384609</v>
      </c>
      <c r="I23" s="442">
        <f t="shared" si="14"/>
        <v>6340571.3033266831</v>
      </c>
      <c r="J23" s="424">
        <f t="shared" si="14"/>
        <v>7119025.7302103704</v>
      </c>
      <c r="K23" s="424" t="str">
        <f t="shared" si="14"/>
        <v/>
      </c>
      <c r="L23" s="424" t="str">
        <f t="shared" si="14"/>
        <v/>
      </c>
      <c r="M23" s="424" t="str">
        <f t="shared" si="14"/>
        <v/>
      </c>
      <c r="N23" s="424" t="str">
        <f t="shared" si="14"/>
        <v/>
      </c>
      <c r="O23" s="424" t="str">
        <f t="shared" si="14"/>
        <v/>
      </c>
      <c r="P23" s="427" t="str">
        <f t="shared" si="14"/>
        <v/>
      </c>
      <c r="Q23" s="427" t="str">
        <f t="shared" si="14"/>
        <v/>
      </c>
      <c r="R23" s="440" t="str">
        <f t="shared" si="14"/>
        <v/>
      </c>
    </row>
    <row r="24" spans="2:18" s="3" customFormat="1" ht="15" x14ac:dyDescent="0.4">
      <c r="B24" s="423" t="s">
        <v>194</v>
      </c>
      <c r="C24" s="418"/>
      <c r="D24" s="418"/>
      <c r="E24" s="418"/>
      <c r="F24" s="418"/>
      <c r="G24" s="429">
        <f t="shared" ref="G24:R24" si="15">IF(G$5="","",SUMIF($G$62:$EI$62,G$5,$G81:$EI81))</f>
        <v>0</v>
      </c>
      <c r="H24" s="428">
        <f t="shared" si="15"/>
        <v>-414866.07196474361</v>
      </c>
      <c r="I24" s="444">
        <f t="shared" si="15"/>
        <v>-408777.3863959458</v>
      </c>
      <c r="J24" s="429">
        <f t="shared" si="15"/>
        <v>-427141.54381262226</v>
      </c>
      <c r="K24" s="429" t="str">
        <f t="shared" si="15"/>
        <v/>
      </c>
      <c r="L24" s="429" t="str">
        <f t="shared" si="15"/>
        <v/>
      </c>
      <c r="M24" s="429" t="str">
        <f t="shared" si="15"/>
        <v/>
      </c>
      <c r="N24" s="429" t="str">
        <f t="shared" si="15"/>
        <v/>
      </c>
      <c r="O24" s="429" t="str">
        <f t="shared" si="15"/>
        <v/>
      </c>
      <c r="P24" s="429" t="str">
        <f t="shared" si="15"/>
        <v/>
      </c>
      <c r="Q24" s="429" t="str">
        <f t="shared" si="15"/>
        <v/>
      </c>
      <c r="R24" s="443" t="str">
        <f t="shared" si="15"/>
        <v/>
      </c>
    </row>
    <row r="25" spans="2:18" s="3" customFormat="1" ht="13.2" x14ac:dyDescent="0.25">
      <c r="B25" s="271" t="s">
        <v>140</v>
      </c>
      <c r="C25" s="418"/>
      <c r="D25" s="418"/>
      <c r="E25" s="418"/>
      <c r="F25" s="418"/>
      <c r="G25" s="424">
        <f>IF(G$5="","",SUM(G23:G24))</f>
        <v>0</v>
      </c>
      <c r="H25" s="427">
        <f t="shared" ref="H25:R25" si="16">IF(H$5="","",SUM(H23:H24))</f>
        <v>5154999.6895737173</v>
      </c>
      <c r="I25" s="442">
        <f t="shared" si="16"/>
        <v>5931793.916930737</v>
      </c>
      <c r="J25" s="424">
        <f t="shared" si="16"/>
        <v>6691884.1863977481</v>
      </c>
      <c r="K25" s="424" t="str">
        <f t="shared" si="16"/>
        <v/>
      </c>
      <c r="L25" s="424" t="str">
        <f t="shared" si="16"/>
        <v/>
      </c>
      <c r="M25" s="424" t="str">
        <f t="shared" si="16"/>
        <v/>
      </c>
      <c r="N25" s="424" t="str">
        <f t="shared" si="16"/>
        <v/>
      </c>
      <c r="O25" s="424" t="str">
        <f t="shared" si="16"/>
        <v/>
      </c>
      <c r="P25" s="424" t="str">
        <f t="shared" si="16"/>
        <v/>
      </c>
      <c r="Q25" s="424" t="str">
        <f t="shared" si="16"/>
        <v/>
      </c>
      <c r="R25" s="441" t="str">
        <f t="shared" si="16"/>
        <v/>
      </c>
    </row>
    <row r="26" spans="2:18" s="3" customFormat="1" ht="13.2" x14ac:dyDescent="0.25">
      <c r="B26" s="271"/>
      <c r="C26" s="418"/>
      <c r="D26" s="418"/>
      <c r="E26" s="418"/>
      <c r="F26" s="418"/>
      <c r="G26" s="424"/>
      <c r="H26" s="427"/>
      <c r="I26" s="445"/>
      <c r="J26" s="424"/>
      <c r="K26" s="424"/>
      <c r="L26" s="424"/>
      <c r="M26" s="424"/>
      <c r="N26" s="424"/>
      <c r="O26" s="424"/>
      <c r="P26" s="427"/>
      <c r="Q26" s="427"/>
      <c r="R26" s="440"/>
    </row>
    <row r="27" spans="2:18" s="3" customFormat="1" ht="13.2" x14ac:dyDescent="0.25">
      <c r="B27" s="271" t="s">
        <v>144</v>
      </c>
      <c r="C27" s="418"/>
      <c r="D27" s="418"/>
      <c r="E27" s="418"/>
      <c r="F27" s="418"/>
      <c r="G27" s="424"/>
      <c r="H27" s="427"/>
      <c r="I27" s="445"/>
      <c r="J27" s="424"/>
      <c r="K27" s="424"/>
      <c r="L27" s="424"/>
      <c r="M27" s="424"/>
      <c r="N27" s="424"/>
      <c r="O27" s="424"/>
      <c r="P27" s="424"/>
      <c r="Q27" s="424"/>
      <c r="R27" s="441"/>
    </row>
    <row r="28" spans="2:18" s="3" customFormat="1" ht="13.2" x14ac:dyDescent="0.25">
      <c r="B28" s="423" t="s">
        <v>145</v>
      </c>
      <c r="C28" s="418"/>
      <c r="D28" s="418"/>
      <c r="E28" s="418"/>
      <c r="F28" s="418"/>
      <c r="G28" s="424">
        <f t="shared" ref="G28:R28" si="17">IF(G$5="","",SUMIF($G$62:$EI$62,G$5,$G85:$EI85))</f>
        <v>0</v>
      </c>
      <c r="H28" s="427">
        <f t="shared" si="17"/>
        <v>105000</v>
      </c>
      <c r="I28" s="445">
        <f t="shared" si="17"/>
        <v>106416.51105636211</v>
      </c>
      <c r="J28" s="424">
        <f t="shared" si="17"/>
        <v>109076.92383277099</v>
      </c>
      <c r="K28" s="424" t="str">
        <f t="shared" si="17"/>
        <v/>
      </c>
      <c r="L28" s="424" t="str">
        <f t="shared" si="17"/>
        <v/>
      </c>
      <c r="M28" s="424" t="str">
        <f t="shared" si="17"/>
        <v/>
      </c>
      <c r="N28" s="424" t="str">
        <f t="shared" si="17"/>
        <v/>
      </c>
      <c r="O28" s="424" t="str">
        <f t="shared" si="17"/>
        <v/>
      </c>
      <c r="P28" s="424" t="str">
        <f t="shared" si="17"/>
        <v/>
      </c>
      <c r="Q28" s="424" t="str">
        <f t="shared" si="17"/>
        <v/>
      </c>
      <c r="R28" s="441" t="str">
        <f t="shared" si="17"/>
        <v/>
      </c>
    </row>
    <row r="29" spans="2:18" s="3" customFormat="1" ht="13.2" x14ac:dyDescent="0.25">
      <c r="B29" s="423" t="s">
        <v>146</v>
      </c>
      <c r="C29" s="418"/>
      <c r="D29" s="418"/>
      <c r="E29" s="418"/>
      <c r="F29" s="418"/>
      <c r="G29" s="424">
        <f t="shared" ref="G29:R29" si="18">IF(G$5="","",SUMIF($G$62:$EI$62,G$5,$G86:$EI86))</f>
        <v>0</v>
      </c>
      <c r="H29" s="427">
        <f t="shared" si="18"/>
        <v>330000</v>
      </c>
      <c r="I29" s="445">
        <f t="shared" si="18"/>
        <v>334451.89189142373</v>
      </c>
      <c r="J29" s="424">
        <f t="shared" si="18"/>
        <v>342813.1891887089</v>
      </c>
      <c r="K29" s="424" t="str">
        <f t="shared" si="18"/>
        <v/>
      </c>
      <c r="L29" s="424" t="str">
        <f t="shared" si="18"/>
        <v/>
      </c>
      <c r="M29" s="424" t="str">
        <f t="shared" si="18"/>
        <v/>
      </c>
      <c r="N29" s="424" t="str">
        <f t="shared" si="18"/>
        <v/>
      </c>
      <c r="O29" s="424" t="str">
        <f t="shared" si="18"/>
        <v/>
      </c>
      <c r="P29" s="424" t="str">
        <f t="shared" si="18"/>
        <v/>
      </c>
      <c r="Q29" s="424" t="str">
        <f t="shared" si="18"/>
        <v/>
      </c>
      <c r="R29" s="441" t="str">
        <f t="shared" si="18"/>
        <v/>
      </c>
    </row>
    <row r="30" spans="2:18" s="3" customFormat="1" ht="13.2" x14ac:dyDescent="0.25">
      <c r="B30" s="423" t="s">
        <v>147</v>
      </c>
      <c r="C30" s="446"/>
      <c r="D30" s="446"/>
      <c r="E30" s="446"/>
      <c r="F30" s="447"/>
      <c r="G30" s="448">
        <f t="shared" ref="G30:R30" si="19">IF(G$5="","",SUMIF($G$62:$EI$62,G$5,$G87:$EI87))</f>
        <v>0</v>
      </c>
      <c r="H30" s="427">
        <f t="shared" si="19"/>
        <v>90000</v>
      </c>
      <c r="I30" s="424">
        <f t="shared" si="19"/>
        <v>91214.152334024679</v>
      </c>
      <c r="J30" s="427">
        <f t="shared" si="19"/>
        <v>93494.506142375147</v>
      </c>
      <c r="K30" s="448" t="str">
        <f t="shared" si="19"/>
        <v/>
      </c>
      <c r="L30" s="448" t="str">
        <f t="shared" si="19"/>
        <v/>
      </c>
      <c r="M30" s="427" t="str">
        <f t="shared" si="19"/>
        <v/>
      </c>
      <c r="N30" s="424" t="str">
        <f t="shared" si="19"/>
        <v/>
      </c>
      <c r="O30" s="424" t="str">
        <f t="shared" si="19"/>
        <v/>
      </c>
      <c r="P30" s="424" t="str">
        <f t="shared" si="19"/>
        <v/>
      </c>
      <c r="Q30" s="424" t="str">
        <f t="shared" si="19"/>
        <v/>
      </c>
      <c r="R30" s="441" t="str">
        <f t="shared" si="19"/>
        <v/>
      </c>
    </row>
    <row r="31" spans="2:18" s="3" customFormat="1" ht="13.2" x14ac:dyDescent="0.25">
      <c r="B31" s="423" t="s">
        <v>148</v>
      </c>
      <c r="C31" s="418"/>
      <c r="D31" s="418"/>
      <c r="E31" s="418"/>
      <c r="F31" s="449"/>
      <c r="G31" s="424">
        <f t="shared" ref="G31:R31" si="20">IF(G$5="","",SUMIF($G$62:$EI$62,G$5,$G88:$EI88))</f>
        <v>0</v>
      </c>
      <c r="H31" s="424">
        <f t="shared" si="20"/>
        <v>75000</v>
      </c>
      <c r="I31" s="424">
        <f t="shared" si="20"/>
        <v>76011.793611687215</v>
      </c>
      <c r="J31" s="424">
        <f t="shared" si="20"/>
        <v>77912.088451979333</v>
      </c>
      <c r="K31" s="424" t="str">
        <f t="shared" si="20"/>
        <v/>
      </c>
      <c r="L31" s="424" t="str">
        <f t="shared" si="20"/>
        <v/>
      </c>
      <c r="M31" s="424" t="str">
        <f t="shared" si="20"/>
        <v/>
      </c>
      <c r="N31" s="424" t="str">
        <f t="shared" si="20"/>
        <v/>
      </c>
      <c r="O31" s="450" t="str">
        <f t="shared" si="20"/>
        <v/>
      </c>
      <c r="P31" s="427" t="str">
        <f t="shared" si="20"/>
        <v/>
      </c>
      <c r="Q31" s="427" t="str">
        <f t="shared" si="20"/>
        <v/>
      </c>
      <c r="R31" s="440" t="str">
        <f t="shared" si="20"/>
        <v/>
      </c>
    </row>
    <row r="32" spans="2:18" s="3" customFormat="1" ht="13.2" x14ac:dyDescent="0.25">
      <c r="B32" s="423" t="s">
        <v>149</v>
      </c>
      <c r="C32" s="418"/>
      <c r="D32" s="418"/>
      <c r="E32" s="418"/>
      <c r="F32" s="449"/>
      <c r="G32" s="424">
        <f t="shared" ref="G32:R32" si="21">IF(G$5="","",SUMIF($G$62:$EI$62,G$5,$G89:$EI89))</f>
        <v>0</v>
      </c>
      <c r="H32" s="424">
        <f t="shared" si="21"/>
        <v>210000</v>
      </c>
      <c r="I32" s="424">
        <f t="shared" si="21"/>
        <v>212833.02211272423</v>
      </c>
      <c r="J32" s="424">
        <f t="shared" si="21"/>
        <v>218153.84766554198</v>
      </c>
      <c r="K32" s="424" t="str">
        <f t="shared" si="21"/>
        <v/>
      </c>
      <c r="L32" s="424" t="str">
        <f t="shared" si="21"/>
        <v/>
      </c>
      <c r="M32" s="424" t="str">
        <f t="shared" si="21"/>
        <v/>
      </c>
      <c r="N32" s="451" t="str">
        <f t="shared" si="21"/>
        <v/>
      </c>
      <c r="O32" s="427" t="str">
        <f t="shared" si="21"/>
        <v/>
      </c>
      <c r="P32" s="427" t="str">
        <f t="shared" si="21"/>
        <v/>
      </c>
      <c r="Q32" s="424" t="str">
        <f t="shared" si="21"/>
        <v/>
      </c>
      <c r="R32" s="441" t="str">
        <f t="shared" si="21"/>
        <v/>
      </c>
    </row>
    <row r="33" spans="2:18" s="3" customFormat="1" ht="13.2" x14ac:dyDescent="0.25">
      <c r="B33" s="423" t="s">
        <v>150</v>
      </c>
      <c r="C33" s="418"/>
      <c r="D33" s="418"/>
      <c r="E33" s="418"/>
      <c r="F33" s="449"/>
      <c r="G33" s="424">
        <f t="shared" ref="G33:R33" si="22">IF(G$5="","",SUMIF($G$62:$EI$62,G$5,$G90:$EI90))</f>
        <v>0</v>
      </c>
      <c r="H33" s="424">
        <f t="shared" si="22"/>
        <v>75000</v>
      </c>
      <c r="I33" s="424">
        <f t="shared" si="22"/>
        <v>76011.793611687215</v>
      </c>
      <c r="J33" s="424">
        <f t="shared" si="22"/>
        <v>77912.088451979333</v>
      </c>
      <c r="K33" s="424" t="str">
        <f t="shared" si="22"/>
        <v/>
      </c>
      <c r="L33" s="424" t="str">
        <f t="shared" si="22"/>
        <v/>
      </c>
      <c r="M33" s="424" t="str">
        <f t="shared" si="22"/>
        <v/>
      </c>
      <c r="N33" s="424" t="str">
        <f t="shared" si="22"/>
        <v/>
      </c>
      <c r="O33" s="427" t="str">
        <f t="shared" si="22"/>
        <v/>
      </c>
      <c r="P33" s="424" t="str">
        <f t="shared" si="22"/>
        <v/>
      </c>
      <c r="Q33" s="424" t="str">
        <f t="shared" si="22"/>
        <v/>
      </c>
      <c r="R33" s="441" t="str">
        <f t="shared" si="22"/>
        <v/>
      </c>
    </row>
    <row r="34" spans="2:18" s="3" customFormat="1" ht="13.2" x14ac:dyDescent="0.25">
      <c r="B34" s="423" t="s">
        <v>151</v>
      </c>
      <c r="C34" s="418"/>
      <c r="D34" s="418"/>
      <c r="E34" s="418"/>
      <c r="F34" s="449"/>
      <c r="G34" s="424">
        <f t="shared" ref="G34:R34" si="23">IF(G$5="","",SUMIF($G$62:$EI$62,G$5,$G91:$EI91))</f>
        <v>0</v>
      </c>
      <c r="H34" s="424">
        <f t="shared" si="23"/>
        <v>60000</v>
      </c>
      <c r="I34" s="424">
        <f t="shared" si="23"/>
        <v>60809.434889349795</v>
      </c>
      <c r="J34" s="424">
        <f t="shared" si="23"/>
        <v>62329.670761583446</v>
      </c>
      <c r="K34" s="424" t="str">
        <f t="shared" si="23"/>
        <v/>
      </c>
      <c r="L34" s="424" t="str">
        <f t="shared" si="23"/>
        <v/>
      </c>
      <c r="M34" s="424" t="str">
        <f t="shared" si="23"/>
        <v/>
      </c>
      <c r="N34" s="424" t="str">
        <f t="shared" si="23"/>
        <v/>
      </c>
      <c r="O34" s="427" t="str">
        <f t="shared" si="23"/>
        <v/>
      </c>
      <c r="P34" s="424" t="str">
        <f t="shared" si="23"/>
        <v/>
      </c>
      <c r="Q34" s="424" t="str">
        <f t="shared" si="23"/>
        <v/>
      </c>
      <c r="R34" s="441" t="str">
        <f t="shared" si="23"/>
        <v/>
      </c>
    </row>
    <row r="35" spans="2:18" s="3" customFormat="1" ht="13.2" x14ac:dyDescent="0.25">
      <c r="B35" s="423" t="s">
        <v>152</v>
      </c>
      <c r="C35" s="418"/>
      <c r="D35" s="418"/>
      <c r="E35" s="418"/>
      <c r="F35" s="449"/>
      <c r="G35" s="424">
        <f t="shared" ref="G35:R35" si="24">IF(G$5="","",SUMIF($G$62:$EI$62,G$5,$G92:$EI92))</f>
        <v>0</v>
      </c>
      <c r="H35" s="424">
        <f t="shared" si="24"/>
        <v>154649.99068721151</v>
      </c>
      <c r="I35" s="424">
        <f t="shared" si="24"/>
        <v>177953.81750792213</v>
      </c>
      <c r="J35" s="424">
        <f t="shared" si="24"/>
        <v>200756.52559193238</v>
      </c>
      <c r="K35" s="424" t="str">
        <f t="shared" si="24"/>
        <v/>
      </c>
      <c r="L35" s="424" t="str">
        <f t="shared" si="24"/>
        <v/>
      </c>
      <c r="M35" s="424" t="str">
        <f t="shared" si="24"/>
        <v/>
      </c>
      <c r="N35" s="424" t="str">
        <f t="shared" si="24"/>
        <v/>
      </c>
      <c r="O35" s="427" t="str">
        <f t="shared" si="24"/>
        <v/>
      </c>
      <c r="P35" s="424" t="str">
        <f t="shared" si="24"/>
        <v/>
      </c>
      <c r="Q35" s="424" t="str">
        <f t="shared" si="24"/>
        <v/>
      </c>
      <c r="R35" s="441" t="str">
        <f t="shared" si="24"/>
        <v/>
      </c>
    </row>
    <row r="36" spans="2:18" x14ac:dyDescent="0.25">
      <c r="B36" s="423" t="s">
        <v>153</v>
      </c>
      <c r="C36" s="418"/>
      <c r="D36" s="418"/>
      <c r="E36" s="418"/>
      <c r="F36" s="418"/>
      <c r="G36" s="424">
        <f t="shared" ref="G36:R36" si="25">IF(G$5="","",SUMIF($G$62:$EI$62,G$5,$G93:$EI93))</f>
        <v>0</v>
      </c>
      <c r="H36" s="424">
        <f t="shared" si="25"/>
        <v>82500</v>
      </c>
      <c r="I36" s="424">
        <f t="shared" si="25"/>
        <v>83612.972972855932</v>
      </c>
      <c r="J36" s="424">
        <f t="shared" si="25"/>
        <v>85703.297297177225</v>
      </c>
      <c r="K36" s="424" t="str">
        <f t="shared" si="25"/>
        <v/>
      </c>
      <c r="L36" s="424" t="str">
        <f t="shared" si="25"/>
        <v/>
      </c>
      <c r="M36" s="424" t="str">
        <f t="shared" si="25"/>
        <v/>
      </c>
      <c r="N36" s="452" t="str">
        <f t="shared" si="25"/>
        <v/>
      </c>
      <c r="O36" s="452" t="str">
        <f t="shared" si="25"/>
        <v/>
      </c>
      <c r="P36" s="452" t="str">
        <f t="shared" si="25"/>
        <v/>
      </c>
      <c r="Q36" s="452" t="str">
        <f t="shared" si="25"/>
        <v/>
      </c>
      <c r="R36" s="453" t="str">
        <f t="shared" si="25"/>
        <v/>
      </c>
    </row>
    <row r="37" spans="2:18" s="3" customFormat="1" ht="15" x14ac:dyDescent="0.4">
      <c r="B37" s="423" t="s">
        <v>120</v>
      </c>
      <c r="C37" s="418"/>
      <c r="D37" s="418"/>
      <c r="E37" s="418"/>
      <c r="F37" s="418"/>
      <c r="G37" s="429">
        <f t="shared" ref="G37:R37" si="26">IF(G$5="","",SUMIF($G$62:$EI$62,G$5,$G94:$EI94))</f>
        <v>0</v>
      </c>
      <c r="H37" s="429">
        <f t="shared" si="26"/>
        <v>588750</v>
      </c>
      <c r="I37" s="429">
        <f t="shared" si="26"/>
        <v>688093.11983227951</v>
      </c>
      <c r="J37" s="429">
        <f t="shared" si="26"/>
        <v>747956.04913900117</v>
      </c>
      <c r="K37" s="429" t="str">
        <f t="shared" si="26"/>
        <v/>
      </c>
      <c r="L37" s="429" t="str">
        <f t="shared" si="26"/>
        <v/>
      </c>
      <c r="M37" s="429" t="str">
        <f t="shared" si="26"/>
        <v/>
      </c>
      <c r="N37" s="429" t="str">
        <f t="shared" si="26"/>
        <v/>
      </c>
      <c r="O37" s="429" t="str">
        <f t="shared" si="26"/>
        <v/>
      </c>
      <c r="P37" s="429" t="str">
        <f t="shared" si="26"/>
        <v/>
      </c>
      <c r="Q37" s="429" t="str">
        <f t="shared" si="26"/>
        <v/>
      </c>
      <c r="R37" s="443" t="str">
        <f t="shared" si="26"/>
        <v/>
      </c>
    </row>
    <row r="38" spans="2:18" s="3" customFormat="1" ht="13.2" x14ac:dyDescent="0.25">
      <c r="B38" s="271" t="s">
        <v>154</v>
      </c>
      <c r="C38" s="418"/>
      <c r="D38" s="418"/>
      <c r="E38" s="418"/>
      <c r="F38" s="418"/>
      <c r="G38" s="424">
        <f>IF(G$5="","",SUM(G28:G37))</f>
        <v>0</v>
      </c>
      <c r="H38" s="424">
        <f t="shared" ref="H38:R38" si="27">IF(H$5="","",SUM(H28:H37))</f>
        <v>1770899.9906872115</v>
      </c>
      <c r="I38" s="424">
        <f t="shared" si="27"/>
        <v>1907408.5098203169</v>
      </c>
      <c r="J38" s="424">
        <f t="shared" si="27"/>
        <v>2016108.1865230501</v>
      </c>
      <c r="K38" s="424" t="str">
        <f t="shared" si="27"/>
        <v/>
      </c>
      <c r="L38" s="424" t="str">
        <f t="shared" si="27"/>
        <v/>
      </c>
      <c r="M38" s="424" t="str">
        <f t="shared" si="27"/>
        <v/>
      </c>
      <c r="N38" s="424" t="str">
        <f t="shared" si="27"/>
        <v/>
      </c>
      <c r="O38" s="424" t="str">
        <f t="shared" si="27"/>
        <v/>
      </c>
      <c r="P38" s="424" t="str">
        <f t="shared" si="27"/>
        <v/>
      </c>
      <c r="Q38" s="424" t="str">
        <f t="shared" si="27"/>
        <v/>
      </c>
      <c r="R38" s="441" t="str">
        <f t="shared" si="27"/>
        <v/>
      </c>
    </row>
    <row r="39" spans="2:18" s="3" customFormat="1" ht="13.2" x14ac:dyDescent="0.25">
      <c r="B39" s="271"/>
      <c r="C39" s="418"/>
      <c r="D39" s="418"/>
      <c r="E39" s="418"/>
      <c r="F39" s="418"/>
      <c r="G39" s="424"/>
      <c r="H39" s="424"/>
      <c r="I39" s="424"/>
      <c r="J39" s="424"/>
      <c r="K39" s="424"/>
      <c r="L39" s="424"/>
      <c r="M39" s="424"/>
      <c r="N39" s="424"/>
      <c r="O39" s="424"/>
      <c r="P39" s="424"/>
      <c r="Q39" s="424"/>
      <c r="R39" s="441"/>
    </row>
    <row r="40" spans="2:18" s="3" customFormat="1" ht="13.2" x14ac:dyDescent="0.25">
      <c r="B40" s="271" t="s">
        <v>155</v>
      </c>
      <c r="C40" s="418"/>
      <c r="D40" s="418"/>
      <c r="E40" s="418"/>
      <c r="F40" s="418"/>
      <c r="G40" s="424">
        <f>IF(G$5="","",G25-G38)</f>
        <v>0</v>
      </c>
      <c r="H40" s="424">
        <f t="shared" ref="H40:R40" si="28">IF(H$5="","",H25-H38)</f>
        <v>3384099.6988865058</v>
      </c>
      <c r="I40" s="424">
        <f t="shared" si="28"/>
        <v>4024385.4071104201</v>
      </c>
      <c r="J40" s="424">
        <f t="shared" si="28"/>
        <v>4675775.999874698</v>
      </c>
      <c r="K40" s="424" t="str">
        <f t="shared" si="28"/>
        <v/>
      </c>
      <c r="L40" s="424" t="str">
        <f t="shared" si="28"/>
        <v/>
      </c>
      <c r="M40" s="424" t="str">
        <f t="shared" si="28"/>
        <v/>
      </c>
      <c r="N40" s="424" t="str">
        <f t="shared" si="28"/>
        <v/>
      </c>
      <c r="O40" s="424" t="str">
        <f t="shared" si="28"/>
        <v/>
      </c>
      <c r="P40" s="424" t="str">
        <f t="shared" si="28"/>
        <v/>
      </c>
      <c r="Q40" s="424" t="str">
        <f t="shared" si="28"/>
        <v/>
      </c>
      <c r="R40" s="441" t="str">
        <f t="shared" si="28"/>
        <v/>
      </c>
    </row>
    <row r="41" spans="2:18" s="3" customFormat="1" ht="13.2" x14ac:dyDescent="0.25">
      <c r="B41" s="271"/>
      <c r="C41" s="418"/>
      <c r="D41" s="418"/>
      <c r="E41" s="418"/>
      <c r="F41" s="418"/>
      <c r="G41" s="424"/>
      <c r="H41" s="424"/>
      <c r="I41" s="424"/>
      <c r="J41" s="424"/>
      <c r="K41" s="424"/>
      <c r="L41" s="424"/>
      <c r="M41" s="424"/>
      <c r="N41" s="424"/>
      <c r="O41" s="424"/>
      <c r="P41" s="424"/>
      <c r="Q41" s="424"/>
      <c r="R41" s="441"/>
    </row>
    <row r="42" spans="2:18" s="3" customFormat="1" ht="13.2" x14ac:dyDescent="0.25">
      <c r="B42" s="271" t="s">
        <v>156</v>
      </c>
      <c r="C42" s="418"/>
      <c r="D42" s="418"/>
      <c r="E42" s="418"/>
      <c r="F42" s="418"/>
      <c r="G42" s="424">
        <f t="shared" ref="G42" si="29">IF(G$5="","",SUMIF($G$62:$EI$62,G$5,$G99:$EI99))</f>
        <v>0</v>
      </c>
      <c r="H42" s="424">
        <f t="shared" ref="H42:R42" si="30">IF(H$5="","",SUMIF($G$62:$EI$62,H$5,$G99:$EI99))</f>
        <v>60000</v>
      </c>
      <c r="I42" s="424">
        <f t="shared" si="30"/>
        <v>60809.434889349795</v>
      </c>
      <c r="J42" s="424">
        <f t="shared" si="30"/>
        <v>62329.670761583446</v>
      </c>
      <c r="K42" s="424" t="str">
        <f t="shared" si="30"/>
        <v/>
      </c>
      <c r="L42" s="424" t="str">
        <f t="shared" si="30"/>
        <v/>
      </c>
      <c r="M42" s="424" t="str">
        <f t="shared" si="30"/>
        <v/>
      </c>
      <c r="N42" s="424" t="str">
        <f t="shared" si="30"/>
        <v/>
      </c>
      <c r="O42" s="424" t="str">
        <f t="shared" si="30"/>
        <v/>
      </c>
      <c r="P42" s="424" t="str">
        <f t="shared" si="30"/>
        <v/>
      </c>
      <c r="Q42" s="424" t="str">
        <f t="shared" si="30"/>
        <v/>
      </c>
      <c r="R42" s="441" t="str">
        <f t="shared" si="30"/>
        <v/>
      </c>
    </row>
    <row r="43" spans="2:18" s="3" customFormat="1" ht="13.2" x14ac:dyDescent="0.25">
      <c r="B43" s="271"/>
      <c r="C43" s="418"/>
      <c r="D43" s="418"/>
      <c r="E43" s="418"/>
      <c r="F43" s="418"/>
      <c r="G43" s="424"/>
      <c r="H43" s="424"/>
      <c r="I43" s="424"/>
      <c r="J43" s="424"/>
      <c r="K43" s="424"/>
      <c r="L43" s="424"/>
      <c r="M43" s="424"/>
      <c r="N43" s="424"/>
      <c r="O43" s="424"/>
      <c r="P43" s="424"/>
      <c r="Q43" s="424"/>
      <c r="R43" s="441"/>
    </row>
    <row r="44" spans="2:18" s="3" customFormat="1" ht="13.2" x14ac:dyDescent="0.25">
      <c r="B44" s="271" t="s">
        <v>160</v>
      </c>
      <c r="C44" s="418"/>
      <c r="D44" s="418"/>
      <c r="E44" s="418"/>
      <c r="F44" s="418"/>
      <c r="G44" s="424">
        <f>IF(G$5="","",G40-G42)</f>
        <v>0</v>
      </c>
      <c r="H44" s="424">
        <f t="shared" ref="H44:R44" si="31">IF(H$5="","",H40-H42)</f>
        <v>3324099.6988865058</v>
      </c>
      <c r="I44" s="424">
        <f t="shared" si="31"/>
        <v>3963575.9722210704</v>
      </c>
      <c r="J44" s="424">
        <f t="shared" si="31"/>
        <v>4613446.3291131146</v>
      </c>
      <c r="K44" s="424" t="str">
        <f t="shared" si="31"/>
        <v/>
      </c>
      <c r="L44" s="424" t="str">
        <f t="shared" si="31"/>
        <v/>
      </c>
      <c r="M44" s="424" t="str">
        <f t="shared" si="31"/>
        <v/>
      </c>
      <c r="N44" s="424" t="str">
        <f t="shared" si="31"/>
        <v/>
      </c>
      <c r="O44" s="424" t="str">
        <f t="shared" si="31"/>
        <v/>
      </c>
      <c r="P44" s="424" t="str">
        <f t="shared" si="31"/>
        <v/>
      </c>
      <c r="Q44" s="424" t="str">
        <f t="shared" si="31"/>
        <v/>
      </c>
      <c r="R44" s="441" t="str">
        <f t="shared" si="31"/>
        <v/>
      </c>
    </row>
    <row r="45" spans="2:18" s="3" customFormat="1" ht="13.2" x14ac:dyDescent="0.25">
      <c r="B45" s="272"/>
      <c r="C45" s="434"/>
      <c r="D45" s="434"/>
      <c r="E45" s="434"/>
      <c r="F45" s="434"/>
      <c r="G45" s="435"/>
      <c r="H45" s="435"/>
      <c r="I45" s="435"/>
      <c r="J45" s="435"/>
      <c r="K45" s="435"/>
      <c r="L45" s="435"/>
      <c r="M45" s="435"/>
      <c r="N45" s="435"/>
      <c r="O45" s="435"/>
      <c r="P45" s="435"/>
      <c r="Q45" s="435"/>
      <c r="R45" s="454"/>
    </row>
    <row r="46" spans="2:18" s="3" customFormat="1" ht="13.2" x14ac:dyDescent="0.25">
      <c r="B46" s="417" t="s">
        <v>423</v>
      </c>
      <c r="C46" s="418"/>
      <c r="D46" s="418"/>
      <c r="E46" s="418"/>
      <c r="F46" s="418"/>
      <c r="G46" s="424"/>
      <c r="H46" s="424"/>
      <c r="I46" s="424"/>
      <c r="J46" s="424"/>
      <c r="K46" s="424"/>
      <c r="L46" s="424"/>
      <c r="M46" s="424"/>
      <c r="N46" s="424"/>
      <c r="O46" s="424"/>
      <c r="P46" s="424"/>
      <c r="Q46" s="424"/>
      <c r="R46" s="441"/>
    </row>
    <row r="47" spans="2:18" s="3" customFormat="1" ht="13.2" x14ac:dyDescent="0.25">
      <c r="B47" s="271" t="s">
        <v>424</v>
      </c>
      <c r="C47" s="418"/>
      <c r="D47" s="418"/>
      <c r="E47" s="418"/>
      <c r="F47" s="418"/>
      <c r="G47" s="424">
        <f t="shared" ref="G47:R47" si="32">IF(G$5="","",SUMIF($G$62:$EI$62,G$5,$G104:$EI104))</f>
        <v>63035773.958333336</v>
      </c>
      <c r="H47" s="424">
        <f t="shared" si="32"/>
        <v>2679287.4999999995</v>
      </c>
      <c r="I47" s="424">
        <f t="shared" si="32"/>
        <v>2456013.541666666</v>
      </c>
      <c r="J47" s="424">
        <f t="shared" si="32"/>
        <v>0</v>
      </c>
      <c r="K47" s="424" t="str">
        <f t="shared" si="32"/>
        <v/>
      </c>
      <c r="L47" s="424" t="str">
        <f t="shared" si="32"/>
        <v/>
      </c>
      <c r="M47" s="424" t="str">
        <f t="shared" si="32"/>
        <v/>
      </c>
      <c r="N47" s="424" t="str">
        <f t="shared" si="32"/>
        <v/>
      </c>
      <c r="O47" s="424" t="str">
        <f t="shared" si="32"/>
        <v/>
      </c>
      <c r="P47" s="424" t="str">
        <f t="shared" si="32"/>
        <v/>
      </c>
      <c r="Q47" s="424" t="str">
        <f t="shared" si="32"/>
        <v/>
      </c>
      <c r="R47" s="441" t="str">
        <f t="shared" si="32"/>
        <v/>
      </c>
    </row>
    <row r="48" spans="2:18" s="3" customFormat="1" ht="13.2" x14ac:dyDescent="0.25">
      <c r="B48" s="271" t="s">
        <v>430</v>
      </c>
      <c r="C48" s="418"/>
      <c r="D48" s="418"/>
      <c r="E48" s="418"/>
      <c r="F48" s="418"/>
      <c r="G48" s="424">
        <f t="shared" ref="G48:R48" si="33">IF(G$5="","",SUMIF($G$62:$EI$62,G$5,$G105:$EI105))</f>
        <v>225000</v>
      </c>
      <c r="H48" s="424">
        <f t="shared" si="33"/>
        <v>0</v>
      </c>
      <c r="I48" s="424">
        <f t="shared" si="33"/>
        <v>0</v>
      </c>
      <c r="J48" s="424">
        <f t="shared" si="33"/>
        <v>0</v>
      </c>
      <c r="K48" s="424" t="str">
        <f t="shared" si="33"/>
        <v/>
      </c>
      <c r="L48" s="424" t="str">
        <f t="shared" si="33"/>
        <v/>
      </c>
      <c r="M48" s="424" t="str">
        <f t="shared" si="33"/>
        <v/>
      </c>
      <c r="N48" s="424" t="str">
        <f t="shared" si="33"/>
        <v/>
      </c>
      <c r="O48" s="424" t="str">
        <f t="shared" si="33"/>
        <v/>
      </c>
      <c r="P48" s="424" t="str">
        <f t="shared" si="33"/>
        <v/>
      </c>
      <c r="Q48" s="424" t="str">
        <f t="shared" si="33"/>
        <v/>
      </c>
      <c r="R48" s="441" t="str">
        <f t="shared" si="33"/>
        <v/>
      </c>
    </row>
    <row r="49" spans="2:139" s="3" customFormat="1" ht="13.2" x14ac:dyDescent="0.25">
      <c r="B49" s="271"/>
      <c r="C49" s="418"/>
      <c r="D49" s="418"/>
      <c r="E49" s="418"/>
      <c r="F49" s="418"/>
      <c r="G49" s="424"/>
      <c r="H49" s="424"/>
      <c r="I49" s="424"/>
      <c r="J49" s="424"/>
      <c r="K49" s="424"/>
      <c r="L49" s="424"/>
      <c r="M49" s="424"/>
      <c r="N49" s="424"/>
      <c r="O49" s="424"/>
      <c r="P49" s="424"/>
      <c r="Q49" s="424"/>
      <c r="R49" s="441"/>
    </row>
    <row r="50" spans="2:139" s="3" customFormat="1" ht="13.2" x14ac:dyDescent="0.25">
      <c r="B50" s="271" t="s">
        <v>425</v>
      </c>
      <c r="C50" s="418"/>
      <c r="D50" s="418"/>
      <c r="E50" s="418"/>
      <c r="F50" s="418"/>
      <c r="G50" s="424">
        <f>IF(G$5="","",MAX(SUMIF($G$62:$EI$62,G$5,$G107:$EI107),0))</f>
        <v>36341093.958333336</v>
      </c>
      <c r="H50" s="424">
        <f t="shared" ref="H50:R50" si="34">IF(H$5="","",MAX(SUMIF($G$62:$EI$62,H$5,$G107:$EI107),0))</f>
        <v>2679287.4999999995</v>
      </c>
      <c r="I50" s="424">
        <f t="shared" si="34"/>
        <v>2456013.541666666</v>
      </c>
      <c r="J50" s="424">
        <f t="shared" si="34"/>
        <v>0</v>
      </c>
      <c r="K50" s="424" t="str">
        <f t="shared" si="34"/>
        <v/>
      </c>
      <c r="L50" s="424" t="str">
        <f t="shared" si="34"/>
        <v/>
      </c>
      <c r="M50" s="424" t="str">
        <f t="shared" si="34"/>
        <v/>
      </c>
      <c r="N50" s="424" t="str">
        <f t="shared" si="34"/>
        <v/>
      </c>
      <c r="O50" s="424" t="str">
        <f t="shared" si="34"/>
        <v/>
      </c>
      <c r="P50" s="424" t="str">
        <f t="shared" si="34"/>
        <v/>
      </c>
      <c r="Q50" s="424" t="str">
        <f t="shared" si="34"/>
        <v/>
      </c>
      <c r="R50" s="441" t="str">
        <f t="shared" si="34"/>
        <v/>
      </c>
    </row>
    <row r="51" spans="2:139" x14ac:dyDescent="0.25">
      <c r="B51" s="271" t="s">
        <v>232</v>
      </c>
      <c r="C51" s="418"/>
      <c r="D51" s="418"/>
      <c r="E51" s="418"/>
      <c r="F51" s="418"/>
      <c r="G51" s="424">
        <f t="shared" ref="G51:R51" si="35">IF(G$5="","",SUMIF($G$62:$EI$62,G$5,$G108:$EI108))</f>
        <v>225000</v>
      </c>
      <c r="H51" s="424">
        <f t="shared" si="35"/>
        <v>0</v>
      </c>
      <c r="I51" s="424">
        <f t="shared" si="35"/>
        <v>0</v>
      </c>
      <c r="J51" s="424">
        <f t="shared" si="35"/>
        <v>0</v>
      </c>
      <c r="K51" s="424" t="str">
        <f t="shared" si="35"/>
        <v/>
      </c>
      <c r="L51" s="424" t="str">
        <f t="shared" si="35"/>
        <v/>
      </c>
      <c r="M51" s="424" t="str">
        <f t="shared" si="35"/>
        <v/>
      </c>
      <c r="N51" s="424" t="str">
        <f t="shared" si="35"/>
        <v/>
      </c>
      <c r="O51" s="424" t="str">
        <f t="shared" si="35"/>
        <v/>
      </c>
      <c r="P51" s="424" t="str">
        <f t="shared" si="35"/>
        <v/>
      </c>
      <c r="Q51" s="424" t="str">
        <f t="shared" si="35"/>
        <v/>
      </c>
      <c r="R51" s="441" t="str">
        <f t="shared" si="35"/>
        <v/>
      </c>
    </row>
    <row r="52" spans="2:139" x14ac:dyDescent="0.25">
      <c r="B52" s="271" t="s">
        <v>222</v>
      </c>
      <c r="C52" s="418"/>
      <c r="D52" s="418"/>
      <c r="E52" s="418"/>
      <c r="F52" s="418"/>
      <c r="G52" s="424">
        <f>IF(G$5="","",SUM(G44))</f>
        <v>0</v>
      </c>
      <c r="H52" s="424">
        <f t="shared" ref="H52:R52" si="36">IF(H$5="","",SUM(H44))</f>
        <v>3324099.6988865058</v>
      </c>
      <c r="I52" s="424">
        <f t="shared" si="36"/>
        <v>3963575.9722210704</v>
      </c>
      <c r="J52" s="424">
        <f t="shared" si="36"/>
        <v>4613446.3291131146</v>
      </c>
      <c r="K52" s="424" t="str">
        <f t="shared" si="36"/>
        <v/>
      </c>
      <c r="L52" s="424" t="str">
        <f t="shared" si="36"/>
        <v/>
      </c>
      <c r="M52" s="424" t="str">
        <f t="shared" si="36"/>
        <v/>
      </c>
      <c r="N52" s="424" t="str">
        <f t="shared" si="36"/>
        <v/>
      </c>
      <c r="O52" s="424" t="str">
        <f t="shared" si="36"/>
        <v/>
      </c>
      <c r="P52" s="424" t="str">
        <f t="shared" si="36"/>
        <v/>
      </c>
      <c r="Q52" s="424" t="str">
        <f t="shared" si="36"/>
        <v/>
      </c>
      <c r="R52" s="441" t="str">
        <f t="shared" si="36"/>
        <v/>
      </c>
    </row>
    <row r="53" spans="2:139" s="3" customFormat="1" ht="13.2" x14ac:dyDescent="0.25">
      <c r="B53" s="271"/>
      <c r="C53" s="418"/>
      <c r="D53" s="418"/>
      <c r="E53" s="418"/>
      <c r="F53" s="418"/>
      <c r="G53" s="424"/>
      <c r="H53" s="424"/>
      <c r="I53" s="424"/>
      <c r="J53" s="424"/>
      <c r="K53" s="424"/>
      <c r="L53" s="424"/>
      <c r="M53" s="424"/>
      <c r="N53" s="424"/>
      <c r="O53" s="424"/>
      <c r="P53" s="424"/>
      <c r="Q53" s="424"/>
      <c r="R53" s="441"/>
    </row>
    <row r="54" spans="2:139" s="3" customFormat="1" ht="13.2" x14ac:dyDescent="0.25">
      <c r="B54" s="271" t="s">
        <v>208</v>
      </c>
      <c r="C54" s="418"/>
      <c r="D54" s="418"/>
      <c r="E54" s="418"/>
      <c r="F54" s="418"/>
      <c r="G54" s="424">
        <f t="shared" ref="G54:R54" ca="1" si="37">IF(G$5="","",SUMIF($G$62:$EI$62,G$5,$G111:$EI111))</f>
        <v>0</v>
      </c>
      <c r="H54" s="424">
        <f t="shared" ca="1" si="37"/>
        <v>0</v>
      </c>
      <c r="I54" s="424">
        <f t="shared" ca="1" si="37"/>
        <v>0</v>
      </c>
      <c r="J54" s="424">
        <f t="shared" ca="1" si="37"/>
        <v>78517938.300746262</v>
      </c>
      <c r="K54" s="424" t="str">
        <f t="shared" si="37"/>
        <v/>
      </c>
      <c r="L54" s="424" t="str">
        <f t="shared" si="37"/>
        <v/>
      </c>
      <c r="M54" s="424" t="str">
        <f t="shared" si="37"/>
        <v/>
      </c>
      <c r="N54" s="424" t="str">
        <f t="shared" si="37"/>
        <v/>
      </c>
      <c r="O54" s="424" t="str">
        <f t="shared" si="37"/>
        <v/>
      </c>
      <c r="P54" s="424" t="str">
        <f t="shared" si="37"/>
        <v/>
      </c>
      <c r="Q54" s="424" t="str">
        <f t="shared" si="37"/>
        <v/>
      </c>
      <c r="R54" s="441" t="str">
        <f t="shared" si="37"/>
        <v/>
      </c>
    </row>
    <row r="55" spans="2:139" s="3" customFormat="1" ht="15" x14ac:dyDescent="0.4">
      <c r="B55" s="322" t="s">
        <v>210</v>
      </c>
      <c r="C55" s="418"/>
      <c r="D55" s="418"/>
      <c r="E55" s="418"/>
      <c r="F55" s="418"/>
      <c r="G55" s="429">
        <f t="shared" ref="G55:R55" si="38">IF(G$5="","",SUMIF($G$62:$EI$62,G$5,$G112:$EI112))</f>
        <v>0</v>
      </c>
      <c r="H55" s="429">
        <f t="shared" si="38"/>
        <v>0</v>
      </c>
      <c r="I55" s="429">
        <f t="shared" si="38"/>
        <v>0</v>
      </c>
      <c r="J55" s="429">
        <f t="shared" si="38"/>
        <v>-41476395.000000291</v>
      </c>
      <c r="K55" s="429" t="str">
        <f t="shared" si="38"/>
        <v/>
      </c>
      <c r="L55" s="429" t="str">
        <f t="shared" si="38"/>
        <v/>
      </c>
      <c r="M55" s="429" t="str">
        <f t="shared" si="38"/>
        <v/>
      </c>
      <c r="N55" s="429" t="str">
        <f t="shared" si="38"/>
        <v/>
      </c>
      <c r="O55" s="429" t="str">
        <f t="shared" si="38"/>
        <v/>
      </c>
      <c r="P55" s="429" t="str">
        <f t="shared" si="38"/>
        <v/>
      </c>
      <c r="Q55" s="429" t="str">
        <f t="shared" si="38"/>
        <v/>
      </c>
      <c r="R55" s="443" t="str">
        <f t="shared" si="38"/>
        <v/>
      </c>
    </row>
    <row r="56" spans="2:139" s="3" customFormat="1" ht="13.2" x14ac:dyDescent="0.25">
      <c r="B56" s="271" t="s">
        <v>212</v>
      </c>
      <c r="C56" s="418"/>
      <c r="D56" s="418"/>
      <c r="E56" s="418"/>
      <c r="F56" s="418"/>
      <c r="G56" s="424">
        <f ca="1">IF(G$5="","",SUM(G54:G55))</f>
        <v>0</v>
      </c>
      <c r="H56" s="424">
        <f t="shared" ref="H56:R56" ca="1" si="39">IF(H$5="","",SUM(H54:H55))</f>
        <v>0</v>
      </c>
      <c r="I56" s="424">
        <f t="shared" ca="1" si="39"/>
        <v>0</v>
      </c>
      <c r="J56" s="424">
        <f t="shared" ca="1" si="39"/>
        <v>37041543.300745972</v>
      </c>
      <c r="K56" s="424" t="str">
        <f t="shared" si="39"/>
        <v/>
      </c>
      <c r="L56" s="424" t="str">
        <f t="shared" si="39"/>
        <v/>
      </c>
      <c r="M56" s="424" t="str">
        <f t="shared" si="39"/>
        <v/>
      </c>
      <c r="N56" s="424" t="str">
        <f t="shared" si="39"/>
        <v/>
      </c>
      <c r="O56" s="424" t="str">
        <f t="shared" si="39"/>
        <v/>
      </c>
      <c r="P56" s="424" t="str">
        <f t="shared" si="39"/>
        <v/>
      </c>
      <c r="Q56" s="424" t="str">
        <f t="shared" si="39"/>
        <v/>
      </c>
      <c r="R56" s="441" t="str">
        <f t="shared" si="39"/>
        <v/>
      </c>
    </row>
    <row r="57" spans="2:139" s="3" customFormat="1" ht="13.2" x14ac:dyDescent="0.25">
      <c r="B57" s="271"/>
      <c r="C57" s="418"/>
      <c r="D57" s="418"/>
      <c r="E57" s="418"/>
      <c r="F57" s="418"/>
      <c r="G57" s="424"/>
      <c r="H57" s="424"/>
      <c r="I57" s="424"/>
      <c r="J57" s="424"/>
      <c r="K57" s="424"/>
      <c r="L57" s="424"/>
      <c r="M57" s="424"/>
      <c r="N57" s="424"/>
      <c r="O57" s="424"/>
      <c r="P57" s="424"/>
      <c r="Q57" s="424"/>
      <c r="R57" s="441"/>
    </row>
    <row r="58" spans="2:139" s="3" customFormat="1" ht="13.2" x14ac:dyDescent="0.25">
      <c r="B58" s="271" t="s">
        <v>225</v>
      </c>
      <c r="C58" s="418"/>
      <c r="D58" s="418"/>
      <c r="E58" s="418"/>
      <c r="F58" s="418"/>
      <c r="G58" s="424">
        <f t="shared" ref="G58:R58" ca="1" si="40">IF(G$5="","",SUMIF($G$62:$EI$62,G$5,$G115:$EI115))</f>
        <v>-63035773.958333336</v>
      </c>
      <c r="H58" s="424">
        <f t="shared" ca="1" si="40"/>
        <v>644812.19888650719</v>
      </c>
      <c r="I58" s="424">
        <f t="shared" ca="1" si="40"/>
        <v>1507562.4305544044</v>
      </c>
      <c r="J58" s="424">
        <f t="shared" ca="1" si="40"/>
        <v>83131384.629859373</v>
      </c>
      <c r="K58" s="424" t="str">
        <f t="shared" si="40"/>
        <v/>
      </c>
      <c r="L58" s="424" t="str">
        <f t="shared" si="40"/>
        <v/>
      </c>
      <c r="M58" s="424" t="str">
        <f t="shared" si="40"/>
        <v/>
      </c>
      <c r="N58" s="424" t="str">
        <f t="shared" si="40"/>
        <v/>
      </c>
      <c r="O58" s="424" t="str">
        <f t="shared" si="40"/>
        <v/>
      </c>
      <c r="P58" s="424" t="str">
        <f t="shared" si="40"/>
        <v/>
      </c>
      <c r="Q58" s="424" t="str">
        <f t="shared" si="40"/>
        <v/>
      </c>
      <c r="R58" s="441" t="str">
        <f t="shared" si="40"/>
        <v/>
      </c>
    </row>
    <row r="59" spans="2:139" s="3" customFormat="1" ht="13.2" x14ac:dyDescent="0.25">
      <c r="B59" s="271" t="s">
        <v>221</v>
      </c>
      <c r="C59" s="418"/>
      <c r="D59" s="418"/>
      <c r="E59" s="418"/>
      <c r="F59" s="418"/>
      <c r="G59" s="424">
        <f t="shared" ref="G59:R59" ca="1" si="41">IF(G$5="","",SUMIF($G$62:$EI$62,G$5,$G116:$EI116))</f>
        <v>-27650930</v>
      </c>
      <c r="H59" s="424">
        <f t="shared" ca="1" si="41"/>
        <v>1252308.6963879934</v>
      </c>
      <c r="I59" s="424">
        <f t="shared" ca="1" si="41"/>
        <v>1737277.2069632751</v>
      </c>
      <c r="J59" s="424">
        <f t="shared" ca="1" si="41"/>
        <v>40059081.022289209</v>
      </c>
      <c r="K59" s="424" t="str">
        <f t="shared" si="41"/>
        <v/>
      </c>
      <c r="L59" s="424" t="str">
        <f t="shared" si="41"/>
        <v/>
      </c>
      <c r="M59" s="424" t="str">
        <f t="shared" si="41"/>
        <v/>
      </c>
      <c r="N59" s="424" t="str">
        <f t="shared" si="41"/>
        <v/>
      </c>
      <c r="O59" s="424" t="str">
        <f t="shared" si="41"/>
        <v/>
      </c>
      <c r="P59" s="424" t="str">
        <f t="shared" si="41"/>
        <v/>
      </c>
      <c r="Q59" s="424" t="str">
        <f t="shared" si="41"/>
        <v/>
      </c>
      <c r="R59" s="441" t="str">
        <f t="shared" si="41"/>
        <v/>
      </c>
    </row>
    <row r="60" spans="2:139" s="3" customFormat="1" ht="13.2" x14ac:dyDescent="0.25">
      <c r="B60" s="455"/>
      <c r="C60" s="434"/>
      <c r="D60" s="434"/>
      <c r="E60" s="434"/>
      <c r="F60" s="434"/>
      <c r="G60" s="435"/>
      <c r="H60" s="435"/>
      <c r="I60" s="435"/>
      <c r="J60" s="435"/>
      <c r="K60" s="435"/>
      <c r="L60" s="435"/>
      <c r="M60" s="435"/>
      <c r="N60" s="435"/>
      <c r="O60" s="435"/>
      <c r="P60" s="435"/>
      <c r="Q60" s="435"/>
      <c r="R60" s="454"/>
    </row>
    <row r="61" spans="2:139" ht="14.25" customHeight="1" x14ac:dyDescent="0.25"/>
    <row r="62" spans="2:139" ht="14.25" hidden="1" customHeight="1" outlineLevel="1" x14ac:dyDescent="0.25">
      <c r="F62" s="195" t="s">
        <v>24</v>
      </c>
      <c r="G62" s="456">
        <f>IF(G63="","",Underwriting!S18)</f>
        <v>0</v>
      </c>
      <c r="H62" s="456">
        <f>IF(H63="","",Underwriting!T18)</f>
        <v>1</v>
      </c>
      <c r="I62" s="456">
        <f>IF(I63="","",Underwriting!U18)</f>
        <v>1</v>
      </c>
      <c r="J62" s="456">
        <f>IF(J63="","",Underwriting!V18)</f>
        <v>1</v>
      </c>
      <c r="K62" s="456">
        <f>IF(K63="","",Underwriting!W18)</f>
        <v>1</v>
      </c>
      <c r="L62" s="456">
        <f>IF(L63="","",Underwriting!X18)</f>
        <v>1</v>
      </c>
      <c r="M62" s="456">
        <f>IF(M63="","",Underwriting!Y18)</f>
        <v>1</v>
      </c>
      <c r="N62" s="456">
        <f>IF(N63="","",Underwriting!Z18)</f>
        <v>1</v>
      </c>
      <c r="O62" s="456">
        <f>IF(O63="","",Underwriting!AA18)</f>
        <v>1</v>
      </c>
      <c r="P62" s="456">
        <f>IF(P63="","",Underwriting!AB18)</f>
        <v>1</v>
      </c>
      <c r="Q62" s="456">
        <f>IF(Q63="","",Underwriting!AC18)</f>
        <v>1</v>
      </c>
      <c r="R62" s="456">
        <f>IF(R63="","",Underwriting!AD18)</f>
        <v>1</v>
      </c>
      <c r="S62" s="456">
        <f>IF(S63="","",Underwriting!AE18)</f>
        <v>1</v>
      </c>
      <c r="T62" s="456">
        <f>IF(T63="","",Underwriting!AF18)</f>
        <v>2</v>
      </c>
      <c r="U62" s="456">
        <f>IF(U63="","",Underwriting!AG18)</f>
        <v>2</v>
      </c>
      <c r="V62" s="456">
        <f>IF(V63="","",Underwriting!AH18)</f>
        <v>2</v>
      </c>
      <c r="W62" s="456">
        <f>IF(W63="","",Underwriting!AI18)</f>
        <v>2</v>
      </c>
      <c r="X62" s="456">
        <f>IF(X63="","",Underwriting!AJ18)</f>
        <v>2</v>
      </c>
      <c r="Y62" s="456">
        <f>IF(Y63="","",Underwriting!AK18)</f>
        <v>2</v>
      </c>
      <c r="Z62" s="456">
        <f>IF(Z63="","",Underwriting!AL18)</f>
        <v>2</v>
      </c>
      <c r="AA62" s="456">
        <f>IF(AA63="","",Underwriting!AM18)</f>
        <v>2</v>
      </c>
      <c r="AB62" s="456">
        <f>IF(AB63="","",Underwriting!AN18)</f>
        <v>2</v>
      </c>
      <c r="AC62" s="456">
        <f>IF(AC63="","",Underwriting!AO18)</f>
        <v>2</v>
      </c>
      <c r="AD62" s="456">
        <f>IF(AD63="","",Underwriting!AP18)</f>
        <v>2</v>
      </c>
      <c r="AE62" s="456">
        <f>IF(AE63="","",Underwriting!AQ18)</f>
        <v>2</v>
      </c>
      <c r="AF62" s="456">
        <f>IF(AF63="","",Underwriting!AR18)</f>
        <v>3</v>
      </c>
      <c r="AG62" s="456">
        <f>IF(AG63="","",Underwriting!AS18)</f>
        <v>3</v>
      </c>
      <c r="AH62" s="456">
        <f>IF(AH63="","",Underwriting!AT18)</f>
        <v>3</v>
      </c>
      <c r="AI62" s="456">
        <f>IF(AI63="","",Underwriting!AU18)</f>
        <v>3</v>
      </c>
      <c r="AJ62" s="456">
        <f>IF(AJ63="","",Underwriting!AV18)</f>
        <v>3</v>
      </c>
      <c r="AK62" s="456">
        <f>IF(AK63="","",Underwriting!AW18)</f>
        <v>3</v>
      </c>
      <c r="AL62" s="456">
        <f>IF(AL63="","",Underwriting!AX18)</f>
        <v>3</v>
      </c>
      <c r="AM62" s="456">
        <f>IF(AM63="","",Underwriting!AY18)</f>
        <v>3</v>
      </c>
      <c r="AN62" s="456">
        <f>IF(AN63="","",Underwriting!AZ18)</f>
        <v>3</v>
      </c>
      <c r="AO62" s="456">
        <f>IF(AO63="","",Underwriting!BA18)</f>
        <v>3</v>
      </c>
      <c r="AP62" s="456">
        <f>IF(AP63="","",Underwriting!BB18)</f>
        <v>3</v>
      </c>
      <c r="AQ62" s="456">
        <f>IF(AQ63="","",Underwriting!BC18)</f>
        <v>3</v>
      </c>
      <c r="AR62" s="456" t="str">
        <f>IF(AR63="","",Underwriting!BD18)</f>
        <v/>
      </c>
      <c r="AS62" s="456" t="str">
        <f>IF(AS63="","",Underwriting!BE18)</f>
        <v/>
      </c>
      <c r="AT62" s="456" t="str">
        <f>IF(AT63="","",Underwriting!BF18)</f>
        <v/>
      </c>
      <c r="AU62" s="456" t="str">
        <f>IF(AU63="","",Underwriting!BG18)</f>
        <v/>
      </c>
      <c r="AV62" s="456" t="str">
        <f>IF(AV63="","",Underwriting!BH18)</f>
        <v/>
      </c>
      <c r="AW62" s="456" t="str">
        <f>IF(AW63="","",Underwriting!BI18)</f>
        <v/>
      </c>
      <c r="AX62" s="456" t="str">
        <f>IF(AX63="","",Underwriting!BJ18)</f>
        <v/>
      </c>
      <c r="AY62" s="456" t="str">
        <f>IF(AY63="","",Underwriting!BK18)</f>
        <v/>
      </c>
      <c r="AZ62" s="456" t="str">
        <f>IF(AZ63="","",Underwriting!BL18)</f>
        <v/>
      </c>
      <c r="BA62" s="456" t="str">
        <f>IF(BA63="","",Underwriting!BM18)</f>
        <v/>
      </c>
      <c r="BB62" s="456" t="str">
        <f>IF(BB63="","",Underwriting!BN18)</f>
        <v/>
      </c>
      <c r="BC62" s="456" t="str">
        <f>IF(BC63="","",Underwriting!BO18)</f>
        <v/>
      </c>
      <c r="BD62" s="456" t="str">
        <f>IF(BD63="","",Underwriting!BP18)</f>
        <v/>
      </c>
      <c r="BE62" s="456" t="str">
        <f>IF(BE63="","",Underwriting!BQ18)</f>
        <v/>
      </c>
      <c r="BF62" s="456" t="str">
        <f>IF(BF63="","",Underwriting!BR18)</f>
        <v/>
      </c>
      <c r="BG62" s="456" t="str">
        <f>IF(BG63="","",Underwriting!BS18)</f>
        <v/>
      </c>
      <c r="BH62" s="456" t="str">
        <f>IF(BH63="","",Underwriting!BT18)</f>
        <v/>
      </c>
      <c r="BI62" s="456" t="str">
        <f>IF(BI63="","",Underwriting!BU18)</f>
        <v/>
      </c>
      <c r="BJ62" s="456" t="str">
        <f>IF(BJ63="","",Underwriting!BV18)</f>
        <v/>
      </c>
      <c r="BK62" s="456" t="str">
        <f>IF(BK63="","",Underwriting!BW18)</f>
        <v/>
      </c>
      <c r="BL62" s="456" t="str">
        <f>IF(BL63="","",Underwriting!BX18)</f>
        <v/>
      </c>
      <c r="BM62" s="456" t="str">
        <f>IF(BM63="","",Underwriting!BY18)</f>
        <v/>
      </c>
      <c r="BN62" s="456" t="str">
        <f>IF(BN63="","",Underwriting!BZ18)</f>
        <v/>
      </c>
      <c r="BO62" s="456" t="str">
        <f>IF(BO63="","",Underwriting!CA18)</f>
        <v/>
      </c>
      <c r="BP62" s="456" t="str">
        <f>IF(BP63="","",Underwriting!CB18)</f>
        <v/>
      </c>
      <c r="BQ62" s="456" t="str">
        <f>IF(BQ63="","",Underwriting!CC18)</f>
        <v/>
      </c>
      <c r="BR62" s="456" t="str">
        <f>IF(BR63="","",Underwriting!CD18)</f>
        <v/>
      </c>
      <c r="BS62" s="456" t="str">
        <f>IF(BS63="","",Underwriting!CE18)</f>
        <v/>
      </c>
      <c r="BT62" s="456" t="str">
        <f>IF(BT63="","",Underwriting!CF18)</f>
        <v/>
      </c>
      <c r="BU62" s="456" t="str">
        <f>IF(BU63="","",Underwriting!CG18)</f>
        <v/>
      </c>
      <c r="BV62" s="456" t="str">
        <f>IF(BV63="","",Underwriting!CH18)</f>
        <v/>
      </c>
      <c r="BW62" s="456" t="str">
        <f>IF(BW63="","",Underwriting!CI18)</f>
        <v/>
      </c>
      <c r="BX62" s="456" t="str">
        <f>IF(BX63="","",Underwriting!CJ18)</f>
        <v/>
      </c>
      <c r="BY62" s="456" t="str">
        <f>IF(BY63="","",Underwriting!CK18)</f>
        <v/>
      </c>
      <c r="BZ62" s="456" t="str">
        <f>IF(BZ63="","",Underwriting!CL18)</f>
        <v/>
      </c>
      <c r="CA62" s="456" t="str">
        <f>IF(CA63="","",Underwriting!CM18)</f>
        <v/>
      </c>
      <c r="CB62" s="456" t="str">
        <f>IF(CB63="","",Underwriting!CN18)</f>
        <v/>
      </c>
      <c r="CC62" s="456" t="str">
        <f>IF(CC63="","",Underwriting!CO18)</f>
        <v/>
      </c>
      <c r="CD62" s="456" t="str">
        <f>IF(CD63="","",Underwriting!CP18)</f>
        <v/>
      </c>
      <c r="CE62" s="456" t="str">
        <f>IF(CE63="","",Underwriting!CQ18)</f>
        <v/>
      </c>
      <c r="CF62" s="456" t="str">
        <f>IF(CF63="","",Underwriting!CR18)</f>
        <v/>
      </c>
      <c r="CG62" s="456" t="str">
        <f>IF(CG63="","",Underwriting!CS18)</f>
        <v/>
      </c>
      <c r="CH62" s="456" t="str">
        <f>IF(CH63="","",Underwriting!CT18)</f>
        <v/>
      </c>
      <c r="CI62" s="456" t="str">
        <f>IF(CI63="","",Underwriting!CU18)</f>
        <v/>
      </c>
      <c r="CJ62" s="456" t="str">
        <f>IF(CJ63="","",Underwriting!CV18)</f>
        <v/>
      </c>
      <c r="CK62" s="456" t="str">
        <f>IF(CK63="","",Underwriting!CW18)</f>
        <v/>
      </c>
      <c r="CL62" s="456" t="str">
        <f>IF(CL63="","",Underwriting!CX18)</f>
        <v/>
      </c>
      <c r="CM62" s="456" t="str">
        <f>IF(CM63="","",Underwriting!CY18)</f>
        <v/>
      </c>
      <c r="CN62" s="456" t="str">
        <f>IF(CN63="","",Underwriting!CZ18)</f>
        <v/>
      </c>
      <c r="CO62" s="456" t="str">
        <f>IF(CO63="","",Underwriting!DA18)</f>
        <v/>
      </c>
      <c r="CP62" s="456" t="str">
        <f>IF(CP63="","",Underwriting!DB18)</f>
        <v/>
      </c>
      <c r="CQ62" s="456" t="str">
        <f>IF(CQ63="","",Underwriting!DC18)</f>
        <v/>
      </c>
      <c r="CR62" s="456" t="str">
        <f>IF(CR63="","",Underwriting!DD18)</f>
        <v/>
      </c>
      <c r="CS62" s="456" t="str">
        <f>IF(CS63="","",Underwriting!DE18)</f>
        <v/>
      </c>
      <c r="CT62" s="456" t="str">
        <f>IF(CT63="","",Underwriting!DF18)</f>
        <v/>
      </c>
      <c r="CU62" s="456" t="str">
        <f>IF(CU63="","",Underwriting!DG18)</f>
        <v/>
      </c>
      <c r="CV62" s="456" t="str">
        <f>IF(CV63="","",Underwriting!DH18)</f>
        <v/>
      </c>
      <c r="CW62" s="456" t="str">
        <f>IF(CW63="","",Underwriting!DI18)</f>
        <v/>
      </c>
      <c r="CX62" s="456" t="str">
        <f>IF(CX63="","",Underwriting!DJ18)</f>
        <v/>
      </c>
      <c r="CY62" s="456" t="str">
        <f>IF(CY63="","",Underwriting!DK18)</f>
        <v/>
      </c>
      <c r="CZ62" s="456" t="str">
        <f>IF(CZ63="","",Underwriting!DL18)</f>
        <v/>
      </c>
      <c r="DA62" s="456" t="str">
        <f>IF(DA63="","",Underwriting!DM18)</f>
        <v/>
      </c>
      <c r="DB62" s="456" t="str">
        <f>IF(DB63="","",Underwriting!DN18)</f>
        <v/>
      </c>
      <c r="DC62" s="456" t="str">
        <f>IF(DC63="","",Underwriting!DO18)</f>
        <v/>
      </c>
      <c r="DD62" s="456" t="str">
        <f>IF(DD63="","",Underwriting!DP18)</f>
        <v/>
      </c>
      <c r="DE62" s="456" t="str">
        <f>IF(DE63="","",Underwriting!DQ18)</f>
        <v/>
      </c>
      <c r="DF62" s="456" t="str">
        <f>IF(DF63="","",Underwriting!DR18)</f>
        <v/>
      </c>
      <c r="DG62" s="456" t="str">
        <f>IF(DG63="","",Underwriting!DS18)</f>
        <v/>
      </c>
      <c r="DH62" s="456" t="str">
        <f>IF(DH63="","",Underwriting!DT18)</f>
        <v/>
      </c>
      <c r="DI62" s="456" t="str">
        <f>IF(DI63="","",Underwriting!DU18)</f>
        <v/>
      </c>
      <c r="DJ62" s="456" t="str">
        <f>IF(DJ63="","",Underwriting!DV18)</f>
        <v/>
      </c>
      <c r="DK62" s="456" t="str">
        <f>IF(DK63="","",Underwriting!DW18)</f>
        <v/>
      </c>
      <c r="DL62" s="456" t="str">
        <f>IF(DL63="","",Underwriting!DX18)</f>
        <v/>
      </c>
      <c r="DM62" s="456" t="str">
        <f>IF(DM63="","",Underwriting!DY18)</f>
        <v/>
      </c>
      <c r="DN62" s="456" t="str">
        <f>IF(DN63="","",Underwriting!DZ18)</f>
        <v/>
      </c>
      <c r="DO62" s="456" t="str">
        <f>IF(DO63="","",Underwriting!EA18)</f>
        <v/>
      </c>
      <c r="DP62" s="456" t="str">
        <f>IF(DP63="","",Underwriting!EB18)</f>
        <v/>
      </c>
      <c r="DQ62" s="456" t="str">
        <f>IF(DQ63="","",Underwriting!EC18)</f>
        <v/>
      </c>
      <c r="DR62" s="456" t="str">
        <f>IF(DR63="","",Underwriting!ED18)</f>
        <v/>
      </c>
      <c r="DS62" s="456" t="str">
        <f>IF(DS63="","",Underwriting!EE18)</f>
        <v/>
      </c>
      <c r="DT62" s="456" t="str">
        <f>IF(DT63="","",Underwriting!EF18)</f>
        <v/>
      </c>
      <c r="DU62" s="456" t="str">
        <f>IF(DU63="","",Underwriting!EG18)</f>
        <v/>
      </c>
      <c r="DV62" s="456" t="str">
        <f>IF(DV63="","",Underwriting!EH18)</f>
        <v/>
      </c>
      <c r="DW62" s="456" t="str">
        <f>IF(DW63="","",Underwriting!EI18)</f>
        <v/>
      </c>
      <c r="DX62" s="456" t="str">
        <f>IF(DX63="","",Underwriting!EJ18)</f>
        <v/>
      </c>
      <c r="DY62" s="456" t="str">
        <f>IF(DY63="","",Underwriting!EK18)</f>
        <v/>
      </c>
      <c r="DZ62" s="456" t="str">
        <f>IF(DZ63="","",Underwriting!EL18)</f>
        <v/>
      </c>
      <c r="EA62" s="456" t="str">
        <f>IF(EA63="","",Underwriting!EM18)</f>
        <v/>
      </c>
      <c r="EB62" s="456" t="str">
        <f>IF(EB63="","",Underwriting!EN18)</f>
        <v/>
      </c>
      <c r="EC62" s="456" t="str">
        <f>IF(EC63="","",Underwriting!EO18)</f>
        <v/>
      </c>
      <c r="ED62" s="456" t="str">
        <f>IF(ED63="","",Underwriting!EP18)</f>
        <v/>
      </c>
      <c r="EE62" s="456" t="str">
        <f>IF(EE63="","",Underwriting!EQ18)</f>
        <v/>
      </c>
      <c r="EF62" s="456" t="str">
        <f>IF(EF63="","",Underwriting!ER18)</f>
        <v/>
      </c>
      <c r="EG62" s="456" t="str">
        <f>IF(EG63="","",Underwriting!ES18)</f>
        <v/>
      </c>
      <c r="EH62" s="456" t="str">
        <f>IF(EH63="","",Underwriting!ET18)</f>
        <v/>
      </c>
      <c r="EI62" s="456" t="str">
        <f>IF(EI63="","",Underwriting!EU18)</f>
        <v/>
      </c>
    </row>
    <row r="63" spans="2:139" ht="14.25" hidden="1" customHeight="1" outlineLevel="1" x14ac:dyDescent="0.25">
      <c r="F63" s="195"/>
      <c r="G63" s="463">
        <f>+Underwriting!S216</f>
        <v>46053</v>
      </c>
      <c r="H63" s="463">
        <f>+Underwriting!T216</f>
        <v>46081</v>
      </c>
      <c r="I63" s="463">
        <f>+Underwriting!U216</f>
        <v>46112</v>
      </c>
      <c r="J63" s="463">
        <f>+Underwriting!V216</f>
        <v>46142</v>
      </c>
      <c r="K63" s="463">
        <f>+Underwriting!W216</f>
        <v>46173</v>
      </c>
      <c r="L63" s="463">
        <f>+Underwriting!X216</f>
        <v>46203</v>
      </c>
      <c r="M63" s="463">
        <f>+Underwriting!Y216</f>
        <v>46234</v>
      </c>
      <c r="N63" s="463">
        <f>+Underwriting!Z216</f>
        <v>46265</v>
      </c>
      <c r="O63" s="463">
        <f>+Underwriting!AA216</f>
        <v>46295</v>
      </c>
      <c r="P63" s="463">
        <f>+Underwriting!AB216</f>
        <v>46326</v>
      </c>
      <c r="Q63" s="463">
        <f>+Underwriting!AC216</f>
        <v>46356</v>
      </c>
      <c r="R63" s="463">
        <f>+Underwriting!AD216</f>
        <v>46387</v>
      </c>
      <c r="S63" s="463">
        <f>+Underwriting!AE216</f>
        <v>46418</v>
      </c>
      <c r="T63" s="463">
        <f>+Underwriting!AF216</f>
        <v>46446</v>
      </c>
      <c r="U63" s="463">
        <f>+Underwriting!AG216</f>
        <v>46477</v>
      </c>
      <c r="V63" s="463">
        <f>+Underwriting!AH216</f>
        <v>46507</v>
      </c>
      <c r="W63" s="463">
        <f>+Underwriting!AI216</f>
        <v>46538</v>
      </c>
      <c r="X63" s="463">
        <f>+Underwriting!AJ216</f>
        <v>46568</v>
      </c>
      <c r="Y63" s="463">
        <f>+Underwriting!AK216</f>
        <v>46599</v>
      </c>
      <c r="Z63" s="463">
        <f>+Underwriting!AL216</f>
        <v>46630</v>
      </c>
      <c r="AA63" s="463">
        <f>+Underwriting!AM216</f>
        <v>46660</v>
      </c>
      <c r="AB63" s="463">
        <f>+Underwriting!AN216</f>
        <v>46691</v>
      </c>
      <c r="AC63" s="463">
        <f>+Underwriting!AO216</f>
        <v>46721</v>
      </c>
      <c r="AD63" s="463">
        <f>+Underwriting!AP216</f>
        <v>46752</v>
      </c>
      <c r="AE63" s="463">
        <f>+Underwriting!AQ216</f>
        <v>46783</v>
      </c>
      <c r="AF63" s="463">
        <f>+Underwriting!AR216</f>
        <v>46812</v>
      </c>
      <c r="AG63" s="463">
        <f>+Underwriting!AS216</f>
        <v>46843</v>
      </c>
      <c r="AH63" s="463">
        <f>+Underwriting!AT216</f>
        <v>46873</v>
      </c>
      <c r="AI63" s="463">
        <f>+Underwriting!AU216</f>
        <v>46904</v>
      </c>
      <c r="AJ63" s="463">
        <f>+Underwriting!AV216</f>
        <v>46934</v>
      </c>
      <c r="AK63" s="463">
        <f>+Underwriting!AW216</f>
        <v>46965</v>
      </c>
      <c r="AL63" s="463">
        <f>+Underwriting!AX216</f>
        <v>46996</v>
      </c>
      <c r="AM63" s="463">
        <f>+Underwriting!AY216</f>
        <v>47026</v>
      </c>
      <c r="AN63" s="463">
        <f>+Underwriting!AZ216</f>
        <v>47057</v>
      </c>
      <c r="AO63" s="463">
        <f>+Underwriting!BA216</f>
        <v>47087</v>
      </c>
      <c r="AP63" s="463">
        <f>+Underwriting!BB216</f>
        <v>47118</v>
      </c>
      <c r="AQ63" s="463">
        <f>+Underwriting!BC216</f>
        <v>47149</v>
      </c>
      <c r="AR63" s="463" t="str">
        <f>+Underwriting!BD216</f>
        <v/>
      </c>
      <c r="AS63" s="463" t="str">
        <f>+Underwriting!BE216</f>
        <v/>
      </c>
      <c r="AT63" s="463" t="str">
        <f>+Underwriting!BF216</f>
        <v/>
      </c>
      <c r="AU63" s="463" t="str">
        <f>+Underwriting!BG216</f>
        <v/>
      </c>
      <c r="AV63" s="463" t="str">
        <f>+Underwriting!BH216</f>
        <v/>
      </c>
      <c r="AW63" s="463" t="str">
        <f>+Underwriting!BI216</f>
        <v/>
      </c>
      <c r="AX63" s="463" t="str">
        <f>+Underwriting!BJ216</f>
        <v/>
      </c>
      <c r="AY63" s="463" t="str">
        <f>+Underwriting!BK216</f>
        <v/>
      </c>
      <c r="AZ63" s="463" t="str">
        <f>+Underwriting!BL216</f>
        <v/>
      </c>
      <c r="BA63" s="463" t="str">
        <f>+Underwriting!BM216</f>
        <v/>
      </c>
      <c r="BB63" s="463" t="str">
        <f>+Underwriting!BN216</f>
        <v/>
      </c>
      <c r="BC63" s="463" t="str">
        <f>+Underwriting!BO216</f>
        <v/>
      </c>
      <c r="BD63" s="463" t="str">
        <f>+Underwriting!BP216</f>
        <v/>
      </c>
      <c r="BE63" s="463" t="str">
        <f>+Underwriting!BQ216</f>
        <v/>
      </c>
      <c r="BF63" s="463" t="str">
        <f>+Underwriting!BR216</f>
        <v/>
      </c>
      <c r="BG63" s="463" t="str">
        <f>+Underwriting!BS216</f>
        <v/>
      </c>
      <c r="BH63" s="463" t="str">
        <f>+Underwriting!BT216</f>
        <v/>
      </c>
      <c r="BI63" s="463" t="str">
        <f>+Underwriting!BU216</f>
        <v/>
      </c>
      <c r="BJ63" s="463" t="str">
        <f>+Underwriting!BV216</f>
        <v/>
      </c>
      <c r="BK63" s="463" t="str">
        <f>+Underwriting!BW216</f>
        <v/>
      </c>
      <c r="BL63" s="463" t="str">
        <f>+Underwriting!BX216</f>
        <v/>
      </c>
      <c r="BM63" s="463" t="str">
        <f>+Underwriting!BY216</f>
        <v/>
      </c>
      <c r="BN63" s="463" t="str">
        <f>+Underwriting!BZ216</f>
        <v/>
      </c>
      <c r="BO63" s="463" t="str">
        <f>+Underwriting!CA216</f>
        <v/>
      </c>
      <c r="BP63" s="463" t="str">
        <f>+Underwriting!CB216</f>
        <v/>
      </c>
      <c r="BQ63" s="463" t="str">
        <f>+Underwriting!CC216</f>
        <v/>
      </c>
      <c r="BR63" s="463" t="str">
        <f>+Underwriting!CD216</f>
        <v/>
      </c>
      <c r="BS63" s="463" t="str">
        <f>+Underwriting!CE216</f>
        <v/>
      </c>
      <c r="BT63" s="463" t="str">
        <f>+Underwriting!CF216</f>
        <v/>
      </c>
      <c r="BU63" s="463" t="str">
        <f>+Underwriting!CG216</f>
        <v/>
      </c>
      <c r="BV63" s="463" t="str">
        <f>+Underwriting!CH216</f>
        <v/>
      </c>
      <c r="BW63" s="463" t="str">
        <f>+Underwriting!CI216</f>
        <v/>
      </c>
      <c r="BX63" s="463" t="str">
        <f>+Underwriting!CJ216</f>
        <v/>
      </c>
      <c r="BY63" s="463" t="str">
        <f>+Underwriting!CK216</f>
        <v/>
      </c>
      <c r="BZ63" s="463" t="str">
        <f>+Underwriting!CL216</f>
        <v/>
      </c>
      <c r="CA63" s="463" t="str">
        <f>+Underwriting!CM216</f>
        <v/>
      </c>
      <c r="CB63" s="463" t="str">
        <f>+Underwriting!CN216</f>
        <v/>
      </c>
      <c r="CC63" s="463" t="str">
        <f>+Underwriting!CO216</f>
        <v/>
      </c>
      <c r="CD63" s="463" t="str">
        <f>+Underwriting!CP216</f>
        <v/>
      </c>
      <c r="CE63" s="463" t="str">
        <f>+Underwriting!CQ216</f>
        <v/>
      </c>
      <c r="CF63" s="463" t="str">
        <f>+Underwriting!CR216</f>
        <v/>
      </c>
      <c r="CG63" s="463" t="str">
        <f>+Underwriting!CS216</f>
        <v/>
      </c>
      <c r="CH63" s="463" t="str">
        <f>+Underwriting!CT216</f>
        <v/>
      </c>
      <c r="CI63" s="463" t="str">
        <f>+Underwriting!CU216</f>
        <v/>
      </c>
      <c r="CJ63" s="463" t="str">
        <f>+Underwriting!CV216</f>
        <v/>
      </c>
      <c r="CK63" s="463" t="str">
        <f>+Underwriting!CW216</f>
        <v/>
      </c>
      <c r="CL63" s="463" t="str">
        <f>+Underwriting!CX216</f>
        <v/>
      </c>
      <c r="CM63" s="463" t="str">
        <f>+Underwriting!CY216</f>
        <v/>
      </c>
      <c r="CN63" s="463" t="str">
        <f>+Underwriting!CZ216</f>
        <v/>
      </c>
      <c r="CO63" s="463" t="str">
        <f>+Underwriting!DA216</f>
        <v/>
      </c>
      <c r="CP63" s="463" t="str">
        <f>+Underwriting!DB216</f>
        <v/>
      </c>
      <c r="CQ63" s="463" t="str">
        <f>+Underwriting!DC216</f>
        <v/>
      </c>
      <c r="CR63" s="463" t="str">
        <f>+Underwriting!DD216</f>
        <v/>
      </c>
      <c r="CS63" s="463" t="str">
        <f>+Underwriting!DE216</f>
        <v/>
      </c>
      <c r="CT63" s="463" t="str">
        <f>+Underwriting!DF216</f>
        <v/>
      </c>
      <c r="CU63" s="463" t="str">
        <f>+Underwriting!DG216</f>
        <v/>
      </c>
      <c r="CV63" s="463" t="str">
        <f>+Underwriting!DH216</f>
        <v/>
      </c>
      <c r="CW63" s="463" t="str">
        <f>+Underwriting!DI216</f>
        <v/>
      </c>
      <c r="CX63" s="463" t="str">
        <f>+Underwriting!DJ216</f>
        <v/>
      </c>
      <c r="CY63" s="463" t="str">
        <f>+Underwriting!DK216</f>
        <v/>
      </c>
      <c r="CZ63" s="463" t="str">
        <f>+Underwriting!DL216</f>
        <v/>
      </c>
      <c r="DA63" s="463" t="str">
        <f>+Underwriting!DM216</f>
        <v/>
      </c>
      <c r="DB63" s="463" t="str">
        <f>+Underwriting!DN216</f>
        <v/>
      </c>
      <c r="DC63" s="463" t="str">
        <f>+Underwriting!DO216</f>
        <v/>
      </c>
      <c r="DD63" s="463" t="str">
        <f>+Underwriting!DP216</f>
        <v/>
      </c>
      <c r="DE63" s="463" t="str">
        <f>+Underwriting!DQ216</f>
        <v/>
      </c>
      <c r="DF63" s="463" t="str">
        <f>+Underwriting!DR216</f>
        <v/>
      </c>
      <c r="DG63" s="463" t="str">
        <f>+Underwriting!DS216</f>
        <v/>
      </c>
      <c r="DH63" s="463" t="str">
        <f>+Underwriting!DT216</f>
        <v/>
      </c>
      <c r="DI63" s="463" t="str">
        <f>+Underwriting!DU216</f>
        <v/>
      </c>
      <c r="DJ63" s="463" t="str">
        <f>+Underwriting!DV216</f>
        <v/>
      </c>
      <c r="DK63" s="463" t="str">
        <f>+Underwriting!DW216</f>
        <v/>
      </c>
      <c r="DL63" s="463" t="str">
        <f>+Underwriting!DX216</f>
        <v/>
      </c>
      <c r="DM63" s="463" t="str">
        <f>+Underwriting!DY216</f>
        <v/>
      </c>
      <c r="DN63" s="463" t="str">
        <f>+Underwriting!DZ216</f>
        <v/>
      </c>
      <c r="DO63" s="463" t="str">
        <f>+Underwriting!EA216</f>
        <v/>
      </c>
      <c r="DP63" s="463" t="str">
        <f>+Underwriting!EB216</f>
        <v/>
      </c>
      <c r="DQ63" s="463" t="str">
        <f>+Underwriting!EC216</f>
        <v/>
      </c>
      <c r="DR63" s="463" t="str">
        <f>+Underwriting!ED216</f>
        <v/>
      </c>
      <c r="DS63" s="463" t="str">
        <f>+Underwriting!EE216</f>
        <v/>
      </c>
      <c r="DT63" s="463" t="str">
        <f>+Underwriting!EF216</f>
        <v/>
      </c>
      <c r="DU63" s="463" t="str">
        <f>+Underwriting!EG216</f>
        <v/>
      </c>
      <c r="DV63" s="463" t="str">
        <f>+Underwriting!EH216</f>
        <v/>
      </c>
      <c r="DW63" s="463" t="str">
        <f>+Underwriting!EI216</f>
        <v/>
      </c>
      <c r="DX63" s="463" t="str">
        <f>+Underwriting!EJ216</f>
        <v/>
      </c>
      <c r="DY63" s="463" t="str">
        <f>+Underwriting!EK216</f>
        <v/>
      </c>
      <c r="DZ63" s="463" t="str">
        <f>+Underwriting!EL216</f>
        <v/>
      </c>
      <c r="EA63" s="463" t="str">
        <f>+Underwriting!EM216</f>
        <v/>
      </c>
      <c r="EB63" s="463" t="str">
        <f>+Underwriting!EN216</f>
        <v/>
      </c>
      <c r="EC63" s="463" t="str">
        <f>+Underwriting!EO216</f>
        <v/>
      </c>
      <c r="ED63" s="463" t="str">
        <f>+Underwriting!EP216</f>
        <v/>
      </c>
      <c r="EE63" s="463" t="str">
        <f>+Underwriting!EQ216</f>
        <v/>
      </c>
      <c r="EF63" s="463" t="str">
        <f>+Underwriting!ER216</f>
        <v/>
      </c>
      <c r="EG63" s="463" t="str">
        <f>+Underwriting!ES216</f>
        <v/>
      </c>
      <c r="EH63" s="463" t="str">
        <f>+Underwriting!ET216</f>
        <v/>
      </c>
      <c r="EI63" s="463" t="str">
        <f>+Underwriting!EU216</f>
        <v/>
      </c>
    </row>
    <row r="64" spans="2:139" ht="14.25" hidden="1" customHeight="1" outlineLevel="1" x14ac:dyDescent="0.25">
      <c r="B64" s="3" t="s">
        <v>431</v>
      </c>
      <c r="C64" s="3"/>
      <c r="D64" s="3"/>
      <c r="E64" s="3"/>
      <c r="F64" s="3"/>
      <c r="G64" s="457">
        <f>Underwriting!S215</f>
        <v>0</v>
      </c>
      <c r="H64" s="457">
        <f>Underwriting!T215</f>
        <v>1</v>
      </c>
      <c r="I64" s="457">
        <f>Underwriting!U215</f>
        <v>2</v>
      </c>
      <c r="J64" s="457">
        <f>Underwriting!V215</f>
        <v>3</v>
      </c>
      <c r="K64" s="457">
        <f>Underwriting!W215</f>
        <v>4</v>
      </c>
      <c r="L64" s="457">
        <f>Underwriting!X215</f>
        <v>5</v>
      </c>
      <c r="M64" s="457">
        <f>Underwriting!Y215</f>
        <v>6</v>
      </c>
      <c r="N64" s="457">
        <f>Underwriting!Z215</f>
        <v>7</v>
      </c>
      <c r="O64" s="457">
        <f>Underwriting!AA215</f>
        <v>8</v>
      </c>
      <c r="P64" s="457">
        <f>Underwriting!AB215</f>
        <v>9</v>
      </c>
      <c r="Q64" s="457">
        <f>Underwriting!AC215</f>
        <v>10</v>
      </c>
      <c r="R64" s="457">
        <f>Underwriting!AD215</f>
        <v>11</v>
      </c>
      <c r="S64" s="457">
        <f>Underwriting!AE215</f>
        <v>12</v>
      </c>
      <c r="T64" s="457">
        <f>Underwriting!AF215</f>
        <v>13</v>
      </c>
      <c r="U64" s="457">
        <f>Underwriting!AG215</f>
        <v>14</v>
      </c>
      <c r="V64" s="457">
        <f>Underwriting!AH215</f>
        <v>15</v>
      </c>
      <c r="W64" s="457">
        <f>Underwriting!AI215</f>
        <v>16</v>
      </c>
      <c r="X64" s="457">
        <f>Underwriting!AJ215</f>
        <v>17</v>
      </c>
      <c r="Y64" s="457">
        <f>Underwriting!AK215</f>
        <v>18</v>
      </c>
      <c r="Z64" s="457">
        <f>Underwriting!AL215</f>
        <v>19</v>
      </c>
      <c r="AA64" s="457">
        <f>Underwriting!AM215</f>
        <v>20</v>
      </c>
      <c r="AB64" s="457">
        <f>Underwriting!AN215</f>
        <v>21</v>
      </c>
      <c r="AC64" s="457">
        <f>Underwriting!AO215</f>
        <v>22</v>
      </c>
      <c r="AD64" s="457">
        <f>Underwriting!AP215</f>
        <v>23</v>
      </c>
      <c r="AE64" s="457">
        <f>Underwriting!AQ215</f>
        <v>24</v>
      </c>
      <c r="AF64" s="457">
        <f>Underwriting!AR215</f>
        <v>25</v>
      </c>
      <c r="AG64" s="457">
        <f>Underwriting!AS215</f>
        <v>26</v>
      </c>
      <c r="AH64" s="457">
        <f>Underwriting!AT215</f>
        <v>27</v>
      </c>
      <c r="AI64" s="457">
        <f>Underwriting!AU215</f>
        <v>28</v>
      </c>
      <c r="AJ64" s="457">
        <f>Underwriting!AV215</f>
        <v>29</v>
      </c>
      <c r="AK64" s="457">
        <f>Underwriting!AW215</f>
        <v>30</v>
      </c>
      <c r="AL64" s="457">
        <f>Underwriting!AX215</f>
        <v>31</v>
      </c>
      <c r="AM64" s="457">
        <f>Underwriting!AY215</f>
        <v>32</v>
      </c>
      <c r="AN64" s="457">
        <f>Underwriting!AZ215</f>
        <v>33</v>
      </c>
      <c r="AO64" s="457">
        <f>Underwriting!BA215</f>
        <v>34</v>
      </c>
      <c r="AP64" s="457">
        <f>Underwriting!BB215</f>
        <v>35</v>
      </c>
      <c r="AQ64" s="457">
        <f>Underwriting!BC215</f>
        <v>36</v>
      </c>
      <c r="AR64" s="457" t="str">
        <f>Underwriting!BD215</f>
        <v/>
      </c>
      <c r="AS64" s="457" t="str">
        <f>Underwriting!BE215</f>
        <v/>
      </c>
      <c r="AT64" s="457" t="str">
        <f>Underwriting!BF215</f>
        <v/>
      </c>
      <c r="AU64" s="457" t="str">
        <f>Underwriting!BG215</f>
        <v/>
      </c>
      <c r="AV64" s="457" t="str">
        <f>Underwriting!BH215</f>
        <v/>
      </c>
      <c r="AW64" s="457" t="str">
        <f>Underwriting!BI215</f>
        <v/>
      </c>
      <c r="AX64" s="457" t="str">
        <f>Underwriting!BJ215</f>
        <v/>
      </c>
      <c r="AY64" s="457" t="str">
        <f>Underwriting!BK215</f>
        <v/>
      </c>
      <c r="AZ64" s="457" t="str">
        <f>Underwriting!BL215</f>
        <v/>
      </c>
      <c r="BA64" s="457" t="str">
        <f>Underwriting!BM215</f>
        <v/>
      </c>
      <c r="BB64" s="457" t="str">
        <f>Underwriting!BN215</f>
        <v/>
      </c>
      <c r="BC64" s="457" t="str">
        <f>Underwriting!BO215</f>
        <v/>
      </c>
      <c r="BD64" s="457" t="str">
        <f>Underwriting!BP215</f>
        <v/>
      </c>
      <c r="BE64" s="457" t="str">
        <f>Underwriting!BQ215</f>
        <v/>
      </c>
      <c r="BF64" s="457" t="str">
        <f>Underwriting!BR215</f>
        <v/>
      </c>
      <c r="BG64" s="457" t="str">
        <f>Underwriting!BS215</f>
        <v/>
      </c>
      <c r="BH64" s="457" t="str">
        <f>Underwriting!BT215</f>
        <v/>
      </c>
      <c r="BI64" s="457" t="str">
        <f>Underwriting!BU215</f>
        <v/>
      </c>
      <c r="BJ64" s="457" t="str">
        <f>Underwriting!BV215</f>
        <v/>
      </c>
      <c r="BK64" s="457" t="str">
        <f>Underwriting!BW215</f>
        <v/>
      </c>
      <c r="BL64" s="457" t="str">
        <f>Underwriting!BX215</f>
        <v/>
      </c>
      <c r="BM64" s="457" t="str">
        <f>Underwriting!BY215</f>
        <v/>
      </c>
      <c r="BN64" s="457" t="str">
        <f>Underwriting!BZ215</f>
        <v/>
      </c>
      <c r="BO64" s="457" t="str">
        <f>Underwriting!CA215</f>
        <v/>
      </c>
      <c r="BP64" s="457" t="str">
        <f>Underwriting!CB215</f>
        <v/>
      </c>
      <c r="BQ64" s="457" t="str">
        <f>Underwriting!CC215</f>
        <v/>
      </c>
      <c r="BR64" s="457" t="str">
        <f>Underwriting!CD215</f>
        <v/>
      </c>
      <c r="BS64" s="457" t="str">
        <f>Underwriting!CE215</f>
        <v/>
      </c>
      <c r="BT64" s="457" t="str">
        <f>Underwriting!CF215</f>
        <v/>
      </c>
      <c r="BU64" s="457" t="str">
        <f>Underwriting!CG215</f>
        <v/>
      </c>
      <c r="BV64" s="457" t="str">
        <f>Underwriting!CH215</f>
        <v/>
      </c>
      <c r="BW64" s="457" t="str">
        <f>Underwriting!CI215</f>
        <v/>
      </c>
      <c r="BX64" s="457" t="str">
        <f>Underwriting!CJ215</f>
        <v/>
      </c>
      <c r="BY64" s="457" t="str">
        <f>Underwriting!CK215</f>
        <v/>
      </c>
      <c r="BZ64" s="457" t="str">
        <f>Underwriting!CL215</f>
        <v/>
      </c>
      <c r="CA64" s="457" t="str">
        <f>Underwriting!CM215</f>
        <v/>
      </c>
      <c r="CB64" s="457" t="str">
        <f>Underwriting!CN215</f>
        <v/>
      </c>
      <c r="CC64" s="457" t="str">
        <f>Underwriting!CO215</f>
        <v/>
      </c>
      <c r="CD64" s="457" t="str">
        <f>Underwriting!CP215</f>
        <v/>
      </c>
      <c r="CE64" s="457" t="str">
        <f>Underwriting!CQ215</f>
        <v/>
      </c>
      <c r="CF64" s="457" t="str">
        <f>Underwriting!CR215</f>
        <v/>
      </c>
      <c r="CG64" s="457" t="str">
        <f>Underwriting!CS215</f>
        <v/>
      </c>
      <c r="CH64" s="457" t="str">
        <f>Underwriting!CT215</f>
        <v/>
      </c>
      <c r="CI64" s="457" t="str">
        <f>Underwriting!CU215</f>
        <v/>
      </c>
      <c r="CJ64" s="457" t="str">
        <f>Underwriting!CV215</f>
        <v/>
      </c>
      <c r="CK64" s="457" t="str">
        <f>Underwriting!CW215</f>
        <v/>
      </c>
      <c r="CL64" s="457" t="str">
        <f>Underwriting!CX215</f>
        <v/>
      </c>
      <c r="CM64" s="457" t="str">
        <f>Underwriting!CY215</f>
        <v/>
      </c>
      <c r="CN64" s="457" t="str">
        <f>Underwriting!CZ215</f>
        <v/>
      </c>
      <c r="CO64" s="457" t="str">
        <f>Underwriting!DA215</f>
        <v/>
      </c>
      <c r="CP64" s="457" t="str">
        <f>Underwriting!DB215</f>
        <v/>
      </c>
      <c r="CQ64" s="457" t="str">
        <f>Underwriting!DC215</f>
        <v/>
      </c>
      <c r="CR64" s="457" t="str">
        <f>Underwriting!DD215</f>
        <v/>
      </c>
      <c r="CS64" s="457" t="str">
        <f>Underwriting!DE215</f>
        <v/>
      </c>
      <c r="CT64" s="457" t="str">
        <f>Underwriting!DF215</f>
        <v/>
      </c>
      <c r="CU64" s="457" t="str">
        <f>Underwriting!DG215</f>
        <v/>
      </c>
      <c r="CV64" s="457" t="str">
        <f>Underwriting!DH215</f>
        <v/>
      </c>
      <c r="CW64" s="457" t="str">
        <f>Underwriting!DI215</f>
        <v/>
      </c>
      <c r="CX64" s="457" t="str">
        <f>Underwriting!DJ215</f>
        <v/>
      </c>
      <c r="CY64" s="457" t="str">
        <f>Underwriting!DK215</f>
        <v/>
      </c>
      <c r="CZ64" s="457" t="str">
        <f>Underwriting!DL215</f>
        <v/>
      </c>
      <c r="DA64" s="457" t="str">
        <f>Underwriting!DM215</f>
        <v/>
      </c>
      <c r="DB64" s="457" t="str">
        <f>Underwriting!DN215</f>
        <v/>
      </c>
      <c r="DC64" s="457" t="str">
        <f>Underwriting!DO215</f>
        <v/>
      </c>
      <c r="DD64" s="457" t="str">
        <f>Underwriting!DP215</f>
        <v/>
      </c>
      <c r="DE64" s="457" t="str">
        <f>Underwriting!DQ215</f>
        <v/>
      </c>
      <c r="DF64" s="457" t="str">
        <f>Underwriting!DR215</f>
        <v/>
      </c>
      <c r="DG64" s="457" t="str">
        <f>Underwriting!DS215</f>
        <v/>
      </c>
      <c r="DH64" s="457" t="str">
        <f>Underwriting!DT215</f>
        <v/>
      </c>
      <c r="DI64" s="457" t="str">
        <f>Underwriting!DU215</f>
        <v/>
      </c>
      <c r="DJ64" s="457" t="str">
        <f>Underwriting!DV215</f>
        <v/>
      </c>
      <c r="DK64" s="457" t="str">
        <f>Underwriting!DW215</f>
        <v/>
      </c>
      <c r="DL64" s="457" t="str">
        <f>Underwriting!DX215</f>
        <v/>
      </c>
      <c r="DM64" s="457" t="str">
        <f>Underwriting!DY215</f>
        <v/>
      </c>
      <c r="DN64" s="457" t="str">
        <f>Underwriting!DZ215</f>
        <v/>
      </c>
      <c r="DO64" s="457" t="str">
        <f>Underwriting!EA215</f>
        <v/>
      </c>
      <c r="DP64" s="457" t="str">
        <f>Underwriting!EB215</f>
        <v/>
      </c>
      <c r="DQ64" s="457" t="str">
        <f>Underwriting!EC215</f>
        <v/>
      </c>
      <c r="DR64" s="457" t="str">
        <f>Underwriting!ED215</f>
        <v/>
      </c>
      <c r="DS64" s="457" t="str">
        <f>Underwriting!EE215</f>
        <v/>
      </c>
      <c r="DT64" s="457" t="str">
        <f>Underwriting!EF215</f>
        <v/>
      </c>
      <c r="DU64" s="457" t="str">
        <f>Underwriting!EG215</f>
        <v/>
      </c>
      <c r="DV64" s="457" t="str">
        <f>Underwriting!EH215</f>
        <v/>
      </c>
      <c r="DW64" s="457" t="str">
        <f>Underwriting!EI215</f>
        <v/>
      </c>
      <c r="DX64" s="457" t="str">
        <f>Underwriting!EJ215</f>
        <v/>
      </c>
      <c r="DY64" s="457" t="str">
        <f>Underwriting!EK215</f>
        <v/>
      </c>
      <c r="DZ64" s="457" t="str">
        <f>Underwriting!EL215</f>
        <v/>
      </c>
      <c r="EA64" s="457" t="str">
        <f>Underwriting!EM215</f>
        <v/>
      </c>
      <c r="EB64" s="457" t="str">
        <f>Underwriting!EN215</f>
        <v/>
      </c>
      <c r="EC64" s="457" t="str">
        <f>Underwriting!EO215</f>
        <v/>
      </c>
      <c r="ED64" s="457" t="str">
        <f>Underwriting!EP215</f>
        <v/>
      </c>
      <c r="EE64" s="457" t="str">
        <f>Underwriting!EQ215</f>
        <v/>
      </c>
      <c r="EF64" s="457" t="str">
        <f>Underwriting!ER215</f>
        <v/>
      </c>
      <c r="EG64" s="457" t="str">
        <f>Underwriting!ES215</f>
        <v/>
      </c>
      <c r="EH64" s="457" t="str">
        <f>Underwriting!ET215</f>
        <v/>
      </c>
      <c r="EI64" s="457" t="str">
        <f>Underwriting!EU215</f>
        <v/>
      </c>
    </row>
    <row r="65" spans="2:139" ht="14.25" hidden="1" customHeight="1" outlineLevel="1" x14ac:dyDescent="0.25">
      <c r="B65" s="4" t="s">
        <v>319</v>
      </c>
      <c r="C65" s="3"/>
      <c r="D65" s="3"/>
      <c r="E65" s="3"/>
      <c r="F65" s="3"/>
      <c r="G65" s="458">
        <f>+Underwriting!S28</f>
        <v>62812500</v>
      </c>
      <c r="H65" s="458">
        <f>+Underwriting!T28</f>
        <v>0</v>
      </c>
      <c r="I65" s="458">
        <f>+Underwriting!U28</f>
        <v>0</v>
      </c>
      <c r="J65" s="458">
        <f>+Underwriting!V28</f>
        <v>0</v>
      </c>
      <c r="K65" s="458">
        <f>+Underwriting!W28</f>
        <v>0</v>
      </c>
      <c r="L65" s="458">
        <f>+Underwriting!X28</f>
        <v>0</v>
      </c>
      <c r="M65" s="458">
        <f>+Underwriting!Y28</f>
        <v>0</v>
      </c>
      <c r="N65" s="458">
        <f>+Underwriting!Z28</f>
        <v>0</v>
      </c>
      <c r="O65" s="458">
        <f>+Underwriting!AA28</f>
        <v>0</v>
      </c>
      <c r="P65" s="458">
        <f>+Underwriting!AB28</f>
        <v>0</v>
      </c>
      <c r="Q65" s="458">
        <f>+Underwriting!AC28</f>
        <v>0</v>
      </c>
      <c r="R65" s="458">
        <f>+Underwriting!AD28</f>
        <v>0</v>
      </c>
      <c r="S65" s="458">
        <f>+Underwriting!AE28</f>
        <v>0</v>
      </c>
      <c r="T65" s="458">
        <f>+Underwriting!AF28</f>
        <v>0</v>
      </c>
      <c r="U65" s="458">
        <f>+Underwriting!AG28</f>
        <v>0</v>
      </c>
      <c r="V65" s="458">
        <f>+Underwriting!AH28</f>
        <v>0</v>
      </c>
      <c r="W65" s="458">
        <f>+Underwriting!AI28</f>
        <v>0</v>
      </c>
      <c r="X65" s="458">
        <f>+Underwriting!AJ28</f>
        <v>0</v>
      </c>
      <c r="Y65" s="458">
        <f>+Underwriting!AK28</f>
        <v>0</v>
      </c>
      <c r="Z65" s="458">
        <f>+Underwriting!AL28</f>
        <v>0</v>
      </c>
      <c r="AA65" s="458">
        <f>+Underwriting!AM28</f>
        <v>0</v>
      </c>
      <c r="AB65" s="458">
        <f>+Underwriting!AN28</f>
        <v>0</v>
      </c>
      <c r="AC65" s="458">
        <f>+Underwriting!AO28</f>
        <v>0</v>
      </c>
      <c r="AD65" s="458">
        <f>+Underwriting!AP28</f>
        <v>0</v>
      </c>
      <c r="AE65" s="458">
        <f>+Underwriting!AQ28</f>
        <v>0</v>
      </c>
      <c r="AF65" s="458">
        <f>+Underwriting!AR28</f>
        <v>0</v>
      </c>
      <c r="AG65" s="458">
        <f>+Underwriting!AS28</f>
        <v>0</v>
      </c>
      <c r="AH65" s="458">
        <f>+Underwriting!AT28</f>
        <v>0</v>
      </c>
      <c r="AI65" s="458">
        <f>+Underwriting!AU28</f>
        <v>0</v>
      </c>
      <c r="AJ65" s="458">
        <f>+Underwriting!AV28</f>
        <v>0</v>
      </c>
      <c r="AK65" s="458">
        <f>+Underwriting!AW28</f>
        <v>0</v>
      </c>
      <c r="AL65" s="458">
        <f>+Underwriting!AX28</f>
        <v>0</v>
      </c>
      <c r="AM65" s="458">
        <f>+Underwriting!AY28</f>
        <v>0</v>
      </c>
      <c r="AN65" s="458">
        <f>+Underwriting!AZ28</f>
        <v>0</v>
      </c>
      <c r="AO65" s="458">
        <f>+Underwriting!BA28</f>
        <v>0</v>
      </c>
      <c r="AP65" s="458">
        <f>+Underwriting!BB28</f>
        <v>0</v>
      </c>
      <c r="AQ65" s="458">
        <f>+Underwriting!BC28</f>
        <v>0</v>
      </c>
      <c r="AR65" s="458">
        <f>+Underwriting!BD28</f>
        <v>0</v>
      </c>
      <c r="AS65" s="458">
        <f>+Underwriting!BE28</f>
        <v>0</v>
      </c>
      <c r="AT65" s="458">
        <f>+Underwriting!BF28</f>
        <v>0</v>
      </c>
      <c r="AU65" s="458">
        <f>+Underwriting!BG28</f>
        <v>0</v>
      </c>
      <c r="AV65" s="458">
        <f>+Underwriting!BH28</f>
        <v>0</v>
      </c>
      <c r="AW65" s="458">
        <f>+Underwriting!BI28</f>
        <v>0</v>
      </c>
      <c r="AX65" s="458">
        <f>+Underwriting!BJ28</f>
        <v>0</v>
      </c>
      <c r="AY65" s="458">
        <f>+Underwriting!BK28</f>
        <v>0</v>
      </c>
      <c r="AZ65" s="458">
        <f>+Underwriting!BL28</f>
        <v>0</v>
      </c>
      <c r="BA65" s="458">
        <f>+Underwriting!BM28</f>
        <v>0</v>
      </c>
      <c r="BB65" s="458">
        <f>+Underwriting!BN28</f>
        <v>0</v>
      </c>
      <c r="BC65" s="458">
        <f>+Underwriting!BO28</f>
        <v>0</v>
      </c>
      <c r="BD65" s="458">
        <f>+Underwriting!BP28</f>
        <v>0</v>
      </c>
      <c r="BE65" s="458">
        <f>+Underwriting!BQ28</f>
        <v>0</v>
      </c>
      <c r="BF65" s="458">
        <f>+Underwriting!BR28</f>
        <v>0</v>
      </c>
      <c r="BG65" s="458">
        <f>+Underwriting!BS28</f>
        <v>0</v>
      </c>
      <c r="BH65" s="458">
        <f>+Underwriting!BT28</f>
        <v>0</v>
      </c>
      <c r="BI65" s="458">
        <f>+Underwriting!BU28</f>
        <v>0</v>
      </c>
      <c r="BJ65" s="458">
        <f>+Underwriting!BV28</f>
        <v>0</v>
      </c>
      <c r="BK65" s="458">
        <f>+Underwriting!BW28</f>
        <v>0</v>
      </c>
      <c r="BL65" s="458">
        <f>+Underwriting!BX28</f>
        <v>0</v>
      </c>
      <c r="BM65" s="458">
        <f>+Underwriting!BY28</f>
        <v>0</v>
      </c>
      <c r="BN65" s="458">
        <f>+Underwriting!BZ28</f>
        <v>0</v>
      </c>
      <c r="BO65" s="458">
        <f>+Underwriting!CA28</f>
        <v>0</v>
      </c>
      <c r="BP65" s="458">
        <f>+Underwriting!CB28</f>
        <v>0</v>
      </c>
      <c r="BQ65" s="458">
        <f>+Underwriting!CC28</f>
        <v>0</v>
      </c>
      <c r="BR65" s="458">
        <f>+Underwriting!CD28</f>
        <v>0</v>
      </c>
      <c r="BS65" s="458">
        <f>+Underwriting!CE28</f>
        <v>0</v>
      </c>
      <c r="BT65" s="458">
        <f>+Underwriting!CF28</f>
        <v>0</v>
      </c>
      <c r="BU65" s="458">
        <f>+Underwriting!CG28</f>
        <v>0</v>
      </c>
      <c r="BV65" s="458">
        <f>+Underwriting!CH28</f>
        <v>0</v>
      </c>
      <c r="BW65" s="458">
        <f>+Underwriting!CI28</f>
        <v>0</v>
      </c>
      <c r="BX65" s="458">
        <f>+Underwriting!CJ28</f>
        <v>0</v>
      </c>
      <c r="BY65" s="458">
        <f>+Underwriting!CK28</f>
        <v>0</v>
      </c>
      <c r="BZ65" s="458">
        <f>+Underwriting!CL28</f>
        <v>0</v>
      </c>
      <c r="CA65" s="458">
        <f>+Underwriting!CM28</f>
        <v>0</v>
      </c>
      <c r="CB65" s="458">
        <f>+Underwriting!CN28</f>
        <v>0</v>
      </c>
      <c r="CC65" s="458">
        <f>+Underwriting!CO28</f>
        <v>0</v>
      </c>
      <c r="CD65" s="458">
        <f>+Underwriting!CP28</f>
        <v>0</v>
      </c>
      <c r="CE65" s="458">
        <f>+Underwriting!CQ28</f>
        <v>0</v>
      </c>
      <c r="CF65" s="458">
        <f>+Underwriting!CR28</f>
        <v>0</v>
      </c>
      <c r="CG65" s="458">
        <f>+Underwriting!CS28</f>
        <v>0</v>
      </c>
      <c r="CH65" s="458">
        <f>+Underwriting!CT28</f>
        <v>0</v>
      </c>
      <c r="CI65" s="458">
        <f>+Underwriting!CU28</f>
        <v>0</v>
      </c>
      <c r="CJ65" s="458">
        <f>+Underwriting!CV28</f>
        <v>0</v>
      </c>
      <c r="CK65" s="458">
        <f>+Underwriting!CW28</f>
        <v>0</v>
      </c>
      <c r="CL65" s="458">
        <f>+Underwriting!CX28</f>
        <v>0</v>
      </c>
      <c r="CM65" s="458">
        <f>+Underwriting!CY28</f>
        <v>0</v>
      </c>
      <c r="CN65" s="458">
        <f>+Underwriting!CZ28</f>
        <v>0</v>
      </c>
      <c r="CO65" s="458">
        <f>+Underwriting!DA28</f>
        <v>0</v>
      </c>
      <c r="CP65" s="458">
        <f>+Underwriting!DB28</f>
        <v>0</v>
      </c>
      <c r="CQ65" s="458">
        <f>+Underwriting!DC28</f>
        <v>0</v>
      </c>
      <c r="CR65" s="458">
        <f>+Underwriting!DD28</f>
        <v>0</v>
      </c>
      <c r="CS65" s="458">
        <f>+Underwriting!DE28</f>
        <v>0</v>
      </c>
      <c r="CT65" s="458">
        <f>+Underwriting!DF28</f>
        <v>0</v>
      </c>
      <c r="CU65" s="458">
        <f>+Underwriting!DG28</f>
        <v>0</v>
      </c>
      <c r="CV65" s="458">
        <f>+Underwriting!DH28</f>
        <v>0</v>
      </c>
      <c r="CW65" s="458">
        <f>+Underwriting!DI28</f>
        <v>0</v>
      </c>
      <c r="CX65" s="458">
        <f>+Underwriting!DJ28</f>
        <v>0</v>
      </c>
      <c r="CY65" s="458">
        <f>+Underwriting!DK28</f>
        <v>0</v>
      </c>
      <c r="CZ65" s="458">
        <f>+Underwriting!DL28</f>
        <v>0</v>
      </c>
      <c r="DA65" s="458">
        <f>+Underwriting!DM28</f>
        <v>0</v>
      </c>
      <c r="DB65" s="458">
        <f>+Underwriting!DN28</f>
        <v>0</v>
      </c>
      <c r="DC65" s="458">
        <f>+Underwriting!DO28</f>
        <v>0</v>
      </c>
      <c r="DD65" s="458">
        <f>+Underwriting!DP28</f>
        <v>0</v>
      </c>
      <c r="DE65" s="458">
        <f>+Underwriting!DQ28</f>
        <v>0</v>
      </c>
      <c r="DF65" s="458">
        <f>+Underwriting!DR28</f>
        <v>0</v>
      </c>
      <c r="DG65" s="458">
        <f>+Underwriting!DS28</f>
        <v>0</v>
      </c>
      <c r="DH65" s="458">
        <f>+Underwriting!DT28</f>
        <v>0</v>
      </c>
      <c r="DI65" s="458">
        <f>+Underwriting!DU28</f>
        <v>0</v>
      </c>
      <c r="DJ65" s="458">
        <f>+Underwriting!DV28</f>
        <v>0</v>
      </c>
      <c r="DK65" s="458">
        <f>+Underwriting!DW28</f>
        <v>0</v>
      </c>
      <c r="DL65" s="458">
        <f>+Underwriting!DX28</f>
        <v>0</v>
      </c>
      <c r="DM65" s="458">
        <f>+Underwriting!DY28</f>
        <v>0</v>
      </c>
      <c r="DN65" s="458">
        <f>+Underwriting!DZ28</f>
        <v>0</v>
      </c>
      <c r="DO65" s="458">
        <f>+Underwriting!EA28</f>
        <v>0</v>
      </c>
      <c r="DP65" s="458">
        <f>+Underwriting!EB28</f>
        <v>0</v>
      </c>
      <c r="DQ65" s="458">
        <f>+Underwriting!EC28</f>
        <v>0</v>
      </c>
      <c r="DR65" s="458">
        <f>+Underwriting!ED28</f>
        <v>0</v>
      </c>
      <c r="DS65" s="458">
        <f>+Underwriting!EE28</f>
        <v>0</v>
      </c>
      <c r="DT65" s="458">
        <f>+Underwriting!EF28</f>
        <v>0</v>
      </c>
      <c r="DU65" s="458">
        <f>+Underwriting!EG28</f>
        <v>0</v>
      </c>
      <c r="DV65" s="458">
        <f>+Underwriting!EH28</f>
        <v>0</v>
      </c>
      <c r="DW65" s="458">
        <f>+Underwriting!EI28</f>
        <v>0</v>
      </c>
      <c r="DX65" s="458">
        <f>+Underwriting!EJ28</f>
        <v>0</v>
      </c>
      <c r="DY65" s="458">
        <f>+Underwriting!EK28</f>
        <v>0</v>
      </c>
      <c r="DZ65" s="458">
        <f>+Underwriting!EL28</f>
        <v>0</v>
      </c>
      <c r="EA65" s="458">
        <f>+Underwriting!EM28</f>
        <v>0</v>
      </c>
      <c r="EB65" s="458">
        <f>+Underwriting!EN28</f>
        <v>0</v>
      </c>
      <c r="EC65" s="458">
        <f>+Underwriting!EO28</f>
        <v>0</v>
      </c>
      <c r="ED65" s="458">
        <f>+Underwriting!EP28</f>
        <v>0</v>
      </c>
      <c r="EE65" s="458">
        <f>+Underwriting!EQ28</f>
        <v>0</v>
      </c>
      <c r="EF65" s="458">
        <f>+Underwriting!ER28</f>
        <v>0</v>
      </c>
      <c r="EG65" s="458">
        <f>+Underwriting!ES28</f>
        <v>0</v>
      </c>
      <c r="EH65" s="458">
        <f>+Underwriting!ET28</f>
        <v>0</v>
      </c>
      <c r="EI65" s="458">
        <f>+Underwriting!EU28</f>
        <v>0</v>
      </c>
    </row>
    <row r="66" spans="2:139" ht="14.25" hidden="1" customHeight="1" outlineLevel="1" x14ac:dyDescent="0.25">
      <c r="B66" s="4" t="s">
        <v>35</v>
      </c>
      <c r="C66" s="3"/>
      <c r="D66" s="3"/>
      <c r="E66" s="3"/>
      <c r="F66" s="3"/>
      <c r="G66" s="458">
        <f>+Underwriting!S35</f>
        <v>187499.99999999997</v>
      </c>
      <c r="H66" s="458">
        <f>+Underwriting!T35</f>
        <v>187499.99999999997</v>
      </c>
      <c r="I66" s="458">
        <f>+Underwriting!U35</f>
        <v>187500</v>
      </c>
      <c r="J66" s="458">
        <f>+Underwriting!V35</f>
        <v>187499.99999999988</v>
      </c>
      <c r="K66" s="458">
        <f>+Underwriting!W35</f>
        <v>187500.00000000006</v>
      </c>
      <c r="L66" s="458">
        <f>+Underwriting!X35</f>
        <v>187499.99999999988</v>
      </c>
      <c r="M66" s="458">
        <f>+Underwriting!Y35</f>
        <v>187500.00000000006</v>
      </c>
      <c r="N66" s="458">
        <f>+Underwriting!Z35</f>
        <v>187499.9999999998</v>
      </c>
      <c r="O66" s="458">
        <f>+Underwriting!AA35</f>
        <v>187500.00000000006</v>
      </c>
      <c r="P66" s="458">
        <f>+Underwriting!AB35</f>
        <v>187500.00000000006</v>
      </c>
      <c r="Q66" s="458">
        <f>+Underwriting!AC35</f>
        <v>187499.9999999998</v>
      </c>
      <c r="R66" s="458">
        <f>+Underwriting!AD35</f>
        <v>187500.00000000006</v>
      </c>
      <c r="S66" s="458">
        <f>+Underwriting!AE35</f>
        <v>187499.9999999998</v>
      </c>
      <c r="T66" s="458">
        <f>+Underwriting!AF35</f>
        <v>187500.00000000026</v>
      </c>
      <c r="U66" s="458">
        <f>+Underwriting!AG35</f>
        <v>187499.9999999998</v>
      </c>
      <c r="V66" s="458">
        <f>+Underwriting!AH35</f>
        <v>187499.9999999998</v>
      </c>
      <c r="W66" s="458">
        <f>+Underwriting!AI35</f>
        <v>187500.00000000026</v>
      </c>
      <c r="X66" s="458">
        <f>+Underwriting!AJ35</f>
        <v>187499.9999999998</v>
      </c>
      <c r="Y66" s="458">
        <f>+Underwriting!AK35</f>
        <v>187499.9999999998</v>
      </c>
      <c r="Z66" s="458">
        <f>+Underwriting!AL35</f>
        <v>187500.00000000026</v>
      </c>
      <c r="AA66" s="458">
        <f>+Underwriting!AM35</f>
        <v>187499.9999999998</v>
      </c>
      <c r="AB66" s="458">
        <f>+Underwriting!AN35</f>
        <v>187499.9999999998</v>
      </c>
      <c r="AC66" s="458">
        <f>+Underwriting!AO35</f>
        <v>187500.00000000026</v>
      </c>
      <c r="AD66" s="458">
        <f>+Underwriting!AP35</f>
        <v>187499.9999999998</v>
      </c>
      <c r="AE66" s="458">
        <f>+Underwriting!AQ35</f>
        <v>0</v>
      </c>
      <c r="AF66" s="458">
        <f>+Underwriting!AR35</f>
        <v>0</v>
      </c>
      <c r="AG66" s="458">
        <f>+Underwriting!AS35</f>
        <v>0</v>
      </c>
      <c r="AH66" s="458">
        <f>+Underwriting!AT35</f>
        <v>0</v>
      </c>
      <c r="AI66" s="458">
        <f>+Underwriting!AU35</f>
        <v>0</v>
      </c>
      <c r="AJ66" s="458">
        <f>+Underwriting!AV35</f>
        <v>0</v>
      </c>
      <c r="AK66" s="458">
        <f>+Underwriting!AW35</f>
        <v>0</v>
      </c>
      <c r="AL66" s="458">
        <f>+Underwriting!AX35</f>
        <v>0</v>
      </c>
      <c r="AM66" s="458">
        <f>+Underwriting!AY35</f>
        <v>0</v>
      </c>
      <c r="AN66" s="458">
        <f>+Underwriting!AZ35</f>
        <v>0</v>
      </c>
      <c r="AO66" s="458">
        <f>+Underwriting!BA35</f>
        <v>0</v>
      </c>
      <c r="AP66" s="458">
        <f>+Underwriting!BB35</f>
        <v>0</v>
      </c>
      <c r="AQ66" s="458">
        <f>+Underwriting!BC35</f>
        <v>0</v>
      </c>
      <c r="AR66" s="458">
        <f>+Underwriting!BD35</f>
        <v>0</v>
      </c>
      <c r="AS66" s="458">
        <f>+Underwriting!BE35</f>
        <v>0</v>
      </c>
      <c r="AT66" s="458">
        <f>+Underwriting!BF35</f>
        <v>0</v>
      </c>
      <c r="AU66" s="458">
        <f>+Underwriting!BG35</f>
        <v>0</v>
      </c>
      <c r="AV66" s="458">
        <f>+Underwriting!BH35</f>
        <v>0</v>
      </c>
      <c r="AW66" s="458">
        <f>+Underwriting!BI35</f>
        <v>0</v>
      </c>
      <c r="AX66" s="458">
        <f>+Underwriting!BJ35</f>
        <v>0</v>
      </c>
      <c r="AY66" s="458">
        <f>+Underwriting!BK35</f>
        <v>0</v>
      </c>
      <c r="AZ66" s="458">
        <f>+Underwriting!BL35</f>
        <v>0</v>
      </c>
      <c r="BA66" s="458">
        <f>+Underwriting!BM35</f>
        <v>0</v>
      </c>
      <c r="BB66" s="458">
        <f>+Underwriting!BN35</f>
        <v>0</v>
      </c>
      <c r="BC66" s="458">
        <f>+Underwriting!BO35</f>
        <v>0</v>
      </c>
      <c r="BD66" s="458">
        <f>+Underwriting!BP35</f>
        <v>0</v>
      </c>
      <c r="BE66" s="458">
        <f>+Underwriting!BQ35</f>
        <v>0</v>
      </c>
      <c r="BF66" s="458">
        <f>+Underwriting!BR35</f>
        <v>0</v>
      </c>
      <c r="BG66" s="458">
        <f>+Underwriting!BS35</f>
        <v>0</v>
      </c>
      <c r="BH66" s="458">
        <f>+Underwriting!BT35</f>
        <v>0</v>
      </c>
      <c r="BI66" s="458">
        <f>+Underwriting!BU35</f>
        <v>0</v>
      </c>
      <c r="BJ66" s="458">
        <f>+Underwriting!BV35</f>
        <v>0</v>
      </c>
      <c r="BK66" s="458">
        <f>+Underwriting!BW35</f>
        <v>0</v>
      </c>
      <c r="BL66" s="458">
        <f>+Underwriting!BX35</f>
        <v>0</v>
      </c>
      <c r="BM66" s="458">
        <f>+Underwriting!BY35</f>
        <v>0</v>
      </c>
      <c r="BN66" s="458">
        <f>+Underwriting!BZ35</f>
        <v>0</v>
      </c>
      <c r="BO66" s="458">
        <f>+Underwriting!CA35</f>
        <v>0</v>
      </c>
      <c r="BP66" s="458">
        <f>+Underwriting!CB35</f>
        <v>0</v>
      </c>
      <c r="BQ66" s="458">
        <f>+Underwriting!CC35</f>
        <v>0</v>
      </c>
      <c r="BR66" s="458">
        <f>+Underwriting!CD35</f>
        <v>0</v>
      </c>
      <c r="BS66" s="458">
        <f>+Underwriting!CE35</f>
        <v>0</v>
      </c>
      <c r="BT66" s="458">
        <f>+Underwriting!CF35</f>
        <v>0</v>
      </c>
      <c r="BU66" s="458">
        <f>+Underwriting!CG35</f>
        <v>0</v>
      </c>
      <c r="BV66" s="458">
        <f>+Underwriting!CH35</f>
        <v>0</v>
      </c>
      <c r="BW66" s="458">
        <f>+Underwriting!CI35</f>
        <v>0</v>
      </c>
      <c r="BX66" s="458">
        <f>+Underwriting!CJ35</f>
        <v>0</v>
      </c>
      <c r="BY66" s="458">
        <f>+Underwriting!CK35</f>
        <v>0</v>
      </c>
      <c r="BZ66" s="458">
        <f>+Underwriting!CL35</f>
        <v>0</v>
      </c>
      <c r="CA66" s="458">
        <f>+Underwriting!CM35</f>
        <v>0</v>
      </c>
      <c r="CB66" s="458">
        <f>+Underwriting!CN35</f>
        <v>0</v>
      </c>
      <c r="CC66" s="458">
        <f>+Underwriting!CO35</f>
        <v>0</v>
      </c>
      <c r="CD66" s="458">
        <f>+Underwriting!CP35</f>
        <v>0</v>
      </c>
      <c r="CE66" s="458">
        <f>+Underwriting!CQ35</f>
        <v>0</v>
      </c>
      <c r="CF66" s="458">
        <f>+Underwriting!CR35</f>
        <v>0</v>
      </c>
      <c r="CG66" s="458">
        <f>+Underwriting!CS35</f>
        <v>0</v>
      </c>
      <c r="CH66" s="458">
        <f>+Underwriting!CT35</f>
        <v>0</v>
      </c>
      <c r="CI66" s="458">
        <f>+Underwriting!CU35</f>
        <v>0</v>
      </c>
      <c r="CJ66" s="458">
        <f>+Underwriting!CV35</f>
        <v>0</v>
      </c>
      <c r="CK66" s="458">
        <f>+Underwriting!CW35</f>
        <v>0</v>
      </c>
      <c r="CL66" s="458">
        <f>+Underwriting!CX35</f>
        <v>0</v>
      </c>
      <c r="CM66" s="458">
        <f>+Underwriting!CY35</f>
        <v>0</v>
      </c>
      <c r="CN66" s="458">
        <f>+Underwriting!CZ35</f>
        <v>0</v>
      </c>
      <c r="CO66" s="458">
        <f>+Underwriting!DA35</f>
        <v>0</v>
      </c>
      <c r="CP66" s="458">
        <f>+Underwriting!DB35</f>
        <v>0</v>
      </c>
      <c r="CQ66" s="458">
        <f>+Underwriting!DC35</f>
        <v>0</v>
      </c>
      <c r="CR66" s="458">
        <f>+Underwriting!DD35</f>
        <v>0</v>
      </c>
      <c r="CS66" s="458">
        <f>+Underwriting!DE35</f>
        <v>0</v>
      </c>
      <c r="CT66" s="458">
        <f>+Underwriting!DF35</f>
        <v>0</v>
      </c>
      <c r="CU66" s="458">
        <f>+Underwriting!DG35</f>
        <v>0</v>
      </c>
      <c r="CV66" s="458">
        <f>+Underwriting!DH35</f>
        <v>0</v>
      </c>
      <c r="CW66" s="458">
        <f>+Underwriting!DI35</f>
        <v>0</v>
      </c>
      <c r="CX66" s="458">
        <f>+Underwriting!DJ35</f>
        <v>0</v>
      </c>
      <c r="CY66" s="458">
        <f>+Underwriting!DK35</f>
        <v>0</v>
      </c>
      <c r="CZ66" s="458">
        <f>+Underwriting!DL35</f>
        <v>0</v>
      </c>
      <c r="DA66" s="458">
        <f>+Underwriting!DM35</f>
        <v>0</v>
      </c>
      <c r="DB66" s="458">
        <f>+Underwriting!DN35</f>
        <v>0</v>
      </c>
      <c r="DC66" s="458">
        <f>+Underwriting!DO35</f>
        <v>0</v>
      </c>
      <c r="DD66" s="458">
        <f>+Underwriting!DP35</f>
        <v>0</v>
      </c>
      <c r="DE66" s="458">
        <f>+Underwriting!DQ35</f>
        <v>0</v>
      </c>
      <c r="DF66" s="458">
        <f>+Underwriting!DR35</f>
        <v>0</v>
      </c>
      <c r="DG66" s="458">
        <f>+Underwriting!DS35</f>
        <v>0</v>
      </c>
      <c r="DH66" s="458">
        <f>+Underwriting!DT35</f>
        <v>0</v>
      </c>
      <c r="DI66" s="458">
        <f>+Underwriting!DU35</f>
        <v>0</v>
      </c>
      <c r="DJ66" s="458">
        <f>+Underwriting!DV35</f>
        <v>0</v>
      </c>
      <c r="DK66" s="458">
        <f>+Underwriting!DW35</f>
        <v>0</v>
      </c>
      <c r="DL66" s="458">
        <f>+Underwriting!DX35</f>
        <v>0</v>
      </c>
      <c r="DM66" s="458">
        <f>+Underwriting!DY35</f>
        <v>0</v>
      </c>
      <c r="DN66" s="458">
        <f>+Underwriting!DZ35</f>
        <v>0</v>
      </c>
      <c r="DO66" s="458">
        <f>+Underwriting!EA35</f>
        <v>0</v>
      </c>
      <c r="DP66" s="458">
        <f>+Underwriting!EB35</f>
        <v>0</v>
      </c>
      <c r="DQ66" s="458">
        <f>+Underwriting!EC35</f>
        <v>0</v>
      </c>
      <c r="DR66" s="458">
        <f>+Underwriting!ED35</f>
        <v>0</v>
      </c>
      <c r="DS66" s="458">
        <f>+Underwriting!EE35</f>
        <v>0</v>
      </c>
      <c r="DT66" s="458">
        <f>+Underwriting!EF35</f>
        <v>0</v>
      </c>
      <c r="DU66" s="458">
        <f>+Underwriting!EG35</f>
        <v>0</v>
      </c>
      <c r="DV66" s="458">
        <f>+Underwriting!EH35</f>
        <v>0</v>
      </c>
      <c r="DW66" s="458">
        <f>+Underwriting!EI35</f>
        <v>0</v>
      </c>
      <c r="DX66" s="458">
        <f>+Underwriting!EJ35</f>
        <v>0</v>
      </c>
      <c r="DY66" s="458">
        <f>+Underwriting!EK35</f>
        <v>0</v>
      </c>
      <c r="DZ66" s="458">
        <f>+Underwriting!EL35</f>
        <v>0</v>
      </c>
      <c r="EA66" s="458">
        <f>+Underwriting!EM35</f>
        <v>0</v>
      </c>
      <c r="EB66" s="458">
        <f>+Underwriting!EN35</f>
        <v>0</v>
      </c>
      <c r="EC66" s="458">
        <f>+Underwriting!EO35</f>
        <v>0</v>
      </c>
      <c r="ED66" s="458">
        <f>+Underwriting!EP35</f>
        <v>0</v>
      </c>
      <c r="EE66" s="458">
        <f>+Underwriting!EQ35</f>
        <v>0</v>
      </c>
      <c r="EF66" s="458">
        <f>+Underwriting!ER35</f>
        <v>0</v>
      </c>
      <c r="EG66" s="458">
        <f>+Underwriting!ES35</f>
        <v>0</v>
      </c>
      <c r="EH66" s="458">
        <f>+Underwriting!ET35</f>
        <v>0</v>
      </c>
      <c r="EI66" s="458">
        <f>+Underwriting!EU35</f>
        <v>0</v>
      </c>
    </row>
    <row r="67" spans="2:139" ht="14.25" hidden="1" customHeight="1" outlineLevel="1" x14ac:dyDescent="0.25">
      <c r="B67" s="4" t="s">
        <v>37</v>
      </c>
      <c r="C67" s="3"/>
      <c r="D67" s="3"/>
      <c r="E67" s="3"/>
      <c r="F67" s="3"/>
      <c r="G67" s="459">
        <f>+Underwriting!S44</f>
        <v>35773.958333333328</v>
      </c>
      <c r="H67" s="459">
        <f>+Underwriting!T44</f>
        <v>35773.958333333328</v>
      </c>
      <c r="I67" s="459">
        <f>+Underwriting!U44</f>
        <v>35773.958333333328</v>
      </c>
      <c r="J67" s="459">
        <f>+Underwriting!V44</f>
        <v>35773.958333333314</v>
      </c>
      <c r="K67" s="459">
        <f>+Underwriting!W44</f>
        <v>35773.958333333343</v>
      </c>
      <c r="L67" s="459">
        <f>+Underwriting!X44</f>
        <v>35773.958333333314</v>
      </c>
      <c r="M67" s="459">
        <f>+Underwriting!Y44</f>
        <v>35773.958333333343</v>
      </c>
      <c r="N67" s="459">
        <f>+Underwriting!Z44</f>
        <v>35773.958333333292</v>
      </c>
      <c r="O67" s="459">
        <f>+Underwriting!AA44</f>
        <v>35773.958333333343</v>
      </c>
      <c r="P67" s="459">
        <f>+Underwriting!AB44</f>
        <v>35773.958333333343</v>
      </c>
      <c r="Q67" s="459">
        <f>+Underwriting!AC44</f>
        <v>35773.958333333292</v>
      </c>
      <c r="R67" s="459">
        <f>+Underwriting!AD44</f>
        <v>35773.958333333343</v>
      </c>
      <c r="S67" s="459">
        <f>+Underwriting!AE44</f>
        <v>35773.958333333292</v>
      </c>
      <c r="T67" s="459">
        <f>+Underwriting!AF44</f>
        <v>35773.958333333379</v>
      </c>
      <c r="U67" s="459">
        <f>+Underwriting!AG44</f>
        <v>35773.958333333292</v>
      </c>
      <c r="V67" s="459">
        <f>+Underwriting!AH44</f>
        <v>35773.958333333292</v>
      </c>
      <c r="W67" s="459">
        <f>+Underwriting!AI44</f>
        <v>35773.958333333379</v>
      </c>
      <c r="X67" s="459">
        <f>+Underwriting!AJ44</f>
        <v>35773.958333333292</v>
      </c>
      <c r="Y67" s="459">
        <f>+Underwriting!AK44</f>
        <v>35773.958333333292</v>
      </c>
      <c r="Z67" s="459">
        <f>+Underwriting!AL44</f>
        <v>35773.958333333379</v>
      </c>
      <c r="AA67" s="459">
        <f>+Underwriting!AM44</f>
        <v>35773.958333333292</v>
      </c>
      <c r="AB67" s="459">
        <f>+Underwriting!AN44</f>
        <v>35773.958333333292</v>
      </c>
      <c r="AC67" s="459">
        <f>+Underwriting!AO44</f>
        <v>35773.958333333379</v>
      </c>
      <c r="AD67" s="459">
        <f>+Underwriting!AP44</f>
        <v>35773.958333333292</v>
      </c>
      <c r="AE67" s="459">
        <f>+Underwriting!AQ44</f>
        <v>0</v>
      </c>
      <c r="AF67" s="459">
        <f>+Underwriting!AR44</f>
        <v>0</v>
      </c>
      <c r="AG67" s="459">
        <f>+Underwriting!AS44</f>
        <v>0</v>
      </c>
      <c r="AH67" s="459">
        <f>+Underwriting!AT44</f>
        <v>0</v>
      </c>
      <c r="AI67" s="459">
        <f>+Underwriting!AU44</f>
        <v>0</v>
      </c>
      <c r="AJ67" s="459">
        <f>+Underwriting!AV44</f>
        <v>0</v>
      </c>
      <c r="AK67" s="459">
        <f>+Underwriting!AW44</f>
        <v>0</v>
      </c>
      <c r="AL67" s="459">
        <f>+Underwriting!AX44</f>
        <v>0</v>
      </c>
      <c r="AM67" s="459">
        <f>+Underwriting!AY44</f>
        <v>0</v>
      </c>
      <c r="AN67" s="459">
        <f>+Underwriting!AZ44</f>
        <v>0</v>
      </c>
      <c r="AO67" s="459">
        <f>+Underwriting!BA44</f>
        <v>0</v>
      </c>
      <c r="AP67" s="459">
        <f>+Underwriting!BB44</f>
        <v>0</v>
      </c>
      <c r="AQ67" s="459">
        <f>+Underwriting!BC44</f>
        <v>0</v>
      </c>
      <c r="AR67" s="459">
        <f>+Underwriting!BD44</f>
        <v>0</v>
      </c>
      <c r="AS67" s="459">
        <f>+Underwriting!BE44</f>
        <v>0</v>
      </c>
      <c r="AT67" s="459">
        <f>+Underwriting!BF44</f>
        <v>0</v>
      </c>
      <c r="AU67" s="459">
        <f>+Underwriting!BG44</f>
        <v>0</v>
      </c>
      <c r="AV67" s="459">
        <f>+Underwriting!BH44</f>
        <v>0</v>
      </c>
      <c r="AW67" s="459">
        <f>+Underwriting!BI44</f>
        <v>0</v>
      </c>
      <c r="AX67" s="459">
        <f>+Underwriting!BJ44</f>
        <v>0</v>
      </c>
      <c r="AY67" s="459">
        <f>+Underwriting!BK44</f>
        <v>0</v>
      </c>
      <c r="AZ67" s="459">
        <f>+Underwriting!BL44</f>
        <v>0</v>
      </c>
      <c r="BA67" s="459">
        <f>+Underwriting!BM44</f>
        <v>0</v>
      </c>
      <c r="BB67" s="459">
        <f>+Underwriting!BN44</f>
        <v>0</v>
      </c>
      <c r="BC67" s="459">
        <f>+Underwriting!BO44</f>
        <v>0</v>
      </c>
      <c r="BD67" s="459">
        <f>+Underwriting!BP44</f>
        <v>0</v>
      </c>
      <c r="BE67" s="459">
        <f>+Underwriting!BQ44</f>
        <v>0</v>
      </c>
      <c r="BF67" s="459">
        <f>+Underwriting!BR44</f>
        <v>0</v>
      </c>
      <c r="BG67" s="459">
        <f>+Underwriting!BS44</f>
        <v>0</v>
      </c>
      <c r="BH67" s="459">
        <f>+Underwriting!BT44</f>
        <v>0</v>
      </c>
      <c r="BI67" s="459">
        <f>+Underwriting!BU44</f>
        <v>0</v>
      </c>
      <c r="BJ67" s="459">
        <f>+Underwriting!BV44</f>
        <v>0</v>
      </c>
      <c r="BK67" s="459">
        <f>+Underwriting!BW44</f>
        <v>0</v>
      </c>
      <c r="BL67" s="459">
        <f>+Underwriting!BX44</f>
        <v>0</v>
      </c>
      <c r="BM67" s="459">
        <f>+Underwriting!BY44</f>
        <v>0</v>
      </c>
      <c r="BN67" s="459">
        <f>+Underwriting!BZ44</f>
        <v>0</v>
      </c>
      <c r="BO67" s="459">
        <f>+Underwriting!CA44</f>
        <v>0</v>
      </c>
      <c r="BP67" s="459">
        <f>+Underwriting!CB44</f>
        <v>0</v>
      </c>
      <c r="BQ67" s="459">
        <f>+Underwriting!CC44</f>
        <v>0</v>
      </c>
      <c r="BR67" s="459">
        <f>+Underwriting!CD44</f>
        <v>0</v>
      </c>
      <c r="BS67" s="459">
        <f>+Underwriting!CE44</f>
        <v>0</v>
      </c>
      <c r="BT67" s="459">
        <f>+Underwriting!CF44</f>
        <v>0</v>
      </c>
      <c r="BU67" s="459">
        <f>+Underwriting!CG44</f>
        <v>0</v>
      </c>
      <c r="BV67" s="459">
        <f>+Underwriting!CH44</f>
        <v>0</v>
      </c>
      <c r="BW67" s="459">
        <f>+Underwriting!CI44</f>
        <v>0</v>
      </c>
      <c r="BX67" s="459">
        <f>+Underwriting!CJ44</f>
        <v>0</v>
      </c>
      <c r="BY67" s="459">
        <f>+Underwriting!CK44</f>
        <v>0</v>
      </c>
      <c r="BZ67" s="459">
        <f>+Underwriting!CL44</f>
        <v>0</v>
      </c>
      <c r="CA67" s="459">
        <f>+Underwriting!CM44</f>
        <v>0</v>
      </c>
      <c r="CB67" s="459">
        <f>+Underwriting!CN44</f>
        <v>0</v>
      </c>
      <c r="CC67" s="459">
        <f>+Underwriting!CO44</f>
        <v>0</v>
      </c>
      <c r="CD67" s="459">
        <f>+Underwriting!CP44</f>
        <v>0</v>
      </c>
      <c r="CE67" s="459">
        <f>+Underwriting!CQ44</f>
        <v>0</v>
      </c>
      <c r="CF67" s="459">
        <f>+Underwriting!CR44</f>
        <v>0</v>
      </c>
      <c r="CG67" s="459">
        <f>+Underwriting!CS44</f>
        <v>0</v>
      </c>
      <c r="CH67" s="459">
        <f>+Underwriting!CT44</f>
        <v>0</v>
      </c>
      <c r="CI67" s="459">
        <f>+Underwriting!CU44</f>
        <v>0</v>
      </c>
      <c r="CJ67" s="459">
        <f>+Underwriting!CV44</f>
        <v>0</v>
      </c>
      <c r="CK67" s="459">
        <f>+Underwriting!CW44</f>
        <v>0</v>
      </c>
      <c r="CL67" s="459">
        <f>+Underwriting!CX44</f>
        <v>0</v>
      </c>
      <c r="CM67" s="459">
        <f>+Underwriting!CY44</f>
        <v>0</v>
      </c>
      <c r="CN67" s="459">
        <f>+Underwriting!CZ44</f>
        <v>0</v>
      </c>
      <c r="CO67" s="459">
        <f>+Underwriting!DA44</f>
        <v>0</v>
      </c>
      <c r="CP67" s="459">
        <f>+Underwriting!DB44</f>
        <v>0</v>
      </c>
      <c r="CQ67" s="459">
        <f>+Underwriting!DC44</f>
        <v>0</v>
      </c>
      <c r="CR67" s="459">
        <f>+Underwriting!DD44</f>
        <v>0</v>
      </c>
      <c r="CS67" s="459">
        <f>+Underwriting!DE44</f>
        <v>0</v>
      </c>
      <c r="CT67" s="459">
        <f>+Underwriting!DF44</f>
        <v>0</v>
      </c>
      <c r="CU67" s="459">
        <f>+Underwriting!DG44</f>
        <v>0</v>
      </c>
      <c r="CV67" s="459">
        <f>+Underwriting!DH44</f>
        <v>0</v>
      </c>
      <c r="CW67" s="459">
        <f>+Underwriting!DI44</f>
        <v>0</v>
      </c>
      <c r="CX67" s="459">
        <f>+Underwriting!DJ44</f>
        <v>0</v>
      </c>
      <c r="CY67" s="459">
        <f>+Underwriting!DK44</f>
        <v>0</v>
      </c>
      <c r="CZ67" s="459">
        <f>+Underwriting!DL44</f>
        <v>0</v>
      </c>
      <c r="DA67" s="459">
        <f>+Underwriting!DM44</f>
        <v>0</v>
      </c>
      <c r="DB67" s="459">
        <f>+Underwriting!DN44</f>
        <v>0</v>
      </c>
      <c r="DC67" s="459">
        <f>+Underwriting!DO44</f>
        <v>0</v>
      </c>
      <c r="DD67" s="459">
        <f>+Underwriting!DP44</f>
        <v>0</v>
      </c>
      <c r="DE67" s="459">
        <f>+Underwriting!DQ44</f>
        <v>0</v>
      </c>
      <c r="DF67" s="459">
        <f>+Underwriting!DR44</f>
        <v>0</v>
      </c>
      <c r="DG67" s="459">
        <f>+Underwriting!DS44</f>
        <v>0</v>
      </c>
      <c r="DH67" s="459">
        <f>+Underwriting!DT44</f>
        <v>0</v>
      </c>
      <c r="DI67" s="459">
        <f>+Underwriting!DU44</f>
        <v>0</v>
      </c>
      <c r="DJ67" s="459">
        <f>+Underwriting!DV44</f>
        <v>0</v>
      </c>
      <c r="DK67" s="459">
        <f>+Underwriting!DW44</f>
        <v>0</v>
      </c>
      <c r="DL67" s="459">
        <f>+Underwriting!DX44</f>
        <v>0</v>
      </c>
      <c r="DM67" s="459">
        <f>+Underwriting!DY44</f>
        <v>0</v>
      </c>
      <c r="DN67" s="459">
        <f>+Underwriting!DZ44</f>
        <v>0</v>
      </c>
      <c r="DO67" s="459">
        <f>+Underwriting!EA44</f>
        <v>0</v>
      </c>
      <c r="DP67" s="459">
        <f>+Underwriting!EB44</f>
        <v>0</v>
      </c>
      <c r="DQ67" s="459">
        <f>+Underwriting!EC44</f>
        <v>0</v>
      </c>
      <c r="DR67" s="459">
        <f>+Underwriting!ED44</f>
        <v>0</v>
      </c>
      <c r="DS67" s="459">
        <f>+Underwriting!EE44</f>
        <v>0</v>
      </c>
      <c r="DT67" s="459">
        <f>+Underwriting!EF44</f>
        <v>0</v>
      </c>
      <c r="DU67" s="459">
        <f>+Underwriting!EG44</f>
        <v>0</v>
      </c>
      <c r="DV67" s="459">
        <f>+Underwriting!EH44</f>
        <v>0</v>
      </c>
      <c r="DW67" s="459">
        <f>+Underwriting!EI44</f>
        <v>0</v>
      </c>
      <c r="DX67" s="459">
        <f>+Underwriting!EJ44</f>
        <v>0</v>
      </c>
      <c r="DY67" s="459">
        <f>+Underwriting!EK44</f>
        <v>0</v>
      </c>
      <c r="DZ67" s="459">
        <f>+Underwriting!EL44</f>
        <v>0</v>
      </c>
      <c r="EA67" s="459">
        <f>+Underwriting!EM44</f>
        <v>0</v>
      </c>
      <c r="EB67" s="459">
        <f>+Underwriting!EN44</f>
        <v>0</v>
      </c>
      <c r="EC67" s="459">
        <f>+Underwriting!EO44</f>
        <v>0</v>
      </c>
      <c r="ED67" s="459">
        <f>+Underwriting!EP44</f>
        <v>0</v>
      </c>
      <c r="EE67" s="459">
        <f>+Underwriting!EQ44</f>
        <v>0</v>
      </c>
      <c r="EF67" s="459">
        <f>+Underwriting!ER44</f>
        <v>0</v>
      </c>
      <c r="EG67" s="459">
        <f>+Underwriting!ES44</f>
        <v>0</v>
      </c>
      <c r="EH67" s="459">
        <f>+Underwriting!ET44</f>
        <v>0</v>
      </c>
      <c r="EI67" s="459">
        <f>+Underwriting!EU44</f>
        <v>0</v>
      </c>
    </row>
    <row r="68" spans="2:139" ht="14.25" hidden="1" customHeight="1" outlineLevel="1" x14ac:dyDescent="0.25">
      <c r="B68" s="3" t="s">
        <v>418</v>
      </c>
      <c r="C68" s="3"/>
      <c r="D68" s="3"/>
      <c r="E68" s="3"/>
      <c r="F68" s="3"/>
      <c r="G68" s="458">
        <f>SUM(G65:G67)</f>
        <v>63035773.958333336</v>
      </c>
      <c r="H68" s="458">
        <f t="shared" ref="H68:BS68" si="42">SUM(H65:H67)</f>
        <v>223273.95833333331</v>
      </c>
      <c r="I68" s="458">
        <f t="shared" si="42"/>
        <v>223273.95833333331</v>
      </c>
      <c r="J68" s="458">
        <f t="shared" si="42"/>
        <v>223273.9583333332</v>
      </c>
      <c r="K68" s="458">
        <f t="shared" si="42"/>
        <v>223273.9583333334</v>
      </c>
      <c r="L68" s="458">
        <f t="shared" si="42"/>
        <v>223273.9583333332</v>
      </c>
      <c r="M68" s="458">
        <f t="shared" si="42"/>
        <v>223273.9583333334</v>
      </c>
      <c r="N68" s="458">
        <f t="shared" si="42"/>
        <v>223273.95833333308</v>
      </c>
      <c r="O68" s="458">
        <f t="shared" si="42"/>
        <v>223273.9583333334</v>
      </c>
      <c r="P68" s="458">
        <f t="shared" si="42"/>
        <v>223273.9583333334</v>
      </c>
      <c r="Q68" s="458">
        <f t="shared" si="42"/>
        <v>223273.95833333308</v>
      </c>
      <c r="R68" s="458">
        <f t="shared" si="42"/>
        <v>223273.9583333334</v>
      </c>
      <c r="S68" s="458">
        <f t="shared" si="42"/>
        <v>223273.95833333308</v>
      </c>
      <c r="T68" s="458">
        <f t="shared" si="42"/>
        <v>223273.95833333363</v>
      </c>
      <c r="U68" s="458">
        <f t="shared" si="42"/>
        <v>223273.95833333308</v>
      </c>
      <c r="V68" s="458">
        <f t="shared" si="42"/>
        <v>223273.95833333308</v>
      </c>
      <c r="W68" s="458">
        <f t="shared" si="42"/>
        <v>223273.95833333363</v>
      </c>
      <c r="X68" s="458">
        <f t="shared" si="42"/>
        <v>223273.95833333308</v>
      </c>
      <c r="Y68" s="458">
        <f t="shared" si="42"/>
        <v>223273.95833333308</v>
      </c>
      <c r="Z68" s="458">
        <f t="shared" si="42"/>
        <v>223273.95833333363</v>
      </c>
      <c r="AA68" s="458">
        <f t="shared" si="42"/>
        <v>223273.95833333308</v>
      </c>
      <c r="AB68" s="458">
        <f t="shared" si="42"/>
        <v>223273.95833333308</v>
      </c>
      <c r="AC68" s="458">
        <f t="shared" si="42"/>
        <v>223273.95833333363</v>
      </c>
      <c r="AD68" s="458">
        <f t="shared" si="42"/>
        <v>223273.95833333308</v>
      </c>
      <c r="AE68" s="458">
        <f t="shared" si="42"/>
        <v>0</v>
      </c>
      <c r="AF68" s="458">
        <f t="shared" si="42"/>
        <v>0</v>
      </c>
      <c r="AG68" s="458">
        <f t="shared" si="42"/>
        <v>0</v>
      </c>
      <c r="AH68" s="458">
        <f t="shared" si="42"/>
        <v>0</v>
      </c>
      <c r="AI68" s="458">
        <f t="shared" si="42"/>
        <v>0</v>
      </c>
      <c r="AJ68" s="458">
        <f t="shared" si="42"/>
        <v>0</v>
      </c>
      <c r="AK68" s="458">
        <f t="shared" si="42"/>
        <v>0</v>
      </c>
      <c r="AL68" s="458">
        <f t="shared" si="42"/>
        <v>0</v>
      </c>
      <c r="AM68" s="458">
        <f t="shared" si="42"/>
        <v>0</v>
      </c>
      <c r="AN68" s="458">
        <f t="shared" si="42"/>
        <v>0</v>
      </c>
      <c r="AO68" s="458">
        <f t="shared" si="42"/>
        <v>0</v>
      </c>
      <c r="AP68" s="458">
        <f t="shared" si="42"/>
        <v>0</v>
      </c>
      <c r="AQ68" s="458">
        <f t="shared" si="42"/>
        <v>0</v>
      </c>
      <c r="AR68" s="458">
        <f t="shared" si="42"/>
        <v>0</v>
      </c>
      <c r="AS68" s="458">
        <f t="shared" si="42"/>
        <v>0</v>
      </c>
      <c r="AT68" s="458">
        <f t="shared" si="42"/>
        <v>0</v>
      </c>
      <c r="AU68" s="458">
        <f t="shared" si="42"/>
        <v>0</v>
      </c>
      <c r="AV68" s="458">
        <f t="shared" si="42"/>
        <v>0</v>
      </c>
      <c r="AW68" s="458">
        <f t="shared" si="42"/>
        <v>0</v>
      </c>
      <c r="AX68" s="458">
        <f t="shared" si="42"/>
        <v>0</v>
      </c>
      <c r="AY68" s="458">
        <f t="shared" si="42"/>
        <v>0</v>
      </c>
      <c r="AZ68" s="458">
        <f t="shared" si="42"/>
        <v>0</v>
      </c>
      <c r="BA68" s="458">
        <f t="shared" si="42"/>
        <v>0</v>
      </c>
      <c r="BB68" s="458">
        <f t="shared" si="42"/>
        <v>0</v>
      </c>
      <c r="BC68" s="458">
        <f t="shared" si="42"/>
        <v>0</v>
      </c>
      <c r="BD68" s="458">
        <f t="shared" si="42"/>
        <v>0</v>
      </c>
      <c r="BE68" s="458">
        <f t="shared" si="42"/>
        <v>0</v>
      </c>
      <c r="BF68" s="458">
        <f t="shared" si="42"/>
        <v>0</v>
      </c>
      <c r="BG68" s="458">
        <f t="shared" si="42"/>
        <v>0</v>
      </c>
      <c r="BH68" s="458">
        <f t="shared" si="42"/>
        <v>0</v>
      </c>
      <c r="BI68" s="458">
        <f t="shared" si="42"/>
        <v>0</v>
      </c>
      <c r="BJ68" s="458">
        <f t="shared" si="42"/>
        <v>0</v>
      </c>
      <c r="BK68" s="458">
        <f t="shared" si="42"/>
        <v>0</v>
      </c>
      <c r="BL68" s="458">
        <f t="shared" si="42"/>
        <v>0</v>
      </c>
      <c r="BM68" s="458">
        <f t="shared" si="42"/>
        <v>0</v>
      </c>
      <c r="BN68" s="458">
        <f t="shared" si="42"/>
        <v>0</v>
      </c>
      <c r="BO68" s="458">
        <f t="shared" si="42"/>
        <v>0</v>
      </c>
      <c r="BP68" s="458">
        <f t="shared" si="42"/>
        <v>0</v>
      </c>
      <c r="BQ68" s="458">
        <f t="shared" si="42"/>
        <v>0</v>
      </c>
      <c r="BR68" s="458">
        <f t="shared" si="42"/>
        <v>0</v>
      </c>
      <c r="BS68" s="458">
        <f t="shared" si="42"/>
        <v>0</v>
      </c>
      <c r="BT68" s="458">
        <f t="shared" ref="BT68:EE68" si="43">SUM(BT65:BT67)</f>
        <v>0</v>
      </c>
      <c r="BU68" s="458">
        <f t="shared" si="43"/>
        <v>0</v>
      </c>
      <c r="BV68" s="458">
        <f t="shared" si="43"/>
        <v>0</v>
      </c>
      <c r="BW68" s="458">
        <f t="shared" si="43"/>
        <v>0</v>
      </c>
      <c r="BX68" s="458">
        <f t="shared" si="43"/>
        <v>0</v>
      </c>
      <c r="BY68" s="458">
        <f t="shared" si="43"/>
        <v>0</v>
      </c>
      <c r="BZ68" s="458">
        <f t="shared" si="43"/>
        <v>0</v>
      </c>
      <c r="CA68" s="458">
        <f t="shared" si="43"/>
        <v>0</v>
      </c>
      <c r="CB68" s="458">
        <f t="shared" si="43"/>
        <v>0</v>
      </c>
      <c r="CC68" s="458">
        <f t="shared" si="43"/>
        <v>0</v>
      </c>
      <c r="CD68" s="458">
        <f t="shared" si="43"/>
        <v>0</v>
      </c>
      <c r="CE68" s="458">
        <f t="shared" si="43"/>
        <v>0</v>
      </c>
      <c r="CF68" s="458">
        <f t="shared" si="43"/>
        <v>0</v>
      </c>
      <c r="CG68" s="458">
        <f t="shared" si="43"/>
        <v>0</v>
      </c>
      <c r="CH68" s="458">
        <f t="shared" si="43"/>
        <v>0</v>
      </c>
      <c r="CI68" s="458">
        <f t="shared" si="43"/>
        <v>0</v>
      </c>
      <c r="CJ68" s="458">
        <f t="shared" si="43"/>
        <v>0</v>
      </c>
      <c r="CK68" s="458">
        <f t="shared" si="43"/>
        <v>0</v>
      </c>
      <c r="CL68" s="458">
        <f t="shared" si="43"/>
        <v>0</v>
      </c>
      <c r="CM68" s="458">
        <f t="shared" si="43"/>
        <v>0</v>
      </c>
      <c r="CN68" s="458">
        <f t="shared" si="43"/>
        <v>0</v>
      </c>
      <c r="CO68" s="458">
        <f t="shared" si="43"/>
        <v>0</v>
      </c>
      <c r="CP68" s="458">
        <f t="shared" si="43"/>
        <v>0</v>
      </c>
      <c r="CQ68" s="458">
        <f t="shared" si="43"/>
        <v>0</v>
      </c>
      <c r="CR68" s="458">
        <f t="shared" si="43"/>
        <v>0</v>
      </c>
      <c r="CS68" s="458">
        <f t="shared" si="43"/>
        <v>0</v>
      </c>
      <c r="CT68" s="458">
        <f t="shared" si="43"/>
        <v>0</v>
      </c>
      <c r="CU68" s="458">
        <f t="shared" si="43"/>
        <v>0</v>
      </c>
      <c r="CV68" s="458">
        <f t="shared" si="43"/>
        <v>0</v>
      </c>
      <c r="CW68" s="458">
        <f t="shared" si="43"/>
        <v>0</v>
      </c>
      <c r="CX68" s="458">
        <f t="shared" si="43"/>
        <v>0</v>
      </c>
      <c r="CY68" s="458">
        <f t="shared" si="43"/>
        <v>0</v>
      </c>
      <c r="CZ68" s="458">
        <f t="shared" si="43"/>
        <v>0</v>
      </c>
      <c r="DA68" s="458">
        <f t="shared" si="43"/>
        <v>0</v>
      </c>
      <c r="DB68" s="458">
        <f t="shared" si="43"/>
        <v>0</v>
      </c>
      <c r="DC68" s="458">
        <f t="shared" si="43"/>
        <v>0</v>
      </c>
      <c r="DD68" s="458">
        <f t="shared" si="43"/>
        <v>0</v>
      </c>
      <c r="DE68" s="458">
        <f t="shared" si="43"/>
        <v>0</v>
      </c>
      <c r="DF68" s="458">
        <f t="shared" si="43"/>
        <v>0</v>
      </c>
      <c r="DG68" s="458">
        <f t="shared" si="43"/>
        <v>0</v>
      </c>
      <c r="DH68" s="458">
        <f t="shared" si="43"/>
        <v>0</v>
      </c>
      <c r="DI68" s="458">
        <f t="shared" si="43"/>
        <v>0</v>
      </c>
      <c r="DJ68" s="458">
        <f t="shared" si="43"/>
        <v>0</v>
      </c>
      <c r="DK68" s="458">
        <f t="shared" si="43"/>
        <v>0</v>
      </c>
      <c r="DL68" s="458">
        <f t="shared" si="43"/>
        <v>0</v>
      </c>
      <c r="DM68" s="458">
        <f t="shared" si="43"/>
        <v>0</v>
      </c>
      <c r="DN68" s="458">
        <f t="shared" si="43"/>
        <v>0</v>
      </c>
      <c r="DO68" s="458">
        <f t="shared" si="43"/>
        <v>0</v>
      </c>
      <c r="DP68" s="458">
        <f t="shared" si="43"/>
        <v>0</v>
      </c>
      <c r="DQ68" s="458">
        <f t="shared" si="43"/>
        <v>0</v>
      </c>
      <c r="DR68" s="458">
        <f t="shared" si="43"/>
        <v>0</v>
      </c>
      <c r="DS68" s="458">
        <f t="shared" si="43"/>
        <v>0</v>
      </c>
      <c r="DT68" s="458">
        <f t="shared" si="43"/>
        <v>0</v>
      </c>
      <c r="DU68" s="458">
        <f t="shared" si="43"/>
        <v>0</v>
      </c>
      <c r="DV68" s="458">
        <f t="shared" si="43"/>
        <v>0</v>
      </c>
      <c r="DW68" s="458">
        <f t="shared" si="43"/>
        <v>0</v>
      </c>
      <c r="DX68" s="458">
        <f t="shared" si="43"/>
        <v>0</v>
      </c>
      <c r="DY68" s="458">
        <f t="shared" si="43"/>
        <v>0</v>
      </c>
      <c r="DZ68" s="458">
        <f t="shared" si="43"/>
        <v>0</v>
      </c>
      <c r="EA68" s="458">
        <f t="shared" si="43"/>
        <v>0</v>
      </c>
      <c r="EB68" s="458">
        <f t="shared" si="43"/>
        <v>0</v>
      </c>
      <c r="EC68" s="458">
        <f t="shared" si="43"/>
        <v>0</v>
      </c>
      <c r="ED68" s="458">
        <f t="shared" si="43"/>
        <v>0</v>
      </c>
      <c r="EE68" s="458">
        <f t="shared" si="43"/>
        <v>0</v>
      </c>
      <c r="EF68" s="458">
        <f t="shared" ref="EF68:EI68" si="44">SUM(EF65:EF67)</f>
        <v>0</v>
      </c>
      <c r="EG68" s="458">
        <f t="shared" si="44"/>
        <v>0</v>
      </c>
      <c r="EH68" s="458">
        <f t="shared" si="44"/>
        <v>0</v>
      </c>
      <c r="EI68" s="458">
        <f t="shared" si="44"/>
        <v>0</v>
      </c>
    </row>
    <row r="69" spans="2:139" ht="5.0999999999999996" hidden="1" customHeight="1" outlineLevel="1" x14ac:dyDescent="0.25">
      <c r="B69" s="3"/>
      <c r="C69" s="3"/>
      <c r="D69" s="3"/>
      <c r="E69" s="3"/>
      <c r="F69" s="3"/>
      <c r="G69" s="458"/>
      <c r="H69" s="458"/>
      <c r="I69" s="458"/>
      <c r="J69" s="458"/>
      <c r="K69" s="458"/>
      <c r="L69" s="458"/>
      <c r="M69" s="458"/>
      <c r="N69" s="458"/>
      <c r="O69" s="458"/>
      <c r="P69" s="458"/>
      <c r="Q69" s="458"/>
      <c r="R69" s="458"/>
      <c r="S69" s="458"/>
      <c r="T69" s="458"/>
      <c r="U69" s="458"/>
      <c r="V69" s="458"/>
      <c r="W69" s="458"/>
      <c r="X69" s="458"/>
      <c r="Y69" s="458"/>
      <c r="Z69" s="458"/>
      <c r="AA69" s="458"/>
      <c r="AB69" s="458"/>
      <c r="AC69" s="458"/>
      <c r="AD69" s="458"/>
      <c r="AE69" s="458"/>
      <c r="AF69" s="458"/>
      <c r="AG69" s="458"/>
      <c r="AH69" s="458"/>
      <c r="AI69" s="458"/>
      <c r="AJ69" s="458"/>
      <c r="AK69" s="458"/>
      <c r="AL69" s="458"/>
      <c r="AM69" s="458"/>
      <c r="AN69" s="458"/>
      <c r="AO69" s="458"/>
      <c r="AP69" s="458"/>
      <c r="AQ69" s="458"/>
      <c r="AR69" s="458"/>
      <c r="AS69" s="458"/>
      <c r="AT69" s="458"/>
      <c r="AU69" s="458"/>
      <c r="AV69" s="458"/>
      <c r="AW69" s="458"/>
      <c r="AX69" s="458"/>
      <c r="AY69" s="458"/>
      <c r="AZ69" s="458"/>
      <c r="BA69" s="458"/>
      <c r="BB69" s="458"/>
      <c r="BC69" s="458"/>
      <c r="BD69" s="458"/>
      <c r="BE69" s="458"/>
      <c r="BF69" s="458"/>
      <c r="BG69" s="458"/>
      <c r="BH69" s="458"/>
      <c r="BI69" s="458"/>
      <c r="BJ69" s="458"/>
      <c r="BK69" s="458"/>
      <c r="BL69" s="458"/>
      <c r="BM69" s="458"/>
      <c r="BN69" s="458"/>
      <c r="BO69" s="458"/>
      <c r="BP69" s="458"/>
      <c r="BQ69" s="458"/>
      <c r="BR69" s="458"/>
      <c r="BS69" s="458"/>
      <c r="BT69" s="458"/>
      <c r="BU69" s="458"/>
      <c r="BV69" s="458"/>
      <c r="BW69" s="458"/>
      <c r="BX69" s="458"/>
      <c r="BY69" s="458"/>
      <c r="BZ69" s="458"/>
      <c r="CA69" s="458"/>
      <c r="CB69" s="458"/>
      <c r="CC69" s="458"/>
      <c r="CD69" s="458"/>
      <c r="CE69" s="458"/>
      <c r="CF69" s="458"/>
      <c r="CG69" s="458"/>
      <c r="CH69" s="458"/>
      <c r="CI69" s="458"/>
      <c r="CJ69" s="458"/>
      <c r="CK69" s="458"/>
      <c r="CL69" s="458"/>
      <c r="CM69" s="458"/>
      <c r="CN69" s="458"/>
      <c r="CO69" s="458"/>
      <c r="CP69" s="458"/>
      <c r="CQ69" s="458"/>
      <c r="CR69" s="458"/>
      <c r="CS69" s="458"/>
      <c r="CT69" s="458"/>
      <c r="CU69" s="458"/>
      <c r="CV69" s="458"/>
      <c r="CW69" s="458"/>
      <c r="CX69" s="458"/>
      <c r="CY69" s="458"/>
      <c r="CZ69" s="458"/>
      <c r="DA69" s="458"/>
      <c r="DB69" s="458"/>
      <c r="DC69" s="458"/>
      <c r="DD69" s="458"/>
      <c r="DE69" s="458"/>
      <c r="DF69" s="458"/>
      <c r="DG69" s="458"/>
      <c r="DH69" s="458"/>
      <c r="DI69" s="458"/>
      <c r="DJ69" s="458"/>
      <c r="DK69" s="458"/>
      <c r="DL69" s="458"/>
      <c r="DM69" s="458"/>
      <c r="DN69" s="458"/>
      <c r="DO69" s="458"/>
      <c r="DP69" s="458"/>
      <c r="DQ69" s="458"/>
      <c r="DR69" s="458"/>
      <c r="DS69" s="458"/>
      <c r="DT69" s="458"/>
      <c r="DU69" s="458"/>
      <c r="DV69" s="458"/>
      <c r="DW69" s="458"/>
      <c r="DX69" s="458"/>
      <c r="DY69" s="458"/>
      <c r="DZ69" s="458"/>
      <c r="EA69" s="458"/>
      <c r="EB69" s="458"/>
      <c r="EC69" s="458"/>
      <c r="ED69" s="458"/>
      <c r="EE69" s="458"/>
      <c r="EF69" s="458"/>
      <c r="EG69" s="458"/>
      <c r="EH69" s="458"/>
      <c r="EI69" s="458"/>
    </row>
    <row r="70" spans="2:139" ht="14.25" hidden="1" customHeight="1" outlineLevel="1" x14ac:dyDescent="0.25">
      <c r="B70" s="4" t="s">
        <v>419</v>
      </c>
      <c r="C70" s="3"/>
      <c r="D70" s="3"/>
      <c r="E70" s="3"/>
      <c r="F70" s="3"/>
      <c r="G70" s="458">
        <f>+Underwriting!S48</f>
        <v>225000</v>
      </c>
      <c r="H70" s="458">
        <f>+Underwriting!T48</f>
        <v>0</v>
      </c>
      <c r="I70" s="458">
        <f>+Underwriting!U48</f>
        <v>0</v>
      </c>
      <c r="J70" s="458">
        <f>+Underwriting!V48</f>
        <v>0</v>
      </c>
      <c r="K70" s="458">
        <f>+Underwriting!W48</f>
        <v>0</v>
      </c>
      <c r="L70" s="458">
        <f>+Underwriting!X48</f>
        <v>0</v>
      </c>
      <c r="M70" s="458">
        <f>+Underwriting!Y48</f>
        <v>0</v>
      </c>
      <c r="N70" s="458">
        <f>+Underwriting!Z48</f>
        <v>0</v>
      </c>
      <c r="O70" s="458">
        <f>+Underwriting!AA48</f>
        <v>0</v>
      </c>
      <c r="P70" s="458">
        <f>+Underwriting!AB48</f>
        <v>0</v>
      </c>
      <c r="Q70" s="458">
        <f>+Underwriting!AC48</f>
        <v>0</v>
      </c>
      <c r="R70" s="458">
        <f>+Underwriting!AD48</f>
        <v>0</v>
      </c>
      <c r="S70" s="458">
        <f>+Underwriting!AE48</f>
        <v>0</v>
      </c>
      <c r="T70" s="458">
        <f>+Underwriting!AF48</f>
        <v>0</v>
      </c>
      <c r="U70" s="458">
        <f>+Underwriting!AG48</f>
        <v>0</v>
      </c>
      <c r="V70" s="458">
        <f>+Underwriting!AH48</f>
        <v>0</v>
      </c>
      <c r="W70" s="458">
        <f>+Underwriting!AI48</f>
        <v>0</v>
      </c>
      <c r="X70" s="458">
        <f>+Underwriting!AJ48</f>
        <v>0</v>
      </c>
      <c r="Y70" s="458">
        <f>+Underwriting!AK48</f>
        <v>0</v>
      </c>
      <c r="Z70" s="458">
        <f>+Underwriting!AL48</f>
        <v>0</v>
      </c>
      <c r="AA70" s="458">
        <f>+Underwriting!AM48</f>
        <v>0</v>
      </c>
      <c r="AB70" s="458">
        <f>+Underwriting!AN48</f>
        <v>0</v>
      </c>
      <c r="AC70" s="458">
        <f>+Underwriting!AO48</f>
        <v>0</v>
      </c>
      <c r="AD70" s="458">
        <f>+Underwriting!AP48</f>
        <v>0</v>
      </c>
      <c r="AE70" s="458">
        <f>+Underwriting!AQ48</f>
        <v>0</v>
      </c>
      <c r="AF70" s="458">
        <f>+Underwriting!AR48</f>
        <v>0</v>
      </c>
      <c r="AG70" s="458">
        <f>+Underwriting!AS48</f>
        <v>0</v>
      </c>
      <c r="AH70" s="458">
        <f>+Underwriting!AT48</f>
        <v>0</v>
      </c>
      <c r="AI70" s="458">
        <f>+Underwriting!AU48</f>
        <v>0</v>
      </c>
      <c r="AJ70" s="458">
        <f>+Underwriting!AV48</f>
        <v>0</v>
      </c>
      <c r="AK70" s="458">
        <f>+Underwriting!AW48</f>
        <v>0</v>
      </c>
      <c r="AL70" s="458">
        <f>+Underwriting!AX48</f>
        <v>0</v>
      </c>
      <c r="AM70" s="458">
        <f>+Underwriting!AY48</f>
        <v>0</v>
      </c>
      <c r="AN70" s="458">
        <f>+Underwriting!AZ48</f>
        <v>0</v>
      </c>
      <c r="AO70" s="458">
        <f>+Underwriting!BA48</f>
        <v>0</v>
      </c>
      <c r="AP70" s="458">
        <f>+Underwriting!BB48</f>
        <v>0</v>
      </c>
      <c r="AQ70" s="458">
        <f>+Underwriting!BC48</f>
        <v>0</v>
      </c>
      <c r="AR70" s="458">
        <f>+Underwriting!BD48</f>
        <v>0</v>
      </c>
      <c r="AS70" s="458">
        <f>+Underwriting!BE48</f>
        <v>0</v>
      </c>
      <c r="AT70" s="458">
        <f>+Underwriting!BF48</f>
        <v>0</v>
      </c>
      <c r="AU70" s="458">
        <f>+Underwriting!BG48</f>
        <v>0</v>
      </c>
      <c r="AV70" s="458">
        <f>+Underwriting!BH48</f>
        <v>0</v>
      </c>
      <c r="AW70" s="458">
        <f>+Underwriting!BI48</f>
        <v>0</v>
      </c>
      <c r="AX70" s="458">
        <f>+Underwriting!BJ48</f>
        <v>0</v>
      </c>
      <c r="AY70" s="458">
        <f>+Underwriting!BK48</f>
        <v>0</v>
      </c>
      <c r="AZ70" s="458">
        <f>+Underwriting!BL48</f>
        <v>0</v>
      </c>
      <c r="BA70" s="458">
        <f>+Underwriting!BM48</f>
        <v>0</v>
      </c>
      <c r="BB70" s="458">
        <f>+Underwriting!BN48</f>
        <v>0</v>
      </c>
      <c r="BC70" s="458">
        <f>+Underwriting!BO48</f>
        <v>0</v>
      </c>
      <c r="BD70" s="458">
        <f>+Underwriting!BP48</f>
        <v>0</v>
      </c>
      <c r="BE70" s="458">
        <f>+Underwriting!BQ48</f>
        <v>0</v>
      </c>
      <c r="BF70" s="458">
        <f>+Underwriting!BR48</f>
        <v>0</v>
      </c>
      <c r="BG70" s="458">
        <f>+Underwriting!BS48</f>
        <v>0</v>
      </c>
      <c r="BH70" s="458">
        <f>+Underwriting!BT48</f>
        <v>0</v>
      </c>
      <c r="BI70" s="458">
        <f>+Underwriting!BU48</f>
        <v>0</v>
      </c>
      <c r="BJ70" s="458">
        <f>+Underwriting!BV48</f>
        <v>0</v>
      </c>
      <c r="BK70" s="458">
        <f>+Underwriting!BW48</f>
        <v>0</v>
      </c>
      <c r="BL70" s="458">
        <f>+Underwriting!BX48</f>
        <v>0</v>
      </c>
      <c r="BM70" s="458">
        <f>+Underwriting!BY48</f>
        <v>0</v>
      </c>
      <c r="BN70" s="458">
        <f>+Underwriting!BZ48</f>
        <v>0</v>
      </c>
      <c r="BO70" s="458">
        <f>+Underwriting!CA48</f>
        <v>0</v>
      </c>
      <c r="BP70" s="458">
        <f>+Underwriting!CB48</f>
        <v>0</v>
      </c>
      <c r="BQ70" s="458">
        <f>+Underwriting!CC48</f>
        <v>0</v>
      </c>
      <c r="BR70" s="458">
        <f>+Underwriting!CD48</f>
        <v>0</v>
      </c>
      <c r="BS70" s="458">
        <f>+Underwriting!CE48</f>
        <v>0</v>
      </c>
      <c r="BT70" s="458">
        <f>+Underwriting!CF48</f>
        <v>0</v>
      </c>
      <c r="BU70" s="458">
        <f>+Underwriting!CG48</f>
        <v>0</v>
      </c>
      <c r="BV70" s="458">
        <f>+Underwriting!CH48</f>
        <v>0</v>
      </c>
      <c r="BW70" s="458">
        <f>+Underwriting!CI48</f>
        <v>0</v>
      </c>
      <c r="BX70" s="458">
        <f>+Underwriting!CJ48</f>
        <v>0</v>
      </c>
      <c r="BY70" s="458">
        <f>+Underwriting!CK48</f>
        <v>0</v>
      </c>
      <c r="BZ70" s="458">
        <f>+Underwriting!CL48</f>
        <v>0</v>
      </c>
      <c r="CA70" s="458">
        <f>+Underwriting!CM48</f>
        <v>0</v>
      </c>
      <c r="CB70" s="458">
        <f>+Underwriting!CN48</f>
        <v>0</v>
      </c>
      <c r="CC70" s="458">
        <f>+Underwriting!CO48</f>
        <v>0</v>
      </c>
      <c r="CD70" s="458">
        <f>+Underwriting!CP48</f>
        <v>0</v>
      </c>
      <c r="CE70" s="458">
        <f>+Underwriting!CQ48</f>
        <v>0</v>
      </c>
      <c r="CF70" s="458">
        <f>+Underwriting!CR48</f>
        <v>0</v>
      </c>
      <c r="CG70" s="458">
        <f>+Underwriting!CS48</f>
        <v>0</v>
      </c>
      <c r="CH70" s="458">
        <f>+Underwriting!CT48</f>
        <v>0</v>
      </c>
      <c r="CI70" s="458">
        <f>+Underwriting!CU48</f>
        <v>0</v>
      </c>
      <c r="CJ70" s="458">
        <f>+Underwriting!CV48</f>
        <v>0</v>
      </c>
      <c r="CK70" s="458">
        <f>+Underwriting!CW48</f>
        <v>0</v>
      </c>
      <c r="CL70" s="458">
        <f>+Underwriting!CX48</f>
        <v>0</v>
      </c>
      <c r="CM70" s="458">
        <f>+Underwriting!CY48</f>
        <v>0</v>
      </c>
      <c r="CN70" s="458">
        <f>+Underwriting!CZ48</f>
        <v>0</v>
      </c>
      <c r="CO70" s="458">
        <f>+Underwriting!DA48</f>
        <v>0</v>
      </c>
      <c r="CP70" s="458">
        <f>+Underwriting!DB48</f>
        <v>0</v>
      </c>
      <c r="CQ70" s="458">
        <f>+Underwriting!DC48</f>
        <v>0</v>
      </c>
      <c r="CR70" s="458">
        <f>+Underwriting!DD48</f>
        <v>0</v>
      </c>
      <c r="CS70" s="458">
        <f>+Underwriting!DE48</f>
        <v>0</v>
      </c>
      <c r="CT70" s="458">
        <f>+Underwriting!DF48</f>
        <v>0</v>
      </c>
      <c r="CU70" s="458">
        <f>+Underwriting!DG48</f>
        <v>0</v>
      </c>
      <c r="CV70" s="458">
        <f>+Underwriting!DH48</f>
        <v>0</v>
      </c>
      <c r="CW70" s="458">
        <f>+Underwriting!DI48</f>
        <v>0</v>
      </c>
      <c r="CX70" s="458">
        <f>+Underwriting!DJ48</f>
        <v>0</v>
      </c>
      <c r="CY70" s="458">
        <f>+Underwriting!DK48</f>
        <v>0</v>
      </c>
      <c r="CZ70" s="458">
        <f>+Underwriting!DL48</f>
        <v>0</v>
      </c>
      <c r="DA70" s="458">
        <f>+Underwriting!DM48</f>
        <v>0</v>
      </c>
      <c r="DB70" s="458">
        <f>+Underwriting!DN48</f>
        <v>0</v>
      </c>
      <c r="DC70" s="458">
        <f>+Underwriting!DO48</f>
        <v>0</v>
      </c>
      <c r="DD70" s="458">
        <f>+Underwriting!DP48</f>
        <v>0</v>
      </c>
      <c r="DE70" s="458">
        <f>+Underwriting!DQ48</f>
        <v>0</v>
      </c>
      <c r="DF70" s="458">
        <f>+Underwriting!DR48</f>
        <v>0</v>
      </c>
      <c r="DG70" s="458">
        <f>+Underwriting!DS48</f>
        <v>0</v>
      </c>
      <c r="DH70" s="458">
        <f>+Underwriting!DT48</f>
        <v>0</v>
      </c>
      <c r="DI70" s="458">
        <f>+Underwriting!DU48</f>
        <v>0</v>
      </c>
      <c r="DJ70" s="458">
        <f>+Underwriting!DV48</f>
        <v>0</v>
      </c>
      <c r="DK70" s="458">
        <f>+Underwriting!DW48</f>
        <v>0</v>
      </c>
      <c r="DL70" s="458">
        <f>+Underwriting!DX48</f>
        <v>0</v>
      </c>
      <c r="DM70" s="458">
        <f>+Underwriting!DY48</f>
        <v>0</v>
      </c>
      <c r="DN70" s="458">
        <f>+Underwriting!DZ48</f>
        <v>0</v>
      </c>
      <c r="DO70" s="458">
        <f>+Underwriting!EA48</f>
        <v>0</v>
      </c>
      <c r="DP70" s="458">
        <f>+Underwriting!EB48</f>
        <v>0</v>
      </c>
      <c r="DQ70" s="458">
        <f>+Underwriting!EC48</f>
        <v>0</v>
      </c>
      <c r="DR70" s="458">
        <f>+Underwriting!ED48</f>
        <v>0</v>
      </c>
      <c r="DS70" s="458">
        <f>+Underwriting!EE48</f>
        <v>0</v>
      </c>
      <c r="DT70" s="458">
        <f>+Underwriting!EF48</f>
        <v>0</v>
      </c>
      <c r="DU70" s="458">
        <f>+Underwriting!EG48</f>
        <v>0</v>
      </c>
      <c r="DV70" s="458">
        <f>+Underwriting!EH48</f>
        <v>0</v>
      </c>
      <c r="DW70" s="458">
        <f>+Underwriting!EI48</f>
        <v>0</v>
      </c>
      <c r="DX70" s="458">
        <f>+Underwriting!EJ48</f>
        <v>0</v>
      </c>
      <c r="DY70" s="458">
        <f>+Underwriting!EK48</f>
        <v>0</v>
      </c>
      <c r="DZ70" s="458">
        <f>+Underwriting!EL48</f>
        <v>0</v>
      </c>
      <c r="EA70" s="458">
        <f>+Underwriting!EM48</f>
        <v>0</v>
      </c>
      <c r="EB70" s="458">
        <f>+Underwriting!EN48</f>
        <v>0</v>
      </c>
      <c r="EC70" s="458">
        <f>+Underwriting!EO48</f>
        <v>0</v>
      </c>
      <c r="ED70" s="458">
        <f>+Underwriting!EP48</f>
        <v>0</v>
      </c>
      <c r="EE70" s="458">
        <f>+Underwriting!EQ48</f>
        <v>0</v>
      </c>
      <c r="EF70" s="458">
        <f>+Underwriting!ER48</f>
        <v>0</v>
      </c>
      <c r="EG70" s="458">
        <f>+Underwriting!ES48</f>
        <v>0</v>
      </c>
      <c r="EH70" s="458">
        <f>+Underwriting!ET48</f>
        <v>0</v>
      </c>
      <c r="EI70" s="458">
        <f>+Underwriting!EU48</f>
        <v>0</v>
      </c>
    </row>
    <row r="71" spans="2:139" ht="5.0999999999999996" hidden="1" customHeight="1" outlineLevel="1" x14ac:dyDescent="0.25">
      <c r="B71" s="3"/>
      <c r="C71" s="3"/>
      <c r="D71" s="3"/>
      <c r="E71" s="3"/>
      <c r="F71" s="3"/>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8"/>
      <c r="BC71" s="458"/>
      <c r="BD71" s="458"/>
      <c r="BE71" s="458"/>
      <c r="BF71" s="458"/>
      <c r="BG71" s="458"/>
      <c r="BH71" s="458"/>
      <c r="BI71" s="458"/>
      <c r="BJ71" s="458"/>
      <c r="BK71" s="458"/>
      <c r="BL71" s="458"/>
      <c r="BM71" s="458"/>
      <c r="BN71" s="458"/>
      <c r="BO71" s="458"/>
      <c r="BP71" s="458"/>
      <c r="BQ71" s="458"/>
      <c r="BR71" s="458"/>
      <c r="BS71" s="458"/>
      <c r="BT71" s="458"/>
      <c r="BU71" s="458"/>
      <c r="BV71" s="458"/>
      <c r="BW71" s="458"/>
      <c r="BX71" s="458"/>
      <c r="BY71" s="458"/>
      <c r="BZ71" s="458"/>
      <c r="CA71" s="458"/>
      <c r="CB71" s="458"/>
      <c r="CC71" s="458"/>
      <c r="CD71" s="458"/>
      <c r="CE71" s="458"/>
      <c r="CF71" s="458"/>
      <c r="CG71" s="458"/>
      <c r="CH71" s="458"/>
      <c r="CI71" s="458"/>
      <c r="CJ71" s="458"/>
      <c r="CK71" s="458"/>
      <c r="CL71" s="458"/>
      <c r="CM71" s="458"/>
      <c r="CN71" s="458"/>
      <c r="CO71" s="458"/>
      <c r="CP71" s="458"/>
      <c r="CQ71" s="458"/>
      <c r="CR71" s="458"/>
      <c r="CS71" s="458"/>
      <c r="CT71" s="458"/>
      <c r="CU71" s="458"/>
      <c r="CV71" s="458"/>
      <c r="CW71" s="458"/>
      <c r="CX71" s="458"/>
      <c r="CY71" s="458"/>
      <c r="CZ71" s="458"/>
      <c r="DA71" s="458"/>
      <c r="DB71" s="458"/>
      <c r="DC71" s="458"/>
      <c r="DD71" s="458"/>
      <c r="DE71" s="458"/>
      <c r="DF71" s="458"/>
      <c r="DG71" s="458"/>
      <c r="DH71" s="458"/>
      <c r="DI71" s="458"/>
      <c r="DJ71" s="458"/>
      <c r="DK71" s="458"/>
      <c r="DL71" s="458"/>
      <c r="DM71" s="458"/>
      <c r="DN71" s="458"/>
      <c r="DO71" s="458"/>
      <c r="DP71" s="458"/>
      <c r="DQ71" s="458"/>
      <c r="DR71" s="458"/>
      <c r="DS71" s="458"/>
      <c r="DT71" s="458"/>
      <c r="DU71" s="458"/>
      <c r="DV71" s="458"/>
      <c r="DW71" s="458"/>
      <c r="DX71" s="458"/>
      <c r="DY71" s="458"/>
      <c r="DZ71" s="458"/>
      <c r="EA71" s="458"/>
      <c r="EB71" s="458"/>
      <c r="EC71" s="458"/>
      <c r="ED71" s="458"/>
      <c r="EE71" s="458"/>
      <c r="EF71" s="458"/>
      <c r="EG71" s="458"/>
      <c r="EH71" s="458"/>
      <c r="EI71" s="458"/>
    </row>
    <row r="72" spans="2:139" ht="14.25" hidden="1" customHeight="1" outlineLevel="1" x14ac:dyDescent="0.25">
      <c r="B72" s="3" t="s">
        <v>420</v>
      </c>
      <c r="C72" s="3"/>
      <c r="D72" s="3"/>
      <c r="E72" s="3"/>
      <c r="F72" s="3"/>
      <c r="G72" s="458">
        <f>+G68+G70</f>
        <v>63260773.958333336</v>
      </c>
      <c r="H72" s="458">
        <f t="shared" ref="H72:BS72" si="45">+H68+H70</f>
        <v>223273.95833333331</v>
      </c>
      <c r="I72" s="458">
        <f t="shared" si="45"/>
        <v>223273.95833333331</v>
      </c>
      <c r="J72" s="458">
        <f t="shared" si="45"/>
        <v>223273.9583333332</v>
      </c>
      <c r="K72" s="458">
        <f t="shared" si="45"/>
        <v>223273.9583333334</v>
      </c>
      <c r="L72" s="458">
        <f t="shared" si="45"/>
        <v>223273.9583333332</v>
      </c>
      <c r="M72" s="458">
        <f t="shared" si="45"/>
        <v>223273.9583333334</v>
      </c>
      <c r="N72" s="458">
        <f t="shared" si="45"/>
        <v>223273.95833333308</v>
      </c>
      <c r="O72" s="458">
        <f t="shared" si="45"/>
        <v>223273.9583333334</v>
      </c>
      <c r="P72" s="458">
        <f t="shared" si="45"/>
        <v>223273.9583333334</v>
      </c>
      <c r="Q72" s="458">
        <f t="shared" si="45"/>
        <v>223273.95833333308</v>
      </c>
      <c r="R72" s="458">
        <f t="shared" si="45"/>
        <v>223273.9583333334</v>
      </c>
      <c r="S72" s="458">
        <f t="shared" si="45"/>
        <v>223273.95833333308</v>
      </c>
      <c r="T72" s="458">
        <f t="shared" si="45"/>
        <v>223273.95833333363</v>
      </c>
      <c r="U72" s="458">
        <f t="shared" si="45"/>
        <v>223273.95833333308</v>
      </c>
      <c r="V72" s="458">
        <f t="shared" si="45"/>
        <v>223273.95833333308</v>
      </c>
      <c r="W72" s="458">
        <f t="shared" si="45"/>
        <v>223273.95833333363</v>
      </c>
      <c r="X72" s="458">
        <f t="shared" si="45"/>
        <v>223273.95833333308</v>
      </c>
      <c r="Y72" s="458">
        <f t="shared" si="45"/>
        <v>223273.95833333308</v>
      </c>
      <c r="Z72" s="458">
        <f t="shared" si="45"/>
        <v>223273.95833333363</v>
      </c>
      <c r="AA72" s="458">
        <f t="shared" si="45"/>
        <v>223273.95833333308</v>
      </c>
      <c r="AB72" s="458">
        <f t="shared" si="45"/>
        <v>223273.95833333308</v>
      </c>
      <c r="AC72" s="458">
        <f t="shared" si="45"/>
        <v>223273.95833333363</v>
      </c>
      <c r="AD72" s="458">
        <f t="shared" si="45"/>
        <v>223273.95833333308</v>
      </c>
      <c r="AE72" s="458">
        <f t="shared" si="45"/>
        <v>0</v>
      </c>
      <c r="AF72" s="458">
        <f t="shared" si="45"/>
        <v>0</v>
      </c>
      <c r="AG72" s="458">
        <f t="shared" si="45"/>
        <v>0</v>
      </c>
      <c r="AH72" s="458">
        <f t="shared" si="45"/>
        <v>0</v>
      </c>
      <c r="AI72" s="458">
        <f t="shared" si="45"/>
        <v>0</v>
      </c>
      <c r="AJ72" s="458">
        <f t="shared" si="45"/>
        <v>0</v>
      </c>
      <c r="AK72" s="458">
        <f t="shared" si="45"/>
        <v>0</v>
      </c>
      <c r="AL72" s="458">
        <f t="shared" si="45"/>
        <v>0</v>
      </c>
      <c r="AM72" s="458">
        <f t="shared" si="45"/>
        <v>0</v>
      </c>
      <c r="AN72" s="458">
        <f t="shared" si="45"/>
        <v>0</v>
      </c>
      <c r="AO72" s="458">
        <f t="shared" si="45"/>
        <v>0</v>
      </c>
      <c r="AP72" s="458">
        <f t="shared" si="45"/>
        <v>0</v>
      </c>
      <c r="AQ72" s="458">
        <f t="shared" si="45"/>
        <v>0</v>
      </c>
      <c r="AR72" s="458">
        <f t="shared" si="45"/>
        <v>0</v>
      </c>
      <c r="AS72" s="458">
        <f t="shared" si="45"/>
        <v>0</v>
      </c>
      <c r="AT72" s="458">
        <f t="shared" si="45"/>
        <v>0</v>
      </c>
      <c r="AU72" s="458">
        <f t="shared" si="45"/>
        <v>0</v>
      </c>
      <c r="AV72" s="458">
        <f t="shared" si="45"/>
        <v>0</v>
      </c>
      <c r="AW72" s="458">
        <f t="shared" si="45"/>
        <v>0</v>
      </c>
      <c r="AX72" s="458">
        <f t="shared" si="45"/>
        <v>0</v>
      </c>
      <c r="AY72" s="458">
        <f t="shared" si="45"/>
        <v>0</v>
      </c>
      <c r="AZ72" s="458">
        <f t="shared" si="45"/>
        <v>0</v>
      </c>
      <c r="BA72" s="458">
        <f t="shared" si="45"/>
        <v>0</v>
      </c>
      <c r="BB72" s="458">
        <f t="shared" si="45"/>
        <v>0</v>
      </c>
      <c r="BC72" s="458">
        <f t="shared" si="45"/>
        <v>0</v>
      </c>
      <c r="BD72" s="458">
        <f t="shared" si="45"/>
        <v>0</v>
      </c>
      <c r="BE72" s="458">
        <f t="shared" si="45"/>
        <v>0</v>
      </c>
      <c r="BF72" s="458">
        <f t="shared" si="45"/>
        <v>0</v>
      </c>
      <c r="BG72" s="458">
        <f t="shared" si="45"/>
        <v>0</v>
      </c>
      <c r="BH72" s="458">
        <f t="shared" si="45"/>
        <v>0</v>
      </c>
      <c r="BI72" s="458">
        <f t="shared" si="45"/>
        <v>0</v>
      </c>
      <c r="BJ72" s="458">
        <f t="shared" si="45"/>
        <v>0</v>
      </c>
      <c r="BK72" s="458">
        <f t="shared" si="45"/>
        <v>0</v>
      </c>
      <c r="BL72" s="458">
        <f t="shared" si="45"/>
        <v>0</v>
      </c>
      <c r="BM72" s="458">
        <f t="shared" si="45"/>
        <v>0</v>
      </c>
      <c r="BN72" s="458">
        <f t="shared" si="45"/>
        <v>0</v>
      </c>
      <c r="BO72" s="458">
        <f t="shared" si="45"/>
        <v>0</v>
      </c>
      <c r="BP72" s="458">
        <f t="shared" si="45"/>
        <v>0</v>
      </c>
      <c r="BQ72" s="458">
        <f t="shared" si="45"/>
        <v>0</v>
      </c>
      <c r="BR72" s="458">
        <f t="shared" si="45"/>
        <v>0</v>
      </c>
      <c r="BS72" s="458">
        <f t="shared" si="45"/>
        <v>0</v>
      </c>
      <c r="BT72" s="458">
        <f t="shared" ref="BT72:EE72" si="46">+BT68+BT70</f>
        <v>0</v>
      </c>
      <c r="BU72" s="458">
        <f t="shared" si="46"/>
        <v>0</v>
      </c>
      <c r="BV72" s="458">
        <f t="shared" si="46"/>
        <v>0</v>
      </c>
      <c r="BW72" s="458">
        <f t="shared" si="46"/>
        <v>0</v>
      </c>
      <c r="BX72" s="458">
        <f t="shared" si="46"/>
        <v>0</v>
      </c>
      <c r="BY72" s="458">
        <f t="shared" si="46"/>
        <v>0</v>
      </c>
      <c r="BZ72" s="458">
        <f t="shared" si="46"/>
        <v>0</v>
      </c>
      <c r="CA72" s="458">
        <f t="shared" si="46"/>
        <v>0</v>
      </c>
      <c r="CB72" s="458">
        <f t="shared" si="46"/>
        <v>0</v>
      </c>
      <c r="CC72" s="458">
        <f t="shared" si="46"/>
        <v>0</v>
      </c>
      <c r="CD72" s="458">
        <f t="shared" si="46"/>
        <v>0</v>
      </c>
      <c r="CE72" s="458">
        <f t="shared" si="46"/>
        <v>0</v>
      </c>
      <c r="CF72" s="458">
        <f t="shared" si="46"/>
        <v>0</v>
      </c>
      <c r="CG72" s="458">
        <f t="shared" si="46"/>
        <v>0</v>
      </c>
      <c r="CH72" s="458">
        <f t="shared" si="46"/>
        <v>0</v>
      </c>
      <c r="CI72" s="458">
        <f t="shared" si="46"/>
        <v>0</v>
      </c>
      <c r="CJ72" s="458">
        <f t="shared" si="46"/>
        <v>0</v>
      </c>
      <c r="CK72" s="458">
        <f t="shared" si="46"/>
        <v>0</v>
      </c>
      <c r="CL72" s="458">
        <f t="shared" si="46"/>
        <v>0</v>
      </c>
      <c r="CM72" s="458">
        <f t="shared" si="46"/>
        <v>0</v>
      </c>
      <c r="CN72" s="458">
        <f t="shared" si="46"/>
        <v>0</v>
      </c>
      <c r="CO72" s="458">
        <f t="shared" si="46"/>
        <v>0</v>
      </c>
      <c r="CP72" s="458">
        <f t="shared" si="46"/>
        <v>0</v>
      </c>
      <c r="CQ72" s="458">
        <f t="shared" si="46"/>
        <v>0</v>
      </c>
      <c r="CR72" s="458">
        <f t="shared" si="46"/>
        <v>0</v>
      </c>
      <c r="CS72" s="458">
        <f t="shared" si="46"/>
        <v>0</v>
      </c>
      <c r="CT72" s="458">
        <f t="shared" si="46"/>
        <v>0</v>
      </c>
      <c r="CU72" s="458">
        <f t="shared" si="46"/>
        <v>0</v>
      </c>
      <c r="CV72" s="458">
        <f t="shared" si="46"/>
        <v>0</v>
      </c>
      <c r="CW72" s="458">
        <f t="shared" si="46"/>
        <v>0</v>
      </c>
      <c r="CX72" s="458">
        <f t="shared" si="46"/>
        <v>0</v>
      </c>
      <c r="CY72" s="458">
        <f t="shared" si="46"/>
        <v>0</v>
      </c>
      <c r="CZ72" s="458">
        <f t="shared" si="46"/>
        <v>0</v>
      </c>
      <c r="DA72" s="458">
        <f t="shared" si="46"/>
        <v>0</v>
      </c>
      <c r="DB72" s="458">
        <f t="shared" si="46"/>
        <v>0</v>
      </c>
      <c r="DC72" s="458">
        <f t="shared" si="46"/>
        <v>0</v>
      </c>
      <c r="DD72" s="458">
        <f t="shared" si="46"/>
        <v>0</v>
      </c>
      <c r="DE72" s="458">
        <f t="shared" si="46"/>
        <v>0</v>
      </c>
      <c r="DF72" s="458">
        <f t="shared" si="46"/>
        <v>0</v>
      </c>
      <c r="DG72" s="458">
        <f t="shared" si="46"/>
        <v>0</v>
      </c>
      <c r="DH72" s="458">
        <f t="shared" si="46"/>
        <v>0</v>
      </c>
      <c r="DI72" s="458">
        <f t="shared" si="46"/>
        <v>0</v>
      </c>
      <c r="DJ72" s="458">
        <f t="shared" si="46"/>
        <v>0</v>
      </c>
      <c r="DK72" s="458">
        <f t="shared" si="46"/>
        <v>0</v>
      </c>
      <c r="DL72" s="458">
        <f t="shared" si="46"/>
        <v>0</v>
      </c>
      <c r="DM72" s="458">
        <f t="shared" si="46"/>
        <v>0</v>
      </c>
      <c r="DN72" s="458">
        <f t="shared" si="46"/>
        <v>0</v>
      </c>
      <c r="DO72" s="458">
        <f t="shared" si="46"/>
        <v>0</v>
      </c>
      <c r="DP72" s="458">
        <f t="shared" si="46"/>
        <v>0</v>
      </c>
      <c r="DQ72" s="458">
        <f t="shared" si="46"/>
        <v>0</v>
      </c>
      <c r="DR72" s="458">
        <f t="shared" si="46"/>
        <v>0</v>
      </c>
      <c r="DS72" s="458">
        <f t="shared" si="46"/>
        <v>0</v>
      </c>
      <c r="DT72" s="458">
        <f t="shared" si="46"/>
        <v>0</v>
      </c>
      <c r="DU72" s="458">
        <f t="shared" si="46"/>
        <v>0</v>
      </c>
      <c r="DV72" s="458">
        <f t="shared" si="46"/>
        <v>0</v>
      </c>
      <c r="DW72" s="458">
        <f t="shared" si="46"/>
        <v>0</v>
      </c>
      <c r="DX72" s="458">
        <f t="shared" si="46"/>
        <v>0</v>
      </c>
      <c r="DY72" s="458">
        <f t="shared" si="46"/>
        <v>0</v>
      </c>
      <c r="DZ72" s="458">
        <f t="shared" si="46"/>
        <v>0</v>
      </c>
      <c r="EA72" s="458">
        <f t="shared" si="46"/>
        <v>0</v>
      </c>
      <c r="EB72" s="458">
        <f t="shared" si="46"/>
        <v>0</v>
      </c>
      <c r="EC72" s="458">
        <f t="shared" si="46"/>
        <v>0</v>
      </c>
      <c r="ED72" s="458">
        <f t="shared" si="46"/>
        <v>0</v>
      </c>
      <c r="EE72" s="458">
        <f t="shared" si="46"/>
        <v>0</v>
      </c>
      <c r="EF72" s="458">
        <f t="shared" ref="EF72:EI72" si="47">+EF68+EF70</f>
        <v>0</v>
      </c>
      <c r="EG72" s="458">
        <f t="shared" si="47"/>
        <v>0</v>
      </c>
      <c r="EH72" s="458">
        <f t="shared" si="47"/>
        <v>0</v>
      </c>
      <c r="EI72" s="458">
        <f t="shared" si="47"/>
        <v>0</v>
      </c>
    </row>
    <row r="73" spans="2:139" ht="5.0999999999999996" hidden="1" customHeight="1" outlineLevel="1" x14ac:dyDescent="0.25">
      <c r="B73" s="3"/>
      <c r="C73" s="3"/>
      <c r="D73" s="3"/>
      <c r="E73" s="3"/>
      <c r="F73" s="3"/>
      <c r="G73" s="458"/>
      <c r="H73" s="458"/>
      <c r="I73" s="458"/>
      <c r="J73" s="458"/>
      <c r="K73" s="458"/>
      <c r="L73" s="458"/>
      <c r="M73" s="458"/>
      <c r="N73" s="458"/>
      <c r="O73" s="458"/>
      <c r="P73" s="458"/>
      <c r="Q73" s="458"/>
      <c r="R73" s="458"/>
      <c r="S73" s="458"/>
      <c r="T73" s="458"/>
      <c r="U73" s="458"/>
      <c r="V73" s="458"/>
      <c r="W73" s="458"/>
      <c r="X73" s="458"/>
      <c r="Y73" s="458"/>
      <c r="Z73" s="458"/>
      <c r="AA73" s="458"/>
      <c r="AB73" s="458"/>
      <c r="AC73" s="458"/>
      <c r="AD73" s="458"/>
      <c r="AE73" s="458"/>
      <c r="AF73" s="458"/>
      <c r="AG73" s="458"/>
      <c r="AH73" s="458"/>
      <c r="AI73" s="458"/>
      <c r="AJ73" s="458"/>
      <c r="AK73" s="458"/>
      <c r="AL73" s="458"/>
      <c r="AM73" s="458"/>
      <c r="AN73" s="458"/>
      <c r="AO73" s="458"/>
      <c r="AP73" s="458"/>
      <c r="AQ73" s="458"/>
      <c r="AR73" s="458"/>
      <c r="AS73" s="458"/>
      <c r="AT73" s="458"/>
      <c r="AU73" s="458"/>
      <c r="AV73" s="458"/>
      <c r="AW73" s="458"/>
      <c r="AX73" s="458"/>
      <c r="AY73" s="458"/>
      <c r="AZ73" s="458"/>
      <c r="BA73" s="458"/>
      <c r="BB73" s="458"/>
      <c r="BC73" s="458"/>
      <c r="BD73" s="458"/>
      <c r="BE73" s="458"/>
      <c r="BF73" s="458"/>
      <c r="BG73" s="458"/>
      <c r="BH73" s="458"/>
      <c r="BI73" s="458"/>
      <c r="BJ73" s="458"/>
      <c r="BK73" s="458"/>
      <c r="BL73" s="458"/>
      <c r="BM73" s="458"/>
      <c r="BN73" s="458"/>
      <c r="BO73" s="458"/>
      <c r="BP73" s="458"/>
      <c r="BQ73" s="458"/>
      <c r="BR73" s="458"/>
      <c r="BS73" s="458"/>
      <c r="BT73" s="458"/>
      <c r="BU73" s="458"/>
      <c r="BV73" s="458"/>
      <c r="BW73" s="458"/>
      <c r="BX73" s="458"/>
      <c r="BY73" s="458"/>
      <c r="BZ73" s="458"/>
      <c r="CA73" s="458"/>
      <c r="CB73" s="458"/>
      <c r="CC73" s="458"/>
      <c r="CD73" s="458"/>
      <c r="CE73" s="458"/>
      <c r="CF73" s="458"/>
      <c r="CG73" s="458"/>
      <c r="CH73" s="458"/>
      <c r="CI73" s="458"/>
      <c r="CJ73" s="458"/>
      <c r="CK73" s="458"/>
      <c r="CL73" s="458"/>
      <c r="CM73" s="458"/>
      <c r="CN73" s="458"/>
      <c r="CO73" s="458"/>
      <c r="CP73" s="458"/>
      <c r="CQ73" s="458"/>
      <c r="CR73" s="458"/>
      <c r="CS73" s="458"/>
      <c r="CT73" s="458"/>
      <c r="CU73" s="458"/>
      <c r="CV73" s="458"/>
      <c r="CW73" s="458"/>
      <c r="CX73" s="458"/>
      <c r="CY73" s="458"/>
      <c r="CZ73" s="458"/>
      <c r="DA73" s="458"/>
      <c r="DB73" s="458"/>
      <c r="DC73" s="458"/>
      <c r="DD73" s="458"/>
      <c r="DE73" s="458"/>
      <c r="DF73" s="458"/>
      <c r="DG73" s="458"/>
      <c r="DH73" s="458"/>
      <c r="DI73" s="458"/>
      <c r="DJ73" s="458"/>
      <c r="DK73" s="458"/>
      <c r="DL73" s="458"/>
      <c r="DM73" s="458"/>
      <c r="DN73" s="458"/>
      <c r="DO73" s="458"/>
      <c r="DP73" s="458"/>
      <c r="DQ73" s="458"/>
      <c r="DR73" s="458"/>
      <c r="DS73" s="458"/>
      <c r="DT73" s="458"/>
      <c r="DU73" s="458"/>
      <c r="DV73" s="458"/>
      <c r="DW73" s="458"/>
      <c r="DX73" s="458"/>
      <c r="DY73" s="458"/>
      <c r="DZ73" s="458"/>
      <c r="EA73" s="458"/>
      <c r="EB73" s="458"/>
      <c r="EC73" s="458"/>
      <c r="ED73" s="458"/>
      <c r="EE73" s="458"/>
      <c r="EF73" s="458"/>
      <c r="EG73" s="458"/>
      <c r="EH73" s="458"/>
      <c r="EI73" s="458"/>
    </row>
    <row r="74" spans="2:139" ht="14.25" hidden="1" customHeight="1" outlineLevel="1" x14ac:dyDescent="0.25">
      <c r="B74" s="3" t="s">
        <v>44</v>
      </c>
      <c r="C74" s="3"/>
      <c r="D74" s="3"/>
      <c r="E74" s="3"/>
      <c r="F74" s="3"/>
      <c r="G74" s="458">
        <f>+Underwriting!S71</f>
        <v>63992023.958333336</v>
      </c>
      <c r="H74" s="458">
        <f>+Underwriting!T71</f>
        <v>223273.95833333331</v>
      </c>
      <c r="I74" s="458">
        <f>+Underwriting!U71</f>
        <v>223273.95833333331</v>
      </c>
      <c r="J74" s="458">
        <f>+Underwriting!V71</f>
        <v>223273.9583333332</v>
      </c>
      <c r="K74" s="458">
        <f>+Underwriting!W71</f>
        <v>223273.9583333334</v>
      </c>
      <c r="L74" s="458">
        <f>+Underwriting!X71</f>
        <v>223273.9583333332</v>
      </c>
      <c r="M74" s="458">
        <f>+Underwriting!Y71</f>
        <v>223273.9583333334</v>
      </c>
      <c r="N74" s="458">
        <f>+Underwriting!Z71</f>
        <v>223273.95833333308</v>
      </c>
      <c r="O74" s="458">
        <f>+Underwriting!AA71</f>
        <v>223273.9583333334</v>
      </c>
      <c r="P74" s="458">
        <f>+Underwriting!AB71</f>
        <v>223273.9583333334</v>
      </c>
      <c r="Q74" s="458">
        <f>+Underwriting!AC71</f>
        <v>223273.95833333308</v>
      </c>
      <c r="R74" s="458">
        <f>+Underwriting!AD71</f>
        <v>223273.9583333334</v>
      </c>
      <c r="S74" s="458">
        <f>+Underwriting!AE71</f>
        <v>223273.95833333308</v>
      </c>
      <c r="T74" s="458">
        <f>+Underwriting!AF71</f>
        <v>223273.95833333363</v>
      </c>
      <c r="U74" s="458">
        <f>+Underwriting!AG71</f>
        <v>223273.95833333308</v>
      </c>
      <c r="V74" s="458">
        <f>+Underwriting!AH71</f>
        <v>223273.95833333308</v>
      </c>
      <c r="W74" s="458">
        <f>+Underwriting!AI71</f>
        <v>223273.95833333363</v>
      </c>
      <c r="X74" s="458">
        <f>+Underwriting!AJ71</f>
        <v>223273.95833333308</v>
      </c>
      <c r="Y74" s="458">
        <f>+Underwriting!AK71</f>
        <v>223273.95833333308</v>
      </c>
      <c r="Z74" s="458">
        <f>+Underwriting!AL71</f>
        <v>223273.95833333363</v>
      </c>
      <c r="AA74" s="458">
        <f>+Underwriting!AM71</f>
        <v>223273.95833333308</v>
      </c>
      <c r="AB74" s="458">
        <f>+Underwriting!AN71</f>
        <v>223273.95833333308</v>
      </c>
      <c r="AC74" s="458">
        <f>+Underwriting!AO71</f>
        <v>223273.95833333363</v>
      </c>
      <c r="AD74" s="458">
        <f>+Underwriting!AP71</f>
        <v>223273.95833333308</v>
      </c>
      <c r="AE74" s="458">
        <f>+Underwriting!AQ71</f>
        <v>0</v>
      </c>
      <c r="AF74" s="458">
        <f>+Underwriting!AR71</f>
        <v>0</v>
      </c>
      <c r="AG74" s="458">
        <f>+Underwriting!AS71</f>
        <v>0</v>
      </c>
      <c r="AH74" s="458">
        <f>+Underwriting!AT71</f>
        <v>0</v>
      </c>
      <c r="AI74" s="458">
        <f>+Underwriting!AU71</f>
        <v>0</v>
      </c>
      <c r="AJ74" s="458">
        <f>+Underwriting!AV71</f>
        <v>0</v>
      </c>
      <c r="AK74" s="458">
        <f>+Underwriting!AW71</f>
        <v>0</v>
      </c>
      <c r="AL74" s="458">
        <f>+Underwriting!AX71</f>
        <v>0</v>
      </c>
      <c r="AM74" s="458">
        <f>+Underwriting!AY71</f>
        <v>0</v>
      </c>
      <c r="AN74" s="458">
        <f>+Underwriting!AZ71</f>
        <v>0</v>
      </c>
      <c r="AO74" s="458">
        <f>+Underwriting!BA71</f>
        <v>0</v>
      </c>
      <c r="AP74" s="458">
        <f>+Underwriting!BB71</f>
        <v>0</v>
      </c>
      <c r="AQ74" s="458">
        <f>+Underwriting!BC71</f>
        <v>0</v>
      </c>
      <c r="AR74" s="458">
        <f>+Underwriting!BD71</f>
        <v>0</v>
      </c>
      <c r="AS74" s="458">
        <f>+Underwriting!BE71</f>
        <v>0</v>
      </c>
      <c r="AT74" s="458">
        <f>+Underwriting!BF71</f>
        <v>0</v>
      </c>
      <c r="AU74" s="458">
        <f>+Underwriting!BG71</f>
        <v>0</v>
      </c>
      <c r="AV74" s="458">
        <f>+Underwriting!BH71</f>
        <v>0</v>
      </c>
      <c r="AW74" s="458">
        <f>+Underwriting!BI71</f>
        <v>0</v>
      </c>
      <c r="AX74" s="458">
        <f>+Underwriting!BJ71</f>
        <v>0</v>
      </c>
      <c r="AY74" s="458">
        <f>+Underwriting!BK71</f>
        <v>0</v>
      </c>
      <c r="AZ74" s="458">
        <f>+Underwriting!BL71</f>
        <v>0</v>
      </c>
      <c r="BA74" s="458">
        <f>+Underwriting!BM71</f>
        <v>0</v>
      </c>
      <c r="BB74" s="458">
        <f>+Underwriting!BN71</f>
        <v>0</v>
      </c>
      <c r="BC74" s="458">
        <f>+Underwriting!BO71</f>
        <v>0</v>
      </c>
      <c r="BD74" s="458">
        <f>+Underwriting!BP71</f>
        <v>0</v>
      </c>
      <c r="BE74" s="458">
        <f>+Underwriting!BQ71</f>
        <v>0</v>
      </c>
      <c r="BF74" s="458">
        <f>+Underwriting!BR71</f>
        <v>0</v>
      </c>
      <c r="BG74" s="458">
        <f>+Underwriting!BS71</f>
        <v>0</v>
      </c>
      <c r="BH74" s="458">
        <f>+Underwriting!BT71</f>
        <v>0</v>
      </c>
      <c r="BI74" s="458">
        <f>+Underwriting!BU71</f>
        <v>0</v>
      </c>
      <c r="BJ74" s="458">
        <f>+Underwriting!BV71</f>
        <v>0</v>
      </c>
      <c r="BK74" s="458">
        <f>+Underwriting!BW71</f>
        <v>0</v>
      </c>
      <c r="BL74" s="458">
        <f>+Underwriting!BX71</f>
        <v>0</v>
      </c>
      <c r="BM74" s="458">
        <f>+Underwriting!BY71</f>
        <v>0</v>
      </c>
      <c r="BN74" s="458">
        <f>+Underwriting!BZ71</f>
        <v>0</v>
      </c>
      <c r="BO74" s="458">
        <f>+Underwriting!CA71</f>
        <v>0</v>
      </c>
      <c r="BP74" s="458">
        <f>+Underwriting!CB71</f>
        <v>0</v>
      </c>
      <c r="BQ74" s="458">
        <f>+Underwriting!CC71</f>
        <v>0</v>
      </c>
      <c r="BR74" s="458">
        <f>+Underwriting!CD71</f>
        <v>0</v>
      </c>
      <c r="BS74" s="458">
        <f>+Underwriting!CE71</f>
        <v>0</v>
      </c>
      <c r="BT74" s="458">
        <f>+Underwriting!CF71</f>
        <v>0</v>
      </c>
      <c r="BU74" s="458">
        <f>+Underwriting!CG71</f>
        <v>0</v>
      </c>
      <c r="BV74" s="458">
        <f>+Underwriting!CH71</f>
        <v>0</v>
      </c>
      <c r="BW74" s="458">
        <f>+Underwriting!CI71</f>
        <v>0</v>
      </c>
      <c r="BX74" s="458">
        <f>+Underwriting!CJ71</f>
        <v>0</v>
      </c>
      <c r="BY74" s="458">
        <f>+Underwriting!CK71</f>
        <v>0</v>
      </c>
      <c r="BZ74" s="458">
        <f>+Underwriting!CL71</f>
        <v>0</v>
      </c>
      <c r="CA74" s="458">
        <f>+Underwriting!CM71</f>
        <v>0</v>
      </c>
      <c r="CB74" s="458">
        <f>+Underwriting!CN71</f>
        <v>0</v>
      </c>
      <c r="CC74" s="458">
        <f>+Underwriting!CO71</f>
        <v>0</v>
      </c>
      <c r="CD74" s="458">
        <f>+Underwriting!CP71</f>
        <v>0</v>
      </c>
      <c r="CE74" s="458">
        <f>+Underwriting!CQ71</f>
        <v>0</v>
      </c>
      <c r="CF74" s="458">
        <f>+Underwriting!CR71</f>
        <v>0</v>
      </c>
      <c r="CG74" s="458">
        <f>+Underwriting!CS71</f>
        <v>0</v>
      </c>
      <c r="CH74" s="458">
        <f>+Underwriting!CT71</f>
        <v>0</v>
      </c>
      <c r="CI74" s="458">
        <f>+Underwriting!CU71</f>
        <v>0</v>
      </c>
      <c r="CJ74" s="458">
        <f>+Underwriting!CV71</f>
        <v>0</v>
      </c>
      <c r="CK74" s="458">
        <f>+Underwriting!CW71</f>
        <v>0</v>
      </c>
      <c r="CL74" s="458">
        <f>+Underwriting!CX71</f>
        <v>0</v>
      </c>
      <c r="CM74" s="458">
        <f>+Underwriting!CY71</f>
        <v>0</v>
      </c>
      <c r="CN74" s="458">
        <f>+Underwriting!CZ71</f>
        <v>0</v>
      </c>
      <c r="CO74" s="458">
        <f>+Underwriting!DA71</f>
        <v>0</v>
      </c>
      <c r="CP74" s="458">
        <f>+Underwriting!DB71</f>
        <v>0</v>
      </c>
      <c r="CQ74" s="458">
        <f>+Underwriting!DC71</f>
        <v>0</v>
      </c>
      <c r="CR74" s="458">
        <f>+Underwriting!DD71</f>
        <v>0</v>
      </c>
      <c r="CS74" s="458">
        <f>+Underwriting!DE71</f>
        <v>0</v>
      </c>
      <c r="CT74" s="458">
        <f>+Underwriting!DF71</f>
        <v>0</v>
      </c>
      <c r="CU74" s="458">
        <f>+Underwriting!DG71</f>
        <v>0</v>
      </c>
      <c r="CV74" s="458">
        <f>+Underwriting!DH71</f>
        <v>0</v>
      </c>
      <c r="CW74" s="458">
        <f>+Underwriting!DI71</f>
        <v>0</v>
      </c>
      <c r="CX74" s="458">
        <f>+Underwriting!DJ71</f>
        <v>0</v>
      </c>
      <c r="CY74" s="458">
        <f>+Underwriting!DK71</f>
        <v>0</v>
      </c>
      <c r="CZ74" s="458">
        <f>+Underwriting!DL71</f>
        <v>0</v>
      </c>
      <c r="DA74" s="458">
        <f>+Underwriting!DM71</f>
        <v>0</v>
      </c>
      <c r="DB74" s="458">
        <f>+Underwriting!DN71</f>
        <v>0</v>
      </c>
      <c r="DC74" s="458">
        <f>+Underwriting!DO71</f>
        <v>0</v>
      </c>
      <c r="DD74" s="458">
        <f>+Underwriting!DP71</f>
        <v>0</v>
      </c>
      <c r="DE74" s="458">
        <f>+Underwriting!DQ71</f>
        <v>0</v>
      </c>
      <c r="DF74" s="458">
        <f>+Underwriting!DR71</f>
        <v>0</v>
      </c>
      <c r="DG74" s="458">
        <f>+Underwriting!DS71</f>
        <v>0</v>
      </c>
      <c r="DH74" s="458">
        <f>+Underwriting!DT71</f>
        <v>0</v>
      </c>
      <c r="DI74" s="458">
        <f>+Underwriting!DU71</f>
        <v>0</v>
      </c>
      <c r="DJ74" s="458">
        <f>+Underwriting!DV71</f>
        <v>0</v>
      </c>
      <c r="DK74" s="458">
        <f>+Underwriting!DW71</f>
        <v>0</v>
      </c>
      <c r="DL74" s="458">
        <f>+Underwriting!DX71</f>
        <v>0</v>
      </c>
      <c r="DM74" s="458">
        <f>+Underwriting!DY71</f>
        <v>0</v>
      </c>
      <c r="DN74" s="458">
        <f>+Underwriting!DZ71</f>
        <v>0</v>
      </c>
      <c r="DO74" s="458">
        <f>+Underwriting!EA71</f>
        <v>0</v>
      </c>
      <c r="DP74" s="458">
        <f>+Underwriting!EB71</f>
        <v>0</v>
      </c>
      <c r="DQ74" s="458">
        <f>+Underwriting!EC71</f>
        <v>0</v>
      </c>
      <c r="DR74" s="458">
        <f>+Underwriting!ED71</f>
        <v>0</v>
      </c>
      <c r="DS74" s="458">
        <f>+Underwriting!EE71</f>
        <v>0</v>
      </c>
      <c r="DT74" s="458">
        <f>+Underwriting!EF71</f>
        <v>0</v>
      </c>
      <c r="DU74" s="458">
        <f>+Underwriting!EG71</f>
        <v>0</v>
      </c>
      <c r="DV74" s="458">
        <f>+Underwriting!EH71</f>
        <v>0</v>
      </c>
      <c r="DW74" s="458">
        <f>+Underwriting!EI71</f>
        <v>0</v>
      </c>
      <c r="DX74" s="458">
        <f>+Underwriting!EJ71</f>
        <v>0</v>
      </c>
      <c r="DY74" s="458">
        <f>+Underwriting!EK71</f>
        <v>0</v>
      </c>
      <c r="DZ74" s="458">
        <f>+Underwriting!EL71</f>
        <v>0</v>
      </c>
      <c r="EA74" s="458">
        <f>+Underwriting!EM71</f>
        <v>0</v>
      </c>
      <c r="EB74" s="458">
        <f>+Underwriting!EN71</f>
        <v>0</v>
      </c>
      <c r="EC74" s="458">
        <f>+Underwriting!EO71</f>
        <v>0</v>
      </c>
      <c r="ED74" s="458">
        <f>+Underwriting!EP71</f>
        <v>0</v>
      </c>
      <c r="EE74" s="458">
        <f>+Underwriting!EQ71</f>
        <v>0</v>
      </c>
      <c r="EF74" s="458">
        <f>+Underwriting!ER71</f>
        <v>0</v>
      </c>
      <c r="EG74" s="458">
        <f>+Underwriting!ES71</f>
        <v>0</v>
      </c>
      <c r="EH74" s="458">
        <f>+Underwriting!ET71</f>
        <v>0</v>
      </c>
      <c r="EI74" s="458">
        <f>+Underwriting!EU71</f>
        <v>0</v>
      </c>
    </row>
    <row r="75" spans="2:139" ht="14.25" hidden="1" customHeight="1" outlineLevel="1" x14ac:dyDescent="0.25">
      <c r="B75" s="3" t="s">
        <v>27</v>
      </c>
      <c r="C75" s="3"/>
      <c r="D75" s="3"/>
      <c r="E75" s="3"/>
      <c r="F75" s="3"/>
      <c r="G75" s="458">
        <f>+G72</f>
        <v>63260773.958333336</v>
      </c>
      <c r="H75" s="458">
        <f t="shared" ref="H75:BS75" si="48">+H72</f>
        <v>223273.95833333331</v>
      </c>
      <c r="I75" s="458">
        <f t="shared" si="48"/>
        <v>223273.95833333331</v>
      </c>
      <c r="J75" s="458">
        <f t="shared" si="48"/>
        <v>223273.9583333332</v>
      </c>
      <c r="K75" s="458">
        <f t="shared" si="48"/>
        <v>223273.9583333334</v>
      </c>
      <c r="L75" s="458">
        <f t="shared" si="48"/>
        <v>223273.9583333332</v>
      </c>
      <c r="M75" s="458">
        <f t="shared" si="48"/>
        <v>223273.9583333334</v>
      </c>
      <c r="N75" s="458">
        <f t="shared" si="48"/>
        <v>223273.95833333308</v>
      </c>
      <c r="O75" s="458">
        <f t="shared" si="48"/>
        <v>223273.9583333334</v>
      </c>
      <c r="P75" s="458">
        <f t="shared" si="48"/>
        <v>223273.9583333334</v>
      </c>
      <c r="Q75" s="458">
        <f t="shared" si="48"/>
        <v>223273.95833333308</v>
      </c>
      <c r="R75" s="458">
        <f t="shared" si="48"/>
        <v>223273.9583333334</v>
      </c>
      <c r="S75" s="458">
        <f t="shared" si="48"/>
        <v>223273.95833333308</v>
      </c>
      <c r="T75" s="458">
        <f t="shared" si="48"/>
        <v>223273.95833333363</v>
      </c>
      <c r="U75" s="458">
        <f t="shared" si="48"/>
        <v>223273.95833333308</v>
      </c>
      <c r="V75" s="458">
        <f t="shared" si="48"/>
        <v>223273.95833333308</v>
      </c>
      <c r="W75" s="458">
        <f t="shared" si="48"/>
        <v>223273.95833333363</v>
      </c>
      <c r="X75" s="458">
        <f t="shared" si="48"/>
        <v>223273.95833333308</v>
      </c>
      <c r="Y75" s="458">
        <f t="shared" si="48"/>
        <v>223273.95833333308</v>
      </c>
      <c r="Z75" s="458">
        <f t="shared" si="48"/>
        <v>223273.95833333363</v>
      </c>
      <c r="AA75" s="458">
        <f t="shared" si="48"/>
        <v>223273.95833333308</v>
      </c>
      <c r="AB75" s="458">
        <f t="shared" si="48"/>
        <v>223273.95833333308</v>
      </c>
      <c r="AC75" s="458">
        <f t="shared" si="48"/>
        <v>223273.95833333363</v>
      </c>
      <c r="AD75" s="458">
        <f t="shared" si="48"/>
        <v>223273.95833333308</v>
      </c>
      <c r="AE75" s="458">
        <f t="shared" si="48"/>
        <v>0</v>
      </c>
      <c r="AF75" s="458">
        <f t="shared" si="48"/>
        <v>0</v>
      </c>
      <c r="AG75" s="458">
        <f t="shared" si="48"/>
        <v>0</v>
      </c>
      <c r="AH75" s="458">
        <f t="shared" si="48"/>
        <v>0</v>
      </c>
      <c r="AI75" s="458">
        <f t="shared" si="48"/>
        <v>0</v>
      </c>
      <c r="AJ75" s="458">
        <f t="shared" si="48"/>
        <v>0</v>
      </c>
      <c r="AK75" s="458">
        <f t="shared" si="48"/>
        <v>0</v>
      </c>
      <c r="AL75" s="458">
        <f t="shared" si="48"/>
        <v>0</v>
      </c>
      <c r="AM75" s="458">
        <f t="shared" si="48"/>
        <v>0</v>
      </c>
      <c r="AN75" s="458">
        <f t="shared" si="48"/>
        <v>0</v>
      </c>
      <c r="AO75" s="458">
        <f t="shared" si="48"/>
        <v>0</v>
      </c>
      <c r="AP75" s="458">
        <f t="shared" si="48"/>
        <v>0</v>
      </c>
      <c r="AQ75" s="458">
        <f t="shared" si="48"/>
        <v>0</v>
      </c>
      <c r="AR75" s="458">
        <f t="shared" si="48"/>
        <v>0</v>
      </c>
      <c r="AS75" s="458">
        <f t="shared" si="48"/>
        <v>0</v>
      </c>
      <c r="AT75" s="458">
        <f t="shared" si="48"/>
        <v>0</v>
      </c>
      <c r="AU75" s="458">
        <f t="shared" si="48"/>
        <v>0</v>
      </c>
      <c r="AV75" s="458">
        <f t="shared" si="48"/>
        <v>0</v>
      </c>
      <c r="AW75" s="458">
        <f t="shared" si="48"/>
        <v>0</v>
      </c>
      <c r="AX75" s="458">
        <f t="shared" si="48"/>
        <v>0</v>
      </c>
      <c r="AY75" s="458">
        <f t="shared" si="48"/>
        <v>0</v>
      </c>
      <c r="AZ75" s="458">
        <f t="shared" si="48"/>
        <v>0</v>
      </c>
      <c r="BA75" s="458">
        <f t="shared" si="48"/>
        <v>0</v>
      </c>
      <c r="BB75" s="458">
        <f t="shared" si="48"/>
        <v>0</v>
      </c>
      <c r="BC75" s="458">
        <f t="shared" si="48"/>
        <v>0</v>
      </c>
      <c r="BD75" s="458">
        <f t="shared" si="48"/>
        <v>0</v>
      </c>
      <c r="BE75" s="458">
        <f t="shared" si="48"/>
        <v>0</v>
      </c>
      <c r="BF75" s="458">
        <f t="shared" si="48"/>
        <v>0</v>
      </c>
      <c r="BG75" s="458">
        <f t="shared" si="48"/>
        <v>0</v>
      </c>
      <c r="BH75" s="458">
        <f t="shared" si="48"/>
        <v>0</v>
      </c>
      <c r="BI75" s="458">
        <f t="shared" si="48"/>
        <v>0</v>
      </c>
      <c r="BJ75" s="458">
        <f t="shared" si="48"/>
        <v>0</v>
      </c>
      <c r="BK75" s="458">
        <f t="shared" si="48"/>
        <v>0</v>
      </c>
      <c r="BL75" s="458">
        <f t="shared" si="48"/>
        <v>0</v>
      </c>
      <c r="BM75" s="458">
        <f t="shared" si="48"/>
        <v>0</v>
      </c>
      <c r="BN75" s="458">
        <f t="shared" si="48"/>
        <v>0</v>
      </c>
      <c r="BO75" s="458">
        <f t="shared" si="48"/>
        <v>0</v>
      </c>
      <c r="BP75" s="458">
        <f t="shared" si="48"/>
        <v>0</v>
      </c>
      <c r="BQ75" s="458">
        <f t="shared" si="48"/>
        <v>0</v>
      </c>
      <c r="BR75" s="458">
        <f t="shared" si="48"/>
        <v>0</v>
      </c>
      <c r="BS75" s="458">
        <f t="shared" si="48"/>
        <v>0</v>
      </c>
      <c r="BT75" s="458">
        <f t="shared" ref="BT75:EE75" si="49">+BT72</f>
        <v>0</v>
      </c>
      <c r="BU75" s="458">
        <f t="shared" si="49"/>
        <v>0</v>
      </c>
      <c r="BV75" s="458">
        <f t="shared" si="49"/>
        <v>0</v>
      </c>
      <c r="BW75" s="458">
        <f t="shared" si="49"/>
        <v>0</v>
      </c>
      <c r="BX75" s="458">
        <f t="shared" si="49"/>
        <v>0</v>
      </c>
      <c r="BY75" s="458">
        <f t="shared" si="49"/>
        <v>0</v>
      </c>
      <c r="BZ75" s="458">
        <f t="shared" si="49"/>
        <v>0</v>
      </c>
      <c r="CA75" s="458">
        <f t="shared" si="49"/>
        <v>0</v>
      </c>
      <c r="CB75" s="458">
        <f t="shared" si="49"/>
        <v>0</v>
      </c>
      <c r="CC75" s="458">
        <f t="shared" si="49"/>
        <v>0</v>
      </c>
      <c r="CD75" s="458">
        <f t="shared" si="49"/>
        <v>0</v>
      </c>
      <c r="CE75" s="458">
        <f t="shared" si="49"/>
        <v>0</v>
      </c>
      <c r="CF75" s="458">
        <f t="shared" si="49"/>
        <v>0</v>
      </c>
      <c r="CG75" s="458">
        <f t="shared" si="49"/>
        <v>0</v>
      </c>
      <c r="CH75" s="458">
        <f t="shared" si="49"/>
        <v>0</v>
      </c>
      <c r="CI75" s="458">
        <f t="shared" si="49"/>
        <v>0</v>
      </c>
      <c r="CJ75" s="458">
        <f t="shared" si="49"/>
        <v>0</v>
      </c>
      <c r="CK75" s="458">
        <f t="shared" si="49"/>
        <v>0</v>
      </c>
      <c r="CL75" s="458">
        <f t="shared" si="49"/>
        <v>0</v>
      </c>
      <c r="CM75" s="458">
        <f t="shared" si="49"/>
        <v>0</v>
      </c>
      <c r="CN75" s="458">
        <f t="shared" si="49"/>
        <v>0</v>
      </c>
      <c r="CO75" s="458">
        <f t="shared" si="49"/>
        <v>0</v>
      </c>
      <c r="CP75" s="458">
        <f t="shared" si="49"/>
        <v>0</v>
      </c>
      <c r="CQ75" s="458">
        <f t="shared" si="49"/>
        <v>0</v>
      </c>
      <c r="CR75" s="458">
        <f t="shared" si="49"/>
        <v>0</v>
      </c>
      <c r="CS75" s="458">
        <f t="shared" si="49"/>
        <v>0</v>
      </c>
      <c r="CT75" s="458">
        <f t="shared" si="49"/>
        <v>0</v>
      </c>
      <c r="CU75" s="458">
        <f t="shared" si="49"/>
        <v>0</v>
      </c>
      <c r="CV75" s="458">
        <f t="shared" si="49"/>
        <v>0</v>
      </c>
      <c r="CW75" s="458">
        <f t="shared" si="49"/>
        <v>0</v>
      </c>
      <c r="CX75" s="458">
        <f t="shared" si="49"/>
        <v>0</v>
      </c>
      <c r="CY75" s="458">
        <f t="shared" si="49"/>
        <v>0</v>
      </c>
      <c r="CZ75" s="458">
        <f t="shared" si="49"/>
        <v>0</v>
      </c>
      <c r="DA75" s="458">
        <f t="shared" si="49"/>
        <v>0</v>
      </c>
      <c r="DB75" s="458">
        <f t="shared" si="49"/>
        <v>0</v>
      </c>
      <c r="DC75" s="458">
        <f t="shared" si="49"/>
        <v>0</v>
      </c>
      <c r="DD75" s="458">
        <f t="shared" si="49"/>
        <v>0</v>
      </c>
      <c r="DE75" s="458">
        <f t="shared" si="49"/>
        <v>0</v>
      </c>
      <c r="DF75" s="458">
        <f t="shared" si="49"/>
        <v>0</v>
      </c>
      <c r="DG75" s="458">
        <f t="shared" si="49"/>
        <v>0</v>
      </c>
      <c r="DH75" s="458">
        <f t="shared" si="49"/>
        <v>0</v>
      </c>
      <c r="DI75" s="458">
        <f t="shared" si="49"/>
        <v>0</v>
      </c>
      <c r="DJ75" s="458">
        <f t="shared" si="49"/>
        <v>0</v>
      </c>
      <c r="DK75" s="458">
        <f t="shared" si="49"/>
        <v>0</v>
      </c>
      <c r="DL75" s="458">
        <f t="shared" si="49"/>
        <v>0</v>
      </c>
      <c r="DM75" s="458">
        <f t="shared" si="49"/>
        <v>0</v>
      </c>
      <c r="DN75" s="458">
        <f t="shared" si="49"/>
        <v>0</v>
      </c>
      <c r="DO75" s="458">
        <f t="shared" si="49"/>
        <v>0</v>
      </c>
      <c r="DP75" s="458">
        <f t="shared" si="49"/>
        <v>0</v>
      </c>
      <c r="DQ75" s="458">
        <f t="shared" si="49"/>
        <v>0</v>
      </c>
      <c r="DR75" s="458">
        <f t="shared" si="49"/>
        <v>0</v>
      </c>
      <c r="DS75" s="458">
        <f t="shared" si="49"/>
        <v>0</v>
      </c>
      <c r="DT75" s="458">
        <f t="shared" si="49"/>
        <v>0</v>
      </c>
      <c r="DU75" s="458">
        <f t="shared" si="49"/>
        <v>0</v>
      </c>
      <c r="DV75" s="458">
        <f t="shared" si="49"/>
        <v>0</v>
      </c>
      <c r="DW75" s="458">
        <f t="shared" si="49"/>
        <v>0</v>
      </c>
      <c r="DX75" s="458">
        <f t="shared" si="49"/>
        <v>0</v>
      </c>
      <c r="DY75" s="458">
        <f t="shared" si="49"/>
        <v>0</v>
      </c>
      <c r="DZ75" s="458">
        <f t="shared" si="49"/>
        <v>0</v>
      </c>
      <c r="EA75" s="458">
        <f t="shared" si="49"/>
        <v>0</v>
      </c>
      <c r="EB75" s="458">
        <f t="shared" si="49"/>
        <v>0</v>
      </c>
      <c r="EC75" s="458">
        <f t="shared" si="49"/>
        <v>0</v>
      </c>
      <c r="ED75" s="458">
        <f t="shared" si="49"/>
        <v>0</v>
      </c>
      <c r="EE75" s="458">
        <f t="shared" si="49"/>
        <v>0</v>
      </c>
      <c r="EF75" s="458">
        <f t="shared" ref="EF75:EI75" si="50">+EF72</f>
        <v>0</v>
      </c>
      <c r="EG75" s="458">
        <f t="shared" si="50"/>
        <v>0</v>
      </c>
      <c r="EH75" s="458">
        <f t="shared" si="50"/>
        <v>0</v>
      </c>
      <c r="EI75" s="458">
        <f t="shared" si="50"/>
        <v>0</v>
      </c>
    </row>
    <row r="76" spans="2:139" ht="14.25" hidden="1" customHeight="1" outlineLevel="1" x14ac:dyDescent="0.25">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row>
    <row r="77" spans="2:139" ht="14.25" hidden="1" customHeight="1" outlineLevel="1" x14ac:dyDescent="0.25">
      <c r="B77" s="3" t="s">
        <v>427</v>
      </c>
      <c r="C77" s="3"/>
      <c r="D77" s="3"/>
      <c r="E77" s="3"/>
      <c r="F77" s="3"/>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7"/>
      <c r="BC77" s="457"/>
      <c r="BD77" s="457"/>
      <c r="BE77" s="457"/>
      <c r="BF77" s="457"/>
      <c r="BG77" s="457"/>
      <c r="BH77" s="457"/>
      <c r="BI77" s="457"/>
      <c r="BJ77" s="457"/>
      <c r="BK77" s="457"/>
      <c r="BL77" s="457"/>
      <c r="BM77" s="457"/>
      <c r="BN77" s="457"/>
      <c r="BO77" s="457"/>
      <c r="BP77" s="457"/>
      <c r="BQ77" s="457"/>
      <c r="BR77" s="457"/>
      <c r="BS77" s="457"/>
      <c r="BT77" s="457"/>
      <c r="BU77" s="457"/>
      <c r="BV77" s="457"/>
      <c r="BW77" s="457"/>
      <c r="BX77" s="457"/>
      <c r="BY77" s="457"/>
      <c r="BZ77" s="457"/>
      <c r="CA77" s="457"/>
      <c r="CB77" s="457"/>
      <c r="CC77" s="457"/>
      <c r="CD77" s="457"/>
      <c r="CE77" s="457"/>
      <c r="CF77" s="457"/>
      <c r="CG77" s="457"/>
      <c r="CH77" s="457"/>
      <c r="CI77" s="457"/>
      <c r="CJ77" s="457"/>
      <c r="CK77" s="457"/>
      <c r="CL77" s="457"/>
      <c r="CM77" s="457"/>
      <c r="CN77" s="457"/>
      <c r="CO77" s="457"/>
      <c r="CP77" s="457"/>
      <c r="CQ77" s="457"/>
      <c r="CR77" s="457"/>
      <c r="CS77" s="457"/>
      <c r="CT77" s="457"/>
      <c r="CU77" s="457"/>
      <c r="CV77" s="457"/>
      <c r="CW77" s="457"/>
      <c r="CX77" s="457"/>
      <c r="CY77" s="457"/>
      <c r="CZ77" s="457"/>
      <c r="DA77" s="457"/>
      <c r="DB77" s="457"/>
      <c r="DC77" s="457"/>
      <c r="DD77" s="457"/>
      <c r="DE77" s="457"/>
      <c r="DF77" s="457"/>
      <c r="DG77" s="457"/>
      <c r="DH77" s="457"/>
      <c r="DI77" s="457"/>
      <c r="DJ77" s="457"/>
      <c r="DK77" s="457"/>
      <c r="DL77" s="457"/>
      <c r="DM77" s="457"/>
      <c r="DN77" s="457"/>
      <c r="DO77" s="457"/>
      <c r="DP77" s="457"/>
      <c r="DQ77" s="457"/>
      <c r="DR77" s="457"/>
      <c r="DS77" s="457"/>
      <c r="DT77" s="457"/>
      <c r="DU77" s="457"/>
      <c r="DV77" s="457"/>
      <c r="DW77" s="457"/>
      <c r="DX77" s="457"/>
      <c r="DY77" s="457"/>
      <c r="DZ77" s="457"/>
      <c r="EA77" s="457"/>
      <c r="EB77" s="457"/>
      <c r="EC77" s="457"/>
      <c r="ED77" s="457"/>
      <c r="EE77" s="457"/>
      <c r="EF77" s="457"/>
      <c r="EG77" s="457"/>
      <c r="EH77" s="457"/>
      <c r="EI77" s="457"/>
    </row>
    <row r="78" spans="2:139" ht="14.25" hidden="1" customHeight="1" outlineLevel="1" x14ac:dyDescent="0.25">
      <c r="B78" s="4" t="s">
        <v>422</v>
      </c>
      <c r="C78" s="3"/>
      <c r="D78" s="3"/>
      <c r="E78" s="3"/>
      <c r="F78" s="3"/>
      <c r="G78" s="460"/>
      <c r="H78" s="460">
        <f>+Underwriting!T124</f>
        <v>421928.9846153846</v>
      </c>
      <c r="I78" s="460">
        <f>+Underwriting!U124</f>
        <v>426099.56538461539</v>
      </c>
      <c r="J78" s="460">
        <f>+Underwriting!V124</f>
        <v>430289.28076923074</v>
      </c>
      <c r="K78" s="460">
        <f>+Underwriting!W124</f>
        <v>434498.13076923077</v>
      </c>
      <c r="L78" s="460">
        <f>+Underwriting!X124</f>
        <v>438726.11538461538</v>
      </c>
      <c r="M78" s="460">
        <f>+Underwriting!Y124</f>
        <v>442973.2346153846</v>
      </c>
      <c r="N78" s="460">
        <f>+Underwriting!Z124</f>
        <v>447239.48846153845</v>
      </c>
      <c r="O78" s="460">
        <f>+Underwriting!AA124</f>
        <v>451524.87692307692</v>
      </c>
      <c r="P78" s="460">
        <f>+Underwriting!AB124</f>
        <v>455829.4</v>
      </c>
      <c r="Q78" s="460">
        <f>+Underwriting!AC124</f>
        <v>460153.05769230769</v>
      </c>
      <c r="R78" s="460">
        <f>+Underwriting!AD124</f>
        <v>464495.85</v>
      </c>
      <c r="S78" s="460">
        <f>+Underwriting!AE124</f>
        <v>468857.77692307695</v>
      </c>
      <c r="T78" s="460">
        <f>+Underwriting!AF124</f>
        <v>474213.6329852998</v>
      </c>
      <c r="U78" s="460">
        <f>+Underwriting!AG124</f>
        <v>479608.77761699137</v>
      </c>
      <c r="V78" s="460">
        <f>+Underwriting!AH124</f>
        <v>485043.3895264102</v>
      </c>
      <c r="W78" s="460">
        <f>+Underwriting!AI124</f>
        <v>490517.64807285689</v>
      </c>
      <c r="X78" s="460">
        <f>+Underwriting!AJ124</f>
        <v>496031.73326876637</v>
      </c>
      <c r="Y78" s="460">
        <f>+Underwriting!AK124</f>
        <v>501585.82578180649</v>
      </c>
      <c r="Z78" s="460">
        <f>+Underwriting!AL124</f>
        <v>507180.10693698109</v>
      </c>
      <c r="AA78" s="460">
        <f>+Underwriting!AM124</f>
        <v>512814.75871874072</v>
      </c>
      <c r="AB78" s="460">
        <f>+Underwriting!AN124</f>
        <v>518489.96377310023</v>
      </c>
      <c r="AC78" s="460">
        <f>+Underwriting!AO124</f>
        <v>524205.90540976013</v>
      </c>
      <c r="AD78" s="460">
        <f>+Underwriting!AP124</f>
        <v>529962.76760423707</v>
      </c>
      <c r="AE78" s="460">
        <f>+Underwriting!AQ124</f>
        <v>535760.73499999917</v>
      </c>
      <c r="AF78" s="460">
        <f>+Underwriting!AR124</f>
        <v>560369.75723077101</v>
      </c>
      <c r="AG78" s="460">
        <f>+Underwriting!AS124</f>
        <v>561524.02718123805</v>
      </c>
      <c r="AH78" s="460">
        <f>+Underwriting!AT124</f>
        <v>562680.67473881401</v>
      </c>
      <c r="AI78" s="460">
        <f>+Underwriting!AU124</f>
        <v>563839.70480098063</v>
      </c>
      <c r="AJ78" s="460">
        <f>+Underwriting!AV124</f>
        <v>565001.12227530708</v>
      </c>
      <c r="AK78" s="460">
        <f>+Underwriting!AW124</f>
        <v>566164.93207947176</v>
      </c>
      <c r="AL78" s="460">
        <f>+Underwriting!AX124</f>
        <v>567331.13914128207</v>
      </c>
      <c r="AM78" s="460">
        <f>+Underwriting!AY124</f>
        <v>568499.74839869642</v>
      </c>
      <c r="AN78" s="460">
        <f>+Underwriting!AZ124</f>
        <v>569670.76479984447</v>
      </c>
      <c r="AO78" s="460">
        <f>+Underwriting!BA124</f>
        <v>570844.19330304838</v>
      </c>
      <c r="AP78" s="460">
        <f>+Underwriting!BB124</f>
        <v>572020.03887684294</v>
      </c>
      <c r="AQ78" s="460">
        <f>+Underwriting!BC124</f>
        <v>573198.30649999843</v>
      </c>
      <c r="AR78" s="460">
        <f>+Underwriting!BD124</f>
        <v>574379.00116153946</v>
      </c>
      <c r="AS78" s="460">
        <f>+Underwriting!BE124</f>
        <v>575562.12786076812</v>
      </c>
      <c r="AT78" s="460">
        <f>+Underwriting!BF124</f>
        <v>576747.69160728366</v>
      </c>
      <c r="AU78" s="460">
        <f>+Underwriting!BG124</f>
        <v>577935.69742100441</v>
      </c>
      <c r="AV78" s="460">
        <f>+Underwriting!BH124</f>
        <v>579126.15033218893</v>
      </c>
      <c r="AW78" s="460">
        <f>+Underwriting!BI124</f>
        <v>580319.05538145755</v>
      </c>
      <c r="AX78" s="460">
        <f>+Underwriting!BJ124</f>
        <v>581514.41761981323</v>
      </c>
      <c r="AY78" s="460">
        <f>+Underwriting!BK124</f>
        <v>582712.24210866296</v>
      </c>
      <c r="AZ78" s="460">
        <f>+Underwriting!BL124</f>
        <v>583912.53391983977</v>
      </c>
      <c r="BA78" s="460">
        <f>+Underwriting!BM124</f>
        <v>585115.29813562369</v>
      </c>
      <c r="BB78" s="460">
        <f>+Underwriting!BN124</f>
        <v>586320.53984876338</v>
      </c>
      <c r="BC78" s="460">
        <f>+Underwriting!BO124</f>
        <v>587528.26416249759</v>
      </c>
      <c r="BD78" s="460">
        <f>+Underwriting!BP124</f>
        <v>588738.47619057714</v>
      </c>
      <c r="BE78" s="460">
        <f>+Underwriting!BQ124</f>
        <v>589951.18105728657</v>
      </c>
      <c r="BF78" s="460">
        <f>+Underwriting!BR124</f>
        <v>591166.38389746472</v>
      </c>
      <c r="BG78" s="460">
        <f>+Underwriting!BS124</f>
        <v>592384.08985652856</v>
      </c>
      <c r="BH78" s="460">
        <f>+Underwriting!BT124</f>
        <v>593604.30409049289</v>
      </c>
      <c r="BI78" s="460">
        <f>+Underwriting!BU124</f>
        <v>594827.03176599334</v>
      </c>
      <c r="BJ78" s="460">
        <f>+Underwriting!BV124</f>
        <v>596052.27806030773</v>
      </c>
      <c r="BK78" s="460">
        <f>+Underwriting!BW124</f>
        <v>597280.04816137883</v>
      </c>
      <c r="BL78" s="460">
        <f>+Underwriting!BX124</f>
        <v>598510.34726783505</v>
      </c>
      <c r="BM78" s="460">
        <f>+Underwriting!BY124</f>
        <v>599743.1805890135</v>
      </c>
      <c r="BN78" s="460">
        <f>+Underwriting!BZ124</f>
        <v>600978.55334498151</v>
      </c>
      <c r="BO78" s="460">
        <f>+Underwriting!CA124</f>
        <v>602216.47076655913</v>
      </c>
      <c r="BP78" s="460">
        <f>+Underwriting!CB124</f>
        <v>603456.93809534085</v>
      </c>
      <c r="BQ78" s="460">
        <f>+Underwriting!CC124</f>
        <v>604699.96058371791</v>
      </c>
      <c r="BR78" s="460">
        <f>+Underwriting!CD124</f>
        <v>605945.54349490069</v>
      </c>
      <c r="BS78" s="460">
        <f>+Underwriting!CE124</f>
        <v>607193.69210294099</v>
      </c>
      <c r="BT78" s="460">
        <f>+Underwriting!CF124</f>
        <v>608444.41169275448</v>
      </c>
      <c r="BU78" s="460">
        <f>+Underwriting!CG124</f>
        <v>609697.70756014215</v>
      </c>
      <c r="BV78" s="460">
        <f>+Underwriting!CH124</f>
        <v>610953.58501181472</v>
      </c>
      <c r="BW78" s="460">
        <f>+Underwriting!CI124</f>
        <v>612212.04936541244</v>
      </c>
      <c r="BX78" s="460">
        <f>+Underwriting!CJ124</f>
        <v>613473.10594953003</v>
      </c>
      <c r="BY78" s="460">
        <f>+Underwriting!CK124</f>
        <v>614736.76010373794</v>
      </c>
      <c r="BZ78" s="460">
        <f>+Underwriting!CL124</f>
        <v>616003.01717860531</v>
      </c>
      <c r="CA78" s="460">
        <f>+Underwriting!CM124</f>
        <v>617271.88253572234</v>
      </c>
      <c r="CB78" s="460">
        <f>+Underwriting!CN124</f>
        <v>618543.36154772353</v>
      </c>
      <c r="CC78" s="460">
        <f>+Underwriting!CO124</f>
        <v>619817.45959830983</v>
      </c>
      <c r="CD78" s="460">
        <f>+Underwriting!CP124</f>
        <v>621094.18208227237</v>
      </c>
      <c r="CE78" s="460">
        <f>+Underwriting!CQ124</f>
        <v>622373.53440551378</v>
      </c>
      <c r="CF78" s="460">
        <f>+Underwriting!CR124</f>
        <v>623655.52198507241</v>
      </c>
      <c r="CG78" s="460">
        <f>+Underwriting!CS124</f>
        <v>624940.15024914499</v>
      </c>
      <c r="CH78" s="460">
        <f>+Underwriting!CT124</f>
        <v>626227.42463710904</v>
      </c>
      <c r="CI78" s="460">
        <f>+Underwriting!CU124</f>
        <v>627517.35059954692</v>
      </c>
      <c r="CJ78" s="460">
        <f>+Underwriting!CV124</f>
        <v>628809.9335982675</v>
      </c>
      <c r="CK78" s="460">
        <f>+Underwriting!CW124</f>
        <v>630105.1791063305</v>
      </c>
      <c r="CL78" s="460">
        <f>+Underwriting!CX124</f>
        <v>631403.09260806942</v>
      </c>
      <c r="CM78" s="460">
        <f>+Underwriting!CY124</f>
        <v>632703.67959911446</v>
      </c>
      <c r="CN78" s="460">
        <f>+Underwriting!CZ124</f>
        <v>634006.94558641559</v>
      </c>
      <c r="CO78" s="460">
        <f>+Underwriting!DA124</f>
        <v>635312.89608826675</v>
      </c>
      <c r="CP78" s="460">
        <f>+Underwriting!DB124</f>
        <v>636621.53663432819</v>
      </c>
      <c r="CQ78" s="460">
        <f>+Underwriting!DC124</f>
        <v>637932.87276565074</v>
      </c>
      <c r="CR78" s="460">
        <f>+Underwriting!DD124</f>
        <v>639246.91003469832</v>
      </c>
      <c r="CS78" s="460">
        <f>+Underwriting!DE124</f>
        <v>640563.65400537266</v>
      </c>
      <c r="CT78" s="460">
        <f>+Underwriting!DF124</f>
        <v>641883.11025303591</v>
      </c>
      <c r="CU78" s="460">
        <f>+Underwriting!DG124</f>
        <v>643205.28436453466</v>
      </c>
      <c r="CV78" s="460">
        <f>+Underwriting!DH124</f>
        <v>644530.18193822319</v>
      </c>
      <c r="CW78" s="460">
        <f>+Underwriting!DI124</f>
        <v>645857.80858398788</v>
      </c>
      <c r="CX78" s="460">
        <f>+Underwriting!DJ124</f>
        <v>647188.16992327035</v>
      </c>
      <c r="CY78" s="460">
        <f>+Underwriting!DK124</f>
        <v>648521.27158909151</v>
      </c>
      <c r="CZ78" s="460">
        <f>+Underwriting!DL124</f>
        <v>649857.11922607513</v>
      </c>
      <c r="DA78" s="460">
        <f>+Underwriting!DM124</f>
        <v>651195.71849047265</v>
      </c>
      <c r="DB78" s="460">
        <f>+Underwriting!DN124</f>
        <v>652537.07505018567</v>
      </c>
      <c r="DC78" s="460">
        <f>+Underwriting!DO124</f>
        <v>653881.1945847912</v>
      </c>
      <c r="DD78" s="460">
        <f>+Underwriting!DP124</f>
        <v>655228.08278556494</v>
      </c>
      <c r="DE78" s="460">
        <f>+Underwriting!DQ124</f>
        <v>656577.74535550619</v>
      </c>
      <c r="DF78" s="460">
        <f>+Underwriting!DR124</f>
        <v>657930.18800936092</v>
      </c>
      <c r="DG78" s="460">
        <f>+Underwriting!DS124</f>
        <v>659285.41647364711</v>
      </c>
      <c r="DH78" s="460">
        <f>+Underwriting!DT124</f>
        <v>660643.43648667785</v>
      </c>
      <c r="DI78" s="460">
        <f>+Underwriting!DU124</f>
        <v>662004.25379858678</v>
      </c>
      <c r="DJ78" s="460">
        <f>+Underwriting!DV124</f>
        <v>663367.87417135132</v>
      </c>
      <c r="DK78" s="460">
        <f>+Underwriting!DW124</f>
        <v>664734.30337881797</v>
      </c>
      <c r="DL78" s="460">
        <f>+Underwriting!DX124</f>
        <v>666103.54720672616</v>
      </c>
      <c r="DM78" s="460">
        <f>+Underwriting!DY124</f>
        <v>667475.61145273363</v>
      </c>
      <c r="DN78" s="460">
        <f>+Underwriting!DZ124</f>
        <v>668850.50192643947</v>
      </c>
      <c r="DO78" s="460">
        <f>+Underwriting!EA124</f>
        <v>670228.22444940999</v>
      </c>
      <c r="DP78" s="460">
        <f>+Underwriting!EB124</f>
        <v>671608.784855203</v>
      </c>
      <c r="DQ78" s="460">
        <f>+Underwriting!EC124</f>
        <v>672992.18898939283</v>
      </c>
      <c r="DR78" s="460">
        <f>+Underwriting!ED124</f>
        <v>674378.44270959415</v>
      </c>
      <c r="DS78" s="460">
        <f>+Underwriting!EE124</f>
        <v>675767.55188548728</v>
      </c>
      <c r="DT78" s="460">
        <f>+Underwriting!EF124</f>
        <v>677159.52239884401</v>
      </c>
      <c r="DU78" s="460">
        <f>+Underwriting!EG124</f>
        <v>678554.36014355044</v>
      </c>
      <c r="DV78" s="460">
        <f>+Underwriting!EH124</f>
        <v>679952.07102563407</v>
      </c>
      <c r="DW78" s="460">
        <f>+Underwriting!EI124</f>
        <v>681352.66096328746</v>
      </c>
      <c r="DX78" s="460">
        <f>+Underwriting!EJ124</f>
        <v>682756.13588689349</v>
      </c>
      <c r="DY78" s="460">
        <f>+Underwriting!EK124</f>
        <v>684162.50173905108</v>
      </c>
      <c r="DZ78" s="460">
        <f>+Underwriting!EL124</f>
        <v>685571.76447459939</v>
      </c>
      <c r="EA78" s="460">
        <f>+Underwriting!EM124</f>
        <v>686983.9300606444</v>
      </c>
      <c r="EB78" s="460">
        <f>+Underwriting!EN124</f>
        <v>688399.00447658228</v>
      </c>
      <c r="EC78" s="460">
        <f>+Underwriting!EO124</f>
        <v>689816.99371412676</v>
      </c>
      <c r="ED78" s="460">
        <f>+Underwriting!EP124</f>
        <v>691237.90377733309</v>
      </c>
      <c r="EE78" s="460">
        <f>+Underwriting!EQ124</f>
        <v>692661.7406826237</v>
      </c>
      <c r="EF78" s="460">
        <f>+Underwriting!ER124</f>
        <v>694088.5104588141</v>
      </c>
      <c r="EG78" s="460">
        <f>+Underwriting!ES124</f>
        <v>695518.2191471383</v>
      </c>
      <c r="EH78" s="460">
        <f>+Underwriting!ET124</f>
        <v>696950.87280127406</v>
      </c>
      <c r="EI78" s="460">
        <f>+Underwriting!EU124</f>
        <v>698386.47748736863</v>
      </c>
    </row>
    <row r="79" spans="2:139" ht="14.25" hidden="1" customHeight="1" outlineLevel="1" x14ac:dyDescent="0.4">
      <c r="B79" s="4" t="s">
        <v>118</v>
      </c>
      <c r="C79" s="3"/>
      <c r="D79" s="3"/>
      <c r="E79" s="3"/>
      <c r="F79" s="3"/>
      <c r="G79" s="462"/>
      <c r="H79" s="462">
        <f>Underwriting!T130</f>
        <v>16875</v>
      </c>
      <c r="I79" s="462">
        <f>Underwriting!U130</f>
        <v>17250</v>
      </c>
      <c r="J79" s="462">
        <f>Underwriting!V130</f>
        <v>17625</v>
      </c>
      <c r="K79" s="462">
        <f>Underwriting!W130</f>
        <v>18000</v>
      </c>
      <c r="L79" s="462">
        <f>Underwriting!X130</f>
        <v>18375</v>
      </c>
      <c r="M79" s="462">
        <f>Underwriting!Y130</f>
        <v>18750</v>
      </c>
      <c r="N79" s="462">
        <f>Underwriting!Z130</f>
        <v>19125</v>
      </c>
      <c r="O79" s="462">
        <f>Underwriting!AA130</f>
        <v>19500</v>
      </c>
      <c r="P79" s="462">
        <f>Underwriting!AB130</f>
        <v>19875</v>
      </c>
      <c r="Q79" s="462">
        <f>Underwriting!AC130</f>
        <v>20250</v>
      </c>
      <c r="R79" s="462">
        <f>Underwriting!AD130</f>
        <v>20625</v>
      </c>
      <c r="S79" s="462">
        <f>Underwriting!AE130</f>
        <v>21000</v>
      </c>
      <c r="T79" s="462">
        <f>Underwriting!AF130</f>
        <v>21419.029000267885</v>
      </c>
      <c r="U79" s="462">
        <f>Underwriting!AG130</f>
        <v>21839.695161366883</v>
      </c>
      <c r="V79" s="462">
        <f>Underwriting!AH130</f>
        <v>22262.003449954689</v>
      </c>
      <c r="W79" s="462">
        <f>Underwriting!AI130</f>
        <v>22685.958846203663</v>
      </c>
      <c r="X79" s="462">
        <f>Underwriting!AJ130</f>
        <v>23111.566343835424</v>
      </c>
      <c r="Y79" s="462">
        <f>Underwriting!AK130</f>
        <v>23538.830950155516</v>
      </c>
      <c r="Z79" s="462">
        <f>Underwriting!AL130</f>
        <v>23967.757686088222</v>
      </c>
      <c r="AA79" s="462">
        <f>Underwriting!AM130</f>
        <v>24398.351586211378</v>
      </c>
      <c r="AB79" s="462">
        <f>Underwriting!AN130</f>
        <v>24830.617698791364</v>
      </c>
      <c r="AC79" s="462">
        <f>Underwriting!AO130</f>
        <v>25264.561085818084</v>
      </c>
      <c r="AD79" s="462">
        <f>Underwriting!AP130</f>
        <v>25700.186823040127</v>
      </c>
      <c r="AE79" s="462">
        <f>Underwriting!AQ130</f>
        <v>26137.49999999996</v>
      </c>
      <c r="AF79" s="462">
        <f>Underwriting!AR130</f>
        <v>26191.338970502977</v>
      </c>
      <c r="AG79" s="462">
        <f>Underwriting!AS130</f>
        <v>26245.288840470166</v>
      </c>
      <c r="AH79" s="462">
        <f>Underwriting!AT130</f>
        <v>26299.349838336268</v>
      </c>
      <c r="AI79" s="462">
        <f>Underwriting!AU130</f>
        <v>26353.522193006553</v>
      </c>
      <c r="AJ79" s="462">
        <f>Underwriting!AV130</f>
        <v>26407.806133857812</v>
      </c>
      <c r="AK79" s="462">
        <f>Underwriting!AW130</f>
        <v>26462.201890739307</v>
      </c>
      <c r="AL79" s="462">
        <f>Underwriting!AX130</f>
        <v>26516.709693973757</v>
      </c>
      <c r="AM79" s="462">
        <f>Underwriting!AY130</f>
        <v>26571.329774358288</v>
      </c>
      <c r="AN79" s="462">
        <f>Underwriting!AZ130</f>
        <v>26626.062363165463</v>
      </c>
      <c r="AO79" s="462">
        <f>Underwriting!BA130</f>
        <v>26680.90769214421</v>
      </c>
      <c r="AP79" s="462">
        <f>Underwriting!BB130</f>
        <v>26735.865993520812</v>
      </c>
      <c r="AQ79" s="462">
        <f>Underwriting!BC130</f>
        <v>26790.937499999924</v>
      </c>
      <c r="AR79" s="462">
        <f>Underwriting!BD130</f>
        <v>26846.122444765511</v>
      </c>
      <c r="AS79" s="462">
        <f>Underwriting!BE130</f>
        <v>26901.42106148188</v>
      </c>
      <c r="AT79" s="462">
        <f>Underwriting!BF130</f>
        <v>26956.833584294629</v>
      </c>
      <c r="AU79" s="462">
        <f>Underwriting!BG130</f>
        <v>27012.360247831675</v>
      </c>
      <c r="AV79" s="462">
        <f>Underwriting!BH130</f>
        <v>27068.001287204221</v>
      </c>
      <c r="AW79" s="462">
        <f>Underwriting!BI130</f>
        <v>27123.756938007748</v>
      </c>
      <c r="AX79" s="462">
        <f>Underwriting!BJ130</f>
        <v>27179.627436323055</v>
      </c>
      <c r="AY79" s="462">
        <f>Underwriting!BK130</f>
        <v>27235.613018717206</v>
      </c>
      <c r="AZ79" s="462">
        <f>Underwriting!BL130</f>
        <v>27291.713922244562</v>
      </c>
      <c r="BA79" s="462">
        <f>Underwriting!BM130</f>
        <v>27347.930384447773</v>
      </c>
      <c r="BB79" s="462">
        <f>Underwriting!BN130</f>
        <v>27404.262643358794</v>
      </c>
      <c r="BC79" s="462">
        <f>Underwriting!BO130</f>
        <v>27460.710937499876</v>
      </c>
      <c r="BD79" s="462">
        <f>Underwriting!BP130</f>
        <v>27517.275505884609</v>
      </c>
      <c r="BE79" s="462">
        <f>Underwriting!BQ130</f>
        <v>27573.956588018882</v>
      </c>
      <c r="BF79" s="462">
        <f>Underwriting!BR130</f>
        <v>27630.754423901955</v>
      </c>
      <c r="BG79" s="462">
        <f>Underwriting!BS130</f>
        <v>27687.669254027423</v>
      </c>
      <c r="BH79" s="462">
        <f>Underwriting!BT130</f>
        <v>27744.701319384279</v>
      </c>
      <c r="BI79" s="462">
        <f>Underwriting!BU130</f>
        <v>27801.850861457904</v>
      </c>
      <c r="BJ79" s="462">
        <f>Underwriting!BV130</f>
        <v>27859.118122231092</v>
      </c>
      <c r="BK79" s="462">
        <f>Underwriting!BW130</f>
        <v>27916.503344185097</v>
      </c>
      <c r="BL79" s="462">
        <f>Underwriting!BX130</f>
        <v>27974.006770300635</v>
      </c>
      <c r="BM79" s="462">
        <f>Underwriting!BY130</f>
        <v>28031.628644058928</v>
      </c>
      <c r="BN79" s="462">
        <f>Underwriting!BZ130</f>
        <v>28089.369209442721</v>
      </c>
      <c r="BO79" s="462">
        <f>Underwriting!CA130</f>
        <v>28147.228710937336</v>
      </c>
      <c r="BP79" s="462">
        <f>Underwriting!CB130</f>
        <v>28205.207393531688</v>
      </c>
      <c r="BQ79" s="462">
        <f>Underwriting!CC130</f>
        <v>28263.305502719319</v>
      </c>
      <c r="BR79" s="462">
        <f>Underwriting!CD130</f>
        <v>28321.523284499468</v>
      </c>
      <c r="BS79" s="462">
        <f>Underwriting!CE130</f>
        <v>28379.860985378076</v>
      </c>
      <c r="BT79" s="462">
        <f>Underwriting!CF130</f>
        <v>28438.318852368851</v>
      </c>
      <c r="BU79" s="462">
        <f>Underwriting!CG130</f>
        <v>28496.897132994312</v>
      </c>
      <c r="BV79" s="462">
        <f>Underwriting!CH130</f>
        <v>28555.596075286834</v>
      </c>
      <c r="BW79" s="462">
        <f>Underwriting!CI130</f>
        <v>28614.415927789691</v>
      </c>
      <c r="BX79" s="462">
        <f>Underwriting!CJ130</f>
        <v>28673.356939558118</v>
      </c>
      <c r="BY79" s="462">
        <f>Underwriting!CK130</f>
        <v>28732.419360160362</v>
      </c>
      <c r="BZ79" s="462">
        <f>Underwriting!CL130</f>
        <v>28791.603439678755</v>
      </c>
      <c r="CA79" s="462">
        <f>Underwriting!CM130</f>
        <v>28850.909428710733</v>
      </c>
      <c r="CB79" s="462">
        <f>Underwriting!CN130</f>
        <v>28910.337578369941</v>
      </c>
      <c r="CC79" s="462">
        <f>Underwriting!CO130</f>
        <v>28969.888140287265</v>
      </c>
      <c r="CD79" s="462">
        <f>Underwriting!CP130</f>
        <v>29029.561366611917</v>
      </c>
      <c r="CE79" s="462">
        <f>Underwriting!CQ130</f>
        <v>29089.357510012491</v>
      </c>
      <c r="CF79" s="462">
        <f>Underwriting!CR130</f>
        <v>29149.276823678032</v>
      </c>
      <c r="CG79" s="462">
        <f>Underwriting!CS130</f>
        <v>29209.319561319135</v>
      </c>
      <c r="CH79" s="462">
        <f>Underwriting!CT130</f>
        <v>29269.485977168963</v>
      </c>
      <c r="CI79" s="462">
        <f>Underwriting!CU130</f>
        <v>29329.776325984389</v>
      </c>
      <c r="CJ79" s="462">
        <f>Underwriting!CV130</f>
        <v>29390.190863047028</v>
      </c>
      <c r="CK79" s="462">
        <f>Underwriting!CW130</f>
        <v>29450.729844164336</v>
      </c>
      <c r="CL79" s="462">
        <f>Underwriting!CX130</f>
        <v>29511.393525670686</v>
      </c>
      <c r="CM79" s="462">
        <f>Underwriting!CY130</f>
        <v>29572.182164428465</v>
      </c>
      <c r="CN79" s="462">
        <f>Underwriting!CZ130</f>
        <v>29633.09601782915</v>
      </c>
      <c r="CO79" s="462">
        <f>Underwriting!DA130</f>
        <v>29694.135343794405</v>
      </c>
      <c r="CP79" s="462">
        <f>Underwriting!DB130</f>
        <v>29755.300400777174</v>
      </c>
      <c r="CQ79" s="462">
        <f>Underwriting!DC130</f>
        <v>29816.591447762763</v>
      </c>
      <c r="CR79" s="462">
        <f>Underwriting!DD130</f>
        <v>29878.008744269941</v>
      </c>
      <c r="CS79" s="462">
        <f>Underwriting!DE130</f>
        <v>29939.552550352069</v>
      </c>
      <c r="CT79" s="462">
        <f>Underwriting!DF130</f>
        <v>30001.223126598146</v>
      </c>
      <c r="CU79" s="462">
        <f>Underwriting!DG130</f>
        <v>30063.020734133956</v>
      </c>
      <c r="CV79" s="462">
        <f>Underwriting!DH130</f>
        <v>30124.94563462316</v>
      </c>
      <c r="CW79" s="462">
        <f>Underwriting!DI130</f>
        <v>30186.998090268396</v>
      </c>
      <c r="CX79" s="462">
        <f>Underwriting!DJ130</f>
        <v>30249.178363812403</v>
      </c>
      <c r="CY79" s="462">
        <f>Underwriting!DK130</f>
        <v>30311.486718539127</v>
      </c>
      <c r="CZ79" s="462">
        <f>Underwriting!DL130</f>
        <v>30373.92341827483</v>
      </c>
      <c r="DA79" s="462">
        <f>Underwriting!DM130</f>
        <v>30436.488727389216</v>
      </c>
      <c r="DB79" s="462">
        <f>Underwriting!DN130</f>
        <v>30499.182910796557</v>
      </c>
      <c r="DC79" s="462">
        <f>Underwriting!DO130</f>
        <v>30562.006233956778</v>
      </c>
      <c r="DD79" s="462">
        <f>Underwriting!DP130</f>
        <v>30624.958962876644</v>
      </c>
      <c r="DE79" s="462">
        <f>Underwriting!DQ130</f>
        <v>30688.041364110824</v>
      </c>
      <c r="DF79" s="462">
        <f>Underwriting!DR130</f>
        <v>30751.253704763058</v>
      </c>
      <c r="DG79" s="462">
        <f>Underwriting!DS130</f>
        <v>30814.596252487267</v>
      </c>
      <c r="DH79" s="462">
        <f>Underwriting!DT130</f>
        <v>30878.069275488691</v>
      </c>
      <c r="DI79" s="462">
        <f>Underwriting!DU130</f>
        <v>30941.673042525064</v>
      </c>
      <c r="DJ79" s="462">
        <f>Underwriting!DV130</f>
        <v>31005.407822907673</v>
      </c>
      <c r="DK79" s="462">
        <f>Underwriting!DW130</f>
        <v>31069.27388650256</v>
      </c>
      <c r="DL79" s="462">
        <f>Underwriting!DX130</f>
        <v>31133.271503731659</v>
      </c>
      <c r="DM79" s="462">
        <f>Underwriting!DY130</f>
        <v>31197.400945573907</v>
      </c>
      <c r="DN79" s="462">
        <f>Underwriting!DZ130</f>
        <v>31261.662483566426</v>
      </c>
      <c r="DO79" s="462">
        <f>Underwriting!EA130</f>
        <v>31326.056389805653</v>
      </c>
      <c r="DP79" s="462">
        <f>Underwriting!EB130</f>
        <v>31390.582936948515</v>
      </c>
      <c r="DQ79" s="462">
        <f>Underwriting!EC130</f>
        <v>31455.242398213548</v>
      </c>
      <c r="DR79" s="462">
        <f>Underwriting!ED130</f>
        <v>31520.035047382087</v>
      </c>
      <c r="DS79" s="462">
        <f>Underwriting!EE130</f>
        <v>31584.961158799397</v>
      </c>
      <c r="DT79" s="462">
        <f>Underwriting!EF130</f>
        <v>31650.021007375864</v>
      </c>
      <c r="DU79" s="462">
        <f>Underwriting!EG130</f>
        <v>31715.214868588148</v>
      </c>
      <c r="DV79" s="462">
        <f>Underwriting!EH130</f>
        <v>31780.543018480315</v>
      </c>
      <c r="DW79" s="462">
        <f>Underwriting!EI130</f>
        <v>31846.005733665083</v>
      </c>
      <c r="DX79" s="462">
        <f>Underwriting!EJ130</f>
        <v>31911.603291324904</v>
      </c>
      <c r="DY79" s="462">
        <f>Underwriting!EK130</f>
        <v>31977.335969213207</v>
      </c>
      <c r="DZ79" s="462">
        <f>Underwriting!EL130</f>
        <v>32043.204045655537</v>
      </c>
      <c r="EA79" s="462">
        <f>Underwriting!EM130</f>
        <v>32109.207799550753</v>
      </c>
      <c r="EB79" s="462">
        <f>Underwriting!EN130</f>
        <v>32175.347510372179</v>
      </c>
      <c r="EC79" s="462">
        <f>Underwriting!EO130</f>
        <v>32241.623458168844</v>
      </c>
      <c r="ED79" s="462">
        <f>Underwriting!EP130</f>
        <v>32308.035923566593</v>
      </c>
      <c r="EE79" s="462">
        <f>Underwriting!EQ130</f>
        <v>32374.585187769335</v>
      </c>
      <c r="EF79" s="462">
        <f>Underwriting!ER130</f>
        <v>32441.271532560215</v>
      </c>
      <c r="EG79" s="462">
        <f>Underwriting!ES130</f>
        <v>32508.095240302802</v>
      </c>
      <c r="EH79" s="462">
        <f>Underwriting!ET130</f>
        <v>32575.056593942281</v>
      </c>
      <c r="EI79" s="462">
        <f>Underwriting!EU130</f>
        <v>32642.155877006662</v>
      </c>
    </row>
    <row r="80" spans="2:139" ht="14.25" hidden="1" customHeight="1" outlineLevel="1" x14ac:dyDescent="0.25">
      <c r="B80" s="3" t="s">
        <v>139</v>
      </c>
      <c r="C80" s="3"/>
      <c r="D80" s="3"/>
      <c r="E80" s="3"/>
      <c r="F80" s="3"/>
      <c r="G80" s="460"/>
      <c r="H80" s="460">
        <f t="shared" ref="H80:BS80" si="51">SUM(H78:H79)</f>
        <v>438803.9846153846</v>
      </c>
      <c r="I80" s="460">
        <f t="shared" si="51"/>
        <v>443349.56538461539</v>
      </c>
      <c r="J80" s="460">
        <f t="shared" si="51"/>
        <v>447914.28076923074</v>
      </c>
      <c r="K80" s="460">
        <f t="shared" si="51"/>
        <v>452498.13076923077</v>
      </c>
      <c r="L80" s="460">
        <f t="shared" si="51"/>
        <v>457101.11538461538</v>
      </c>
      <c r="M80" s="460">
        <f t="shared" si="51"/>
        <v>461723.2346153846</v>
      </c>
      <c r="N80" s="460">
        <f t="shared" si="51"/>
        <v>466364.48846153845</v>
      </c>
      <c r="O80" s="460">
        <f t="shared" si="51"/>
        <v>471024.87692307692</v>
      </c>
      <c r="P80" s="460">
        <f t="shared" si="51"/>
        <v>475704.4</v>
      </c>
      <c r="Q80" s="460">
        <f t="shared" si="51"/>
        <v>480403.05769230769</v>
      </c>
      <c r="R80" s="460">
        <f t="shared" si="51"/>
        <v>485120.85</v>
      </c>
      <c r="S80" s="460">
        <f t="shared" si="51"/>
        <v>489857.77692307695</v>
      </c>
      <c r="T80" s="460">
        <f t="shared" si="51"/>
        <v>495632.66198556771</v>
      </c>
      <c r="U80" s="460">
        <f t="shared" si="51"/>
        <v>501448.47277835826</v>
      </c>
      <c r="V80" s="460">
        <f t="shared" si="51"/>
        <v>507305.39297636488</v>
      </c>
      <c r="W80" s="460">
        <f t="shared" si="51"/>
        <v>513203.60691906058</v>
      </c>
      <c r="X80" s="460">
        <f t="shared" si="51"/>
        <v>519143.29961260181</v>
      </c>
      <c r="Y80" s="460">
        <f t="shared" si="51"/>
        <v>525124.65673196199</v>
      </c>
      <c r="Z80" s="460">
        <f t="shared" si="51"/>
        <v>531147.8646230693</v>
      </c>
      <c r="AA80" s="460">
        <f t="shared" si="51"/>
        <v>537213.11030495213</v>
      </c>
      <c r="AB80" s="460">
        <f t="shared" si="51"/>
        <v>543320.58147189161</v>
      </c>
      <c r="AC80" s="460">
        <f t="shared" si="51"/>
        <v>549470.46649557818</v>
      </c>
      <c r="AD80" s="460">
        <f t="shared" si="51"/>
        <v>555662.9544272772</v>
      </c>
      <c r="AE80" s="460">
        <f t="shared" si="51"/>
        <v>561898.23499999917</v>
      </c>
      <c r="AF80" s="460">
        <f t="shared" si="51"/>
        <v>586561.09620127396</v>
      </c>
      <c r="AG80" s="460">
        <f t="shared" si="51"/>
        <v>587769.31602170819</v>
      </c>
      <c r="AH80" s="460">
        <f t="shared" si="51"/>
        <v>588980.02457715024</v>
      </c>
      <c r="AI80" s="460">
        <f t="shared" si="51"/>
        <v>590193.22699398722</v>
      </c>
      <c r="AJ80" s="460">
        <f t="shared" si="51"/>
        <v>591408.92840916489</v>
      </c>
      <c r="AK80" s="460">
        <f t="shared" si="51"/>
        <v>592627.13397021103</v>
      </c>
      <c r="AL80" s="460">
        <f t="shared" si="51"/>
        <v>593847.84883525583</v>
      </c>
      <c r="AM80" s="460">
        <f t="shared" si="51"/>
        <v>595071.07817305473</v>
      </c>
      <c r="AN80" s="460">
        <f t="shared" si="51"/>
        <v>596296.8271630099</v>
      </c>
      <c r="AO80" s="460">
        <f t="shared" si="51"/>
        <v>597525.10099519254</v>
      </c>
      <c r="AP80" s="460">
        <f t="shared" si="51"/>
        <v>598755.90487036377</v>
      </c>
      <c r="AQ80" s="460">
        <f t="shared" si="51"/>
        <v>599989.24399999832</v>
      </c>
      <c r="AR80" s="460">
        <f t="shared" si="51"/>
        <v>601225.12360630499</v>
      </c>
      <c r="AS80" s="460">
        <f t="shared" si="51"/>
        <v>602463.54892225005</v>
      </c>
      <c r="AT80" s="460">
        <f t="shared" si="51"/>
        <v>603704.52519157832</v>
      </c>
      <c r="AU80" s="460">
        <f t="shared" si="51"/>
        <v>604948.05766883609</v>
      </c>
      <c r="AV80" s="460">
        <f t="shared" si="51"/>
        <v>606194.15161939315</v>
      </c>
      <c r="AW80" s="460">
        <f t="shared" si="51"/>
        <v>607442.81231946533</v>
      </c>
      <c r="AX80" s="460">
        <f t="shared" si="51"/>
        <v>608694.04505613633</v>
      </c>
      <c r="AY80" s="460">
        <f t="shared" si="51"/>
        <v>609947.85512738011</v>
      </c>
      <c r="AZ80" s="460">
        <f t="shared" si="51"/>
        <v>611204.24784208438</v>
      </c>
      <c r="BA80" s="460">
        <f t="shared" si="51"/>
        <v>612463.22852007148</v>
      </c>
      <c r="BB80" s="460">
        <f t="shared" si="51"/>
        <v>613724.80249212217</v>
      </c>
      <c r="BC80" s="460">
        <f t="shared" si="51"/>
        <v>614988.97509999748</v>
      </c>
      <c r="BD80" s="460">
        <f t="shared" si="51"/>
        <v>616255.75169646181</v>
      </c>
      <c r="BE80" s="460">
        <f t="shared" si="51"/>
        <v>617525.13764530548</v>
      </c>
      <c r="BF80" s="460">
        <f t="shared" si="51"/>
        <v>618797.13832136663</v>
      </c>
      <c r="BG80" s="460">
        <f t="shared" si="51"/>
        <v>620071.75911055598</v>
      </c>
      <c r="BH80" s="460">
        <f t="shared" si="51"/>
        <v>621349.00540987717</v>
      </c>
      <c r="BI80" s="460">
        <f t="shared" si="51"/>
        <v>622628.88262745121</v>
      </c>
      <c r="BJ80" s="460">
        <f t="shared" si="51"/>
        <v>623911.39618253883</v>
      </c>
      <c r="BK80" s="460">
        <f t="shared" si="51"/>
        <v>625196.5515055639</v>
      </c>
      <c r="BL80" s="460">
        <f t="shared" si="51"/>
        <v>626484.35403813573</v>
      </c>
      <c r="BM80" s="460">
        <f t="shared" si="51"/>
        <v>627774.80923307245</v>
      </c>
      <c r="BN80" s="460">
        <f t="shared" si="51"/>
        <v>629067.92255442427</v>
      </c>
      <c r="BO80" s="460">
        <f t="shared" si="51"/>
        <v>630363.69947749644</v>
      </c>
      <c r="BP80" s="460">
        <f t="shared" si="51"/>
        <v>631662.14548887254</v>
      </c>
      <c r="BQ80" s="460">
        <f t="shared" si="51"/>
        <v>632963.26608643727</v>
      </c>
      <c r="BR80" s="460">
        <f t="shared" si="51"/>
        <v>634267.06677940011</v>
      </c>
      <c r="BS80" s="460">
        <f t="shared" si="51"/>
        <v>635573.55308831902</v>
      </c>
      <c r="BT80" s="460">
        <f t="shared" ref="BT80:EE80" si="52">SUM(BT78:BT79)</f>
        <v>636882.73054512334</v>
      </c>
      <c r="BU80" s="460">
        <f t="shared" si="52"/>
        <v>638194.60469313641</v>
      </c>
      <c r="BV80" s="460">
        <f t="shared" si="52"/>
        <v>639509.18108710158</v>
      </c>
      <c r="BW80" s="460">
        <f t="shared" si="52"/>
        <v>640826.46529320208</v>
      </c>
      <c r="BX80" s="460">
        <f t="shared" si="52"/>
        <v>642146.4628890882</v>
      </c>
      <c r="BY80" s="460">
        <f t="shared" si="52"/>
        <v>643469.1794638983</v>
      </c>
      <c r="BZ80" s="460">
        <f t="shared" si="52"/>
        <v>644794.6206182841</v>
      </c>
      <c r="CA80" s="460">
        <f t="shared" si="52"/>
        <v>646122.79196443304</v>
      </c>
      <c r="CB80" s="460">
        <f t="shared" si="52"/>
        <v>647453.69912609342</v>
      </c>
      <c r="CC80" s="460">
        <f t="shared" si="52"/>
        <v>648787.34773859708</v>
      </c>
      <c r="CD80" s="460">
        <f t="shared" si="52"/>
        <v>650123.74344888423</v>
      </c>
      <c r="CE80" s="460">
        <f t="shared" si="52"/>
        <v>651462.89191552624</v>
      </c>
      <c r="CF80" s="460">
        <f t="shared" si="52"/>
        <v>652804.79880875046</v>
      </c>
      <c r="CG80" s="460">
        <f t="shared" si="52"/>
        <v>654149.46981046419</v>
      </c>
      <c r="CH80" s="460">
        <f t="shared" si="52"/>
        <v>655496.91061427805</v>
      </c>
      <c r="CI80" s="460">
        <f t="shared" si="52"/>
        <v>656847.12692553131</v>
      </c>
      <c r="CJ80" s="460">
        <f t="shared" si="52"/>
        <v>658200.12446131452</v>
      </c>
      <c r="CK80" s="460">
        <f t="shared" si="52"/>
        <v>659555.90895049484</v>
      </c>
      <c r="CL80" s="460">
        <f t="shared" si="52"/>
        <v>660914.48613374005</v>
      </c>
      <c r="CM80" s="460">
        <f t="shared" si="52"/>
        <v>662275.86176354298</v>
      </c>
      <c r="CN80" s="460">
        <f t="shared" si="52"/>
        <v>663640.04160424473</v>
      </c>
      <c r="CO80" s="460">
        <f t="shared" si="52"/>
        <v>665007.03143206111</v>
      </c>
      <c r="CP80" s="460">
        <f t="shared" si="52"/>
        <v>666376.83703510533</v>
      </c>
      <c r="CQ80" s="460">
        <f t="shared" si="52"/>
        <v>667749.46421341354</v>
      </c>
      <c r="CR80" s="460">
        <f t="shared" si="52"/>
        <v>669124.91877896828</v>
      </c>
      <c r="CS80" s="460">
        <f t="shared" si="52"/>
        <v>670503.20655572473</v>
      </c>
      <c r="CT80" s="460">
        <f t="shared" si="52"/>
        <v>671884.33337963407</v>
      </c>
      <c r="CU80" s="460">
        <f t="shared" si="52"/>
        <v>673268.30509866867</v>
      </c>
      <c r="CV80" s="460">
        <f t="shared" si="52"/>
        <v>674655.12757284637</v>
      </c>
      <c r="CW80" s="460">
        <f t="shared" si="52"/>
        <v>676044.80667425622</v>
      </c>
      <c r="CX80" s="460">
        <f t="shared" si="52"/>
        <v>677437.34828708274</v>
      </c>
      <c r="CY80" s="460">
        <f t="shared" si="52"/>
        <v>678832.75830763066</v>
      </c>
      <c r="CZ80" s="460">
        <f t="shared" si="52"/>
        <v>680231.04264434997</v>
      </c>
      <c r="DA80" s="460">
        <f t="shared" si="52"/>
        <v>681632.2072178619</v>
      </c>
      <c r="DB80" s="460">
        <f t="shared" si="52"/>
        <v>683036.25796098227</v>
      </c>
      <c r="DC80" s="460">
        <f t="shared" si="52"/>
        <v>684443.20081874798</v>
      </c>
      <c r="DD80" s="460">
        <f t="shared" si="52"/>
        <v>685853.04174844164</v>
      </c>
      <c r="DE80" s="460">
        <f t="shared" si="52"/>
        <v>687265.78671961697</v>
      </c>
      <c r="DF80" s="460">
        <f t="shared" si="52"/>
        <v>688681.44171412394</v>
      </c>
      <c r="DG80" s="460">
        <f t="shared" si="52"/>
        <v>690100.01272613439</v>
      </c>
      <c r="DH80" s="460">
        <f t="shared" si="52"/>
        <v>691521.50576216658</v>
      </c>
      <c r="DI80" s="460">
        <f t="shared" si="52"/>
        <v>692945.92684111185</v>
      </c>
      <c r="DJ80" s="460">
        <f t="shared" si="52"/>
        <v>694373.28199425898</v>
      </c>
      <c r="DK80" s="460">
        <f t="shared" si="52"/>
        <v>695803.57726532058</v>
      </c>
      <c r="DL80" s="460">
        <f t="shared" si="52"/>
        <v>697236.81871045777</v>
      </c>
      <c r="DM80" s="460">
        <f t="shared" si="52"/>
        <v>698673.01239830756</v>
      </c>
      <c r="DN80" s="460">
        <f t="shared" si="52"/>
        <v>700112.16441000591</v>
      </c>
      <c r="DO80" s="460">
        <f t="shared" si="52"/>
        <v>701554.28083921561</v>
      </c>
      <c r="DP80" s="460">
        <f t="shared" si="52"/>
        <v>702999.36779215152</v>
      </c>
      <c r="DQ80" s="460">
        <f t="shared" si="52"/>
        <v>704447.43138760643</v>
      </c>
      <c r="DR80" s="460">
        <f t="shared" si="52"/>
        <v>705898.47775697627</v>
      </c>
      <c r="DS80" s="460">
        <f t="shared" si="52"/>
        <v>707352.51304428664</v>
      </c>
      <c r="DT80" s="460">
        <f t="shared" si="52"/>
        <v>708809.54340621992</v>
      </c>
      <c r="DU80" s="460">
        <f t="shared" si="52"/>
        <v>710269.57501213858</v>
      </c>
      <c r="DV80" s="460">
        <f t="shared" si="52"/>
        <v>711732.61404411437</v>
      </c>
      <c r="DW80" s="460">
        <f t="shared" si="52"/>
        <v>713198.66669695254</v>
      </c>
      <c r="DX80" s="460">
        <f t="shared" si="52"/>
        <v>714667.73917821841</v>
      </c>
      <c r="DY80" s="460">
        <f t="shared" si="52"/>
        <v>716139.83770826424</v>
      </c>
      <c r="DZ80" s="460">
        <f t="shared" si="52"/>
        <v>717614.96852025494</v>
      </c>
      <c r="EA80" s="460">
        <f t="shared" si="52"/>
        <v>719093.13786019513</v>
      </c>
      <c r="EB80" s="460">
        <f t="shared" si="52"/>
        <v>720574.35198695445</v>
      </c>
      <c r="EC80" s="460">
        <f t="shared" si="52"/>
        <v>722058.61717229558</v>
      </c>
      <c r="ED80" s="460">
        <f t="shared" si="52"/>
        <v>723545.93970089965</v>
      </c>
      <c r="EE80" s="460">
        <f t="shared" si="52"/>
        <v>725036.32587039308</v>
      </c>
      <c r="EF80" s="460">
        <f t="shared" ref="EF80:EI80" si="53">SUM(EF78:EF79)</f>
        <v>726529.78199137433</v>
      </c>
      <c r="EG80" s="460">
        <f t="shared" si="53"/>
        <v>728026.31438744115</v>
      </c>
      <c r="EH80" s="460">
        <f t="shared" si="53"/>
        <v>729525.92939521628</v>
      </c>
      <c r="EI80" s="460">
        <f t="shared" si="53"/>
        <v>731028.63336437533</v>
      </c>
    </row>
    <row r="81" spans="2:139" ht="14.25" hidden="1" customHeight="1" outlineLevel="1" x14ac:dyDescent="0.4">
      <c r="B81" s="4" t="s">
        <v>194</v>
      </c>
      <c r="C81" s="3"/>
      <c r="D81" s="3"/>
      <c r="E81" s="3"/>
      <c r="F81" s="3"/>
      <c r="G81" s="460"/>
      <c r="H81" s="462">
        <f>SUM(Underwriting!T132:T133)</f>
        <v>-34738.648782051285</v>
      </c>
      <c r="I81" s="462">
        <f>SUM(Underwriting!U132:U133)</f>
        <v>-34729.049288461545</v>
      </c>
      <c r="J81" s="462">
        <f>SUM(Underwriting!V132:V133)</f>
        <v>-34713.356759615388</v>
      </c>
      <c r="K81" s="462">
        <f>SUM(Underwriting!W132:W133)</f>
        <v>-34691.523358974366</v>
      </c>
      <c r="L81" s="462">
        <f>SUM(Underwriting!X132:X133)</f>
        <v>-34663.501250000001</v>
      </c>
      <c r="M81" s="462">
        <f>SUM(Underwriting!Y132:Y133)</f>
        <v>-34629.242596153847</v>
      </c>
      <c r="N81" s="462">
        <f>SUM(Underwriting!Z132:Z133)</f>
        <v>-34588.699560897439</v>
      </c>
      <c r="O81" s="462">
        <f>SUM(Underwriting!AA132:AA133)</f>
        <v>-34541.82430769231</v>
      </c>
      <c r="P81" s="462">
        <f>SUM(Underwriting!AB132:AB133)</f>
        <v>-34488.569000000003</v>
      </c>
      <c r="Q81" s="462">
        <f>SUM(Underwriting!AC132:AC133)</f>
        <v>-34428.885801282056</v>
      </c>
      <c r="R81" s="462">
        <f>SUM(Underwriting!AD132:AD133)</f>
        <v>-34362.726875</v>
      </c>
      <c r="S81" s="462">
        <f>SUM(Underwriting!AE132:AE133)</f>
        <v>-34290.044384615387</v>
      </c>
      <c r="T81" s="462">
        <f>SUM(Underwriting!AF132:AF133)</f>
        <v>-34281.259120668437</v>
      </c>
      <c r="U81" s="462">
        <f>SUM(Underwriting!AG132:AG133)</f>
        <v>-34265.645639854483</v>
      </c>
      <c r="V81" s="462">
        <f>SUM(Underwriting!AH132:AH133)</f>
        <v>-34243.11402590463</v>
      </c>
      <c r="W81" s="462">
        <f>SUM(Underwriting!AI132:AI133)</f>
        <v>-34213.573794604046</v>
      </c>
      <c r="X81" s="462">
        <f>SUM(Underwriting!AJ132:AJ133)</f>
        <v>-34176.933891162953</v>
      </c>
      <c r="Y81" s="462">
        <f>SUM(Underwriting!AK132:AK133)</f>
        <v>-34133.102687577535</v>
      </c>
      <c r="Z81" s="462">
        <f>SUM(Underwriting!AL132:AL133)</f>
        <v>-34081.98797998028</v>
      </c>
      <c r="AA81" s="462">
        <f>SUM(Underwriting!AM132:AM133)</f>
        <v>-34023.496985980302</v>
      </c>
      <c r="AB81" s="462">
        <f>SUM(Underwriting!AN132:AN133)</f>
        <v>-33957.536341993226</v>
      </c>
      <c r="AC81" s="462">
        <f>SUM(Underwriting!AO132:AO133)</f>
        <v>-33884.012100560649</v>
      </c>
      <c r="AD81" s="462">
        <f>SUM(Underwriting!AP132:AP133)</f>
        <v>-33802.829727659366</v>
      </c>
      <c r="AE81" s="462">
        <f>SUM(Underwriting!AQ132:AQ133)</f>
        <v>-33713.894099999954</v>
      </c>
      <c r="AF81" s="462">
        <f>SUM(Underwriting!AR132:AR133)</f>
        <v>-35193.665772076441</v>
      </c>
      <c r="AG81" s="462">
        <f>SUM(Underwriting!AS132:AS133)</f>
        <v>-35266.158961302492</v>
      </c>
      <c r="AH81" s="462">
        <f>SUM(Underwriting!AT132:AT133)</f>
        <v>-35338.801474629014</v>
      </c>
      <c r="AI81" s="462">
        <f>SUM(Underwriting!AU132:AU133)</f>
        <v>-35411.593619639236</v>
      </c>
      <c r="AJ81" s="462">
        <f>SUM(Underwriting!AV132:AV133)</f>
        <v>-35484.535704549897</v>
      </c>
      <c r="AK81" s="462">
        <f>SUM(Underwriting!AW132:AW133)</f>
        <v>-35557.628038212664</v>
      </c>
      <c r="AL81" s="462">
        <f>SUM(Underwriting!AX132:AX133)</f>
        <v>-35630.87093011535</v>
      </c>
      <c r="AM81" s="462">
        <f>SUM(Underwriting!AY132:AY133)</f>
        <v>-35704.264690383287</v>
      </c>
      <c r="AN81" s="462">
        <f>SUM(Underwriting!AZ132:AZ133)</f>
        <v>-35777.809629780597</v>
      </c>
      <c r="AO81" s="462">
        <f>SUM(Underwriting!BA132:BA133)</f>
        <v>-35851.506059711552</v>
      </c>
      <c r="AP81" s="462">
        <f>SUM(Underwriting!BB132:BB133)</f>
        <v>-35925.354292221826</v>
      </c>
      <c r="AQ81" s="462">
        <f>SUM(Underwriting!BC132:BC133)</f>
        <v>-35999.354639999903</v>
      </c>
      <c r="AR81" s="462">
        <f>SUM(Underwriting!BD132:BD133)</f>
        <v>-36073.507416378299</v>
      </c>
      <c r="AS81" s="462">
        <f>SUM(Underwriting!BE132:BE133)</f>
        <v>-36147.812935335001</v>
      </c>
      <c r="AT81" s="462">
        <f>SUM(Underwriting!BF132:BF133)</f>
        <v>-36222.271511494699</v>
      </c>
      <c r="AU81" s="462">
        <f>SUM(Underwriting!BG132:BG133)</f>
        <v>-36296.883460130164</v>
      </c>
      <c r="AV81" s="462">
        <f>SUM(Underwriting!BH132:BH133)</f>
        <v>-36371.649097163587</v>
      </c>
      <c r="AW81" s="462">
        <f>SUM(Underwriting!BI132:BI133)</f>
        <v>-36446.568739167924</v>
      </c>
      <c r="AX81" s="462">
        <f>SUM(Underwriting!BJ132:BJ133)</f>
        <v>-36521.642703368183</v>
      </c>
      <c r="AY81" s="462">
        <f>SUM(Underwriting!BK132:BK133)</f>
        <v>-36596.87130764281</v>
      </c>
      <c r="AZ81" s="462">
        <f>SUM(Underwriting!BL132:BL133)</f>
        <v>-36672.254870525067</v>
      </c>
      <c r="BA81" s="462">
        <f>SUM(Underwriting!BM132:BM133)</f>
        <v>-36747.793711204293</v>
      </c>
      <c r="BB81" s="462">
        <f>SUM(Underwriting!BN132:BN133)</f>
        <v>-36823.488149527329</v>
      </c>
      <c r="BC81" s="462">
        <f>SUM(Underwriting!BO132:BO133)</f>
        <v>-36899.338505999847</v>
      </c>
      <c r="BD81" s="462">
        <f>SUM(Underwriting!BP132:BP133)</f>
        <v>-36975.345101787709</v>
      </c>
      <c r="BE81" s="462">
        <f>SUM(Underwriting!BQ132:BQ133)</f>
        <v>-37051.508258718328</v>
      </c>
      <c r="BF81" s="462">
        <f>SUM(Underwriting!BR132:BR133)</f>
        <v>-37127.828299282002</v>
      </c>
      <c r="BG81" s="462">
        <f>SUM(Underwriting!BS132:BS133)</f>
        <v>-37204.305546633361</v>
      </c>
      <c r="BH81" s="462">
        <f>SUM(Underwriting!BT132:BT133)</f>
        <v>-37280.94032459263</v>
      </c>
      <c r="BI81" s="462">
        <f>SUM(Underwriting!BU132:BU133)</f>
        <v>-37357.732957647073</v>
      </c>
      <c r="BJ81" s="462">
        <f>SUM(Underwriting!BV132:BV133)</f>
        <v>-37434.683770952332</v>
      </c>
      <c r="BK81" s="462">
        <f>SUM(Underwriting!BW132:BW133)</f>
        <v>-37511.793090333835</v>
      </c>
      <c r="BL81" s="462">
        <f>SUM(Underwriting!BX132:BX133)</f>
        <v>-37589.061242288146</v>
      </c>
      <c r="BM81" s="462">
        <f>SUM(Underwriting!BY132:BY133)</f>
        <v>-37666.488553984345</v>
      </c>
      <c r="BN81" s="462">
        <f>SUM(Underwriting!BZ132:BZ133)</f>
        <v>-37744.075353265456</v>
      </c>
      <c r="BO81" s="462">
        <f>SUM(Underwriting!CA132:CA133)</f>
        <v>-37821.821968649791</v>
      </c>
      <c r="BP81" s="462">
        <f>SUM(Underwriting!CB132:CB133)</f>
        <v>-37899.728729332353</v>
      </c>
      <c r="BQ81" s="462">
        <f>SUM(Underwriting!CC132:CC133)</f>
        <v>-37977.79596518624</v>
      </c>
      <c r="BR81" s="462">
        <f>SUM(Underwriting!CD132:CD133)</f>
        <v>-38056.024006764004</v>
      </c>
      <c r="BS81" s="462">
        <f>SUM(Underwriting!CE132:CE133)</f>
        <v>-38134.413185299141</v>
      </c>
      <c r="BT81" s="462">
        <f>SUM(Underwriting!CF132:CF133)</f>
        <v>-38212.963832707399</v>
      </c>
      <c r="BU81" s="462">
        <f>SUM(Underwriting!CG132:CG133)</f>
        <v>-38291.676281588188</v>
      </c>
      <c r="BV81" s="462">
        <f>SUM(Underwriting!CH132:CH133)</f>
        <v>-38370.550865226098</v>
      </c>
      <c r="BW81" s="462">
        <f>SUM(Underwriting!CI132:CI133)</f>
        <v>-38449.587917592129</v>
      </c>
      <c r="BX81" s="462">
        <f>SUM(Underwriting!CJ132:CJ133)</f>
        <v>-38528.787773345291</v>
      </c>
      <c r="BY81" s="462">
        <f>SUM(Underwriting!CK132:CK133)</f>
        <v>-38608.150767833897</v>
      </c>
      <c r="BZ81" s="462">
        <f>SUM(Underwriting!CL132:CL133)</f>
        <v>-38687.677237097043</v>
      </c>
      <c r="CA81" s="462">
        <f>SUM(Underwriting!CM132:CM133)</f>
        <v>-38767.367517865983</v>
      </c>
      <c r="CB81" s="462">
        <f>SUM(Underwriting!CN132:CN133)</f>
        <v>-38847.221947565602</v>
      </c>
      <c r="CC81" s="462">
        <f>SUM(Underwriting!CO132:CO133)</f>
        <v>-38927.240864315827</v>
      </c>
      <c r="CD81" s="462">
        <f>SUM(Underwriting!CP132:CP133)</f>
        <v>-39007.424606933055</v>
      </c>
      <c r="CE81" s="462">
        <f>SUM(Underwriting!CQ132:CQ133)</f>
        <v>-39087.773514931578</v>
      </c>
      <c r="CF81" s="462">
        <f>SUM(Underwriting!CR132:CR133)</f>
        <v>-39168.287928525031</v>
      </c>
      <c r="CG81" s="462">
        <f>SUM(Underwriting!CS132:CS133)</f>
        <v>-39248.968188627856</v>
      </c>
      <c r="CH81" s="462">
        <f>SUM(Underwriting!CT132:CT133)</f>
        <v>-39329.814636856681</v>
      </c>
      <c r="CI81" s="462">
        <f>SUM(Underwriting!CU132:CU133)</f>
        <v>-39410.827615531882</v>
      </c>
      <c r="CJ81" s="462">
        <f>SUM(Underwriting!CV132:CV133)</f>
        <v>-39492.007467678872</v>
      </c>
      <c r="CK81" s="462">
        <f>SUM(Underwriting!CW132:CW133)</f>
        <v>-39573.354537029692</v>
      </c>
      <c r="CL81" s="462">
        <f>SUM(Underwriting!CX132:CX133)</f>
        <v>-39654.869168024408</v>
      </c>
      <c r="CM81" s="462">
        <f>SUM(Underwriting!CY132:CY133)</f>
        <v>-39736.551705812584</v>
      </c>
      <c r="CN81" s="462">
        <f>SUM(Underwriting!CZ132:CZ133)</f>
        <v>-39818.402496254683</v>
      </c>
      <c r="CO81" s="462">
        <f>SUM(Underwriting!DA132:DA133)</f>
        <v>-39900.421885923672</v>
      </c>
      <c r="CP81" s="462">
        <f>SUM(Underwriting!DB132:DB133)</f>
        <v>-39982.610222106327</v>
      </c>
      <c r="CQ81" s="462">
        <f>SUM(Underwriting!DC132:DC133)</f>
        <v>-40064.967852804817</v>
      </c>
      <c r="CR81" s="462">
        <f>SUM(Underwriting!DD132:DD133)</f>
        <v>-40147.495126738097</v>
      </c>
      <c r="CS81" s="462">
        <f>SUM(Underwriting!DE132:DE133)</f>
        <v>-40230.192393343488</v>
      </c>
      <c r="CT81" s="462">
        <f>SUM(Underwriting!DF132:DF133)</f>
        <v>-40313.060002778046</v>
      </c>
      <c r="CU81" s="462">
        <f>SUM(Underwriting!DG132:DG133)</f>
        <v>-40396.098305920117</v>
      </c>
      <c r="CV81" s="462">
        <f>SUM(Underwriting!DH132:DH133)</f>
        <v>-40479.307654370787</v>
      </c>
      <c r="CW81" s="462">
        <f>SUM(Underwriting!DI132:DI133)</f>
        <v>-40562.688400455372</v>
      </c>
      <c r="CX81" s="462">
        <f>SUM(Underwriting!DJ132:DJ133)</f>
        <v>-40646.240897224961</v>
      </c>
      <c r="CY81" s="462">
        <f>SUM(Underwriting!DK132:DK133)</f>
        <v>-40729.965498457845</v>
      </c>
      <c r="CZ81" s="462">
        <f>SUM(Underwriting!DL132:DL133)</f>
        <v>-40813.862558661</v>
      </c>
      <c r="DA81" s="462">
        <f>SUM(Underwriting!DM132:DM133)</f>
        <v>-40897.932433071714</v>
      </c>
      <c r="DB81" s="462">
        <f>SUM(Underwriting!DN132:DN133)</f>
        <v>-40982.175477658937</v>
      </c>
      <c r="DC81" s="462">
        <f>SUM(Underwriting!DO132:DO133)</f>
        <v>-41066.592049124883</v>
      </c>
      <c r="DD81" s="462">
        <f>SUM(Underwriting!DP132:DP133)</f>
        <v>-41151.182504906494</v>
      </c>
      <c r="DE81" s="462">
        <f>SUM(Underwriting!DQ132:DQ133)</f>
        <v>-41235.94720317702</v>
      </c>
      <c r="DF81" s="462">
        <f>SUM(Underwriting!DR132:DR133)</f>
        <v>-41320.886502847439</v>
      </c>
      <c r="DG81" s="462">
        <f>SUM(Underwriting!DS132:DS133)</f>
        <v>-41406.000763568067</v>
      </c>
      <c r="DH81" s="462">
        <f>SUM(Underwriting!DT132:DT133)</f>
        <v>-41491.290345729998</v>
      </c>
      <c r="DI81" s="462">
        <f>SUM(Underwriting!DU132:DU133)</f>
        <v>-41576.755610466716</v>
      </c>
      <c r="DJ81" s="462">
        <f>SUM(Underwriting!DV132:DV133)</f>
        <v>-41662.396919655541</v>
      </c>
      <c r="DK81" s="462">
        <f>SUM(Underwriting!DW132:DW133)</f>
        <v>-41748.214635919241</v>
      </c>
      <c r="DL81" s="462">
        <f>SUM(Underwriting!DX132:DX133)</f>
        <v>-41834.209122627464</v>
      </c>
      <c r="DM81" s="462">
        <f>SUM(Underwriting!DY132:DY133)</f>
        <v>-41920.380743898459</v>
      </c>
      <c r="DN81" s="462">
        <f>SUM(Underwriting!DZ132:DZ133)</f>
        <v>-42006.729864600355</v>
      </c>
      <c r="DO81" s="462">
        <f>SUM(Underwriting!EA132:EA133)</f>
        <v>-42093.25685035294</v>
      </c>
      <c r="DP81" s="462">
        <f>SUM(Underwriting!EB132:EB133)</f>
        <v>-42179.962067529093</v>
      </c>
      <c r="DQ81" s="462">
        <f>SUM(Underwriting!EC132:EC133)</f>
        <v>-42266.845883256392</v>
      </c>
      <c r="DR81" s="462">
        <f>SUM(Underwriting!ED132:ED133)</f>
        <v>-42353.908665418581</v>
      </c>
      <c r="DS81" s="462">
        <f>SUM(Underwriting!EE132:EE133)</f>
        <v>-42441.150782657198</v>
      </c>
      <c r="DT81" s="462">
        <f>SUM(Underwriting!EF132:EF133)</f>
        <v>-42528.572604373192</v>
      </c>
      <c r="DU81" s="462">
        <f>SUM(Underwriting!EG132:EG133)</f>
        <v>-42616.174500728317</v>
      </c>
      <c r="DV81" s="462">
        <f>SUM(Underwriting!EH132:EH133)</f>
        <v>-42703.956842646869</v>
      </c>
      <c r="DW81" s="462">
        <f>SUM(Underwriting!EI132:EI133)</f>
        <v>-42791.920001817154</v>
      </c>
      <c r="DX81" s="462">
        <f>SUM(Underwriting!EJ132:EJ133)</f>
        <v>-42880.064350693108</v>
      </c>
      <c r="DY81" s="462">
        <f>SUM(Underwriting!EK132:EK133)</f>
        <v>-42968.390262495857</v>
      </c>
      <c r="DZ81" s="462">
        <f>SUM(Underwriting!EL132:EL133)</f>
        <v>-43056.898111215298</v>
      </c>
      <c r="EA81" s="462">
        <f>SUM(Underwriting!EM132:EM133)</f>
        <v>-43145.588271611705</v>
      </c>
      <c r="EB81" s="462">
        <f>SUM(Underwriting!EN132:EN133)</f>
        <v>-43234.461119217267</v>
      </c>
      <c r="EC81" s="462">
        <f>SUM(Underwriting!EO132:EO133)</f>
        <v>-43323.517030337738</v>
      </c>
      <c r="ED81" s="462">
        <f>SUM(Underwriting!EP132:EP133)</f>
        <v>-43412.75638205398</v>
      </c>
      <c r="EE81" s="462">
        <f>SUM(Underwriting!EQ132:EQ133)</f>
        <v>-43502.179552223584</v>
      </c>
      <c r="EF81" s="462">
        <f>SUM(Underwriting!ER132:ER133)</f>
        <v>-43591.78691948246</v>
      </c>
      <c r="EG81" s="462">
        <f>SUM(Underwriting!ES132:ES133)</f>
        <v>-43681.578863246476</v>
      </c>
      <c r="EH81" s="462">
        <f>SUM(Underwriting!ET132:ET133)</f>
        <v>-43771.555763712982</v>
      </c>
      <c r="EI81" s="462">
        <f>SUM(Underwriting!EU132:EU133)</f>
        <v>-43861.718001862522</v>
      </c>
    </row>
    <row r="82" spans="2:139" ht="14.25" hidden="1" customHeight="1" outlineLevel="1" x14ac:dyDescent="0.25">
      <c r="B82" s="3" t="s">
        <v>140</v>
      </c>
      <c r="C82" s="3"/>
      <c r="D82" s="3"/>
      <c r="E82" s="3"/>
      <c r="F82" s="3"/>
      <c r="G82" s="460"/>
      <c r="H82" s="460">
        <f t="shared" ref="H82:BS82" si="54">SUM(H80:H81)</f>
        <v>404065.33583333332</v>
      </c>
      <c r="I82" s="460">
        <f t="shared" si="54"/>
        <v>408620.51609615382</v>
      </c>
      <c r="J82" s="460">
        <f t="shared" si="54"/>
        <v>413200.92400961532</v>
      </c>
      <c r="K82" s="460">
        <f t="shared" si="54"/>
        <v>417806.6074102564</v>
      </c>
      <c r="L82" s="460">
        <f t="shared" si="54"/>
        <v>422437.6141346154</v>
      </c>
      <c r="M82" s="460">
        <f t="shared" si="54"/>
        <v>427093.99201923073</v>
      </c>
      <c r="N82" s="460">
        <f t="shared" si="54"/>
        <v>431775.78890064103</v>
      </c>
      <c r="O82" s="460">
        <f t="shared" si="54"/>
        <v>436483.05261538463</v>
      </c>
      <c r="P82" s="460">
        <f t="shared" si="54"/>
        <v>441215.83100000001</v>
      </c>
      <c r="Q82" s="460">
        <f t="shared" si="54"/>
        <v>445974.17189102562</v>
      </c>
      <c r="R82" s="460">
        <f t="shared" si="54"/>
        <v>450758.12312499998</v>
      </c>
      <c r="S82" s="460">
        <f t="shared" si="54"/>
        <v>455567.73253846157</v>
      </c>
      <c r="T82" s="460">
        <f t="shared" si="54"/>
        <v>461351.40286489925</v>
      </c>
      <c r="U82" s="460">
        <f t="shared" si="54"/>
        <v>467182.82713850378</v>
      </c>
      <c r="V82" s="460">
        <f t="shared" si="54"/>
        <v>473062.27895046026</v>
      </c>
      <c r="W82" s="460">
        <f t="shared" si="54"/>
        <v>478990.03312445653</v>
      </c>
      <c r="X82" s="460">
        <f t="shared" si="54"/>
        <v>484966.36572143884</v>
      </c>
      <c r="Y82" s="460">
        <f t="shared" si="54"/>
        <v>490991.55404438445</v>
      </c>
      <c r="Z82" s="460">
        <f t="shared" si="54"/>
        <v>497065.876643089</v>
      </c>
      <c r="AA82" s="460">
        <f t="shared" si="54"/>
        <v>503189.61331897182</v>
      </c>
      <c r="AB82" s="460">
        <f t="shared" si="54"/>
        <v>509363.04512989835</v>
      </c>
      <c r="AC82" s="460">
        <f t="shared" si="54"/>
        <v>515586.45439501753</v>
      </c>
      <c r="AD82" s="460">
        <f t="shared" si="54"/>
        <v>521860.12469961785</v>
      </c>
      <c r="AE82" s="460">
        <f t="shared" si="54"/>
        <v>528184.34089999925</v>
      </c>
      <c r="AF82" s="460">
        <f t="shared" si="54"/>
        <v>551367.4304291975</v>
      </c>
      <c r="AG82" s="460">
        <f t="shared" si="54"/>
        <v>552503.15706040571</v>
      </c>
      <c r="AH82" s="460">
        <f t="shared" si="54"/>
        <v>553641.22310252127</v>
      </c>
      <c r="AI82" s="460">
        <f t="shared" si="54"/>
        <v>554781.63337434793</v>
      </c>
      <c r="AJ82" s="460">
        <f t="shared" si="54"/>
        <v>555924.39270461502</v>
      </c>
      <c r="AK82" s="460">
        <f t="shared" si="54"/>
        <v>557069.50593199837</v>
      </c>
      <c r="AL82" s="460">
        <f t="shared" si="54"/>
        <v>558216.97790514049</v>
      </c>
      <c r="AM82" s="460">
        <f t="shared" si="54"/>
        <v>559366.81348267139</v>
      </c>
      <c r="AN82" s="460">
        <f t="shared" si="54"/>
        <v>560519.01753322931</v>
      </c>
      <c r="AO82" s="460">
        <f t="shared" si="54"/>
        <v>561673.59493548097</v>
      </c>
      <c r="AP82" s="460">
        <f t="shared" si="54"/>
        <v>562830.55057814193</v>
      </c>
      <c r="AQ82" s="460">
        <f t="shared" si="54"/>
        <v>563989.8893599984</v>
      </c>
      <c r="AR82" s="460">
        <f t="shared" si="54"/>
        <v>565151.61618992663</v>
      </c>
      <c r="AS82" s="460">
        <f t="shared" si="54"/>
        <v>566315.73598691507</v>
      </c>
      <c r="AT82" s="460">
        <f t="shared" si="54"/>
        <v>567482.25368008367</v>
      </c>
      <c r="AU82" s="460">
        <f t="shared" si="54"/>
        <v>568651.1742087059</v>
      </c>
      <c r="AV82" s="460">
        <f t="shared" si="54"/>
        <v>569822.50252222957</v>
      </c>
      <c r="AW82" s="460">
        <f t="shared" si="54"/>
        <v>570996.24358029745</v>
      </c>
      <c r="AX82" s="460">
        <f t="shared" si="54"/>
        <v>572172.40235276811</v>
      </c>
      <c r="AY82" s="460">
        <f t="shared" si="54"/>
        <v>573350.98381973733</v>
      </c>
      <c r="AZ82" s="460">
        <f t="shared" si="54"/>
        <v>574531.99297155929</v>
      </c>
      <c r="BA82" s="460">
        <f t="shared" si="54"/>
        <v>575715.43480886717</v>
      </c>
      <c r="BB82" s="460">
        <f t="shared" si="54"/>
        <v>576901.31434259482</v>
      </c>
      <c r="BC82" s="460">
        <f t="shared" si="54"/>
        <v>578089.63659399759</v>
      </c>
      <c r="BD82" s="460">
        <f t="shared" si="54"/>
        <v>579280.4065946741</v>
      </c>
      <c r="BE82" s="460">
        <f t="shared" si="54"/>
        <v>580473.62938658718</v>
      </c>
      <c r="BF82" s="460">
        <f t="shared" si="54"/>
        <v>581669.31002208462</v>
      </c>
      <c r="BG82" s="460">
        <f t="shared" si="54"/>
        <v>582867.45356392267</v>
      </c>
      <c r="BH82" s="460">
        <f t="shared" si="54"/>
        <v>584068.06508528453</v>
      </c>
      <c r="BI82" s="460">
        <f t="shared" si="54"/>
        <v>585271.14966980414</v>
      </c>
      <c r="BJ82" s="460">
        <f t="shared" si="54"/>
        <v>586476.71241158654</v>
      </c>
      <c r="BK82" s="460">
        <f t="shared" si="54"/>
        <v>587684.75841523008</v>
      </c>
      <c r="BL82" s="460">
        <f t="shared" si="54"/>
        <v>588895.29279584764</v>
      </c>
      <c r="BM82" s="460">
        <f t="shared" si="54"/>
        <v>590108.32067908812</v>
      </c>
      <c r="BN82" s="460">
        <f t="shared" si="54"/>
        <v>591323.84720115876</v>
      </c>
      <c r="BO82" s="460">
        <f t="shared" si="54"/>
        <v>592541.87750884669</v>
      </c>
      <c r="BP82" s="460">
        <f t="shared" si="54"/>
        <v>593762.41675954021</v>
      </c>
      <c r="BQ82" s="460">
        <f t="shared" si="54"/>
        <v>594985.47012125107</v>
      </c>
      <c r="BR82" s="460">
        <f t="shared" si="54"/>
        <v>596211.04277263605</v>
      </c>
      <c r="BS82" s="460">
        <f t="shared" si="54"/>
        <v>597439.13990301988</v>
      </c>
      <c r="BT82" s="460">
        <f t="shared" ref="BT82:EE82" si="55">SUM(BT80:BT81)</f>
        <v>598669.76671241596</v>
      </c>
      <c r="BU82" s="460">
        <f t="shared" si="55"/>
        <v>599902.92841154826</v>
      </c>
      <c r="BV82" s="460">
        <f t="shared" si="55"/>
        <v>601138.6302218755</v>
      </c>
      <c r="BW82" s="460">
        <f t="shared" si="55"/>
        <v>602376.87737560994</v>
      </c>
      <c r="BX82" s="460">
        <f t="shared" si="55"/>
        <v>603617.67511574295</v>
      </c>
      <c r="BY82" s="460">
        <f t="shared" si="55"/>
        <v>604861.02869606437</v>
      </c>
      <c r="BZ82" s="460">
        <f t="shared" si="55"/>
        <v>606106.94338118704</v>
      </c>
      <c r="CA82" s="460">
        <f t="shared" si="55"/>
        <v>607355.42444656708</v>
      </c>
      <c r="CB82" s="460">
        <f t="shared" si="55"/>
        <v>608606.47717852786</v>
      </c>
      <c r="CC82" s="460">
        <f t="shared" si="55"/>
        <v>609860.10687428131</v>
      </c>
      <c r="CD82" s="460">
        <f t="shared" si="55"/>
        <v>611116.3188419512</v>
      </c>
      <c r="CE82" s="460">
        <f t="shared" si="55"/>
        <v>612375.11840059469</v>
      </c>
      <c r="CF82" s="460">
        <f t="shared" si="55"/>
        <v>613636.51088022545</v>
      </c>
      <c r="CG82" s="460">
        <f t="shared" si="55"/>
        <v>614900.50162183633</v>
      </c>
      <c r="CH82" s="460">
        <f t="shared" si="55"/>
        <v>616167.09597742138</v>
      </c>
      <c r="CI82" s="460">
        <f t="shared" si="55"/>
        <v>617436.29930999945</v>
      </c>
      <c r="CJ82" s="460">
        <f t="shared" si="55"/>
        <v>618708.11699363566</v>
      </c>
      <c r="CK82" s="460">
        <f t="shared" si="55"/>
        <v>619982.55441346508</v>
      </c>
      <c r="CL82" s="460">
        <f t="shared" si="55"/>
        <v>621259.61696571566</v>
      </c>
      <c r="CM82" s="460">
        <f t="shared" si="55"/>
        <v>622539.31005773041</v>
      </c>
      <c r="CN82" s="460">
        <f t="shared" si="55"/>
        <v>623821.63910799008</v>
      </c>
      <c r="CO82" s="460">
        <f t="shared" si="55"/>
        <v>625106.60954613739</v>
      </c>
      <c r="CP82" s="460">
        <f t="shared" si="55"/>
        <v>626394.226812999</v>
      </c>
      <c r="CQ82" s="460">
        <f t="shared" si="55"/>
        <v>627684.49636060873</v>
      </c>
      <c r="CR82" s="460">
        <f t="shared" si="55"/>
        <v>628977.42365223018</v>
      </c>
      <c r="CS82" s="460">
        <f t="shared" si="55"/>
        <v>630273.01416238118</v>
      </c>
      <c r="CT82" s="460">
        <f t="shared" si="55"/>
        <v>631571.273376856</v>
      </c>
      <c r="CU82" s="460">
        <f t="shared" si="55"/>
        <v>632872.20679274853</v>
      </c>
      <c r="CV82" s="460">
        <f t="shared" si="55"/>
        <v>634175.81991847558</v>
      </c>
      <c r="CW82" s="460">
        <f t="shared" si="55"/>
        <v>635482.11827380082</v>
      </c>
      <c r="CX82" s="460">
        <f t="shared" si="55"/>
        <v>636791.10738985776</v>
      </c>
      <c r="CY82" s="460">
        <f t="shared" si="55"/>
        <v>638102.79280917277</v>
      </c>
      <c r="CZ82" s="460">
        <f t="shared" si="55"/>
        <v>639417.18008568895</v>
      </c>
      <c r="DA82" s="460">
        <f t="shared" si="55"/>
        <v>640734.27478479024</v>
      </c>
      <c r="DB82" s="460">
        <f t="shared" si="55"/>
        <v>642054.08248332329</v>
      </c>
      <c r="DC82" s="460">
        <f t="shared" si="55"/>
        <v>643376.6087696231</v>
      </c>
      <c r="DD82" s="460">
        <f t="shared" si="55"/>
        <v>644701.8592435352</v>
      </c>
      <c r="DE82" s="460">
        <f t="shared" si="55"/>
        <v>646029.83951643994</v>
      </c>
      <c r="DF82" s="460">
        <f t="shared" si="55"/>
        <v>647360.55521127651</v>
      </c>
      <c r="DG82" s="460">
        <f t="shared" si="55"/>
        <v>648694.01196256629</v>
      </c>
      <c r="DH82" s="460">
        <f t="shared" si="55"/>
        <v>650030.21541643655</v>
      </c>
      <c r="DI82" s="460">
        <f t="shared" si="55"/>
        <v>651369.17123064515</v>
      </c>
      <c r="DJ82" s="460">
        <f t="shared" si="55"/>
        <v>652710.88507460349</v>
      </c>
      <c r="DK82" s="460">
        <f t="shared" si="55"/>
        <v>654055.36262940138</v>
      </c>
      <c r="DL82" s="460">
        <f t="shared" si="55"/>
        <v>655402.60958783026</v>
      </c>
      <c r="DM82" s="460">
        <f t="shared" si="55"/>
        <v>656752.63165440911</v>
      </c>
      <c r="DN82" s="460">
        <f t="shared" si="55"/>
        <v>658105.43454540556</v>
      </c>
      <c r="DO82" s="460">
        <f t="shared" si="55"/>
        <v>659461.02398886264</v>
      </c>
      <c r="DP82" s="460">
        <f t="shared" si="55"/>
        <v>660819.40572462243</v>
      </c>
      <c r="DQ82" s="460">
        <f t="shared" si="55"/>
        <v>662180.58550435002</v>
      </c>
      <c r="DR82" s="460">
        <f t="shared" si="55"/>
        <v>663544.56909155764</v>
      </c>
      <c r="DS82" s="460">
        <f t="shared" si="55"/>
        <v>664911.36226162943</v>
      </c>
      <c r="DT82" s="460">
        <f t="shared" si="55"/>
        <v>666280.97080184671</v>
      </c>
      <c r="DU82" s="460">
        <f t="shared" si="55"/>
        <v>667653.40051141032</v>
      </c>
      <c r="DV82" s="460">
        <f t="shared" si="55"/>
        <v>669028.65720146755</v>
      </c>
      <c r="DW82" s="460">
        <f t="shared" si="55"/>
        <v>670406.74669513537</v>
      </c>
      <c r="DX82" s="460">
        <f t="shared" si="55"/>
        <v>671787.67482752528</v>
      </c>
      <c r="DY82" s="460">
        <f t="shared" si="55"/>
        <v>673171.4474457684</v>
      </c>
      <c r="DZ82" s="460">
        <f t="shared" si="55"/>
        <v>674558.07040903962</v>
      </c>
      <c r="EA82" s="460">
        <f t="shared" si="55"/>
        <v>675947.54958858341</v>
      </c>
      <c r="EB82" s="460">
        <f t="shared" si="55"/>
        <v>677339.89086773724</v>
      </c>
      <c r="EC82" s="460">
        <f t="shared" si="55"/>
        <v>678735.10014195787</v>
      </c>
      <c r="ED82" s="460">
        <f t="shared" si="55"/>
        <v>680133.18331884569</v>
      </c>
      <c r="EE82" s="460">
        <f t="shared" si="55"/>
        <v>681534.14631816954</v>
      </c>
      <c r="EF82" s="460">
        <f t="shared" ref="EF82:EI82" si="56">SUM(EF80:EF81)</f>
        <v>682937.99507189193</v>
      </c>
      <c r="EG82" s="460">
        <f t="shared" si="56"/>
        <v>684344.73552419466</v>
      </c>
      <c r="EH82" s="460">
        <f t="shared" si="56"/>
        <v>685754.37363150332</v>
      </c>
      <c r="EI82" s="460">
        <f t="shared" si="56"/>
        <v>687166.91536251281</v>
      </c>
    </row>
    <row r="83" spans="2:139" ht="5.0999999999999996" hidden="1" customHeight="1" outlineLevel="1" x14ac:dyDescent="0.25">
      <c r="B83" s="3"/>
      <c r="C83" s="3"/>
      <c r="D83" s="3"/>
      <c r="E83" s="3"/>
      <c r="F83" s="3"/>
      <c r="G83" s="460"/>
      <c r="H83" s="460"/>
      <c r="I83" s="460"/>
      <c r="J83" s="460"/>
      <c r="K83" s="460"/>
      <c r="L83" s="460"/>
      <c r="M83" s="460"/>
      <c r="N83" s="460"/>
      <c r="O83" s="460"/>
      <c r="P83" s="460"/>
      <c r="Q83" s="460"/>
      <c r="R83" s="460"/>
      <c r="S83" s="460"/>
      <c r="T83" s="460"/>
      <c r="U83" s="460"/>
      <c r="V83" s="460"/>
      <c r="W83" s="460"/>
      <c r="X83" s="460"/>
      <c r="Y83" s="460"/>
      <c r="Z83" s="460"/>
      <c r="AA83" s="460"/>
      <c r="AB83" s="460"/>
      <c r="AC83" s="460"/>
      <c r="AD83" s="460"/>
      <c r="AE83" s="460"/>
      <c r="AF83" s="460"/>
      <c r="AG83" s="460"/>
      <c r="AH83" s="460"/>
      <c r="AI83" s="460"/>
      <c r="AJ83" s="460"/>
      <c r="AK83" s="460"/>
      <c r="AL83" s="460"/>
      <c r="AM83" s="460"/>
      <c r="AN83" s="460"/>
      <c r="AO83" s="460"/>
      <c r="AP83" s="460"/>
      <c r="AQ83" s="460"/>
      <c r="AR83" s="460"/>
      <c r="AS83" s="460"/>
      <c r="AT83" s="460"/>
      <c r="AU83" s="460"/>
      <c r="AV83" s="460"/>
      <c r="AW83" s="460"/>
      <c r="AX83" s="460"/>
      <c r="AY83" s="460"/>
      <c r="AZ83" s="460"/>
      <c r="BA83" s="460"/>
      <c r="BB83" s="460"/>
      <c r="BC83" s="460"/>
      <c r="BD83" s="460"/>
      <c r="BE83" s="460"/>
      <c r="BF83" s="460"/>
      <c r="BG83" s="460"/>
      <c r="BH83" s="460"/>
      <c r="BI83" s="460"/>
      <c r="BJ83" s="460"/>
      <c r="BK83" s="460"/>
      <c r="BL83" s="460"/>
      <c r="BM83" s="460"/>
      <c r="BN83" s="460"/>
      <c r="BO83" s="460"/>
      <c r="BP83" s="460"/>
      <c r="BQ83" s="460"/>
      <c r="BR83" s="460"/>
      <c r="BS83" s="460"/>
      <c r="BT83" s="460"/>
      <c r="BU83" s="460"/>
      <c r="BV83" s="460"/>
      <c r="BW83" s="460"/>
      <c r="BX83" s="460"/>
      <c r="BY83" s="460"/>
      <c r="BZ83" s="460"/>
      <c r="CA83" s="460"/>
      <c r="CB83" s="460"/>
      <c r="CC83" s="460"/>
      <c r="CD83" s="460"/>
      <c r="CE83" s="460"/>
      <c r="CF83" s="460"/>
      <c r="CG83" s="460"/>
      <c r="CH83" s="460"/>
      <c r="CI83" s="460"/>
      <c r="CJ83" s="460"/>
      <c r="CK83" s="460"/>
      <c r="CL83" s="460"/>
      <c r="CM83" s="460"/>
      <c r="CN83" s="460"/>
      <c r="CO83" s="460"/>
      <c r="CP83" s="460"/>
      <c r="CQ83" s="460"/>
      <c r="CR83" s="460"/>
      <c r="CS83" s="460"/>
      <c r="CT83" s="460"/>
      <c r="CU83" s="460"/>
      <c r="CV83" s="460"/>
      <c r="CW83" s="460"/>
      <c r="CX83" s="460"/>
      <c r="CY83" s="460"/>
      <c r="CZ83" s="460"/>
      <c r="DA83" s="460"/>
      <c r="DB83" s="460"/>
      <c r="DC83" s="460"/>
      <c r="DD83" s="460"/>
      <c r="DE83" s="460"/>
      <c r="DF83" s="460"/>
      <c r="DG83" s="460"/>
      <c r="DH83" s="460"/>
      <c r="DI83" s="460"/>
      <c r="DJ83" s="460"/>
      <c r="DK83" s="460"/>
      <c r="DL83" s="460"/>
      <c r="DM83" s="460"/>
      <c r="DN83" s="460"/>
      <c r="DO83" s="460"/>
      <c r="DP83" s="460"/>
      <c r="DQ83" s="460"/>
      <c r="DR83" s="460"/>
      <c r="DS83" s="460"/>
      <c r="DT83" s="460"/>
      <c r="DU83" s="460"/>
      <c r="DV83" s="460"/>
      <c r="DW83" s="460"/>
      <c r="DX83" s="460"/>
      <c r="DY83" s="460"/>
      <c r="DZ83" s="460"/>
      <c r="EA83" s="460"/>
      <c r="EB83" s="460"/>
      <c r="EC83" s="460"/>
      <c r="ED83" s="460"/>
      <c r="EE83" s="460"/>
      <c r="EF83" s="460"/>
      <c r="EG83" s="460"/>
      <c r="EH83" s="460"/>
      <c r="EI83" s="460"/>
    </row>
    <row r="84" spans="2:139" ht="14.25" hidden="1" customHeight="1" outlineLevel="1" x14ac:dyDescent="0.25">
      <c r="B84" s="3" t="s">
        <v>144</v>
      </c>
      <c r="C84" s="3"/>
      <c r="D84" s="3"/>
      <c r="E84" s="3"/>
      <c r="F84" s="3"/>
      <c r="G84" s="460"/>
      <c r="H84" s="460"/>
      <c r="I84" s="460"/>
      <c r="J84" s="460"/>
      <c r="K84" s="460"/>
      <c r="L84" s="460"/>
      <c r="M84" s="460"/>
      <c r="N84" s="460"/>
      <c r="O84" s="460"/>
      <c r="P84" s="460"/>
      <c r="Q84" s="460"/>
      <c r="R84" s="460"/>
      <c r="S84" s="460"/>
      <c r="T84" s="460"/>
      <c r="U84" s="460"/>
      <c r="V84" s="460"/>
      <c r="W84" s="460"/>
      <c r="X84" s="460"/>
      <c r="Y84" s="460"/>
      <c r="Z84" s="460"/>
      <c r="AA84" s="460"/>
      <c r="AB84" s="460"/>
      <c r="AC84" s="460"/>
      <c r="AD84" s="460"/>
      <c r="AE84" s="460"/>
      <c r="AF84" s="460"/>
      <c r="AG84" s="460"/>
      <c r="AH84" s="460"/>
      <c r="AI84" s="460"/>
      <c r="AJ84" s="460"/>
      <c r="AK84" s="460"/>
      <c r="AL84" s="460"/>
      <c r="AM84" s="460"/>
      <c r="AN84" s="460"/>
      <c r="AO84" s="460"/>
      <c r="AP84" s="460"/>
      <c r="AQ84" s="460"/>
      <c r="AR84" s="460"/>
      <c r="AS84" s="460"/>
      <c r="AT84" s="460"/>
      <c r="AU84" s="460"/>
      <c r="AV84" s="460"/>
      <c r="AW84" s="460"/>
      <c r="AX84" s="460"/>
      <c r="AY84" s="460"/>
      <c r="AZ84" s="460"/>
      <c r="BA84" s="460"/>
      <c r="BB84" s="460"/>
      <c r="BC84" s="460"/>
      <c r="BD84" s="460"/>
      <c r="BE84" s="460"/>
      <c r="BF84" s="460"/>
      <c r="BG84" s="460"/>
      <c r="BH84" s="460"/>
      <c r="BI84" s="460"/>
      <c r="BJ84" s="460"/>
      <c r="BK84" s="460"/>
      <c r="BL84" s="460"/>
      <c r="BM84" s="460"/>
      <c r="BN84" s="460"/>
      <c r="BO84" s="460"/>
      <c r="BP84" s="460"/>
      <c r="BQ84" s="460"/>
      <c r="BR84" s="460"/>
      <c r="BS84" s="460"/>
      <c r="BT84" s="460"/>
      <c r="BU84" s="460"/>
      <c r="BV84" s="460"/>
      <c r="BW84" s="460"/>
      <c r="BX84" s="460"/>
      <c r="BY84" s="460"/>
      <c r="BZ84" s="460"/>
      <c r="CA84" s="460"/>
      <c r="CB84" s="460"/>
      <c r="CC84" s="460"/>
      <c r="CD84" s="460"/>
      <c r="CE84" s="460"/>
      <c r="CF84" s="460"/>
      <c r="CG84" s="460"/>
      <c r="CH84" s="460"/>
      <c r="CI84" s="460"/>
      <c r="CJ84" s="460"/>
      <c r="CK84" s="460"/>
      <c r="CL84" s="460"/>
      <c r="CM84" s="460"/>
      <c r="CN84" s="460"/>
      <c r="CO84" s="460"/>
      <c r="CP84" s="460"/>
      <c r="CQ84" s="460"/>
      <c r="CR84" s="460"/>
      <c r="CS84" s="460"/>
      <c r="CT84" s="460"/>
      <c r="CU84" s="460"/>
      <c r="CV84" s="460"/>
      <c r="CW84" s="460"/>
      <c r="CX84" s="460"/>
      <c r="CY84" s="460"/>
      <c r="CZ84" s="460"/>
      <c r="DA84" s="460"/>
      <c r="DB84" s="460"/>
      <c r="DC84" s="460"/>
      <c r="DD84" s="460"/>
      <c r="DE84" s="460"/>
      <c r="DF84" s="460"/>
      <c r="DG84" s="460"/>
      <c r="DH84" s="460"/>
      <c r="DI84" s="460"/>
      <c r="DJ84" s="460"/>
      <c r="DK84" s="460"/>
      <c r="DL84" s="460"/>
      <c r="DM84" s="460"/>
      <c r="DN84" s="460"/>
      <c r="DO84" s="460"/>
      <c r="DP84" s="460"/>
      <c r="DQ84" s="460"/>
      <c r="DR84" s="460"/>
      <c r="DS84" s="460"/>
      <c r="DT84" s="460"/>
      <c r="DU84" s="460"/>
      <c r="DV84" s="460"/>
      <c r="DW84" s="460"/>
      <c r="DX84" s="460"/>
      <c r="DY84" s="460"/>
      <c r="DZ84" s="460"/>
      <c r="EA84" s="460"/>
      <c r="EB84" s="460"/>
      <c r="EC84" s="460"/>
      <c r="ED84" s="460"/>
      <c r="EE84" s="460"/>
      <c r="EF84" s="460"/>
      <c r="EG84" s="460"/>
      <c r="EH84" s="460"/>
      <c r="EI84" s="460"/>
    </row>
    <row r="85" spans="2:139" ht="14.25" hidden="1" customHeight="1" outlineLevel="1" x14ac:dyDescent="0.25">
      <c r="B85" s="4" t="s">
        <v>145</v>
      </c>
      <c r="C85" s="3"/>
      <c r="D85" s="3"/>
      <c r="E85" s="3"/>
      <c r="F85" s="3"/>
      <c r="G85" s="460"/>
      <c r="H85" s="460">
        <f>Underwriting!T136</f>
        <v>8750</v>
      </c>
      <c r="I85" s="460">
        <f>Underwriting!U136</f>
        <v>8750</v>
      </c>
      <c r="J85" s="460">
        <f>Underwriting!V136</f>
        <v>8750</v>
      </c>
      <c r="K85" s="460">
        <f>Underwriting!W136</f>
        <v>8750</v>
      </c>
      <c r="L85" s="460">
        <f>Underwriting!X136</f>
        <v>8750</v>
      </c>
      <c r="M85" s="460">
        <f>Underwriting!Y136</f>
        <v>8750</v>
      </c>
      <c r="N85" s="460">
        <f>Underwriting!Z136</f>
        <v>8750</v>
      </c>
      <c r="O85" s="460">
        <f>Underwriting!AA136</f>
        <v>8750</v>
      </c>
      <c r="P85" s="460">
        <f>Underwriting!AB136</f>
        <v>8750</v>
      </c>
      <c r="Q85" s="460">
        <f>Underwriting!AC136</f>
        <v>8750</v>
      </c>
      <c r="R85" s="460">
        <f>Underwriting!AD136</f>
        <v>8750</v>
      </c>
      <c r="S85" s="460">
        <f>Underwriting!AE136</f>
        <v>8750</v>
      </c>
      <c r="T85" s="460">
        <f>Underwriting!AF136</f>
        <v>8768.0235673611242</v>
      </c>
      <c r="U85" s="460">
        <f>Underwriting!AG136</f>
        <v>8786.084260320009</v>
      </c>
      <c r="V85" s="460">
        <f>Underwriting!AH136</f>
        <v>8804.1821553493119</v>
      </c>
      <c r="W85" s="460">
        <f>Underwriting!AI136</f>
        <v>8822.317329079202</v>
      </c>
      <c r="X85" s="460">
        <f>Underwriting!AJ136</f>
        <v>8840.4898582977021</v>
      </c>
      <c r="Y85" s="460">
        <f>Underwriting!AK136</f>
        <v>8858.6998199509999</v>
      </c>
      <c r="Z85" s="460">
        <f>Underwriting!AL136</f>
        <v>8876.9472911437824</v>
      </c>
      <c r="AA85" s="460">
        <f>Underwriting!AM136</f>
        <v>8895.2323491395637</v>
      </c>
      <c r="AB85" s="460">
        <f>Underwriting!AN136</f>
        <v>8913.5550713609991</v>
      </c>
      <c r="AC85" s="460">
        <f>Underwriting!AO136</f>
        <v>8931.9155353902297</v>
      </c>
      <c r="AD85" s="460">
        <f>Underwriting!AP136</f>
        <v>8950.3138189691981</v>
      </c>
      <c r="AE85" s="460">
        <f>Underwriting!AQ136</f>
        <v>8968.7499999999854</v>
      </c>
      <c r="AF85" s="460">
        <f>Underwriting!AR136</f>
        <v>8987.2241565451386</v>
      </c>
      <c r="AG85" s="460">
        <f>Underwriting!AS136</f>
        <v>9005.7363668279959</v>
      </c>
      <c r="AH85" s="460">
        <f>Underwriting!AT136</f>
        <v>9024.2867092330289</v>
      </c>
      <c r="AI85" s="460">
        <f>Underwriting!AU136</f>
        <v>9042.8752623061682</v>
      </c>
      <c r="AJ85" s="460">
        <f>Underwriting!AV136</f>
        <v>9061.5021047551309</v>
      </c>
      <c r="AK85" s="460">
        <f>Underwriting!AW136</f>
        <v>9080.1673154497621</v>
      </c>
      <c r="AL85" s="460">
        <f>Underwriting!AX136</f>
        <v>9098.8709734223667</v>
      </c>
      <c r="AM85" s="460">
        <f>Underwriting!AY136</f>
        <v>9117.6131578680415</v>
      </c>
      <c r="AN85" s="460">
        <f>Underwriting!AZ136</f>
        <v>9136.3939481450125</v>
      </c>
      <c r="AO85" s="460">
        <f>Underwriting!BA136</f>
        <v>9155.2134237749742</v>
      </c>
      <c r="AP85" s="460">
        <f>Underwriting!BB136</f>
        <v>9174.0716644434178</v>
      </c>
      <c r="AQ85" s="460">
        <f>Underwriting!BC136</f>
        <v>9192.9687499999745</v>
      </c>
      <c r="AR85" s="460">
        <f>Underwriting!BD136</f>
        <v>9211.9047604587558</v>
      </c>
      <c r="AS85" s="460">
        <f>Underwriting!BE136</f>
        <v>9230.8797759986846</v>
      </c>
      <c r="AT85" s="460">
        <f>Underwriting!BF136</f>
        <v>9249.8938769638444</v>
      </c>
      <c r="AU85" s="460">
        <f>Underwriting!BG136</f>
        <v>9268.947143863812</v>
      </c>
      <c r="AV85" s="460">
        <f>Underwriting!BH136</f>
        <v>9288.0396573739981</v>
      </c>
      <c r="AW85" s="460">
        <f>Underwriting!BI136</f>
        <v>9307.1714983359943</v>
      </c>
      <c r="AX85" s="460">
        <f>Underwriting!BJ136</f>
        <v>9326.3427477579116</v>
      </c>
      <c r="AY85" s="460">
        <f>Underwriting!BK136</f>
        <v>9345.5534868147297</v>
      </c>
      <c r="AZ85" s="460">
        <f>Underwriting!BL136</f>
        <v>9364.803796848626</v>
      </c>
      <c r="BA85" s="460">
        <f>Underwriting!BM136</f>
        <v>9384.0937593693361</v>
      </c>
      <c r="BB85" s="460">
        <f>Underwriting!BN136</f>
        <v>9403.4234560544901</v>
      </c>
      <c r="BC85" s="460">
        <f>Underwriting!BO136</f>
        <v>9422.7929687499618</v>
      </c>
      <c r="BD85" s="460">
        <f>Underwriting!BP136</f>
        <v>9442.2023794702109</v>
      </c>
      <c r="BE85" s="460">
        <f>Underwriting!BQ136</f>
        <v>9461.6517703986392</v>
      </c>
      <c r="BF85" s="460">
        <f>Underwriting!BR136</f>
        <v>9481.1412238879293</v>
      </c>
      <c r="BG85" s="460">
        <f>Underwriting!BS136</f>
        <v>9500.6708224603935</v>
      </c>
      <c r="BH85" s="460">
        <f>Underwriting!BT136</f>
        <v>9520.2406488083343</v>
      </c>
      <c r="BI85" s="460">
        <f>Underwriting!BU136</f>
        <v>9539.8507857943823</v>
      </c>
      <c r="BJ85" s="460">
        <f>Underwriting!BV136</f>
        <v>9559.5013164518477</v>
      </c>
      <c r="BK85" s="460">
        <f>Underwriting!BW136</f>
        <v>9579.1923239850857</v>
      </c>
      <c r="BL85" s="460">
        <f>Underwriting!BX136</f>
        <v>9598.9238917698294</v>
      </c>
      <c r="BM85" s="460">
        <f>Underwriting!BY136</f>
        <v>9618.6961033535572</v>
      </c>
      <c r="BN85" s="460">
        <f>Underwriting!BZ136</f>
        <v>9638.5090424558402</v>
      </c>
      <c r="BO85" s="460">
        <f>Underwriting!CA136</f>
        <v>9658.3627929686972</v>
      </c>
      <c r="BP85" s="460">
        <f>Underwriting!CB136</f>
        <v>9678.2574389569545</v>
      </c>
      <c r="BQ85" s="460">
        <f>Underwriting!CC136</f>
        <v>9698.1930646585934</v>
      </c>
      <c r="BR85" s="460">
        <f>Underwriting!CD136</f>
        <v>9718.169754485114</v>
      </c>
      <c r="BS85" s="460">
        <f>Underwriting!CE136</f>
        <v>9738.1875930218921</v>
      </c>
      <c r="BT85" s="460">
        <f>Underwriting!CF136</f>
        <v>9758.2466650285314</v>
      </c>
      <c r="BU85" s="460">
        <f>Underwriting!CG136</f>
        <v>9778.3470554392297</v>
      </c>
      <c r="BV85" s="460">
        <f>Underwriting!CH136</f>
        <v>9798.4888493631333</v>
      </c>
      <c r="BW85" s="460">
        <f>Underwriting!CI136</f>
        <v>9818.6721320847009</v>
      </c>
      <c r="BX85" s="460">
        <f>Underwriting!CJ136</f>
        <v>9838.8969890640637</v>
      </c>
      <c r="BY85" s="460">
        <f>Underwriting!CK136</f>
        <v>9859.1635059373839</v>
      </c>
      <c r="BZ85" s="460">
        <f>Underwriting!CL136</f>
        <v>9879.4717685172236</v>
      </c>
      <c r="CA85" s="460">
        <f>Underwriting!CM136</f>
        <v>9899.8218627929036</v>
      </c>
      <c r="CB85" s="460">
        <f>Underwriting!CN136</f>
        <v>9920.213874930867</v>
      </c>
      <c r="CC85" s="460">
        <f>Underwriting!CO136</f>
        <v>9940.6478912750463</v>
      </c>
      <c r="CD85" s="460">
        <f>Underwriting!CP136</f>
        <v>9961.1239983472296</v>
      </c>
      <c r="CE85" s="460">
        <f>Underwriting!CQ136</f>
        <v>9981.6422828474279</v>
      </c>
      <c r="CF85" s="460">
        <f>Underwriting!CR136</f>
        <v>10002.202831654233</v>
      </c>
      <c r="CG85" s="460">
        <f>Underwriting!CS136</f>
        <v>10022.805731825198</v>
      </c>
      <c r="CH85" s="460">
        <f>Underwriting!CT136</f>
        <v>10043.451070597199</v>
      </c>
      <c r="CI85" s="460">
        <f>Underwriting!CU136</f>
        <v>10064.138935386805</v>
      </c>
      <c r="CJ85" s="460">
        <f>Underwriting!CV136</f>
        <v>10084.869413790651</v>
      </c>
      <c r="CK85" s="460">
        <f>Underwriting!CW136</f>
        <v>10105.642593585806</v>
      </c>
      <c r="CL85" s="460">
        <f>Underwriting!CX136</f>
        <v>10126.45856273014</v>
      </c>
      <c r="CM85" s="460">
        <f>Underwriting!CY136</f>
        <v>10147.317409362711</v>
      </c>
      <c r="CN85" s="460">
        <f>Underwriting!CZ136</f>
        <v>10168.219221804124</v>
      </c>
      <c r="CO85" s="460">
        <f>Underwriting!DA136</f>
        <v>10189.164088556909</v>
      </c>
      <c r="CP85" s="460">
        <f>Underwriting!DB136</f>
        <v>10210.152098305896</v>
      </c>
      <c r="CQ85" s="460">
        <f>Underwriting!DC136</f>
        <v>10231.183339918598</v>
      </c>
      <c r="CR85" s="460">
        <f>Underwriting!DD136</f>
        <v>10252.257902445572</v>
      </c>
      <c r="CS85" s="460">
        <f>Underwriting!DE136</f>
        <v>10273.375875120812</v>
      </c>
      <c r="CT85" s="460">
        <f>Underwriting!DF136</f>
        <v>10294.537347362113</v>
      </c>
      <c r="CU85" s="460">
        <f>Underwriting!DG136</f>
        <v>10315.742408771461</v>
      </c>
      <c r="CV85" s="460">
        <f>Underwriting!DH136</f>
        <v>10336.991149135403</v>
      </c>
      <c r="CW85" s="460">
        <f>Underwriting!DI136</f>
        <v>10358.283658425435</v>
      </c>
      <c r="CX85" s="460">
        <f>Underwriting!DJ136</f>
        <v>10379.620026798379</v>
      </c>
      <c r="CY85" s="460">
        <f>Underwriting!DK136</f>
        <v>10401.000344596765</v>
      </c>
      <c r="CZ85" s="460">
        <f>Underwriting!DL136</f>
        <v>10422.424702349212</v>
      </c>
      <c r="DA85" s="460">
        <f>Underwriting!DM136</f>
        <v>10443.893190770816</v>
      </c>
      <c r="DB85" s="460">
        <f>Underwriting!DN136</f>
        <v>10465.405900763528</v>
      </c>
      <c r="DC85" s="460">
        <f>Underwriting!DO136</f>
        <v>10486.962923416548</v>
      </c>
      <c r="DD85" s="460">
        <f>Underwriting!DP136</f>
        <v>10508.564350006696</v>
      </c>
      <c r="DE85" s="460">
        <f>Underwriting!DQ136</f>
        <v>10530.210271998816</v>
      </c>
      <c r="DF85" s="460">
        <f>Underwriting!DR136</f>
        <v>10551.90078104615</v>
      </c>
      <c r="DG85" s="460">
        <f>Underwriting!DS136</f>
        <v>10573.635968990731</v>
      </c>
      <c r="DH85" s="460">
        <f>Underwriting!DT136</f>
        <v>10595.415927863773</v>
      </c>
      <c r="DI85" s="460">
        <f>Underwriting!DU136</f>
        <v>10617.240749886058</v>
      </c>
      <c r="DJ85" s="460">
        <f>Underwriting!DV136</f>
        <v>10639.110527468323</v>
      </c>
      <c r="DK85" s="460">
        <f>Underwriting!DW136</f>
        <v>10661.025353211668</v>
      </c>
      <c r="DL85" s="460">
        <f>Underwriting!DX136</f>
        <v>10682.985319907926</v>
      </c>
      <c r="DM85" s="460">
        <f>Underwriting!DY136</f>
        <v>10704.99052054007</v>
      </c>
      <c r="DN85" s="460">
        <f>Underwriting!DZ136</f>
        <v>10727.041048282603</v>
      </c>
      <c r="DO85" s="460">
        <f>Underwriting!EA136</f>
        <v>10749.136996501948</v>
      </c>
      <c r="DP85" s="460">
        <f>Underwriting!EB136</f>
        <v>10771.278458756851</v>
      </c>
      <c r="DQ85" s="460">
        <f>Underwriting!EC136</f>
        <v>10793.465528798773</v>
      </c>
      <c r="DR85" s="460">
        <f>Underwriting!ED136</f>
        <v>10815.69830057229</v>
      </c>
      <c r="DS85" s="460">
        <f>Underwriting!EE136</f>
        <v>10837.976868215486</v>
      </c>
      <c r="DT85" s="460">
        <f>Underwriting!EF136</f>
        <v>10860.301326060353</v>
      </c>
      <c r="DU85" s="460">
        <f>Underwriting!EG136</f>
        <v>10882.671768633192</v>
      </c>
      <c r="DV85" s="460">
        <f>Underwriting!EH136</f>
        <v>10905.088290655016</v>
      </c>
      <c r="DW85" s="460">
        <f>Underwriting!EI136</f>
        <v>10927.550987041946</v>
      </c>
      <c r="DX85" s="460">
        <f>Underwriting!EJ136</f>
        <v>10950.059952905611</v>
      </c>
      <c r="DY85" s="460">
        <f>Underwriting!EK136</f>
        <v>10972.615283553556</v>
      </c>
      <c r="DZ85" s="460">
        <f>Underwriting!EL136</f>
        <v>10995.217074489652</v>
      </c>
      <c r="EA85" s="460">
        <f>Underwriting!EM136</f>
        <v>11017.865421414479</v>
      </c>
      <c r="EB85" s="460">
        <f>Underwriting!EN136</f>
        <v>11040.560420225755</v>
      </c>
      <c r="EC85" s="460">
        <f>Underwriting!EO136</f>
        <v>11063.302167018725</v>
      </c>
      <c r="ED85" s="460">
        <f>Underwriting!EP136</f>
        <v>11086.090758086582</v>
      </c>
      <c r="EE85" s="460">
        <f>Underwriting!EQ136</f>
        <v>11108.926289920855</v>
      </c>
      <c r="EF85" s="460">
        <f>Underwriting!ER136</f>
        <v>11131.808859211844</v>
      </c>
      <c r="EG85" s="460">
        <f>Underwriting!ES136</f>
        <v>11154.738562849006</v>
      </c>
      <c r="EH85" s="460">
        <f>Underwriting!ET136</f>
        <v>11177.715497921376</v>
      </c>
      <c r="EI85" s="460">
        <f>Underwriting!EU136</f>
        <v>11200.739761717976</v>
      </c>
    </row>
    <row r="86" spans="2:139" ht="14.25" hidden="1" customHeight="1" outlineLevel="1" x14ac:dyDescent="0.25">
      <c r="B86" s="4" t="s">
        <v>146</v>
      </c>
      <c r="C86" s="3"/>
      <c r="D86" s="3"/>
      <c r="E86" s="3"/>
      <c r="F86" s="3"/>
      <c r="G86" s="460"/>
      <c r="H86" s="460">
        <f>Underwriting!T137</f>
        <v>27500</v>
      </c>
      <c r="I86" s="460">
        <f>Underwriting!U137</f>
        <v>27500</v>
      </c>
      <c r="J86" s="460">
        <f>Underwriting!V137</f>
        <v>27500</v>
      </c>
      <c r="K86" s="460">
        <f>Underwriting!W137</f>
        <v>27500</v>
      </c>
      <c r="L86" s="460">
        <f>Underwriting!X137</f>
        <v>27500</v>
      </c>
      <c r="M86" s="460">
        <f>Underwriting!Y137</f>
        <v>27500</v>
      </c>
      <c r="N86" s="460">
        <f>Underwriting!Z137</f>
        <v>27500</v>
      </c>
      <c r="O86" s="460">
        <f>Underwriting!AA137</f>
        <v>27500</v>
      </c>
      <c r="P86" s="460">
        <f>Underwriting!AB137</f>
        <v>27500</v>
      </c>
      <c r="Q86" s="460">
        <f>Underwriting!AC137</f>
        <v>27500</v>
      </c>
      <c r="R86" s="460">
        <f>Underwriting!AD137</f>
        <v>27500</v>
      </c>
      <c r="S86" s="460">
        <f>Underwriting!AE137</f>
        <v>27500</v>
      </c>
      <c r="T86" s="460">
        <f>Underwriting!AF137</f>
        <v>27556.645497420675</v>
      </c>
      <c r="U86" s="460">
        <f>Underwriting!AG137</f>
        <v>27613.407675291459</v>
      </c>
      <c r="V86" s="460">
        <f>Underwriting!AH137</f>
        <v>27670.28677395498</v>
      </c>
      <c r="W86" s="460">
        <f>Underwriting!AI137</f>
        <v>27727.283034248921</v>
      </c>
      <c r="X86" s="460">
        <f>Underwriting!AJ137</f>
        <v>27784.396697507062</v>
      </c>
      <c r="Y86" s="460">
        <f>Underwriting!AK137</f>
        <v>27841.628005560284</v>
      </c>
      <c r="Z86" s="460">
        <f>Underwriting!AL137</f>
        <v>27898.977200737605</v>
      </c>
      <c r="AA86" s="460">
        <f>Underwriting!AM137</f>
        <v>27956.444525867206</v>
      </c>
      <c r="AB86" s="460">
        <f>Underwriting!AN137</f>
        <v>28014.030224277434</v>
      </c>
      <c r="AC86" s="460">
        <f>Underwriting!AO137</f>
        <v>28071.734539797868</v>
      </c>
      <c r="AD86" s="460">
        <f>Underwriting!AP137</f>
        <v>28129.557716760344</v>
      </c>
      <c r="AE86" s="460">
        <f>Underwriting!AQ137</f>
        <v>28187.49999999996</v>
      </c>
      <c r="AF86" s="460">
        <f>Underwriting!AR137</f>
        <v>28245.561634856156</v>
      </c>
      <c r="AG86" s="460">
        <f>Underwriting!AS137</f>
        <v>28303.742867173711</v>
      </c>
      <c r="AH86" s="460">
        <f>Underwriting!AT137</f>
        <v>28362.043943303815</v>
      </c>
      <c r="AI86" s="460">
        <f>Underwriting!AU137</f>
        <v>28420.465110105109</v>
      </c>
      <c r="AJ86" s="460">
        <f>Underwriting!AV137</f>
        <v>28479.006614944698</v>
      </c>
      <c r="AK86" s="460">
        <f>Underwriting!AW137</f>
        <v>28537.668705699252</v>
      </c>
      <c r="AL86" s="460">
        <f>Underwriting!AX137</f>
        <v>28596.451630756008</v>
      </c>
      <c r="AM86" s="460">
        <f>Underwriting!AY137</f>
        <v>28655.35563901384</v>
      </c>
      <c r="AN86" s="460">
        <f>Underwriting!AZ137</f>
        <v>28714.380979884325</v>
      </c>
      <c r="AO86" s="460">
        <f>Underwriting!BA137</f>
        <v>28773.527903292768</v>
      </c>
      <c r="AP86" s="460">
        <f>Underwriting!BB137</f>
        <v>28832.796659679301</v>
      </c>
      <c r="AQ86" s="460">
        <f>Underwriting!BC137</f>
        <v>28892.187499999909</v>
      </c>
      <c r="AR86" s="460">
        <f>Underwriting!BD137</f>
        <v>28951.700675727505</v>
      </c>
      <c r="AS86" s="460">
        <f>Underwriting!BE137</f>
        <v>29011.336438852999</v>
      </c>
      <c r="AT86" s="460">
        <f>Underwriting!BF137</f>
        <v>29071.095041886361</v>
      </c>
      <c r="AU86" s="460">
        <f>Underwriting!BG137</f>
        <v>29130.976737857683</v>
      </c>
      <c r="AV86" s="460">
        <f>Underwriting!BH137</f>
        <v>29190.98178031827</v>
      </c>
      <c r="AW86" s="460">
        <f>Underwriting!BI137</f>
        <v>29251.110423341685</v>
      </c>
      <c r="AX86" s="460">
        <f>Underwriting!BJ137</f>
        <v>29311.362921524855</v>
      </c>
      <c r="AY86" s="460">
        <f>Underwriting!BK137</f>
        <v>29371.73952998914</v>
      </c>
      <c r="AZ86" s="460">
        <f>Underwriting!BL137</f>
        <v>29432.240504381381</v>
      </c>
      <c r="BA86" s="460">
        <f>Underwriting!BM137</f>
        <v>29492.866100875039</v>
      </c>
      <c r="BB86" s="460">
        <f>Underwriting!BN137</f>
        <v>29553.616576171236</v>
      </c>
      <c r="BC86" s="460">
        <f>Underwriting!BO137</f>
        <v>29614.492187499858</v>
      </c>
      <c r="BD86" s="460">
        <f>Underwriting!BP137</f>
        <v>29675.493192620648</v>
      </c>
      <c r="BE86" s="460">
        <f>Underwriting!BQ137</f>
        <v>29736.619849824277</v>
      </c>
      <c r="BF86" s="460">
        <f>Underwriting!BR137</f>
        <v>29797.872417933471</v>
      </c>
      <c r="BG86" s="460">
        <f>Underwriting!BS137</f>
        <v>29859.251156304075</v>
      </c>
      <c r="BH86" s="460">
        <f>Underwriting!BT137</f>
        <v>29920.756324826176</v>
      </c>
      <c r="BI86" s="460">
        <f>Underwriting!BU137</f>
        <v>29982.388183925181</v>
      </c>
      <c r="BJ86" s="460">
        <f>Underwriting!BV137</f>
        <v>30044.146994562932</v>
      </c>
      <c r="BK86" s="460">
        <f>Underwriting!BW137</f>
        <v>30106.033018238813</v>
      </c>
      <c r="BL86" s="460">
        <f>Underwriting!BX137</f>
        <v>30168.046516990868</v>
      </c>
      <c r="BM86" s="460">
        <f>Underwriting!BY137</f>
        <v>30230.187753396865</v>
      </c>
      <c r="BN86" s="460">
        <f>Underwriting!BZ137</f>
        <v>30292.456990575465</v>
      </c>
      <c r="BO86" s="460">
        <f>Underwriting!CA137</f>
        <v>30354.8544921873</v>
      </c>
      <c r="BP86" s="460">
        <f>Underwriting!CB137</f>
        <v>30417.380522436109</v>
      </c>
      <c r="BQ86" s="460">
        <f>Underwriting!CC137</f>
        <v>30480.035346069835</v>
      </c>
      <c r="BR86" s="460">
        <f>Underwriting!CD137</f>
        <v>30542.819228381759</v>
      </c>
      <c r="BS86" s="460">
        <f>Underwriting!CE137</f>
        <v>30605.732435211627</v>
      </c>
      <c r="BT86" s="460">
        <f>Underwriting!CF137</f>
        <v>30668.77523294678</v>
      </c>
      <c r="BU86" s="460">
        <f>Underwriting!CG137</f>
        <v>30731.947888523257</v>
      </c>
      <c r="BV86" s="460">
        <f>Underwriting!CH137</f>
        <v>30795.25066942695</v>
      </c>
      <c r="BW86" s="460">
        <f>Underwriting!CI137</f>
        <v>30858.683843694733</v>
      </c>
      <c r="BX86" s="460">
        <f>Underwriting!CJ137</f>
        <v>30922.247679915585</v>
      </c>
      <c r="BY86" s="460">
        <f>Underwriting!CK137</f>
        <v>30985.942447231737</v>
      </c>
      <c r="BZ86" s="460">
        <f>Underwriting!CL137</f>
        <v>31049.768415339804</v>
      </c>
      <c r="CA86" s="460">
        <f>Underwriting!CM137</f>
        <v>31113.725854491942</v>
      </c>
      <c r="CB86" s="460">
        <f>Underwriting!CN137</f>
        <v>31177.815035496969</v>
      </c>
      <c r="CC86" s="460">
        <f>Underwriting!CO137</f>
        <v>31242.036229721532</v>
      </c>
      <c r="CD86" s="460">
        <f>Underwriting!CP137</f>
        <v>31306.389709091251</v>
      </c>
      <c r="CE86" s="460">
        <f>Underwriting!CQ137</f>
        <v>31370.875746091871</v>
      </c>
      <c r="CF86" s="460">
        <f>Underwriting!CR137</f>
        <v>31435.494613770399</v>
      </c>
      <c r="CG86" s="460">
        <f>Underwriting!CS137</f>
        <v>31500.246585736295</v>
      </c>
      <c r="CH86" s="460">
        <f>Underwriting!CT137</f>
        <v>31565.131936162583</v>
      </c>
      <c r="CI86" s="460">
        <f>Underwriting!CU137</f>
        <v>31630.150939787065</v>
      </c>
      <c r="CJ86" s="460">
        <f>Underwriting!CV137</f>
        <v>31695.303871913438</v>
      </c>
      <c r="CK86" s="460">
        <f>Underwriting!CW137</f>
        <v>31760.591008412492</v>
      </c>
      <c r="CL86" s="460">
        <f>Underwriting!CX137</f>
        <v>31826.012625723259</v>
      </c>
      <c r="CM86" s="460">
        <f>Underwriting!CY137</f>
        <v>31891.569000854197</v>
      </c>
      <c r="CN86" s="460">
        <f>Underwriting!CZ137</f>
        <v>31957.260411384344</v>
      </c>
      <c r="CO86" s="460">
        <f>Underwriting!DA137</f>
        <v>32023.087135464521</v>
      </c>
      <c r="CP86" s="460">
        <f>Underwriting!DB137</f>
        <v>32089.049451818486</v>
      </c>
      <c r="CQ86" s="460">
        <f>Underwriting!DC137</f>
        <v>32155.147639744118</v>
      </c>
      <c r="CR86" s="460">
        <f>Underwriting!DD137</f>
        <v>32221.381979114612</v>
      </c>
      <c r="CS86" s="460">
        <f>Underwriting!DE137</f>
        <v>32287.752750379648</v>
      </c>
      <c r="CT86" s="460">
        <f>Underwriting!DF137</f>
        <v>32354.260234566595</v>
      </c>
      <c r="CU86" s="460">
        <f>Underwriting!DG137</f>
        <v>32420.904713281689</v>
      </c>
      <c r="CV86" s="460">
        <f>Underwriting!DH137</f>
        <v>32487.686468711221</v>
      </c>
      <c r="CW86" s="460">
        <f>Underwriting!DI137</f>
        <v>32554.605783622745</v>
      </c>
      <c r="CX86" s="460">
        <f>Underwriting!DJ137</f>
        <v>32621.662941366289</v>
      </c>
      <c r="CY86" s="460">
        <f>Underwriting!DK137</f>
        <v>32688.858225875501</v>
      </c>
      <c r="CZ86" s="460">
        <f>Underwriting!DL137</f>
        <v>32756.191921668902</v>
      </c>
      <c r="DA86" s="460">
        <f>Underwriting!DM137</f>
        <v>32823.664313851092</v>
      </c>
      <c r="DB86" s="460">
        <f>Underwriting!DN137</f>
        <v>32891.275688113907</v>
      </c>
      <c r="DC86" s="460">
        <f>Underwriting!DO137</f>
        <v>32959.026330737681</v>
      </c>
      <c r="DD86" s="460">
        <f>Underwriting!DP137</f>
        <v>33026.916528592439</v>
      </c>
      <c r="DE86" s="460">
        <f>Underwriting!DQ137</f>
        <v>33094.946569139101</v>
      </c>
      <c r="DF86" s="460">
        <f>Underwriting!DR137</f>
        <v>33163.116740430727</v>
      </c>
      <c r="DG86" s="460">
        <f>Underwriting!DS137</f>
        <v>33231.427331113686</v>
      </c>
      <c r="DH86" s="460">
        <f>Underwriting!DT137</f>
        <v>33299.878630428961</v>
      </c>
      <c r="DI86" s="460">
        <f>Underwriting!DU137</f>
        <v>33368.470928213283</v>
      </c>
      <c r="DJ86" s="460">
        <f>Underwriting!DV137</f>
        <v>33437.204514900404</v>
      </c>
      <c r="DK86" s="460">
        <f>Underwriting!DW137</f>
        <v>33506.079681522344</v>
      </c>
      <c r="DL86" s="460">
        <f>Underwriting!DX137</f>
        <v>33575.096719710586</v>
      </c>
      <c r="DM86" s="460">
        <f>Underwriting!DY137</f>
        <v>33644.255921697324</v>
      </c>
      <c r="DN86" s="460">
        <f>Underwriting!DZ137</f>
        <v>33713.557580316708</v>
      </c>
      <c r="DO86" s="460">
        <f>Underwriting!EA137</f>
        <v>33783.001989006072</v>
      </c>
      <c r="DP86" s="460">
        <f>Underwriting!EB137</f>
        <v>33852.589441807198</v>
      </c>
      <c r="DQ86" s="460">
        <f>Underwriting!EC137</f>
        <v>33922.320233367522</v>
      </c>
      <c r="DR86" s="460">
        <f>Underwriting!ED137</f>
        <v>33992.194658941437</v>
      </c>
      <c r="DS86" s="460">
        <f>Underwriting!EE137</f>
        <v>34062.213014391476</v>
      </c>
      <c r="DT86" s="460">
        <f>Underwriting!EF137</f>
        <v>34132.375596189631</v>
      </c>
      <c r="DU86" s="460">
        <f>Underwriting!EG137</f>
        <v>34202.682701418562</v>
      </c>
      <c r="DV86" s="460">
        <f>Underwriting!EH137</f>
        <v>34273.134627772866</v>
      </c>
      <c r="DW86" s="460">
        <f>Underwriting!EI137</f>
        <v>34343.731673560353</v>
      </c>
      <c r="DX86" s="460">
        <f>Underwriting!EJ137</f>
        <v>34414.474137703299</v>
      </c>
      <c r="DY86" s="460">
        <f>Underwriting!EK137</f>
        <v>34485.362319739703</v>
      </c>
      <c r="DZ86" s="460">
        <f>Underwriting!EL137</f>
        <v>34556.396519824579</v>
      </c>
      <c r="EA86" s="460">
        <f>Underwriting!EM137</f>
        <v>34627.577038731171</v>
      </c>
      <c r="EB86" s="460">
        <f>Underwriting!EN137</f>
        <v>34698.904177852331</v>
      </c>
      <c r="EC86" s="460">
        <f>Underwriting!EO137</f>
        <v>34770.378239201673</v>
      </c>
      <c r="ED86" s="460">
        <f>Underwriting!EP137</f>
        <v>34841.999525414933</v>
      </c>
      <c r="EE86" s="460">
        <f>Underwriting!EQ137</f>
        <v>34913.768339751223</v>
      </c>
      <c r="EF86" s="460">
        <f>Underwriting!ER137</f>
        <v>34985.684986094326</v>
      </c>
      <c r="EG86" s="460">
        <f>Underwriting!ES137</f>
        <v>35057.749768953981</v>
      </c>
      <c r="EH86" s="460">
        <f>Underwriting!ET137</f>
        <v>35129.962993467139</v>
      </c>
      <c r="EI86" s="460">
        <f>Underwriting!EU137</f>
        <v>35202.324965399319</v>
      </c>
    </row>
    <row r="87" spans="2:139" ht="14.25" hidden="1" customHeight="1" outlineLevel="1" x14ac:dyDescent="0.25">
      <c r="B87" s="4" t="s">
        <v>147</v>
      </c>
      <c r="C87" s="3"/>
      <c r="D87" s="3"/>
      <c r="E87" s="3"/>
      <c r="F87" s="3"/>
      <c r="G87" s="460"/>
      <c r="H87" s="460">
        <f>Underwriting!T138</f>
        <v>7500</v>
      </c>
      <c r="I87" s="460">
        <f>Underwriting!U138</f>
        <v>7500</v>
      </c>
      <c r="J87" s="460">
        <f>Underwriting!V138</f>
        <v>7500</v>
      </c>
      <c r="K87" s="460">
        <f>Underwriting!W138</f>
        <v>7500</v>
      </c>
      <c r="L87" s="460">
        <f>Underwriting!X138</f>
        <v>7500</v>
      </c>
      <c r="M87" s="460">
        <f>Underwriting!Y138</f>
        <v>7500</v>
      </c>
      <c r="N87" s="460">
        <f>Underwriting!Z138</f>
        <v>7500</v>
      </c>
      <c r="O87" s="460">
        <f>Underwriting!AA138</f>
        <v>7500</v>
      </c>
      <c r="P87" s="460">
        <f>Underwriting!AB138</f>
        <v>7500</v>
      </c>
      <c r="Q87" s="460">
        <f>Underwriting!AC138</f>
        <v>7500</v>
      </c>
      <c r="R87" s="460">
        <f>Underwriting!AD138</f>
        <v>7500</v>
      </c>
      <c r="S87" s="460">
        <f>Underwriting!AE138</f>
        <v>7500</v>
      </c>
      <c r="T87" s="460">
        <f>Underwriting!AF138</f>
        <v>7515.4487720238212</v>
      </c>
      <c r="U87" s="460">
        <f>Underwriting!AG138</f>
        <v>7530.9293659885807</v>
      </c>
      <c r="V87" s="460">
        <f>Underwriting!AH138</f>
        <v>7546.4418474422682</v>
      </c>
      <c r="W87" s="460">
        <f>Underwriting!AI138</f>
        <v>7561.9862820678891</v>
      </c>
      <c r="X87" s="460">
        <f>Underwriting!AJ138</f>
        <v>7577.5627356837458</v>
      </c>
      <c r="Y87" s="460">
        <f>Underwriting!AK138</f>
        <v>7593.1712742437157</v>
      </c>
      <c r="Z87" s="460">
        <f>Underwriting!AL138</f>
        <v>7608.811963837531</v>
      </c>
      <c r="AA87" s="460">
        <f>Underwriting!AM138</f>
        <v>7624.4848706910561</v>
      </c>
      <c r="AB87" s="460">
        <f>Underwriting!AN138</f>
        <v>7640.1900611665724</v>
      </c>
      <c r="AC87" s="460">
        <f>Underwriting!AO138</f>
        <v>7655.9276017630555</v>
      </c>
      <c r="AD87" s="460">
        <f>Underwriting!AP138</f>
        <v>7671.6975591164564</v>
      </c>
      <c r="AE87" s="460">
        <f>Underwriting!AQ138</f>
        <v>7687.4999999999891</v>
      </c>
      <c r="AF87" s="460">
        <f>Underwriting!AR138</f>
        <v>7703.3349913244056</v>
      </c>
      <c r="AG87" s="460">
        <f>Underwriting!AS138</f>
        <v>7719.2026001382837</v>
      </c>
      <c r="AH87" s="460">
        <f>Underwriting!AT138</f>
        <v>7735.1028936283137</v>
      </c>
      <c r="AI87" s="460">
        <f>Underwriting!AU138</f>
        <v>7751.0359391195734</v>
      </c>
      <c r="AJ87" s="460">
        <f>Underwriting!AV138</f>
        <v>7767.0018040758259</v>
      </c>
      <c r="AK87" s="460">
        <f>Underwriting!AW138</f>
        <v>7783.0005560997961</v>
      </c>
      <c r="AL87" s="460">
        <f>Underwriting!AX138</f>
        <v>7799.0322629334578</v>
      </c>
      <c r="AM87" s="460">
        <f>Underwriting!AY138</f>
        <v>7815.0969924583214</v>
      </c>
      <c r="AN87" s="460">
        <f>Underwriting!AZ138</f>
        <v>7831.194812695725</v>
      </c>
      <c r="AO87" s="460">
        <f>Underwriting!BA138</f>
        <v>7847.3257918071204</v>
      </c>
      <c r="AP87" s="460">
        <f>Underwriting!BB138</f>
        <v>7863.4899980943555</v>
      </c>
      <c r="AQ87" s="460">
        <f>Underwriting!BC138</f>
        <v>7879.6874999999754</v>
      </c>
      <c r="AR87" s="460">
        <f>Underwriting!BD138</f>
        <v>7895.9183661075012</v>
      </c>
      <c r="AS87" s="460">
        <f>Underwriting!BE138</f>
        <v>7912.1826651417277</v>
      </c>
      <c r="AT87" s="460">
        <f>Underwriting!BF138</f>
        <v>7928.480465969008</v>
      </c>
      <c r="AU87" s="460">
        <f>Underwriting!BG138</f>
        <v>7944.8118375975509</v>
      </c>
      <c r="AV87" s="460">
        <f>Underwriting!BH138</f>
        <v>7961.1768491777102</v>
      </c>
      <c r="AW87" s="460">
        <f>Underwriting!BI138</f>
        <v>7977.5755700022783</v>
      </c>
      <c r="AX87" s="460">
        <f>Underwriting!BJ138</f>
        <v>7994.0080695067809</v>
      </c>
      <c r="AY87" s="460">
        <f>Underwriting!BK138</f>
        <v>8010.4744172697656</v>
      </c>
      <c r="AZ87" s="460">
        <f>Underwriting!BL138</f>
        <v>8026.9746830131053</v>
      </c>
      <c r="BA87" s="460">
        <f>Underwriting!BM138</f>
        <v>8043.5089366022848</v>
      </c>
      <c r="BB87" s="460">
        <f>Underwriting!BN138</f>
        <v>8060.0772480467031</v>
      </c>
      <c r="BC87" s="460">
        <f>Underwriting!BO138</f>
        <v>8076.6796874999636</v>
      </c>
      <c r="BD87" s="460">
        <f>Underwriting!BP138</f>
        <v>8093.316325260178</v>
      </c>
      <c r="BE87" s="460">
        <f>Underwriting!BQ138</f>
        <v>8109.9872317702602</v>
      </c>
      <c r="BF87" s="460">
        <f>Underwriting!BR138</f>
        <v>8126.6924776182213</v>
      </c>
      <c r="BG87" s="460">
        <f>Underwriting!BS138</f>
        <v>8143.4321335374798</v>
      </c>
      <c r="BH87" s="460">
        <f>Underwriting!BT138</f>
        <v>8160.2062704071432</v>
      </c>
      <c r="BI87" s="460">
        <f>Underwriting!BU138</f>
        <v>8177.0149592523258</v>
      </c>
      <c r="BJ87" s="460">
        <f>Underwriting!BV138</f>
        <v>8193.8582712444404</v>
      </c>
      <c r="BK87" s="460">
        <f>Underwriting!BW138</f>
        <v>8210.7362777014987</v>
      </c>
      <c r="BL87" s="460">
        <f>Underwriting!BX138</f>
        <v>8227.6490500884229</v>
      </c>
      <c r="BM87" s="460">
        <f>Underwriting!BY138</f>
        <v>8244.5966600173324</v>
      </c>
      <c r="BN87" s="460">
        <f>Underwriting!BZ138</f>
        <v>8261.5791792478612</v>
      </c>
      <c r="BO87" s="460">
        <f>Underwriting!CA138</f>
        <v>8278.5966796874545</v>
      </c>
      <c r="BP87" s="460">
        <f>Underwriting!CB138</f>
        <v>8295.649233391674</v>
      </c>
      <c r="BQ87" s="460">
        <f>Underwriting!CC138</f>
        <v>8312.7369125645073</v>
      </c>
      <c r="BR87" s="460">
        <f>Underwriting!CD138</f>
        <v>8329.8597895586681</v>
      </c>
      <c r="BS87" s="460">
        <f>Underwriting!CE138</f>
        <v>8347.0179368759073</v>
      </c>
      <c r="BT87" s="460">
        <f>Underwriting!CF138</f>
        <v>8364.2114271673108</v>
      </c>
      <c r="BU87" s="460">
        <f>Underwriting!CG138</f>
        <v>8381.4403332336224</v>
      </c>
      <c r="BV87" s="460">
        <f>Underwriting!CH138</f>
        <v>8398.7047280255392</v>
      </c>
      <c r="BW87" s="460">
        <f>Underwriting!CI138</f>
        <v>8416.0046846440255</v>
      </c>
      <c r="BX87" s="460">
        <f>Underwriting!CJ138</f>
        <v>8433.3402763406229</v>
      </c>
      <c r="BY87" s="460">
        <f>Underwriting!CK138</f>
        <v>8450.711576517755</v>
      </c>
      <c r="BZ87" s="460">
        <f>Underwriting!CL138</f>
        <v>8468.1186587290449</v>
      </c>
      <c r="CA87" s="460">
        <f>Underwriting!CM138</f>
        <v>8485.5615966796267</v>
      </c>
      <c r="CB87" s="460">
        <f>Underwriting!CN138</f>
        <v>8503.040464226453</v>
      </c>
      <c r="CC87" s="460">
        <f>Underwriting!CO138</f>
        <v>8520.5553353786072</v>
      </c>
      <c r="CD87" s="460">
        <f>Underwriting!CP138</f>
        <v>8538.1062842976226</v>
      </c>
      <c r="CE87" s="460">
        <f>Underwriting!CQ138</f>
        <v>8555.6933852977909</v>
      </c>
      <c r="CF87" s="460">
        <f>Underwriting!CR138</f>
        <v>8573.3167128464793</v>
      </c>
      <c r="CG87" s="460">
        <f>Underwriting!CS138</f>
        <v>8590.9763415644502</v>
      </c>
      <c r="CH87" s="460">
        <f>Underwriting!CT138</f>
        <v>8608.6723462261671</v>
      </c>
      <c r="CI87" s="460">
        <f>Underwriting!CU138</f>
        <v>8626.4048017601144</v>
      </c>
      <c r="CJ87" s="460">
        <f>Underwriting!CV138</f>
        <v>8644.1737832491253</v>
      </c>
      <c r="CK87" s="460">
        <f>Underwriting!CW138</f>
        <v>8661.979365930687</v>
      </c>
      <c r="CL87" s="460">
        <f>Underwriting!CX138</f>
        <v>8679.8216251972608</v>
      </c>
      <c r="CM87" s="460">
        <f>Underwriting!CY138</f>
        <v>8697.7006365966081</v>
      </c>
      <c r="CN87" s="460">
        <f>Underwriting!CZ138</f>
        <v>8715.6164758321047</v>
      </c>
      <c r="CO87" s="460">
        <f>Underwriting!DA138</f>
        <v>8733.5692187630611</v>
      </c>
      <c r="CP87" s="460">
        <f>Underwriting!DB138</f>
        <v>8751.5589414050501</v>
      </c>
      <c r="CQ87" s="460">
        <f>Underwriting!DC138</f>
        <v>8769.5857199302245</v>
      </c>
      <c r="CR87" s="460">
        <f>Underwriting!DD138</f>
        <v>8787.6496306676327</v>
      </c>
      <c r="CS87" s="460">
        <f>Underwriting!DE138</f>
        <v>8805.7507501035525</v>
      </c>
      <c r="CT87" s="460">
        <f>Underwriting!DF138</f>
        <v>8823.8891548818101</v>
      </c>
      <c r="CU87" s="460">
        <f>Underwriting!DG138</f>
        <v>8842.064921804109</v>
      </c>
      <c r="CV87" s="460">
        <f>Underwriting!DH138</f>
        <v>8860.2781278303428</v>
      </c>
      <c r="CW87" s="460">
        <f>Underwriting!DI138</f>
        <v>8878.5288500789429</v>
      </c>
      <c r="CX87" s="460">
        <f>Underwriting!DJ138</f>
        <v>8896.8171658271804</v>
      </c>
      <c r="CY87" s="460">
        <f>Underwriting!DK138</f>
        <v>8915.1431525115113</v>
      </c>
      <c r="CZ87" s="460">
        <f>Underwriting!DL138</f>
        <v>8933.5068877278954</v>
      </c>
      <c r="DA87" s="460">
        <f>Underwriting!DM138</f>
        <v>8951.9084492321253</v>
      </c>
      <c r="DB87" s="460">
        <f>Underwriting!DN138</f>
        <v>8970.3479149401664</v>
      </c>
      <c r="DC87" s="460">
        <f>Underwriting!DO138</f>
        <v>8988.8253629284682</v>
      </c>
      <c r="DD87" s="460">
        <f>Underwriting!DP138</f>
        <v>9007.3408714343113</v>
      </c>
      <c r="DE87" s="460">
        <f>Underwriting!DQ138</f>
        <v>9025.8945188561265</v>
      </c>
      <c r="DF87" s="460">
        <f>Underwriting!DR138</f>
        <v>9044.4863837538414</v>
      </c>
      <c r="DG87" s="460">
        <f>Underwriting!DS138</f>
        <v>9063.1165448491975</v>
      </c>
      <c r="DH87" s="460">
        <f>Underwriting!DT138</f>
        <v>9081.7850810260898</v>
      </c>
      <c r="DI87" s="460">
        <f>Underwriting!DU138</f>
        <v>9100.4920713309039</v>
      </c>
      <c r="DJ87" s="460">
        <f>Underwriting!DV138</f>
        <v>9119.2375949728466</v>
      </c>
      <c r="DK87" s="460">
        <f>Underwriting!DW138</f>
        <v>9138.0217313242847</v>
      </c>
      <c r="DL87" s="460">
        <f>Underwriting!DX138</f>
        <v>9156.8445599210772</v>
      </c>
      <c r="DM87" s="460">
        <f>Underwriting!DY138</f>
        <v>9175.7061604629162</v>
      </c>
      <c r="DN87" s="460">
        <f>Underwriting!DZ138</f>
        <v>9194.6066128136572</v>
      </c>
      <c r="DO87" s="460">
        <f>Underwriting!EA138</f>
        <v>9213.5459970016655</v>
      </c>
      <c r="DP87" s="460">
        <f>Underwriting!EB138</f>
        <v>9232.5243932201538</v>
      </c>
      <c r="DQ87" s="460">
        <f>Underwriting!EC138</f>
        <v>9251.5418818275157</v>
      </c>
      <c r="DR87" s="460">
        <f>Underwriting!ED138</f>
        <v>9270.5985433476744</v>
      </c>
      <c r="DS87" s="460">
        <f>Underwriting!EE138</f>
        <v>9289.6944584704124</v>
      </c>
      <c r="DT87" s="460">
        <f>Underwriting!EF138</f>
        <v>9308.8297080517277</v>
      </c>
      <c r="DU87" s="460">
        <f>Underwriting!EG138</f>
        <v>9328.0043731141614</v>
      </c>
      <c r="DV87" s="460">
        <f>Underwriting!EH138</f>
        <v>9347.2185348471539</v>
      </c>
      <c r="DW87" s="460">
        <f>Underwriting!EI138</f>
        <v>9366.4722746073803</v>
      </c>
      <c r="DX87" s="460">
        <f>Underwriting!EJ138</f>
        <v>9385.7656739190916</v>
      </c>
      <c r="DY87" s="460">
        <f>Underwriting!EK138</f>
        <v>9405.0988144744751</v>
      </c>
      <c r="DZ87" s="460">
        <f>Underwriting!EL138</f>
        <v>9424.4717781339841</v>
      </c>
      <c r="EA87" s="460">
        <f>Underwriting!EM138</f>
        <v>9443.8846469266937</v>
      </c>
      <c r="EB87" s="460">
        <f>Underwriting!EN138</f>
        <v>9463.337503050645</v>
      </c>
      <c r="EC87" s="460">
        <f>Underwriting!EO138</f>
        <v>9482.8304288731906</v>
      </c>
      <c r="ED87" s="460">
        <f>Underwriting!EP138</f>
        <v>9502.3635069313532</v>
      </c>
      <c r="EE87" s="460">
        <f>Underwriting!EQ138</f>
        <v>9521.9368199321598</v>
      </c>
      <c r="EF87" s="460">
        <f>Underwriting!ER138</f>
        <v>9541.5504507530077</v>
      </c>
      <c r="EG87" s="460">
        <f>Underwriting!ES138</f>
        <v>9561.2044824420027</v>
      </c>
      <c r="EH87" s="460">
        <f>Underwriting!ET138</f>
        <v>9580.8989982183211</v>
      </c>
      <c r="EI87" s="460">
        <f>Underwriting!EU138</f>
        <v>9600.63408147255</v>
      </c>
    </row>
    <row r="88" spans="2:139" ht="14.25" hidden="1" customHeight="1" outlineLevel="1" x14ac:dyDescent="0.25">
      <c r="B88" s="4" t="s">
        <v>148</v>
      </c>
      <c r="C88" s="3"/>
      <c r="D88" s="3"/>
      <c r="E88" s="3"/>
      <c r="F88" s="3"/>
      <c r="G88" s="460"/>
      <c r="H88" s="460">
        <f>Underwriting!T139</f>
        <v>6250</v>
      </c>
      <c r="I88" s="460">
        <f>Underwriting!U139</f>
        <v>6250</v>
      </c>
      <c r="J88" s="460">
        <f>Underwriting!V139</f>
        <v>6250</v>
      </c>
      <c r="K88" s="460">
        <f>Underwriting!W139</f>
        <v>6250</v>
      </c>
      <c r="L88" s="460">
        <f>Underwriting!X139</f>
        <v>6250</v>
      </c>
      <c r="M88" s="460">
        <f>Underwriting!Y139</f>
        <v>6250</v>
      </c>
      <c r="N88" s="460">
        <f>Underwriting!Z139</f>
        <v>6250</v>
      </c>
      <c r="O88" s="460">
        <f>Underwriting!AA139</f>
        <v>6250</v>
      </c>
      <c r="P88" s="460">
        <f>Underwriting!AB139</f>
        <v>6250</v>
      </c>
      <c r="Q88" s="460">
        <f>Underwriting!AC139</f>
        <v>6250</v>
      </c>
      <c r="R88" s="460">
        <f>Underwriting!AD139</f>
        <v>6250</v>
      </c>
      <c r="S88" s="460">
        <f>Underwriting!AE139</f>
        <v>6250</v>
      </c>
      <c r="T88" s="460">
        <f>Underwriting!AF139</f>
        <v>6262.8739766865174</v>
      </c>
      <c r="U88" s="460">
        <f>Underwriting!AG139</f>
        <v>6275.7744716571506</v>
      </c>
      <c r="V88" s="460">
        <f>Underwriting!AH139</f>
        <v>6288.7015395352237</v>
      </c>
      <c r="W88" s="460">
        <f>Underwriting!AI139</f>
        <v>6301.6552350565735</v>
      </c>
      <c r="X88" s="460">
        <f>Underwriting!AJ139</f>
        <v>6314.6356130697868</v>
      </c>
      <c r="Y88" s="460">
        <f>Underwriting!AK139</f>
        <v>6327.6427285364289</v>
      </c>
      <c r="Z88" s="460">
        <f>Underwriting!AL139</f>
        <v>6340.6766365312751</v>
      </c>
      <c r="AA88" s="460">
        <f>Underwriting!AM139</f>
        <v>6353.7373922425468</v>
      </c>
      <c r="AB88" s="460">
        <f>Underwriting!AN139</f>
        <v>6366.8250509721438</v>
      </c>
      <c r="AC88" s="460">
        <f>Underwriting!AO139</f>
        <v>6379.9396681358785</v>
      </c>
      <c r="AD88" s="460">
        <f>Underwriting!AP139</f>
        <v>6393.0812992637148</v>
      </c>
      <c r="AE88" s="460">
        <f>Underwriting!AQ139</f>
        <v>6406.2499999999918</v>
      </c>
      <c r="AF88" s="460">
        <f>Underwriting!AR139</f>
        <v>6419.4458261036716</v>
      </c>
      <c r="AG88" s="460">
        <f>Underwriting!AS139</f>
        <v>6432.6688334485707</v>
      </c>
      <c r="AH88" s="460">
        <f>Underwriting!AT139</f>
        <v>6445.9190780235958</v>
      </c>
      <c r="AI88" s="460">
        <f>Underwriting!AU139</f>
        <v>6459.1966159329795</v>
      </c>
      <c r="AJ88" s="460">
        <f>Underwriting!AV139</f>
        <v>6472.5015033965246</v>
      </c>
      <c r="AK88" s="460">
        <f>Underwriting!AW139</f>
        <v>6485.8337967498328</v>
      </c>
      <c r="AL88" s="460">
        <f>Underwriting!AX139</f>
        <v>6499.1935524445498</v>
      </c>
      <c r="AM88" s="460">
        <f>Underwriting!AY139</f>
        <v>6512.5808270486041</v>
      </c>
      <c r="AN88" s="460">
        <f>Underwriting!AZ139</f>
        <v>6525.9956772464402</v>
      </c>
      <c r="AO88" s="460">
        <f>Underwriting!BA139</f>
        <v>6539.4381598392692</v>
      </c>
      <c r="AP88" s="460">
        <f>Underwriting!BB139</f>
        <v>6552.9083317453005</v>
      </c>
      <c r="AQ88" s="460">
        <f>Underwriting!BC139</f>
        <v>6566.4062499999845</v>
      </c>
      <c r="AR88" s="460">
        <f>Underwriting!BD139</f>
        <v>6579.9319717562566</v>
      </c>
      <c r="AS88" s="460">
        <f>Underwriting!BE139</f>
        <v>6593.485554284779</v>
      </c>
      <c r="AT88" s="460">
        <f>Underwriting!BF139</f>
        <v>6607.0670549741799</v>
      </c>
      <c r="AU88" s="460">
        <f>Underwriting!BG139</f>
        <v>6620.6765313312981</v>
      </c>
      <c r="AV88" s="460">
        <f>Underwriting!BH139</f>
        <v>6634.3140409814305</v>
      </c>
      <c r="AW88" s="460">
        <f>Underwriting!BI139</f>
        <v>6647.9796416685713</v>
      </c>
      <c r="AX88" s="460">
        <f>Underwriting!BJ139</f>
        <v>6661.6733912556565</v>
      </c>
      <c r="AY88" s="460">
        <f>Underwriting!BK139</f>
        <v>6675.3953477248115</v>
      </c>
      <c r="AZ88" s="460">
        <f>Underwriting!BL139</f>
        <v>6689.1455691775946</v>
      </c>
      <c r="BA88" s="460">
        <f>Underwriting!BM139</f>
        <v>6702.9241138352445</v>
      </c>
      <c r="BB88" s="460">
        <f>Underwriting!BN139</f>
        <v>6716.7310400389251</v>
      </c>
      <c r="BC88" s="460">
        <f>Underwriting!BO139</f>
        <v>6730.5664062499754</v>
      </c>
      <c r="BD88" s="460">
        <f>Underwriting!BP139</f>
        <v>6744.4302710501543</v>
      </c>
      <c r="BE88" s="460">
        <f>Underwriting!BQ139</f>
        <v>6758.3226931418894</v>
      </c>
      <c r="BF88" s="460">
        <f>Underwriting!BR139</f>
        <v>6772.2437313485243</v>
      </c>
      <c r="BG88" s="460">
        <f>Underwriting!BS139</f>
        <v>6786.1934446145715</v>
      </c>
      <c r="BH88" s="460">
        <f>Underwriting!BT139</f>
        <v>6800.1718920059575</v>
      </c>
      <c r="BI88" s="460">
        <f>Underwriting!BU139</f>
        <v>6814.1791327102765</v>
      </c>
      <c r="BJ88" s="460">
        <f>Underwriting!BV139</f>
        <v>6828.2152260370385</v>
      </c>
      <c r="BK88" s="460">
        <f>Underwriting!BW139</f>
        <v>6842.2802314179216</v>
      </c>
      <c r="BL88" s="460">
        <f>Underwriting!BX139</f>
        <v>6856.3742084070245</v>
      </c>
      <c r="BM88" s="460">
        <f>Underwriting!BY139</f>
        <v>6870.497216681114</v>
      </c>
      <c r="BN88" s="460">
        <f>Underwriting!BZ139</f>
        <v>6884.6493160398886</v>
      </c>
      <c r="BO88" s="460">
        <f>Underwriting!CA139</f>
        <v>6898.8305664062145</v>
      </c>
      <c r="BP88" s="460">
        <f>Underwriting!CB139</f>
        <v>6913.041027826398</v>
      </c>
      <c r="BQ88" s="460">
        <f>Underwriting!CC139</f>
        <v>6927.2807604704258</v>
      </c>
      <c r="BR88" s="460">
        <f>Underwriting!CD139</f>
        <v>6941.549824632225</v>
      </c>
      <c r="BS88" s="460">
        <f>Underwriting!CE139</f>
        <v>6955.8482807299251</v>
      </c>
      <c r="BT88" s="460">
        <f>Underwriting!CF139</f>
        <v>6970.1761893060948</v>
      </c>
      <c r="BU88" s="460">
        <f>Underwriting!CG139</f>
        <v>6984.5336110280214</v>
      </c>
      <c r="BV88" s="460">
        <f>Underwriting!CH139</f>
        <v>6998.9206066879533</v>
      </c>
      <c r="BW88" s="460">
        <f>Underwriting!CI139</f>
        <v>7013.3372372033591</v>
      </c>
      <c r="BX88" s="460">
        <f>Underwriting!CJ139</f>
        <v>7027.7835636171885</v>
      </c>
      <c r="BY88" s="460">
        <f>Underwriting!CK139</f>
        <v>7042.2596470981325</v>
      </c>
      <c r="BZ88" s="460">
        <f>Underwriting!CL139</f>
        <v>7056.7655489408753</v>
      </c>
      <c r="CA88" s="460">
        <f>Underwriting!CM139</f>
        <v>7071.3013305663617</v>
      </c>
      <c r="CB88" s="460">
        <f>Underwriting!CN139</f>
        <v>7085.8670535220481</v>
      </c>
      <c r="CC88" s="460">
        <f>Underwriting!CO139</f>
        <v>7100.4627794821763</v>
      </c>
      <c r="CD88" s="460">
        <f>Underwriting!CP139</f>
        <v>7115.0885702480227</v>
      </c>
      <c r="CE88" s="460">
        <f>Underwriting!CQ139</f>
        <v>7129.7444877481621</v>
      </c>
      <c r="CF88" s="460">
        <f>Underwriting!CR139</f>
        <v>7144.4305940387385</v>
      </c>
      <c r="CG88" s="460">
        <f>Underwriting!CS139</f>
        <v>7159.1469513037127</v>
      </c>
      <c r="CH88" s="460">
        <f>Underwriting!CT139</f>
        <v>7173.8936218551416</v>
      </c>
      <c r="CI88" s="460">
        <f>Underwriting!CU139</f>
        <v>7188.6706681334317</v>
      </c>
      <c r="CJ88" s="460">
        <f>Underwriting!CV139</f>
        <v>7203.4781527076075</v>
      </c>
      <c r="CK88" s="460">
        <f>Underwriting!CW139</f>
        <v>7218.3161382755743</v>
      </c>
      <c r="CL88" s="460">
        <f>Underwriting!CX139</f>
        <v>7233.1846876643858</v>
      </c>
      <c r="CM88" s="460">
        <f>Underwriting!CY139</f>
        <v>7248.0838638305067</v>
      </c>
      <c r="CN88" s="460">
        <f>Underwriting!CZ139</f>
        <v>7263.0137298600866</v>
      </c>
      <c r="CO88" s="460">
        <f>Underwriting!DA139</f>
        <v>7277.9743489692191</v>
      </c>
      <c r="CP88" s="460">
        <f>Underwriting!DB139</f>
        <v>7292.965784504212</v>
      </c>
      <c r="CQ88" s="460">
        <f>Underwriting!DC139</f>
        <v>7307.9880999418556</v>
      </c>
      <c r="CR88" s="460">
        <f>Underwriting!DD139</f>
        <v>7323.0413588896945</v>
      </c>
      <c r="CS88" s="460">
        <f>Underwriting!DE139</f>
        <v>7338.1256250862934</v>
      </c>
      <c r="CT88" s="460">
        <f>Underwriting!DF139</f>
        <v>7353.240962401509</v>
      </c>
      <c r="CU88" s="460">
        <f>Underwriting!DG139</f>
        <v>7368.3874348367572</v>
      </c>
      <c r="CV88" s="460">
        <f>Underwriting!DH139</f>
        <v>7383.5651065252869</v>
      </c>
      <c r="CW88" s="460">
        <f>Underwriting!DI139</f>
        <v>7398.774041732453</v>
      </c>
      <c r="CX88" s="460">
        <f>Underwriting!DJ139</f>
        <v>7414.0143048559848</v>
      </c>
      <c r="CY88" s="460">
        <f>Underwriting!DK139</f>
        <v>7429.2859604262603</v>
      </c>
      <c r="CZ88" s="460">
        <f>Underwriting!DL139</f>
        <v>7444.5890731065801</v>
      </c>
      <c r="DA88" s="460">
        <f>Underwriting!DM139</f>
        <v>7459.9237076934405</v>
      </c>
      <c r="DB88" s="460">
        <f>Underwriting!DN139</f>
        <v>7475.2899291168069</v>
      </c>
      <c r="DC88" s="460">
        <f>Underwriting!DO139</f>
        <v>7490.6878024403914</v>
      </c>
      <c r="DD88" s="460">
        <f>Underwriting!DP139</f>
        <v>7506.1173928619273</v>
      </c>
      <c r="DE88" s="460">
        <f>Underwriting!DQ139</f>
        <v>7521.5787657134415</v>
      </c>
      <c r="DF88" s="460">
        <f>Underwriting!DR139</f>
        <v>7537.0719864615376</v>
      </c>
      <c r="DG88" s="460">
        <f>Underwriting!DS139</f>
        <v>7552.5971207076664</v>
      </c>
      <c r="DH88" s="460">
        <f>Underwriting!DT139</f>
        <v>7568.1542341884096</v>
      </c>
      <c r="DI88" s="460">
        <f>Underwriting!DU139</f>
        <v>7583.7433927757547</v>
      </c>
      <c r="DJ88" s="460">
        <f>Underwriting!DV139</f>
        <v>7599.3646624773746</v>
      </c>
      <c r="DK88" s="460">
        <f>Underwriting!DW139</f>
        <v>7615.0181094369063</v>
      </c>
      <c r="DL88" s="460">
        <f>Underwriting!DX139</f>
        <v>7630.7037999342328</v>
      </c>
      <c r="DM88" s="460">
        <f>Underwriting!DY139</f>
        <v>7646.4218003857641</v>
      </c>
      <c r="DN88" s="460">
        <f>Underwriting!DZ139</f>
        <v>7662.1721773447143</v>
      </c>
      <c r="DO88" s="460">
        <f>Underwriting!EA139</f>
        <v>7677.9549975013897</v>
      </c>
      <c r="DP88" s="460">
        <f>Underwriting!EB139</f>
        <v>7693.7703276834627</v>
      </c>
      <c r="DQ88" s="460">
        <f>Underwriting!EC139</f>
        <v>7709.6182348562652</v>
      </c>
      <c r="DR88" s="460">
        <f>Underwriting!ED139</f>
        <v>7725.4987861230629</v>
      </c>
      <c r="DS88" s="460">
        <f>Underwriting!EE139</f>
        <v>7741.4120487253458</v>
      </c>
      <c r="DT88" s="460">
        <f>Underwriting!EF139</f>
        <v>7757.3580900431079</v>
      </c>
      <c r="DU88" s="460">
        <f>Underwriting!EG139</f>
        <v>7773.3369775951369</v>
      </c>
      <c r="DV88" s="460">
        <f>Underwriting!EH139</f>
        <v>7789.3487790392983</v>
      </c>
      <c r="DW88" s="460">
        <f>Underwriting!EI139</f>
        <v>7805.3935621728187</v>
      </c>
      <c r="DX88" s="460">
        <f>Underwriting!EJ139</f>
        <v>7821.4713949325806</v>
      </c>
      <c r="DY88" s="460">
        <f>Underwriting!EK139</f>
        <v>7837.5823453953999</v>
      </c>
      <c r="DZ88" s="460">
        <f>Underwriting!EL139</f>
        <v>7853.7264817783243</v>
      </c>
      <c r="EA88" s="460">
        <f>Underwriting!EM139</f>
        <v>7869.9038724389147</v>
      </c>
      <c r="EB88" s="460">
        <f>Underwriting!EN139</f>
        <v>7886.1145858755408</v>
      </c>
      <c r="EC88" s="460">
        <f>Underwriting!EO139</f>
        <v>7902.3586907276622</v>
      </c>
      <c r="ED88" s="460">
        <f>Underwriting!EP139</f>
        <v>7918.6362557761304</v>
      </c>
      <c r="EE88" s="460">
        <f>Underwriting!EQ139</f>
        <v>7934.9473499434689</v>
      </c>
      <c r="EF88" s="460">
        <f>Underwriting!ER139</f>
        <v>7951.2920422941761</v>
      </c>
      <c r="EG88" s="460">
        <f>Underwriting!ES139</f>
        <v>7967.6704020350053</v>
      </c>
      <c r="EH88" s="460">
        <f>Underwriting!ET139</f>
        <v>7984.0824985152713</v>
      </c>
      <c r="EI88" s="460">
        <f>Underwriting!EU139</f>
        <v>8000.5284012271295</v>
      </c>
    </row>
    <row r="89" spans="2:139" ht="14.25" hidden="1" customHeight="1" outlineLevel="1" x14ac:dyDescent="0.25">
      <c r="B89" s="4" t="s">
        <v>149</v>
      </c>
      <c r="C89" s="3"/>
      <c r="D89" s="3"/>
      <c r="E89" s="3"/>
      <c r="F89" s="3"/>
      <c r="G89" s="460"/>
      <c r="H89" s="460">
        <f>Underwriting!T140</f>
        <v>17500</v>
      </c>
      <c r="I89" s="460">
        <f>Underwriting!U140</f>
        <v>17500</v>
      </c>
      <c r="J89" s="460">
        <f>Underwriting!V140</f>
        <v>17500</v>
      </c>
      <c r="K89" s="460">
        <f>Underwriting!W140</f>
        <v>17500</v>
      </c>
      <c r="L89" s="460">
        <f>Underwriting!X140</f>
        <v>17500</v>
      </c>
      <c r="M89" s="460">
        <f>Underwriting!Y140</f>
        <v>17500</v>
      </c>
      <c r="N89" s="460">
        <f>Underwriting!Z140</f>
        <v>17500</v>
      </c>
      <c r="O89" s="460">
        <f>Underwriting!AA140</f>
        <v>17500</v>
      </c>
      <c r="P89" s="460">
        <f>Underwriting!AB140</f>
        <v>17500</v>
      </c>
      <c r="Q89" s="460">
        <f>Underwriting!AC140</f>
        <v>17500</v>
      </c>
      <c r="R89" s="460">
        <f>Underwriting!AD140</f>
        <v>17500</v>
      </c>
      <c r="S89" s="460">
        <f>Underwriting!AE140</f>
        <v>17500</v>
      </c>
      <c r="T89" s="460">
        <f>Underwriting!AF140</f>
        <v>17536.047134722248</v>
      </c>
      <c r="U89" s="460">
        <f>Underwriting!AG140</f>
        <v>17572.168520640018</v>
      </c>
      <c r="V89" s="460">
        <f>Underwriting!AH140</f>
        <v>17608.364310698624</v>
      </c>
      <c r="W89" s="460">
        <f>Underwriting!AI140</f>
        <v>17644.634658158404</v>
      </c>
      <c r="X89" s="460">
        <f>Underwriting!AJ140</f>
        <v>17680.979716595404</v>
      </c>
      <c r="Y89" s="460">
        <f>Underwriting!AK140</f>
        <v>17717.399639902</v>
      </c>
      <c r="Z89" s="460">
        <f>Underwriting!AL140</f>
        <v>17753.894582287565</v>
      </c>
      <c r="AA89" s="460">
        <f>Underwriting!AM140</f>
        <v>17790.464698279127</v>
      </c>
      <c r="AB89" s="460">
        <f>Underwriting!AN140</f>
        <v>17827.110142721998</v>
      </c>
      <c r="AC89" s="460">
        <f>Underwriting!AO140</f>
        <v>17863.831070780459</v>
      </c>
      <c r="AD89" s="460">
        <f>Underwriting!AP140</f>
        <v>17900.627637938396</v>
      </c>
      <c r="AE89" s="460">
        <f>Underwriting!AQ140</f>
        <v>17937.499999999971</v>
      </c>
      <c r="AF89" s="460">
        <f>Underwriting!AR140</f>
        <v>17974.448313090277</v>
      </c>
      <c r="AG89" s="460">
        <f>Underwriting!AS140</f>
        <v>18011.472733655992</v>
      </c>
      <c r="AH89" s="460">
        <f>Underwriting!AT140</f>
        <v>18048.573418466058</v>
      </c>
      <c r="AI89" s="460">
        <f>Underwriting!AU140</f>
        <v>18085.750524612336</v>
      </c>
      <c r="AJ89" s="460">
        <f>Underwriting!AV140</f>
        <v>18123.004209510262</v>
      </c>
      <c r="AK89" s="460">
        <f>Underwriting!AW140</f>
        <v>18160.334630899524</v>
      </c>
      <c r="AL89" s="460">
        <f>Underwriting!AX140</f>
        <v>18197.741946844733</v>
      </c>
      <c r="AM89" s="460">
        <f>Underwriting!AY140</f>
        <v>18235.226315736083</v>
      </c>
      <c r="AN89" s="460">
        <f>Underwriting!AZ140</f>
        <v>18272.787896290025</v>
      </c>
      <c r="AO89" s="460">
        <f>Underwriting!BA140</f>
        <v>18310.426847549948</v>
      </c>
      <c r="AP89" s="460">
        <f>Underwriting!BB140</f>
        <v>18348.143328886836</v>
      </c>
      <c r="AQ89" s="460">
        <f>Underwriting!BC140</f>
        <v>18385.937499999949</v>
      </c>
      <c r="AR89" s="460">
        <f>Underwriting!BD140</f>
        <v>18423.809520917512</v>
      </c>
      <c r="AS89" s="460">
        <f>Underwriting!BE140</f>
        <v>18461.759551997369</v>
      </c>
      <c r="AT89" s="460">
        <f>Underwriting!BF140</f>
        <v>18499.787753927689</v>
      </c>
      <c r="AU89" s="460">
        <f>Underwriting!BG140</f>
        <v>18537.894287727624</v>
      </c>
      <c r="AV89" s="460">
        <f>Underwriting!BH140</f>
        <v>18576.079314747996</v>
      </c>
      <c r="AW89" s="460">
        <f>Underwriting!BI140</f>
        <v>18614.342996671989</v>
      </c>
      <c r="AX89" s="460">
        <f>Underwriting!BJ140</f>
        <v>18652.685495515823</v>
      </c>
      <c r="AY89" s="460">
        <f>Underwriting!BK140</f>
        <v>18691.106973629459</v>
      </c>
      <c r="AZ89" s="460">
        <f>Underwriting!BL140</f>
        <v>18729.607593697252</v>
      </c>
      <c r="BA89" s="460">
        <f>Underwriting!BM140</f>
        <v>18768.187518738672</v>
      </c>
      <c r="BB89" s="460">
        <f>Underwriting!BN140</f>
        <v>18806.84691210898</v>
      </c>
      <c r="BC89" s="460">
        <f>Underwriting!BO140</f>
        <v>18845.585937499924</v>
      </c>
      <c r="BD89" s="460">
        <f>Underwriting!BP140</f>
        <v>18884.404758940422</v>
      </c>
      <c r="BE89" s="460">
        <f>Underwriting!BQ140</f>
        <v>18923.303540797278</v>
      </c>
      <c r="BF89" s="460">
        <f>Underwriting!BR140</f>
        <v>18962.282447775859</v>
      </c>
      <c r="BG89" s="460">
        <f>Underwriting!BS140</f>
        <v>19001.341644920787</v>
      </c>
      <c r="BH89" s="460">
        <f>Underwriting!BT140</f>
        <v>19040.481297616669</v>
      </c>
      <c r="BI89" s="460">
        <f>Underwriting!BU140</f>
        <v>19079.701571588765</v>
      </c>
      <c r="BJ89" s="460">
        <f>Underwriting!BV140</f>
        <v>19119.002632903695</v>
      </c>
      <c r="BK89" s="460">
        <f>Underwriting!BW140</f>
        <v>19158.384647970171</v>
      </c>
      <c r="BL89" s="460">
        <f>Underwriting!BX140</f>
        <v>19197.847783539659</v>
      </c>
      <c r="BM89" s="460">
        <f>Underwriting!BY140</f>
        <v>19237.392206707114</v>
      </c>
      <c r="BN89" s="460">
        <f>Underwriting!BZ140</f>
        <v>19277.01808491168</v>
      </c>
      <c r="BO89" s="460">
        <f>Underwriting!CA140</f>
        <v>19316.725585937394</v>
      </c>
      <c r="BP89" s="460">
        <f>Underwriting!CB140</f>
        <v>19356.514877913909</v>
      </c>
      <c r="BQ89" s="460">
        <f>Underwriting!CC140</f>
        <v>19396.386129317187</v>
      </c>
      <c r="BR89" s="460">
        <f>Underwriting!CD140</f>
        <v>19436.339508970228</v>
      </c>
      <c r="BS89" s="460">
        <f>Underwriting!CE140</f>
        <v>19476.375186043784</v>
      </c>
      <c r="BT89" s="460">
        <f>Underwriting!CF140</f>
        <v>19516.493330057063</v>
      </c>
      <c r="BU89" s="460">
        <f>Underwriting!CG140</f>
        <v>19556.694110878459</v>
      </c>
      <c r="BV89" s="460">
        <f>Underwriting!CH140</f>
        <v>19596.977698726267</v>
      </c>
      <c r="BW89" s="460">
        <f>Underwriting!CI140</f>
        <v>19637.344264169402</v>
      </c>
      <c r="BX89" s="460">
        <f>Underwriting!CJ140</f>
        <v>19677.793978128127</v>
      </c>
      <c r="BY89" s="460">
        <f>Underwriting!CK140</f>
        <v>19718.327011874768</v>
      </c>
      <c r="BZ89" s="460">
        <f>Underwriting!CL140</f>
        <v>19758.943537034447</v>
      </c>
      <c r="CA89" s="460">
        <f>Underwriting!CM140</f>
        <v>19799.643725585807</v>
      </c>
      <c r="CB89" s="460">
        <f>Underwriting!CN140</f>
        <v>19840.427749861734</v>
      </c>
      <c r="CC89" s="460">
        <f>Underwriting!CO140</f>
        <v>19881.295782550093</v>
      </c>
      <c r="CD89" s="460">
        <f>Underwriting!CP140</f>
        <v>19922.247996694459</v>
      </c>
      <c r="CE89" s="460">
        <f>Underwriting!CQ140</f>
        <v>19963.284565694856</v>
      </c>
      <c r="CF89" s="460">
        <f>Underwriting!CR140</f>
        <v>20004.405663308466</v>
      </c>
      <c r="CG89" s="460">
        <f>Underwriting!CS140</f>
        <v>20045.611463650395</v>
      </c>
      <c r="CH89" s="460">
        <f>Underwriting!CT140</f>
        <v>20086.902141194398</v>
      </c>
      <c r="CI89" s="460">
        <f>Underwriting!CU140</f>
        <v>20128.277870773611</v>
      </c>
      <c r="CJ89" s="460">
        <f>Underwriting!CV140</f>
        <v>20169.738827581303</v>
      </c>
      <c r="CK89" s="460">
        <f>Underwriting!CW140</f>
        <v>20211.285187171612</v>
      </c>
      <c r="CL89" s="460">
        <f>Underwriting!CX140</f>
        <v>20252.917125460281</v>
      </c>
      <c r="CM89" s="460">
        <f>Underwriting!CY140</f>
        <v>20294.634818725423</v>
      </c>
      <c r="CN89" s="460">
        <f>Underwriting!CZ140</f>
        <v>20336.438443608247</v>
      </c>
      <c r="CO89" s="460">
        <f>Underwriting!DA140</f>
        <v>20378.328177113817</v>
      </c>
      <c r="CP89" s="460">
        <f>Underwriting!DB140</f>
        <v>20420.304196611793</v>
      </c>
      <c r="CQ89" s="460">
        <f>Underwriting!DC140</f>
        <v>20462.366679837196</v>
      </c>
      <c r="CR89" s="460">
        <f>Underwriting!DD140</f>
        <v>20504.515804891143</v>
      </c>
      <c r="CS89" s="460">
        <f>Underwriting!DE140</f>
        <v>20546.751750241623</v>
      </c>
      <c r="CT89" s="460">
        <f>Underwriting!DF140</f>
        <v>20589.074694724226</v>
      </c>
      <c r="CU89" s="460">
        <f>Underwriting!DG140</f>
        <v>20631.484817542922</v>
      </c>
      <c r="CV89" s="460">
        <f>Underwriting!DH140</f>
        <v>20673.982298270806</v>
      </c>
      <c r="CW89" s="460">
        <f>Underwriting!DI140</f>
        <v>20716.567316850869</v>
      </c>
      <c r="CX89" s="460">
        <f>Underwriting!DJ140</f>
        <v>20759.240053596757</v>
      </c>
      <c r="CY89" s="460">
        <f>Underwriting!DK140</f>
        <v>20802.00068919353</v>
      </c>
      <c r="CZ89" s="460">
        <f>Underwriting!DL140</f>
        <v>20844.849404698423</v>
      </c>
      <c r="DA89" s="460">
        <f>Underwriting!DM140</f>
        <v>20887.786381541631</v>
      </c>
      <c r="DB89" s="460">
        <f>Underwriting!DN140</f>
        <v>20930.811801527056</v>
      </c>
      <c r="DC89" s="460">
        <f>Underwriting!DO140</f>
        <v>20973.925846833095</v>
      </c>
      <c r="DD89" s="460">
        <f>Underwriting!DP140</f>
        <v>21017.128700013393</v>
      </c>
      <c r="DE89" s="460">
        <f>Underwriting!DQ140</f>
        <v>21060.420543997632</v>
      </c>
      <c r="DF89" s="460">
        <f>Underwriting!DR140</f>
        <v>21103.8015620923</v>
      </c>
      <c r="DG89" s="460">
        <f>Underwriting!DS140</f>
        <v>21147.271937981463</v>
      </c>
      <c r="DH89" s="460">
        <f>Underwriting!DT140</f>
        <v>21190.831855727545</v>
      </c>
      <c r="DI89" s="460">
        <f>Underwriting!DU140</f>
        <v>21234.481499772115</v>
      </c>
      <c r="DJ89" s="460">
        <f>Underwriting!DV140</f>
        <v>21278.221054936646</v>
      </c>
      <c r="DK89" s="460">
        <f>Underwriting!DW140</f>
        <v>21322.050706423335</v>
      </c>
      <c r="DL89" s="460">
        <f>Underwriting!DX140</f>
        <v>21365.970639815852</v>
      </c>
      <c r="DM89" s="460">
        <f>Underwriting!DY140</f>
        <v>21409.98104108014</v>
      </c>
      <c r="DN89" s="460">
        <f>Underwriting!DZ140</f>
        <v>21454.082096565206</v>
      </c>
      <c r="DO89" s="460">
        <f>Underwriting!EA140</f>
        <v>21498.273993003895</v>
      </c>
      <c r="DP89" s="460">
        <f>Underwriting!EB140</f>
        <v>21542.556917513703</v>
      </c>
      <c r="DQ89" s="460">
        <f>Underwriting!EC140</f>
        <v>21586.931057597547</v>
      </c>
      <c r="DR89" s="460">
        <f>Underwriting!ED140</f>
        <v>21631.396601144581</v>
      </c>
      <c r="DS89" s="460">
        <f>Underwriting!EE140</f>
        <v>21675.953736430973</v>
      </c>
      <c r="DT89" s="460">
        <f>Underwriting!EF140</f>
        <v>21720.602652120706</v>
      </c>
      <c r="DU89" s="460">
        <f>Underwriting!EG140</f>
        <v>21765.343537266384</v>
      </c>
      <c r="DV89" s="460">
        <f>Underwriting!EH140</f>
        <v>21810.176581310032</v>
      </c>
      <c r="DW89" s="460">
        <f>Underwriting!EI140</f>
        <v>21855.101974083893</v>
      </c>
      <c r="DX89" s="460">
        <f>Underwriting!EJ140</f>
        <v>21900.119905811222</v>
      </c>
      <c r="DY89" s="460">
        <f>Underwriting!EK140</f>
        <v>21945.230567107112</v>
      </c>
      <c r="DZ89" s="460">
        <f>Underwriting!EL140</f>
        <v>21990.434148979304</v>
      </c>
      <c r="EA89" s="460">
        <f>Underwriting!EM140</f>
        <v>22035.730842828958</v>
      </c>
      <c r="EB89" s="460">
        <f>Underwriting!EN140</f>
        <v>22081.120840451509</v>
      </c>
      <c r="EC89" s="460">
        <f>Underwriting!EO140</f>
        <v>22126.604334037449</v>
      </c>
      <c r="ED89" s="460">
        <f>Underwriting!EP140</f>
        <v>22172.181516173165</v>
      </c>
      <c r="EE89" s="460">
        <f>Underwriting!EQ140</f>
        <v>22217.85257984171</v>
      </c>
      <c r="EF89" s="460">
        <f>Underwriting!ER140</f>
        <v>22263.617718423688</v>
      </c>
      <c r="EG89" s="460">
        <f>Underwriting!ES140</f>
        <v>22309.477125698013</v>
      </c>
      <c r="EH89" s="460">
        <f>Underwriting!ET140</f>
        <v>22355.430995842751</v>
      </c>
      <c r="EI89" s="460">
        <f>Underwriting!EU140</f>
        <v>22401.479523435952</v>
      </c>
    </row>
    <row r="90" spans="2:139" ht="14.25" hidden="1" customHeight="1" outlineLevel="1" x14ac:dyDescent="0.25">
      <c r="B90" s="4" t="s">
        <v>150</v>
      </c>
      <c r="C90" s="3"/>
      <c r="D90" s="3"/>
      <c r="E90" s="3"/>
      <c r="F90" s="3"/>
      <c r="G90" s="460"/>
      <c r="H90" s="460">
        <f>Underwriting!T141</f>
        <v>6250</v>
      </c>
      <c r="I90" s="460">
        <f>Underwriting!U141</f>
        <v>6250</v>
      </c>
      <c r="J90" s="460">
        <f>Underwriting!V141</f>
        <v>6250</v>
      </c>
      <c r="K90" s="460">
        <f>Underwriting!W141</f>
        <v>6250</v>
      </c>
      <c r="L90" s="460">
        <f>Underwriting!X141</f>
        <v>6250</v>
      </c>
      <c r="M90" s="460">
        <f>Underwriting!Y141</f>
        <v>6250</v>
      </c>
      <c r="N90" s="460">
        <f>Underwriting!Z141</f>
        <v>6250</v>
      </c>
      <c r="O90" s="460">
        <f>Underwriting!AA141</f>
        <v>6250</v>
      </c>
      <c r="P90" s="460">
        <f>Underwriting!AB141</f>
        <v>6250</v>
      </c>
      <c r="Q90" s="460">
        <f>Underwriting!AC141</f>
        <v>6250</v>
      </c>
      <c r="R90" s="460">
        <f>Underwriting!AD141</f>
        <v>6250</v>
      </c>
      <c r="S90" s="460">
        <f>Underwriting!AE141</f>
        <v>6250</v>
      </c>
      <c r="T90" s="460">
        <f>Underwriting!AF141</f>
        <v>6262.8739766865174</v>
      </c>
      <c r="U90" s="460">
        <f>Underwriting!AG141</f>
        <v>6275.7744716571506</v>
      </c>
      <c r="V90" s="460">
        <f>Underwriting!AH141</f>
        <v>6288.7015395352237</v>
      </c>
      <c r="W90" s="460">
        <f>Underwriting!AI141</f>
        <v>6301.6552350565735</v>
      </c>
      <c r="X90" s="460">
        <f>Underwriting!AJ141</f>
        <v>6314.6356130697868</v>
      </c>
      <c r="Y90" s="460">
        <f>Underwriting!AK141</f>
        <v>6327.6427285364289</v>
      </c>
      <c r="Z90" s="460">
        <f>Underwriting!AL141</f>
        <v>6340.6766365312751</v>
      </c>
      <c r="AA90" s="460">
        <f>Underwriting!AM141</f>
        <v>6353.7373922425468</v>
      </c>
      <c r="AB90" s="460">
        <f>Underwriting!AN141</f>
        <v>6366.8250509721438</v>
      </c>
      <c r="AC90" s="460">
        <f>Underwriting!AO141</f>
        <v>6379.9396681358785</v>
      </c>
      <c r="AD90" s="460">
        <f>Underwriting!AP141</f>
        <v>6393.0812992637148</v>
      </c>
      <c r="AE90" s="460">
        <f>Underwriting!AQ141</f>
        <v>6406.2499999999918</v>
      </c>
      <c r="AF90" s="460">
        <f>Underwriting!AR141</f>
        <v>6419.4458261036716</v>
      </c>
      <c r="AG90" s="460">
        <f>Underwriting!AS141</f>
        <v>6432.6688334485707</v>
      </c>
      <c r="AH90" s="460">
        <f>Underwriting!AT141</f>
        <v>6445.9190780235958</v>
      </c>
      <c r="AI90" s="460">
        <f>Underwriting!AU141</f>
        <v>6459.1966159329795</v>
      </c>
      <c r="AJ90" s="460">
        <f>Underwriting!AV141</f>
        <v>6472.5015033965246</v>
      </c>
      <c r="AK90" s="460">
        <f>Underwriting!AW141</f>
        <v>6485.8337967498328</v>
      </c>
      <c r="AL90" s="460">
        <f>Underwriting!AX141</f>
        <v>6499.1935524445498</v>
      </c>
      <c r="AM90" s="460">
        <f>Underwriting!AY141</f>
        <v>6512.5808270486041</v>
      </c>
      <c r="AN90" s="460">
        <f>Underwriting!AZ141</f>
        <v>6525.9956772464402</v>
      </c>
      <c r="AO90" s="460">
        <f>Underwriting!BA141</f>
        <v>6539.4381598392692</v>
      </c>
      <c r="AP90" s="460">
        <f>Underwriting!BB141</f>
        <v>6552.9083317453005</v>
      </c>
      <c r="AQ90" s="460">
        <f>Underwriting!BC141</f>
        <v>6566.4062499999845</v>
      </c>
      <c r="AR90" s="460">
        <f>Underwriting!BD141</f>
        <v>6579.9319717562566</v>
      </c>
      <c r="AS90" s="460">
        <f>Underwriting!BE141</f>
        <v>6593.485554284779</v>
      </c>
      <c r="AT90" s="460">
        <f>Underwriting!BF141</f>
        <v>6607.0670549741799</v>
      </c>
      <c r="AU90" s="460">
        <f>Underwriting!BG141</f>
        <v>6620.6765313312981</v>
      </c>
      <c r="AV90" s="460">
        <f>Underwriting!BH141</f>
        <v>6634.3140409814305</v>
      </c>
      <c r="AW90" s="460">
        <f>Underwriting!BI141</f>
        <v>6647.9796416685713</v>
      </c>
      <c r="AX90" s="460">
        <f>Underwriting!BJ141</f>
        <v>6661.6733912556565</v>
      </c>
      <c r="AY90" s="460">
        <f>Underwriting!BK141</f>
        <v>6675.3953477248115</v>
      </c>
      <c r="AZ90" s="460">
        <f>Underwriting!BL141</f>
        <v>6689.1455691775946</v>
      </c>
      <c r="BA90" s="460">
        <f>Underwriting!BM141</f>
        <v>6702.9241138352445</v>
      </c>
      <c r="BB90" s="460">
        <f>Underwriting!BN141</f>
        <v>6716.7310400389251</v>
      </c>
      <c r="BC90" s="460">
        <f>Underwriting!BO141</f>
        <v>6730.5664062499754</v>
      </c>
      <c r="BD90" s="460">
        <f>Underwriting!BP141</f>
        <v>6744.4302710501543</v>
      </c>
      <c r="BE90" s="460">
        <f>Underwriting!BQ141</f>
        <v>6758.3226931418894</v>
      </c>
      <c r="BF90" s="460">
        <f>Underwriting!BR141</f>
        <v>6772.2437313485243</v>
      </c>
      <c r="BG90" s="460">
        <f>Underwriting!BS141</f>
        <v>6786.1934446145715</v>
      </c>
      <c r="BH90" s="460">
        <f>Underwriting!BT141</f>
        <v>6800.1718920059575</v>
      </c>
      <c r="BI90" s="460">
        <f>Underwriting!BU141</f>
        <v>6814.1791327102765</v>
      </c>
      <c r="BJ90" s="460">
        <f>Underwriting!BV141</f>
        <v>6828.2152260370385</v>
      </c>
      <c r="BK90" s="460">
        <f>Underwriting!BW141</f>
        <v>6842.2802314179216</v>
      </c>
      <c r="BL90" s="460">
        <f>Underwriting!BX141</f>
        <v>6856.3742084070245</v>
      </c>
      <c r="BM90" s="460">
        <f>Underwriting!BY141</f>
        <v>6870.497216681114</v>
      </c>
      <c r="BN90" s="460">
        <f>Underwriting!BZ141</f>
        <v>6884.6493160398886</v>
      </c>
      <c r="BO90" s="460">
        <f>Underwriting!CA141</f>
        <v>6898.8305664062145</v>
      </c>
      <c r="BP90" s="460">
        <f>Underwriting!CB141</f>
        <v>6913.041027826398</v>
      </c>
      <c r="BQ90" s="460">
        <f>Underwriting!CC141</f>
        <v>6927.2807604704258</v>
      </c>
      <c r="BR90" s="460">
        <f>Underwriting!CD141</f>
        <v>6941.549824632225</v>
      </c>
      <c r="BS90" s="460">
        <f>Underwriting!CE141</f>
        <v>6955.8482807299251</v>
      </c>
      <c r="BT90" s="460">
        <f>Underwriting!CF141</f>
        <v>6970.1761893060948</v>
      </c>
      <c r="BU90" s="460">
        <f>Underwriting!CG141</f>
        <v>6984.5336110280214</v>
      </c>
      <c r="BV90" s="460">
        <f>Underwriting!CH141</f>
        <v>6998.9206066879533</v>
      </c>
      <c r="BW90" s="460">
        <f>Underwriting!CI141</f>
        <v>7013.3372372033591</v>
      </c>
      <c r="BX90" s="460">
        <f>Underwriting!CJ141</f>
        <v>7027.7835636171885</v>
      </c>
      <c r="BY90" s="460">
        <f>Underwriting!CK141</f>
        <v>7042.2596470981325</v>
      </c>
      <c r="BZ90" s="460">
        <f>Underwriting!CL141</f>
        <v>7056.7655489408753</v>
      </c>
      <c r="CA90" s="460">
        <f>Underwriting!CM141</f>
        <v>7071.3013305663617</v>
      </c>
      <c r="CB90" s="460">
        <f>Underwriting!CN141</f>
        <v>7085.8670535220481</v>
      </c>
      <c r="CC90" s="460">
        <f>Underwriting!CO141</f>
        <v>7100.4627794821763</v>
      </c>
      <c r="CD90" s="460">
        <f>Underwriting!CP141</f>
        <v>7115.0885702480227</v>
      </c>
      <c r="CE90" s="460">
        <f>Underwriting!CQ141</f>
        <v>7129.7444877481621</v>
      </c>
      <c r="CF90" s="460">
        <f>Underwriting!CR141</f>
        <v>7144.4305940387385</v>
      </c>
      <c r="CG90" s="460">
        <f>Underwriting!CS141</f>
        <v>7159.1469513037127</v>
      </c>
      <c r="CH90" s="460">
        <f>Underwriting!CT141</f>
        <v>7173.8936218551416</v>
      </c>
      <c r="CI90" s="460">
        <f>Underwriting!CU141</f>
        <v>7188.6706681334317</v>
      </c>
      <c r="CJ90" s="460">
        <f>Underwriting!CV141</f>
        <v>7203.4781527076075</v>
      </c>
      <c r="CK90" s="460">
        <f>Underwriting!CW141</f>
        <v>7218.3161382755743</v>
      </c>
      <c r="CL90" s="460">
        <f>Underwriting!CX141</f>
        <v>7233.1846876643858</v>
      </c>
      <c r="CM90" s="460">
        <f>Underwriting!CY141</f>
        <v>7248.0838638305067</v>
      </c>
      <c r="CN90" s="460">
        <f>Underwriting!CZ141</f>
        <v>7263.0137298600866</v>
      </c>
      <c r="CO90" s="460">
        <f>Underwriting!DA141</f>
        <v>7277.9743489692191</v>
      </c>
      <c r="CP90" s="460">
        <f>Underwriting!DB141</f>
        <v>7292.965784504212</v>
      </c>
      <c r="CQ90" s="460">
        <f>Underwriting!DC141</f>
        <v>7307.9880999418556</v>
      </c>
      <c r="CR90" s="460">
        <f>Underwriting!DD141</f>
        <v>7323.0413588896945</v>
      </c>
      <c r="CS90" s="460">
        <f>Underwriting!DE141</f>
        <v>7338.1256250862934</v>
      </c>
      <c r="CT90" s="460">
        <f>Underwriting!DF141</f>
        <v>7353.240962401509</v>
      </c>
      <c r="CU90" s="460">
        <f>Underwriting!DG141</f>
        <v>7368.3874348367572</v>
      </c>
      <c r="CV90" s="460">
        <f>Underwriting!DH141</f>
        <v>7383.5651065252869</v>
      </c>
      <c r="CW90" s="460">
        <f>Underwriting!DI141</f>
        <v>7398.774041732453</v>
      </c>
      <c r="CX90" s="460">
        <f>Underwriting!DJ141</f>
        <v>7414.0143048559848</v>
      </c>
      <c r="CY90" s="460">
        <f>Underwriting!DK141</f>
        <v>7429.2859604262603</v>
      </c>
      <c r="CZ90" s="460">
        <f>Underwriting!DL141</f>
        <v>7444.5890731065801</v>
      </c>
      <c r="DA90" s="460">
        <f>Underwriting!DM141</f>
        <v>7459.9237076934405</v>
      </c>
      <c r="DB90" s="460">
        <f>Underwriting!DN141</f>
        <v>7475.2899291168069</v>
      </c>
      <c r="DC90" s="460">
        <f>Underwriting!DO141</f>
        <v>7490.6878024403914</v>
      </c>
      <c r="DD90" s="460">
        <f>Underwriting!DP141</f>
        <v>7506.1173928619273</v>
      </c>
      <c r="DE90" s="460">
        <f>Underwriting!DQ141</f>
        <v>7521.5787657134415</v>
      </c>
      <c r="DF90" s="460">
        <f>Underwriting!DR141</f>
        <v>7537.0719864615376</v>
      </c>
      <c r="DG90" s="460">
        <f>Underwriting!DS141</f>
        <v>7552.5971207076664</v>
      </c>
      <c r="DH90" s="460">
        <f>Underwriting!DT141</f>
        <v>7568.1542341884096</v>
      </c>
      <c r="DI90" s="460">
        <f>Underwriting!DU141</f>
        <v>7583.7433927757547</v>
      </c>
      <c r="DJ90" s="460">
        <f>Underwriting!DV141</f>
        <v>7599.3646624773746</v>
      </c>
      <c r="DK90" s="460">
        <f>Underwriting!DW141</f>
        <v>7615.0181094369063</v>
      </c>
      <c r="DL90" s="460">
        <f>Underwriting!DX141</f>
        <v>7630.7037999342328</v>
      </c>
      <c r="DM90" s="460">
        <f>Underwriting!DY141</f>
        <v>7646.4218003857641</v>
      </c>
      <c r="DN90" s="460">
        <f>Underwriting!DZ141</f>
        <v>7662.1721773447143</v>
      </c>
      <c r="DO90" s="460">
        <f>Underwriting!EA141</f>
        <v>7677.9549975013897</v>
      </c>
      <c r="DP90" s="460">
        <f>Underwriting!EB141</f>
        <v>7693.7703276834627</v>
      </c>
      <c r="DQ90" s="460">
        <f>Underwriting!EC141</f>
        <v>7709.6182348562652</v>
      </c>
      <c r="DR90" s="460">
        <f>Underwriting!ED141</f>
        <v>7725.4987861230629</v>
      </c>
      <c r="DS90" s="460">
        <f>Underwriting!EE141</f>
        <v>7741.4120487253458</v>
      </c>
      <c r="DT90" s="460">
        <f>Underwriting!EF141</f>
        <v>7757.3580900431079</v>
      </c>
      <c r="DU90" s="460">
        <f>Underwriting!EG141</f>
        <v>7773.3369775951369</v>
      </c>
      <c r="DV90" s="460">
        <f>Underwriting!EH141</f>
        <v>7789.3487790392983</v>
      </c>
      <c r="DW90" s="460">
        <f>Underwriting!EI141</f>
        <v>7805.3935621728187</v>
      </c>
      <c r="DX90" s="460">
        <f>Underwriting!EJ141</f>
        <v>7821.4713949325806</v>
      </c>
      <c r="DY90" s="460">
        <f>Underwriting!EK141</f>
        <v>7837.5823453953999</v>
      </c>
      <c r="DZ90" s="460">
        <f>Underwriting!EL141</f>
        <v>7853.7264817783243</v>
      </c>
      <c r="EA90" s="460">
        <f>Underwriting!EM141</f>
        <v>7869.9038724389147</v>
      </c>
      <c r="EB90" s="460">
        <f>Underwriting!EN141</f>
        <v>7886.1145858755408</v>
      </c>
      <c r="EC90" s="460">
        <f>Underwriting!EO141</f>
        <v>7902.3586907276622</v>
      </c>
      <c r="ED90" s="460">
        <f>Underwriting!EP141</f>
        <v>7918.6362557761304</v>
      </c>
      <c r="EE90" s="460">
        <f>Underwriting!EQ141</f>
        <v>7934.9473499434689</v>
      </c>
      <c r="EF90" s="460">
        <f>Underwriting!ER141</f>
        <v>7951.2920422941761</v>
      </c>
      <c r="EG90" s="460">
        <f>Underwriting!ES141</f>
        <v>7967.6704020350053</v>
      </c>
      <c r="EH90" s="460">
        <f>Underwriting!ET141</f>
        <v>7984.0824985152713</v>
      </c>
      <c r="EI90" s="460">
        <f>Underwriting!EU141</f>
        <v>8000.5284012271295</v>
      </c>
    </row>
    <row r="91" spans="2:139" ht="14.25" hidden="1" customHeight="1" outlineLevel="1" x14ac:dyDescent="0.25">
      <c r="B91" s="4" t="s">
        <v>151</v>
      </c>
      <c r="C91" s="3"/>
      <c r="D91" s="3"/>
      <c r="E91" s="3"/>
      <c r="F91" s="3"/>
      <c r="G91" s="460"/>
      <c r="H91" s="460">
        <f>Underwriting!T142</f>
        <v>5000.0000000000009</v>
      </c>
      <c r="I91" s="460">
        <f>Underwriting!U142</f>
        <v>4999.9999999999991</v>
      </c>
      <c r="J91" s="460">
        <f>Underwriting!V142</f>
        <v>5000</v>
      </c>
      <c r="K91" s="460">
        <f>Underwriting!W142</f>
        <v>5000</v>
      </c>
      <c r="L91" s="460">
        <f>Underwriting!X142</f>
        <v>5000</v>
      </c>
      <c r="M91" s="460">
        <f>Underwriting!Y142</f>
        <v>5000</v>
      </c>
      <c r="N91" s="460">
        <f>Underwriting!Z142</f>
        <v>5000</v>
      </c>
      <c r="O91" s="460">
        <f>Underwriting!AA142</f>
        <v>5000</v>
      </c>
      <c r="P91" s="460">
        <f>Underwriting!AB142</f>
        <v>5000</v>
      </c>
      <c r="Q91" s="460">
        <f>Underwriting!AC142</f>
        <v>5000</v>
      </c>
      <c r="R91" s="460">
        <f>Underwriting!AD142</f>
        <v>5000</v>
      </c>
      <c r="S91" s="460">
        <f>Underwriting!AE142</f>
        <v>5000</v>
      </c>
      <c r="T91" s="460">
        <f>Underwriting!AF142</f>
        <v>5010.2991813492145</v>
      </c>
      <c r="U91" s="460">
        <f>Underwriting!AG142</f>
        <v>5020.6195773257205</v>
      </c>
      <c r="V91" s="460">
        <f>Underwriting!AH142</f>
        <v>5030.9612316281791</v>
      </c>
      <c r="W91" s="460">
        <f>Underwriting!AI142</f>
        <v>5041.3241880452588</v>
      </c>
      <c r="X91" s="460">
        <f>Underwriting!AJ142</f>
        <v>5051.7084904558305</v>
      </c>
      <c r="Y91" s="460">
        <f>Underwriting!AK142</f>
        <v>5062.1141828291429</v>
      </c>
      <c r="Z91" s="460">
        <f>Underwriting!AL142</f>
        <v>5072.5413092250201</v>
      </c>
      <c r="AA91" s="460">
        <f>Underwriting!AM142</f>
        <v>5082.9899137940374</v>
      </c>
      <c r="AB91" s="460">
        <f>Underwriting!AN142</f>
        <v>5093.4600407777152</v>
      </c>
      <c r="AC91" s="460">
        <f>Underwriting!AO142</f>
        <v>5103.9517345087042</v>
      </c>
      <c r="AD91" s="460">
        <f>Underwriting!AP142</f>
        <v>5114.4650394109713</v>
      </c>
      <c r="AE91" s="460">
        <f>Underwriting!AQ142</f>
        <v>5124.9999999999927</v>
      </c>
      <c r="AF91" s="460">
        <f>Underwriting!AR142</f>
        <v>5135.5566608829367</v>
      </c>
      <c r="AG91" s="460">
        <f>Underwriting!AS142</f>
        <v>5146.1350667588567</v>
      </c>
      <c r="AH91" s="460">
        <f>Underwriting!AT142</f>
        <v>5156.7352624188761</v>
      </c>
      <c r="AI91" s="460">
        <f>Underwriting!AU142</f>
        <v>5167.3572927463829</v>
      </c>
      <c r="AJ91" s="460">
        <f>Underwriting!AV142</f>
        <v>5178.0012027172188</v>
      </c>
      <c r="AK91" s="460">
        <f>Underwriting!AW142</f>
        <v>5188.667037399865</v>
      </c>
      <c r="AL91" s="460">
        <f>Underwriting!AX142</f>
        <v>5199.3548419556382</v>
      </c>
      <c r="AM91" s="460">
        <f>Underwriting!AY142</f>
        <v>5210.0646616388813</v>
      </c>
      <c r="AN91" s="460">
        <f>Underwriting!AZ142</f>
        <v>5220.7965417971509</v>
      </c>
      <c r="AO91" s="460">
        <f>Underwriting!BA142</f>
        <v>5231.5505278714145</v>
      </c>
      <c r="AP91" s="460">
        <f>Underwriting!BB142</f>
        <v>5242.3266653962392</v>
      </c>
      <c r="AQ91" s="460">
        <f>Underwriting!BC142</f>
        <v>5253.1249999999864</v>
      </c>
      <c r="AR91" s="460">
        <f>Underwriting!BD142</f>
        <v>5263.945577405003</v>
      </c>
      <c r="AS91" s="460">
        <f>Underwriting!BE142</f>
        <v>5274.7884434278203</v>
      </c>
      <c r="AT91" s="460">
        <f>Underwriting!BF142</f>
        <v>5285.6536439793399</v>
      </c>
      <c r="AU91" s="460">
        <f>Underwriting!BG142</f>
        <v>5296.5412250650352</v>
      </c>
      <c r="AV91" s="460">
        <f>Underwriting!BH142</f>
        <v>5307.4512327851417</v>
      </c>
      <c r="AW91" s="460">
        <f>Underwriting!BI142</f>
        <v>5318.3837133348543</v>
      </c>
      <c r="AX91" s="460">
        <f>Underwriting!BJ142</f>
        <v>5329.3387130045221</v>
      </c>
      <c r="AY91" s="460">
        <f>Underwriting!BK142</f>
        <v>5340.3162781798455</v>
      </c>
      <c r="AZ91" s="460">
        <f>Underwriting!BL142</f>
        <v>5351.316455342072</v>
      </c>
      <c r="BA91" s="460">
        <f>Underwriting!BM142</f>
        <v>5362.3392910681923</v>
      </c>
      <c r="BB91" s="460">
        <f>Underwriting!BN142</f>
        <v>5373.3848320311372</v>
      </c>
      <c r="BC91" s="460">
        <f>Underwriting!BO142</f>
        <v>5384.4531249999782</v>
      </c>
      <c r="BD91" s="460">
        <f>Underwriting!BP142</f>
        <v>5395.5442168401214</v>
      </c>
      <c r="BE91" s="460">
        <f>Underwriting!BQ142</f>
        <v>5406.6581545135086</v>
      </c>
      <c r="BF91" s="460">
        <f>Underwriting!BR142</f>
        <v>5417.7949850788164</v>
      </c>
      <c r="BG91" s="460">
        <f>Underwriting!BS142</f>
        <v>5428.9547556916541</v>
      </c>
      <c r="BH91" s="460">
        <f>Underwriting!BT142</f>
        <v>5440.1375136047627</v>
      </c>
      <c r="BI91" s="460">
        <f>Underwriting!BU142</f>
        <v>5451.3433061682181</v>
      </c>
      <c r="BJ91" s="460">
        <f>Underwriting!BV142</f>
        <v>5462.5721808296285</v>
      </c>
      <c r="BK91" s="460">
        <f>Underwriting!BW142</f>
        <v>5473.8241851343346</v>
      </c>
      <c r="BL91" s="460">
        <f>Underwriting!BX142</f>
        <v>5485.0993667256162</v>
      </c>
      <c r="BM91" s="460">
        <f>Underwriting!BY142</f>
        <v>5496.3977733448892</v>
      </c>
      <c r="BN91" s="460">
        <f>Underwriting!BZ142</f>
        <v>5507.7194528319087</v>
      </c>
      <c r="BO91" s="460">
        <f>Underwriting!CA142</f>
        <v>5519.06445312497</v>
      </c>
      <c r="BP91" s="460">
        <f>Underwriting!CB142</f>
        <v>5530.4328222611157</v>
      </c>
      <c r="BQ91" s="460">
        <f>Underwriting!CC142</f>
        <v>5541.8246083763379</v>
      </c>
      <c r="BR91" s="460">
        <f>Underwriting!CD142</f>
        <v>5553.2398597057791</v>
      </c>
      <c r="BS91" s="460">
        <f>Underwriting!CE142</f>
        <v>5564.6786245839367</v>
      </c>
      <c r="BT91" s="460">
        <f>Underwriting!CF142</f>
        <v>5576.1409514448742</v>
      </c>
      <c r="BU91" s="460">
        <f>Underwriting!CG142</f>
        <v>5587.6268888224149</v>
      </c>
      <c r="BV91" s="460">
        <f>Underwriting!CH142</f>
        <v>5599.136485350361</v>
      </c>
      <c r="BW91" s="460">
        <f>Underwriting!CI142</f>
        <v>5610.6697897626846</v>
      </c>
      <c r="BX91" s="460">
        <f>Underwriting!CJ142</f>
        <v>5622.2268508937495</v>
      </c>
      <c r="BY91" s="460">
        <f>Underwriting!CK142</f>
        <v>5633.8077176785046</v>
      </c>
      <c r="BZ91" s="460">
        <f>Underwriting!CL142</f>
        <v>5645.4124391526975</v>
      </c>
      <c r="CA91" s="460">
        <f>Underwriting!CM142</f>
        <v>5657.0410644530857</v>
      </c>
      <c r="CB91" s="460">
        <f>Underwriting!CN142</f>
        <v>5668.6936428176368</v>
      </c>
      <c r="CC91" s="460">
        <f>Underwriting!CO142</f>
        <v>5680.3702235857381</v>
      </c>
      <c r="CD91" s="460">
        <f>Underwriting!CP142</f>
        <v>5692.0708561984147</v>
      </c>
      <c r="CE91" s="460">
        <f>Underwriting!CQ142</f>
        <v>5703.795590198527</v>
      </c>
      <c r="CF91" s="460">
        <f>Underwriting!CR142</f>
        <v>5715.5444752309877</v>
      </c>
      <c r="CG91" s="460">
        <f>Underwriting!CS142</f>
        <v>5727.3175610429671</v>
      </c>
      <c r="CH91" s="460">
        <f>Underwriting!CT142</f>
        <v>5739.1148974841099</v>
      </c>
      <c r="CI91" s="460">
        <f>Underwriting!CU142</f>
        <v>5750.9365345067426</v>
      </c>
      <c r="CJ91" s="460">
        <f>Underwriting!CV142</f>
        <v>5762.7825221660833</v>
      </c>
      <c r="CK91" s="460">
        <f>Underwriting!CW142</f>
        <v>5774.6529106204571</v>
      </c>
      <c r="CL91" s="460">
        <f>Underwriting!CX142</f>
        <v>5786.5477501315063</v>
      </c>
      <c r="CM91" s="460">
        <f>Underwriting!CY142</f>
        <v>5798.4670910644027</v>
      </c>
      <c r="CN91" s="460">
        <f>Underwriting!CZ142</f>
        <v>5810.4109838880677</v>
      </c>
      <c r="CO91" s="460">
        <f>Underwriting!DA142</f>
        <v>5822.3794791753726</v>
      </c>
      <c r="CP91" s="460">
        <f>Underwriting!DB142</f>
        <v>5834.3726276033667</v>
      </c>
      <c r="CQ91" s="460">
        <f>Underwriting!DC142</f>
        <v>5846.3904799534821</v>
      </c>
      <c r="CR91" s="460">
        <f>Underwriting!DD142</f>
        <v>5858.4330871117527</v>
      </c>
      <c r="CS91" s="460">
        <f>Underwriting!DE142</f>
        <v>5870.5005000690326</v>
      </c>
      <c r="CT91" s="460">
        <f>Underwriting!DF142</f>
        <v>5882.5927699212052</v>
      </c>
      <c r="CU91" s="460">
        <f>Underwriting!DG142</f>
        <v>5894.7099478694035</v>
      </c>
      <c r="CV91" s="460">
        <f>Underwriting!DH142</f>
        <v>5906.8520852202273</v>
      </c>
      <c r="CW91" s="460">
        <f>Underwriting!DI142</f>
        <v>5919.0192333859604</v>
      </c>
      <c r="CX91" s="460">
        <f>Underwriting!DJ142</f>
        <v>5931.2114438847857</v>
      </c>
      <c r="CY91" s="460">
        <f>Underwriting!DK142</f>
        <v>5943.4287683410066</v>
      </c>
      <c r="CZ91" s="460">
        <f>Underwriting!DL142</f>
        <v>5955.6712584852621</v>
      </c>
      <c r="DA91" s="460">
        <f>Underwriting!DM142</f>
        <v>5967.9389661547502</v>
      </c>
      <c r="DB91" s="460">
        <f>Underwriting!DN142</f>
        <v>5980.2319432934428</v>
      </c>
      <c r="DC91" s="460">
        <f>Underwriting!DO142</f>
        <v>5992.5502419523109</v>
      </c>
      <c r="DD91" s="460">
        <f>Underwriting!DP142</f>
        <v>6004.8939142895397</v>
      </c>
      <c r="DE91" s="460">
        <f>Underwriting!DQ142</f>
        <v>6017.263012570751</v>
      </c>
      <c r="DF91" s="460">
        <f>Underwriting!DR142</f>
        <v>6029.6575891692273</v>
      </c>
      <c r="DG91" s="460">
        <f>Underwriting!DS142</f>
        <v>6042.0776965661307</v>
      </c>
      <c r="DH91" s="460">
        <f>Underwriting!DT142</f>
        <v>6054.523387350725</v>
      </c>
      <c r="DI91" s="460">
        <f>Underwriting!DU142</f>
        <v>6066.9947142206011</v>
      </c>
      <c r="DJ91" s="460">
        <f>Underwriting!DV142</f>
        <v>6079.4917299818962</v>
      </c>
      <c r="DK91" s="460">
        <f>Underwriting!DW142</f>
        <v>6092.0144875495216</v>
      </c>
      <c r="DL91" s="460">
        <f>Underwriting!DX142</f>
        <v>6104.5630399473848</v>
      </c>
      <c r="DM91" s="460">
        <f>Underwriting!DY142</f>
        <v>6117.1374403086093</v>
      </c>
      <c r="DN91" s="460">
        <f>Underwriting!DZ142</f>
        <v>6129.7377418757706</v>
      </c>
      <c r="DO91" s="460">
        <f>Underwriting!EA142</f>
        <v>6142.3639980011094</v>
      </c>
      <c r="DP91" s="460">
        <f>Underwriting!EB142</f>
        <v>6155.016262146768</v>
      </c>
      <c r="DQ91" s="460">
        <f>Underwriting!EC142</f>
        <v>6167.6945878850102</v>
      </c>
      <c r="DR91" s="460">
        <f>Underwriting!ED142</f>
        <v>6180.3990288984487</v>
      </c>
      <c r="DS91" s="460">
        <f>Underwriting!EE142</f>
        <v>6193.1296389802746</v>
      </c>
      <c r="DT91" s="460">
        <f>Underwriting!EF142</f>
        <v>6205.8864720344836</v>
      </c>
      <c r="DU91" s="460">
        <f>Underwriting!EG142</f>
        <v>6218.6695820761079</v>
      </c>
      <c r="DV91" s="460">
        <f>Underwriting!EH142</f>
        <v>6231.4790232314363</v>
      </c>
      <c r="DW91" s="460">
        <f>Underwriting!EI142</f>
        <v>6244.3148497382526</v>
      </c>
      <c r="DX91" s="460">
        <f>Underwriting!EJ142</f>
        <v>6257.1771159460613</v>
      </c>
      <c r="DY91" s="460">
        <f>Underwriting!EK142</f>
        <v>6270.0658763163165</v>
      </c>
      <c r="DZ91" s="460">
        <f>Underwriting!EL142</f>
        <v>6282.9811854226564</v>
      </c>
      <c r="EA91" s="460">
        <f>Underwriting!EM142</f>
        <v>6295.9230979511294</v>
      </c>
      <c r="EB91" s="460">
        <f>Underwriting!EN142</f>
        <v>6308.8916687004303</v>
      </c>
      <c r="EC91" s="460">
        <f>Underwriting!EO142</f>
        <v>6321.8869525821274</v>
      </c>
      <c r="ED91" s="460">
        <f>Underwriting!EP142</f>
        <v>6334.9090046209021</v>
      </c>
      <c r="EE91" s="460">
        <f>Underwriting!EQ142</f>
        <v>6347.9578799547744</v>
      </c>
      <c r="EF91" s="460">
        <f>Underwriting!ER142</f>
        <v>6361.0336338353382</v>
      </c>
      <c r="EG91" s="460">
        <f>Underwriting!ES142</f>
        <v>6374.1363216280015</v>
      </c>
      <c r="EH91" s="460">
        <f>Underwriting!ET142</f>
        <v>6387.2659988122141</v>
      </c>
      <c r="EI91" s="460">
        <f>Underwriting!EU142</f>
        <v>6400.4227209817</v>
      </c>
    </row>
    <row r="92" spans="2:139" ht="14.25" hidden="1" customHeight="1" outlineLevel="1" x14ac:dyDescent="0.25">
      <c r="B92" s="4" t="s">
        <v>152</v>
      </c>
      <c r="C92" s="3"/>
      <c r="D92" s="3"/>
      <c r="E92" s="3"/>
      <c r="F92" s="3"/>
      <c r="G92" s="460"/>
      <c r="H92" s="460">
        <f>Underwriting!T143</f>
        <v>12121.960074999999</v>
      </c>
      <c r="I92" s="460">
        <f>Underwriting!U143</f>
        <v>12258.615482884616</v>
      </c>
      <c r="J92" s="460">
        <f>Underwriting!V143</f>
        <v>12396.027720288461</v>
      </c>
      <c r="K92" s="460">
        <f>Underwriting!W143</f>
        <v>12534.198222307692</v>
      </c>
      <c r="L92" s="460">
        <f>Underwriting!X143</f>
        <v>12673.128424038459</v>
      </c>
      <c r="M92" s="460">
        <f>Underwriting!Y143</f>
        <v>12812.819760576924</v>
      </c>
      <c r="N92" s="460">
        <f>Underwriting!Z143</f>
        <v>12953.27366701923</v>
      </c>
      <c r="O92" s="460">
        <f>Underwriting!AA143</f>
        <v>13094.491578461537</v>
      </c>
      <c r="P92" s="460">
        <f>Underwriting!AB143</f>
        <v>13236.47493</v>
      </c>
      <c r="Q92" s="460">
        <f>Underwriting!AC143</f>
        <v>13379.225156730769</v>
      </c>
      <c r="R92" s="460">
        <f>Underwriting!AD143</f>
        <v>13522.743693749999</v>
      </c>
      <c r="S92" s="460">
        <f>Underwriting!AE143</f>
        <v>13667.031976153847</v>
      </c>
      <c r="T92" s="460">
        <f>Underwriting!AF143</f>
        <v>13840.54208594698</v>
      </c>
      <c r="U92" s="460">
        <f>Underwriting!AG143</f>
        <v>14015.484814155114</v>
      </c>
      <c r="V92" s="460">
        <f>Underwriting!AH143</f>
        <v>14191.868368513806</v>
      </c>
      <c r="W92" s="460">
        <f>Underwriting!AI143</f>
        <v>14369.700993733695</v>
      </c>
      <c r="X92" s="460">
        <f>Underwriting!AJ143</f>
        <v>14548.990971643167</v>
      </c>
      <c r="Y92" s="460">
        <f>Underwriting!AK143</f>
        <v>14729.746621331533</v>
      </c>
      <c r="Z92" s="460">
        <f>Underwriting!AL143</f>
        <v>14911.97629929267</v>
      </c>
      <c r="AA92" s="460">
        <f>Underwriting!AM143</f>
        <v>15095.688399569153</v>
      </c>
      <c r="AB92" s="460">
        <f>Underwriting!AN143</f>
        <v>15280.891353896952</v>
      </c>
      <c r="AC92" s="460">
        <f>Underwriting!AO143</f>
        <v>15467.593631850525</v>
      </c>
      <c r="AD92" s="460">
        <f>Underwriting!AP143</f>
        <v>15655.803740988535</v>
      </c>
      <c r="AE92" s="460">
        <f>Underwriting!AQ143</f>
        <v>15845.530226999977</v>
      </c>
      <c r="AF92" s="460">
        <f>Underwriting!AR143</f>
        <v>16541.022912875924</v>
      </c>
      <c r="AG92" s="460">
        <f>Underwriting!AS143</f>
        <v>16575.094711812166</v>
      </c>
      <c r="AH92" s="460">
        <f>Underwriting!AT143</f>
        <v>16609.236693075633</v>
      </c>
      <c r="AI92" s="460">
        <f>Underwriting!AU143</f>
        <v>16643.449001230438</v>
      </c>
      <c r="AJ92" s="460">
        <f>Underwriting!AV143</f>
        <v>16677.731781138449</v>
      </c>
      <c r="AK92" s="460">
        <f>Underwriting!AW143</f>
        <v>16712.085177959951</v>
      </c>
      <c r="AL92" s="460">
        <f>Underwriting!AX143</f>
        <v>16746.50933715421</v>
      </c>
      <c r="AM92" s="460">
        <f>Underwriting!AY143</f>
        <v>16781.00440448014</v>
      </c>
      <c r="AN92" s="460">
        <f>Underwriting!AZ143</f>
        <v>16815.570525996878</v>
      </c>
      <c r="AO92" s="460">
        <f>Underwriting!BA143</f>
        <v>16850.207848064427</v>
      </c>
      <c r="AP92" s="460">
        <f>Underwriting!BB143</f>
        <v>16884.916517344256</v>
      </c>
      <c r="AQ92" s="460">
        <f>Underwriting!BC143</f>
        <v>16919.696680799952</v>
      </c>
      <c r="AR92" s="460">
        <f>Underwriting!BD143</f>
        <v>16954.5484856978</v>
      </c>
      <c r="AS92" s="460">
        <f>Underwriting!BE143</f>
        <v>16989.472079607451</v>
      </c>
      <c r="AT92" s="460">
        <f>Underwriting!BF143</f>
        <v>17024.467610402506</v>
      </c>
      <c r="AU92" s="460">
        <f>Underwriting!BG143</f>
        <v>17059.535226261181</v>
      </c>
      <c r="AV92" s="460">
        <f>Underwriting!BH143</f>
        <v>17094.675075666888</v>
      </c>
      <c r="AW92" s="460">
        <f>Underwriting!BI143</f>
        <v>17129.887307408924</v>
      </c>
      <c r="AX92" s="460">
        <f>Underwriting!BJ143</f>
        <v>17165.172070583041</v>
      </c>
      <c r="AY92" s="460">
        <f>Underwriting!BK143</f>
        <v>17200.529514592119</v>
      </c>
      <c r="AZ92" s="460">
        <f>Underwriting!BL143</f>
        <v>17235.959789146778</v>
      </c>
      <c r="BA92" s="460">
        <f>Underwriting!BM143</f>
        <v>17271.463044266013</v>
      </c>
      <c r="BB92" s="460">
        <f>Underwriting!BN143</f>
        <v>17307.039430277848</v>
      </c>
      <c r="BC92" s="460">
        <f>Underwriting!BO143</f>
        <v>17342.689097819926</v>
      </c>
      <c r="BD92" s="460">
        <f>Underwriting!BP143</f>
        <v>17378.412197840222</v>
      </c>
      <c r="BE92" s="460">
        <f>Underwriting!BQ143</f>
        <v>17414.208881597613</v>
      </c>
      <c r="BF92" s="460">
        <f>Underwriting!BR143</f>
        <v>17450.079300662539</v>
      </c>
      <c r="BG92" s="460">
        <f>Underwriting!BS143</f>
        <v>17486.023606917675</v>
      </c>
      <c r="BH92" s="460">
        <f>Underwriting!BT143</f>
        <v>17522.041952558535</v>
      </c>
      <c r="BI92" s="460">
        <f>Underwriting!BU143</f>
        <v>17558.134490094119</v>
      </c>
      <c r="BJ92" s="460">
        <f>Underwriting!BV143</f>
        <v>17594.301372347596</v>
      </c>
      <c r="BK92" s="460">
        <f>Underwriting!BW143</f>
        <v>17630.542752456899</v>
      </c>
      <c r="BL92" s="460">
        <f>Underwriting!BX143</f>
        <v>17666.858783875425</v>
      </c>
      <c r="BM92" s="460">
        <f>Underwriting!BY143</f>
        <v>17703.249620372644</v>
      </c>
      <c r="BN92" s="460">
        <f>Underwriting!BZ143</f>
        <v>17739.715416034767</v>
      </c>
      <c r="BO92" s="460">
        <f>Underwriting!CA143</f>
        <v>17776.2563252654</v>
      </c>
      <c r="BP92" s="460">
        <f>Underwriting!CB143</f>
        <v>17812.872502786206</v>
      </c>
      <c r="BQ92" s="460">
        <f>Underwriting!CC143</f>
        <v>17849.564103637531</v>
      </c>
      <c r="BR92" s="460">
        <f>Underwriting!CD143</f>
        <v>17886.331283179083</v>
      </c>
      <c r="BS92" s="460">
        <f>Underwriting!CE143</f>
        <v>17923.174197090597</v>
      </c>
      <c r="BT92" s="460">
        <f>Underwriting!CF143</f>
        <v>17960.093001372479</v>
      </c>
      <c r="BU92" s="460">
        <f>Underwriting!CG143</f>
        <v>17997.087852346445</v>
      </c>
      <c r="BV92" s="460">
        <f>Underwriting!CH143</f>
        <v>18034.158906656263</v>
      </c>
      <c r="BW92" s="460">
        <f>Underwriting!CI143</f>
        <v>18071.306321268297</v>
      </c>
      <c r="BX92" s="460">
        <f>Underwriting!CJ143</f>
        <v>18108.530253472287</v>
      </c>
      <c r="BY92" s="460">
        <f>Underwriting!CK143</f>
        <v>18145.830860881932</v>
      </c>
      <c r="BZ92" s="460">
        <f>Underwriting!CL143</f>
        <v>18183.20830143561</v>
      </c>
      <c r="CA92" s="460">
        <f>Underwriting!CM143</f>
        <v>18220.66273339701</v>
      </c>
      <c r="CB92" s="460">
        <f>Underwriting!CN143</f>
        <v>18258.194315355831</v>
      </c>
      <c r="CC92" s="460">
        <f>Underwriting!CO143</f>
        <v>18295.80320622844</v>
      </c>
      <c r="CD92" s="460">
        <f>Underwriting!CP143</f>
        <v>18333.489565258536</v>
      </c>
      <c r="CE92" s="460">
        <f>Underwriting!CQ143</f>
        <v>18371.253552017839</v>
      </c>
      <c r="CF92" s="460">
        <f>Underwriting!CR143</f>
        <v>18409.095326406761</v>
      </c>
      <c r="CG92" s="460">
        <f>Underwriting!CS143</f>
        <v>18447.015048655088</v>
      </c>
      <c r="CH92" s="460">
        <f>Underwriting!CT143</f>
        <v>18485.012879322639</v>
      </c>
      <c r="CI92" s="460">
        <f>Underwriting!CU143</f>
        <v>18523.088979299984</v>
      </c>
      <c r="CJ92" s="460">
        <f>Underwriting!CV143</f>
        <v>18561.243509809065</v>
      </c>
      <c r="CK92" s="460">
        <f>Underwriting!CW143</f>
        <v>18599.476632403952</v>
      </c>
      <c r="CL92" s="460">
        <f>Underwriting!CX143</f>
        <v>18637.788508971469</v>
      </c>
      <c r="CM92" s="460">
        <f>Underwriting!CY143</f>
        <v>18676.179301731911</v>
      </c>
      <c r="CN92" s="460">
        <f>Underwriting!CZ143</f>
        <v>18714.649173239701</v>
      </c>
      <c r="CO92" s="460">
        <f>Underwriting!DA143</f>
        <v>18753.198286384122</v>
      </c>
      <c r="CP92" s="460">
        <f>Underwriting!DB143</f>
        <v>18791.82680438997</v>
      </c>
      <c r="CQ92" s="460">
        <f>Underwriting!DC143</f>
        <v>18830.53489081826</v>
      </c>
      <c r="CR92" s="460">
        <f>Underwriting!DD143</f>
        <v>18869.32270956691</v>
      </c>
      <c r="CS92" s="460">
        <f>Underwriting!DE143</f>
        <v>18908.190424871438</v>
      </c>
      <c r="CT92" s="460">
        <f>Underwriting!DF143</f>
        <v>18947.138201305679</v>
      </c>
      <c r="CU92" s="460">
        <f>Underwriting!DG143</f>
        <v>18986.166203782454</v>
      </c>
      <c r="CV92" s="460">
        <f>Underwriting!DH143</f>
        <v>19025.274597554268</v>
      </c>
      <c r="CW92" s="460">
        <f>Underwriting!DI143</f>
        <v>19064.463548214026</v>
      </c>
      <c r="CX92" s="460">
        <f>Underwriting!DJ143</f>
        <v>19103.733221695733</v>
      </c>
      <c r="CY92" s="460">
        <f>Underwriting!DK143</f>
        <v>19143.083784275183</v>
      </c>
      <c r="CZ92" s="460">
        <f>Underwriting!DL143</f>
        <v>19182.515402570672</v>
      </c>
      <c r="DA92" s="460">
        <f>Underwriting!DM143</f>
        <v>19222.028243543708</v>
      </c>
      <c r="DB92" s="460">
        <f>Underwriting!DN143</f>
        <v>19261.622474499698</v>
      </c>
      <c r="DC92" s="460">
        <f>Underwriting!DO143</f>
        <v>19301.298263088691</v>
      </c>
      <c r="DD92" s="460">
        <f>Underwriting!DP143</f>
        <v>19341.055777306054</v>
      </c>
      <c r="DE92" s="460">
        <f>Underwriting!DQ143</f>
        <v>19380.895185493198</v>
      </c>
      <c r="DF92" s="460">
        <f>Underwriting!DR143</f>
        <v>19420.816656338295</v>
      </c>
      <c r="DG92" s="460">
        <f>Underwriting!DS143</f>
        <v>19460.820358876987</v>
      </c>
      <c r="DH92" s="460">
        <f>Underwriting!DT143</f>
        <v>19500.906462493094</v>
      </c>
      <c r="DI92" s="460">
        <f>Underwriting!DU143</f>
        <v>19541.075136919353</v>
      </c>
      <c r="DJ92" s="460">
        <f>Underwriting!DV143</f>
        <v>19581.326552238101</v>
      </c>
      <c r="DK92" s="460">
        <f>Underwriting!DW143</f>
        <v>19621.660878882041</v>
      </c>
      <c r="DL92" s="460">
        <f>Underwriting!DX143</f>
        <v>19662.078287634908</v>
      </c>
      <c r="DM92" s="460">
        <f>Underwriting!DY143</f>
        <v>19702.578949632272</v>
      </c>
      <c r="DN92" s="460">
        <f>Underwriting!DZ143</f>
        <v>19743.163036362166</v>
      </c>
      <c r="DO92" s="460">
        <f>Underwriting!EA143</f>
        <v>19783.830719665879</v>
      </c>
      <c r="DP92" s="460">
        <f>Underwriting!EB143</f>
        <v>19824.582171738672</v>
      </c>
      <c r="DQ92" s="460">
        <f>Underwriting!EC143</f>
        <v>19865.417565130505</v>
      </c>
      <c r="DR92" s="460">
        <f>Underwriting!ED143</f>
        <v>19906.33707274673</v>
      </c>
      <c r="DS92" s="460">
        <f>Underwriting!EE143</f>
        <v>19947.340867848885</v>
      </c>
      <c r="DT92" s="460">
        <f>Underwriting!EF143</f>
        <v>19988.429124055401</v>
      </c>
      <c r="DU92" s="460">
        <f>Underwriting!EG143</f>
        <v>20029.602015342309</v>
      </c>
      <c r="DV92" s="460">
        <f>Underwriting!EH143</f>
        <v>20070.859716044026</v>
      </c>
      <c r="DW92" s="460">
        <f>Underwriting!EI143</f>
        <v>20112.202400854061</v>
      </c>
      <c r="DX92" s="460">
        <f>Underwriting!EJ143</f>
        <v>20153.630244825759</v>
      </c>
      <c r="DY92" s="460">
        <f>Underwriting!EK143</f>
        <v>20195.143423373051</v>
      </c>
      <c r="DZ92" s="460">
        <f>Underwriting!EL143</f>
        <v>20236.742112271193</v>
      </c>
      <c r="EA92" s="460">
        <f>Underwriting!EM143</f>
        <v>20278.4264876575</v>
      </c>
      <c r="EB92" s="460">
        <f>Underwriting!EN143</f>
        <v>20320.196726032118</v>
      </c>
      <c r="EC92" s="460">
        <f>Underwriting!EO143</f>
        <v>20362.053004258734</v>
      </c>
      <c r="ED92" s="460">
        <f>Underwriting!EP143</f>
        <v>20403.995499565372</v>
      </c>
      <c r="EE92" s="460">
        <f>Underwriting!EQ143</f>
        <v>20446.02438954508</v>
      </c>
      <c r="EF92" s="460">
        <f>Underwriting!ER143</f>
        <v>20488.139852156757</v>
      </c>
      <c r="EG92" s="460">
        <f>Underwriting!ES143</f>
        <v>20530.342065725843</v>
      </c>
      <c r="EH92" s="460">
        <f>Underwriting!ET143</f>
        <v>20572.631208945098</v>
      </c>
      <c r="EI92" s="460">
        <f>Underwriting!EU143</f>
        <v>20615.007460875382</v>
      </c>
    </row>
    <row r="93" spans="2:139" ht="14.25" hidden="1" customHeight="1" outlineLevel="1" x14ac:dyDescent="0.25">
      <c r="B93" s="4" t="s">
        <v>153</v>
      </c>
      <c r="C93" s="3"/>
      <c r="D93" s="3"/>
      <c r="E93" s="3"/>
      <c r="F93" s="3"/>
      <c r="G93" s="460"/>
      <c r="H93" s="460">
        <f>Underwriting!T144</f>
        <v>6875</v>
      </c>
      <c r="I93" s="460">
        <f>Underwriting!U144</f>
        <v>6875</v>
      </c>
      <c r="J93" s="460">
        <f>Underwriting!V144</f>
        <v>6875</v>
      </c>
      <c r="K93" s="460">
        <f>Underwriting!W144</f>
        <v>6875</v>
      </c>
      <c r="L93" s="460">
        <f>Underwriting!X144</f>
        <v>6875</v>
      </c>
      <c r="M93" s="460">
        <f>Underwriting!Y144</f>
        <v>6875</v>
      </c>
      <c r="N93" s="460">
        <f>Underwriting!Z144</f>
        <v>6875</v>
      </c>
      <c r="O93" s="460">
        <f>Underwriting!AA144</f>
        <v>6875</v>
      </c>
      <c r="P93" s="460">
        <f>Underwriting!AB144</f>
        <v>6875</v>
      </c>
      <c r="Q93" s="460">
        <f>Underwriting!AC144</f>
        <v>6875</v>
      </c>
      <c r="R93" s="460">
        <f>Underwriting!AD144</f>
        <v>6875</v>
      </c>
      <c r="S93" s="460">
        <f>Underwriting!AE144</f>
        <v>6875</v>
      </c>
      <c r="T93" s="460">
        <f>Underwriting!AF144</f>
        <v>6889.1613743551688</v>
      </c>
      <c r="U93" s="460">
        <f>Underwriting!AG144</f>
        <v>6903.3519188228647</v>
      </c>
      <c r="V93" s="460">
        <f>Underwriting!AH144</f>
        <v>6917.571693488745</v>
      </c>
      <c r="W93" s="460">
        <f>Underwriting!AI144</f>
        <v>6931.8207585622304</v>
      </c>
      <c r="X93" s="460">
        <f>Underwriting!AJ144</f>
        <v>6946.0991743767654</v>
      </c>
      <c r="Y93" s="460">
        <f>Underwriting!AK144</f>
        <v>6960.4070013900709</v>
      </c>
      <c r="Z93" s="460">
        <f>Underwriting!AL144</f>
        <v>6974.7443001844013</v>
      </c>
      <c r="AA93" s="460">
        <f>Underwriting!AM144</f>
        <v>6989.1111314668015</v>
      </c>
      <c r="AB93" s="460">
        <f>Underwriting!AN144</f>
        <v>7003.5075560693585</v>
      </c>
      <c r="AC93" s="460">
        <f>Underwriting!AO144</f>
        <v>7017.933634949467</v>
      </c>
      <c r="AD93" s="460">
        <f>Underwriting!AP144</f>
        <v>7032.389429190086</v>
      </c>
      <c r="AE93" s="460">
        <f>Underwriting!AQ144</f>
        <v>7046.87499999999</v>
      </c>
      <c r="AF93" s="460">
        <f>Underwriting!AR144</f>
        <v>7061.390408714039</v>
      </c>
      <c r="AG93" s="460">
        <f>Underwriting!AS144</f>
        <v>7075.9357167934277</v>
      </c>
      <c r="AH93" s="460">
        <f>Underwriting!AT144</f>
        <v>7090.5109858259539</v>
      </c>
      <c r="AI93" s="460">
        <f>Underwriting!AU144</f>
        <v>7105.1162775262774</v>
      </c>
      <c r="AJ93" s="460">
        <f>Underwriting!AV144</f>
        <v>7119.7516537361744</v>
      </c>
      <c r="AK93" s="460">
        <f>Underwriting!AW144</f>
        <v>7134.4171764248131</v>
      </c>
      <c r="AL93" s="460">
        <f>Underwriting!AX144</f>
        <v>7149.112907689002</v>
      </c>
      <c r="AM93" s="460">
        <f>Underwriting!AY144</f>
        <v>7163.83890975346</v>
      </c>
      <c r="AN93" s="460">
        <f>Underwriting!AZ144</f>
        <v>7178.5952449710812</v>
      </c>
      <c r="AO93" s="460">
        <f>Underwriting!BA144</f>
        <v>7193.3819758231921</v>
      </c>
      <c r="AP93" s="460">
        <f>Underwriting!BB144</f>
        <v>7208.1991649198253</v>
      </c>
      <c r="AQ93" s="460">
        <f>Underwriting!BC144</f>
        <v>7223.0468749999773</v>
      </c>
      <c r="AR93" s="460">
        <f>Underwriting!BD144</f>
        <v>7237.9251689318762</v>
      </c>
      <c r="AS93" s="460">
        <f>Underwriting!BE144</f>
        <v>7252.8341097132497</v>
      </c>
      <c r="AT93" s="460">
        <f>Underwriting!BF144</f>
        <v>7267.7737604715903</v>
      </c>
      <c r="AU93" s="460">
        <f>Underwriting!BG144</f>
        <v>7282.7441844644209</v>
      </c>
      <c r="AV93" s="460">
        <f>Underwriting!BH144</f>
        <v>7297.7454450795676</v>
      </c>
      <c r="AW93" s="460">
        <f>Underwriting!BI144</f>
        <v>7312.7776058354211</v>
      </c>
      <c r="AX93" s="460">
        <f>Underwriting!BJ144</f>
        <v>7327.8407303812137</v>
      </c>
      <c r="AY93" s="460">
        <f>Underwriting!BK144</f>
        <v>7342.9348824972849</v>
      </c>
      <c r="AZ93" s="460">
        <f>Underwriting!BL144</f>
        <v>7358.0601260953454</v>
      </c>
      <c r="BA93" s="460">
        <f>Underwriting!BM144</f>
        <v>7373.2165252187597</v>
      </c>
      <c r="BB93" s="460">
        <f>Underwriting!BN144</f>
        <v>7388.4041440428091</v>
      </c>
      <c r="BC93" s="460">
        <f>Underwriting!BO144</f>
        <v>7403.6230468749645</v>
      </c>
      <c r="BD93" s="460">
        <f>Underwriting!BP144</f>
        <v>7418.873298155162</v>
      </c>
      <c r="BE93" s="460">
        <f>Underwriting!BQ144</f>
        <v>7434.1549624560694</v>
      </c>
      <c r="BF93" s="460">
        <f>Underwriting!BR144</f>
        <v>7449.4681044833678</v>
      </c>
      <c r="BG93" s="460">
        <f>Underwriting!BS144</f>
        <v>7464.8127890760188</v>
      </c>
      <c r="BH93" s="460">
        <f>Underwriting!BT144</f>
        <v>7480.189081206544</v>
      </c>
      <c r="BI93" s="460">
        <f>Underwriting!BU144</f>
        <v>7495.5970459812952</v>
      </c>
      <c r="BJ93" s="460">
        <f>Underwriting!BV144</f>
        <v>7511.0367486407331</v>
      </c>
      <c r="BK93" s="460">
        <f>Underwriting!BW144</f>
        <v>7526.5082545597033</v>
      </c>
      <c r="BL93" s="460">
        <f>Underwriting!BX144</f>
        <v>7542.0116292477169</v>
      </c>
      <c r="BM93" s="460">
        <f>Underwriting!BY144</f>
        <v>7557.5469383492164</v>
      </c>
      <c r="BN93" s="460">
        <f>Underwriting!BZ144</f>
        <v>7573.1142476438663</v>
      </c>
      <c r="BO93" s="460">
        <f>Underwriting!CA144</f>
        <v>7588.713623046825</v>
      </c>
      <c r="BP93" s="460">
        <f>Underwriting!CB144</f>
        <v>7604.3451306090274</v>
      </c>
      <c r="BQ93" s="460">
        <f>Underwriting!CC144</f>
        <v>7620.0088365174588</v>
      </c>
      <c r="BR93" s="460">
        <f>Underwriting!CD144</f>
        <v>7635.7048070954397</v>
      </c>
      <c r="BS93" s="460">
        <f>Underwriting!CE144</f>
        <v>7651.4331088029066</v>
      </c>
      <c r="BT93" s="460">
        <f>Underwriting!CF144</f>
        <v>7667.1938082366951</v>
      </c>
      <c r="BU93" s="460">
        <f>Underwriting!CG144</f>
        <v>7682.9869721308141</v>
      </c>
      <c r="BV93" s="460">
        <f>Underwriting!CH144</f>
        <v>7698.8126673567376</v>
      </c>
      <c r="BW93" s="460">
        <f>Underwriting!CI144</f>
        <v>7714.6709609236832</v>
      </c>
      <c r="BX93" s="460">
        <f>Underwriting!CJ144</f>
        <v>7730.5619199788962</v>
      </c>
      <c r="BY93" s="460">
        <f>Underwriting!CK144</f>
        <v>7746.4856118079342</v>
      </c>
      <c r="BZ93" s="460">
        <f>Underwriting!CL144</f>
        <v>7762.442103834951</v>
      </c>
      <c r="CA93" s="460">
        <f>Underwriting!CM144</f>
        <v>7778.4314636229856</v>
      </c>
      <c r="CB93" s="460">
        <f>Underwriting!CN144</f>
        <v>7794.4537588742423</v>
      </c>
      <c r="CC93" s="460">
        <f>Underwriting!CO144</f>
        <v>7810.5090574303831</v>
      </c>
      <c r="CD93" s="460">
        <f>Underwriting!CP144</f>
        <v>7826.5974272728126</v>
      </c>
      <c r="CE93" s="460">
        <f>Underwriting!CQ144</f>
        <v>7842.7189365229679</v>
      </c>
      <c r="CF93" s="460">
        <f>Underwriting!CR144</f>
        <v>7858.8736534425998</v>
      </c>
      <c r="CG93" s="460">
        <f>Underwriting!CS144</f>
        <v>7875.0616464340737</v>
      </c>
      <c r="CH93" s="460">
        <f>Underwriting!CT144</f>
        <v>7891.2829840406457</v>
      </c>
      <c r="CI93" s="460">
        <f>Underwriting!CU144</f>
        <v>7907.5377349467662</v>
      </c>
      <c r="CJ93" s="460">
        <f>Underwriting!CV144</f>
        <v>7923.8259679783596</v>
      </c>
      <c r="CK93" s="460">
        <f>Underwriting!CW144</f>
        <v>7940.1477521031229</v>
      </c>
      <c r="CL93" s="460">
        <f>Underwriting!CX144</f>
        <v>7956.5031564308147</v>
      </c>
      <c r="CM93" s="460">
        <f>Underwriting!CY144</f>
        <v>7972.8922502135492</v>
      </c>
      <c r="CN93" s="460">
        <f>Underwriting!CZ144</f>
        <v>7989.3151028460861</v>
      </c>
      <c r="CO93" s="460">
        <f>Underwriting!DA144</f>
        <v>8005.7717838661301</v>
      </c>
      <c r="CP93" s="460">
        <f>Underwriting!DB144</f>
        <v>8022.2623629546215</v>
      </c>
      <c r="CQ93" s="460">
        <f>Underwriting!DC144</f>
        <v>8038.7869099360296</v>
      </c>
      <c r="CR93" s="460">
        <f>Underwriting!DD144</f>
        <v>8055.3454947786531</v>
      </c>
      <c r="CS93" s="460">
        <f>Underwriting!DE144</f>
        <v>8071.9381875949121</v>
      </c>
      <c r="CT93" s="460">
        <f>Underwriting!DF144</f>
        <v>8088.5650586416486</v>
      </c>
      <c r="CU93" s="460">
        <f>Underwriting!DG144</f>
        <v>8105.2261783204222</v>
      </c>
      <c r="CV93" s="460">
        <f>Underwriting!DH144</f>
        <v>8121.9216171778053</v>
      </c>
      <c r="CW93" s="460">
        <f>Underwriting!DI144</f>
        <v>8138.6514459056862</v>
      </c>
      <c r="CX93" s="460">
        <f>Underwriting!DJ144</f>
        <v>8155.4157353415721</v>
      </c>
      <c r="CY93" s="460">
        <f>Underwriting!DK144</f>
        <v>8172.2145564688753</v>
      </c>
      <c r="CZ93" s="460">
        <f>Underwriting!DL144</f>
        <v>8189.0479804172255</v>
      </c>
      <c r="DA93" s="460">
        <f>Underwriting!DM144</f>
        <v>8205.9160784627729</v>
      </c>
      <c r="DB93" s="460">
        <f>Underwriting!DN144</f>
        <v>8222.8189220284767</v>
      </c>
      <c r="DC93" s="460">
        <f>Underwriting!DO144</f>
        <v>8239.7565826844202</v>
      </c>
      <c r="DD93" s="460">
        <f>Underwriting!DP144</f>
        <v>8256.7291321481098</v>
      </c>
      <c r="DE93" s="460">
        <f>Underwriting!DQ144</f>
        <v>8273.7366422847754</v>
      </c>
      <c r="DF93" s="460">
        <f>Underwriting!DR144</f>
        <v>8290.7791851076818</v>
      </c>
      <c r="DG93" s="460">
        <f>Underwriting!DS144</f>
        <v>8307.8568327784214</v>
      </c>
      <c r="DH93" s="460">
        <f>Underwriting!DT144</f>
        <v>8324.9696576072402</v>
      </c>
      <c r="DI93" s="460">
        <f>Underwriting!DU144</f>
        <v>8342.1177320533207</v>
      </c>
      <c r="DJ93" s="460">
        <f>Underwriting!DV144</f>
        <v>8359.3011287251011</v>
      </c>
      <c r="DK93" s="460">
        <f>Underwriting!DW144</f>
        <v>8376.519920380586</v>
      </c>
      <c r="DL93" s="460">
        <f>Underwriting!DX144</f>
        <v>8393.7741799276464</v>
      </c>
      <c r="DM93" s="460">
        <f>Underwriting!DY144</f>
        <v>8411.063980424331</v>
      </c>
      <c r="DN93" s="460">
        <f>Underwriting!DZ144</f>
        <v>8428.3893950791771</v>
      </c>
      <c r="DO93" s="460">
        <f>Underwriting!EA144</f>
        <v>8445.750497251518</v>
      </c>
      <c r="DP93" s="460">
        <f>Underwriting!EB144</f>
        <v>8463.1473604517996</v>
      </c>
      <c r="DQ93" s="460">
        <f>Underwriting!EC144</f>
        <v>8480.5800583418804</v>
      </c>
      <c r="DR93" s="460">
        <f>Underwriting!ED144</f>
        <v>8498.0486647353591</v>
      </c>
      <c r="DS93" s="460">
        <f>Underwriting!EE144</f>
        <v>8515.5532535978691</v>
      </c>
      <c r="DT93" s="460">
        <f>Underwriting!EF144</f>
        <v>8533.0938990474078</v>
      </c>
      <c r="DU93" s="460">
        <f>Underwriting!EG144</f>
        <v>8550.6706753546405</v>
      </c>
      <c r="DV93" s="460">
        <f>Underwriting!EH144</f>
        <v>8568.2836569432166</v>
      </c>
      <c r="DW93" s="460">
        <f>Underwriting!EI144</f>
        <v>8585.9329183900882</v>
      </c>
      <c r="DX93" s="460">
        <f>Underwriting!EJ144</f>
        <v>8603.6185344258247</v>
      </c>
      <c r="DY93" s="460">
        <f>Underwriting!EK144</f>
        <v>8621.3405799349257</v>
      </c>
      <c r="DZ93" s="460">
        <f>Underwriting!EL144</f>
        <v>8639.0991299561447</v>
      </c>
      <c r="EA93" s="460">
        <f>Underwriting!EM144</f>
        <v>8656.8942596827928</v>
      </c>
      <c r="EB93" s="460">
        <f>Underwriting!EN144</f>
        <v>8674.7260444630829</v>
      </c>
      <c r="EC93" s="460">
        <f>Underwriting!EO144</f>
        <v>8692.5945598004182</v>
      </c>
      <c r="ED93" s="460">
        <f>Underwriting!EP144</f>
        <v>8710.4998813537331</v>
      </c>
      <c r="EE93" s="460">
        <f>Underwriting!EQ144</f>
        <v>8728.4420849378057</v>
      </c>
      <c r="EF93" s="460">
        <f>Underwriting!ER144</f>
        <v>8746.4212465235814</v>
      </c>
      <c r="EG93" s="460">
        <f>Underwriting!ES144</f>
        <v>8764.4374422384954</v>
      </c>
      <c r="EH93" s="460">
        <f>Underwriting!ET144</f>
        <v>8782.4907483667848</v>
      </c>
      <c r="EI93" s="460">
        <f>Underwriting!EU144</f>
        <v>8800.5812413498297</v>
      </c>
    </row>
    <row r="94" spans="2:139" ht="14.25" hidden="1" customHeight="1" outlineLevel="1" x14ac:dyDescent="0.25">
      <c r="B94" s="4" t="s">
        <v>120</v>
      </c>
      <c r="C94" s="3"/>
      <c r="D94" s="3"/>
      <c r="E94" s="3"/>
      <c r="F94" s="3"/>
      <c r="G94" s="461"/>
      <c r="H94" s="461">
        <f>Underwriting!T145</f>
        <v>45625</v>
      </c>
      <c r="I94" s="461">
        <f>Underwriting!U145</f>
        <v>46250</v>
      </c>
      <c r="J94" s="461">
        <f>Underwriting!V145</f>
        <v>46875</v>
      </c>
      <c r="K94" s="461">
        <f>Underwriting!W145</f>
        <v>47500</v>
      </c>
      <c r="L94" s="461">
        <f>Underwriting!X145</f>
        <v>48125</v>
      </c>
      <c r="M94" s="461">
        <f>Underwriting!Y145</f>
        <v>48750</v>
      </c>
      <c r="N94" s="461">
        <f>Underwriting!Z145</f>
        <v>49374.999999999993</v>
      </c>
      <c r="O94" s="461">
        <f>Underwriting!AA145</f>
        <v>50000.000000000007</v>
      </c>
      <c r="P94" s="461">
        <f>Underwriting!AB145</f>
        <v>50625</v>
      </c>
      <c r="Q94" s="461">
        <f>Underwriting!AC145</f>
        <v>51250</v>
      </c>
      <c r="R94" s="461">
        <f>Underwriting!AD145</f>
        <v>51875</v>
      </c>
      <c r="S94" s="461">
        <f>Underwriting!AE145</f>
        <v>52500</v>
      </c>
      <c r="T94" s="461">
        <f>Underwriting!AF145</f>
        <v>53234.428801835398</v>
      </c>
      <c r="U94" s="461">
        <f>Underwriting!AG145</f>
        <v>53971.660456251491</v>
      </c>
      <c r="V94" s="461">
        <f>Underwriting!AH145</f>
        <v>54711.703393956443</v>
      </c>
      <c r="W94" s="461">
        <f>Underwriting!AI145</f>
        <v>55454.566068497843</v>
      </c>
      <c r="X94" s="461">
        <f>Underwriting!AJ145</f>
        <v>56200.256956321122</v>
      </c>
      <c r="Y94" s="461">
        <f>Underwriting!AK145</f>
        <v>56948.784556827864</v>
      </c>
      <c r="Z94" s="461">
        <f>Underwriting!AL145</f>
        <v>57700.157392434608</v>
      </c>
      <c r="AA94" s="461">
        <f>Underwriting!AM145</f>
        <v>58454.38400863143</v>
      </c>
      <c r="AB94" s="461">
        <f>Underwriting!AN145</f>
        <v>59211.472974040946</v>
      </c>
      <c r="AC94" s="461">
        <f>Underwriting!AO145</f>
        <v>59971.432880477259</v>
      </c>
      <c r="AD94" s="461">
        <f>Underwriting!AP145</f>
        <v>60734.272343005287</v>
      </c>
      <c r="AE94" s="461">
        <f>Underwriting!AQ145</f>
        <v>61499.999999999913</v>
      </c>
      <c r="AF94" s="461">
        <f>Underwriting!AR145</f>
        <v>61626.679930595245</v>
      </c>
      <c r="AG94" s="461">
        <f>Underwriting!AS145</f>
        <v>61753.62080110627</v>
      </c>
      <c r="AH94" s="461">
        <f>Underwriting!AT145</f>
        <v>61880.82314902651</v>
      </c>
      <c r="AI94" s="461">
        <f>Underwriting!AU145</f>
        <v>62008.287512956587</v>
      </c>
      <c r="AJ94" s="461">
        <f>Underwriting!AV145</f>
        <v>62136.014432606607</v>
      </c>
      <c r="AK94" s="461">
        <f>Underwriting!AW145</f>
        <v>62264.004448798369</v>
      </c>
      <c r="AL94" s="461">
        <f>Underwriting!AX145</f>
        <v>62392.258103467662</v>
      </c>
      <c r="AM94" s="461">
        <f>Underwriting!AY145</f>
        <v>62520.775939666572</v>
      </c>
      <c r="AN94" s="461">
        <f>Underwriting!AZ145</f>
        <v>62649.5585015658</v>
      </c>
      <c r="AO94" s="461">
        <f>Underwriting!BA145</f>
        <v>62778.606334456963</v>
      </c>
      <c r="AP94" s="461">
        <f>Underwriting!BB145</f>
        <v>62907.919984754844</v>
      </c>
      <c r="AQ94" s="461">
        <f>Underwriting!BC145</f>
        <v>63037.499999999804</v>
      </c>
      <c r="AR94" s="461">
        <f>Underwriting!BD145</f>
        <v>63167.34692886001</v>
      </c>
      <c r="AS94" s="461">
        <f>Underwriting!BE145</f>
        <v>63297.461321133822</v>
      </c>
      <c r="AT94" s="461">
        <f>Underwriting!BF145</f>
        <v>63427.843727752064</v>
      </c>
      <c r="AU94" s="461">
        <f>Underwriting!BG145</f>
        <v>63558.494700780408</v>
      </c>
      <c r="AV94" s="461">
        <f>Underwriting!BH145</f>
        <v>63689.414793421682</v>
      </c>
      <c r="AW94" s="461">
        <f>Underwriting!BI145</f>
        <v>63820.604560018226</v>
      </c>
      <c r="AX94" s="461">
        <f>Underwriting!BJ145</f>
        <v>63952.064556054247</v>
      </c>
      <c r="AY94" s="461">
        <f>Underwriting!BK145</f>
        <v>64083.795338158125</v>
      </c>
      <c r="AZ94" s="461">
        <f>Underwriting!BL145</f>
        <v>64215.797464104842</v>
      </c>
      <c r="BA94" s="461">
        <f>Underwriting!BM145</f>
        <v>64348.071492818279</v>
      </c>
      <c r="BB94" s="461">
        <f>Underwriting!BN145</f>
        <v>64480.617984373624</v>
      </c>
      <c r="BC94" s="461">
        <f>Underwriting!BO145</f>
        <v>64613.437499999709</v>
      </c>
      <c r="BD94" s="461">
        <f>Underwriting!BP145</f>
        <v>64746.530602081424</v>
      </c>
      <c r="BE94" s="461">
        <f>Underwriting!BQ145</f>
        <v>64879.897854162082</v>
      </c>
      <c r="BF94" s="461">
        <f>Underwriting!BR145</f>
        <v>65013.539820945771</v>
      </c>
      <c r="BG94" s="461">
        <f>Underwriting!BS145</f>
        <v>65147.457068299838</v>
      </c>
      <c r="BH94" s="461">
        <f>Underwriting!BT145</f>
        <v>65281.650163257145</v>
      </c>
      <c r="BI94" s="461">
        <f>Underwriting!BU145</f>
        <v>65416.119674018606</v>
      </c>
      <c r="BJ94" s="461">
        <f>Underwriting!BV145</f>
        <v>65550.866169955523</v>
      </c>
      <c r="BK94" s="461">
        <f>Underwriting!BW145</f>
        <v>65685.89022161199</v>
      </c>
      <c r="BL94" s="461">
        <f>Underwriting!BX145</f>
        <v>65821.192400707383</v>
      </c>
      <c r="BM94" s="461">
        <f>Underwriting!BY145</f>
        <v>65956.773280138659</v>
      </c>
      <c r="BN94" s="461">
        <f>Underwriting!BZ145</f>
        <v>66092.63343398289</v>
      </c>
      <c r="BO94" s="461">
        <f>Underwriting!CA145</f>
        <v>66228.773437499636</v>
      </c>
      <c r="BP94" s="461">
        <f>Underwriting!CB145</f>
        <v>66365.193867133392</v>
      </c>
      <c r="BQ94" s="461">
        <f>Underwriting!CC145</f>
        <v>66501.895300516058</v>
      </c>
      <c r="BR94" s="461">
        <f>Underwriting!CD145</f>
        <v>66638.878316469345</v>
      </c>
      <c r="BS94" s="461">
        <f>Underwriting!CE145</f>
        <v>66776.143495007258</v>
      </c>
      <c r="BT94" s="461">
        <f>Underwriting!CF145</f>
        <v>66913.691417338487</v>
      </c>
      <c r="BU94" s="461">
        <f>Underwriting!CG145</f>
        <v>67051.522665868979</v>
      </c>
      <c r="BV94" s="461">
        <f>Underwriting!CH145</f>
        <v>67189.637824204314</v>
      </c>
      <c r="BW94" s="461">
        <f>Underwriting!CI145</f>
        <v>67328.037477152204</v>
      </c>
      <c r="BX94" s="461">
        <f>Underwriting!CJ145</f>
        <v>67466.722210724984</v>
      </c>
      <c r="BY94" s="461">
        <f>Underwriting!CK145</f>
        <v>67605.69261214204</v>
      </c>
      <c r="BZ94" s="461">
        <f>Underwriting!CL145</f>
        <v>67744.949269832359</v>
      </c>
      <c r="CA94" s="461">
        <f>Underwriting!CM145</f>
        <v>67884.492773437014</v>
      </c>
      <c r="CB94" s="461">
        <f>Underwriting!CN145</f>
        <v>68024.323713811624</v>
      </c>
      <c r="CC94" s="461">
        <f>Underwriting!CO145</f>
        <v>68164.442683028858</v>
      </c>
      <c r="CD94" s="461">
        <f>Underwriting!CP145</f>
        <v>68304.85027438098</v>
      </c>
      <c r="CE94" s="461">
        <f>Underwriting!CQ145</f>
        <v>68445.547082382327</v>
      </c>
      <c r="CF94" s="461">
        <f>Underwriting!CR145</f>
        <v>68586.533702771834</v>
      </c>
      <c r="CG94" s="461">
        <f>Underwriting!CS145</f>
        <v>68727.810732515602</v>
      </c>
      <c r="CH94" s="461">
        <f>Underwriting!CT145</f>
        <v>68869.378769809337</v>
      </c>
      <c r="CI94" s="461">
        <f>Underwriting!CU145</f>
        <v>69011.238414080915</v>
      </c>
      <c r="CJ94" s="461">
        <f>Underwriting!CV145</f>
        <v>69153.390265993003</v>
      </c>
      <c r="CK94" s="461">
        <f>Underwriting!CW145</f>
        <v>69295.834927445496</v>
      </c>
      <c r="CL94" s="461">
        <f>Underwriting!CX145</f>
        <v>69438.573001578086</v>
      </c>
      <c r="CM94" s="461">
        <f>Underwriting!CY145</f>
        <v>69581.605092772865</v>
      </c>
      <c r="CN94" s="461">
        <f>Underwriting!CZ145</f>
        <v>69724.931806656838</v>
      </c>
      <c r="CO94" s="461">
        <f>Underwriting!DA145</f>
        <v>69868.553750104489</v>
      </c>
      <c r="CP94" s="461">
        <f>Underwriting!DB145</f>
        <v>70012.471531240401</v>
      </c>
      <c r="CQ94" s="461">
        <f>Underwriting!DC145</f>
        <v>70156.685759441796</v>
      </c>
      <c r="CR94" s="461">
        <f>Underwriting!DD145</f>
        <v>70301.197045341061</v>
      </c>
      <c r="CS94" s="461">
        <f>Underwriting!DE145</f>
        <v>70446.00600082842</v>
      </c>
      <c r="CT94" s="461">
        <f>Underwriting!DF145</f>
        <v>70591.113239054481</v>
      </c>
      <c r="CU94" s="461">
        <f>Underwriting!DG145</f>
        <v>70736.519374432872</v>
      </c>
      <c r="CV94" s="461">
        <f>Underwriting!DH145</f>
        <v>70882.225022642742</v>
      </c>
      <c r="CW94" s="461">
        <f>Underwriting!DI145</f>
        <v>71028.230800631543</v>
      </c>
      <c r="CX94" s="461">
        <f>Underwriting!DJ145</f>
        <v>71174.537326617443</v>
      </c>
      <c r="CY94" s="461">
        <f>Underwriting!DK145</f>
        <v>71321.14522009209</v>
      </c>
      <c r="CZ94" s="461">
        <f>Underwriting!DL145</f>
        <v>71468.055101823164</v>
      </c>
      <c r="DA94" s="461">
        <f>Underwriting!DM145</f>
        <v>71615.267593857003</v>
      </c>
      <c r="DB94" s="461">
        <f>Underwriting!DN145</f>
        <v>71762.783319521332</v>
      </c>
      <c r="DC94" s="461">
        <f>Underwriting!DO145</f>
        <v>71910.602903427745</v>
      </c>
      <c r="DD94" s="461">
        <f>Underwriting!DP145</f>
        <v>72058.726971474491</v>
      </c>
      <c r="DE94" s="461">
        <f>Underwriting!DQ145</f>
        <v>72207.156150849012</v>
      </c>
      <c r="DF94" s="461">
        <f>Underwriting!DR145</f>
        <v>72355.891070030731</v>
      </c>
      <c r="DG94" s="461">
        <f>Underwriting!DS145</f>
        <v>72504.93235879358</v>
      </c>
      <c r="DH94" s="461">
        <f>Underwriting!DT145</f>
        <v>72654.280648208718</v>
      </c>
      <c r="DI94" s="461">
        <f>Underwriting!DU145</f>
        <v>72803.936570647231</v>
      </c>
      <c r="DJ94" s="461">
        <f>Underwriting!DV145</f>
        <v>72953.900759782773</v>
      </c>
      <c r="DK94" s="461">
        <f>Underwriting!DW145</f>
        <v>73104.173850594278</v>
      </c>
      <c r="DL94" s="461">
        <f>Underwriting!DX145</f>
        <v>73254.756479368618</v>
      </c>
      <c r="DM94" s="461">
        <f>Underwriting!DY145</f>
        <v>73405.649283703329</v>
      </c>
      <c r="DN94" s="461">
        <f>Underwriting!DZ145</f>
        <v>73556.852902509258</v>
      </c>
      <c r="DO94" s="461">
        <f>Underwriting!EA145</f>
        <v>73708.367976013324</v>
      </c>
      <c r="DP94" s="461">
        <f>Underwriting!EB145</f>
        <v>73860.19514576123</v>
      </c>
      <c r="DQ94" s="461">
        <f>Underwriting!EC145</f>
        <v>74012.335054620125</v>
      </c>
      <c r="DR94" s="461">
        <f>Underwriting!ED145</f>
        <v>74164.788346781395</v>
      </c>
      <c r="DS94" s="461">
        <f>Underwriting!EE145</f>
        <v>74317.555667763299</v>
      </c>
      <c r="DT94" s="461">
        <f>Underwriting!EF145</f>
        <v>74470.637664413822</v>
      </c>
      <c r="DU94" s="461">
        <f>Underwriting!EG145</f>
        <v>74624.034984913291</v>
      </c>
      <c r="DV94" s="461">
        <f>Underwriting!EH145</f>
        <v>74777.748278777231</v>
      </c>
      <c r="DW94" s="461">
        <f>Underwriting!EI145</f>
        <v>74931.778196859043</v>
      </c>
      <c r="DX94" s="461">
        <f>Underwriting!EJ145</f>
        <v>75086.125391352733</v>
      </c>
      <c r="DY94" s="461">
        <f>Underwriting!EK145</f>
        <v>75240.790515795801</v>
      </c>
      <c r="DZ94" s="461">
        <f>Underwriting!EL145</f>
        <v>75395.774225071873</v>
      </c>
      <c r="EA94" s="461">
        <f>Underwriting!EM145</f>
        <v>75551.077175413549</v>
      </c>
      <c r="EB94" s="461">
        <f>Underwriting!EN145</f>
        <v>75706.70002440516</v>
      </c>
      <c r="EC94" s="461">
        <f>Underwriting!EO145</f>
        <v>75862.643430985525</v>
      </c>
      <c r="ED94" s="461">
        <f>Underwriting!EP145</f>
        <v>76018.908055450825</v>
      </c>
      <c r="EE94" s="461">
        <f>Underwriting!EQ145</f>
        <v>76175.494559457278</v>
      </c>
      <c r="EF94" s="461">
        <f>Underwriting!ER145</f>
        <v>76332.403606024061</v>
      </c>
      <c r="EG94" s="461">
        <f>Underwriting!ES145</f>
        <v>76489.635859536022</v>
      </c>
      <c r="EH94" s="461">
        <f>Underwriting!ET145</f>
        <v>76647.191985746569</v>
      </c>
      <c r="EI94" s="461">
        <f>Underwriting!EU145</f>
        <v>76805.0726517804</v>
      </c>
    </row>
    <row r="95" spans="2:139" ht="14.25" hidden="1" customHeight="1" outlineLevel="1" x14ac:dyDescent="0.25">
      <c r="B95" s="3" t="s">
        <v>154</v>
      </c>
      <c r="C95" s="3"/>
      <c r="D95" s="3"/>
      <c r="E95" s="3"/>
      <c r="F95" s="3"/>
      <c r="G95" s="460"/>
      <c r="H95" s="460">
        <f t="shared" ref="H95:BS95" si="57">SUM(H85:H94)</f>
        <v>143371.96007500001</v>
      </c>
      <c r="I95" s="460">
        <f t="shared" si="57"/>
        <v>144133.61548288463</v>
      </c>
      <c r="J95" s="460">
        <f t="shared" si="57"/>
        <v>144896.02772028846</v>
      </c>
      <c r="K95" s="460">
        <f t="shared" si="57"/>
        <v>145659.19822230769</v>
      </c>
      <c r="L95" s="460">
        <f t="shared" si="57"/>
        <v>146423.12842403847</v>
      </c>
      <c r="M95" s="460">
        <f t="shared" si="57"/>
        <v>147187.81976057694</v>
      </c>
      <c r="N95" s="460">
        <f t="shared" si="57"/>
        <v>147953.27366701921</v>
      </c>
      <c r="O95" s="460">
        <f t="shared" si="57"/>
        <v>148719.49157846154</v>
      </c>
      <c r="P95" s="460">
        <f t="shared" si="57"/>
        <v>149486.47493</v>
      </c>
      <c r="Q95" s="460">
        <f t="shared" si="57"/>
        <v>150254.22515673077</v>
      </c>
      <c r="R95" s="460">
        <f t="shared" si="57"/>
        <v>151022.74369375</v>
      </c>
      <c r="S95" s="460">
        <f t="shared" si="57"/>
        <v>151792.03197615384</v>
      </c>
      <c r="T95" s="460">
        <f t="shared" si="57"/>
        <v>152876.34436838765</v>
      </c>
      <c r="U95" s="460">
        <f t="shared" si="57"/>
        <v>153965.25553210956</v>
      </c>
      <c r="V95" s="460">
        <f t="shared" si="57"/>
        <v>155058.78285410281</v>
      </c>
      <c r="W95" s="460">
        <f t="shared" si="57"/>
        <v>156156.9437825066</v>
      </c>
      <c r="X95" s="460">
        <f t="shared" si="57"/>
        <v>157259.75582702036</v>
      </c>
      <c r="Y95" s="460">
        <f t="shared" si="57"/>
        <v>158367.23655910845</v>
      </c>
      <c r="Z95" s="460">
        <f t="shared" si="57"/>
        <v>159479.40361220573</v>
      </c>
      <c r="AA95" s="460">
        <f t="shared" si="57"/>
        <v>160596.27468192347</v>
      </c>
      <c r="AB95" s="460">
        <f t="shared" si="57"/>
        <v>161717.86752625628</v>
      </c>
      <c r="AC95" s="460">
        <f t="shared" si="57"/>
        <v>162844.19996578933</v>
      </c>
      <c r="AD95" s="460">
        <f t="shared" si="57"/>
        <v>163975.28988390672</v>
      </c>
      <c r="AE95" s="460">
        <f t="shared" si="57"/>
        <v>165111.15522699972</v>
      </c>
      <c r="AF95" s="460">
        <f t="shared" si="57"/>
        <v>166114.11066109146</v>
      </c>
      <c r="AG95" s="460">
        <f t="shared" si="57"/>
        <v>166456.27853116384</v>
      </c>
      <c r="AH95" s="460">
        <f t="shared" si="57"/>
        <v>166799.15121102537</v>
      </c>
      <c r="AI95" s="460">
        <f t="shared" si="57"/>
        <v>167142.73015246884</v>
      </c>
      <c r="AJ95" s="460">
        <f t="shared" si="57"/>
        <v>167487.01681027742</v>
      </c>
      <c r="AK95" s="460">
        <f t="shared" si="57"/>
        <v>167832.01264223101</v>
      </c>
      <c r="AL95" s="460">
        <f t="shared" si="57"/>
        <v>168177.71910911216</v>
      </c>
      <c r="AM95" s="460">
        <f t="shared" si="57"/>
        <v>168524.13767471255</v>
      </c>
      <c r="AN95" s="460">
        <f t="shared" si="57"/>
        <v>168871.26980583888</v>
      </c>
      <c r="AO95" s="460">
        <f t="shared" si="57"/>
        <v>169219.11697231935</v>
      </c>
      <c r="AP95" s="460">
        <f t="shared" si="57"/>
        <v>169567.68064700969</v>
      </c>
      <c r="AQ95" s="460">
        <f t="shared" si="57"/>
        <v>169916.9623057995</v>
      </c>
      <c r="AR95" s="460">
        <f t="shared" si="57"/>
        <v>170266.96342761847</v>
      </c>
      <c r="AS95" s="460">
        <f t="shared" si="57"/>
        <v>170617.6854944427</v>
      </c>
      <c r="AT95" s="460">
        <f t="shared" si="57"/>
        <v>170969.12999130075</v>
      </c>
      <c r="AU95" s="460">
        <f t="shared" si="57"/>
        <v>171321.29840628032</v>
      </c>
      <c r="AV95" s="460">
        <f t="shared" si="57"/>
        <v>171674.19223053413</v>
      </c>
      <c r="AW95" s="460">
        <f t="shared" si="57"/>
        <v>172027.81295828649</v>
      </c>
      <c r="AX95" s="460">
        <f t="shared" si="57"/>
        <v>172382.1620868397</v>
      </c>
      <c r="AY95" s="460">
        <f t="shared" si="57"/>
        <v>172737.24111658012</v>
      </c>
      <c r="AZ95" s="460">
        <f t="shared" si="57"/>
        <v>173093.05155098459</v>
      </c>
      <c r="BA95" s="460">
        <f t="shared" si="57"/>
        <v>173449.59489662704</v>
      </c>
      <c r="BB95" s="460">
        <f t="shared" si="57"/>
        <v>173806.87266318468</v>
      </c>
      <c r="BC95" s="460">
        <f t="shared" si="57"/>
        <v>174164.88636344421</v>
      </c>
      <c r="BD95" s="460">
        <f t="shared" si="57"/>
        <v>174523.6375133087</v>
      </c>
      <c r="BE95" s="460">
        <f t="shared" si="57"/>
        <v>174883.12763180354</v>
      </c>
      <c r="BF95" s="460">
        <f t="shared" si="57"/>
        <v>175243.35824108304</v>
      </c>
      <c r="BG95" s="460">
        <f t="shared" si="57"/>
        <v>175604.33086643706</v>
      </c>
      <c r="BH95" s="460">
        <f t="shared" si="57"/>
        <v>175966.04703629721</v>
      </c>
      <c r="BI95" s="460">
        <f t="shared" si="57"/>
        <v>176328.50828224345</v>
      </c>
      <c r="BJ95" s="460">
        <f t="shared" si="57"/>
        <v>176691.71613901047</v>
      </c>
      <c r="BK95" s="460">
        <f t="shared" si="57"/>
        <v>177055.67214449437</v>
      </c>
      <c r="BL95" s="460">
        <f t="shared" si="57"/>
        <v>177420.37783975899</v>
      </c>
      <c r="BM95" s="460">
        <f t="shared" si="57"/>
        <v>177785.8347690425</v>
      </c>
      <c r="BN95" s="460">
        <f t="shared" si="57"/>
        <v>178152.04447976407</v>
      </c>
      <c r="BO95" s="460">
        <f t="shared" si="57"/>
        <v>178519.00852253012</v>
      </c>
      <c r="BP95" s="460">
        <f t="shared" si="57"/>
        <v>178886.72845114121</v>
      </c>
      <c r="BQ95" s="460">
        <f t="shared" si="57"/>
        <v>179255.20582259836</v>
      </c>
      <c r="BR95" s="460">
        <f t="shared" si="57"/>
        <v>179624.44219710986</v>
      </c>
      <c r="BS95" s="460">
        <f t="shared" si="57"/>
        <v>179994.43913809775</v>
      </c>
      <c r="BT95" s="460">
        <f t="shared" ref="BT95:EE95" si="58">SUM(BT85:BT94)</f>
        <v>180365.19821220441</v>
      </c>
      <c r="BU95" s="460">
        <f t="shared" si="58"/>
        <v>180736.72098929927</v>
      </c>
      <c r="BV95" s="460">
        <f t="shared" si="58"/>
        <v>181109.00904248547</v>
      </c>
      <c r="BW95" s="460">
        <f t="shared" si="58"/>
        <v>181482.06394810643</v>
      </c>
      <c r="BX95" s="460">
        <f t="shared" si="58"/>
        <v>181855.88728575269</v>
      </c>
      <c r="BY95" s="460">
        <f t="shared" si="58"/>
        <v>182230.48063826832</v>
      </c>
      <c r="BZ95" s="460">
        <f t="shared" si="58"/>
        <v>182605.84559175788</v>
      </c>
      <c r="CA95" s="460">
        <f t="shared" si="58"/>
        <v>182981.98373559309</v>
      </c>
      <c r="CB95" s="460">
        <f t="shared" si="58"/>
        <v>183358.89666241943</v>
      </c>
      <c r="CC95" s="460">
        <f t="shared" si="58"/>
        <v>183736.58596816304</v>
      </c>
      <c r="CD95" s="460">
        <f t="shared" si="58"/>
        <v>184115.05325203738</v>
      </c>
      <c r="CE95" s="460">
        <f t="shared" si="58"/>
        <v>184494.30011654994</v>
      </c>
      <c r="CF95" s="460">
        <f t="shared" si="58"/>
        <v>184874.32816750923</v>
      </c>
      <c r="CG95" s="460">
        <f t="shared" si="58"/>
        <v>185255.13901403151</v>
      </c>
      <c r="CH95" s="460">
        <f t="shared" si="58"/>
        <v>185636.73426854738</v>
      </c>
      <c r="CI95" s="460">
        <f t="shared" si="58"/>
        <v>186019.11554680887</v>
      </c>
      <c r="CJ95" s="460">
        <f t="shared" si="58"/>
        <v>186402.28446789627</v>
      </c>
      <c r="CK95" s="460">
        <f t="shared" si="58"/>
        <v>186786.24265422477</v>
      </c>
      <c r="CL95" s="460">
        <f t="shared" si="58"/>
        <v>187170.99173155159</v>
      </c>
      <c r="CM95" s="460">
        <f t="shared" si="58"/>
        <v>187556.53332898268</v>
      </c>
      <c r="CN95" s="460">
        <f t="shared" si="58"/>
        <v>187942.86907897971</v>
      </c>
      <c r="CO95" s="460">
        <f t="shared" si="58"/>
        <v>188330.00061736687</v>
      </c>
      <c r="CP95" s="460">
        <f t="shared" si="58"/>
        <v>188717.92958333803</v>
      </c>
      <c r="CQ95" s="460">
        <f t="shared" si="58"/>
        <v>189106.6576194634</v>
      </c>
      <c r="CR95" s="460">
        <f t="shared" si="58"/>
        <v>189496.18637169673</v>
      </c>
      <c r="CS95" s="460">
        <f t="shared" si="58"/>
        <v>189886.51748938204</v>
      </c>
      <c r="CT95" s="460">
        <f t="shared" si="58"/>
        <v>190277.65262526076</v>
      </c>
      <c r="CU95" s="460">
        <f t="shared" si="58"/>
        <v>190669.59343547883</v>
      </c>
      <c r="CV95" s="460">
        <f t="shared" si="58"/>
        <v>191062.34157959337</v>
      </c>
      <c r="CW95" s="460">
        <f t="shared" si="58"/>
        <v>191455.89872058012</v>
      </c>
      <c r="CX95" s="460">
        <f t="shared" si="58"/>
        <v>191850.26652484009</v>
      </c>
      <c r="CY95" s="460">
        <f t="shared" si="58"/>
        <v>192245.44666220696</v>
      </c>
      <c r="CZ95" s="460">
        <f t="shared" si="58"/>
        <v>192641.44080595393</v>
      </c>
      <c r="DA95" s="460">
        <f t="shared" si="58"/>
        <v>193038.2506328008</v>
      </c>
      <c r="DB95" s="460">
        <f t="shared" si="58"/>
        <v>193435.87782292126</v>
      </c>
      <c r="DC95" s="460">
        <f t="shared" si="58"/>
        <v>193834.32405994972</v>
      </c>
      <c r="DD95" s="460">
        <f t="shared" si="58"/>
        <v>194233.5910309889</v>
      </c>
      <c r="DE95" s="460">
        <f t="shared" si="58"/>
        <v>194633.68042661628</v>
      </c>
      <c r="DF95" s="460">
        <f t="shared" si="58"/>
        <v>195034.59394089202</v>
      </c>
      <c r="DG95" s="460">
        <f t="shared" si="58"/>
        <v>195436.33327136553</v>
      </c>
      <c r="DH95" s="460">
        <f t="shared" si="58"/>
        <v>195838.90011908294</v>
      </c>
      <c r="DI95" s="460">
        <f t="shared" si="58"/>
        <v>196242.29618859437</v>
      </c>
      <c r="DJ95" s="460">
        <f t="shared" si="58"/>
        <v>196646.52318796082</v>
      </c>
      <c r="DK95" s="460">
        <f t="shared" si="58"/>
        <v>197051.58282876186</v>
      </c>
      <c r="DL95" s="460">
        <f t="shared" si="58"/>
        <v>197457.47682610247</v>
      </c>
      <c r="DM95" s="460">
        <f t="shared" si="58"/>
        <v>197864.20689862053</v>
      </c>
      <c r="DN95" s="460">
        <f t="shared" si="58"/>
        <v>198271.77476849398</v>
      </c>
      <c r="DO95" s="460">
        <f t="shared" si="58"/>
        <v>198680.18216144817</v>
      </c>
      <c r="DP95" s="460">
        <f t="shared" si="58"/>
        <v>199089.4308067633</v>
      </c>
      <c r="DQ95" s="460">
        <f t="shared" si="58"/>
        <v>199499.52243728138</v>
      </c>
      <c r="DR95" s="460">
        <f t="shared" si="58"/>
        <v>199910.45878941403</v>
      </c>
      <c r="DS95" s="460">
        <f t="shared" si="58"/>
        <v>200322.24160314939</v>
      </c>
      <c r="DT95" s="460">
        <f t="shared" si="58"/>
        <v>200734.87262205977</v>
      </c>
      <c r="DU95" s="460">
        <f t="shared" si="58"/>
        <v>201148.35359330894</v>
      </c>
      <c r="DV95" s="460">
        <f t="shared" si="58"/>
        <v>201562.68626765959</v>
      </c>
      <c r="DW95" s="460">
        <f t="shared" si="58"/>
        <v>201977.87239948066</v>
      </c>
      <c r="DX95" s="460">
        <f t="shared" si="58"/>
        <v>202393.91374675476</v>
      </c>
      <c r="DY95" s="460">
        <f t="shared" si="58"/>
        <v>202810.81207108573</v>
      </c>
      <c r="DZ95" s="460">
        <f t="shared" si="58"/>
        <v>203228.56913770604</v>
      </c>
      <c r="EA95" s="460">
        <f t="shared" si="58"/>
        <v>203647.18671548413</v>
      </c>
      <c r="EB95" s="460">
        <f t="shared" si="58"/>
        <v>204066.66657693207</v>
      </c>
      <c r="EC95" s="460">
        <f t="shared" si="58"/>
        <v>204487.01049821317</v>
      </c>
      <c r="ED95" s="460">
        <f t="shared" si="58"/>
        <v>204908.22025914915</v>
      </c>
      <c r="EE95" s="460">
        <f t="shared" si="58"/>
        <v>205330.29764322785</v>
      </c>
      <c r="EF95" s="460">
        <f t="shared" ref="EF95:EI95" si="59">SUM(EF85:EF94)</f>
        <v>205753.24443761096</v>
      </c>
      <c r="EG95" s="460">
        <f t="shared" si="59"/>
        <v>206177.06243314137</v>
      </c>
      <c r="EH95" s="460">
        <f t="shared" si="59"/>
        <v>206601.75342435081</v>
      </c>
      <c r="EI95" s="460">
        <f t="shared" si="59"/>
        <v>207027.31920946739</v>
      </c>
    </row>
    <row r="96" spans="2:139" ht="5.0999999999999996" hidden="1" customHeight="1" outlineLevel="1" x14ac:dyDescent="0.25">
      <c r="B96" s="3"/>
      <c r="C96" s="3"/>
      <c r="D96" s="3"/>
      <c r="E96" s="3"/>
      <c r="F96" s="3"/>
      <c r="G96" s="460"/>
      <c r="H96" s="460"/>
      <c r="I96" s="460"/>
      <c r="J96" s="460"/>
      <c r="K96" s="460"/>
      <c r="L96" s="460"/>
      <c r="M96" s="460"/>
      <c r="N96" s="460"/>
      <c r="O96" s="460"/>
      <c r="P96" s="460"/>
      <c r="Q96" s="460"/>
      <c r="R96" s="460"/>
      <c r="S96" s="460"/>
      <c r="T96" s="460"/>
      <c r="U96" s="460"/>
      <c r="V96" s="460"/>
      <c r="W96" s="460"/>
      <c r="X96" s="460"/>
      <c r="Y96" s="460"/>
      <c r="Z96" s="460"/>
      <c r="AA96" s="460"/>
      <c r="AB96" s="460"/>
      <c r="AC96" s="460"/>
      <c r="AD96" s="460"/>
      <c r="AE96" s="460"/>
      <c r="AF96" s="460"/>
      <c r="AG96" s="460"/>
      <c r="AH96" s="460"/>
      <c r="AI96" s="460"/>
      <c r="AJ96" s="460"/>
      <c r="AK96" s="460"/>
      <c r="AL96" s="460"/>
      <c r="AM96" s="460"/>
      <c r="AN96" s="460"/>
      <c r="AO96" s="460"/>
      <c r="AP96" s="460"/>
      <c r="AQ96" s="460"/>
      <c r="AR96" s="460"/>
      <c r="AS96" s="460"/>
      <c r="AT96" s="460"/>
      <c r="AU96" s="460"/>
      <c r="AV96" s="460"/>
      <c r="AW96" s="460"/>
      <c r="AX96" s="460"/>
      <c r="AY96" s="460"/>
      <c r="AZ96" s="460"/>
      <c r="BA96" s="460"/>
      <c r="BB96" s="460"/>
      <c r="BC96" s="460"/>
      <c r="BD96" s="460"/>
      <c r="BE96" s="460"/>
      <c r="BF96" s="460"/>
      <c r="BG96" s="460"/>
      <c r="BH96" s="460"/>
      <c r="BI96" s="460"/>
      <c r="BJ96" s="460"/>
      <c r="BK96" s="460"/>
      <c r="BL96" s="460"/>
      <c r="BM96" s="460"/>
      <c r="BN96" s="460"/>
      <c r="BO96" s="460"/>
      <c r="BP96" s="460"/>
      <c r="BQ96" s="460"/>
      <c r="BR96" s="460"/>
      <c r="BS96" s="460"/>
      <c r="BT96" s="460"/>
      <c r="BU96" s="460"/>
      <c r="BV96" s="460"/>
      <c r="BW96" s="460"/>
      <c r="BX96" s="460"/>
      <c r="BY96" s="460"/>
      <c r="BZ96" s="460"/>
      <c r="CA96" s="460"/>
      <c r="CB96" s="460"/>
      <c r="CC96" s="460"/>
      <c r="CD96" s="460"/>
      <c r="CE96" s="460"/>
      <c r="CF96" s="460"/>
      <c r="CG96" s="460"/>
      <c r="CH96" s="460"/>
      <c r="CI96" s="460"/>
      <c r="CJ96" s="460"/>
      <c r="CK96" s="460"/>
      <c r="CL96" s="460"/>
      <c r="CM96" s="460"/>
      <c r="CN96" s="460"/>
      <c r="CO96" s="460"/>
      <c r="CP96" s="460"/>
      <c r="CQ96" s="460"/>
      <c r="CR96" s="460"/>
      <c r="CS96" s="460"/>
      <c r="CT96" s="460"/>
      <c r="CU96" s="460"/>
      <c r="CV96" s="460"/>
      <c r="CW96" s="460"/>
      <c r="CX96" s="460"/>
      <c r="CY96" s="460"/>
      <c r="CZ96" s="460"/>
      <c r="DA96" s="460"/>
      <c r="DB96" s="460"/>
      <c r="DC96" s="460"/>
      <c r="DD96" s="460"/>
      <c r="DE96" s="460"/>
      <c r="DF96" s="460"/>
      <c r="DG96" s="460"/>
      <c r="DH96" s="460"/>
      <c r="DI96" s="460"/>
      <c r="DJ96" s="460"/>
      <c r="DK96" s="460"/>
      <c r="DL96" s="460"/>
      <c r="DM96" s="460"/>
      <c r="DN96" s="460"/>
      <c r="DO96" s="460"/>
      <c r="DP96" s="460"/>
      <c r="DQ96" s="460"/>
      <c r="DR96" s="460"/>
      <c r="DS96" s="460"/>
      <c r="DT96" s="460"/>
      <c r="DU96" s="460"/>
      <c r="DV96" s="460"/>
      <c r="DW96" s="460"/>
      <c r="DX96" s="460"/>
      <c r="DY96" s="460"/>
      <c r="DZ96" s="460"/>
      <c r="EA96" s="460"/>
      <c r="EB96" s="460"/>
      <c r="EC96" s="460"/>
      <c r="ED96" s="460"/>
      <c r="EE96" s="460"/>
      <c r="EF96" s="460"/>
      <c r="EG96" s="460"/>
      <c r="EH96" s="460"/>
      <c r="EI96" s="460"/>
    </row>
    <row r="97" spans="2:139" ht="14.25" hidden="1" customHeight="1" outlineLevel="1" x14ac:dyDescent="0.25">
      <c r="B97" s="3" t="s">
        <v>155</v>
      </c>
      <c r="C97" s="3"/>
      <c r="D97" s="3"/>
      <c r="E97" s="3"/>
      <c r="F97" s="3"/>
      <c r="G97" s="460"/>
      <c r="H97" s="460">
        <f t="shared" ref="H97:BS97" si="60">+H82-H95</f>
        <v>260693.37575833331</v>
      </c>
      <c r="I97" s="460">
        <f t="shared" si="60"/>
        <v>264486.90061326919</v>
      </c>
      <c r="J97" s="460">
        <f t="shared" si="60"/>
        <v>268304.89628932683</v>
      </c>
      <c r="K97" s="460">
        <f t="shared" si="60"/>
        <v>272147.40918794868</v>
      </c>
      <c r="L97" s="460">
        <f t="shared" si="60"/>
        <v>276014.48571057693</v>
      </c>
      <c r="M97" s="460">
        <f t="shared" si="60"/>
        <v>279906.17225865379</v>
      </c>
      <c r="N97" s="460">
        <f t="shared" si="60"/>
        <v>283822.51523362182</v>
      </c>
      <c r="O97" s="460">
        <f t="shared" si="60"/>
        <v>287763.56103692309</v>
      </c>
      <c r="P97" s="460">
        <f t="shared" si="60"/>
        <v>291729.35606999998</v>
      </c>
      <c r="Q97" s="460">
        <f t="shared" si="60"/>
        <v>295719.94673429488</v>
      </c>
      <c r="R97" s="460">
        <f t="shared" si="60"/>
        <v>299735.37943124998</v>
      </c>
      <c r="S97" s="460">
        <f t="shared" si="60"/>
        <v>303775.70056230773</v>
      </c>
      <c r="T97" s="460">
        <f t="shared" si="60"/>
        <v>308475.0584965116</v>
      </c>
      <c r="U97" s="460">
        <f t="shared" si="60"/>
        <v>313217.57160639425</v>
      </c>
      <c r="V97" s="460">
        <f t="shared" si="60"/>
        <v>318003.49609635747</v>
      </c>
      <c r="W97" s="460">
        <f t="shared" si="60"/>
        <v>322833.0893419499</v>
      </c>
      <c r="X97" s="460">
        <f t="shared" si="60"/>
        <v>327706.60989441851</v>
      </c>
      <c r="Y97" s="460">
        <f t="shared" si="60"/>
        <v>332624.31748527603</v>
      </c>
      <c r="Z97" s="460">
        <f t="shared" si="60"/>
        <v>337586.47303088324</v>
      </c>
      <c r="AA97" s="460">
        <f t="shared" si="60"/>
        <v>342593.33863704838</v>
      </c>
      <c r="AB97" s="460">
        <f t="shared" si="60"/>
        <v>347645.17760364211</v>
      </c>
      <c r="AC97" s="460">
        <f t="shared" si="60"/>
        <v>352742.2544292282</v>
      </c>
      <c r="AD97" s="460">
        <f t="shared" si="60"/>
        <v>357884.83481571113</v>
      </c>
      <c r="AE97" s="460">
        <f t="shared" si="60"/>
        <v>363073.18567299953</v>
      </c>
      <c r="AF97" s="460">
        <f t="shared" si="60"/>
        <v>385253.31976810604</v>
      </c>
      <c r="AG97" s="460">
        <f t="shared" si="60"/>
        <v>386046.87852924189</v>
      </c>
      <c r="AH97" s="460">
        <f t="shared" si="60"/>
        <v>386842.0718914959</v>
      </c>
      <c r="AI97" s="460">
        <f t="shared" si="60"/>
        <v>387638.9032218791</v>
      </c>
      <c r="AJ97" s="460">
        <f t="shared" si="60"/>
        <v>388437.3758943376</v>
      </c>
      <c r="AK97" s="460">
        <f t="shared" si="60"/>
        <v>389237.49328976736</v>
      </c>
      <c r="AL97" s="460">
        <f t="shared" si="60"/>
        <v>390039.25879602833</v>
      </c>
      <c r="AM97" s="460">
        <f t="shared" si="60"/>
        <v>390842.67580795882</v>
      </c>
      <c r="AN97" s="460">
        <f t="shared" si="60"/>
        <v>391647.74772739044</v>
      </c>
      <c r="AO97" s="460">
        <f t="shared" si="60"/>
        <v>392454.47796316165</v>
      </c>
      <c r="AP97" s="460">
        <f t="shared" si="60"/>
        <v>393262.86993113224</v>
      </c>
      <c r="AQ97" s="460">
        <f t="shared" si="60"/>
        <v>394072.92705419892</v>
      </c>
      <c r="AR97" s="460">
        <f t="shared" si="60"/>
        <v>394884.65276230813</v>
      </c>
      <c r="AS97" s="460">
        <f t="shared" si="60"/>
        <v>395698.05049247236</v>
      </c>
      <c r="AT97" s="460">
        <f t="shared" si="60"/>
        <v>396513.12368878291</v>
      </c>
      <c r="AU97" s="460">
        <f t="shared" si="60"/>
        <v>397329.87580242555</v>
      </c>
      <c r="AV97" s="460">
        <f t="shared" si="60"/>
        <v>398148.31029169541</v>
      </c>
      <c r="AW97" s="460">
        <f t="shared" si="60"/>
        <v>398968.43062201096</v>
      </c>
      <c r="AX97" s="460">
        <f t="shared" si="60"/>
        <v>399790.24026592844</v>
      </c>
      <c r="AY97" s="460">
        <f t="shared" si="60"/>
        <v>400613.74270315724</v>
      </c>
      <c r="AZ97" s="460">
        <f t="shared" si="60"/>
        <v>401438.94142057467</v>
      </c>
      <c r="BA97" s="460">
        <f t="shared" si="60"/>
        <v>402265.83991224016</v>
      </c>
      <c r="BB97" s="460">
        <f t="shared" si="60"/>
        <v>403094.44167941017</v>
      </c>
      <c r="BC97" s="460">
        <f t="shared" si="60"/>
        <v>403924.75023055339</v>
      </c>
      <c r="BD97" s="460">
        <f t="shared" si="60"/>
        <v>404756.76908136543</v>
      </c>
      <c r="BE97" s="460">
        <f t="shared" si="60"/>
        <v>405590.50175478368</v>
      </c>
      <c r="BF97" s="460">
        <f t="shared" si="60"/>
        <v>406425.95178100158</v>
      </c>
      <c r="BG97" s="460">
        <f t="shared" si="60"/>
        <v>407263.12269748561</v>
      </c>
      <c r="BH97" s="460">
        <f t="shared" si="60"/>
        <v>408102.01804898732</v>
      </c>
      <c r="BI97" s="460">
        <f t="shared" si="60"/>
        <v>408942.6413875607</v>
      </c>
      <c r="BJ97" s="460">
        <f t="shared" si="60"/>
        <v>409784.99627257604</v>
      </c>
      <c r="BK97" s="460">
        <f t="shared" si="60"/>
        <v>410629.08627073572</v>
      </c>
      <c r="BL97" s="460">
        <f t="shared" si="60"/>
        <v>411474.91495608864</v>
      </c>
      <c r="BM97" s="460">
        <f t="shared" si="60"/>
        <v>412322.48591004562</v>
      </c>
      <c r="BN97" s="460">
        <f t="shared" si="60"/>
        <v>413171.80272139469</v>
      </c>
      <c r="BO97" s="460">
        <f t="shared" si="60"/>
        <v>414022.86898631661</v>
      </c>
      <c r="BP97" s="460">
        <f t="shared" si="60"/>
        <v>414875.688308399</v>
      </c>
      <c r="BQ97" s="460">
        <f t="shared" si="60"/>
        <v>415730.26429865271</v>
      </c>
      <c r="BR97" s="460">
        <f t="shared" si="60"/>
        <v>416586.60057552619</v>
      </c>
      <c r="BS97" s="460">
        <f t="shared" si="60"/>
        <v>417444.70076492213</v>
      </c>
      <c r="BT97" s="460">
        <f t="shared" ref="BT97:EE97" si="61">+BT82-BT95</f>
        <v>418304.56850021158</v>
      </c>
      <c r="BU97" s="460">
        <f t="shared" si="61"/>
        <v>419166.20742224902</v>
      </c>
      <c r="BV97" s="460">
        <f t="shared" si="61"/>
        <v>420029.62117939</v>
      </c>
      <c r="BW97" s="460">
        <f t="shared" si="61"/>
        <v>420894.81342750351</v>
      </c>
      <c r="BX97" s="460">
        <f t="shared" si="61"/>
        <v>421761.78782999027</v>
      </c>
      <c r="BY97" s="460">
        <f t="shared" si="61"/>
        <v>422630.54805779608</v>
      </c>
      <c r="BZ97" s="460">
        <f t="shared" si="61"/>
        <v>423501.09778942913</v>
      </c>
      <c r="CA97" s="460">
        <f t="shared" si="61"/>
        <v>424373.44071097398</v>
      </c>
      <c r="CB97" s="460">
        <f t="shared" si="61"/>
        <v>425247.58051610843</v>
      </c>
      <c r="CC97" s="460">
        <f t="shared" si="61"/>
        <v>426123.52090611827</v>
      </c>
      <c r="CD97" s="460">
        <f t="shared" si="61"/>
        <v>427001.26558991382</v>
      </c>
      <c r="CE97" s="460">
        <f t="shared" si="61"/>
        <v>427880.81828404474</v>
      </c>
      <c r="CF97" s="460">
        <f t="shared" si="61"/>
        <v>428762.18271271623</v>
      </c>
      <c r="CG97" s="460">
        <f t="shared" si="61"/>
        <v>429645.36260780483</v>
      </c>
      <c r="CH97" s="460">
        <f t="shared" si="61"/>
        <v>430530.361708874</v>
      </c>
      <c r="CI97" s="460">
        <f t="shared" si="61"/>
        <v>431417.18376319058</v>
      </c>
      <c r="CJ97" s="460">
        <f t="shared" si="61"/>
        <v>432305.83252573939</v>
      </c>
      <c r="CK97" s="460">
        <f t="shared" si="61"/>
        <v>433196.31175924034</v>
      </c>
      <c r="CL97" s="460">
        <f t="shared" si="61"/>
        <v>434088.62523416406</v>
      </c>
      <c r="CM97" s="460">
        <f t="shared" si="61"/>
        <v>434982.77672874776</v>
      </c>
      <c r="CN97" s="460">
        <f t="shared" si="61"/>
        <v>435878.77002901037</v>
      </c>
      <c r="CO97" s="460">
        <f t="shared" si="61"/>
        <v>436776.60892877053</v>
      </c>
      <c r="CP97" s="460">
        <f t="shared" si="61"/>
        <v>437676.29722966097</v>
      </c>
      <c r="CQ97" s="460">
        <f t="shared" si="61"/>
        <v>438577.83874114533</v>
      </c>
      <c r="CR97" s="460">
        <f t="shared" si="61"/>
        <v>439481.23728053342</v>
      </c>
      <c r="CS97" s="460">
        <f t="shared" si="61"/>
        <v>440386.49667299911</v>
      </c>
      <c r="CT97" s="460">
        <f t="shared" si="61"/>
        <v>441293.62075159524</v>
      </c>
      <c r="CU97" s="460">
        <f t="shared" si="61"/>
        <v>442202.61335726967</v>
      </c>
      <c r="CV97" s="460">
        <f t="shared" si="61"/>
        <v>443113.47833888221</v>
      </c>
      <c r="CW97" s="460">
        <f t="shared" si="61"/>
        <v>444026.21955322067</v>
      </c>
      <c r="CX97" s="460">
        <f t="shared" si="61"/>
        <v>444940.84086501767</v>
      </c>
      <c r="CY97" s="460">
        <f t="shared" si="61"/>
        <v>445857.34614696581</v>
      </c>
      <c r="CZ97" s="460">
        <f t="shared" si="61"/>
        <v>446775.73927973502</v>
      </c>
      <c r="DA97" s="460">
        <f t="shared" si="61"/>
        <v>447696.02415198943</v>
      </c>
      <c r="DB97" s="460">
        <f t="shared" si="61"/>
        <v>448618.20466040203</v>
      </c>
      <c r="DC97" s="460">
        <f t="shared" si="61"/>
        <v>449542.28470967337</v>
      </c>
      <c r="DD97" s="460">
        <f t="shared" si="61"/>
        <v>450468.2682125463</v>
      </c>
      <c r="DE97" s="460">
        <f t="shared" si="61"/>
        <v>451396.15908982366</v>
      </c>
      <c r="DF97" s="460">
        <f t="shared" si="61"/>
        <v>452325.96127038449</v>
      </c>
      <c r="DG97" s="460">
        <f t="shared" si="61"/>
        <v>453257.6786912008</v>
      </c>
      <c r="DH97" s="460">
        <f t="shared" si="61"/>
        <v>454191.31529735361</v>
      </c>
      <c r="DI97" s="460">
        <f t="shared" si="61"/>
        <v>455126.87504205079</v>
      </c>
      <c r="DJ97" s="460">
        <f t="shared" si="61"/>
        <v>456064.36188664264</v>
      </c>
      <c r="DK97" s="460">
        <f t="shared" si="61"/>
        <v>457003.77980063949</v>
      </c>
      <c r="DL97" s="460">
        <f t="shared" si="61"/>
        <v>457945.13276172779</v>
      </c>
      <c r="DM97" s="460">
        <f t="shared" si="61"/>
        <v>458888.42475578858</v>
      </c>
      <c r="DN97" s="460">
        <f t="shared" si="61"/>
        <v>459833.65977691161</v>
      </c>
      <c r="DO97" s="460">
        <f t="shared" si="61"/>
        <v>460780.84182741446</v>
      </c>
      <c r="DP97" s="460">
        <f t="shared" si="61"/>
        <v>461729.97491785913</v>
      </c>
      <c r="DQ97" s="460">
        <f t="shared" si="61"/>
        <v>462681.06306706864</v>
      </c>
      <c r="DR97" s="460">
        <f t="shared" si="61"/>
        <v>463634.11030214361</v>
      </c>
      <c r="DS97" s="460">
        <f t="shared" si="61"/>
        <v>464589.12065848004</v>
      </c>
      <c r="DT97" s="460">
        <f t="shared" si="61"/>
        <v>465546.09817978693</v>
      </c>
      <c r="DU97" s="460">
        <f t="shared" si="61"/>
        <v>466505.04691810138</v>
      </c>
      <c r="DV97" s="460">
        <f t="shared" si="61"/>
        <v>467465.97093380796</v>
      </c>
      <c r="DW97" s="460">
        <f t="shared" si="61"/>
        <v>468428.87429565471</v>
      </c>
      <c r="DX97" s="460">
        <f t="shared" si="61"/>
        <v>469393.76108077052</v>
      </c>
      <c r="DY97" s="460">
        <f t="shared" si="61"/>
        <v>470360.63537468266</v>
      </c>
      <c r="DZ97" s="460">
        <f t="shared" si="61"/>
        <v>471329.50127133355</v>
      </c>
      <c r="EA97" s="460">
        <f t="shared" si="61"/>
        <v>472300.36287309928</v>
      </c>
      <c r="EB97" s="460">
        <f t="shared" si="61"/>
        <v>473273.22429080517</v>
      </c>
      <c r="EC97" s="460">
        <f t="shared" si="61"/>
        <v>474248.08964374469</v>
      </c>
      <c r="ED97" s="460">
        <f t="shared" si="61"/>
        <v>475224.96305969654</v>
      </c>
      <c r="EE97" s="460">
        <f t="shared" si="61"/>
        <v>476203.84867494169</v>
      </c>
      <c r="EF97" s="460">
        <f t="shared" ref="EF97:EI97" si="62">+EF82-EF95</f>
        <v>477184.75063428096</v>
      </c>
      <c r="EG97" s="460">
        <f t="shared" si="62"/>
        <v>478167.67309105326</v>
      </c>
      <c r="EH97" s="460">
        <f t="shared" si="62"/>
        <v>479152.6202071525</v>
      </c>
      <c r="EI97" s="460">
        <f t="shared" si="62"/>
        <v>480139.59615304542</v>
      </c>
    </row>
    <row r="98" spans="2:139" ht="5.0999999999999996" hidden="1" customHeight="1" outlineLevel="1" x14ac:dyDescent="0.25">
      <c r="B98" s="3"/>
      <c r="C98" s="3"/>
      <c r="D98" s="3"/>
      <c r="E98" s="3"/>
      <c r="F98" s="3"/>
      <c r="G98" s="460"/>
      <c r="H98" s="460"/>
      <c r="I98" s="460"/>
      <c r="J98" s="460"/>
      <c r="K98" s="460"/>
      <c r="L98" s="460"/>
      <c r="M98" s="460"/>
      <c r="N98" s="460"/>
      <c r="O98" s="460"/>
      <c r="P98" s="460"/>
      <c r="Q98" s="460"/>
      <c r="R98" s="460"/>
      <c r="S98" s="460"/>
      <c r="T98" s="460"/>
      <c r="U98" s="460"/>
      <c r="V98" s="460"/>
      <c r="W98" s="460"/>
      <c r="X98" s="460"/>
      <c r="Y98" s="460"/>
      <c r="Z98" s="460"/>
      <c r="AA98" s="460"/>
      <c r="AB98" s="460"/>
      <c r="AC98" s="460"/>
      <c r="AD98" s="460"/>
      <c r="AE98" s="460"/>
      <c r="AF98" s="460"/>
      <c r="AG98" s="460"/>
      <c r="AH98" s="460"/>
      <c r="AI98" s="460"/>
      <c r="AJ98" s="460"/>
      <c r="AK98" s="460"/>
      <c r="AL98" s="460"/>
      <c r="AM98" s="460"/>
      <c r="AN98" s="460"/>
      <c r="AO98" s="460"/>
      <c r="AP98" s="460"/>
      <c r="AQ98" s="460"/>
      <c r="AR98" s="460"/>
      <c r="AS98" s="460"/>
      <c r="AT98" s="460"/>
      <c r="AU98" s="460"/>
      <c r="AV98" s="460"/>
      <c r="AW98" s="460"/>
      <c r="AX98" s="460"/>
      <c r="AY98" s="460"/>
      <c r="AZ98" s="460"/>
      <c r="BA98" s="460"/>
      <c r="BB98" s="460"/>
      <c r="BC98" s="460"/>
      <c r="BD98" s="460"/>
      <c r="BE98" s="460"/>
      <c r="BF98" s="460"/>
      <c r="BG98" s="460"/>
      <c r="BH98" s="460"/>
      <c r="BI98" s="460"/>
      <c r="BJ98" s="460"/>
      <c r="BK98" s="460"/>
      <c r="BL98" s="460"/>
      <c r="BM98" s="460"/>
      <c r="BN98" s="460"/>
      <c r="BO98" s="460"/>
      <c r="BP98" s="460"/>
      <c r="BQ98" s="460"/>
      <c r="BR98" s="460"/>
      <c r="BS98" s="460"/>
      <c r="BT98" s="460"/>
      <c r="BU98" s="460"/>
      <c r="BV98" s="460"/>
      <c r="BW98" s="460"/>
      <c r="BX98" s="460"/>
      <c r="BY98" s="460"/>
      <c r="BZ98" s="460"/>
      <c r="CA98" s="460"/>
      <c r="CB98" s="460"/>
      <c r="CC98" s="460"/>
      <c r="CD98" s="460"/>
      <c r="CE98" s="460"/>
      <c r="CF98" s="460"/>
      <c r="CG98" s="460"/>
      <c r="CH98" s="460"/>
      <c r="CI98" s="460"/>
      <c r="CJ98" s="460"/>
      <c r="CK98" s="460"/>
      <c r="CL98" s="460"/>
      <c r="CM98" s="460"/>
      <c r="CN98" s="460"/>
      <c r="CO98" s="460"/>
      <c r="CP98" s="460"/>
      <c r="CQ98" s="460"/>
      <c r="CR98" s="460"/>
      <c r="CS98" s="460"/>
      <c r="CT98" s="460"/>
      <c r="CU98" s="460"/>
      <c r="CV98" s="460"/>
      <c r="CW98" s="460"/>
      <c r="CX98" s="460"/>
      <c r="CY98" s="460"/>
      <c r="CZ98" s="460"/>
      <c r="DA98" s="460"/>
      <c r="DB98" s="460"/>
      <c r="DC98" s="460"/>
      <c r="DD98" s="460"/>
      <c r="DE98" s="460"/>
      <c r="DF98" s="460"/>
      <c r="DG98" s="460"/>
      <c r="DH98" s="460"/>
      <c r="DI98" s="460"/>
      <c r="DJ98" s="460"/>
      <c r="DK98" s="460"/>
      <c r="DL98" s="460"/>
      <c r="DM98" s="460"/>
      <c r="DN98" s="460"/>
      <c r="DO98" s="460"/>
      <c r="DP98" s="460"/>
      <c r="DQ98" s="460"/>
      <c r="DR98" s="460"/>
      <c r="DS98" s="460"/>
      <c r="DT98" s="460"/>
      <c r="DU98" s="460"/>
      <c r="DV98" s="460"/>
      <c r="DW98" s="460"/>
      <c r="DX98" s="460"/>
      <c r="DY98" s="460"/>
      <c r="DZ98" s="460"/>
      <c r="EA98" s="460"/>
      <c r="EB98" s="460"/>
      <c r="EC98" s="460"/>
      <c r="ED98" s="460"/>
      <c r="EE98" s="460"/>
      <c r="EF98" s="460"/>
      <c r="EG98" s="460"/>
      <c r="EH98" s="460"/>
      <c r="EI98" s="460"/>
    </row>
    <row r="99" spans="2:139" ht="14.25" hidden="1" customHeight="1" outlineLevel="1" x14ac:dyDescent="0.25">
      <c r="B99" s="3" t="s">
        <v>156</v>
      </c>
      <c r="C99" s="3"/>
      <c r="D99" s="3"/>
      <c r="E99" s="3"/>
      <c r="F99" s="3"/>
      <c r="G99" s="460"/>
      <c r="H99" s="460">
        <f>Underwriting!T152</f>
        <v>5000.0000000000009</v>
      </c>
      <c r="I99" s="460">
        <f>Underwriting!U152</f>
        <v>4999.9999999999991</v>
      </c>
      <c r="J99" s="460">
        <f>Underwriting!V152</f>
        <v>5000</v>
      </c>
      <c r="K99" s="460">
        <f>Underwriting!W152</f>
        <v>5000</v>
      </c>
      <c r="L99" s="460">
        <f>Underwriting!X152</f>
        <v>5000</v>
      </c>
      <c r="M99" s="460">
        <f>Underwriting!Y152</f>
        <v>5000</v>
      </c>
      <c r="N99" s="460">
        <f>Underwriting!Z152</f>
        <v>5000</v>
      </c>
      <c r="O99" s="460">
        <f>Underwriting!AA152</f>
        <v>5000</v>
      </c>
      <c r="P99" s="460">
        <f>Underwriting!AB152</f>
        <v>5000</v>
      </c>
      <c r="Q99" s="460">
        <f>Underwriting!AC152</f>
        <v>5000</v>
      </c>
      <c r="R99" s="460">
        <f>Underwriting!AD152</f>
        <v>5000</v>
      </c>
      <c r="S99" s="460">
        <f>Underwriting!AE152</f>
        <v>5000</v>
      </c>
      <c r="T99" s="460">
        <f>Underwriting!AF152</f>
        <v>5010.2991813492145</v>
      </c>
      <c r="U99" s="460">
        <f>Underwriting!AG152</f>
        <v>5020.6195773257205</v>
      </c>
      <c r="V99" s="460">
        <f>Underwriting!AH152</f>
        <v>5030.9612316281791</v>
      </c>
      <c r="W99" s="460">
        <f>Underwriting!AI152</f>
        <v>5041.3241880452588</v>
      </c>
      <c r="X99" s="460">
        <f>Underwriting!AJ152</f>
        <v>5051.7084904558305</v>
      </c>
      <c r="Y99" s="460">
        <f>Underwriting!AK152</f>
        <v>5062.1141828291429</v>
      </c>
      <c r="Z99" s="460">
        <f>Underwriting!AL152</f>
        <v>5072.5413092250201</v>
      </c>
      <c r="AA99" s="460">
        <f>Underwriting!AM152</f>
        <v>5082.9899137940374</v>
      </c>
      <c r="AB99" s="460">
        <f>Underwriting!AN152</f>
        <v>5093.4600407777152</v>
      </c>
      <c r="AC99" s="460">
        <f>Underwriting!AO152</f>
        <v>5103.9517345087042</v>
      </c>
      <c r="AD99" s="460">
        <f>Underwriting!AP152</f>
        <v>5114.4650394109713</v>
      </c>
      <c r="AE99" s="460">
        <f>Underwriting!AQ152</f>
        <v>5124.9999999999927</v>
      </c>
      <c r="AF99" s="460">
        <f>Underwriting!AR152</f>
        <v>5135.5566608829367</v>
      </c>
      <c r="AG99" s="460">
        <f>Underwriting!AS152</f>
        <v>5146.1350667588567</v>
      </c>
      <c r="AH99" s="460">
        <f>Underwriting!AT152</f>
        <v>5156.7352624188761</v>
      </c>
      <c r="AI99" s="460">
        <f>Underwriting!AU152</f>
        <v>5167.3572927463829</v>
      </c>
      <c r="AJ99" s="460">
        <f>Underwriting!AV152</f>
        <v>5178.0012027172188</v>
      </c>
      <c r="AK99" s="460">
        <f>Underwriting!AW152</f>
        <v>5188.667037399865</v>
      </c>
      <c r="AL99" s="460">
        <f>Underwriting!AX152</f>
        <v>5199.3548419556382</v>
      </c>
      <c r="AM99" s="460">
        <f>Underwriting!AY152</f>
        <v>5210.0646616388813</v>
      </c>
      <c r="AN99" s="460">
        <f>Underwriting!AZ152</f>
        <v>5220.7965417971509</v>
      </c>
      <c r="AO99" s="460">
        <f>Underwriting!BA152</f>
        <v>5231.5505278714145</v>
      </c>
      <c r="AP99" s="460">
        <f>Underwriting!BB152</f>
        <v>5242.3266653962392</v>
      </c>
      <c r="AQ99" s="460">
        <f>Underwriting!BC152</f>
        <v>5253.1249999999864</v>
      </c>
      <c r="AR99" s="460">
        <f>Underwriting!BD152</f>
        <v>5263.945577405003</v>
      </c>
      <c r="AS99" s="460">
        <f>Underwriting!BE152</f>
        <v>5274.7884434278203</v>
      </c>
      <c r="AT99" s="460">
        <f>Underwriting!BF152</f>
        <v>5285.6536439793399</v>
      </c>
      <c r="AU99" s="460">
        <f>Underwriting!BG152</f>
        <v>5296.5412250650352</v>
      </c>
      <c r="AV99" s="460">
        <f>Underwriting!BH152</f>
        <v>5307.4512327851417</v>
      </c>
      <c r="AW99" s="460">
        <f>Underwriting!BI152</f>
        <v>5318.3837133348543</v>
      </c>
      <c r="AX99" s="460">
        <f>Underwriting!BJ152</f>
        <v>5329.3387130045221</v>
      </c>
      <c r="AY99" s="460">
        <f>Underwriting!BK152</f>
        <v>5340.3162781798455</v>
      </c>
      <c r="AZ99" s="460">
        <f>Underwriting!BL152</f>
        <v>5351.316455342072</v>
      </c>
      <c r="BA99" s="460">
        <f>Underwriting!BM152</f>
        <v>5362.3392910681923</v>
      </c>
      <c r="BB99" s="460">
        <f>Underwriting!BN152</f>
        <v>5373.3848320311372</v>
      </c>
      <c r="BC99" s="460">
        <f>Underwriting!BO152</f>
        <v>5384.4531249999782</v>
      </c>
      <c r="BD99" s="460">
        <f>Underwriting!BP152</f>
        <v>5395.5442168401214</v>
      </c>
      <c r="BE99" s="460">
        <f>Underwriting!BQ152</f>
        <v>5406.6581545135086</v>
      </c>
      <c r="BF99" s="460">
        <f>Underwriting!BR152</f>
        <v>5417.7949850788164</v>
      </c>
      <c r="BG99" s="460">
        <f>Underwriting!BS152</f>
        <v>5428.9547556916541</v>
      </c>
      <c r="BH99" s="460">
        <f>Underwriting!BT152</f>
        <v>5440.1375136047627</v>
      </c>
      <c r="BI99" s="460">
        <f>Underwriting!BU152</f>
        <v>5451.3433061682181</v>
      </c>
      <c r="BJ99" s="460">
        <f>Underwriting!BV152</f>
        <v>5462.5721808296285</v>
      </c>
      <c r="BK99" s="460">
        <f>Underwriting!BW152</f>
        <v>5473.8241851343346</v>
      </c>
      <c r="BL99" s="460">
        <f>Underwriting!BX152</f>
        <v>5485.0993667256162</v>
      </c>
      <c r="BM99" s="460">
        <f>Underwriting!BY152</f>
        <v>5496.3977733448892</v>
      </c>
      <c r="BN99" s="460">
        <f>Underwriting!BZ152</f>
        <v>5507.7194528319087</v>
      </c>
      <c r="BO99" s="460">
        <f>Underwriting!CA152</f>
        <v>5519.06445312497</v>
      </c>
      <c r="BP99" s="460">
        <f>Underwriting!CB152</f>
        <v>5530.4328222611157</v>
      </c>
      <c r="BQ99" s="460">
        <f>Underwriting!CC152</f>
        <v>5541.8246083763379</v>
      </c>
      <c r="BR99" s="460">
        <f>Underwriting!CD152</f>
        <v>5553.2398597057791</v>
      </c>
      <c r="BS99" s="460">
        <f>Underwriting!CE152</f>
        <v>5564.6786245839367</v>
      </c>
      <c r="BT99" s="460">
        <f>Underwriting!CF152</f>
        <v>5576.1409514448742</v>
      </c>
      <c r="BU99" s="460">
        <f>Underwriting!CG152</f>
        <v>5587.6268888224149</v>
      </c>
      <c r="BV99" s="460">
        <f>Underwriting!CH152</f>
        <v>5599.136485350361</v>
      </c>
      <c r="BW99" s="460">
        <f>Underwriting!CI152</f>
        <v>5610.6697897626846</v>
      </c>
      <c r="BX99" s="460">
        <f>Underwriting!CJ152</f>
        <v>5622.2268508937495</v>
      </c>
      <c r="BY99" s="460">
        <f>Underwriting!CK152</f>
        <v>5633.8077176785046</v>
      </c>
      <c r="BZ99" s="460">
        <f>Underwriting!CL152</f>
        <v>5645.4124391526975</v>
      </c>
      <c r="CA99" s="460">
        <f>Underwriting!CM152</f>
        <v>5657.0410644530857</v>
      </c>
      <c r="CB99" s="460">
        <f>Underwriting!CN152</f>
        <v>5668.6936428176368</v>
      </c>
      <c r="CC99" s="460">
        <f>Underwriting!CO152</f>
        <v>5680.3702235857381</v>
      </c>
      <c r="CD99" s="460">
        <f>Underwriting!CP152</f>
        <v>5692.0708561984147</v>
      </c>
      <c r="CE99" s="460">
        <f>Underwriting!CQ152</f>
        <v>5703.795590198527</v>
      </c>
      <c r="CF99" s="460">
        <f>Underwriting!CR152</f>
        <v>5715.5444752309877</v>
      </c>
      <c r="CG99" s="460">
        <f>Underwriting!CS152</f>
        <v>5727.3175610429671</v>
      </c>
      <c r="CH99" s="460">
        <f>Underwriting!CT152</f>
        <v>5739.1148974841099</v>
      </c>
      <c r="CI99" s="460">
        <f>Underwriting!CU152</f>
        <v>5750.9365345067426</v>
      </c>
      <c r="CJ99" s="460">
        <f>Underwriting!CV152</f>
        <v>5762.7825221660833</v>
      </c>
      <c r="CK99" s="460">
        <f>Underwriting!CW152</f>
        <v>5774.6529106204571</v>
      </c>
      <c r="CL99" s="460">
        <f>Underwriting!CX152</f>
        <v>5786.5477501315063</v>
      </c>
      <c r="CM99" s="460">
        <f>Underwriting!CY152</f>
        <v>5798.4670910644027</v>
      </c>
      <c r="CN99" s="460">
        <f>Underwriting!CZ152</f>
        <v>5810.4109838880677</v>
      </c>
      <c r="CO99" s="460">
        <f>Underwriting!DA152</f>
        <v>5822.3794791753726</v>
      </c>
      <c r="CP99" s="460">
        <f>Underwriting!DB152</f>
        <v>5834.3726276033667</v>
      </c>
      <c r="CQ99" s="460">
        <f>Underwriting!DC152</f>
        <v>5846.3904799534821</v>
      </c>
      <c r="CR99" s="460">
        <f>Underwriting!DD152</f>
        <v>5858.4330871117527</v>
      </c>
      <c r="CS99" s="460">
        <f>Underwriting!DE152</f>
        <v>5870.5005000690326</v>
      </c>
      <c r="CT99" s="460">
        <f>Underwriting!DF152</f>
        <v>5882.5927699212052</v>
      </c>
      <c r="CU99" s="460">
        <f>Underwriting!DG152</f>
        <v>5894.7099478694035</v>
      </c>
      <c r="CV99" s="460">
        <f>Underwriting!DH152</f>
        <v>5906.8520852202273</v>
      </c>
      <c r="CW99" s="460">
        <f>Underwriting!DI152</f>
        <v>5919.0192333859604</v>
      </c>
      <c r="CX99" s="460">
        <f>Underwriting!DJ152</f>
        <v>5931.2114438847857</v>
      </c>
      <c r="CY99" s="460">
        <f>Underwriting!DK152</f>
        <v>5943.4287683410066</v>
      </c>
      <c r="CZ99" s="460">
        <f>Underwriting!DL152</f>
        <v>5955.6712584852621</v>
      </c>
      <c r="DA99" s="460">
        <f>Underwriting!DM152</f>
        <v>5967.9389661547502</v>
      </c>
      <c r="DB99" s="460">
        <f>Underwriting!DN152</f>
        <v>5980.2319432934428</v>
      </c>
      <c r="DC99" s="460">
        <f>Underwriting!DO152</f>
        <v>5992.5502419523109</v>
      </c>
      <c r="DD99" s="460">
        <f>Underwriting!DP152</f>
        <v>6004.8939142895397</v>
      </c>
      <c r="DE99" s="460">
        <f>Underwriting!DQ152</f>
        <v>6017.263012570751</v>
      </c>
      <c r="DF99" s="460">
        <f>Underwriting!DR152</f>
        <v>6029.6575891692273</v>
      </c>
      <c r="DG99" s="460">
        <f>Underwriting!DS152</f>
        <v>6042.0776965661307</v>
      </c>
      <c r="DH99" s="460">
        <f>Underwriting!DT152</f>
        <v>6054.523387350725</v>
      </c>
      <c r="DI99" s="460">
        <f>Underwriting!DU152</f>
        <v>6066.9947142206011</v>
      </c>
      <c r="DJ99" s="460">
        <f>Underwriting!DV152</f>
        <v>6079.4917299818962</v>
      </c>
      <c r="DK99" s="460">
        <f>Underwriting!DW152</f>
        <v>6092.0144875495216</v>
      </c>
      <c r="DL99" s="460">
        <f>Underwriting!DX152</f>
        <v>6104.5630399473848</v>
      </c>
      <c r="DM99" s="460">
        <f>Underwriting!DY152</f>
        <v>6117.1374403086093</v>
      </c>
      <c r="DN99" s="460">
        <f>Underwriting!DZ152</f>
        <v>6129.7377418757706</v>
      </c>
      <c r="DO99" s="460">
        <f>Underwriting!EA152</f>
        <v>6142.3639980011094</v>
      </c>
      <c r="DP99" s="460">
        <f>Underwriting!EB152</f>
        <v>6155.016262146768</v>
      </c>
      <c r="DQ99" s="460">
        <f>Underwriting!EC152</f>
        <v>6167.6945878850102</v>
      </c>
      <c r="DR99" s="460">
        <f>Underwriting!ED152</f>
        <v>6180.3990288984487</v>
      </c>
      <c r="DS99" s="460">
        <f>Underwriting!EE152</f>
        <v>6193.1296389802746</v>
      </c>
      <c r="DT99" s="460">
        <f>Underwriting!EF152</f>
        <v>6205.8864720344836</v>
      </c>
      <c r="DU99" s="460">
        <f>Underwriting!EG152</f>
        <v>6218.6695820761079</v>
      </c>
      <c r="DV99" s="460">
        <f>Underwriting!EH152</f>
        <v>6231.4790232314363</v>
      </c>
      <c r="DW99" s="460">
        <f>Underwriting!EI152</f>
        <v>6244.3148497382526</v>
      </c>
      <c r="DX99" s="460">
        <f>Underwriting!EJ152</f>
        <v>6257.1771159460613</v>
      </c>
      <c r="DY99" s="460">
        <f>Underwriting!EK152</f>
        <v>6270.0658763163165</v>
      </c>
      <c r="DZ99" s="460">
        <f>Underwriting!EL152</f>
        <v>6282.9811854226564</v>
      </c>
      <c r="EA99" s="460">
        <f>Underwriting!EM152</f>
        <v>6295.9230979511294</v>
      </c>
      <c r="EB99" s="460">
        <f>Underwriting!EN152</f>
        <v>6308.8916687004303</v>
      </c>
      <c r="EC99" s="460">
        <f>Underwriting!EO152</f>
        <v>6321.8869525821274</v>
      </c>
      <c r="ED99" s="460">
        <f>Underwriting!EP152</f>
        <v>6334.9090046209021</v>
      </c>
      <c r="EE99" s="460">
        <f>Underwriting!EQ152</f>
        <v>6347.9578799547744</v>
      </c>
      <c r="EF99" s="460">
        <f>Underwriting!ER152</f>
        <v>6361.0336338353382</v>
      </c>
      <c r="EG99" s="460">
        <f>Underwriting!ES152</f>
        <v>6374.1363216280015</v>
      </c>
      <c r="EH99" s="460">
        <f>Underwriting!ET152</f>
        <v>6387.2659988122141</v>
      </c>
      <c r="EI99" s="460">
        <f>Underwriting!EU152</f>
        <v>6400.4227209817</v>
      </c>
    </row>
    <row r="100" spans="2:139" ht="5.0999999999999996" hidden="1" customHeight="1" outlineLevel="1" x14ac:dyDescent="0.25">
      <c r="B100" s="3"/>
      <c r="C100" s="3"/>
      <c r="D100" s="3"/>
      <c r="E100" s="3"/>
      <c r="F100" s="3"/>
      <c r="G100" s="460"/>
      <c r="H100" s="460"/>
      <c r="I100" s="460"/>
      <c r="J100" s="460"/>
      <c r="K100" s="460"/>
      <c r="L100" s="460"/>
      <c r="M100" s="460"/>
      <c r="N100" s="460"/>
      <c r="O100" s="460"/>
      <c r="P100" s="460"/>
      <c r="Q100" s="460"/>
      <c r="R100" s="460"/>
      <c r="S100" s="460"/>
      <c r="T100" s="460"/>
      <c r="U100" s="460"/>
      <c r="V100" s="460"/>
      <c r="W100" s="460"/>
      <c r="X100" s="460"/>
      <c r="Y100" s="460"/>
      <c r="Z100" s="460"/>
      <c r="AA100" s="460"/>
      <c r="AB100" s="460"/>
      <c r="AC100" s="460"/>
      <c r="AD100" s="460"/>
      <c r="AE100" s="460"/>
      <c r="AF100" s="460"/>
      <c r="AG100" s="460"/>
      <c r="AH100" s="460"/>
      <c r="AI100" s="460"/>
      <c r="AJ100" s="460"/>
      <c r="AK100" s="460"/>
      <c r="AL100" s="460"/>
      <c r="AM100" s="460"/>
      <c r="AN100" s="460"/>
      <c r="AO100" s="460"/>
      <c r="AP100" s="460"/>
      <c r="AQ100" s="460"/>
      <c r="AR100" s="460"/>
      <c r="AS100" s="460"/>
      <c r="AT100" s="460"/>
      <c r="AU100" s="460"/>
      <c r="AV100" s="460"/>
      <c r="AW100" s="460"/>
      <c r="AX100" s="460"/>
      <c r="AY100" s="460"/>
      <c r="AZ100" s="460"/>
      <c r="BA100" s="460"/>
      <c r="BB100" s="460"/>
      <c r="BC100" s="460"/>
      <c r="BD100" s="460"/>
      <c r="BE100" s="460"/>
      <c r="BF100" s="460"/>
      <c r="BG100" s="460"/>
      <c r="BH100" s="460"/>
      <c r="BI100" s="460"/>
      <c r="BJ100" s="460"/>
      <c r="BK100" s="460"/>
      <c r="BL100" s="460"/>
      <c r="BM100" s="460"/>
      <c r="BN100" s="460"/>
      <c r="BO100" s="460"/>
      <c r="BP100" s="460"/>
      <c r="BQ100" s="460"/>
      <c r="BR100" s="460"/>
      <c r="BS100" s="460"/>
      <c r="BT100" s="460"/>
      <c r="BU100" s="460"/>
      <c r="BV100" s="460"/>
      <c r="BW100" s="460"/>
      <c r="BX100" s="460"/>
      <c r="BY100" s="460"/>
      <c r="BZ100" s="460"/>
      <c r="CA100" s="460"/>
      <c r="CB100" s="460"/>
      <c r="CC100" s="460"/>
      <c r="CD100" s="460"/>
      <c r="CE100" s="460"/>
      <c r="CF100" s="460"/>
      <c r="CG100" s="460"/>
      <c r="CH100" s="460"/>
      <c r="CI100" s="460"/>
      <c r="CJ100" s="460"/>
      <c r="CK100" s="460"/>
      <c r="CL100" s="460"/>
      <c r="CM100" s="460"/>
      <c r="CN100" s="460"/>
      <c r="CO100" s="460"/>
      <c r="CP100" s="460"/>
      <c r="CQ100" s="460"/>
      <c r="CR100" s="460"/>
      <c r="CS100" s="460"/>
      <c r="CT100" s="460"/>
      <c r="CU100" s="460"/>
      <c r="CV100" s="460"/>
      <c r="CW100" s="460"/>
      <c r="CX100" s="460"/>
      <c r="CY100" s="460"/>
      <c r="CZ100" s="460"/>
      <c r="DA100" s="460"/>
      <c r="DB100" s="460"/>
      <c r="DC100" s="460"/>
      <c r="DD100" s="460"/>
      <c r="DE100" s="460"/>
      <c r="DF100" s="460"/>
      <c r="DG100" s="460"/>
      <c r="DH100" s="460"/>
      <c r="DI100" s="460"/>
      <c r="DJ100" s="460"/>
      <c r="DK100" s="460"/>
      <c r="DL100" s="460"/>
      <c r="DM100" s="460"/>
      <c r="DN100" s="460"/>
      <c r="DO100" s="460"/>
      <c r="DP100" s="460"/>
      <c r="DQ100" s="460"/>
      <c r="DR100" s="460"/>
      <c r="DS100" s="460"/>
      <c r="DT100" s="460"/>
      <c r="DU100" s="460"/>
      <c r="DV100" s="460"/>
      <c r="DW100" s="460"/>
      <c r="DX100" s="460"/>
      <c r="DY100" s="460"/>
      <c r="DZ100" s="460"/>
      <c r="EA100" s="460"/>
      <c r="EB100" s="460"/>
      <c r="EC100" s="460"/>
      <c r="ED100" s="460"/>
      <c r="EE100" s="460"/>
      <c r="EF100" s="460"/>
      <c r="EG100" s="460"/>
      <c r="EH100" s="460"/>
      <c r="EI100" s="460"/>
    </row>
    <row r="101" spans="2:139" ht="14.25" hidden="1" customHeight="1" outlineLevel="1" x14ac:dyDescent="0.25">
      <c r="B101" s="3" t="s">
        <v>160</v>
      </c>
      <c r="C101" s="3"/>
      <c r="D101" s="3"/>
      <c r="E101" s="3"/>
      <c r="F101" s="3"/>
      <c r="G101" s="460"/>
      <c r="H101" s="460">
        <f t="shared" ref="H101:BS101" si="63">+H97-H99</f>
        <v>255693.37575833331</v>
      </c>
      <c r="I101" s="460">
        <f t="shared" si="63"/>
        <v>259486.90061326919</v>
      </c>
      <c r="J101" s="460">
        <f t="shared" si="63"/>
        <v>263304.89628932683</v>
      </c>
      <c r="K101" s="460">
        <f t="shared" si="63"/>
        <v>267147.40918794868</v>
      </c>
      <c r="L101" s="460">
        <f t="shared" si="63"/>
        <v>271014.48571057693</v>
      </c>
      <c r="M101" s="460">
        <f t="shared" si="63"/>
        <v>274906.17225865379</v>
      </c>
      <c r="N101" s="460">
        <f t="shared" si="63"/>
        <v>278822.51523362182</v>
      </c>
      <c r="O101" s="460">
        <f t="shared" si="63"/>
        <v>282763.56103692309</v>
      </c>
      <c r="P101" s="460">
        <f t="shared" si="63"/>
        <v>286729.35606999998</v>
      </c>
      <c r="Q101" s="460">
        <f t="shared" si="63"/>
        <v>290719.94673429488</v>
      </c>
      <c r="R101" s="460">
        <f t="shared" si="63"/>
        <v>294735.37943124998</v>
      </c>
      <c r="S101" s="460">
        <f t="shared" si="63"/>
        <v>298775.70056230773</v>
      </c>
      <c r="T101" s="460">
        <f t="shared" si="63"/>
        <v>303464.75931516237</v>
      </c>
      <c r="U101" s="460">
        <f t="shared" si="63"/>
        <v>308196.95202906855</v>
      </c>
      <c r="V101" s="460">
        <f t="shared" si="63"/>
        <v>312972.53486472927</v>
      </c>
      <c r="W101" s="460">
        <f t="shared" si="63"/>
        <v>317791.76515390462</v>
      </c>
      <c r="X101" s="460">
        <f t="shared" si="63"/>
        <v>322654.90140396269</v>
      </c>
      <c r="Y101" s="460">
        <f t="shared" si="63"/>
        <v>327562.20330244687</v>
      </c>
      <c r="Z101" s="460">
        <f t="shared" si="63"/>
        <v>332513.93172165821</v>
      </c>
      <c r="AA101" s="460">
        <f t="shared" si="63"/>
        <v>337510.34872325434</v>
      </c>
      <c r="AB101" s="460">
        <f t="shared" si="63"/>
        <v>342551.71756286442</v>
      </c>
      <c r="AC101" s="460">
        <f t="shared" si="63"/>
        <v>347638.30269471952</v>
      </c>
      <c r="AD101" s="460">
        <f t="shared" si="63"/>
        <v>352770.36977630015</v>
      </c>
      <c r="AE101" s="460">
        <f t="shared" si="63"/>
        <v>357948.18567299953</v>
      </c>
      <c r="AF101" s="460">
        <f t="shared" si="63"/>
        <v>380117.76310722309</v>
      </c>
      <c r="AG101" s="460">
        <f t="shared" si="63"/>
        <v>380900.74346248305</v>
      </c>
      <c r="AH101" s="460">
        <f t="shared" si="63"/>
        <v>381685.33662907704</v>
      </c>
      <c r="AI101" s="460">
        <f t="shared" si="63"/>
        <v>382471.54592913273</v>
      </c>
      <c r="AJ101" s="460">
        <f t="shared" si="63"/>
        <v>383259.37469162041</v>
      </c>
      <c r="AK101" s="460">
        <f t="shared" si="63"/>
        <v>384048.82625236746</v>
      </c>
      <c r="AL101" s="460">
        <f t="shared" si="63"/>
        <v>384839.90395407268</v>
      </c>
      <c r="AM101" s="460">
        <f t="shared" si="63"/>
        <v>385632.61114631995</v>
      </c>
      <c r="AN101" s="460">
        <f t="shared" si="63"/>
        <v>386426.95118559327</v>
      </c>
      <c r="AO101" s="460">
        <f t="shared" si="63"/>
        <v>387222.92743529024</v>
      </c>
      <c r="AP101" s="460">
        <f t="shared" si="63"/>
        <v>388020.54326573602</v>
      </c>
      <c r="AQ101" s="460">
        <f t="shared" si="63"/>
        <v>388819.80205419892</v>
      </c>
      <c r="AR101" s="460">
        <f t="shared" si="63"/>
        <v>389620.70718490315</v>
      </c>
      <c r="AS101" s="460">
        <f t="shared" si="63"/>
        <v>390423.26204904454</v>
      </c>
      <c r="AT101" s="460">
        <f t="shared" si="63"/>
        <v>391227.47004480357</v>
      </c>
      <c r="AU101" s="460">
        <f t="shared" si="63"/>
        <v>392033.33457736054</v>
      </c>
      <c r="AV101" s="460">
        <f t="shared" si="63"/>
        <v>392840.85905891028</v>
      </c>
      <c r="AW101" s="460">
        <f t="shared" si="63"/>
        <v>393650.0469086761</v>
      </c>
      <c r="AX101" s="460">
        <f t="shared" si="63"/>
        <v>394460.9015529239</v>
      </c>
      <c r="AY101" s="460">
        <f t="shared" si="63"/>
        <v>395273.42642497737</v>
      </c>
      <c r="AZ101" s="460">
        <f t="shared" si="63"/>
        <v>396087.62496523262</v>
      </c>
      <c r="BA101" s="460">
        <f t="shared" si="63"/>
        <v>396903.50062117196</v>
      </c>
      <c r="BB101" s="460">
        <f t="shared" si="63"/>
        <v>397721.05684737902</v>
      </c>
      <c r="BC101" s="460">
        <f t="shared" si="63"/>
        <v>398540.29710555339</v>
      </c>
      <c r="BD101" s="460">
        <f t="shared" si="63"/>
        <v>399361.22486452531</v>
      </c>
      <c r="BE101" s="460">
        <f t="shared" si="63"/>
        <v>400183.84360027016</v>
      </c>
      <c r="BF101" s="460">
        <f t="shared" si="63"/>
        <v>401008.15679592278</v>
      </c>
      <c r="BG101" s="460">
        <f t="shared" si="63"/>
        <v>401834.16794179397</v>
      </c>
      <c r="BH101" s="460">
        <f t="shared" si="63"/>
        <v>402661.88053538254</v>
      </c>
      <c r="BI101" s="460">
        <f t="shared" si="63"/>
        <v>403491.29808139248</v>
      </c>
      <c r="BJ101" s="460">
        <f t="shared" si="63"/>
        <v>404322.42409174639</v>
      </c>
      <c r="BK101" s="460">
        <f t="shared" si="63"/>
        <v>405155.2620856014</v>
      </c>
      <c r="BL101" s="460">
        <f t="shared" si="63"/>
        <v>405989.81558936305</v>
      </c>
      <c r="BM101" s="460">
        <f t="shared" si="63"/>
        <v>406826.08813670074</v>
      </c>
      <c r="BN101" s="460">
        <f t="shared" si="63"/>
        <v>407664.0832685628</v>
      </c>
      <c r="BO101" s="460">
        <f t="shared" si="63"/>
        <v>408503.80453319167</v>
      </c>
      <c r="BP101" s="460">
        <f t="shared" si="63"/>
        <v>409345.25548613787</v>
      </c>
      <c r="BQ101" s="460">
        <f t="shared" si="63"/>
        <v>410188.43969027634</v>
      </c>
      <c r="BR101" s="460">
        <f t="shared" si="63"/>
        <v>411033.3607158204</v>
      </c>
      <c r="BS101" s="460">
        <f t="shared" si="63"/>
        <v>411880.0221403382</v>
      </c>
      <c r="BT101" s="460">
        <f t="shared" ref="BT101:EE101" si="64">+BT97-BT99</f>
        <v>412728.42754876672</v>
      </c>
      <c r="BU101" s="460">
        <f t="shared" si="64"/>
        <v>413578.5805334266</v>
      </c>
      <c r="BV101" s="460">
        <f t="shared" si="64"/>
        <v>414430.48469403962</v>
      </c>
      <c r="BW101" s="460">
        <f t="shared" si="64"/>
        <v>415284.14363774081</v>
      </c>
      <c r="BX101" s="460">
        <f t="shared" si="64"/>
        <v>416139.56097909651</v>
      </c>
      <c r="BY101" s="460">
        <f t="shared" si="64"/>
        <v>416996.7403401176</v>
      </c>
      <c r="BZ101" s="460">
        <f t="shared" si="64"/>
        <v>417855.68535027641</v>
      </c>
      <c r="CA101" s="460">
        <f t="shared" si="64"/>
        <v>418716.39964652091</v>
      </c>
      <c r="CB101" s="460">
        <f t="shared" si="64"/>
        <v>419578.88687329082</v>
      </c>
      <c r="CC101" s="460">
        <f t="shared" si="64"/>
        <v>420443.15068253252</v>
      </c>
      <c r="CD101" s="460">
        <f t="shared" si="64"/>
        <v>421309.19473371538</v>
      </c>
      <c r="CE101" s="460">
        <f t="shared" si="64"/>
        <v>422177.0226938462</v>
      </c>
      <c r="CF101" s="460">
        <f t="shared" si="64"/>
        <v>423046.63823748525</v>
      </c>
      <c r="CG101" s="460">
        <f t="shared" si="64"/>
        <v>423918.04504676186</v>
      </c>
      <c r="CH101" s="460">
        <f t="shared" si="64"/>
        <v>424791.24681138986</v>
      </c>
      <c r="CI101" s="460">
        <f t="shared" si="64"/>
        <v>425666.24722868385</v>
      </c>
      <c r="CJ101" s="460">
        <f t="shared" si="64"/>
        <v>426543.0500035733</v>
      </c>
      <c r="CK101" s="460">
        <f t="shared" si="64"/>
        <v>427421.6588486199</v>
      </c>
      <c r="CL101" s="460">
        <f t="shared" si="64"/>
        <v>428302.07748403255</v>
      </c>
      <c r="CM101" s="460">
        <f t="shared" si="64"/>
        <v>429184.30963768339</v>
      </c>
      <c r="CN101" s="460">
        <f t="shared" si="64"/>
        <v>430068.35904512228</v>
      </c>
      <c r="CO101" s="460">
        <f t="shared" si="64"/>
        <v>430954.22944959515</v>
      </c>
      <c r="CP101" s="460">
        <f t="shared" si="64"/>
        <v>431841.92460205761</v>
      </c>
      <c r="CQ101" s="460">
        <f t="shared" si="64"/>
        <v>432731.44826119184</v>
      </c>
      <c r="CR101" s="460">
        <f t="shared" si="64"/>
        <v>433622.80419342167</v>
      </c>
      <c r="CS101" s="460">
        <f t="shared" si="64"/>
        <v>434515.99617293006</v>
      </c>
      <c r="CT101" s="460">
        <f t="shared" si="64"/>
        <v>435411.02798167401</v>
      </c>
      <c r="CU101" s="460">
        <f t="shared" si="64"/>
        <v>436307.90340940026</v>
      </c>
      <c r="CV101" s="460">
        <f t="shared" si="64"/>
        <v>437206.62625366199</v>
      </c>
      <c r="CW101" s="460">
        <f t="shared" si="64"/>
        <v>438107.20031983469</v>
      </c>
      <c r="CX101" s="460">
        <f t="shared" si="64"/>
        <v>439009.62942113291</v>
      </c>
      <c r="CY101" s="460">
        <f t="shared" si="64"/>
        <v>439913.91737862478</v>
      </c>
      <c r="CZ101" s="460">
        <f t="shared" si="64"/>
        <v>440820.06802124978</v>
      </c>
      <c r="DA101" s="460">
        <f t="shared" si="64"/>
        <v>441728.08518583467</v>
      </c>
      <c r="DB101" s="460">
        <f t="shared" si="64"/>
        <v>442637.97271710861</v>
      </c>
      <c r="DC101" s="460">
        <f t="shared" si="64"/>
        <v>443549.73446772108</v>
      </c>
      <c r="DD101" s="460">
        <f t="shared" si="64"/>
        <v>444463.37429825676</v>
      </c>
      <c r="DE101" s="460">
        <f t="shared" si="64"/>
        <v>445378.89607725292</v>
      </c>
      <c r="DF101" s="460">
        <f t="shared" si="64"/>
        <v>446296.30368121527</v>
      </c>
      <c r="DG101" s="460">
        <f t="shared" si="64"/>
        <v>447215.60099463467</v>
      </c>
      <c r="DH101" s="460">
        <f t="shared" si="64"/>
        <v>448136.79191000288</v>
      </c>
      <c r="DI101" s="460">
        <f t="shared" si="64"/>
        <v>449059.88032783021</v>
      </c>
      <c r="DJ101" s="460">
        <f t="shared" si="64"/>
        <v>449984.87015666073</v>
      </c>
      <c r="DK101" s="460">
        <f t="shared" si="64"/>
        <v>450911.76531308994</v>
      </c>
      <c r="DL101" s="460">
        <f t="shared" si="64"/>
        <v>451840.56972178043</v>
      </c>
      <c r="DM101" s="460">
        <f t="shared" si="64"/>
        <v>452771.28731547995</v>
      </c>
      <c r="DN101" s="460">
        <f t="shared" si="64"/>
        <v>453703.92203503585</v>
      </c>
      <c r="DO101" s="460">
        <f t="shared" si="64"/>
        <v>454638.47782941337</v>
      </c>
      <c r="DP101" s="460">
        <f t="shared" si="64"/>
        <v>455574.95865571237</v>
      </c>
      <c r="DQ101" s="460">
        <f t="shared" si="64"/>
        <v>456513.36847918364</v>
      </c>
      <c r="DR101" s="460">
        <f t="shared" si="64"/>
        <v>457453.71127324516</v>
      </c>
      <c r="DS101" s="460">
        <f t="shared" si="64"/>
        <v>458395.99101949978</v>
      </c>
      <c r="DT101" s="460">
        <f t="shared" si="64"/>
        <v>459340.21170775243</v>
      </c>
      <c r="DU101" s="460">
        <f t="shared" si="64"/>
        <v>460286.3773360253</v>
      </c>
      <c r="DV101" s="460">
        <f t="shared" si="64"/>
        <v>461234.49191057653</v>
      </c>
      <c r="DW101" s="460">
        <f t="shared" si="64"/>
        <v>462184.55944591644</v>
      </c>
      <c r="DX101" s="460">
        <f t="shared" si="64"/>
        <v>463136.58396482444</v>
      </c>
      <c r="DY101" s="460">
        <f t="shared" si="64"/>
        <v>464090.56949836633</v>
      </c>
      <c r="DZ101" s="460">
        <f t="shared" si="64"/>
        <v>465046.52008591092</v>
      </c>
      <c r="EA101" s="460">
        <f t="shared" si="64"/>
        <v>466004.43977514817</v>
      </c>
      <c r="EB101" s="460">
        <f t="shared" si="64"/>
        <v>466964.33262210473</v>
      </c>
      <c r="EC101" s="460">
        <f t="shared" si="64"/>
        <v>467926.20269116259</v>
      </c>
      <c r="ED101" s="460">
        <f t="shared" si="64"/>
        <v>468890.05405507563</v>
      </c>
      <c r="EE101" s="460">
        <f t="shared" si="64"/>
        <v>469855.89079498692</v>
      </c>
      <c r="EF101" s="460">
        <f t="shared" ref="EF101:EI101" si="65">+EF97-EF99</f>
        <v>470823.71700044564</v>
      </c>
      <c r="EG101" s="460">
        <f t="shared" si="65"/>
        <v>471793.53676942526</v>
      </c>
      <c r="EH101" s="460">
        <f t="shared" si="65"/>
        <v>472765.35420834029</v>
      </c>
      <c r="EI101" s="460">
        <f t="shared" si="65"/>
        <v>473739.17343206372</v>
      </c>
    </row>
    <row r="102" spans="2:139" ht="5.0999999999999996" hidden="1" customHeight="1" outlineLevel="1" x14ac:dyDescent="0.25">
      <c r="B102" s="3"/>
      <c r="C102" s="3"/>
      <c r="D102" s="3"/>
      <c r="E102" s="3"/>
      <c r="F102" s="3"/>
      <c r="G102" s="460"/>
      <c r="H102" s="460"/>
      <c r="I102" s="460"/>
      <c r="J102" s="460"/>
      <c r="K102" s="460"/>
      <c r="L102" s="460"/>
      <c r="M102" s="460"/>
      <c r="N102" s="460"/>
      <c r="O102" s="460"/>
      <c r="P102" s="460"/>
      <c r="Q102" s="460"/>
      <c r="R102" s="460"/>
      <c r="S102" s="460"/>
      <c r="T102" s="460"/>
      <c r="U102" s="460"/>
      <c r="V102" s="460"/>
      <c r="W102" s="460"/>
      <c r="X102" s="460"/>
      <c r="Y102" s="460"/>
      <c r="Z102" s="460"/>
      <c r="AA102" s="460"/>
      <c r="AB102" s="460"/>
      <c r="AC102" s="460"/>
      <c r="AD102" s="460"/>
      <c r="AE102" s="460"/>
      <c r="AF102" s="460"/>
      <c r="AG102" s="460"/>
      <c r="AH102" s="460"/>
      <c r="AI102" s="460"/>
      <c r="AJ102" s="460"/>
      <c r="AK102" s="460"/>
      <c r="AL102" s="460"/>
      <c r="AM102" s="460"/>
      <c r="AN102" s="460"/>
      <c r="AO102" s="460"/>
      <c r="AP102" s="460"/>
      <c r="AQ102" s="460"/>
      <c r="AR102" s="460"/>
      <c r="AS102" s="460"/>
      <c r="AT102" s="460"/>
      <c r="AU102" s="460"/>
      <c r="AV102" s="460"/>
      <c r="AW102" s="460"/>
      <c r="AX102" s="460"/>
      <c r="AY102" s="460"/>
      <c r="AZ102" s="460"/>
      <c r="BA102" s="460"/>
      <c r="BB102" s="460"/>
      <c r="BC102" s="460"/>
      <c r="BD102" s="460"/>
      <c r="BE102" s="460"/>
      <c r="BF102" s="460"/>
      <c r="BG102" s="460"/>
      <c r="BH102" s="460"/>
      <c r="BI102" s="460"/>
      <c r="BJ102" s="460"/>
      <c r="BK102" s="460"/>
      <c r="BL102" s="460"/>
      <c r="BM102" s="460"/>
      <c r="BN102" s="460"/>
      <c r="BO102" s="460"/>
      <c r="BP102" s="460"/>
      <c r="BQ102" s="460"/>
      <c r="BR102" s="460"/>
      <c r="BS102" s="460"/>
      <c r="BT102" s="460"/>
      <c r="BU102" s="460"/>
      <c r="BV102" s="460"/>
      <c r="BW102" s="460"/>
      <c r="BX102" s="460"/>
      <c r="BY102" s="460"/>
      <c r="BZ102" s="460"/>
      <c r="CA102" s="460"/>
      <c r="CB102" s="460"/>
      <c r="CC102" s="460"/>
      <c r="CD102" s="460"/>
      <c r="CE102" s="460"/>
      <c r="CF102" s="460"/>
      <c r="CG102" s="460"/>
      <c r="CH102" s="460"/>
      <c r="CI102" s="460"/>
      <c r="CJ102" s="460"/>
      <c r="CK102" s="460"/>
      <c r="CL102" s="460"/>
      <c r="CM102" s="460"/>
      <c r="CN102" s="460"/>
      <c r="CO102" s="460"/>
      <c r="CP102" s="460"/>
      <c r="CQ102" s="460"/>
      <c r="CR102" s="460"/>
      <c r="CS102" s="460"/>
      <c r="CT102" s="460"/>
      <c r="CU102" s="460"/>
      <c r="CV102" s="460"/>
      <c r="CW102" s="460"/>
      <c r="CX102" s="460"/>
      <c r="CY102" s="460"/>
      <c r="CZ102" s="460"/>
      <c r="DA102" s="460"/>
      <c r="DB102" s="460"/>
      <c r="DC102" s="460"/>
      <c r="DD102" s="460"/>
      <c r="DE102" s="460"/>
      <c r="DF102" s="460"/>
      <c r="DG102" s="460"/>
      <c r="DH102" s="460"/>
      <c r="DI102" s="460"/>
      <c r="DJ102" s="460"/>
      <c r="DK102" s="460"/>
      <c r="DL102" s="460"/>
      <c r="DM102" s="460"/>
      <c r="DN102" s="460"/>
      <c r="DO102" s="460"/>
      <c r="DP102" s="460"/>
      <c r="DQ102" s="460"/>
      <c r="DR102" s="460"/>
      <c r="DS102" s="460"/>
      <c r="DT102" s="460"/>
      <c r="DU102" s="460"/>
      <c r="DV102" s="460"/>
      <c r="DW102" s="460"/>
      <c r="DX102" s="460"/>
      <c r="DY102" s="460"/>
      <c r="DZ102" s="460"/>
      <c r="EA102" s="460"/>
      <c r="EB102" s="460"/>
      <c r="EC102" s="460"/>
      <c r="ED102" s="460"/>
      <c r="EE102" s="460"/>
      <c r="EF102" s="460"/>
      <c r="EG102" s="460"/>
      <c r="EH102" s="460"/>
      <c r="EI102" s="460"/>
    </row>
    <row r="103" spans="2:139" ht="14.25" hidden="1" customHeight="1" outlineLevel="1" x14ac:dyDescent="0.25">
      <c r="B103" s="3" t="s">
        <v>428</v>
      </c>
      <c r="C103" s="3"/>
      <c r="D103" s="3"/>
      <c r="E103" s="3"/>
      <c r="F103" s="3"/>
      <c r="G103" s="457"/>
      <c r="H103" s="457"/>
      <c r="I103" s="457"/>
      <c r="J103" s="457"/>
      <c r="K103" s="457"/>
      <c r="L103" s="457"/>
      <c r="M103" s="457"/>
      <c r="N103" s="457"/>
      <c r="O103" s="457"/>
      <c r="P103" s="457"/>
      <c r="Q103" s="457"/>
      <c r="R103" s="457"/>
      <c r="S103" s="457"/>
      <c r="T103" s="457"/>
      <c r="U103" s="457"/>
      <c r="V103" s="457"/>
      <c r="W103" s="457"/>
      <c r="X103" s="457"/>
      <c r="Y103" s="457"/>
      <c r="Z103" s="457"/>
      <c r="AA103" s="457"/>
      <c r="AB103" s="457"/>
      <c r="AC103" s="457"/>
      <c r="AD103" s="457"/>
      <c r="AE103" s="457"/>
      <c r="AF103" s="457"/>
      <c r="AG103" s="457"/>
      <c r="AH103" s="457"/>
      <c r="AI103" s="457"/>
      <c r="AJ103" s="457"/>
      <c r="AK103" s="457"/>
      <c r="AL103" s="457"/>
      <c r="AM103" s="457"/>
      <c r="AN103" s="457"/>
      <c r="AO103" s="457"/>
      <c r="AP103" s="457"/>
      <c r="AQ103" s="457"/>
      <c r="AR103" s="457"/>
      <c r="AS103" s="457"/>
      <c r="AT103" s="457"/>
      <c r="AU103" s="457"/>
      <c r="AV103" s="457"/>
      <c r="AW103" s="457"/>
      <c r="AX103" s="457"/>
      <c r="AY103" s="457"/>
      <c r="AZ103" s="457"/>
      <c r="BA103" s="457"/>
      <c r="BB103" s="457"/>
      <c r="BC103" s="457"/>
      <c r="BD103" s="457"/>
      <c r="BE103" s="457"/>
      <c r="BF103" s="457"/>
      <c r="BG103" s="457"/>
      <c r="BH103" s="457"/>
      <c r="BI103" s="457"/>
      <c r="BJ103" s="457"/>
      <c r="BK103" s="457"/>
      <c r="BL103" s="457"/>
      <c r="BM103" s="457"/>
      <c r="BN103" s="457"/>
      <c r="BO103" s="457"/>
      <c r="BP103" s="457"/>
      <c r="BQ103" s="457"/>
      <c r="BR103" s="457"/>
      <c r="BS103" s="457"/>
      <c r="BT103" s="457"/>
      <c r="BU103" s="457"/>
      <c r="BV103" s="457"/>
      <c r="BW103" s="457"/>
      <c r="BX103" s="457"/>
      <c r="BY103" s="457"/>
      <c r="BZ103" s="457"/>
      <c r="CA103" s="457"/>
      <c r="CB103" s="457"/>
      <c r="CC103" s="457"/>
      <c r="CD103" s="457"/>
      <c r="CE103" s="457"/>
      <c r="CF103" s="457"/>
      <c r="CG103" s="457"/>
      <c r="CH103" s="457"/>
      <c r="CI103" s="457"/>
      <c r="CJ103" s="457"/>
      <c r="CK103" s="457"/>
      <c r="CL103" s="457"/>
      <c r="CM103" s="457"/>
      <c r="CN103" s="457"/>
      <c r="CO103" s="457"/>
      <c r="CP103" s="457"/>
      <c r="CQ103" s="457"/>
      <c r="CR103" s="457"/>
      <c r="CS103" s="457"/>
      <c r="CT103" s="457"/>
      <c r="CU103" s="457"/>
      <c r="CV103" s="457"/>
      <c r="CW103" s="457"/>
      <c r="CX103" s="457"/>
      <c r="CY103" s="457"/>
      <c r="CZ103" s="457"/>
      <c r="DA103" s="457"/>
      <c r="DB103" s="457"/>
      <c r="DC103" s="457"/>
      <c r="DD103" s="457"/>
      <c r="DE103" s="457"/>
      <c r="DF103" s="457"/>
      <c r="DG103" s="457"/>
      <c r="DH103" s="457"/>
      <c r="DI103" s="457"/>
      <c r="DJ103" s="457"/>
      <c r="DK103" s="457"/>
      <c r="DL103" s="457"/>
      <c r="DM103" s="457"/>
      <c r="DN103" s="457"/>
      <c r="DO103" s="457"/>
      <c r="DP103" s="457"/>
      <c r="DQ103" s="457"/>
      <c r="DR103" s="457"/>
      <c r="DS103" s="457"/>
      <c r="DT103" s="457"/>
      <c r="DU103" s="457"/>
      <c r="DV103" s="457"/>
      <c r="DW103" s="457"/>
      <c r="DX103" s="457"/>
      <c r="DY103" s="457"/>
      <c r="DZ103" s="457"/>
      <c r="EA103" s="457"/>
      <c r="EB103" s="457"/>
      <c r="EC103" s="457"/>
      <c r="ED103" s="457"/>
      <c r="EE103" s="457"/>
      <c r="EF103" s="457"/>
      <c r="EG103" s="457"/>
      <c r="EH103" s="457"/>
      <c r="EI103" s="457"/>
    </row>
    <row r="104" spans="2:139" ht="14.25" hidden="1" customHeight="1" outlineLevel="1" x14ac:dyDescent="0.25">
      <c r="B104" s="3" t="s">
        <v>424</v>
      </c>
      <c r="C104" s="3"/>
      <c r="D104" s="3"/>
      <c r="E104" s="3"/>
      <c r="F104" s="3"/>
      <c r="G104" s="460">
        <f>+G68</f>
        <v>63035773.958333336</v>
      </c>
      <c r="H104" s="460">
        <f t="shared" ref="H104:BS104" si="66">+H68</f>
        <v>223273.95833333331</v>
      </c>
      <c r="I104" s="460">
        <f t="shared" si="66"/>
        <v>223273.95833333331</v>
      </c>
      <c r="J104" s="460">
        <f t="shared" si="66"/>
        <v>223273.9583333332</v>
      </c>
      <c r="K104" s="460">
        <f t="shared" si="66"/>
        <v>223273.9583333334</v>
      </c>
      <c r="L104" s="460">
        <f t="shared" si="66"/>
        <v>223273.9583333332</v>
      </c>
      <c r="M104" s="460">
        <f t="shared" si="66"/>
        <v>223273.9583333334</v>
      </c>
      <c r="N104" s="460">
        <f t="shared" si="66"/>
        <v>223273.95833333308</v>
      </c>
      <c r="O104" s="460">
        <f t="shared" si="66"/>
        <v>223273.9583333334</v>
      </c>
      <c r="P104" s="460">
        <f t="shared" si="66"/>
        <v>223273.9583333334</v>
      </c>
      <c r="Q104" s="460">
        <f t="shared" si="66"/>
        <v>223273.95833333308</v>
      </c>
      <c r="R104" s="460">
        <f t="shared" si="66"/>
        <v>223273.9583333334</v>
      </c>
      <c r="S104" s="460">
        <f t="shared" si="66"/>
        <v>223273.95833333308</v>
      </c>
      <c r="T104" s="460">
        <f t="shared" si="66"/>
        <v>223273.95833333363</v>
      </c>
      <c r="U104" s="460">
        <f t="shared" si="66"/>
        <v>223273.95833333308</v>
      </c>
      <c r="V104" s="460">
        <f t="shared" si="66"/>
        <v>223273.95833333308</v>
      </c>
      <c r="W104" s="460">
        <f t="shared" si="66"/>
        <v>223273.95833333363</v>
      </c>
      <c r="X104" s="460">
        <f t="shared" si="66"/>
        <v>223273.95833333308</v>
      </c>
      <c r="Y104" s="460">
        <f t="shared" si="66"/>
        <v>223273.95833333308</v>
      </c>
      <c r="Z104" s="460">
        <f t="shared" si="66"/>
        <v>223273.95833333363</v>
      </c>
      <c r="AA104" s="460">
        <f t="shared" si="66"/>
        <v>223273.95833333308</v>
      </c>
      <c r="AB104" s="460">
        <f t="shared" si="66"/>
        <v>223273.95833333308</v>
      </c>
      <c r="AC104" s="460">
        <f t="shared" si="66"/>
        <v>223273.95833333363</v>
      </c>
      <c r="AD104" s="460">
        <f t="shared" si="66"/>
        <v>223273.95833333308</v>
      </c>
      <c r="AE104" s="460">
        <f t="shared" si="66"/>
        <v>0</v>
      </c>
      <c r="AF104" s="460">
        <f t="shared" si="66"/>
        <v>0</v>
      </c>
      <c r="AG104" s="460">
        <f t="shared" si="66"/>
        <v>0</v>
      </c>
      <c r="AH104" s="460">
        <f t="shared" si="66"/>
        <v>0</v>
      </c>
      <c r="AI104" s="460">
        <f t="shared" si="66"/>
        <v>0</v>
      </c>
      <c r="AJ104" s="460">
        <f t="shared" si="66"/>
        <v>0</v>
      </c>
      <c r="AK104" s="460">
        <f t="shared" si="66"/>
        <v>0</v>
      </c>
      <c r="AL104" s="460">
        <f t="shared" si="66"/>
        <v>0</v>
      </c>
      <c r="AM104" s="460">
        <f t="shared" si="66"/>
        <v>0</v>
      </c>
      <c r="AN104" s="460">
        <f t="shared" si="66"/>
        <v>0</v>
      </c>
      <c r="AO104" s="460">
        <f t="shared" si="66"/>
        <v>0</v>
      </c>
      <c r="AP104" s="460">
        <f t="shared" si="66"/>
        <v>0</v>
      </c>
      <c r="AQ104" s="460">
        <f t="shared" si="66"/>
        <v>0</v>
      </c>
      <c r="AR104" s="460">
        <f t="shared" si="66"/>
        <v>0</v>
      </c>
      <c r="AS104" s="460">
        <f t="shared" si="66"/>
        <v>0</v>
      </c>
      <c r="AT104" s="460">
        <f t="shared" si="66"/>
        <v>0</v>
      </c>
      <c r="AU104" s="460">
        <f t="shared" si="66"/>
        <v>0</v>
      </c>
      <c r="AV104" s="460">
        <f t="shared" si="66"/>
        <v>0</v>
      </c>
      <c r="AW104" s="460">
        <f t="shared" si="66"/>
        <v>0</v>
      </c>
      <c r="AX104" s="460">
        <f t="shared" si="66"/>
        <v>0</v>
      </c>
      <c r="AY104" s="460">
        <f t="shared" si="66"/>
        <v>0</v>
      </c>
      <c r="AZ104" s="460">
        <f t="shared" si="66"/>
        <v>0</v>
      </c>
      <c r="BA104" s="460">
        <f t="shared" si="66"/>
        <v>0</v>
      </c>
      <c r="BB104" s="460">
        <f t="shared" si="66"/>
        <v>0</v>
      </c>
      <c r="BC104" s="460">
        <f t="shared" si="66"/>
        <v>0</v>
      </c>
      <c r="BD104" s="460">
        <f t="shared" si="66"/>
        <v>0</v>
      </c>
      <c r="BE104" s="460">
        <f t="shared" si="66"/>
        <v>0</v>
      </c>
      <c r="BF104" s="460">
        <f t="shared" si="66"/>
        <v>0</v>
      </c>
      <c r="BG104" s="460">
        <f t="shared" si="66"/>
        <v>0</v>
      </c>
      <c r="BH104" s="460">
        <f t="shared" si="66"/>
        <v>0</v>
      </c>
      <c r="BI104" s="460">
        <f t="shared" si="66"/>
        <v>0</v>
      </c>
      <c r="BJ104" s="460">
        <f t="shared" si="66"/>
        <v>0</v>
      </c>
      <c r="BK104" s="460">
        <f t="shared" si="66"/>
        <v>0</v>
      </c>
      <c r="BL104" s="460">
        <f t="shared" si="66"/>
        <v>0</v>
      </c>
      <c r="BM104" s="460">
        <f t="shared" si="66"/>
        <v>0</v>
      </c>
      <c r="BN104" s="460">
        <f t="shared" si="66"/>
        <v>0</v>
      </c>
      <c r="BO104" s="460">
        <f t="shared" si="66"/>
        <v>0</v>
      </c>
      <c r="BP104" s="460">
        <f t="shared" si="66"/>
        <v>0</v>
      </c>
      <c r="BQ104" s="460">
        <f t="shared" si="66"/>
        <v>0</v>
      </c>
      <c r="BR104" s="460">
        <f t="shared" si="66"/>
        <v>0</v>
      </c>
      <c r="BS104" s="460">
        <f t="shared" si="66"/>
        <v>0</v>
      </c>
      <c r="BT104" s="460">
        <f t="shared" ref="BT104:EE104" si="67">+BT68</f>
        <v>0</v>
      </c>
      <c r="BU104" s="460">
        <f t="shared" si="67"/>
        <v>0</v>
      </c>
      <c r="BV104" s="460">
        <f t="shared" si="67"/>
        <v>0</v>
      </c>
      <c r="BW104" s="460">
        <f t="shared" si="67"/>
        <v>0</v>
      </c>
      <c r="BX104" s="460">
        <f t="shared" si="67"/>
        <v>0</v>
      </c>
      <c r="BY104" s="460">
        <f t="shared" si="67"/>
        <v>0</v>
      </c>
      <c r="BZ104" s="460">
        <f t="shared" si="67"/>
        <v>0</v>
      </c>
      <c r="CA104" s="460">
        <f t="shared" si="67"/>
        <v>0</v>
      </c>
      <c r="CB104" s="460">
        <f t="shared" si="67"/>
        <v>0</v>
      </c>
      <c r="CC104" s="460">
        <f t="shared" si="67"/>
        <v>0</v>
      </c>
      <c r="CD104" s="460">
        <f t="shared" si="67"/>
        <v>0</v>
      </c>
      <c r="CE104" s="460">
        <f t="shared" si="67"/>
        <v>0</v>
      </c>
      <c r="CF104" s="460">
        <f t="shared" si="67"/>
        <v>0</v>
      </c>
      <c r="CG104" s="460">
        <f t="shared" si="67"/>
        <v>0</v>
      </c>
      <c r="CH104" s="460">
        <f t="shared" si="67"/>
        <v>0</v>
      </c>
      <c r="CI104" s="460">
        <f t="shared" si="67"/>
        <v>0</v>
      </c>
      <c r="CJ104" s="460">
        <f t="shared" si="67"/>
        <v>0</v>
      </c>
      <c r="CK104" s="460">
        <f t="shared" si="67"/>
        <v>0</v>
      </c>
      <c r="CL104" s="460">
        <f t="shared" si="67"/>
        <v>0</v>
      </c>
      <c r="CM104" s="460">
        <f t="shared" si="67"/>
        <v>0</v>
      </c>
      <c r="CN104" s="460">
        <f t="shared" si="67"/>
        <v>0</v>
      </c>
      <c r="CO104" s="460">
        <f t="shared" si="67"/>
        <v>0</v>
      </c>
      <c r="CP104" s="460">
        <f t="shared" si="67"/>
        <v>0</v>
      </c>
      <c r="CQ104" s="460">
        <f t="shared" si="67"/>
        <v>0</v>
      </c>
      <c r="CR104" s="460">
        <f t="shared" si="67"/>
        <v>0</v>
      </c>
      <c r="CS104" s="460">
        <f t="shared" si="67"/>
        <v>0</v>
      </c>
      <c r="CT104" s="460">
        <f t="shared" si="67"/>
        <v>0</v>
      </c>
      <c r="CU104" s="460">
        <f t="shared" si="67"/>
        <v>0</v>
      </c>
      <c r="CV104" s="460">
        <f t="shared" si="67"/>
        <v>0</v>
      </c>
      <c r="CW104" s="460">
        <f t="shared" si="67"/>
        <v>0</v>
      </c>
      <c r="CX104" s="460">
        <f t="shared" si="67"/>
        <v>0</v>
      </c>
      <c r="CY104" s="460">
        <f t="shared" si="67"/>
        <v>0</v>
      </c>
      <c r="CZ104" s="460">
        <f t="shared" si="67"/>
        <v>0</v>
      </c>
      <c r="DA104" s="460">
        <f t="shared" si="67"/>
        <v>0</v>
      </c>
      <c r="DB104" s="460">
        <f t="shared" si="67"/>
        <v>0</v>
      </c>
      <c r="DC104" s="460">
        <f t="shared" si="67"/>
        <v>0</v>
      </c>
      <c r="DD104" s="460">
        <f t="shared" si="67"/>
        <v>0</v>
      </c>
      <c r="DE104" s="460">
        <f t="shared" si="67"/>
        <v>0</v>
      </c>
      <c r="DF104" s="460">
        <f t="shared" si="67"/>
        <v>0</v>
      </c>
      <c r="DG104" s="460">
        <f t="shared" si="67"/>
        <v>0</v>
      </c>
      <c r="DH104" s="460">
        <f t="shared" si="67"/>
        <v>0</v>
      </c>
      <c r="DI104" s="460">
        <f t="shared" si="67"/>
        <v>0</v>
      </c>
      <c r="DJ104" s="460">
        <f t="shared" si="67"/>
        <v>0</v>
      </c>
      <c r="DK104" s="460">
        <f t="shared" si="67"/>
        <v>0</v>
      </c>
      <c r="DL104" s="460">
        <f t="shared" si="67"/>
        <v>0</v>
      </c>
      <c r="DM104" s="460">
        <f t="shared" si="67"/>
        <v>0</v>
      </c>
      <c r="DN104" s="460">
        <f t="shared" si="67"/>
        <v>0</v>
      </c>
      <c r="DO104" s="460">
        <f t="shared" si="67"/>
        <v>0</v>
      </c>
      <c r="DP104" s="460">
        <f t="shared" si="67"/>
        <v>0</v>
      </c>
      <c r="DQ104" s="460">
        <f t="shared" si="67"/>
        <v>0</v>
      </c>
      <c r="DR104" s="460">
        <f t="shared" si="67"/>
        <v>0</v>
      </c>
      <c r="DS104" s="460">
        <f t="shared" si="67"/>
        <v>0</v>
      </c>
      <c r="DT104" s="460">
        <f t="shared" si="67"/>
        <v>0</v>
      </c>
      <c r="DU104" s="460">
        <f t="shared" si="67"/>
        <v>0</v>
      </c>
      <c r="DV104" s="460">
        <f t="shared" si="67"/>
        <v>0</v>
      </c>
      <c r="DW104" s="460">
        <f t="shared" si="67"/>
        <v>0</v>
      </c>
      <c r="DX104" s="460">
        <f t="shared" si="67"/>
        <v>0</v>
      </c>
      <c r="DY104" s="460">
        <f t="shared" si="67"/>
        <v>0</v>
      </c>
      <c r="DZ104" s="460">
        <f t="shared" si="67"/>
        <v>0</v>
      </c>
      <c r="EA104" s="460">
        <f t="shared" si="67"/>
        <v>0</v>
      </c>
      <c r="EB104" s="460">
        <f t="shared" si="67"/>
        <v>0</v>
      </c>
      <c r="EC104" s="460">
        <f t="shared" si="67"/>
        <v>0</v>
      </c>
      <c r="ED104" s="460">
        <f t="shared" si="67"/>
        <v>0</v>
      </c>
      <c r="EE104" s="460">
        <f t="shared" si="67"/>
        <v>0</v>
      </c>
      <c r="EF104" s="460">
        <f t="shared" ref="EF104:EI104" si="68">+EF68</f>
        <v>0</v>
      </c>
      <c r="EG104" s="460">
        <f t="shared" si="68"/>
        <v>0</v>
      </c>
      <c r="EH104" s="460">
        <f t="shared" si="68"/>
        <v>0</v>
      </c>
      <c r="EI104" s="460">
        <f t="shared" si="68"/>
        <v>0</v>
      </c>
    </row>
    <row r="105" spans="2:139" ht="14.25" hidden="1" customHeight="1" outlineLevel="1" x14ac:dyDescent="0.25">
      <c r="B105" s="3" t="s">
        <v>430</v>
      </c>
      <c r="C105" s="3"/>
      <c r="D105" s="3"/>
      <c r="E105" s="3"/>
      <c r="F105" s="3"/>
      <c r="G105" s="460">
        <f>+G70</f>
        <v>225000</v>
      </c>
      <c r="H105" s="460">
        <f t="shared" ref="H105:BS105" si="69">+H70</f>
        <v>0</v>
      </c>
      <c r="I105" s="460">
        <f t="shared" si="69"/>
        <v>0</v>
      </c>
      <c r="J105" s="460">
        <f t="shared" si="69"/>
        <v>0</v>
      </c>
      <c r="K105" s="460">
        <f t="shared" si="69"/>
        <v>0</v>
      </c>
      <c r="L105" s="460">
        <f t="shared" si="69"/>
        <v>0</v>
      </c>
      <c r="M105" s="460">
        <f t="shared" si="69"/>
        <v>0</v>
      </c>
      <c r="N105" s="460">
        <f t="shared" si="69"/>
        <v>0</v>
      </c>
      <c r="O105" s="460">
        <f t="shared" si="69"/>
        <v>0</v>
      </c>
      <c r="P105" s="460">
        <f t="shared" si="69"/>
        <v>0</v>
      </c>
      <c r="Q105" s="460">
        <f t="shared" si="69"/>
        <v>0</v>
      </c>
      <c r="R105" s="460">
        <f t="shared" si="69"/>
        <v>0</v>
      </c>
      <c r="S105" s="460">
        <f t="shared" si="69"/>
        <v>0</v>
      </c>
      <c r="T105" s="460">
        <f t="shared" si="69"/>
        <v>0</v>
      </c>
      <c r="U105" s="460">
        <f t="shared" si="69"/>
        <v>0</v>
      </c>
      <c r="V105" s="460">
        <f t="shared" si="69"/>
        <v>0</v>
      </c>
      <c r="W105" s="460">
        <f t="shared" si="69"/>
        <v>0</v>
      </c>
      <c r="X105" s="460">
        <f t="shared" si="69"/>
        <v>0</v>
      </c>
      <c r="Y105" s="460">
        <f t="shared" si="69"/>
        <v>0</v>
      </c>
      <c r="Z105" s="460">
        <f t="shared" si="69"/>
        <v>0</v>
      </c>
      <c r="AA105" s="460">
        <f t="shared" si="69"/>
        <v>0</v>
      </c>
      <c r="AB105" s="460">
        <f t="shared" si="69"/>
        <v>0</v>
      </c>
      <c r="AC105" s="460">
        <f t="shared" si="69"/>
        <v>0</v>
      </c>
      <c r="AD105" s="460">
        <f t="shared" si="69"/>
        <v>0</v>
      </c>
      <c r="AE105" s="460">
        <f t="shared" si="69"/>
        <v>0</v>
      </c>
      <c r="AF105" s="460">
        <f t="shared" si="69"/>
        <v>0</v>
      </c>
      <c r="AG105" s="460">
        <f t="shared" si="69"/>
        <v>0</v>
      </c>
      <c r="AH105" s="460">
        <f t="shared" si="69"/>
        <v>0</v>
      </c>
      <c r="AI105" s="460">
        <f t="shared" si="69"/>
        <v>0</v>
      </c>
      <c r="AJ105" s="460">
        <f t="shared" si="69"/>
        <v>0</v>
      </c>
      <c r="AK105" s="460">
        <f t="shared" si="69"/>
        <v>0</v>
      </c>
      <c r="AL105" s="460">
        <f t="shared" si="69"/>
        <v>0</v>
      </c>
      <c r="AM105" s="460">
        <f t="shared" si="69"/>
        <v>0</v>
      </c>
      <c r="AN105" s="460">
        <f t="shared" si="69"/>
        <v>0</v>
      </c>
      <c r="AO105" s="460">
        <f t="shared" si="69"/>
        <v>0</v>
      </c>
      <c r="AP105" s="460">
        <f t="shared" si="69"/>
        <v>0</v>
      </c>
      <c r="AQ105" s="460">
        <f t="shared" si="69"/>
        <v>0</v>
      </c>
      <c r="AR105" s="460">
        <f t="shared" si="69"/>
        <v>0</v>
      </c>
      <c r="AS105" s="460">
        <f t="shared" si="69"/>
        <v>0</v>
      </c>
      <c r="AT105" s="460">
        <f t="shared" si="69"/>
        <v>0</v>
      </c>
      <c r="AU105" s="460">
        <f t="shared" si="69"/>
        <v>0</v>
      </c>
      <c r="AV105" s="460">
        <f t="shared" si="69"/>
        <v>0</v>
      </c>
      <c r="AW105" s="460">
        <f t="shared" si="69"/>
        <v>0</v>
      </c>
      <c r="AX105" s="460">
        <f t="shared" si="69"/>
        <v>0</v>
      </c>
      <c r="AY105" s="460">
        <f t="shared" si="69"/>
        <v>0</v>
      </c>
      <c r="AZ105" s="460">
        <f t="shared" si="69"/>
        <v>0</v>
      </c>
      <c r="BA105" s="460">
        <f t="shared" si="69"/>
        <v>0</v>
      </c>
      <c r="BB105" s="460">
        <f t="shared" si="69"/>
        <v>0</v>
      </c>
      <c r="BC105" s="460">
        <f t="shared" si="69"/>
        <v>0</v>
      </c>
      <c r="BD105" s="460">
        <f t="shared" si="69"/>
        <v>0</v>
      </c>
      <c r="BE105" s="460">
        <f t="shared" si="69"/>
        <v>0</v>
      </c>
      <c r="BF105" s="460">
        <f t="shared" si="69"/>
        <v>0</v>
      </c>
      <c r="BG105" s="460">
        <f t="shared" si="69"/>
        <v>0</v>
      </c>
      <c r="BH105" s="460">
        <f t="shared" si="69"/>
        <v>0</v>
      </c>
      <c r="BI105" s="460">
        <f t="shared" si="69"/>
        <v>0</v>
      </c>
      <c r="BJ105" s="460">
        <f t="shared" si="69"/>
        <v>0</v>
      </c>
      <c r="BK105" s="460">
        <f t="shared" si="69"/>
        <v>0</v>
      </c>
      <c r="BL105" s="460">
        <f t="shared" si="69"/>
        <v>0</v>
      </c>
      <c r="BM105" s="460">
        <f t="shared" si="69"/>
        <v>0</v>
      </c>
      <c r="BN105" s="460">
        <f t="shared" si="69"/>
        <v>0</v>
      </c>
      <c r="BO105" s="460">
        <f t="shared" si="69"/>
        <v>0</v>
      </c>
      <c r="BP105" s="460">
        <f t="shared" si="69"/>
        <v>0</v>
      </c>
      <c r="BQ105" s="460">
        <f t="shared" si="69"/>
        <v>0</v>
      </c>
      <c r="BR105" s="460">
        <f t="shared" si="69"/>
        <v>0</v>
      </c>
      <c r="BS105" s="460">
        <f t="shared" si="69"/>
        <v>0</v>
      </c>
      <c r="BT105" s="460">
        <f t="shared" ref="BT105:EE105" si="70">+BT70</f>
        <v>0</v>
      </c>
      <c r="BU105" s="460">
        <f t="shared" si="70"/>
        <v>0</v>
      </c>
      <c r="BV105" s="460">
        <f t="shared" si="70"/>
        <v>0</v>
      </c>
      <c r="BW105" s="460">
        <f t="shared" si="70"/>
        <v>0</v>
      </c>
      <c r="BX105" s="460">
        <f t="shared" si="70"/>
        <v>0</v>
      </c>
      <c r="BY105" s="460">
        <f t="shared" si="70"/>
        <v>0</v>
      </c>
      <c r="BZ105" s="460">
        <f t="shared" si="70"/>
        <v>0</v>
      </c>
      <c r="CA105" s="460">
        <f t="shared" si="70"/>
        <v>0</v>
      </c>
      <c r="CB105" s="460">
        <f t="shared" si="70"/>
        <v>0</v>
      </c>
      <c r="CC105" s="460">
        <f t="shared" si="70"/>
        <v>0</v>
      </c>
      <c r="CD105" s="460">
        <f t="shared" si="70"/>
        <v>0</v>
      </c>
      <c r="CE105" s="460">
        <f t="shared" si="70"/>
        <v>0</v>
      </c>
      <c r="CF105" s="460">
        <f t="shared" si="70"/>
        <v>0</v>
      </c>
      <c r="CG105" s="460">
        <f t="shared" si="70"/>
        <v>0</v>
      </c>
      <c r="CH105" s="460">
        <f t="shared" si="70"/>
        <v>0</v>
      </c>
      <c r="CI105" s="460">
        <f t="shared" si="70"/>
        <v>0</v>
      </c>
      <c r="CJ105" s="460">
        <f t="shared" si="70"/>
        <v>0</v>
      </c>
      <c r="CK105" s="460">
        <f t="shared" si="70"/>
        <v>0</v>
      </c>
      <c r="CL105" s="460">
        <f t="shared" si="70"/>
        <v>0</v>
      </c>
      <c r="CM105" s="460">
        <f t="shared" si="70"/>
        <v>0</v>
      </c>
      <c r="CN105" s="460">
        <f t="shared" si="70"/>
        <v>0</v>
      </c>
      <c r="CO105" s="460">
        <f t="shared" si="70"/>
        <v>0</v>
      </c>
      <c r="CP105" s="460">
        <f t="shared" si="70"/>
        <v>0</v>
      </c>
      <c r="CQ105" s="460">
        <f t="shared" si="70"/>
        <v>0</v>
      </c>
      <c r="CR105" s="460">
        <f t="shared" si="70"/>
        <v>0</v>
      </c>
      <c r="CS105" s="460">
        <f t="shared" si="70"/>
        <v>0</v>
      </c>
      <c r="CT105" s="460">
        <f t="shared" si="70"/>
        <v>0</v>
      </c>
      <c r="CU105" s="460">
        <f t="shared" si="70"/>
        <v>0</v>
      </c>
      <c r="CV105" s="460">
        <f t="shared" si="70"/>
        <v>0</v>
      </c>
      <c r="CW105" s="460">
        <f t="shared" si="70"/>
        <v>0</v>
      </c>
      <c r="CX105" s="460">
        <f t="shared" si="70"/>
        <v>0</v>
      </c>
      <c r="CY105" s="460">
        <f t="shared" si="70"/>
        <v>0</v>
      </c>
      <c r="CZ105" s="460">
        <f t="shared" si="70"/>
        <v>0</v>
      </c>
      <c r="DA105" s="460">
        <f t="shared" si="70"/>
        <v>0</v>
      </c>
      <c r="DB105" s="460">
        <f t="shared" si="70"/>
        <v>0</v>
      </c>
      <c r="DC105" s="460">
        <f t="shared" si="70"/>
        <v>0</v>
      </c>
      <c r="DD105" s="460">
        <f t="shared" si="70"/>
        <v>0</v>
      </c>
      <c r="DE105" s="460">
        <f t="shared" si="70"/>
        <v>0</v>
      </c>
      <c r="DF105" s="460">
        <f t="shared" si="70"/>
        <v>0</v>
      </c>
      <c r="DG105" s="460">
        <f t="shared" si="70"/>
        <v>0</v>
      </c>
      <c r="DH105" s="460">
        <f t="shared" si="70"/>
        <v>0</v>
      </c>
      <c r="DI105" s="460">
        <f t="shared" si="70"/>
        <v>0</v>
      </c>
      <c r="DJ105" s="460">
        <f t="shared" si="70"/>
        <v>0</v>
      </c>
      <c r="DK105" s="460">
        <f t="shared" si="70"/>
        <v>0</v>
      </c>
      <c r="DL105" s="460">
        <f t="shared" si="70"/>
        <v>0</v>
      </c>
      <c r="DM105" s="460">
        <f t="shared" si="70"/>
        <v>0</v>
      </c>
      <c r="DN105" s="460">
        <f t="shared" si="70"/>
        <v>0</v>
      </c>
      <c r="DO105" s="460">
        <f t="shared" si="70"/>
        <v>0</v>
      </c>
      <c r="DP105" s="460">
        <f t="shared" si="70"/>
        <v>0</v>
      </c>
      <c r="DQ105" s="460">
        <f t="shared" si="70"/>
        <v>0</v>
      </c>
      <c r="DR105" s="460">
        <f t="shared" si="70"/>
        <v>0</v>
      </c>
      <c r="DS105" s="460">
        <f t="shared" si="70"/>
        <v>0</v>
      </c>
      <c r="DT105" s="460">
        <f t="shared" si="70"/>
        <v>0</v>
      </c>
      <c r="DU105" s="460">
        <f t="shared" si="70"/>
        <v>0</v>
      </c>
      <c r="DV105" s="460">
        <f t="shared" si="70"/>
        <v>0</v>
      </c>
      <c r="DW105" s="460">
        <f t="shared" si="70"/>
        <v>0</v>
      </c>
      <c r="DX105" s="460">
        <f t="shared" si="70"/>
        <v>0</v>
      </c>
      <c r="DY105" s="460">
        <f t="shared" si="70"/>
        <v>0</v>
      </c>
      <c r="DZ105" s="460">
        <f t="shared" si="70"/>
        <v>0</v>
      </c>
      <c r="EA105" s="460">
        <f t="shared" si="70"/>
        <v>0</v>
      </c>
      <c r="EB105" s="460">
        <f t="shared" si="70"/>
        <v>0</v>
      </c>
      <c r="EC105" s="460">
        <f t="shared" si="70"/>
        <v>0</v>
      </c>
      <c r="ED105" s="460">
        <f t="shared" si="70"/>
        <v>0</v>
      </c>
      <c r="EE105" s="460">
        <f t="shared" si="70"/>
        <v>0</v>
      </c>
      <c r="EF105" s="460">
        <f t="shared" ref="EF105:EI105" si="71">+EF70</f>
        <v>0</v>
      </c>
      <c r="EG105" s="460">
        <f t="shared" si="71"/>
        <v>0</v>
      </c>
      <c r="EH105" s="460">
        <f t="shared" si="71"/>
        <v>0</v>
      </c>
      <c r="EI105" s="460">
        <f t="shared" si="71"/>
        <v>0</v>
      </c>
    </row>
    <row r="106" spans="2:139" ht="5.0999999999999996" hidden="1" customHeight="1" outlineLevel="1" x14ac:dyDescent="0.25">
      <c r="B106" s="3"/>
      <c r="C106" s="3"/>
      <c r="D106" s="3"/>
      <c r="E106" s="3"/>
      <c r="F106" s="3"/>
      <c r="G106" s="460"/>
      <c r="H106" s="460"/>
      <c r="I106" s="460"/>
      <c r="J106" s="460"/>
      <c r="K106" s="460"/>
      <c r="L106" s="460"/>
      <c r="M106" s="460"/>
      <c r="N106" s="460"/>
      <c r="O106" s="460"/>
      <c r="P106" s="460"/>
      <c r="Q106" s="460"/>
      <c r="R106" s="460"/>
      <c r="S106" s="460"/>
      <c r="T106" s="460"/>
      <c r="U106" s="460"/>
      <c r="V106" s="460"/>
      <c r="W106" s="460"/>
      <c r="X106" s="460"/>
      <c r="Y106" s="460"/>
      <c r="Z106" s="460"/>
      <c r="AA106" s="460"/>
      <c r="AB106" s="460"/>
      <c r="AC106" s="460"/>
      <c r="AD106" s="460"/>
      <c r="AE106" s="460"/>
      <c r="AF106" s="460"/>
      <c r="AG106" s="460"/>
      <c r="AH106" s="460"/>
      <c r="AI106" s="460"/>
      <c r="AJ106" s="460"/>
      <c r="AK106" s="460"/>
      <c r="AL106" s="460"/>
      <c r="AM106" s="460"/>
      <c r="AN106" s="460"/>
      <c r="AO106" s="460"/>
      <c r="AP106" s="460"/>
      <c r="AQ106" s="460"/>
      <c r="AR106" s="460"/>
      <c r="AS106" s="460"/>
      <c r="AT106" s="460"/>
      <c r="AU106" s="460"/>
      <c r="AV106" s="460"/>
      <c r="AW106" s="460"/>
      <c r="AX106" s="460"/>
      <c r="AY106" s="460"/>
      <c r="AZ106" s="460"/>
      <c r="BA106" s="460"/>
      <c r="BB106" s="460"/>
      <c r="BC106" s="460"/>
      <c r="BD106" s="460"/>
      <c r="BE106" s="460"/>
      <c r="BF106" s="460"/>
      <c r="BG106" s="460"/>
      <c r="BH106" s="460"/>
      <c r="BI106" s="460"/>
      <c r="BJ106" s="460"/>
      <c r="BK106" s="460"/>
      <c r="BL106" s="460"/>
      <c r="BM106" s="460"/>
      <c r="BN106" s="460"/>
      <c r="BO106" s="460"/>
      <c r="BP106" s="460"/>
      <c r="BQ106" s="460"/>
      <c r="BR106" s="460"/>
      <c r="BS106" s="460"/>
      <c r="BT106" s="460"/>
      <c r="BU106" s="460"/>
      <c r="BV106" s="460"/>
      <c r="BW106" s="460"/>
      <c r="BX106" s="460"/>
      <c r="BY106" s="460"/>
      <c r="BZ106" s="460"/>
      <c r="CA106" s="460"/>
      <c r="CB106" s="460"/>
      <c r="CC106" s="460"/>
      <c r="CD106" s="460"/>
      <c r="CE106" s="460"/>
      <c r="CF106" s="460"/>
      <c r="CG106" s="460"/>
      <c r="CH106" s="460"/>
      <c r="CI106" s="460"/>
      <c r="CJ106" s="460"/>
      <c r="CK106" s="460"/>
      <c r="CL106" s="460"/>
      <c r="CM106" s="460"/>
      <c r="CN106" s="460"/>
      <c r="CO106" s="460"/>
      <c r="CP106" s="460"/>
      <c r="CQ106" s="460"/>
      <c r="CR106" s="460"/>
      <c r="CS106" s="460"/>
      <c r="CT106" s="460"/>
      <c r="CU106" s="460"/>
      <c r="CV106" s="460"/>
      <c r="CW106" s="460"/>
      <c r="CX106" s="460"/>
      <c r="CY106" s="460"/>
      <c r="CZ106" s="460"/>
      <c r="DA106" s="460"/>
      <c r="DB106" s="460"/>
      <c r="DC106" s="460"/>
      <c r="DD106" s="460"/>
      <c r="DE106" s="460"/>
      <c r="DF106" s="460"/>
      <c r="DG106" s="460"/>
      <c r="DH106" s="460"/>
      <c r="DI106" s="460"/>
      <c r="DJ106" s="460"/>
      <c r="DK106" s="460"/>
      <c r="DL106" s="460"/>
      <c r="DM106" s="460"/>
      <c r="DN106" s="460"/>
      <c r="DO106" s="460"/>
      <c r="DP106" s="460"/>
      <c r="DQ106" s="460"/>
      <c r="DR106" s="460"/>
      <c r="DS106" s="460"/>
      <c r="DT106" s="460"/>
      <c r="DU106" s="460"/>
      <c r="DV106" s="460"/>
      <c r="DW106" s="460"/>
      <c r="DX106" s="460"/>
      <c r="DY106" s="460"/>
      <c r="DZ106" s="460"/>
      <c r="EA106" s="460"/>
      <c r="EB106" s="460"/>
      <c r="EC106" s="460"/>
      <c r="ED106" s="460"/>
      <c r="EE106" s="460"/>
      <c r="EF106" s="460"/>
      <c r="EG106" s="460"/>
      <c r="EH106" s="460"/>
      <c r="EI106" s="460"/>
    </row>
    <row r="107" spans="2:139" ht="14.25" hidden="1" customHeight="1" outlineLevel="1" x14ac:dyDescent="0.25">
      <c r="B107" s="3" t="s">
        <v>425</v>
      </c>
      <c r="C107" s="3"/>
      <c r="D107" s="3"/>
      <c r="E107" s="3"/>
      <c r="F107" s="3"/>
      <c r="G107" s="460">
        <f>+Underwriting!S82</f>
        <v>36341093.958333336</v>
      </c>
      <c r="H107" s="460">
        <f>+Underwriting!T82</f>
        <v>223273.95833333331</v>
      </c>
      <c r="I107" s="460">
        <f>+Underwriting!U82</f>
        <v>223273.95833333331</v>
      </c>
      <c r="J107" s="460">
        <f>+Underwriting!V82</f>
        <v>223273.9583333332</v>
      </c>
      <c r="K107" s="460">
        <f>+Underwriting!W82</f>
        <v>223273.9583333334</v>
      </c>
      <c r="L107" s="460">
        <f>+Underwriting!X82</f>
        <v>223273.9583333332</v>
      </c>
      <c r="M107" s="460">
        <f>+Underwriting!Y82</f>
        <v>223273.9583333334</v>
      </c>
      <c r="N107" s="460">
        <f>+Underwriting!Z82</f>
        <v>223273.95833333308</v>
      </c>
      <c r="O107" s="460">
        <f>+Underwriting!AA82</f>
        <v>223273.9583333334</v>
      </c>
      <c r="P107" s="460">
        <f>+Underwriting!AB82</f>
        <v>223273.9583333334</v>
      </c>
      <c r="Q107" s="460">
        <f>+Underwriting!AC82</f>
        <v>223273.95833333308</v>
      </c>
      <c r="R107" s="460">
        <f>+Underwriting!AD82</f>
        <v>223273.9583333334</v>
      </c>
      <c r="S107" s="460">
        <f>+Underwriting!AE82</f>
        <v>223273.95833333308</v>
      </c>
      <c r="T107" s="460">
        <f>+Underwriting!AF82</f>
        <v>223273.95833333363</v>
      </c>
      <c r="U107" s="460">
        <f>+Underwriting!AG82</f>
        <v>223273.95833333308</v>
      </c>
      <c r="V107" s="460">
        <f>+Underwriting!AH82</f>
        <v>223273.95833333308</v>
      </c>
      <c r="W107" s="460">
        <f>+Underwriting!AI82</f>
        <v>223273.95833333363</v>
      </c>
      <c r="X107" s="460">
        <f>+Underwriting!AJ82</f>
        <v>223273.95833333308</v>
      </c>
      <c r="Y107" s="460">
        <f>+Underwriting!AK82</f>
        <v>223273.95833333308</v>
      </c>
      <c r="Z107" s="460">
        <f>+Underwriting!AL82</f>
        <v>223273.95833333363</v>
      </c>
      <c r="AA107" s="460">
        <f>+Underwriting!AM82</f>
        <v>223273.95833333308</v>
      </c>
      <c r="AB107" s="460">
        <f>+Underwriting!AN82</f>
        <v>223273.95833333308</v>
      </c>
      <c r="AC107" s="460">
        <f>+Underwriting!AO82</f>
        <v>223273.95833333363</v>
      </c>
      <c r="AD107" s="460">
        <f>+Underwriting!AP82</f>
        <v>223273.95833333308</v>
      </c>
      <c r="AE107" s="460">
        <f>+Underwriting!AQ82</f>
        <v>0</v>
      </c>
      <c r="AF107" s="460">
        <f>+Underwriting!AR82</f>
        <v>0</v>
      </c>
      <c r="AG107" s="460">
        <f>+Underwriting!AS82</f>
        <v>0</v>
      </c>
      <c r="AH107" s="460">
        <f>+Underwriting!AT82</f>
        <v>0</v>
      </c>
      <c r="AI107" s="460">
        <f>+Underwriting!AU82</f>
        <v>0</v>
      </c>
      <c r="AJ107" s="460">
        <f>+Underwriting!AV82</f>
        <v>0</v>
      </c>
      <c r="AK107" s="460">
        <f>+Underwriting!AW82</f>
        <v>0</v>
      </c>
      <c r="AL107" s="460">
        <f>+Underwriting!AX82</f>
        <v>0</v>
      </c>
      <c r="AM107" s="460">
        <f>+Underwriting!AY82</f>
        <v>0</v>
      </c>
      <c r="AN107" s="460">
        <f>+Underwriting!AZ82</f>
        <v>0</v>
      </c>
      <c r="AO107" s="460">
        <f>+Underwriting!BA82</f>
        <v>0</v>
      </c>
      <c r="AP107" s="460">
        <f>+Underwriting!BB82</f>
        <v>0</v>
      </c>
      <c r="AQ107" s="460">
        <f>+Underwriting!BC82</f>
        <v>-41476395.000000291</v>
      </c>
      <c r="AR107" s="460">
        <f>+Underwriting!BD82</f>
        <v>0</v>
      </c>
      <c r="AS107" s="460">
        <f>+Underwriting!BE82</f>
        <v>0</v>
      </c>
      <c r="AT107" s="460">
        <f>+Underwriting!BF82</f>
        <v>0</v>
      </c>
      <c r="AU107" s="460">
        <f>+Underwriting!BG82</f>
        <v>0</v>
      </c>
      <c r="AV107" s="460">
        <f>+Underwriting!BH82</f>
        <v>0</v>
      </c>
      <c r="AW107" s="460">
        <f>+Underwriting!BI82</f>
        <v>0</v>
      </c>
      <c r="AX107" s="460">
        <f>+Underwriting!BJ82</f>
        <v>0</v>
      </c>
      <c r="AY107" s="460">
        <f>+Underwriting!BK82</f>
        <v>0</v>
      </c>
      <c r="AZ107" s="460">
        <f>+Underwriting!BL82</f>
        <v>0</v>
      </c>
      <c r="BA107" s="460">
        <f>+Underwriting!BM82</f>
        <v>0</v>
      </c>
      <c r="BB107" s="460">
        <f>+Underwriting!BN82</f>
        <v>0</v>
      </c>
      <c r="BC107" s="460">
        <f>+Underwriting!BO82</f>
        <v>0</v>
      </c>
      <c r="BD107" s="460">
        <f>+Underwriting!BP82</f>
        <v>0</v>
      </c>
      <c r="BE107" s="460">
        <f>+Underwriting!BQ82</f>
        <v>0</v>
      </c>
      <c r="BF107" s="460">
        <f>+Underwriting!BR82</f>
        <v>0</v>
      </c>
      <c r="BG107" s="460">
        <f>+Underwriting!BS82</f>
        <v>0</v>
      </c>
      <c r="BH107" s="460">
        <f>+Underwriting!BT82</f>
        <v>0</v>
      </c>
      <c r="BI107" s="460">
        <f>+Underwriting!BU82</f>
        <v>0</v>
      </c>
      <c r="BJ107" s="460">
        <f>+Underwriting!BV82</f>
        <v>0</v>
      </c>
      <c r="BK107" s="460">
        <f>+Underwriting!BW82</f>
        <v>0</v>
      </c>
      <c r="BL107" s="460">
        <f>+Underwriting!BX82</f>
        <v>0</v>
      </c>
      <c r="BM107" s="460">
        <f>+Underwriting!BY82</f>
        <v>0</v>
      </c>
      <c r="BN107" s="460">
        <f>+Underwriting!BZ82</f>
        <v>0</v>
      </c>
      <c r="BO107" s="460">
        <f>+Underwriting!CA82</f>
        <v>0</v>
      </c>
      <c r="BP107" s="460">
        <f>+Underwriting!CB82</f>
        <v>0</v>
      </c>
      <c r="BQ107" s="460">
        <f>+Underwriting!CC82</f>
        <v>0</v>
      </c>
      <c r="BR107" s="460">
        <f>+Underwriting!CD82</f>
        <v>0</v>
      </c>
      <c r="BS107" s="460">
        <f>+Underwriting!CE82</f>
        <v>0</v>
      </c>
      <c r="BT107" s="460">
        <f>+Underwriting!CF82</f>
        <v>0</v>
      </c>
      <c r="BU107" s="460">
        <f>+Underwriting!CG82</f>
        <v>0</v>
      </c>
      <c r="BV107" s="460">
        <f>+Underwriting!CH82</f>
        <v>0</v>
      </c>
      <c r="BW107" s="460">
        <f>+Underwriting!CI82</f>
        <v>0</v>
      </c>
      <c r="BX107" s="460">
        <f>+Underwriting!CJ82</f>
        <v>0</v>
      </c>
      <c r="BY107" s="460">
        <f>+Underwriting!CK82</f>
        <v>0</v>
      </c>
      <c r="BZ107" s="460">
        <f>+Underwriting!CL82</f>
        <v>0</v>
      </c>
      <c r="CA107" s="460">
        <f>+Underwriting!CM82</f>
        <v>0</v>
      </c>
      <c r="CB107" s="460">
        <f>+Underwriting!CN82</f>
        <v>0</v>
      </c>
      <c r="CC107" s="460">
        <f>+Underwriting!CO82</f>
        <v>0</v>
      </c>
      <c r="CD107" s="460">
        <f>+Underwriting!CP82</f>
        <v>0</v>
      </c>
      <c r="CE107" s="460">
        <f>+Underwriting!CQ82</f>
        <v>0</v>
      </c>
      <c r="CF107" s="460">
        <f>+Underwriting!CR82</f>
        <v>0</v>
      </c>
      <c r="CG107" s="460">
        <f>+Underwriting!CS82</f>
        <v>0</v>
      </c>
      <c r="CH107" s="460">
        <f>+Underwriting!CT82</f>
        <v>0</v>
      </c>
      <c r="CI107" s="460">
        <f>+Underwriting!CU82</f>
        <v>0</v>
      </c>
      <c r="CJ107" s="460">
        <f>+Underwriting!CV82</f>
        <v>0</v>
      </c>
      <c r="CK107" s="460">
        <f>+Underwriting!CW82</f>
        <v>0</v>
      </c>
      <c r="CL107" s="460">
        <f>+Underwriting!CX82</f>
        <v>0</v>
      </c>
      <c r="CM107" s="460">
        <f>+Underwriting!CY82</f>
        <v>0</v>
      </c>
      <c r="CN107" s="460">
        <f>+Underwriting!CZ82</f>
        <v>0</v>
      </c>
      <c r="CO107" s="460">
        <f>+Underwriting!DA82</f>
        <v>0</v>
      </c>
      <c r="CP107" s="460">
        <f>+Underwriting!DB82</f>
        <v>0</v>
      </c>
      <c r="CQ107" s="460">
        <f>+Underwriting!DC82</f>
        <v>0</v>
      </c>
      <c r="CR107" s="460">
        <f>+Underwriting!DD82</f>
        <v>0</v>
      </c>
      <c r="CS107" s="460">
        <f>+Underwriting!DE82</f>
        <v>0</v>
      </c>
      <c r="CT107" s="460">
        <f>+Underwriting!DF82</f>
        <v>0</v>
      </c>
      <c r="CU107" s="460">
        <f>+Underwriting!DG82</f>
        <v>0</v>
      </c>
      <c r="CV107" s="460">
        <f>+Underwriting!DH82</f>
        <v>0</v>
      </c>
      <c r="CW107" s="460">
        <f>+Underwriting!DI82</f>
        <v>0</v>
      </c>
      <c r="CX107" s="460">
        <f>+Underwriting!DJ82</f>
        <v>0</v>
      </c>
      <c r="CY107" s="460">
        <f>+Underwriting!DK82</f>
        <v>0</v>
      </c>
      <c r="CZ107" s="460">
        <f>+Underwriting!DL82</f>
        <v>0</v>
      </c>
      <c r="DA107" s="460">
        <f>+Underwriting!DM82</f>
        <v>0</v>
      </c>
      <c r="DB107" s="460">
        <f>+Underwriting!DN82</f>
        <v>0</v>
      </c>
      <c r="DC107" s="460">
        <f>+Underwriting!DO82</f>
        <v>0</v>
      </c>
      <c r="DD107" s="460">
        <f>+Underwriting!DP82</f>
        <v>0</v>
      </c>
      <c r="DE107" s="460">
        <f>+Underwriting!DQ82</f>
        <v>0</v>
      </c>
      <c r="DF107" s="460">
        <f>+Underwriting!DR82</f>
        <v>0</v>
      </c>
      <c r="DG107" s="460">
        <f>+Underwriting!DS82</f>
        <v>0</v>
      </c>
      <c r="DH107" s="460">
        <f>+Underwriting!DT82</f>
        <v>0</v>
      </c>
      <c r="DI107" s="460">
        <f>+Underwriting!DU82</f>
        <v>0</v>
      </c>
      <c r="DJ107" s="460">
        <f>+Underwriting!DV82</f>
        <v>0</v>
      </c>
      <c r="DK107" s="460">
        <f>+Underwriting!DW82</f>
        <v>0</v>
      </c>
      <c r="DL107" s="460">
        <f>+Underwriting!DX82</f>
        <v>0</v>
      </c>
      <c r="DM107" s="460">
        <f>+Underwriting!DY82</f>
        <v>0</v>
      </c>
      <c r="DN107" s="460">
        <f>+Underwriting!DZ82</f>
        <v>0</v>
      </c>
      <c r="DO107" s="460">
        <f>+Underwriting!EA82</f>
        <v>0</v>
      </c>
      <c r="DP107" s="460">
        <f>+Underwriting!EB82</f>
        <v>0</v>
      </c>
      <c r="DQ107" s="460">
        <f>+Underwriting!EC82</f>
        <v>0</v>
      </c>
      <c r="DR107" s="460">
        <f>+Underwriting!ED82</f>
        <v>0</v>
      </c>
      <c r="DS107" s="460">
        <f>+Underwriting!EE82</f>
        <v>0</v>
      </c>
      <c r="DT107" s="460">
        <f>+Underwriting!EF82</f>
        <v>0</v>
      </c>
      <c r="DU107" s="460">
        <f>+Underwriting!EG82</f>
        <v>0</v>
      </c>
      <c r="DV107" s="460">
        <f>+Underwriting!EH82</f>
        <v>0</v>
      </c>
      <c r="DW107" s="460">
        <f>+Underwriting!EI82</f>
        <v>0</v>
      </c>
      <c r="DX107" s="460">
        <f>+Underwriting!EJ82</f>
        <v>0</v>
      </c>
      <c r="DY107" s="460">
        <f>+Underwriting!EK82</f>
        <v>0</v>
      </c>
      <c r="DZ107" s="460">
        <f>+Underwriting!EL82</f>
        <v>0</v>
      </c>
      <c r="EA107" s="460">
        <f>+Underwriting!EM82</f>
        <v>0</v>
      </c>
      <c r="EB107" s="460">
        <f>+Underwriting!EN82</f>
        <v>0</v>
      </c>
      <c r="EC107" s="460">
        <f>+Underwriting!EO82</f>
        <v>0</v>
      </c>
      <c r="ED107" s="460">
        <f>+Underwriting!EP82</f>
        <v>0</v>
      </c>
      <c r="EE107" s="460">
        <f>+Underwriting!EQ82</f>
        <v>0</v>
      </c>
      <c r="EF107" s="460">
        <f>+Underwriting!ER82</f>
        <v>0</v>
      </c>
      <c r="EG107" s="460">
        <f>+Underwriting!ES82</f>
        <v>0</v>
      </c>
      <c r="EH107" s="460">
        <f>+Underwriting!ET82</f>
        <v>0</v>
      </c>
      <c r="EI107" s="460">
        <f>+Underwriting!EU82</f>
        <v>0</v>
      </c>
    </row>
    <row r="108" spans="2:139" ht="14.25" hidden="1" customHeight="1" outlineLevel="1" x14ac:dyDescent="0.25">
      <c r="B108" s="3" t="s">
        <v>232</v>
      </c>
      <c r="C108" s="3"/>
      <c r="D108" s="3"/>
      <c r="E108" s="3"/>
      <c r="F108" s="3"/>
      <c r="G108" s="460">
        <f>+G70</f>
        <v>225000</v>
      </c>
      <c r="H108" s="460">
        <f t="shared" ref="H108:BS108" si="72">+H70</f>
        <v>0</v>
      </c>
      <c r="I108" s="460">
        <f t="shared" si="72"/>
        <v>0</v>
      </c>
      <c r="J108" s="460">
        <f t="shared" si="72"/>
        <v>0</v>
      </c>
      <c r="K108" s="460">
        <f t="shared" si="72"/>
        <v>0</v>
      </c>
      <c r="L108" s="460">
        <f t="shared" si="72"/>
        <v>0</v>
      </c>
      <c r="M108" s="460">
        <f t="shared" si="72"/>
        <v>0</v>
      </c>
      <c r="N108" s="460">
        <f t="shared" si="72"/>
        <v>0</v>
      </c>
      <c r="O108" s="460">
        <f t="shared" si="72"/>
        <v>0</v>
      </c>
      <c r="P108" s="460">
        <f t="shared" si="72"/>
        <v>0</v>
      </c>
      <c r="Q108" s="460">
        <f t="shared" si="72"/>
        <v>0</v>
      </c>
      <c r="R108" s="460">
        <f t="shared" si="72"/>
        <v>0</v>
      </c>
      <c r="S108" s="460">
        <f t="shared" si="72"/>
        <v>0</v>
      </c>
      <c r="T108" s="460">
        <f t="shared" si="72"/>
        <v>0</v>
      </c>
      <c r="U108" s="460">
        <f t="shared" si="72"/>
        <v>0</v>
      </c>
      <c r="V108" s="460">
        <f t="shared" si="72"/>
        <v>0</v>
      </c>
      <c r="W108" s="460">
        <f t="shared" si="72"/>
        <v>0</v>
      </c>
      <c r="X108" s="460">
        <f t="shared" si="72"/>
        <v>0</v>
      </c>
      <c r="Y108" s="460">
        <f t="shared" si="72"/>
        <v>0</v>
      </c>
      <c r="Z108" s="460">
        <f t="shared" si="72"/>
        <v>0</v>
      </c>
      <c r="AA108" s="460">
        <f t="shared" si="72"/>
        <v>0</v>
      </c>
      <c r="AB108" s="460">
        <f t="shared" si="72"/>
        <v>0</v>
      </c>
      <c r="AC108" s="460">
        <f t="shared" si="72"/>
        <v>0</v>
      </c>
      <c r="AD108" s="460">
        <f t="shared" si="72"/>
        <v>0</v>
      </c>
      <c r="AE108" s="460">
        <f t="shared" si="72"/>
        <v>0</v>
      </c>
      <c r="AF108" s="460">
        <f t="shared" si="72"/>
        <v>0</v>
      </c>
      <c r="AG108" s="460">
        <f t="shared" si="72"/>
        <v>0</v>
      </c>
      <c r="AH108" s="460">
        <f t="shared" si="72"/>
        <v>0</v>
      </c>
      <c r="AI108" s="460">
        <f t="shared" si="72"/>
        <v>0</v>
      </c>
      <c r="AJ108" s="460">
        <f t="shared" si="72"/>
        <v>0</v>
      </c>
      <c r="AK108" s="460">
        <f t="shared" si="72"/>
        <v>0</v>
      </c>
      <c r="AL108" s="460">
        <f t="shared" si="72"/>
        <v>0</v>
      </c>
      <c r="AM108" s="460">
        <f t="shared" si="72"/>
        <v>0</v>
      </c>
      <c r="AN108" s="460">
        <f t="shared" si="72"/>
        <v>0</v>
      </c>
      <c r="AO108" s="460">
        <f t="shared" si="72"/>
        <v>0</v>
      </c>
      <c r="AP108" s="460">
        <f t="shared" si="72"/>
        <v>0</v>
      </c>
      <c r="AQ108" s="460">
        <f t="shared" si="72"/>
        <v>0</v>
      </c>
      <c r="AR108" s="460">
        <f t="shared" si="72"/>
        <v>0</v>
      </c>
      <c r="AS108" s="460">
        <f t="shared" si="72"/>
        <v>0</v>
      </c>
      <c r="AT108" s="460">
        <f t="shared" si="72"/>
        <v>0</v>
      </c>
      <c r="AU108" s="460">
        <f t="shared" si="72"/>
        <v>0</v>
      </c>
      <c r="AV108" s="460">
        <f t="shared" si="72"/>
        <v>0</v>
      </c>
      <c r="AW108" s="460">
        <f t="shared" si="72"/>
        <v>0</v>
      </c>
      <c r="AX108" s="460">
        <f t="shared" si="72"/>
        <v>0</v>
      </c>
      <c r="AY108" s="460">
        <f t="shared" si="72"/>
        <v>0</v>
      </c>
      <c r="AZ108" s="460">
        <f t="shared" si="72"/>
        <v>0</v>
      </c>
      <c r="BA108" s="460">
        <f t="shared" si="72"/>
        <v>0</v>
      </c>
      <c r="BB108" s="460">
        <f t="shared" si="72"/>
        <v>0</v>
      </c>
      <c r="BC108" s="460">
        <f t="shared" si="72"/>
        <v>0</v>
      </c>
      <c r="BD108" s="460">
        <f t="shared" si="72"/>
        <v>0</v>
      </c>
      <c r="BE108" s="460">
        <f t="shared" si="72"/>
        <v>0</v>
      </c>
      <c r="BF108" s="460">
        <f t="shared" si="72"/>
        <v>0</v>
      </c>
      <c r="BG108" s="460">
        <f t="shared" si="72"/>
        <v>0</v>
      </c>
      <c r="BH108" s="460">
        <f t="shared" si="72"/>
        <v>0</v>
      </c>
      <c r="BI108" s="460">
        <f t="shared" si="72"/>
        <v>0</v>
      </c>
      <c r="BJ108" s="460">
        <f t="shared" si="72"/>
        <v>0</v>
      </c>
      <c r="BK108" s="460">
        <f t="shared" si="72"/>
        <v>0</v>
      </c>
      <c r="BL108" s="460">
        <f t="shared" si="72"/>
        <v>0</v>
      </c>
      <c r="BM108" s="460">
        <f t="shared" si="72"/>
        <v>0</v>
      </c>
      <c r="BN108" s="460">
        <f t="shared" si="72"/>
        <v>0</v>
      </c>
      <c r="BO108" s="460">
        <f t="shared" si="72"/>
        <v>0</v>
      </c>
      <c r="BP108" s="460">
        <f t="shared" si="72"/>
        <v>0</v>
      </c>
      <c r="BQ108" s="460">
        <f t="shared" si="72"/>
        <v>0</v>
      </c>
      <c r="BR108" s="460">
        <f t="shared" si="72"/>
        <v>0</v>
      </c>
      <c r="BS108" s="460">
        <f t="shared" si="72"/>
        <v>0</v>
      </c>
      <c r="BT108" s="460">
        <f t="shared" ref="BT108:EE108" si="73">+BT70</f>
        <v>0</v>
      </c>
      <c r="BU108" s="460">
        <f t="shared" si="73"/>
        <v>0</v>
      </c>
      <c r="BV108" s="460">
        <f t="shared" si="73"/>
        <v>0</v>
      </c>
      <c r="BW108" s="460">
        <f t="shared" si="73"/>
        <v>0</v>
      </c>
      <c r="BX108" s="460">
        <f t="shared" si="73"/>
        <v>0</v>
      </c>
      <c r="BY108" s="460">
        <f t="shared" si="73"/>
        <v>0</v>
      </c>
      <c r="BZ108" s="460">
        <f t="shared" si="73"/>
        <v>0</v>
      </c>
      <c r="CA108" s="460">
        <f t="shared" si="73"/>
        <v>0</v>
      </c>
      <c r="CB108" s="460">
        <f t="shared" si="73"/>
        <v>0</v>
      </c>
      <c r="CC108" s="460">
        <f t="shared" si="73"/>
        <v>0</v>
      </c>
      <c r="CD108" s="460">
        <f t="shared" si="73"/>
        <v>0</v>
      </c>
      <c r="CE108" s="460">
        <f t="shared" si="73"/>
        <v>0</v>
      </c>
      <c r="CF108" s="460">
        <f t="shared" si="73"/>
        <v>0</v>
      </c>
      <c r="CG108" s="460">
        <f t="shared" si="73"/>
        <v>0</v>
      </c>
      <c r="CH108" s="460">
        <f t="shared" si="73"/>
        <v>0</v>
      </c>
      <c r="CI108" s="460">
        <f t="shared" si="73"/>
        <v>0</v>
      </c>
      <c r="CJ108" s="460">
        <f t="shared" si="73"/>
        <v>0</v>
      </c>
      <c r="CK108" s="460">
        <f t="shared" si="73"/>
        <v>0</v>
      </c>
      <c r="CL108" s="460">
        <f t="shared" si="73"/>
        <v>0</v>
      </c>
      <c r="CM108" s="460">
        <f t="shared" si="73"/>
        <v>0</v>
      </c>
      <c r="CN108" s="460">
        <f t="shared" si="73"/>
        <v>0</v>
      </c>
      <c r="CO108" s="460">
        <f t="shared" si="73"/>
        <v>0</v>
      </c>
      <c r="CP108" s="460">
        <f t="shared" si="73"/>
        <v>0</v>
      </c>
      <c r="CQ108" s="460">
        <f t="shared" si="73"/>
        <v>0</v>
      </c>
      <c r="CR108" s="460">
        <f t="shared" si="73"/>
        <v>0</v>
      </c>
      <c r="CS108" s="460">
        <f t="shared" si="73"/>
        <v>0</v>
      </c>
      <c r="CT108" s="460">
        <f t="shared" si="73"/>
        <v>0</v>
      </c>
      <c r="CU108" s="460">
        <f t="shared" si="73"/>
        <v>0</v>
      </c>
      <c r="CV108" s="460">
        <f t="shared" si="73"/>
        <v>0</v>
      </c>
      <c r="CW108" s="460">
        <f t="shared" si="73"/>
        <v>0</v>
      </c>
      <c r="CX108" s="460">
        <f t="shared" si="73"/>
        <v>0</v>
      </c>
      <c r="CY108" s="460">
        <f t="shared" si="73"/>
        <v>0</v>
      </c>
      <c r="CZ108" s="460">
        <f t="shared" si="73"/>
        <v>0</v>
      </c>
      <c r="DA108" s="460">
        <f t="shared" si="73"/>
        <v>0</v>
      </c>
      <c r="DB108" s="460">
        <f t="shared" si="73"/>
        <v>0</v>
      </c>
      <c r="DC108" s="460">
        <f t="shared" si="73"/>
        <v>0</v>
      </c>
      <c r="DD108" s="460">
        <f t="shared" si="73"/>
        <v>0</v>
      </c>
      <c r="DE108" s="460">
        <f t="shared" si="73"/>
        <v>0</v>
      </c>
      <c r="DF108" s="460">
        <f t="shared" si="73"/>
        <v>0</v>
      </c>
      <c r="DG108" s="460">
        <f t="shared" si="73"/>
        <v>0</v>
      </c>
      <c r="DH108" s="460">
        <f t="shared" si="73"/>
        <v>0</v>
      </c>
      <c r="DI108" s="460">
        <f t="shared" si="73"/>
        <v>0</v>
      </c>
      <c r="DJ108" s="460">
        <f t="shared" si="73"/>
        <v>0</v>
      </c>
      <c r="DK108" s="460">
        <f t="shared" si="73"/>
        <v>0</v>
      </c>
      <c r="DL108" s="460">
        <f t="shared" si="73"/>
        <v>0</v>
      </c>
      <c r="DM108" s="460">
        <f t="shared" si="73"/>
        <v>0</v>
      </c>
      <c r="DN108" s="460">
        <f t="shared" si="73"/>
        <v>0</v>
      </c>
      <c r="DO108" s="460">
        <f t="shared" si="73"/>
        <v>0</v>
      </c>
      <c r="DP108" s="460">
        <f t="shared" si="73"/>
        <v>0</v>
      </c>
      <c r="DQ108" s="460">
        <f t="shared" si="73"/>
        <v>0</v>
      </c>
      <c r="DR108" s="460">
        <f t="shared" si="73"/>
        <v>0</v>
      </c>
      <c r="DS108" s="460">
        <f t="shared" si="73"/>
        <v>0</v>
      </c>
      <c r="DT108" s="460">
        <f t="shared" si="73"/>
        <v>0</v>
      </c>
      <c r="DU108" s="460">
        <f t="shared" si="73"/>
        <v>0</v>
      </c>
      <c r="DV108" s="460">
        <f t="shared" si="73"/>
        <v>0</v>
      </c>
      <c r="DW108" s="460">
        <f t="shared" si="73"/>
        <v>0</v>
      </c>
      <c r="DX108" s="460">
        <f t="shared" si="73"/>
        <v>0</v>
      </c>
      <c r="DY108" s="460">
        <f t="shared" si="73"/>
        <v>0</v>
      </c>
      <c r="DZ108" s="460">
        <f t="shared" si="73"/>
        <v>0</v>
      </c>
      <c r="EA108" s="460">
        <f t="shared" si="73"/>
        <v>0</v>
      </c>
      <c r="EB108" s="460">
        <f t="shared" si="73"/>
        <v>0</v>
      </c>
      <c r="EC108" s="460">
        <f t="shared" si="73"/>
        <v>0</v>
      </c>
      <c r="ED108" s="460">
        <f t="shared" si="73"/>
        <v>0</v>
      </c>
      <c r="EE108" s="460">
        <f t="shared" si="73"/>
        <v>0</v>
      </c>
      <c r="EF108" s="460">
        <f t="shared" ref="EF108:EI108" si="74">+EF70</f>
        <v>0</v>
      </c>
      <c r="EG108" s="460">
        <f t="shared" si="74"/>
        <v>0</v>
      </c>
      <c r="EH108" s="460">
        <f t="shared" si="74"/>
        <v>0</v>
      </c>
      <c r="EI108" s="460">
        <f t="shared" si="74"/>
        <v>0</v>
      </c>
    </row>
    <row r="109" spans="2:139" ht="14.25" hidden="1" customHeight="1" outlineLevel="1" x14ac:dyDescent="0.25">
      <c r="B109" s="3" t="s">
        <v>222</v>
      </c>
      <c r="C109" s="3"/>
      <c r="D109" s="3"/>
      <c r="E109" s="3"/>
      <c r="F109" s="3"/>
      <c r="G109" s="460"/>
      <c r="H109" s="460">
        <f t="shared" ref="H109:BS109" si="75">+H101</f>
        <v>255693.37575833331</v>
      </c>
      <c r="I109" s="460">
        <f t="shared" si="75"/>
        <v>259486.90061326919</v>
      </c>
      <c r="J109" s="460">
        <f t="shared" si="75"/>
        <v>263304.89628932683</v>
      </c>
      <c r="K109" s="460">
        <f t="shared" si="75"/>
        <v>267147.40918794868</v>
      </c>
      <c r="L109" s="460">
        <f t="shared" si="75"/>
        <v>271014.48571057693</v>
      </c>
      <c r="M109" s="460">
        <f t="shared" si="75"/>
        <v>274906.17225865379</v>
      </c>
      <c r="N109" s="460">
        <f t="shared" si="75"/>
        <v>278822.51523362182</v>
      </c>
      <c r="O109" s="460">
        <f t="shared" si="75"/>
        <v>282763.56103692309</v>
      </c>
      <c r="P109" s="460">
        <f t="shared" si="75"/>
        <v>286729.35606999998</v>
      </c>
      <c r="Q109" s="460">
        <f t="shared" si="75"/>
        <v>290719.94673429488</v>
      </c>
      <c r="R109" s="460">
        <f t="shared" si="75"/>
        <v>294735.37943124998</v>
      </c>
      <c r="S109" s="460">
        <f t="shared" si="75"/>
        <v>298775.70056230773</v>
      </c>
      <c r="T109" s="460">
        <f t="shared" si="75"/>
        <v>303464.75931516237</v>
      </c>
      <c r="U109" s="460">
        <f t="shared" si="75"/>
        <v>308196.95202906855</v>
      </c>
      <c r="V109" s="460">
        <f t="shared" si="75"/>
        <v>312972.53486472927</v>
      </c>
      <c r="W109" s="460">
        <f t="shared" si="75"/>
        <v>317791.76515390462</v>
      </c>
      <c r="X109" s="460">
        <f t="shared" si="75"/>
        <v>322654.90140396269</v>
      </c>
      <c r="Y109" s="460">
        <f t="shared" si="75"/>
        <v>327562.20330244687</v>
      </c>
      <c r="Z109" s="460">
        <f t="shared" si="75"/>
        <v>332513.93172165821</v>
      </c>
      <c r="AA109" s="460">
        <f t="shared" si="75"/>
        <v>337510.34872325434</v>
      </c>
      <c r="AB109" s="460">
        <f t="shared" si="75"/>
        <v>342551.71756286442</v>
      </c>
      <c r="AC109" s="460">
        <f t="shared" si="75"/>
        <v>347638.30269471952</v>
      </c>
      <c r="AD109" s="460">
        <f t="shared" si="75"/>
        <v>352770.36977630015</v>
      </c>
      <c r="AE109" s="460">
        <f t="shared" si="75"/>
        <v>357948.18567299953</v>
      </c>
      <c r="AF109" s="460">
        <f t="shared" si="75"/>
        <v>380117.76310722309</v>
      </c>
      <c r="AG109" s="460">
        <f t="shared" si="75"/>
        <v>380900.74346248305</v>
      </c>
      <c r="AH109" s="460">
        <f t="shared" si="75"/>
        <v>381685.33662907704</v>
      </c>
      <c r="AI109" s="460">
        <f t="shared" si="75"/>
        <v>382471.54592913273</v>
      </c>
      <c r="AJ109" s="460">
        <f t="shared" si="75"/>
        <v>383259.37469162041</v>
      </c>
      <c r="AK109" s="460">
        <f t="shared" si="75"/>
        <v>384048.82625236746</v>
      </c>
      <c r="AL109" s="460">
        <f t="shared" si="75"/>
        <v>384839.90395407268</v>
      </c>
      <c r="AM109" s="460">
        <f t="shared" si="75"/>
        <v>385632.61114631995</v>
      </c>
      <c r="AN109" s="460">
        <f t="shared" si="75"/>
        <v>386426.95118559327</v>
      </c>
      <c r="AO109" s="460">
        <f t="shared" si="75"/>
        <v>387222.92743529024</v>
      </c>
      <c r="AP109" s="460">
        <f t="shared" si="75"/>
        <v>388020.54326573602</v>
      </c>
      <c r="AQ109" s="460">
        <f t="shared" si="75"/>
        <v>388819.80205419892</v>
      </c>
      <c r="AR109" s="460">
        <f t="shared" si="75"/>
        <v>389620.70718490315</v>
      </c>
      <c r="AS109" s="460">
        <f t="shared" si="75"/>
        <v>390423.26204904454</v>
      </c>
      <c r="AT109" s="460">
        <f t="shared" si="75"/>
        <v>391227.47004480357</v>
      </c>
      <c r="AU109" s="460">
        <f t="shared" si="75"/>
        <v>392033.33457736054</v>
      </c>
      <c r="AV109" s="460">
        <f t="shared" si="75"/>
        <v>392840.85905891028</v>
      </c>
      <c r="AW109" s="460">
        <f t="shared" si="75"/>
        <v>393650.0469086761</v>
      </c>
      <c r="AX109" s="460">
        <f t="shared" si="75"/>
        <v>394460.9015529239</v>
      </c>
      <c r="AY109" s="460">
        <f t="shared" si="75"/>
        <v>395273.42642497737</v>
      </c>
      <c r="AZ109" s="460">
        <f t="shared" si="75"/>
        <v>396087.62496523262</v>
      </c>
      <c r="BA109" s="460">
        <f t="shared" si="75"/>
        <v>396903.50062117196</v>
      </c>
      <c r="BB109" s="460">
        <f t="shared" si="75"/>
        <v>397721.05684737902</v>
      </c>
      <c r="BC109" s="460">
        <f t="shared" si="75"/>
        <v>398540.29710555339</v>
      </c>
      <c r="BD109" s="460">
        <f t="shared" si="75"/>
        <v>399361.22486452531</v>
      </c>
      <c r="BE109" s="460">
        <f t="shared" si="75"/>
        <v>400183.84360027016</v>
      </c>
      <c r="BF109" s="460">
        <f t="shared" si="75"/>
        <v>401008.15679592278</v>
      </c>
      <c r="BG109" s="460">
        <f t="shared" si="75"/>
        <v>401834.16794179397</v>
      </c>
      <c r="BH109" s="460">
        <f t="shared" si="75"/>
        <v>402661.88053538254</v>
      </c>
      <c r="BI109" s="460">
        <f t="shared" si="75"/>
        <v>403491.29808139248</v>
      </c>
      <c r="BJ109" s="460">
        <f t="shared" si="75"/>
        <v>404322.42409174639</v>
      </c>
      <c r="BK109" s="460">
        <f t="shared" si="75"/>
        <v>405155.2620856014</v>
      </c>
      <c r="BL109" s="460">
        <f t="shared" si="75"/>
        <v>405989.81558936305</v>
      </c>
      <c r="BM109" s="460">
        <f t="shared" si="75"/>
        <v>406826.08813670074</v>
      </c>
      <c r="BN109" s="460">
        <f t="shared" si="75"/>
        <v>407664.0832685628</v>
      </c>
      <c r="BO109" s="460">
        <f t="shared" si="75"/>
        <v>408503.80453319167</v>
      </c>
      <c r="BP109" s="460">
        <f t="shared" si="75"/>
        <v>409345.25548613787</v>
      </c>
      <c r="BQ109" s="460">
        <f t="shared" si="75"/>
        <v>410188.43969027634</v>
      </c>
      <c r="BR109" s="460">
        <f t="shared" si="75"/>
        <v>411033.3607158204</v>
      </c>
      <c r="BS109" s="460">
        <f t="shared" si="75"/>
        <v>411880.0221403382</v>
      </c>
      <c r="BT109" s="460">
        <f t="shared" ref="BT109:EE109" si="76">+BT101</f>
        <v>412728.42754876672</v>
      </c>
      <c r="BU109" s="460">
        <f t="shared" si="76"/>
        <v>413578.5805334266</v>
      </c>
      <c r="BV109" s="460">
        <f t="shared" si="76"/>
        <v>414430.48469403962</v>
      </c>
      <c r="BW109" s="460">
        <f t="shared" si="76"/>
        <v>415284.14363774081</v>
      </c>
      <c r="BX109" s="460">
        <f t="shared" si="76"/>
        <v>416139.56097909651</v>
      </c>
      <c r="BY109" s="460">
        <f t="shared" si="76"/>
        <v>416996.7403401176</v>
      </c>
      <c r="BZ109" s="460">
        <f t="shared" si="76"/>
        <v>417855.68535027641</v>
      </c>
      <c r="CA109" s="460">
        <f t="shared" si="76"/>
        <v>418716.39964652091</v>
      </c>
      <c r="CB109" s="460">
        <f t="shared" si="76"/>
        <v>419578.88687329082</v>
      </c>
      <c r="CC109" s="460">
        <f t="shared" si="76"/>
        <v>420443.15068253252</v>
      </c>
      <c r="CD109" s="460">
        <f t="shared" si="76"/>
        <v>421309.19473371538</v>
      </c>
      <c r="CE109" s="460">
        <f t="shared" si="76"/>
        <v>422177.0226938462</v>
      </c>
      <c r="CF109" s="460">
        <f t="shared" si="76"/>
        <v>423046.63823748525</v>
      </c>
      <c r="CG109" s="460">
        <f t="shared" si="76"/>
        <v>423918.04504676186</v>
      </c>
      <c r="CH109" s="460">
        <f t="shared" si="76"/>
        <v>424791.24681138986</v>
      </c>
      <c r="CI109" s="460">
        <f t="shared" si="76"/>
        <v>425666.24722868385</v>
      </c>
      <c r="CJ109" s="460">
        <f t="shared" si="76"/>
        <v>426543.0500035733</v>
      </c>
      <c r="CK109" s="460">
        <f t="shared" si="76"/>
        <v>427421.6588486199</v>
      </c>
      <c r="CL109" s="460">
        <f t="shared" si="76"/>
        <v>428302.07748403255</v>
      </c>
      <c r="CM109" s="460">
        <f t="shared" si="76"/>
        <v>429184.30963768339</v>
      </c>
      <c r="CN109" s="460">
        <f t="shared" si="76"/>
        <v>430068.35904512228</v>
      </c>
      <c r="CO109" s="460">
        <f t="shared" si="76"/>
        <v>430954.22944959515</v>
      </c>
      <c r="CP109" s="460">
        <f t="shared" si="76"/>
        <v>431841.92460205761</v>
      </c>
      <c r="CQ109" s="460">
        <f t="shared" si="76"/>
        <v>432731.44826119184</v>
      </c>
      <c r="CR109" s="460">
        <f t="shared" si="76"/>
        <v>433622.80419342167</v>
      </c>
      <c r="CS109" s="460">
        <f t="shared" si="76"/>
        <v>434515.99617293006</v>
      </c>
      <c r="CT109" s="460">
        <f t="shared" si="76"/>
        <v>435411.02798167401</v>
      </c>
      <c r="CU109" s="460">
        <f t="shared" si="76"/>
        <v>436307.90340940026</v>
      </c>
      <c r="CV109" s="460">
        <f t="shared" si="76"/>
        <v>437206.62625366199</v>
      </c>
      <c r="CW109" s="460">
        <f t="shared" si="76"/>
        <v>438107.20031983469</v>
      </c>
      <c r="CX109" s="460">
        <f t="shared" si="76"/>
        <v>439009.62942113291</v>
      </c>
      <c r="CY109" s="460">
        <f t="shared" si="76"/>
        <v>439913.91737862478</v>
      </c>
      <c r="CZ109" s="460">
        <f t="shared" si="76"/>
        <v>440820.06802124978</v>
      </c>
      <c r="DA109" s="460">
        <f t="shared" si="76"/>
        <v>441728.08518583467</v>
      </c>
      <c r="DB109" s="460">
        <f t="shared" si="76"/>
        <v>442637.97271710861</v>
      </c>
      <c r="DC109" s="460">
        <f t="shared" si="76"/>
        <v>443549.73446772108</v>
      </c>
      <c r="DD109" s="460">
        <f t="shared" si="76"/>
        <v>444463.37429825676</v>
      </c>
      <c r="DE109" s="460">
        <f t="shared" si="76"/>
        <v>445378.89607725292</v>
      </c>
      <c r="DF109" s="460">
        <f t="shared" si="76"/>
        <v>446296.30368121527</v>
      </c>
      <c r="DG109" s="460">
        <f t="shared" si="76"/>
        <v>447215.60099463467</v>
      </c>
      <c r="DH109" s="460">
        <f t="shared" si="76"/>
        <v>448136.79191000288</v>
      </c>
      <c r="DI109" s="460">
        <f t="shared" si="76"/>
        <v>449059.88032783021</v>
      </c>
      <c r="DJ109" s="460">
        <f t="shared" si="76"/>
        <v>449984.87015666073</v>
      </c>
      <c r="DK109" s="460">
        <f t="shared" si="76"/>
        <v>450911.76531308994</v>
      </c>
      <c r="DL109" s="460">
        <f t="shared" si="76"/>
        <v>451840.56972178043</v>
      </c>
      <c r="DM109" s="460">
        <f t="shared" si="76"/>
        <v>452771.28731547995</v>
      </c>
      <c r="DN109" s="460">
        <f t="shared" si="76"/>
        <v>453703.92203503585</v>
      </c>
      <c r="DO109" s="460">
        <f t="shared" si="76"/>
        <v>454638.47782941337</v>
      </c>
      <c r="DP109" s="460">
        <f t="shared" si="76"/>
        <v>455574.95865571237</v>
      </c>
      <c r="DQ109" s="460">
        <f t="shared" si="76"/>
        <v>456513.36847918364</v>
      </c>
      <c r="DR109" s="460">
        <f t="shared" si="76"/>
        <v>457453.71127324516</v>
      </c>
      <c r="DS109" s="460">
        <f t="shared" si="76"/>
        <v>458395.99101949978</v>
      </c>
      <c r="DT109" s="460">
        <f t="shared" si="76"/>
        <v>459340.21170775243</v>
      </c>
      <c r="DU109" s="460">
        <f t="shared" si="76"/>
        <v>460286.3773360253</v>
      </c>
      <c r="DV109" s="460">
        <f t="shared" si="76"/>
        <v>461234.49191057653</v>
      </c>
      <c r="DW109" s="460">
        <f t="shared" si="76"/>
        <v>462184.55944591644</v>
      </c>
      <c r="DX109" s="460">
        <f t="shared" si="76"/>
        <v>463136.58396482444</v>
      </c>
      <c r="DY109" s="460">
        <f t="shared" si="76"/>
        <v>464090.56949836633</v>
      </c>
      <c r="DZ109" s="460">
        <f t="shared" si="76"/>
        <v>465046.52008591092</v>
      </c>
      <c r="EA109" s="460">
        <f t="shared" si="76"/>
        <v>466004.43977514817</v>
      </c>
      <c r="EB109" s="460">
        <f t="shared" si="76"/>
        <v>466964.33262210473</v>
      </c>
      <c r="EC109" s="460">
        <f t="shared" si="76"/>
        <v>467926.20269116259</v>
      </c>
      <c r="ED109" s="460">
        <f t="shared" si="76"/>
        <v>468890.05405507563</v>
      </c>
      <c r="EE109" s="460">
        <f t="shared" si="76"/>
        <v>469855.89079498692</v>
      </c>
      <c r="EF109" s="460">
        <f t="shared" ref="EF109:EI109" si="77">+EF101</f>
        <v>470823.71700044564</v>
      </c>
      <c r="EG109" s="460">
        <f t="shared" si="77"/>
        <v>471793.53676942526</v>
      </c>
      <c r="EH109" s="460">
        <f t="shared" si="77"/>
        <v>472765.35420834029</v>
      </c>
      <c r="EI109" s="460">
        <f t="shared" si="77"/>
        <v>473739.17343206372</v>
      </c>
    </row>
    <row r="110" spans="2:139" ht="5.0999999999999996" hidden="1" customHeight="1" outlineLevel="1" x14ac:dyDescent="0.25">
      <c r="B110" s="3"/>
      <c r="C110" s="3"/>
      <c r="D110" s="3"/>
      <c r="E110" s="3"/>
      <c r="F110" s="3"/>
      <c r="G110" s="460"/>
      <c r="H110" s="460"/>
      <c r="I110" s="460"/>
      <c r="J110" s="460"/>
      <c r="K110" s="460"/>
      <c r="L110" s="460"/>
      <c r="M110" s="460"/>
      <c r="N110" s="460"/>
      <c r="O110" s="460"/>
      <c r="P110" s="460"/>
      <c r="Q110" s="460"/>
      <c r="R110" s="460"/>
      <c r="S110" s="460"/>
      <c r="T110" s="460"/>
      <c r="U110" s="460"/>
      <c r="V110" s="460"/>
      <c r="W110" s="460"/>
      <c r="X110" s="460"/>
      <c r="Y110" s="460"/>
      <c r="Z110" s="460"/>
      <c r="AA110" s="460"/>
      <c r="AB110" s="460"/>
      <c r="AC110" s="460"/>
      <c r="AD110" s="460"/>
      <c r="AE110" s="460"/>
      <c r="AF110" s="460"/>
      <c r="AG110" s="460"/>
      <c r="AH110" s="460"/>
      <c r="AI110" s="460"/>
      <c r="AJ110" s="460"/>
      <c r="AK110" s="460"/>
      <c r="AL110" s="460"/>
      <c r="AM110" s="460"/>
      <c r="AN110" s="460"/>
      <c r="AO110" s="460"/>
      <c r="AP110" s="460"/>
      <c r="AQ110" s="460"/>
      <c r="AR110" s="460"/>
      <c r="AS110" s="460"/>
      <c r="AT110" s="460"/>
      <c r="AU110" s="460"/>
      <c r="AV110" s="460"/>
      <c r="AW110" s="460"/>
      <c r="AX110" s="460"/>
      <c r="AY110" s="460"/>
      <c r="AZ110" s="460"/>
      <c r="BA110" s="460"/>
      <c r="BB110" s="460"/>
      <c r="BC110" s="460"/>
      <c r="BD110" s="460"/>
      <c r="BE110" s="460"/>
      <c r="BF110" s="460"/>
      <c r="BG110" s="460"/>
      <c r="BH110" s="460"/>
      <c r="BI110" s="460"/>
      <c r="BJ110" s="460"/>
      <c r="BK110" s="460"/>
      <c r="BL110" s="460"/>
      <c r="BM110" s="460"/>
      <c r="BN110" s="460"/>
      <c r="BO110" s="460"/>
      <c r="BP110" s="460"/>
      <c r="BQ110" s="460"/>
      <c r="BR110" s="460"/>
      <c r="BS110" s="460"/>
      <c r="BT110" s="460"/>
      <c r="BU110" s="460"/>
      <c r="BV110" s="460"/>
      <c r="BW110" s="460"/>
      <c r="BX110" s="460"/>
      <c r="BY110" s="460"/>
      <c r="BZ110" s="460"/>
      <c r="CA110" s="460"/>
      <c r="CB110" s="460"/>
      <c r="CC110" s="460"/>
      <c r="CD110" s="460"/>
      <c r="CE110" s="460"/>
      <c r="CF110" s="460"/>
      <c r="CG110" s="460"/>
      <c r="CH110" s="460"/>
      <c r="CI110" s="460"/>
      <c r="CJ110" s="460"/>
      <c r="CK110" s="460"/>
      <c r="CL110" s="460"/>
      <c r="CM110" s="460"/>
      <c r="CN110" s="460"/>
      <c r="CO110" s="460"/>
      <c r="CP110" s="460"/>
      <c r="CQ110" s="460"/>
      <c r="CR110" s="460"/>
      <c r="CS110" s="460"/>
      <c r="CT110" s="460"/>
      <c r="CU110" s="460"/>
      <c r="CV110" s="460"/>
      <c r="CW110" s="460"/>
      <c r="CX110" s="460"/>
      <c r="CY110" s="460"/>
      <c r="CZ110" s="460"/>
      <c r="DA110" s="460"/>
      <c r="DB110" s="460"/>
      <c r="DC110" s="460"/>
      <c r="DD110" s="460"/>
      <c r="DE110" s="460"/>
      <c r="DF110" s="460"/>
      <c r="DG110" s="460"/>
      <c r="DH110" s="460"/>
      <c r="DI110" s="460"/>
      <c r="DJ110" s="460"/>
      <c r="DK110" s="460"/>
      <c r="DL110" s="460"/>
      <c r="DM110" s="460"/>
      <c r="DN110" s="460"/>
      <c r="DO110" s="460"/>
      <c r="DP110" s="460"/>
      <c r="DQ110" s="460"/>
      <c r="DR110" s="460"/>
      <c r="DS110" s="460"/>
      <c r="DT110" s="460"/>
      <c r="DU110" s="460"/>
      <c r="DV110" s="460"/>
      <c r="DW110" s="460"/>
      <c r="DX110" s="460"/>
      <c r="DY110" s="460"/>
      <c r="DZ110" s="460"/>
      <c r="EA110" s="460"/>
      <c r="EB110" s="460"/>
      <c r="EC110" s="460"/>
      <c r="ED110" s="460"/>
      <c r="EE110" s="460"/>
      <c r="EF110" s="460"/>
      <c r="EG110" s="460"/>
      <c r="EH110" s="460"/>
      <c r="EI110" s="460"/>
    </row>
    <row r="111" spans="2:139" ht="14.25" hidden="1" customHeight="1" outlineLevel="1" x14ac:dyDescent="0.25">
      <c r="B111" s="3" t="s">
        <v>208</v>
      </c>
      <c r="C111" s="3"/>
      <c r="D111" s="3"/>
      <c r="E111" s="3"/>
      <c r="F111" s="3"/>
      <c r="G111" s="460">
        <f ca="1">+Underwriting!S208</f>
        <v>0</v>
      </c>
      <c r="H111" s="460">
        <f ca="1">+Underwriting!T208</f>
        <v>0</v>
      </c>
      <c r="I111" s="460">
        <f ca="1">+Underwriting!U208</f>
        <v>0</v>
      </c>
      <c r="J111" s="460">
        <f ca="1">+Underwriting!V208</f>
        <v>0</v>
      </c>
      <c r="K111" s="460">
        <f ca="1">+Underwriting!W208</f>
        <v>0</v>
      </c>
      <c r="L111" s="460">
        <f ca="1">+Underwriting!X208</f>
        <v>0</v>
      </c>
      <c r="M111" s="460">
        <f ca="1">+Underwriting!Y208</f>
        <v>0</v>
      </c>
      <c r="N111" s="460">
        <f ca="1">+Underwriting!Z208</f>
        <v>0</v>
      </c>
      <c r="O111" s="460">
        <f ca="1">+Underwriting!AA208</f>
        <v>0</v>
      </c>
      <c r="P111" s="460">
        <f ca="1">+Underwriting!AB208</f>
        <v>0</v>
      </c>
      <c r="Q111" s="460">
        <f ca="1">+Underwriting!AC208</f>
        <v>0</v>
      </c>
      <c r="R111" s="460">
        <f ca="1">+Underwriting!AD208</f>
        <v>0</v>
      </c>
      <c r="S111" s="460">
        <f ca="1">+Underwriting!AE208</f>
        <v>0</v>
      </c>
      <c r="T111" s="460">
        <f ca="1">+Underwriting!AF208</f>
        <v>0</v>
      </c>
      <c r="U111" s="460">
        <f ca="1">+Underwriting!AG208</f>
        <v>0</v>
      </c>
      <c r="V111" s="460">
        <f ca="1">+Underwriting!AH208</f>
        <v>0</v>
      </c>
      <c r="W111" s="460">
        <f ca="1">+Underwriting!AI208</f>
        <v>0</v>
      </c>
      <c r="X111" s="460">
        <f ca="1">+Underwriting!AJ208</f>
        <v>0</v>
      </c>
      <c r="Y111" s="460">
        <f ca="1">+Underwriting!AK208</f>
        <v>0</v>
      </c>
      <c r="Z111" s="460">
        <f ca="1">+Underwriting!AL208</f>
        <v>0</v>
      </c>
      <c r="AA111" s="460">
        <f ca="1">+Underwriting!AM208</f>
        <v>0</v>
      </c>
      <c r="AB111" s="460">
        <f ca="1">+Underwriting!AN208</f>
        <v>0</v>
      </c>
      <c r="AC111" s="460">
        <f ca="1">+Underwriting!AO208</f>
        <v>0</v>
      </c>
      <c r="AD111" s="460">
        <f ca="1">+Underwriting!AP208</f>
        <v>0</v>
      </c>
      <c r="AE111" s="460">
        <f ca="1">+Underwriting!AQ208</f>
        <v>0</v>
      </c>
      <c r="AF111" s="460">
        <f ca="1">+Underwriting!AR208</f>
        <v>0</v>
      </c>
      <c r="AG111" s="460">
        <f ca="1">+Underwriting!AS208</f>
        <v>0</v>
      </c>
      <c r="AH111" s="460">
        <f ca="1">+Underwriting!AT208</f>
        <v>0</v>
      </c>
      <c r="AI111" s="460">
        <f ca="1">+Underwriting!AU208</f>
        <v>0</v>
      </c>
      <c r="AJ111" s="460">
        <f ca="1">+Underwriting!AV208</f>
        <v>0</v>
      </c>
      <c r="AK111" s="460">
        <f ca="1">+Underwriting!AW208</f>
        <v>0</v>
      </c>
      <c r="AL111" s="460">
        <f ca="1">+Underwriting!AX208</f>
        <v>0</v>
      </c>
      <c r="AM111" s="460">
        <f ca="1">+Underwriting!AY208</f>
        <v>0</v>
      </c>
      <c r="AN111" s="460">
        <f ca="1">+Underwriting!AZ208</f>
        <v>0</v>
      </c>
      <c r="AO111" s="460">
        <f ca="1">+Underwriting!BA208</f>
        <v>0</v>
      </c>
      <c r="AP111" s="460">
        <f ca="1">+Underwriting!BB208</f>
        <v>0</v>
      </c>
      <c r="AQ111" s="460">
        <f ca="1">+Underwriting!BC208</f>
        <v>78517938.300746262</v>
      </c>
      <c r="AR111" s="460">
        <f ca="1">+Underwriting!BD208</f>
        <v>0</v>
      </c>
      <c r="AS111" s="460">
        <f ca="1">+Underwriting!BE208</f>
        <v>0</v>
      </c>
      <c r="AT111" s="460">
        <f ca="1">+Underwriting!BF208</f>
        <v>0</v>
      </c>
      <c r="AU111" s="460">
        <f ca="1">+Underwriting!BG208</f>
        <v>0</v>
      </c>
      <c r="AV111" s="460">
        <f ca="1">+Underwriting!BH208</f>
        <v>0</v>
      </c>
      <c r="AW111" s="460">
        <f ca="1">+Underwriting!BI208</f>
        <v>0</v>
      </c>
      <c r="AX111" s="460">
        <f ca="1">+Underwriting!BJ208</f>
        <v>0</v>
      </c>
      <c r="AY111" s="460">
        <f ca="1">+Underwriting!BK208</f>
        <v>0</v>
      </c>
      <c r="AZ111" s="460">
        <f ca="1">+Underwriting!BL208</f>
        <v>0</v>
      </c>
      <c r="BA111" s="460">
        <f ca="1">+Underwriting!BM208</f>
        <v>0</v>
      </c>
      <c r="BB111" s="460">
        <f ca="1">+Underwriting!BN208</f>
        <v>0</v>
      </c>
      <c r="BC111" s="460">
        <f ca="1">+Underwriting!BO208</f>
        <v>0</v>
      </c>
      <c r="BD111" s="460">
        <f ca="1">+Underwriting!BP208</f>
        <v>0</v>
      </c>
      <c r="BE111" s="460">
        <f ca="1">+Underwriting!BQ208</f>
        <v>0</v>
      </c>
      <c r="BF111" s="460">
        <f ca="1">+Underwriting!BR208</f>
        <v>0</v>
      </c>
      <c r="BG111" s="460">
        <f ca="1">+Underwriting!BS208</f>
        <v>0</v>
      </c>
      <c r="BH111" s="460">
        <f ca="1">+Underwriting!BT208</f>
        <v>0</v>
      </c>
      <c r="BI111" s="460">
        <f ca="1">+Underwriting!BU208</f>
        <v>0</v>
      </c>
      <c r="BJ111" s="460">
        <f ca="1">+Underwriting!BV208</f>
        <v>0</v>
      </c>
      <c r="BK111" s="460">
        <f ca="1">+Underwriting!BW208</f>
        <v>0</v>
      </c>
      <c r="BL111" s="460">
        <f ca="1">+Underwriting!BX208</f>
        <v>0</v>
      </c>
      <c r="BM111" s="460">
        <f ca="1">+Underwriting!BY208</f>
        <v>0</v>
      </c>
      <c r="BN111" s="460">
        <f ca="1">+Underwriting!BZ208</f>
        <v>0</v>
      </c>
      <c r="BO111" s="460">
        <f ca="1">+Underwriting!CA208</f>
        <v>0</v>
      </c>
      <c r="BP111" s="460">
        <f ca="1">+Underwriting!CB208</f>
        <v>0</v>
      </c>
      <c r="BQ111" s="460">
        <f ca="1">+Underwriting!CC208</f>
        <v>0</v>
      </c>
      <c r="BR111" s="460">
        <f ca="1">+Underwriting!CD208</f>
        <v>0</v>
      </c>
      <c r="BS111" s="460">
        <f ca="1">+Underwriting!CE208</f>
        <v>0</v>
      </c>
      <c r="BT111" s="460">
        <f ca="1">+Underwriting!CF208</f>
        <v>0</v>
      </c>
      <c r="BU111" s="460">
        <f ca="1">+Underwriting!CG208</f>
        <v>0</v>
      </c>
      <c r="BV111" s="460">
        <f ca="1">+Underwriting!CH208</f>
        <v>0</v>
      </c>
      <c r="BW111" s="460">
        <f ca="1">+Underwriting!CI208</f>
        <v>0</v>
      </c>
      <c r="BX111" s="460">
        <f ca="1">+Underwriting!CJ208</f>
        <v>0</v>
      </c>
      <c r="BY111" s="460">
        <f ca="1">+Underwriting!CK208</f>
        <v>0</v>
      </c>
      <c r="BZ111" s="460">
        <f ca="1">+Underwriting!CL208</f>
        <v>0</v>
      </c>
      <c r="CA111" s="460">
        <f ca="1">+Underwriting!CM208</f>
        <v>0</v>
      </c>
      <c r="CB111" s="460">
        <f ca="1">+Underwriting!CN208</f>
        <v>0</v>
      </c>
      <c r="CC111" s="460">
        <f ca="1">+Underwriting!CO208</f>
        <v>0</v>
      </c>
      <c r="CD111" s="460">
        <f ca="1">+Underwriting!CP208</f>
        <v>0</v>
      </c>
      <c r="CE111" s="460">
        <f ca="1">+Underwriting!CQ208</f>
        <v>0</v>
      </c>
      <c r="CF111" s="460">
        <f ca="1">+Underwriting!CR208</f>
        <v>0</v>
      </c>
      <c r="CG111" s="460">
        <f ca="1">+Underwriting!CS208</f>
        <v>0</v>
      </c>
      <c r="CH111" s="460">
        <f ca="1">+Underwriting!CT208</f>
        <v>0</v>
      </c>
      <c r="CI111" s="460">
        <f ca="1">+Underwriting!CU208</f>
        <v>0</v>
      </c>
      <c r="CJ111" s="460">
        <f ca="1">+Underwriting!CV208</f>
        <v>0</v>
      </c>
      <c r="CK111" s="460">
        <f ca="1">+Underwriting!CW208</f>
        <v>0</v>
      </c>
      <c r="CL111" s="460">
        <f ca="1">+Underwriting!CX208</f>
        <v>0</v>
      </c>
      <c r="CM111" s="460">
        <f ca="1">+Underwriting!CY208</f>
        <v>0</v>
      </c>
      <c r="CN111" s="460">
        <f ca="1">+Underwriting!CZ208</f>
        <v>0</v>
      </c>
      <c r="CO111" s="460">
        <f ca="1">+Underwriting!DA208</f>
        <v>0</v>
      </c>
      <c r="CP111" s="460">
        <f ca="1">+Underwriting!DB208</f>
        <v>0</v>
      </c>
      <c r="CQ111" s="460">
        <f ca="1">+Underwriting!DC208</f>
        <v>0</v>
      </c>
      <c r="CR111" s="460">
        <f ca="1">+Underwriting!DD208</f>
        <v>0</v>
      </c>
      <c r="CS111" s="460">
        <f ca="1">+Underwriting!DE208</f>
        <v>0</v>
      </c>
      <c r="CT111" s="460">
        <f ca="1">+Underwriting!DF208</f>
        <v>0</v>
      </c>
      <c r="CU111" s="460">
        <f ca="1">+Underwriting!DG208</f>
        <v>0</v>
      </c>
      <c r="CV111" s="460">
        <f ca="1">+Underwriting!DH208</f>
        <v>0</v>
      </c>
      <c r="CW111" s="460">
        <f ca="1">+Underwriting!DI208</f>
        <v>0</v>
      </c>
      <c r="CX111" s="460">
        <f ca="1">+Underwriting!DJ208</f>
        <v>0</v>
      </c>
      <c r="CY111" s="460">
        <f ca="1">+Underwriting!DK208</f>
        <v>0</v>
      </c>
      <c r="CZ111" s="460">
        <f ca="1">+Underwriting!DL208</f>
        <v>0</v>
      </c>
      <c r="DA111" s="460">
        <f ca="1">+Underwriting!DM208</f>
        <v>0</v>
      </c>
      <c r="DB111" s="460">
        <f ca="1">+Underwriting!DN208</f>
        <v>0</v>
      </c>
      <c r="DC111" s="460">
        <f ca="1">+Underwriting!DO208</f>
        <v>0</v>
      </c>
      <c r="DD111" s="460">
        <f ca="1">+Underwriting!DP208</f>
        <v>0</v>
      </c>
      <c r="DE111" s="460">
        <f ca="1">+Underwriting!DQ208</f>
        <v>0</v>
      </c>
      <c r="DF111" s="460">
        <f ca="1">+Underwriting!DR208</f>
        <v>0</v>
      </c>
      <c r="DG111" s="460">
        <f ca="1">+Underwriting!DS208</f>
        <v>0</v>
      </c>
      <c r="DH111" s="460">
        <f ca="1">+Underwriting!DT208</f>
        <v>0</v>
      </c>
      <c r="DI111" s="460">
        <f ca="1">+Underwriting!DU208</f>
        <v>0</v>
      </c>
      <c r="DJ111" s="460">
        <f ca="1">+Underwriting!DV208</f>
        <v>0</v>
      </c>
      <c r="DK111" s="460">
        <f ca="1">+Underwriting!DW208</f>
        <v>0</v>
      </c>
      <c r="DL111" s="460">
        <f ca="1">+Underwriting!DX208</f>
        <v>0</v>
      </c>
      <c r="DM111" s="460">
        <f ca="1">+Underwriting!DY208</f>
        <v>0</v>
      </c>
      <c r="DN111" s="460">
        <f ca="1">+Underwriting!DZ208</f>
        <v>0</v>
      </c>
      <c r="DO111" s="460">
        <f ca="1">+Underwriting!EA208</f>
        <v>0</v>
      </c>
      <c r="DP111" s="460">
        <f ca="1">+Underwriting!EB208</f>
        <v>0</v>
      </c>
      <c r="DQ111" s="460">
        <f ca="1">+Underwriting!EC208</f>
        <v>0</v>
      </c>
      <c r="DR111" s="460">
        <f ca="1">+Underwriting!ED208</f>
        <v>0</v>
      </c>
      <c r="DS111" s="460">
        <f ca="1">+Underwriting!EE208</f>
        <v>0</v>
      </c>
      <c r="DT111" s="460">
        <f ca="1">+Underwriting!EF208</f>
        <v>0</v>
      </c>
      <c r="DU111" s="460">
        <f ca="1">+Underwriting!EG208</f>
        <v>0</v>
      </c>
      <c r="DV111" s="460">
        <f ca="1">+Underwriting!EH208</f>
        <v>0</v>
      </c>
      <c r="DW111" s="460">
        <f ca="1">+Underwriting!EI208</f>
        <v>0</v>
      </c>
      <c r="DX111" s="460">
        <f ca="1">+Underwriting!EJ208</f>
        <v>0</v>
      </c>
      <c r="DY111" s="460">
        <f ca="1">+Underwriting!EK208</f>
        <v>0</v>
      </c>
      <c r="DZ111" s="460">
        <f ca="1">+Underwriting!EL208</f>
        <v>0</v>
      </c>
      <c r="EA111" s="460">
        <f ca="1">+Underwriting!EM208</f>
        <v>0</v>
      </c>
      <c r="EB111" s="460">
        <f ca="1">+Underwriting!EN208</f>
        <v>0</v>
      </c>
      <c r="EC111" s="460">
        <f ca="1">+Underwriting!EO208</f>
        <v>0</v>
      </c>
      <c r="ED111" s="460">
        <f ca="1">+Underwriting!EP208</f>
        <v>0</v>
      </c>
      <c r="EE111" s="460">
        <f ca="1">+Underwriting!EQ208</f>
        <v>0</v>
      </c>
      <c r="EF111" s="460">
        <f ca="1">+Underwriting!ER208</f>
        <v>0</v>
      </c>
      <c r="EG111" s="460">
        <f ca="1">+Underwriting!ES208</f>
        <v>0</v>
      </c>
      <c r="EH111" s="460">
        <f ca="1">+Underwriting!ET208</f>
        <v>0</v>
      </c>
      <c r="EI111" s="460">
        <f ca="1">+Underwriting!EU208</f>
        <v>0</v>
      </c>
    </row>
    <row r="112" spans="2:139" ht="14.25" hidden="1" customHeight="1" outlineLevel="1" x14ac:dyDescent="0.4">
      <c r="B112" s="366" t="s">
        <v>210</v>
      </c>
      <c r="C112" s="3"/>
      <c r="D112" s="3"/>
      <c r="E112" s="3"/>
      <c r="F112" s="3"/>
      <c r="G112" s="462">
        <f>+Underwriting!S209</f>
        <v>0</v>
      </c>
      <c r="H112" s="462">
        <f>+Underwriting!T209</f>
        <v>0</v>
      </c>
      <c r="I112" s="462">
        <f>+Underwriting!U209</f>
        <v>0</v>
      </c>
      <c r="J112" s="462">
        <f>+Underwriting!V209</f>
        <v>0</v>
      </c>
      <c r="K112" s="462">
        <f>+Underwriting!W209</f>
        <v>0</v>
      </c>
      <c r="L112" s="462">
        <f>+Underwriting!X209</f>
        <v>0</v>
      </c>
      <c r="M112" s="462">
        <f>+Underwriting!Y209</f>
        <v>0</v>
      </c>
      <c r="N112" s="462">
        <f>+Underwriting!Z209</f>
        <v>0</v>
      </c>
      <c r="O112" s="462">
        <f>+Underwriting!AA209</f>
        <v>0</v>
      </c>
      <c r="P112" s="462">
        <f>+Underwriting!AB209</f>
        <v>0</v>
      </c>
      <c r="Q112" s="462">
        <f>+Underwriting!AC209</f>
        <v>0</v>
      </c>
      <c r="R112" s="462">
        <f>+Underwriting!AD209</f>
        <v>0</v>
      </c>
      <c r="S112" s="462">
        <f>+Underwriting!AE209</f>
        <v>0</v>
      </c>
      <c r="T112" s="462">
        <f>+Underwriting!AF209</f>
        <v>0</v>
      </c>
      <c r="U112" s="462">
        <f>+Underwriting!AG209</f>
        <v>0</v>
      </c>
      <c r="V112" s="462">
        <f>+Underwriting!AH209</f>
        <v>0</v>
      </c>
      <c r="W112" s="462">
        <f>+Underwriting!AI209</f>
        <v>0</v>
      </c>
      <c r="X112" s="462">
        <f>+Underwriting!AJ209</f>
        <v>0</v>
      </c>
      <c r="Y112" s="462">
        <f>+Underwriting!AK209</f>
        <v>0</v>
      </c>
      <c r="Z112" s="462">
        <f>+Underwriting!AL209</f>
        <v>0</v>
      </c>
      <c r="AA112" s="462">
        <f>+Underwriting!AM209</f>
        <v>0</v>
      </c>
      <c r="AB112" s="462">
        <f>+Underwriting!AN209</f>
        <v>0</v>
      </c>
      <c r="AC112" s="462">
        <f>+Underwriting!AO209</f>
        <v>0</v>
      </c>
      <c r="AD112" s="462">
        <f>+Underwriting!AP209</f>
        <v>0</v>
      </c>
      <c r="AE112" s="462">
        <f>+Underwriting!AQ209</f>
        <v>0</v>
      </c>
      <c r="AF112" s="462">
        <f>+Underwriting!AR209</f>
        <v>0</v>
      </c>
      <c r="AG112" s="462">
        <f>+Underwriting!AS209</f>
        <v>0</v>
      </c>
      <c r="AH112" s="462">
        <f>+Underwriting!AT209</f>
        <v>0</v>
      </c>
      <c r="AI112" s="462">
        <f>+Underwriting!AU209</f>
        <v>0</v>
      </c>
      <c r="AJ112" s="462">
        <f>+Underwriting!AV209</f>
        <v>0</v>
      </c>
      <c r="AK112" s="462">
        <f>+Underwriting!AW209</f>
        <v>0</v>
      </c>
      <c r="AL112" s="462">
        <f>+Underwriting!AX209</f>
        <v>0</v>
      </c>
      <c r="AM112" s="462">
        <f>+Underwriting!AY209</f>
        <v>0</v>
      </c>
      <c r="AN112" s="462">
        <f>+Underwriting!AZ209</f>
        <v>0</v>
      </c>
      <c r="AO112" s="462">
        <f>+Underwriting!BA209</f>
        <v>0</v>
      </c>
      <c r="AP112" s="462">
        <f>+Underwriting!BB209</f>
        <v>0</v>
      </c>
      <c r="AQ112" s="462">
        <f>+Underwriting!BC209</f>
        <v>-41476395.000000291</v>
      </c>
      <c r="AR112" s="462">
        <f>+Underwriting!BD209</f>
        <v>0</v>
      </c>
      <c r="AS112" s="462">
        <f>+Underwriting!BE209</f>
        <v>0</v>
      </c>
      <c r="AT112" s="462">
        <f>+Underwriting!BF209</f>
        <v>0</v>
      </c>
      <c r="AU112" s="462">
        <f>+Underwriting!BG209</f>
        <v>0</v>
      </c>
      <c r="AV112" s="462">
        <f>+Underwriting!BH209</f>
        <v>0</v>
      </c>
      <c r="AW112" s="462">
        <f>+Underwriting!BI209</f>
        <v>0</v>
      </c>
      <c r="AX112" s="462">
        <f>+Underwriting!BJ209</f>
        <v>0</v>
      </c>
      <c r="AY112" s="462">
        <f>+Underwriting!BK209</f>
        <v>0</v>
      </c>
      <c r="AZ112" s="462">
        <f>+Underwriting!BL209</f>
        <v>0</v>
      </c>
      <c r="BA112" s="462">
        <f>+Underwriting!BM209</f>
        <v>0</v>
      </c>
      <c r="BB112" s="462">
        <f>+Underwriting!BN209</f>
        <v>0</v>
      </c>
      <c r="BC112" s="462">
        <f>+Underwriting!BO209</f>
        <v>0</v>
      </c>
      <c r="BD112" s="462">
        <f>+Underwriting!BP209</f>
        <v>0</v>
      </c>
      <c r="BE112" s="462">
        <f>+Underwriting!BQ209</f>
        <v>0</v>
      </c>
      <c r="BF112" s="462">
        <f>+Underwriting!BR209</f>
        <v>0</v>
      </c>
      <c r="BG112" s="462">
        <f>+Underwriting!BS209</f>
        <v>0</v>
      </c>
      <c r="BH112" s="462">
        <f>+Underwriting!BT209</f>
        <v>0</v>
      </c>
      <c r="BI112" s="462">
        <f>+Underwriting!BU209</f>
        <v>0</v>
      </c>
      <c r="BJ112" s="462">
        <f>+Underwriting!BV209</f>
        <v>0</v>
      </c>
      <c r="BK112" s="462">
        <f>+Underwriting!BW209</f>
        <v>0</v>
      </c>
      <c r="BL112" s="462">
        <f>+Underwriting!BX209</f>
        <v>0</v>
      </c>
      <c r="BM112" s="462">
        <f>+Underwriting!BY209</f>
        <v>0</v>
      </c>
      <c r="BN112" s="462">
        <f>+Underwriting!BZ209</f>
        <v>0</v>
      </c>
      <c r="BO112" s="462">
        <f>+Underwriting!CA209</f>
        <v>0</v>
      </c>
      <c r="BP112" s="462">
        <f>+Underwriting!CB209</f>
        <v>0</v>
      </c>
      <c r="BQ112" s="462">
        <f>+Underwriting!CC209</f>
        <v>0</v>
      </c>
      <c r="BR112" s="462">
        <f>+Underwriting!CD209</f>
        <v>0</v>
      </c>
      <c r="BS112" s="462">
        <f>+Underwriting!CE209</f>
        <v>0</v>
      </c>
      <c r="BT112" s="462">
        <f>+Underwriting!CF209</f>
        <v>0</v>
      </c>
      <c r="BU112" s="462">
        <f>+Underwriting!CG209</f>
        <v>0</v>
      </c>
      <c r="BV112" s="462">
        <f>+Underwriting!CH209</f>
        <v>0</v>
      </c>
      <c r="BW112" s="462">
        <f>+Underwriting!CI209</f>
        <v>0</v>
      </c>
      <c r="BX112" s="462">
        <f>+Underwriting!CJ209</f>
        <v>0</v>
      </c>
      <c r="BY112" s="462">
        <f>+Underwriting!CK209</f>
        <v>0</v>
      </c>
      <c r="BZ112" s="462">
        <f>+Underwriting!CL209</f>
        <v>0</v>
      </c>
      <c r="CA112" s="462">
        <f>+Underwriting!CM209</f>
        <v>0</v>
      </c>
      <c r="CB112" s="462">
        <f>+Underwriting!CN209</f>
        <v>0</v>
      </c>
      <c r="CC112" s="462">
        <f>+Underwriting!CO209</f>
        <v>0</v>
      </c>
      <c r="CD112" s="462">
        <f>+Underwriting!CP209</f>
        <v>0</v>
      </c>
      <c r="CE112" s="462">
        <f>+Underwriting!CQ209</f>
        <v>0</v>
      </c>
      <c r="CF112" s="462">
        <f>+Underwriting!CR209</f>
        <v>0</v>
      </c>
      <c r="CG112" s="462">
        <f>+Underwriting!CS209</f>
        <v>0</v>
      </c>
      <c r="CH112" s="462">
        <f>+Underwriting!CT209</f>
        <v>0</v>
      </c>
      <c r="CI112" s="462">
        <f>+Underwriting!CU209</f>
        <v>0</v>
      </c>
      <c r="CJ112" s="462">
        <f>+Underwriting!CV209</f>
        <v>0</v>
      </c>
      <c r="CK112" s="462">
        <f>+Underwriting!CW209</f>
        <v>0</v>
      </c>
      <c r="CL112" s="462">
        <f>+Underwriting!CX209</f>
        <v>0</v>
      </c>
      <c r="CM112" s="462">
        <f>+Underwriting!CY209</f>
        <v>0</v>
      </c>
      <c r="CN112" s="462">
        <f>+Underwriting!CZ209</f>
        <v>0</v>
      </c>
      <c r="CO112" s="462">
        <f>+Underwriting!DA209</f>
        <v>0</v>
      </c>
      <c r="CP112" s="462">
        <f>+Underwriting!DB209</f>
        <v>0</v>
      </c>
      <c r="CQ112" s="462">
        <f>+Underwriting!DC209</f>
        <v>0</v>
      </c>
      <c r="CR112" s="462">
        <f>+Underwriting!DD209</f>
        <v>0</v>
      </c>
      <c r="CS112" s="462">
        <f>+Underwriting!DE209</f>
        <v>0</v>
      </c>
      <c r="CT112" s="462">
        <f>+Underwriting!DF209</f>
        <v>0</v>
      </c>
      <c r="CU112" s="462">
        <f>+Underwriting!DG209</f>
        <v>0</v>
      </c>
      <c r="CV112" s="462">
        <f>+Underwriting!DH209</f>
        <v>0</v>
      </c>
      <c r="CW112" s="462">
        <f>+Underwriting!DI209</f>
        <v>0</v>
      </c>
      <c r="CX112" s="462">
        <f>+Underwriting!DJ209</f>
        <v>0</v>
      </c>
      <c r="CY112" s="462">
        <f>+Underwriting!DK209</f>
        <v>0</v>
      </c>
      <c r="CZ112" s="462">
        <f>+Underwriting!DL209</f>
        <v>0</v>
      </c>
      <c r="DA112" s="462">
        <f>+Underwriting!DM209</f>
        <v>0</v>
      </c>
      <c r="DB112" s="462">
        <f>+Underwriting!DN209</f>
        <v>0</v>
      </c>
      <c r="DC112" s="462">
        <f>+Underwriting!DO209</f>
        <v>0</v>
      </c>
      <c r="DD112" s="462">
        <f>+Underwriting!DP209</f>
        <v>0</v>
      </c>
      <c r="DE112" s="462">
        <f>+Underwriting!DQ209</f>
        <v>0</v>
      </c>
      <c r="DF112" s="462">
        <f>+Underwriting!DR209</f>
        <v>0</v>
      </c>
      <c r="DG112" s="462">
        <f>+Underwriting!DS209</f>
        <v>0</v>
      </c>
      <c r="DH112" s="462">
        <f>+Underwriting!DT209</f>
        <v>0</v>
      </c>
      <c r="DI112" s="462">
        <f>+Underwriting!DU209</f>
        <v>0</v>
      </c>
      <c r="DJ112" s="462">
        <f>+Underwriting!DV209</f>
        <v>0</v>
      </c>
      <c r="DK112" s="462">
        <f>+Underwriting!DW209</f>
        <v>0</v>
      </c>
      <c r="DL112" s="462">
        <f>+Underwriting!DX209</f>
        <v>0</v>
      </c>
      <c r="DM112" s="462">
        <f>+Underwriting!DY209</f>
        <v>0</v>
      </c>
      <c r="DN112" s="462">
        <f>+Underwriting!DZ209</f>
        <v>0</v>
      </c>
      <c r="DO112" s="462">
        <f>+Underwriting!EA209</f>
        <v>0</v>
      </c>
      <c r="DP112" s="462">
        <f>+Underwriting!EB209</f>
        <v>0</v>
      </c>
      <c r="DQ112" s="462">
        <f>+Underwriting!EC209</f>
        <v>0</v>
      </c>
      <c r="DR112" s="462">
        <f>+Underwriting!ED209</f>
        <v>0</v>
      </c>
      <c r="DS112" s="462">
        <f>+Underwriting!EE209</f>
        <v>0</v>
      </c>
      <c r="DT112" s="462">
        <f>+Underwriting!EF209</f>
        <v>0</v>
      </c>
      <c r="DU112" s="462">
        <f>+Underwriting!EG209</f>
        <v>0</v>
      </c>
      <c r="DV112" s="462">
        <f>+Underwriting!EH209</f>
        <v>0</v>
      </c>
      <c r="DW112" s="462">
        <f>+Underwriting!EI209</f>
        <v>0</v>
      </c>
      <c r="DX112" s="462">
        <f>+Underwriting!EJ209</f>
        <v>0</v>
      </c>
      <c r="DY112" s="462">
        <f>+Underwriting!EK209</f>
        <v>0</v>
      </c>
      <c r="DZ112" s="462">
        <f>+Underwriting!EL209</f>
        <v>0</v>
      </c>
      <c r="EA112" s="462">
        <f>+Underwriting!EM209</f>
        <v>0</v>
      </c>
      <c r="EB112" s="462">
        <f>+Underwriting!EN209</f>
        <v>0</v>
      </c>
      <c r="EC112" s="462">
        <f>+Underwriting!EO209</f>
        <v>0</v>
      </c>
      <c r="ED112" s="462">
        <f>+Underwriting!EP209</f>
        <v>0</v>
      </c>
      <c r="EE112" s="462">
        <f>+Underwriting!EQ209</f>
        <v>0</v>
      </c>
      <c r="EF112" s="462">
        <f>+Underwriting!ER209</f>
        <v>0</v>
      </c>
      <c r="EG112" s="462">
        <f>+Underwriting!ES209</f>
        <v>0</v>
      </c>
      <c r="EH112" s="462">
        <f>+Underwriting!ET209</f>
        <v>0</v>
      </c>
      <c r="EI112" s="462">
        <f>+Underwriting!EU209</f>
        <v>0</v>
      </c>
    </row>
    <row r="113" spans="2:139" ht="14.25" hidden="1" customHeight="1" outlineLevel="1" x14ac:dyDescent="0.25">
      <c r="B113" s="3" t="s">
        <v>212</v>
      </c>
      <c r="C113" s="3"/>
      <c r="D113" s="3"/>
      <c r="E113" s="3"/>
      <c r="F113" s="3"/>
      <c r="G113" s="460">
        <f ca="1">SUM(G111:G112)</f>
        <v>0</v>
      </c>
      <c r="H113" s="460">
        <f t="shared" ref="H113:BS113" ca="1" si="78">SUM(H111:H112)</f>
        <v>0</v>
      </c>
      <c r="I113" s="460">
        <f t="shared" ca="1" si="78"/>
        <v>0</v>
      </c>
      <c r="J113" s="460">
        <f t="shared" ca="1" si="78"/>
        <v>0</v>
      </c>
      <c r="K113" s="460">
        <f t="shared" ca="1" si="78"/>
        <v>0</v>
      </c>
      <c r="L113" s="460">
        <f t="shared" ca="1" si="78"/>
        <v>0</v>
      </c>
      <c r="M113" s="460">
        <f t="shared" ca="1" si="78"/>
        <v>0</v>
      </c>
      <c r="N113" s="460">
        <f t="shared" ca="1" si="78"/>
        <v>0</v>
      </c>
      <c r="O113" s="460">
        <f t="shared" ca="1" si="78"/>
        <v>0</v>
      </c>
      <c r="P113" s="460">
        <f t="shared" ca="1" si="78"/>
        <v>0</v>
      </c>
      <c r="Q113" s="460">
        <f t="shared" ca="1" si="78"/>
        <v>0</v>
      </c>
      <c r="R113" s="460">
        <f t="shared" ca="1" si="78"/>
        <v>0</v>
      </c>
      <c r="S113" s="460">
        <f t="shared" ca="1" si="78"/>
        <v>0</v>
      </c>
      <c r="T113" s="460">
        <f t="shared" ca="1" si="78"/>
        <v>0</v>
      </c>
      <c r="U113" s="460">
        <f t="shared" ca="1" si="78"/>
        <v>0</v>
      </c>
      <c r="V113" s="460">
        <f t="shared" ca="1" si="78"/>
        <v>0</v>
      </c>
      <c r="W113" s="460">
        <f t="shared" ca="1" si="78"/>
        <v>0</v>
      </c>
      <c r="X113" s="460">
        <f t="shared" ca="1" si="78"/>
        <v>0</v>
      </c>
      <c r="Y113" s="460">
        <f t="shared" ca="1" si="78"/>
        <v>0</v>
      </c>
      <c r="Z113" s="460">
        <f t="shared" ca="1" si="78"/>
        <v>0</v>
      </c>
      <c r="AA113" s="460">
        <f t="shared" ca="1" si="78"/>
        <v>0</v>
      </c>
      <c r="AB113" s="460">
        <f t="shared" ca="1" si="78"/>
        <v>0</v>
      </c>
      <c r="AC113" s="460">
        <f t="shared" ca="1" si="78"/>
        <v>0</v>
      </c>
      <c r="AD113" s="460">
        <f t="shared" ca="1" si="78"/>
        <v>0</v>
      </c>
      <c r="AE113" s="460">
        <f t="shared" ca="1" si="78"/>
        <v>0</v>
      </c>
      <c r="AF113" s="460">
        <f t="shared" ca="1" si="78"/>
        <v>0</v>
      </c>
      <c r="AG113" s="460">
        <f t="shared" ca="1" si="78"/>
        <v>0</v>
      </c>
      <c r="AH113" s="460">
        <f t="shared" ca="1" si="78"/>
        <v>0</v>
      </c>
      <c r="AI113" s="460">
        <f t="shared" ca="1" si="78"/>
        <v>0</v>
      </c>
      <c r="AJ113" s="460">
        <f t="shared" ca="1" si="78"/>
        <v>0</v>
      </c>
      <c r="AK113" s="460">
        <f t="shared" ca="1" si="78"/>
        <v>0</v>
      </c>
      <c r="AL113" s="460">
        <f t="shared" ca="1" si="78"/>
        <v>0</v>
      </c>
      <c r="AM113" s="460">
        <f t="shared" ca="1" si="78"/>
        <v>0</v>
      </c>
      <c r="AN113" s="460">
        <f t="shared" ca="1" si="78"/>
        <v>0</v>
      </c>
      <c r="AO113" s="460">
        <f t="shared" ca="1" si="78"/>
        <v>0</v>
      </c>
      <c r="AP113" s="460">
        <f t="shared" ca="1" si="78"/>
        <v>0</v>
      </c>
      <c r="AQ113" s="460">
        <f t="shared" ca="1" si="78"/>
        <v>37041543.300745972</v>
      </c>
      <c r="AR113" s="460">
        <f t="shared" ca="1" si="78"/>
        <v>0</v>
      </c>
      <c r="AS113" s="460">
        <f t="shared" ca="1" si="78"/>
        <v>0</v>
      </c>
      <c r="AT113" s="460">
        <f t="shared" ca="1" si="78"/>
        <v>0</v>
      </c>
      <c r="AU113" s="460">
        <f t="shared" ca="1" si="78"/>
        <v>0</v>
      </c>
      <c r="AV113" s="460">
        <f t="shared" ca="1" si="78"/>
        <v>0</v>
      </c>
      <c r="AW113" s="460">
        <f t="shared" ca="1" si="78"/>
        <v>0</v>
      </c>
      <c r="AX113" s="460">
        <f t="shared" ca="1" si="78"/>
        <v>0</v>
      </c>
      <c r="AY113" s="460">
        <f t="shared" ca="1" si="78"/>
        <v>0</v>
      </c>
      <c r="AZ113" s="460">
        <f t="shared" ca="1" si="78"/>
        <v>0</v>
      </c>
      <c r="BA113" s="460">
        <f t="shared" ca="1" si="78"/>
        <v>0</v>
      </c>
      <c r="BB113" s="460">
        <f t="shared" ca="1" si="78"/>
        <v>0</v>
      </c>
      <c r="BC113" s="460">
        <f t="shared" ca="1" si="78"/>
        <v>0</v>
      </c>
      <c r="BD113" s="460">
        <f t="shared" ca="1" si="78"/>
        <v>0</v>
      </c>
      <c r="BE113" s="460">
        <f t="shared" ca="1" si="78"/>
        <v>0</v>
      </c>
      <c r="BF113" s="460">
        <f t="shared" ca="1" si="78"/>
        <v>0</v>
      </c>
      <c r="BG113" s="460">
        <f t="shared" ca="1" si="78"/>
        <v>0</v>
      </c>
      <c r="BH113" s="460">
        <f t="shared" ca="1" si="78"/>
        <v>0</v>
      </c>
      <c r="BI113" s="460">
        <f t="shared" ca="1" si="78"/>
        <v>0</v>
      </c>
      <c r="BJ113" s="460">
        <f t="shared" ca="1" si="78"/>
        <v>0</v>
      </c>
      <c r="BK113" s="460">
        <f t="shared" ca="1" si="78"/>
        <v>0</v>
      </c>
      <c r="BL113" s="460">
        <f t="shared" ca="1" si="78"/>
        <v>0</v>
      </c>
      <c r="BM113" s="460">
        <f t="shared" ca="1" si="78"/>
        <v>0</v>
      </c>
      <c r="BN113" s="460">
        <f t="shared" ca="1" si="78"/>
        <v>0</v>
      </c>
      <c r="BO113" s="460">
        <f t="shared" ca="1" si="78"/>
        <v>0</v>
      </c>
      <c r="BP113" s="460">
        <f t="shared" ca="1" si="78"/>
        <v>0</v>
      </c>
      <c r="BQ113" s="460">
        <f t="shared" ca="1" si="78"/>
        <v>0</v>
      </c>
      <c r="BR113" s="460">
        <f t="shared" ca="1" si="78"/>
        <v>0</v>
      </c>
      <c r="BS113" s="460">
        <f t="shared" ca="1" si="78"/>
        <v>0</v>
      </c>
      <c r="BT113" s="460">
        <f t="shared" ref="BT113:EE113" ca="1" si="79">SUM(BT111:BT112)</f>
        <v>0</v>
      </c>
      <c r="BU113" s="460">
        <f t="shared" ca="1" si="79"/>
        <v>0</v>
      </c>
      <c r="BV113" s="460">
        <f t="shared" ca="1" si="79"/>
        <v>0</v>
      </c>
      <c r="BW113" s="460">
        <f t="shared" ca="1" si="79"/>
        <v>0</v>
      </c>
      <c r="BX113" s="460">
        <f t="shared" ca="1" si="79"/>
        <v>0</v>
      </c>
      <c r="BY113" s="460">
        <f t="shared" ca="1" si="79"/>
        <v>0</v>
      </c>
      <c r="BZ113" s="460">
        <f t="shared" ca="1" si="79"/>
        <v>0</v>
      </c>
      <c r="CA113" s="460">
        <f t="shared" ca="1" si="79"/>
        <v>0</v>
      </c>
      <c r="CB113" s="460">
        <f t="shared" ca="1" si="79"/>
        <v>0</v>
      </c>
      <c r="CC113" s="460">
        <f t="shared" ca="1" si="79"/>
        <v>0</v>
      </c>
      <c r="CD113" s="460">
        <f t="shared" ca="1" si="79"/>
        <v>0</v>
      </c>
      <c r="CE113" s="460">
        <f t="shared" ca="1" si="79"/>
        <v>0</v>
      </c>
      <c r="CF113" s="460">
        <f t="shared" ca="1" si="79"/>
        <v>0</v>
      </c>
      <c r="CG113" s="460">
        <f t="shared" ca="1" si="79"/>
        <v>0</v>
      </c>
      <c r="CH113" s="460">
        <f t="shared" ca="1" si="79"/>
        <v>0</v>
      </c>
      <c r="CI113" s="460">
        <f t="shared" ca="1" si="79"/>
        <v>0</v>
      </c>
      <c r="CJ113" s="460">
        <f t="shared" ca="1" si="79"/>
        <v>0</v>
      </c>
      <c r="CK113" s="460">
        <f t="shared" ca="1" si="79"/>
        <v>0</v>
      </c>
      <c r="CL113" s="460">
        <f t="shared" ca="1" si="79"/>
        <v>0</v>
      </c>
      <c r="CM113" s="460">
        <f t="shared" ca="1" si="79"/>
        <v>0</v>
      </c>
      <c r="CN113" s="460">
        <f t="shared" ca="1" si="79"/>
        <v>0</v>
      </c>
      <c r="CO113" s="460">
        <f t="shared" ca="1" si="79"/>
        <v>0</v>
      </c>
      <c r="CP113" s="460">
        <f t="shared" ca="1" si="79"/>
        <v>0</v>
      </c>
      <c r="CQ113" s="460">
        <f t="shared" ca="1" si="79"/>
        <v>0</v>
      </c>
      <c r="CR113" s="460">
        <f t="shared" ca="1" si="79"/>
        <v>0</v>
      </c>
      <c r="CS113" s="460">
        <f t="shared" ca="1" si="79"/>
        <v>0</v>
      </c>
      <c r="CT113" s="460">
        <f t="shared" ca="1" si="79"/>
        <v>0</v>
      </c>
      <c r="CU113" s="460">
        <f t="shared" ca="1" si="79"/>
        <v>0</v>
      </c>
      <c r="CV113" s="460">
        <f t="shared" ca="1" si="79"/>
        <v>0</v>
      </c>
      <c r="CW113" s="460">
        <f t="shared" ca="1" si="79"/>
        <v>0</v>
      </c>
      <c r="CX113" s="460">
        <f t="shared" ca="1" si="79"/>
        <v>0</v>
      </c>
      <c r="CY113" s="460">
        <f t="shared" ca="1" si="79"/>
        <v>0</v>
      </c>
      <c r="CZ113" s="460">
        <f t="shared" ca="1" si="79"/>
        <v>0</v>
      </c>
      <c r="DA113" s="460">
        <f t="shared" ca="1" si="79"/>
        <v>0</v>
      </c>
      <c r="DB113" s="460">
        <f t="shared" ca="1" si="79"/>
        <v>0</v>
      </c>
      <c r="DC113" s="460">
        <f t="shared" ca="1" si="79"/>
        <v>0</v>
      </c>
      <c r="DD113" s="460">
        <f t="shared" ca="1" si="79"/>
        <v>0</v>
      </c>
      <c r="DE113" s="460">
        <f t="shared" ca="1" si="79"/>
        <v>0</v>
      </c>
      <c r="DF113" s="460">
        <f t="shared" ca="1" si="79"/>
        <v>0</v>
      </c>
      <c r="DG113" s="460">
        <f t="shared" ca="1" si="79"/>
        <v>0</v>
      </c>
      <c r="DH113" s="460">
        <f t="shared" ca="1" si="79"/>
        <v>0</v>
      </c>
      <c r="DI113" s="460">
        <f t="shared" ca="1" si="79"/>
        <v>0</v>
      </c>
      <c r="DJ113" s="460">
        <f t="shared" ca="1" si="79"/>
        <v>0</v>
      </c>
      <c r="DK113" s="460">
        <f t="shared" ca="1" si="79"/>
        <v>0</v>
      </c>
      <c r="DL113" s="460">
        <f t="shared" ca="1" si="79"/>
        <v>0</v>
      </c>
      <c r="DM113" s="460">
        <f t="shared" ca="1" si="79"/>
        <v>0</v>
      </c>
      <c r="DN113" s="460">
        <f t="shared" ca="1" si="79"/>
        <v>0</v>
      </c>
      <c r="DO113" s="460">
        <f t="shared" ca="1" si="79"/>
        <v>0</v>
      </c>
      <c r="DP113" s="460">
        <f t="shared" ca="1" si="79"/>
        <v>0</v>
      </c>
      <c r="DQ113" s="460">
        <f t="shared" ca="1" si="79"/>
        <v>0</v>
      </c>
      <c r="DR113" s="460">
        <f t="shared" ca="1" si="79"/>
        <v>0</v>
      </c>
      <c r="DS113" s="460">
        <f t="shared" ca="1" si="79"/>
        <v>0</v>
      </c>
      <c r="DT113" s="460">
        <f t="shared" ca="1" si="79"/>
        <v>0</v>
      </c>
      <c r="DU113" s="460">
        <f t="shared" ca="1" si="79"/>
        <v>0</v>
      </c>
      <c r="DV113" s="460">
        <f t="shared" ca="1" si="79"/>
        <v>0</v>
      </c>
      <c r="DW113" s="460">
        <f t="shared" ca="1" si="79"/>
        <v>0</v>
      </c>
      <c r="DX113" s="460">
        <f t="shared" ca="1" si="79"/>
        <v>0</v>
      </c>
      <c r="DY113" s="460">
        <f t="shared" ca="1" si="79"/>
        <v>0</v>
      </c>
      <c r="DZ113" s="460">
        <f t="shared" ca="1" si="79"/>
        <v>0</v>
      </c>
      <c r="EA113" s="460">
        <f t="shared" ca="1" si="79"/>
        <v>0</v>
      </c>
      <c r="EB113" s="460">
        <f t="shared" ca="1" si="79"/>
        <v>0</v>
      </c>
      <c r="EC113" s="460">
        <f t="shared" ca="1" si="79"/>
        <v>0</v>
      </c>
      <c r="ED113" s="460">
        <f t="shared" ca="1" si="79"/>
        <v>0</v>
      </c>
      <c r="EE113" s="460">
        <f t="shared" ca="1" si="79"/>
        <v>0</v>
      </c>
      <c r="EF113" s="460">
        <f t="shared" ref="EF113:EI113" ca="1" si="80">SUM(EF111:EF112)</f>
        <v>0</v>
      </c>
      <c r="EG113" s="460">
        <f t="shared" ca="1" si="80"/>
        <v>0</v>
      </c>
      <c r="EH113" s="460">
        <f t="shared" ca="1" si="80"/>
        <v>0</v>
      </c>
      <c r="EI113" s="460">
        <f t="shared" ca="1" si="80"/>
        <v>0</v>
      </c>
    </row>
    <row r="114" spans="2:139" ht="5.0999999999999996" hidden="1" customHeight="1" outlineLevel="1" x14ac:dyDescent="0.25">
      <c r="B114" s="3"/>
      <c r="C114" s="3"/>
      <c r="D114" s="3"/>
      <c r="E114" s="3"/>
      <c r="F114" s="3"/>
      <c r="G114" s="460"/>
      <c r="H114" s="460"/>
      <c r="I114" s="460"/>
      <c r="J114" s="460"/>
      <c r="K114" s="460"/>
      <c r="L114" s="460"/>
      <c r="M114" s="460"/>
      <c r="N114" s="460"/>
      <c r="O114" s="460"/>
      <c r="P114" s="460"/>
      <c r="Q114" s="460"/>
      <c r="R114" s="460"/>
      <c r="S114" s="460"/>
      <c r="T114" s="460"/>
      <c r="U114" s="460"/>
      <c r="V114" s="460"/>
      <c r="W114" s="460"/>
      <c r="X114" s="460"/>
      <c r="Y114" s="460"/>
      <c r="Z114" s="460"/>
      <c r="AA114" s="460"/>
      <c r="AB114" s="460"/>
      <c r="AC114" s="460"/>
      <c r="AD114" s="460"/>
      <c r="AE114" s="460"/>
      <c r="AF114" s="460"/>
      <c r="AG114" s="460"/>
      <c r="AH114" s="460"/>
      <c r="AI114" s="460"/>
      <c r="AJ114" s="460"/>
      <c r="AK114" s="460"/>
      <c r="AL114" s="460"/>
      <c r="AM114" s="460"/>
      <c r="AN114" s="460"/>
      <c r="AO114" s="460"/>
      <c r="AP114" s="460"/>
      <c r="AQ114" s="460"/>
      <c r="AR114" s="460"/>
      <c r="AS114" s="460"/>
      <c r="AT114" s="460"/>
      <c r="AU114" s="460"/>
      <c r="AV114" s="460"/>
      <c r="AW114" s="460"/>
      <c r="AX114" s="460"/>
      <c r="AY114" s="460"/>
      <c r="AZ114" s="460"/>
      <c r="BA114" s="460"/>
      <c r="BB114" s="460"/>
      <c r="BC114" s="460"/>
      <c r="BD114" s="460"/>
      <c r="BE114" s="460"/>
      <c r="BF114" s="460"/>
      <c r="BG114" s="460"/>
      <c r="BH114" s="460"/>
      <c r="BI114" s="460"/>
      <c r="BJ114" s="460"/>
      <c r="BK114" s="460"/>
      <c r="BL114" s="460"/>
      <c r="BM114" s="460"/>
      <c r="BN114" s="460"/>
      <c r="BO114" s="460"/>
      <c r="BP114" s="460"/>
      <c r="BQ114" s="460"/>
      <c r="BR114" s="460"/>
      <c r="BS114" s="460"/>
      <c r="BT114" s="460"/>
      <c r="BU114" s="460"/>
      <c r="BV114" s="460"/>
      <c r="BW114" s="460"/>
      <c r="BX114" s="460"/>
      <c r="BY114" s="460"/>
      <c r="BZ114" s="460"/>
      <c r="CA114" s="460"/>
      <c r="CB114" s="460"/>
      <c r="CC114" s="460"/>
      <c r="CD114" s="460"/>
      <c r="CE114" s="460"/>
      <c r="CF114" s="460"/>
      <c r="CG114" s="460"/>
      <c r="CH114" s="460"/>
      <c r="CI114" s="460"/>
      <c r="CJ114" s="460"/>
      <c r="CK114" s="460"/>
      <c r="CL114" s="460"/>
      <c r="CM114" s="460"/>
      <c r="CN114" s="460"/>
      <c r="CO114" s="460"/>
      <c r="CP114" s="460"/>
      <c r="CQ114" s="460"/>
      <c r="CR114" s="460"/>
      <c r="CS114" s="460"/>
      <c r="CT114" s="460"/>
      <c r="CU114" s="460"/>
      <c r="CV114" s="460"/>
      <c r="CW114" s="460"/>
      <c r="CX114" s="460"/>
      <c r="CY114" s="460"/>
      <c r="CZ114" s="460"/>
      <c r="DA114" s="460"/>
      <c r="DB114" s="460"/>
      <c r="DC114" s="460"/>
      <c r="DD114" s="460"/>
      <c r="DE114" s="460"/>
      <c r="DF114" s="460"/>
      <c r="DG114" s="460"/>
      <c r="DH114" s="460"/>
      <c r="DI114" s="460"/>
      <c r="DJ114" s="460"/>
      <c r="DK114" s="460"/>
      <c r="DL114" s="460"/>
      <c r="DM114" s="460"/>
      <c r="DN114" s="460"/>
      <c r="DO114" s="460"/>
      <c r="DP114" s="460"/>
      <c r="DQ114" s="460"/>
      <c r="DR114" s="460"/>
      <c r="DS114" s="460"/>
      <c r="DT114" s="460"/>
      <c r="DU114" s="460"/>
      <c r="DV114" s="460"/>
      <c r="DW114" s="460"/>
      <c r="DX114" s="460"/>
      <c r="DY114" s="460"/>
      <c r="DZ114" s="460"/>
      <c r="EA114" s="460"/>
      <c r="EB114" s="460"/>
      <c r="EC114" s="460"/>
      <c r="ED114" s="460"/>
      <c r="EE114" s="460"/>
      <c r="EF114" s="460"/>
      <c r="EG114" s="460"/>
      <c r="EH114" s="460"/>
      <c r="EI114" s="460"/>
    </row>
    <row r="115" spans="2:139" ht="14.25" hidden="1" customHeight="1" outlineLevel="1" x14ac:dyDescent="0.25">
      <c r="B115" s="464" t="s">
        <v>225</v>
      </c>
      <c r="C115" s="3"/>
      <c r="D115" s="3"/>
      <c r="E115" s="3"/>
      <c r="F115" s="3"/>
      <c r="G115" s="460">
        <f ca="1">Underwriting!S228</f>
        <v>-63035773.958333336</v>
      </c>
      <c r="H115" s="460">
        <f ca="1">Underwriting!T228</f>
        <v>32419.417424999992</v>
      </c>
      <c r="I115" s="460">
        <f ca="1">Underwriting!U228</f>
        <v>36212.942279935931</v>
      </c>
      <c r="J115" s="460">
        <f ca="1">Underwriting!V228</f>
        <v>40030.937955993752</v>
      </c>
      <c r="K115" s="460">
        <f ca="1">Underwriting!W228</f>
        <v>43873.450854615279</v>
      </c>
      <c r="L115" s="460">
        <f ca="1">Underwriting!X228</f>
        <v>47740.527377243678</v>
      </c>
      <c r="M115" s="460">
        <f ca="1">Underwriting!Y228</f>
        <v>51632.213925320451</v>
      </c>
      <c r="N115" s="460">
        <f ca="1">Underwriting!Z228</f>
        <v>55548.556900288735</v>
      </c>
      <c r="O115" s="460">
        <f ca="1">Underwriting!AA228</f>
        <v>59489.602703589626</v>
      </c>
      <c r="P115" s="460">
        <f ca="1">Underwriting!AB228</f>
        <v>63455.397736666579</v>
      </c>
      <c r="Q115" s="460">
        <f ca="1">Underwriting!AC228</f>
        <v>67445.988400961796</v>
      </c>
      <c r="R115" s="460">
        <f ca="1">Underwriting!AD228</f>
        <v>71461.42109791658</v>
      </c>
      <c r="S115" s="460">
        <f ca="1">Underwriting!AE228</f>
        <v>75501.742228974646</v>
      </c>
      <c r="T115" s="460">
        <f ca="1">Underwriting!AF228</f>
        <v>80190.800981828797</v>
      </c>
      <c r="U115" s="460">
        <f ca="1">Underwriting!AG228</f>
        <v>84922.993695735466</v>
      </c>
      <c r="V115" s="460">
        <f ca="1">Underwriting!AH228</f>
        <v>89698.576531396073</v>
      </c>
      <c r="W115" s="460">
        <f ca="1">Underwriting!AI228</f>
        <v>94517.806820570986</v>
      </c>
      <c r="X115" s="460">
        <f ca="1">Underwriting!AJ228</f>
        <v>99380.943070629612</v>
      </c>
      <c r="Y115" s="460">
        <f ca="1">Underwriting!AK228</f>
        <v>104288.24496911379</v>
      </c>
      <c r="Z115" s="460">
        <f ca="1">Underwriting!AL228</f>
        <v>109239.97338832458</v>
      </c>
      <c r="AA115" s="460">
        <f ca="1">Underwriting!AM228</f>
        <v>114236.39038992126</v>
      </c>
      <c r="AB115" s="460">
        <f ca="1">Underwriting!AN228</f>
        <v>119277.75922953134</v>
      </c>
      <c r="AC115" s="460">
        <f ca="1">Underwriting!AO228</f>
        <v>124364.34436138588</v>
      </c>
      <c r="AD115" s="460">
        <f ca="1">Underwriting!AP228</f>
        <v>129496.41144296707</v>
      </c>
      <c r="AE115" s="460">
        <f ca="1">Underwriting!AQ228</f>
        <v>357948.18567299953</v>
      </c>
      <c r="AF115" s="460">
        <f ca="1">Underwriting!AR228</f>
        <v>380117.76310722309</v>
      </c>
      <c r="AG115" s="460">
        <f ca="1">Underwriting!AS228</f>
        <v>380900.74346248293</v>
      </c>
      <c r="AH115" s="460">
        <f ca="1">Underwriting!AT228</f>
        <v>381685.33662907692</v>
      </c>
      <c r="AI115" s="460">
        <f ca="1">Underwriting!AU228</f>
        <v>382471.54592913273</v>
      </c>
      <c r="AJ115" s="460">
        <f ca="1">Underwriting!AV228</f>
        <v>383259.37469162041</v>
      </c>
      <c r="AK115" s="460">
        <f ca="1">Underwriting!AW228</f>
        <v>384048.82625236746</v>
      </c>
      <c r="AL115" s="460">
        <f ca="1">Underwriting!AX228</f>
        <v>384839.90395407256</v>
      </c>
      <c r="AM115" s="460">
        <f ca="1">Underwriting!AY228</f>
        <v>385632.61114631995</v>
      </c>
      <c r="AN115" s="460">
        <f ca="1">Underwriting!AZ228</f>
        <v>386426.95118559327</v>
      </c>
      <c r="AO115" s="460">
        <f ca="1">Underwriting!BA228</f>
        <v>387222.92743529024</v>
      </c>
      <c r="AP115" s="460">
        <f ca="1">Underwriting!BB228</f>
        <v>388020.54326573602</v>
      </c>
      <c r="AQ115" s="460">
        <f ca="1">Underwriting!BC228</f>
        <v>78906758.102800459</v>
      </c>
      <c r="AR115" s="460" t="str">
        <f>Underwriting!BD228</f>
        <v/>
      </c>
      <c r="AS115" s="460" t="str">
        <f>Underwriting!BE228</f>
        <v/>
      </c>
      <c r="AT115" s="460" t="str">
        <f>Underwriting!BF228</f>
        <v/>
      </c>
      <c r="AU115" s="460" t="str">
        <f>Underwriting!BG228</f>
        <v/>
      </c>
      <c r="AV115" s="460" t="str">
        <f>Underwriting!BH228</f>
        <v/>
      </c>
      <c r="AW115" s="460" t="str">
        <f>Underwriting!BI228</f>
        <v/>
      </c>
      <c r="AX115" s="460" t="str">
        <f>Underwriting!BJ228</f>
        <v/>
      </c>
      <c r="AY115" s="460" t="str">
        <f>Underwriting!BK228</f>
        <v/>
      </c>
      <c r="AZ115" s="460" t="str">
        <f>Underwriting!BL228</f>
        <v/>
      </c>
      <c r="BA115" s="460" t="str">
        <f>Underwriting!BM228</f>
        <v/>
      </c>
      <c r="BB115" s="460" t="str">
        <f>Underwriting!BN228</f>
        <v/>
      </c>
      <c r="BC115" s="460" t="str">
        <f>Underwriting!BO228</f>
        <v/>
      </c>
      <c r="BD115" s="460" t="str">
        <f>Underwriting!BP228</f>
        <v/>
      </c>
      <c r="BE115" s="460" t="str">
        <f>Underwriting!BQ228</f>
        <v/>
      </c>
      <c r="BF115" s="460" t="str">
        <f>Underwriting!BR228</f>
        <v/>
      </c>
      <c r="BG115" s="460" t="str">
        <f>Underwriting!BS228</f>
        <v/>
      </c>
      <c r="BH115" s="460" t="str">
        <f>Underwriting!BT228</f>
        <v/>
      </c>
      <c r="BI115" s="460" t="str">
        <f>Underwriting!BU228</f>
        <v/>
      </c>
      <c r="BJ115" s="460" t="str">
        <f>Underwriting!BV228</f>
        <v/>
      </c>
      <c r="BK115" s="460" t="str">
        <f>Underwriting!BW228</f>
        <v/>
      </c>
      <c r="BL115" s="460" t="str">
        <f>Underwriting!BX228</f>
        <v/>
      </c>
      <c r="BM115" s="460" t="str">
        <f>Underwriting!BY228</f>
        <v/>
      </c>
      <c r="BN115" s="460" t="str">
        <f>Underwriting!BZ228</f>
        <v/>
      </c>
      <c r="BO115" s="460" t="str">
        <f>Underwriting!CA228</f>
        <v/>
      </c>
      <c r="BP115" s="460" t="str">
        <f>Underwriting!CB228</f>
        <v/>
      </c>
      <c r="BQ115" s="460" t="str">
        <f>Underwriting!CC228</f>
        <v/>
      </c>
      <c r="BR115" s="460" t="str">
        <f>Underwriting!CD228</f>
        <v/>
      </c>
      <c r="BS115" s="460" t="str">
        <f>Underwriting!CE228</f>
        <v/>
      </c>
      <c r="BT115" s="460" t="str">
        <f>Underwriting!CF228</f>
        <v/>
      </c>
      <c r="BU115" s="460" t="str">
        <f>Underwriting!CG228</f>
        <v/>
      </c>
      <c r="BV115" s="460" t="str">
        <f>Underwriting!CH228</f>
        <v/>
      </c>
      <c r="BW115" s="460" t="str">
        <f>Underwriting!CI228</f>
        <v/>
      </c>
      <c r="BX115" s="460" t="str">
        <f>Underwriting!CJ228</f>
        <v/>
      </c>
      <c r="BY115" s="460" t="str">
        <f>Underwriting!CK228</f>
        <v/>
      </c>
      <c r="BZ115" s="460" t="str">
        <f>Underwriting!CL228</f>
        <v/>
      </c>
      <c r="CA115" s="460" t="str">
        <f>Underwriting!CM228</f>
        <v/>
      </c>
      <c r="CB115" s="460" t="str">
        <f>Underwriting!CN228</f>
        <v/>
      </c>
      <c r="CC115" s="460" t="str">
        <f>Underwriting!CO228</f>
        <v/>
      </c>
      <c r="CD115" s="460" t="str">
        <f>Underwriting!CP228</f>
        <v/>
      </c>
      <c r="CE115" s="460" t="str">
        <f>Underwriting!CQ228</f>
        <v/>
      </c>
      <c r="CF115" s="460" t="str">
        <f>Underwriting!CR228</f>
        <v/>
      </c>
      <c r="CG115" s="460" t="str">
        <f>Underwriting!CS228</f>
        <v/>
      </c>
      <c r="CH115" s="460" t="str">
        <f>Underwriting!CT228</f>
        <v/>
      </c>
      <c r="CI115" s="460" t="str">
        <f>Underwriting!CU228</f>
        <v/>
      </c>
      <c r="CJ115" s="460" t="str">
        <f>Underwriting!CV228</f>
        <v/>
      </c>
      <c r="CK115" s="460" t="str">
        <f>Underwriting!CW228</f>
        <v/>
      </c>
      <c r="CL115" s="460" t="str">
        <f>Underwriting!CX228</f>
        <v/>
      </c>
      <c r="CM115" s="460" t="str">
        <f>Underwriting!CY228</f>
        <v/>
      </c>
      <c r="CN115" s="460" t="str">
        <f>Underwriting!CZ228</f>
        <v/>
      </c>
      <c r="CO115" s="460" t="str">
        <f>Underwriting!DA228</f>
        <v/>
      </c>
      <c r="CP115" s="460" t="str">
        <f>Underwriting!DB228</f>
        <v/>
      </c>
      <c r="CQ115" s="460" t="str">
        <f>Underwriting!DC228</f>
        <v/>
      </c>
      <c r="CR115" s="460" t="str">
        <f>Underwriting!DD228</f>
        <v/>
      </c>
      <c r="CS115" s="460" t="str">
        <f>Underwriting!DE228</f>
        <v/>
      </c>
      <c r="CT115" s="460" t="str">
        <f>Underwriting!DF228</f>
        <v/>
      </c>
      <c r="CU115" s="460" t="str">
        <f>Underwriting!DG228</f>
        <v/>
      </c>
      <c r="CV115" s="460" t="str">
        <f>Underwriting!DH228</f>
        <v/>
      </c>
      <c r="CW115" s="460" t="str">
        <f>Underwriting!DI228</f>
        <v/>
      </c>
      <c r="CX115" s="460" t="str">
        <f>Underwriting!DJ228</f>
        <v/>
      </c>
      <c r="CY115" s="460" t="str">
        <f>Underwriting!DK228</f>
        <v/>
      </c>
      <c r="CZ115" s="460" t="str">
        <f>Underwriting!DL228</f>
        <v/>
      </c>
      <c r="DA115" s="460" t="str">
        <f>Underwriting!DM228</f>
        <v/>
      </c>
      <c r="DB115" s="460" t="str">
        <f>Underwriting!DN228</f>
        <v/>
      </c>
      <c r="DC115" s="460" t="str">
        <f>Underwriting!DO228</f>
        <v/>
      </c>
      <c r="DD115" s="460" t="str">
        <f>Underwriting!DP228</f>
        <v/>
      </c>
      <c r="DE115" s="460" t="str">
        <f>Underwriting!DQ228</f>
        <v/>
      </c>
      <c r="DF115" s="460" t="str">
        <f>Underwriting!DR228</f>
        <v/>
      </c>
      <c r="DG115" s="460" t="str">
        <f>Underwriting!DS228</f>
        <v/>
      </c>
      <c r="DH115" s="460" t="str">
        <f>Underwriting!DT228</f>
        <v/>
      </c>
      <c r="DI115" s="460" t="str">
        <f>Underwriting!DU228</f>
        <v/>
      </c>
      <c r="DJ115" s="460" t="str">
        <f>Underwriting!DV228</f>
        <v/>
      </c>
      <c r="DK115" s="460" t="str">
        <f>Underwriting!DW228</f>
        <v/>
      </c>
      <c r="DL115" s="460" t="str">
        <f>Underwriting!DX228</f>
        <v/>
      </c>
      <c r="DM115" s="460" t="str">
        <f>Underwriting!DY228</f>
        <v/>
      </c>
      <c r="DN115" s="460" t="str">
        <f>Underwriting!DZ228</f>
        <v/>
      </c>
      <c r="DO115" s="460" t="str">
        <f>Underwriting!EA228</f>
        <v/>
      </c>
      <c r="DP115" s="460" t="str">
        <f>Underwriting!EB228</f>
        <v/>
      </c>
      <c r="DQ115" s="460" t="str">
        <f>Underwriting!EC228</f>
        <v/>
      </c>
      <c r="DR115" s="460" t="str">
        <f>Underwriting!ED228</f>
        <v/>
      </c>
      <c r="DS115" s="460" t="str">
        <f>Underwriting!EE228</f>
        <v/>
      </c>
      <c r="DT115" s="460" t="str">
        <f>Underwriting!EF228</f>
        <v/>
      </c>
      <c r="DU115" s="460" t="str">
        <f>Underwriting!EG228</f>
        <v/>
      </c>
      <c r="DV115" s="460" t="str">
        <f>Underwriting!EH228</f>
        <v/>
      </c>
      <c r="DW115" s="460" t="str">
        <f>Underwriting!EI228</f>
        <v/>
      </c>
      <c r="DX115" s="460" t="str">
        <f>Underwriting!EJ228</f>
        <v/>
      </c>
      <c r="DY115" s="460" t="str">
        <f>Underwriting!EK228</f>
        <v/>
      </c>
      <c r="DZ115" s="460" t="str">
        <f>Underwriting!EL228</f>
        <v/>
      </c>
      <c r="EA115" s="460" t="str">
        <f>Underwriting!EM228</f>
        <v/>
      </c>
      <c r="EB115" s="460" t="str">
        <f>Underwriting!EN228</f>
        <v/>
      </c>
      <c r="EC115" s="460" t="str">
        <f>Underwriting!EO228</f>
        <v/>
      </c>
      <c r="ED115" s="460" t="str">
        <f>Underwriting!EP228</f>
        <v/>
      </c>
      <c r="EE115" s="460" t="str">
        <f>Underwriting!EQ228</f>
        <v/>
      </c>
      <c r="EF115" s="460" t="str">
        <f>Underwriting!ER228</f>
        <v/>
      </c>
      <c r="EG115" s="460" t="str">
        <f>Underwriting!ES228</f>
        <v/>
      </c>
      <c r="EH115" s="460" t="str">
        <f>Underwriting!ET228</f>
        <v/>
      </c>
      <c r="EI115" s="460" t="str">
        <f>Underwriting!EU228</f>
        <v/>
      </c>
    </row>
    <row r="116" spans="2:139" ht="14.25" hidden="1" customHeight="1" outlineLevel="1" x14ac:dyDescent="0.25">
      <c r="B116" s="464" t="s">
        <v>221</v>
      </c>
      <c r="C116" s="3"/>
      <c r="D116" s="3"/>
      <c r="E116" s="3"/>
      <c r="F116" s="3"/>
      <c r="G116" s="460">
        <f ca="1">Underwriting!S229</f>
        <v>-27650930</v>
      </c>
      <c r="H116" s="460">
        <f ca="1">Underwriting!T229</f>
        <v>84853.984244358144</v>
      </c>
      <c r="I116" s="460">
        <f ca="1">Underwriting!U229</f>
        <v>90134.378114341001</v>
      </c>
      <c r="J116" s="460">
        <f ca="1">Underwriting!V229</f>
        <v>92940.258041209541</v>
      </c>
      <c r="K116" s="460">
        <f ca="1">Underwriting!W229</f>
        <v>96307.948161248059</v>
      </c>
      <c r="L116" s="460">
        <f ca="1">Underwriting!X229</f>
        <v>100517.47508651271</v>
      </c>
      <c r="M116" s="460">
        <f ca="1">Underwriting!Y229</f>
        <v>103397.89849310924</v>
      </c>
      <c r="N116" s="460">
        <f ca="1">Underwriting!Z229</f>
        <v>106417.69750160788</v>
      </c>
      <c r="O116" s="460">
        <f ca="1">Underwriting!AA229</f>
        <v>109668.54384584576</v>
      </c>
      <c r="P116" s="460">
        <f ca="1">Underwriting!AB229</f>
        <v>112627.08361356609</v>
      </c>
      <c r="Q116" s="460">
        <f ca="1">Underwriting!AC229</f>
        <v>115562.59759384239</v>
      </c>
      <c r="R116" s="460">
        <f ca="1">Underwriting!AD229</f>
        <v>118487.23286179252</v>
      </c>
      <c r="S116" s="460">
        <f ca="1">Underwriting!AE229</f>
        <v>121393.59883056002</v>
      </c>
      <c r="T116" s="460">
        <f ca="1">Underwriting!AF229</f>
        <v>124914.30293087487</v>
      </c>
      <c r="U116" s="460">
        <f ca="1">Underwriting!AG229</f>
        <v>128395.48852891321</v>
      </c>
      <c r="V116" s="460">
        <f ca="1">Underwriting!AH229</f>
        <v>131927.9876215909</v>
      </c>
      <c r="W116" s="460">
        <f ca="1">Underwriting!AI229</f>
        <v>135486.62501190428</v>
      </c>
      <c r="X116" s="460">
        <f ca="1">Underwriting!AJ229</f>
        <v>139069.40118646069</v>
      </c>
      <c r="Y116" s="460">
        <f ca="1">Underwriting!AK229</f>
        <v>142683.35416291468</v>
      </c>
      <c r="Z116" s="460">
        <f ca="1">Underwriting!AL229</f>
        <v>146316.06417419281</v>
      </c>
      <c r="AA116" s="460">
        <f ca="1">Underwriting!AM229</f>
        <v>150003.80515910525</v>
      </c>
      <c r="AB116" s="460">
        <f ca="1">Underwriting!AN229</f>
        <v>153718.00083888386</v>
      </c>
      <c r="AC116" s="460">
        <f ca="1">Underwriting!AO229</f>
        <v>157456.60182851288</v>
      </c>
      <c r="AD116" s="460">
        <f ca="1">Underwriting!AP229</f>
        <v>161225.11929717308</v>
      </c>
      <c r="AE116" s="460">
        <f ca="1">Underwriting!AQ229</f>
        <v>166080.45622274841</v>
      </c>
      <c r="AF116" s="460">
        <f ca="1">Underwriting!AR229</f>
        <v>187894.71920647362</v>
      </c>
      <c r="AG116" s="460">
        <f ca="1">Underwriting!AS229</f>
        <v>188315.8180153594</v>
      </c>
      <c r="AH116" s="460">
        <f ca="1">Underwriting!AT229</f>
        <v>188783.11676020076</v>
      </c>
      <c r="AI116" s="460">
        <f ca="1">Underwriting!AU229</f>
        <v>189219.54179575754</v>
      </c>
      <c r="AJ116" s="460">
        <f ca="1">Underwriting!AV229</f>
        <v>189697.68014224386</v>
      </c>
      <c r="AK116" s="460">
        <f ca="1">Underwriting!AW229</f>
        <v>190188.15602236622</v>
      </c>
      <c r="AL116" s="460">
        <f ca="1">Underwriting!AX229</f>
        <v>190686.47950269585</v>
      </c>
      <c r="AM116" s="460">
        <f ca="1">Underwriting!AY229</f>
        <v>191212.0095838205</v>
      </c>
      <c r="AN116" s="460">
        <f ca="1">Underwriting!AZ229</f>
        <v>191720.50813421857</v>
      </c>
      <c r="AO116" s="460">
        <f ca="1">Underwriting!BA229</f>
        <v>192283.8709352903</v>
      </c>
      <c r="AP116" s="460">
        <f ca="1">Underwriting!BB229</f>
        <v>192853.71222986083</v>
      </c>
      <c r="AQ116" s="460">
        <f ca="1">Underwriting!BC229</f>
        <v>37966225.409960918</v>
      </c>
      <c r="AR116" s="460" t="str">
        <f>Underwriting!BD229</f>
        <v/>
      </c>
      <c r="AS116" s="460" t="str">
        <f>Underwriting!BE229</f>
        <v/>
      </c>
      <c r="AT116" s="460" t="str">
        <f>Underwriting!BF229</f>
        <v/>
      </c>
      <c r="AU116" s="460" t="str">
        <f>Underwriting!BG229</f>
        <v/>
      </c>
      <c r="AV116" s="460" t="str">
        <f>Underwriting!BH229</f>
        <v/>
      </c>
      <c r="AW116" s="460" t="str">
        <f>Underwriting!BI229</f>
        <v/>
      </c>
      <c r="AX116" s="460" t="str">
        <f>Underwriting!BJ229</f>
        <v/>
      </c>
      <c r="AY116" s="460" t="str">
        <f>Underwriting!BK229</f>
        <v/>
      </c>
      <c r="AZ116" s="460" t="str">
        <f>Underwriting!BL229</f>
        <v/>
      </c>
      <c r="BA116" s="460" t="str">
        <f>Underwriting!BM229</f>
        <v/>
      </c>
      <c r="BB116" s="460" t="str">
        <f>Underwriting!BN229</f>
        <v/>
      </c>
      <c r="BC116" s="460" t="str">
        <f>Underwriting!BO229</f>
        <v/>
      </c>
      <c r="BD116" s="460" t="str">
        <f>Underwriting!BP229</f>
        <v/>
      </c>
      <c r="BE116" s="460" t="str">
        <f>Underwriting!BQ229</f>
        <v/>
      </c>
      <c r="BF116" s="460" t="str">
        <f>Underwriting!BR229</f>
        <v/>
      </c>
      <c r="BG116" s="460" t="str">
        <f>Underwriting!BS229</f>
        <v/>
      </c>
      <c r="BH116" s="460" t="str">
        <f>Underwriting!BT229</f>
        <v/>
      </c>
      <c r="BI116" s="460" t="str">
        <f>Underwriting!BU229</f>
        <v/>
      </c>
      <c r="BJ116" s="460" t="str">
        <f>Underwriting!BV229</f>
        <v/>
      </c>
      <c r="BK116" s="460" t="str">
        <f>Underwriting!BW229</f>
        <v/>
      </c>
      <c r="BL116" s="460" t="str">
        <f>Underwriting!BX229</f>
        <v/>
      </c>
      <c r="BM116" s="460" t="str">
        <f>Underwriting!BY229</f>
        <v/>
      </c>
      <c r="BN116" s="460" t="str">
        <f>Underwriting!BZ229</f>
        <v/>
      </c>
      <c r="BO116" s="460" t="str">
        <f>Underwriting!CA229</f>
        <v/>
      </c>
      <c r="BP116" s="460" t="str">
        <f>Underwriting!CB229</f>
        <v/>
      </c>
      <c r="BQ116" s="460" t="str">
        <f>Underwriting!CC229</f>
        <v/>
      </c>
      <c r="BR116" s="460" t="str">
        <f>Underwriting!CD229</f>
        <v/>
      </c>
      <c r="BS116" s="460" t="str">
        <f>Underwriting!CE229</f>
        <v/>
      </c>
      <c r="BT116" s="460" t="str">
        <f>Underwriting!CF229</f>
        <v/>
      </c>
      <c r="BU116" s="460" t="str">
        <f>Underwriting!CG229</f>
        <v/>
      </c>
      <c r="BV116" s="460" t="str">
        <f>Underwriting!CH229</f>
        <v/>
      </c>
      <c r="BW116" s="460" t="str">
        <f>Underwriting!CI229</f>
        <v/>
      </c>
      <c r="BX116" s="460" t="str">
        <f>Underwriting!CJ229</f>
        <v/>
      </c>
      <c r="BY116" s="460" t="str">
        <f>Underwriting!CK229</f>
        <v/>
      </c>
      <c r="BZ116" s="460" t="str">
        <f>Underwriting!CL229</f>
        <v/>
      </c>
      <c r="CA116" s="460" t="str">
        <f>Underwriting!CM229</f>
        <v/>
      </c>
      <c r="CB116" s="460" t="str">
        <f>Underwriting!CN229</f>
        <v/>
      </c>
      <c r="CC116" s="460" t="str">
        <f>Underwriting!CO229</f>
        <v/>
      </c>
      <c r="CD116" s="460" t="str">
        <f>Underwriting!CP229</f>
        <v/>
      </c>
      <c r="CE116" s="460" t="str">
        <f>Underwriting!CQ229</f>
        <v/>
      </c>
      <c r="CF116" s="460" t="str">
        <f>Underwriting!CR229</f>
        <v/>
      </c>
      <c r="CG116" s="460" t="str">
        <f>Underwriting!CS229</f>
        <v/>
      </c>
      <c r="CH116" s="460" t="str">
        <f>Underwriting!CT229</f>
        <v/>
      </c>
      <c r="CI116" s="460" t="str">
        <f>Underwriting!CU229</f>
        <v/>
      </c>
      <c r="CJ116" s="460" t="str">
        <f>Underwriting!CV229</f>
        <v/>
      </c>
      <c r="CK116" s="460" t="str">
        <f>Underwriting!CW229</f>
        <v/>
      </c>
      <c r="CL116" s="460" t="str">
        <f>Underwriting!CX229</f>
        <v/>
      </c>
      <c r="CM116" s="460" t="str">
        <f>Underwriting!CY229</f>
        <v/>
      </c>
      <c r="CN116" s="460" t="str">
        <f>Underwriting!CZ229</f>
        <v/>
      </c>
      <c r="CO116" s="460" t="str">
        <f>Underwriting!DA229</f>
        <v/>
      </c>
      <c r="CP116" s="460" t="str">
        <f>Underwriting!DB229</f>
        <v/>
      </c>
      <c r="CQ116" s="460" t="str">
        <f>Underwriting!DC229</f>
        <v/>
      </c>
      <c r="CR116" s="460" t="str">
        <f>Underwriting!DD229</f>
        <v/>
      </c>
      <c r="CS116" s="460" t="str">
        <f>Underwriting!DE229</f>
        <v/>
      </c>
      <c r="CT116" s="460" t="str">
        <f>Underwriting!DF229</f>
        <v/>
      </c>
      <c r="CU116" s="460" t="str">
        <f>Underwriting!DG229</f>
        <v/>
      </c>
      <c r="CV116" s="460" t="str">
        <f>Underwriting!DH229</f>
        <v/>
      </c>
      <c r="CW116" s="460" t="str">
        <f>Underwriting!DI229</f>
        <v/>
      </c>
      <c r="CX116" s="460" t="str">
        <f>Underwriting!DJ229</f>
        <v/>
      </c>
      <c r="CY116" s="460" t="str">
        <f>Underwriting!DK229</f>
        <v/>
      </c>
      <c r="CZ116" s="460" t="str">
        <f>Underwriting!DL229</f>
        <v/>
      </c>
      <c r="DA116" s="460" t="str">
        <f>Underwriting!DM229</f>
        <v/>
      </c>
      <c r="DB116" s="460" t="str">
        <f>Underwriting!DN229</f>
        <v/>
      </c>
      <c r="DC116" s="460" t="str">
        <f>Underwriting!DO229</f>
        <v/>
      </c>
      <c r="DD116" s="460" t="str">
        <f>Underwriting!DP229</f>
        <v/>
      </c>
      <c r="DE116" s="460" t="str">
        <f>Underwriting!DQ229</f>
        <v/>
      </c>
      <c r="DF116" s="460" t="str">
        <f>Underwriting!DR229</f>
        <v/>
      </c>
      <c r="DG116" s="460" t="str">
        <f>Underwriting!DS229</f>
        <v/>
      </c>
      <c r="DH116" s="460" t="str">
        <f>Underwriting!DT229</f>
        <v/>
      </c>
      <c r="DI116" s="460" t="str">
        <f>Underwriting!DU229</f>
        <v/>
      </c>
      <c r="DJ116" s="460" t="str">
        <f>Underwriting!DV229</f>
        <v/>
      </c>
      <c r="DK116" s="460" t="str">
        <f>Underwriting!DW229</f>
        <v/>
      </c>
      <c r="DL116" s="460" t="str">
        <f>Underwriting!DX229</f>
        <v/>
      </c>
      <c r="DM116" s="460" t="str">
        <f>Underwriting!DY229</f>
        <v/>
      </c>
      <c r="DN116" s="460" t="str">
        <f>Underwriting!DZ229</f>
        <v/>
      </c>
      <c r="DO116" s="460" t="str">
        <f>Underwriting!EA229</f>
        <v/>
      </c>
      <c r="DP116" s="460" t="str">
        <f>Underwriting!EB229</f>
        <v/>
      </c>
      <c r="DQ116" s="460" t="str">
        <f>Underwriting!EC229</f>
        <v/>
      </c>
      <c r="DR116" s="460" t="str">
        <f>Underwriting!ED229</f>
        <v/>
      </c>
      <c r="DS116" s="460" t="str">
        <f>Underwriting!EE229</f>
        <v/>
      </c>
      <c r="DT116" s="460" t="str">
        <f>Underwriting!EF229</f>
        <v/>
      </c>
      <c r="DU116" s="460" t="str">
        <f>Underwriting!EG229</f>
        <v/>
      </c>
      <c r="DV116" s="460" t="str">
        <f>Underwriting!EH229</f>
        <v/>
      </c>
      <c r="DW116" s="460" t="str">
        <f>Underwriting!EI229</f>
        <v/>
      </c>
      <c r="DX116" s="460" t="str">
        <f>Underwriting!EJ229</f>
        <v/>
      </c>
      <c r="DY116" s="460" t="str">
        <f>Underwriting!EK229</f>
        <v/>
      </c>
      <c r="DZ116" s="460" t="str">
        <f>Underwriting!EL229</f>
        <v/>
      </c>
      <c r="EA116" s="460" t="str">
        <f>Underwriting!EM229</f>
        <v/>
      </c>
      <c r="EB116" s="460" t="str">
        <f>Underwriting!EN229</f>
        <v/>
      </c>
      <c r="EC116" s="460" t="str">
        <f>Underwriting!EO229</f>
        <v/>
      </c>
      <c r="ED116" s="460" t="str">
        <f>Underwriting!EP229</f>
        <v/>
      </c>
      <c r="EE116" s="460" t="str">
        <f>Underwriting!EQ229</f>
        <v/>
      </c>
      <c r="EF116" s="460" t="str">
        <f>Underwriting!ER229</f>
        <v/>
      </c>
      <c r="EG116" s="460" t="str">
        <f>Underwriting!ES229</f>
        <v/>
      </c>
      <c r="EH116" s="460" t="str">
        <f>Underwriting!ET229</f>
        <v/>
      </c>
      <c r="EI116" s="460" t="str">
        <f>Underwriting!EU229</f>
        <v/>
      </c>
    </row>
    <row r="117" spans="2:139" collapsed="1" x14ac:dyDescent="0.25"/>
  </sheetData>
  <conditionalFormatting sqref="H34">
    <cfRule type="expression" dxfId="48" priority="6">
      <formula>$B$35=""</formula>
    </cfRule>
  </conditionalFormatting>
  <conditionalFormatting sqref="H33">
    <cfRule type="expression" dxfId="47" priority="5">
      <formula>$B$35=""</formula>
    </cfRule>
  </conditionalFormatting>
  <conditionalFormatting sqref="G34">
    <cfRule type="expression" dxfId="46" priority="4">
      <formula>$B$35=""</formula>
    </cfRule>
  </conditionalFormatting>
  <conditionalFormatting sqref="G33">
    <cfRule type="expression" dxfId="45" priority="3">
      <formula>$B$35=""</formula>
    </cfRule>
  </conditionalFormatting>
  <conditionalFormatting sqref="B5:B6">
    <cfRule type="expression" dxfId="44" priority="2">
      <formula>B5="Incomplete"</formula>
    </cfRule>
  </conditionalFormatting>
  <conditionalFormatting sqref="G5:N60">
    <cfRule type="expression" dxfId="43" priority="1">
      <formula>G$4="EXIT"</formula>
    </cfRule>
  </conditionalFormatting>
  <conditionalFormatting sqref="O5:P60">
    <cfRule type="expression" dxfId="42" priority="41">
      <formula>Q$4="EXIT"</formula>
    </cfRule>
  </conditionalFormatting>
  <conditionalFormatting sqref="Q5:R60">
    <cfRule type="expression" dxfId="41" priority="42">
      <formula>#REF!="EXIT"</formula>
    </cfRule>
  </conditionalFormatting>
  <printOptions horizontalCentered="1"/>
  <pageMargins left="0.7" right="0.7" top="0.75" bottom="0.75" header="0.3" footer="0.3"/>
  <pageSetup scale="66" orientation="landscape" horizontalDpi="4294967293"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B60CA-7F1F-4573-B383-3542546D740D}">
  <sheetPr codeName="Sheet2">
    <tabColor theme="5" tint="0.59999389629810485"/>
  </sheetPr>
  <dimension ref="A1:UU295"/>
  <sheetViews>
    <sheetView showGridLines="0" zoomScale="85" zoomScaleNormal="85" workbookViewId="0">
      <pane xSplit="11" ySplit="5" topLeftCell="L6" activePane="bottomRight" state="frozen"/>
      <selection pane="topRight"/>
      <selection pane="bottomLeft"/>
      <selection pane="bottomRight"/>
    </sheetView>
  </sheetViews>
  <sheetFormatPr defaultColWidth="0" defaultRowHeight="13.8" zeroHeight="1" outlineLevelCol="1" x14ac:dyDescent="0.25"/>
  <cols>
    <col min="1" max="1" width="1.59765625" style="175" customWidth="1"/>
    <col min="2" max="2" width="16" style="3" customWidth="1"/>
    <col min="3" max="3" width="8" style="3" bestFit="1" customWidth="1"/>
    <col min="4" max="4" width="10.5" style="3" bestFit="1" customWidth="1"/>
    <col min="5" max="5" width="10.8984375" style="3" bestFit="1" customWidth="1"/>
    <col min="6" max="6" width="10" style="3" bestFit="1" customWidth="1"/>
    <col min="7" max="7" width="11.3984375" style="3" bestFit="1" customWidth="1"/>
    <col min="8" max="8" width="10" style="3" bestFit="1" customWidth="1"/>
    <col min="9" max="9" width="11.3984375" style="3" bestFit="1" customWidth="1"/>
    <col min="10" max="10" width="10.69921875" style="195" bestFit="1" customWidth="1"/>
    <col min="11" max="11" width="12.19921875" style="195" customWidth="1"/>
    <col min="12" max="12" width="1.59765625" customWidth="1"/>
    <col min="13" max="16" width="12.59765625" style="3" hidden="1" customWidth="1" outlineLevel="1"/>
    <col min="17" max="17" width="1.59765625" style="3" hidden="1" customWidth="1" outlineLevel="1"/>
    <col min="18" max="18" width="12.59765625" style="159" bestFit="1" customWidth="1" collapsed="1"/>
    <col min="19" max="19" width="11.5" style="92" bestFit="1" customWidth="1"/>
    <col min="20" max="20" width="9" style="92" customWidth="1"/>
    <col min="21" max="21" width="11.5" style="92" bestFit="1" customWidth="1"/>
    <col min="22" max="35" width="9" style="92" customWidth="1"/>
    <col min="36" max="36" width="9.69921875" style="92" bestFit="1" customWidth="1"/>
    <col min="37" max="48" width="9" style="92" customWidth="1"/>
    <col min="49" max="49" width="9.69921875" style="92" bestFit="1" customWidth="1"/>
    <col min="50" max="50" width="9" style="92" customWidth="1"/>
    <col min="51" max="51" width="9.69921875" style="92" bestFit="1" customWidth="1"/>
    <col min="52" max="54" width="9" style="92" customWidth="1"/>
    <col min="55" max="55" width="9.69921875" style="92" bestFit="1" customWidth="1"/>
    <col min="56" max="56" width="9" style="92" customWidth="1"/>
    <col min="57" max="57" width="9.69921875" style="92" bestFit="1" customWidth="1"/>
    <col min="58" max="138" width="9" style="92" customWidth="1"/>
    <col min="139" max="139" width="10.19921875" style="92" bestFit="1" customWidth="1"/>
    <col min="140" max="151" width="9" style="92" customWidth="1"/>
    <col min="152" max="152" width="2.59765625" style="86" customWidth="1"/>
    <col min="153" max="153" width="9.3984375" style="199" bestFit="1" customWidth="1"/>
    <col min="154" max="154" width="8.59765625" style="199" customWidth="1"/>
    <col min="155" max="155" width="9.3984375" style="199" bestFit="1" customWidth="1"/>
    <col min="156" max="156" width="8.5" style="199" customWidth="1"/>
    <col min="157" max="157" width="9" style="199" customWidth="1"/>
    <col min="158" max="158" width="10.69921875" style="199" customWidth="1"/>
    <col min="159" max="159" width="10.69921875" style="207" bestFit="1" customWidth="1"/>
    <col min="160" max="196" width="9.5" style="207" bestFit="1" customWidth="1"/>
    <col min="197" max="197" width="10.09765625" style="207" bestFit="1" customWidth="1"/>
    <col min="198" max="278" width="9.3984375" style="207" bestFit="1" customWidth="1"/>
    <col min="279" max="279" width="10.09765625" style="207" bestFit="1" customWidth="1"/>
    <col min="280" max="291" width="9" style="207" customWidth="1"/>
    <col min="292" max="292" width="9" style="200" customWidth="1"/>
    <col min="293" max="293" width="9.3984375" style="199" bestFit="1" customWidth="1"/>
    <col min="294" max="294" width="8.59765625" style="199" customWidth="1"/>
    <col min="295" max="295" width="9.3984375" style="199" bestFit="1" customWidth="1"/>
    <col min="296" max="296" width="8.5" style="199" customWidth="1"/>
    <col min="297" max="297" width="9" style="199" customWidth="1"/>
    <col min="298" max="298" width="10.69921875" style="199" customWidth="1"/>
    <col min="299" max="419" width="9.3984375" style="199" bestFit="1" customWidth="1"/>
    <col min="420" max="431" width="9" style="199" customWidth="1"/>
    <col min="432" max="432" width="9" style="201" customWidth="1"/>
    <col min="433" max="433" width="12.59765625" style="2" bestFit="1" customWidth="1"/>
    <col min="434" max="567" width="9" style="2" customWidth="1"/>
    <col min="568" max="16384" width="9" style="2" hidden="1"/>
  </cols>
  <sheetData>
    <row r="1" spans="2:567" ht="5.0999999999999996" customHeight="1" x14ac:dyDescent="0.25">
      <c r="B1"/>
      <c r="C1"/>
      <c r="D1"/>
      <c r="E1"/>
      <c r="F1"/>
      <c r="G1"/>
      <c r="H1"/>
      <c r="I1"/>
      <c r="J1" s="190"/>
      <c r="K1" s="190"/>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FC1" s="199"/>
      <c r="FD1" s="199"/>
      <c r="FE1" s="199"/>
      <c r="FF1" s="199"/>
      <c r="FG1" s="199"/>
      <c r="FH1" s="199"/>
      <c r="FI1" s="199"/>
      <c r="FJ1" s="199"/>
      <c r="FK1" s="199"/>
      <c r="FL1" s="199"/>
      <c r="FM1" s="199"/>
      <c r="FN1" s="199"/>
      <c r="FO1" s="199"/>
      <c r="FP1" s="199"/>
      <c r="FQ1" s="199"/>
      <c r="FR1" s="199"/>
      <c r="FS1" s="199"/>
      <c r="FT1" s="199"/>
      <c r="FU1" s="199"/>
      <c r="FV1" s="199"/>
      <c r="FW1" s="199"/>
      <c r="FX1" s="199"/>
      <c r="FY1" s="199"/>
      <c r="FZ1" s="199"/>
      <c r="GA1" s="199"/>
      <c r="GB1" s="199"/>
      <c r="GC1" s="199"/>
      <c r="GD1" s="199"/>
      <c r="GE1" s="199"/>
      <c r="GF1" s="199"/>
      <c r="GG1" s="199"/>
      <c r="GH1" s="199"/>
      <c r="GI1" s="199"/>
      <c r="GJ1" s="199"/>
      <c r="GK1" s="199"/>
      <c r="GL1" s="199"/>
      <c r="GM1" s="199"/>
      <c r="GN1" s="199"/>
      <c r="GO1" s="199"/>
      <c r="GP1" s="199"/>
      <c r="GQ1" s="199"/>
      <c r="GR1" s="199"/>
      <c r="GS1" s="199"/>
      <c r="GT1" s="199"/>
      <c r="GU1" s="199"/>
      <c r="GV1" s="199"/>
      <c r="GW1" s="199"/>
      <c r="GX1" s="199"/>
      <c r="GY1" s="199"/>
      <c r="GZ1" s="199"/>
      <c r="HA1" s="199"/>
      <c r="HB1" s="199"/>
      <c r="HC1" s="199"/>
      <c r="HD1" s="199"/>
      <c r="HE1" s="199"/>
      <c r="HF1" s="199"/>
      <c r="HG1" s="199"/>
      <c r="HH1" s="199"/>
      <c r="HI1" s="199"/>
      <c r="HJ1" s="199"/>
      <c r="HK1" s="199"/>
      <c r="HL1" s="199"/>
      <c r="HM1" s="199"/>
      <c r="HN1" s="199"/>
      <c r="HO1" s="199"/>
      <c r="HP1" s="199"/>
      <c r="HQ1" s="199"/>
      <c r="HR1" s="199"/>
      <c r="HS1" s="199"/>
      <c r="HT1" s="199"/>
      <c r="HU1" s="199"/>
      <c r="HV1" s="199"/>
      <c r="HW1" s="199"/>
      <c r="HX1" s="199"/>
      <c r="HY1" s="199"/>
      <c r="HZ1" s="199"/>
      <c r="IA1" s="199"/>
      <c r="IB1" s="199"/>
      <c r="IC1" s="199"/>
      <c r="ID1" s="199"/>
      <c r="IE1" s="199"/>
      <c r="IF1" s="199"/>
      <c r="IG1" s="199"/>
      <c r="IH1" s="199"/>
      <c r="II1" s="199"/>
      <c r="IJ1" s="199"/>
      <c r="IK1" s="199"/>
      <c r="IL1" s="199"/>
      <c r="IM1" s="199"/>
      <c r="IN1" s="199"/>
      <c r="IO1" s="199"/>
      <c r="IP1" s="199"/>
      <c r="IQ1" s="199"/>
      <c r="IR1" s="199"/>
      <c r="IS1" s="199"/>
      <c r="IT1" s="199"/>
      <c r="IU1" s="199"/>
      <c r="IV1" s="199"/>
      <c r="IW1" s="199"/>
      <c r="IX1" s="199"/>
      <c r="IY1" s="199"/>
      <c r="IZ1" s="199"/>
      <c r="JA1" s="199"/>
      <c r="JB1" s="199"/>
      <c r="JC1" s="199"/>
      <c r="JD1" s="199"/>
      <c r="JE1" s="199"/>
      <c r="JF1" s="199"/>
      <c r="JG1" s="199"/>
      <c r="JH1" s="199"/>
      <c r="JI1" s="199"/>
      <c r="JJ1" s="199"/>
      <c r="JK1" s="199"/>
      <c r="JL1" s="199"/>
      <c r="JM1" s="199"/>
      <c r="JN1" s="199"/>
      <c r="JO1" s="199"/>
      <c r="JP1" s="199"/>
      <c r="JQ1" s="199"/>
      <c r="JR1" s="199"/>
      <c r="JS1" s="199"/>
      <c r="JT1" s="199"/>
      <c r="JU1" s="199"/>
      <c r="JV1" s="199"/>
      <c r="JW1" s="199"/>
      <c r="JX1" s="199"/>
      <c r="JY1" s="199"/>
      <c r="JZ1" s="199"/>
      <c r="KA1" s="199"/>
      <c r="KB1" s="199"/>
      <c r="KC1" s="199"/>
      <c r="KD1" s="199"/>
      <c r="KE1" s="199"/>
      <c r="PQ1" s="201"/>
      <c r="PR1" s="201"/>
      <c r="PS1" s="201"/>
      <c r="PT1" s="201"/>
      <c r="PU1" s="201"/>
      <c r="PV1" s="201"/>
      <c r="PW1" s="201"/>
      <c r="PX1" s="201"/>
      <c r="PY1" s="201"/>
      <c r="PZ1" s="201"/>
      <c r="QA1" s="201"/>
      <c r="QB1" s="201"/>
      <c r="QC1" s="201"/>
      <c r="QD1" s="201"/>
      <c r="QE1" s="201"/>
      <c r="QF1" s="201"/>
      <c r="QG1" s="201"/>
      <c r="QH1" s="201"/>
      <c r="QI1" s="201"/>
      <c r="QJ1" s="201"/>
      <c r="QK1" s="201"/>
      <c r="QL1" s="201"/>
      <c r="QM1" s="201"/>
      <c r="QN1" s="201"/>
      <c r="QO1" s="201"/>
      <c r="QP1" s="201"/>
      <c r="QQ1" s="201"/>
      <c r="QR1" s="201"/>
      <c r="QS1" s="201"/>
      <c r="QT1" s="201"/>
      <c r="QU1" s="201"/>
      <c r="QV1" s="201"/>
      <c r="QW1" s="201"/>
      <c r="QX1" s="201"/>
      <c r="QY1" s="201"/>
      <c r="QZ1" s="201"/>
      <c r="RA1" s="201"/>
      <c r="RB1" s="201"/>
      <c r="RC1" s="201"/>
      <c r="RD1" s="201"/>
      <c r="RE1" s="201"/>
      <c r="RF1" s="201"/>
      <c r="RG1" s="201"/>
      <c r="RH1" s="201"/>
      <c r="RI1" s="201"/>
      <c r="RJ1" s="201"/>
      <c r="RK1" s="201"/>
      <c r="RL1" s="201"/>
      <c r="RM1" s="201"/>
      <c r="RN1" s="201"/>
      <c r="RO1" s="201"/>
      <c r="RP1" s="201"/>
      <c r="RQ1" s="201"/>
      <c r="RR1" s="201"/>
      <c r="RS1" s="201"/>
      <c r="RT1" s="201"/>
      <c r="RU1" s="201"/>
      <c r="RV1" s="201"/>
      <c r="RW1" s="201"/>
      <c r="RX1" s="201"/>
      <c r="RY1" s="201"/>
      <c r="RZ1" s="201"/>
      <c r="SA1" s="201"/>
      <c r="SB1" s="201"/>
      <c r="SC1" s="201"/>
      <c r="SD1" s="201"/>
      <c r="SE1" s="201"/>
      <c r="SF1" s="201"/>
      <c r="SG1" s="201"/>
      <c r="SH1" s="201"/>
      <c r="SI1" s="201"/>
      <c r="SJ1" s="201"/>
      <c r="SK1" s="201"/>
      <c r="SL1" s="201"/>
      <c r="SM1" s="201"/>
      <c r="SN1" s="201"/>
      <c r="SO1" s="201"/>
      <c r="SP1" s="201"/>
      <c r="SQ1" s="201"/>
      <c r="SR1" s="201"/>
      <c r="SS1" s="201"/>
      <c r="ST1" s="201"/>
      <c r="SU1" s="201"/>
      <c r="SV1" s="201"/>
      <c r="SW1" s="201"/>
      <c r="SX1" s="201"/>
      <c r="SY1" s="201"/>
      <c r="SZ1" s="201"/>
      <c r="TA1" s="201"/>
      <c r="TB1" s="201"/>
      <c r="TC1" s="201"/>
      <c r="TD1" s="201"/>
      <c r="TE1" s="201"/>
      <c r="TF1" s="201"/>
      <c r="TG1" s="201"/>
      <c r="TH1" s="201"/>
      <c r="TI1" s="201"/>
      <c r="TJ1" s="201"/>
      <c r="TK1" s="201"/>
      <c r="TL1" s="201"/>
      <c r="TM1" s="201"/>
      <c r="TN1" s="201"/>
      <c r="TO1" s="201"/>
      <c r="TP1" s="201"/>
      <c r="TQ1" s="201"/>
      <c r="TR1" s="201"/>
      <c r="TS1" s="201"/>
      <c r="TT1" s="201"/>
      <c r="TU1" s="201"/>
      <c r="TV1" s="201"/>
      <c r="TW1" s="201"/>
      <c r="TX1" s="201"/>
      <c r="TY1" s="201"/>
      <c r="TZ1" s="201"/>
      <c r="UA1" s="201"/>
      <c r="UB1" s="201"/>
      <c r="UC1" s="201"/>
      <c r="UD1" s="201"/>
      <c r="UE1" s="201"/>
      <c r="UF1" s="201"/>
      <c r="UG1" s="201"/>
      <c r="UH1" s="201"/>
      <c r="UI1" s="201"/>
      <c r="UJ1" s="201"/>
      <c r="UK1" s="201"/>
      <c r="UL1" s="201"/>
      <c r="UM1" s="201"/>
      <c r="UN1" s="201"/>
      <c r="UO1" s="201"/>
      <c r="UP1" s="201"/>
      <c r="UQ1" s="201"/>
      <c r="UR1" s="201"/>
      <c r="US1" s="201"/>
      <c r="UT1" s="201"/>
      <c r="UU1" s="201"/>
    </row>
    <row r="2" spans="2:567" x14ac:dyDescent="0.25">
      <c r="B2" s="615" t="s">
        <v>0</v>
      </c>
      <c r="C2" s="615"/>
      <c r="D2" s="615"/>
      <c r="E2" s="617" t="str">
        <f ca="1">TEXT(J229,"0.00%")&amp;" Gross Levered IRR"</f>
        <v>16.95% Gross Levered IRR</v>
      </c>
      <c r="F2" s="618"/>
      <c r="G2" s="619" t="str">
        <f ca="1">TEXT(I229,"0.00X")&amp;" Gross Levered EMX"</f>
        <v>1.56X Gross Levered EMX</v>
      </c>
      <c r="H2" s="620"/>
      <c r="I2" s="616" t="str">
        <f>UPPER(F8)</f>
        <v>[INVESTMENT NAME]</v>
      </c>
      <c r="J2" s="616"/>
      <c r="K2" s="616"/>
      <c r="R2" s="546" t="s">
        <v>631</v>
      </c>
      <c r="S2" s="547">
        <f>F18</f>
        <v>46023</v>
      </c>
      <c r="T2" s="374">
        <f>T18</f>
        <v>1</v>
      </c>
      <c r="U2" s="374">
        <f t="shared" ref="U2:CF2" si="0">U18</f>
        <v>1</v>
      </c>
      <c r="V2" s="374">
        <f t="shared" si="0"/>
        <v>1</v>
      </c>
      <c r="W2" s="374">
        <f t="shared" si="0"/>
        <v>1</v>
      </c>
      <c r="X2" s="374">
        <f t="shared" si="0"/>
        <v>1</v>
      </c>
      <c r="Y2" s="374">
        <f t="shared" si="0"/>
        <v>1</v>
      </c>
      <c r="Z2" s="374">
        <f t="shared" si="0"/>
        <v>1</v>
      </c>
      <c r="AA2" s="374">
        <f t="shared" si="0"/>
        <v>1</v>
      </c>
      <c r="AB2" s="374">
        <f t="shared" si="0"/>
        <v>1</v>
      </c>
      <c r="AC2" s="374">
        <f t="shared" si="0"/>
        <v>1</v>
      </c>
      <c r="AD2" s="374">
        <f t="shared" si="0"/>
        <v>1</v>
      </c>
      <c r="AE2" s="374">
        <f t="shared" si="0"/>
        <v>1</v>
      </c>
      <c r="AF2" s="374">
        <f t="shared" si="0"/>
        <v>2</v>
      </c>
      <c r="AG2" s="374">
        <f t="shared" si="0"/>
        <v>2</v>
      </c>
      <c r="AH2" s="374">
        <f t="shared" si="0"/>
        <v>2</v>
      </c>
      <c r="AI2" s="374">
        <f t="shared" si="0"/>
        <v>2</v>
      </c>
      <c r="AJ2" s="374">
        <f t="shared" si="0"/>
        <v>2</v>
      </c>
      <c r="AK2" s="374">
        <f t="shared" si="0"/>
        <v>2</v>
      </c>
      <c r="AL2" s="374">
        <f t="shared" si="0"/>
        <v>2</v>
      </c>
      <c r="AM2" s="374">
        <f t="shared" si="0"/>
        <v>2</v>
      </c>
      <c r="AN2" s="374">
        <f t="shared" si="0"/>
        <v>2</v>
      </c>
      <c r="AO2" s="374">
        <f t="shared" si="0"/>
        <v>2</v>
      </c>
      <c r="AP2" s="374">
        <f t="shared" si="0"/>
        <v>2</v>
      </c>
      <c r="AQ2" s="374">
        <f t="shared" si="0"/>
        <v>2</v>
      </c>
      <c r="AR2" s="374">
        <f t="shared" si="0"/>
        <v>3</v>
      </c>
      <c r="AS2" s="374">
        <f t="shared" si="0"/>
        <v>3</v>
      </c>
      <c r="AT2" s="374">
        <f t="shared" si="0"/>
        <v>3</v>
      </c>
      <c r="AU2" s="374">
        <f t="shared" si="0"/>
        <v>3</v>
      </c>
      <c r="AV2" s="374">
        <f t="shared" si="0"/>
        <v>3</v>
      </c>
      <c r="AW2" s="374">
        <f t="shared" si="0"/>
        <v>3</v>
      </c>
      <c r="AX2" s="374">
        <f t="shared" si="0"/>
        <v>3</v>
      </c>
      <c r="AY2" s="374">
        <f t="shared" si="0"/>
        <v>3</v>
      </c>
      <c r="AZ2" s="374">
        <f t="shared" si="0"/>
        <v>3</v>
      </c>
      <c r="BA2" s="374">
        <f t="shared" si="0"/>
        <v>3</v>
      </c>
      <c r="BB2" s="374">
        <f t="shared" si="0"/>
        <v>3</v>
      </c>
      <c r="BC2" s="374">
        <f t="shared" si="0"/>
        <v>3</v>
      </c>
      <c r="BD2" s="374">
        <f t="shared" si="0"/>
        <v>4</v>
      </c>
      <c r="BE2" s="374">
        <f t="shared" si="0"/>
        <v>4</v>
      </c>
      <c r="BF2" s="374">
        <f t="shared" si="0"/>
        <v>4</v>
      </c>
      <c r="BG2" s="374">
        <f t="shared" si="0"/>
        <v>4</v>
      </c>
      <c r="BH2" s="374">
        <f t="shared" si="0"/>
        <v>4</v>
      </c>
      <c r="BI2" s="374">
        <f t="shared" si="0"/>
        <v>4</v>
      </c>
      <c r="BJ2" s="374">
        <f t="shared" si="0"/>
        <v>4</v>
      </c>
      <c r="BK2" s="374">
        <f t="shared" si="0"/>
        <v>4</v>
      </c>
      <c r="BL2" s="374">
        <f t="shared" si="0"/>
        <v>4</v>
      </c>
      <c r="BM2" s="374">
        <f t="shared" si="0"/>
        <v>4</v>
      </c>
      <c r="BN2" s="374">
        <f t="shared" si="0"/>
        <v>4</v>
      </c>
      <c r="BO2" s="374">
        <f t="shared" si="0"/>
        <v>4</v>
      </c>
      <c r="BP2" s="374">
        <f t="shared" si="0"/>
        <v>5</v>
      </c>
      <c r="BQ2" s="374">
        <f t="shared" si="0"/>
        <v>5</v>
      </c>
      <c r="BR2" s="374">
        <f t="shared" si="0"/>
        <v>5</v>
      </c>
      <c r="BS2" s="374">
        <f t="shared" si="0"/>
        <v>5</v>
      </c>
      <c r="BT2" s="374">
        <f t="shared" si="0"/>
        <v>5</v>
      </c>
      <c r="BU2" s="374">
        <f t="shared" si="0"/>
        <v>5</v>
      </c>
      <c r="BV2" s="374">
        <f t="shared" si="0"/>
        <v>5</v>
      </c>
      <c r="BW2" s="374">
        <f t="shared" si="0"/>
        <v>5</v>
      </c>
      <c r="BX2" s="374">
        <f t="shared" si="0"/>
        <v>5</v>
      </c>
      <c r="BY2" s="374">
        <f t="shared" si="0"/>
        <v>5</v>
      </c>
      <c r="BZ2" s="374">
        <f t="shared" si="0"/>
        <v>5</v>
      </c>
      <c r="CA2" s="374">
        <f t="shared" si="0"/>
        <v>5</v>
      </c>
      <c r="CB2" s="374">
        <f t="shared" si="0"/>
        <v>6</v>
      </c>
      <c r="CC2" s="374">
        <f t="shared" si="0"/>
        <v>6</v>
      </c>
      <c r="CD2" s="374">
        <f t="shared" si="0"/>
        <v>6</v>
      </c>
      <c r="CE2" s="374">
        <f t="shared" si="0"/>
        <v>6</v>
      </c>
      <c r="CF2" s="374">
        <f t="shared" si="0"/>
        <v>6</v>
      </c>
      <c r="CG2" s="374">
        <f t="shared" ref="CG2:ER2" si="1">CG18</f>
        <v>6</v>
      </c>
      <c r="CH2" s="374">
        <f t="shared" si="1"/>
        <v>6</v>
      </c>
      <c r="CI2" s="374">
        <f t="shared" si="1"/>
        <v>6</v>
      </c>
      <c r="CJ2" s="374">
        <f t="shared" si="1"/>
        <v>6</v>
      </c>
      <c r="CK2" s="374">
        <f t="shared" si="1"/>
        <v>6</v>
      </c>
      <c r="CL2" s="374">
        <f t="shared" si="1"/>
        <v>6</v>
      </c>
      <c r="CM2" s="374">
        <f t="shared" si="1"/>
        <v>6</v>
      </c>
      <c r="CN2" s="374">
        <f t="shared" si="1"/>
        <v>7</v>
      </c>
      <c r="CO2" s="374">
        <f t="shared" si="1"/>
        <v>7</v>
      </c>
      <c r="CP2" s="374">
        <f t="shared" si="1"/>
        <v>7</v>
      </c>
      <c r="CQ2" s="374">
        <f t="shared" si="1"/>
        <v>7</v>
      </c>
      <c r="CR2" s="374">
        <f t="shared" si="1"/>
        <v>7</v>
      </c>
      <c r="CS2" s="374">
        <f t="shared" si="1"/>
        <v>7</v>
      </c>
      <c r="CT2" s="374">
        <f t="shared" si="1"/>
        <v>7</v>
      </c>
      <c r="CU2" s="374">
        <f t="shared" si="1"/>
        <v>7</v>
      </c>
      <c r="CV2" s="374">
        <f t="shared" si="1"/>
        <v>7</v>
      </c>
      <c r="CW2" s="374">
        <f t="shared" si="1"/>
        <v>7</v>
      </c>
      <c r="CX2" s="374">
        <f t="shared" si="1"/>
        <v>7</v>
      </c>
      <c r="CY2" s="374">
        <f t="shared" si="1"/>
        <v>7</v>
      </c>
      <c r="CZ2" s="374">
        <f t="shared" si="1"/>
        <v>8</v>
      </c>
      <c r="DA2" s="374">
        <f t="shared" si="1"/>
        <v>8</v>
      </c>
      <c r="DB2" s="374">
        <f t="shared" si="1"/>
        <v>8</v>
      </c>
      <c r="DC2" s="374">
        <f t="shared" si="1"/>
        <v>8</v>
      </c>
      <c r="DD2" s="374">
        <f t="shared" si="1"/>
        <v>8</v>
      </c>
      <c r="DE2" s="374">
        <f t="shared" si="1"/>
        <v>8</v>
      </c>
      <c r="DF2" s="374">
        <f t="shared" si="1"/>
        <v>8</v>
      </c>
      <c r="DG2" s="374">
        <f t="shared" si="1"/>
        <v>8</v>
      </c>
      <c r="DH2" s="374">
        <f t="shared" si="1"/>
        <v>8</v>
      </c>
      <c r="DI2" s="374">
        <f t="shared" si="1"/>
        <v>8</v>
      </c>
      <c r="DJ2" s="374">
        <f t="shared" si="1"/>
        <v>8</v>
      </c>
      <c r="DK2" s="374">
        <f t="shared" si="1"/>
        <v>8</v>
      </c>
      <c r="DL2" s="374">
        <f t="shared" si="1"/>
        <v>9</v>
      </c>
      <c r="DM2" s="374">
        <f t="shared" si="1"/>
        <v>9</v>
      </c>
      <c r="DN2" s="374">
        <f t="shared" si="1"/>
        <v>9</v>
      </c>
      <c r="DO2" s="374">
        <f t="shared" si="1"/>
        <v>9</v>
      </c>
      <c r="DP2" s="374">
        <f t="shared" si="1"/>
        <v>9</v>
      </c>
      <c r="DQ2" s="374">
        <f t="shared" si="1"/>
        <v>9</v>
      </c>
      <c r="DR2" s="374">
        <f t="shared" si="1"/>
        <v>9</v>
      </c>
      <c r="DS2" s="374">
        <f t="shared" si="1"/>
        <v>9</v>
      </c>
      <c r="DT2" s="374">
        <f t="shared" si="1"/>
        <v>9</v>
      </c>
      <c r="DU2" s="374">
        <f t="shared" si="1"/>
        <v>9</v>
      </c>
      <c r="DV2" s="374">
        <f t="shared" si="1"/>
        <v>9</v>
      </c>
      <c r="DW2" s="374">
        <f t="shared" si="1"/>
        <v>9</v>
      </c>
      <c r="DX2" s="374">
        <f t="shared" si="1"/>
        <v>10</v>
      </c>
      <c r="DY2" s="374">
        <f t="shared" si="1"/>
        <v>10</v>
      </c>
      <c r="DZ2" s="374">
        <f t="shared" si="1"/>
        <v>10</v>
      </c>
      <c r="EA2" s="374">
        <f t="shared" si="1"/>
        <v>10</v>
      </c>
      <c r="EB2" s="374">
        <f t="shared" si="1"/>
        <v>10</v>
      </c>
      <c r="EC2" s="374">
        <f t="shared" si="1"/>
        <v>10</v>
      </c>
      <c r="ED2" s="374">
        <f t="shared" si="1"/>
        <v>10</v>
      </c>
      <c r="EE2" s="374">
        <f t="shared" si="1"/>
        <v>10</v>
      </c>
      <c r="EF2" s="374">
        <f t="shared" si="1"/>
        <v>10</v>
      </c>
      <c r="EG2" s="374">
        <f t="shared" si="1"/>
        <v>10</v>
      </c>
      <c r="EH2" s="374">
        <f t="shared" si="1"/>
        <v>10</v>
      </c>
      <c r="EI2" s="374">
        <f t="shared" si="1"/>
        <v>10</v>
      </c>
      <c r="EJ2" s="374">
        <f t="shared" si="1"/>
        <v>11</v>
      </c>
      <c r="EK2" s="374">
        <f t="shared" si="1"/>
        <v>11</v>
      </c>
      <c r="EL2" s="374">
        <f t="shared" si="1"/>
        <v>11</v>
      </c>
      <c r="EM2" s="374">
        <f t="shared" si="1"/>
        <v>11</v>
      </c>
      <c r="EN2" s="374">
        <f t="shared" si="1"/>
        <v>11</v>
      </c>
      <c r="EO2" s="374">
        <f t="shared" si="1"/>
        <v>11</v>
      </c>
      <c r="EP2" s="374">
        <f t="shared" si="1"/>
        <v>11</v>
      </c>
      <c r="EQ2" s="374">
        <f t="shared" si="1"/>
        <v>11</v>
      </c>
      <c r="ER2" s="374">
        <f t="shared" si="1"/>
        <v>11</v>
      </c>
      <c r="ES2" s="374">
        <f t="shared" ref="ES2:EU2" si="2">ES18</f>
        <v>11</v>
      </c>
      <c r="ET2" s="374">
        <f t="shared" si="2"/>
        <v>11</v>
      </c>
      <c r="EU2" s="374">
        <f t="shared" si="2"/>
        <v>11</v>
      </c>
      <c r="EW2" s="202" t="s">
        <v>73</v>
      </c>
      <c r="FB2" s="203" t="s">
        <v>25</v>
      </c>
      <c r="FC2" s="204">
        <v>0</v>
      </c>
      <c r="FD2" s="204">
        <f>+FC2+1</f>
        <v>1</v>
      </c>
      <c r="FE2" s="204">
        <f t="shared" ref="FE2:HP2" si="3">+FD2+1</f>
        <v>2</v>
      </c>
      <c r="FF2" s="204">
        <f t="shared" si="3"/>
        <v>3</v>
      </c>
      <c r="FG2" s="204">
        <f t="shared" si="3"/>
        <v>4</v>
      </c>
      <c r="FH2" s="204">
        <f t="shared" si="3"/>
        <v>5</v>
      </c>
      <c r="FI2" s="204">
        <f t="shared" si="3"/>
        <v>6</v>
      </c>
      <c r="FJ2" s="204">
        <f t="shared" si="3"/>
        <v>7</v>
      </c>
      <c r="FK2" s="204">
        <f t="shared" si="3"/>
        <v>8</v>
      </c>
      <c r="FL2" s="204">
        <f t="shared" si="3"/>
        <v>9</v>
      </c>
      <c r="FM2" s="204">
        <f t="shared" si="3"/>
        <v>10</v>
      </c>
      <c r="FN2" s="204">
        <f t="shared" si="3"/>
        <v>11</v>
      </c>
      <c r="FO2" s="204">
        <f t="shared" si="3"/>
        <v>12</v>
      </c>
      <c r="FP2" s="204">
        <f t="shared" si="3"/>
        <v>13</v>
      </c>
      <c r="FQ2" s="204">
        <f t="shared" si="3"/>
        <v>14</v>
      </c>
      <c r="FR2" s="204">
        <f t="shared" si="3"/>
        <v>15</v>
      </c>
      <c r="FS2" s="204">
        <f t="shared" si="3"/>
        <v>16</v>
      </c>
      <c r="FT2" s="204">
        <f t="shared" si="3"/>
        <v>17</v>
      </c>
      <c r="FU2" s="204">
        <f t="shared" si="3"/>
        <v>18</v>
      </c>
      <c r="FV2" s="204">
        <f t="shared" si="3"/>
        <v>19</v>
      </c>
      <c r="FW2" s="204">
        <f t="shared" si="3"/>
        <v>20</v>
      </c>
      <c r="FX2" s="204">
        <f t="shared" si="3"/>
        <v>21</v>
      </c>
      <c r="FY2" s="204">
        <f t="shared" si="3"/>
        <v>22</v>
      </c>
      <c r="FZ2" s="204">
        <f t="shared" si="3"/>
        <v>23</v>
      </c>
      <c r="GA2" s="204">
        <f t="shared" si="3"/>
        <v>24</v>
      </c>
      <c r="GB2" s="204">
        <f t="shared" si="3"/>
        <v>25</v>
      </c>
      <c r="GC2" s="204">
        <f t="shared" si="3"/>
        <v>26</v>
      </c>
      <c r="GD2" s="204">
        <f t="shared" si="3"/>
        <v>27</v>
      </c>
      <c r="GE2" s="204">
        <f t="shared" si="3"/>
        <v>28</v>
      </c>
      <c r="GF2" s="204">
        <f t="shared" si="3"/>
        <v>29</v>
      </c>
      <c r="GG2" s="204">
        <f t="shared" si="3"/>
        <v>30</v>
      </c>
      <c r="GH2" s="204">
        <f t="shared" si="3"/>
        <v>31</v>
      </c>
      <c r="GI2" s="204">
        <f t="shared" si="3"/>
        <v>32</v>
      </c>
      <c r="GJ2" s="204">
        <f t="shared" si="3"/>
        <v>33</v>
      </c>
      <c r="GK2" s="204">
        <f t="shared" si="3"/>
        <v>34</v>
      </c>
      <c r="GL2" s="204">
        <f t="shared" si="3"/>
        <v>35</v>
      </c>
      <c r="GM2" s="204">
        <f t="shared" si="3"/>
        <v>36</v>
      </c>
      <c r="GN2" s="204">
        <f t="shared" si="3"/>
        <v>37</v>
      </c>
      <c r="GO2" s="204">
        <f t="shared" si="3"/>
        <v>38</v>
      </c>
      <c r="GP2" s="204">
        <f t="shared" si="3"/>
        <v>39</v>
      </c>
      <c r="GQ2" s="204">
        <f t="shared" si="3"/>
        <v>40</v>
      </c>
      <c r="GR2" s="204">
        <f t="shared" si="3"/>
        <v>41</v>
      </c>
      <c r="GS2" s="204">
        <f t="shared" si="3"/>
        <v>42</v>
      </c>
      <c r="GT2" s="204">
        <f t="shared" si="3"/>
        <v>43</v>
      </c>
      <c r="GU2" s="204">
        <f t="shared" si="3"/>
        <v>44</v>
      </c>
      <c r="GV2" s="204">
        <f t="shared" si="3"/>
        <v>45</v>
      </c>
      <c r="GW2" s="204">
        <f t="shared" si="3"/>
        <v>46</v>
      </c>
      <c r="GX2" s="204">
        <f t="shared" si="3"/>
        <v>47</v>
      </c>
      <c r="GY2" s="204">
        <f t="shared" si="3"/>
        <v>48</v>
      </c>
      <c r="GZ2" s="204">
        <f t="shared" si="3"/>
        <v>49</v>
      </c>
      <c r="HA2" s="204">
        <f t="shared" si="3"/>
        <v>50</v>
      </c>
      <c r="HB2" s="204">
        <f t="shared" si="3"/>
        <v>51</v>
      </c>
      <c r="HC2" s="204">
        <f t="shared" si="3"/>
        <v>52</v>
      </c>
      <c r="HD2" s="204">
        <f t="shared" si="3"/>
        <v>53</v>
      </c>
      <c r="HE2" s="204">
        <f t="shared" si="3"/>
        <v>54</v>
      </c>
      <c r="HF2" s="204">
        <f t="shared" si="3"/>
        <v>55</v>
      </c>
      <c r="HG2" s="204">
        <f t="shared" si="3"/>
        <v>56</v>
      </c>
      <c r="HH2" s="204">
        <f t="shared" si="3"/>
        <v>57</v>
      </c>
      <c r="HI2" s="204">
        <f t="shared" si="3"/>
        <v>58</v>
      </c>
      <c r="HJ2" s="204">
        <f t="shared" si="3"/>
        <v>59</v>
      </c>
      <c r="HK2" s="204">
        <f t="shared" si="3"/>
        <v>60</v>
      </c>
      <c r="HL2" s="204">
        <f t="shared" si="3"/>
        <v>61</v>
      </c>
      <c r="HM2" s="204">
        <f t="shared" si="3"/>
        <v>62</v>
      </c>
      <c r="HN2" s="204">
        <f t="shared" si="3"/>
        <v>63</v>
      </c>
      <c r="HO2" s="204">
        <f t="shared" si="3"/>
        <v>64</v>
      </c>
      <c r="HP2" s="204">
        <f t="shared" si="3"/>
        <v>65</v>
      </c>
      <c r="HQ2" s="204">
        <f t="shared" ref="HQ2:KB2" si="4">+HP2+1</f>
        <v>66</v>
      </c>
      <c r="HR2" s="204">
        <f t="shared" si="4"/>
        <v>67</v>
      </c>
      <c r="HS2" s="204">
        <f t="shared" si="4"/>
        <v>68</v>
      </c>
      <c r="HT2" s="204">
        <f t="shared" si="4"/>
        <v>69</v>
      </c>
      <c r="HU2" s="204">
        <f t="shared" si="4"/>
        <v>70</v>
      </c>
      <c r="HV2" s="204">
        <f t="shared" si="4"/>
        <v>71</v>
      </c>
      <c r="HW2" s="204">
        <f t="shared" si="4"/>
        <v>72</v>
      </c>
      <c r="HX2" s="204">
        <f t="shared" si="4"/>
        <v>73</v>
      </c>
      <c r="HY2" s="204">
        <f t="shared" si="4"/>
        <v>74</v>
      </c>
      <c r="HZ2" s="204">
        <f t="shared" si="4"/>
        <v>75</v>
      </c>
      <c r="IA2" s="204">
        <f t="shared" si="4"/>
        <v>76</v>
      </c>
      <c r="IB2" s="204">
        <f t="shared" si="4"/>
        <v>77</v>
      </c>
      <c r="IC2" s="204">
        <f t="shared" si="4"/>
        <v>78</v>
      </c>
      <c r="ID2" s="204">
        <f t="shared" si="4"/>
        <v>79</v>
      </c>
      <c r="IE2" s="204">
        <f t="shared" si="4"/>
        <v>80</v>
      </c>
      <c r="IF2" s="204">
        <f t="shared" si="4"/>
        <v>81</v>
      </c>
      <c r="IG2" s="204">
        <f t="shared" si="4"/>
        <v>82</v>
      </c>
      <c r="IH2" s="204">
        <f t="shared" si="4"/>
        <v>83</v>
      </c>
      <c r="II2" s="204">
        <f t="shared" si="4"/>
        <v>84</v>
      </c>
      <c r="IJ2" s="204">
        <f t="shared" si="4"/>
        <v>85</v>
      </c>
      <c r="IK2" s="204">
        <f t="shared" si="4"/>
        <v>86</v>
      </c>
      <c r="IL2" s="204">
        <f t="shared" si="4"/>
        <v>87</v>
      </c>
      <c r="IM2" s="204">
        <f t="shared" si="4"/>
        <v>88</v>
      </c>
      <c r="IN2" s="204">
        <f t="shared" si="4"/>
        <v>89</v>
      </c>
      <c r="IO2" s="204">
        <f t="shared" si="4"/>
        <v>90</v>
      </c>
      <c r="IP2" s="204">
        <f t="shared" si="4"/>
        <v>91</v>
      </c>
      <c r="IQ2" s="204">
        <f t="shared" si="4"/>
        <v>92</v>
      </c>
      <c r="IR2" s="204">
        <f t="shared" si="4"/>
        <v>93</v>
      </c>
      <c r="IS2" s="204">
        <f t="shared" si="4"/>
        <v>94</v>
      </c>
      <c r="IT2" s="204">
        <f t="shared" si="4"/>
        <v>95</v>
      </c>
      <c r="IU2" s="204">
        <f t="shared" si="4"/>
        <v>96</v>
      </c>
      <c r="IV2" s="204">
        <f t="shared" si="4"/>
        <v>97</v>
      </c>
      <c r="IW2" s="204">
        <f t="shared" si="4"/>
        <v>98</v>
      </c>
      <c r="IX2" s="204">
        <f t="shared" si="4"/>
        <v>99</v>
      </c>
      <c r="IY2" s="204">
        <f t="shared" si="4"/>
        <v>100</v>
      </c>
      <c r="IZ2" s="204">
        <f t="shared" si="4"/>
        <v>101</v>
      </c>
      <c r="JA2" s="204">
        <f t="shared" si="4"/>
        <v>102</v>
      </c>
      <c r="JB2" s="204">
        <f t="shared" si="4"/>
        <v>103</v>
      </c>
      <c r="JC2" s="204">
        <f t="shared" si="4"/>
        <v>104</v>
      </c>
      <c r="JD2" s="204">
        <f t="shared" si="4"/>
        <v>105</v>
      </c>
      <c r="JE2" s="204">
        <f t="shared" si="4"/>
        <v>106</v>
      </c>
      <c r="JF2" s="204">
        <f t="shared" si="4"/>
        <v>107</v>
      </c>
      <c r="JG2" s="204">
        <f t="shared" si="4"/>
        <v>108</v>
      </c>
      <c r="JH2" s="204">
        <f t="shared" si="4"/>
        <v>109</v>
      </c>
      <c r="JI2" s="204">
        <f t="shared" si="4"/>
        <v>110</v>
      </c>
      <c r="JJ2" s="204">
        <f t="shared" si="4"/>
        <v>111</v>
      </c>
      <c r="JK2" s="204">
        <f t="shared" si="4"/>
        <v>112</v>
      </c>
      <c r="JL2" s="204">
        <f t="shared" si="4"/>
        <v>113</v>
      </c>
      <c r="JM2" s="204">
        <f t="shared" si="4"/>
        <v>114</v>
      </c>
      <c r="JN2" s="204">
        <f t="shared" si="4"/>
        <v>115</v>
      </c>
      <c r="JO2" s="204">
        <f t="shared" si="4"/>
        <v>116</v>
      </c>
      <c r="JP2" s="204">
        <f t="shared" si="4"/>
        <v>117</v>
      </c>
      <c r="JQ2" s="204">
        <f t="shared" si="4"/>
        <v>118</v>
      </c>
      <c r="JR2" s="204">
        <f t="shared" si="4"/>
        <v>119</v>
      </c>
      <c r="JS2" s="204">
        <f t="shared" si="4"/>
        <v>120</v>
      </c>
      <c r="JT2" s="204">
        <f t="shared" si="4"/>
        <v>121</v>
      </c>
      <c r="JU2" s="204">
        <f t="shared" si="4"/>
        <v>122</v>
      </c>
      <c r="JV2" s="204">
        <f t="shared" si="4"/>
        <v>123</v>
      </c>
      <c r="JW2" s="204">
        <f t="shared" si="4"/>
        <v>124</v>
      </c>
      <c r="JX2" s="204">
        <f t="shared" si="4"/>
        <v>125</v>
      </c>
      <c r="JY2" s="204">
        <f t="shared" si="4"/>
        <v>126</v>
      </c>
      <c r="JZ2" s="204">
        <f t="shared" si="4"/>
        <v>127</v>
      </c>
      <c r="KA2" s="204">
        <f t="shared" si="4"/>
        <v>128</v>
      </c>
      <c r="KB2" s="204">
        <f t="shared" si="4"/>
        <v>129</v>
      </c>
      <c r="KC2" s="204">
        <f t="shared" ref="KC2:KE2" si="5">+KB2+1</f>
        <v>130</v>
      </c>
      <c r="KD2" s="204">
        <f t="shared" si="5"/>
        <v>131</v>
      </c>
      <c r="KE2" s="204">
        <f t="shared" si="5"/>
        <v>132</v>
      </c>
      <c r="KF2" s="205"/>
      <c r="KG2" s="202" t="s">
        <v>168</v>
      </c>
      <c r="KL2" s="203" t="s">
        <v>25</v>
      </c>
      <c r="KM2" s="204">
        <v>0</v>
      </c>
      <c r="KN2" s="204">
        <f>+KM2+1</f>
        <v>1</v>
      </c>
      <c r="KO2" s="204">
        <f t="shared" ref="KO2:MZ2" si="6">+KN2+1</f>
        <v>2</v>
      </c>
      <c r="KP2" s="204">
        <f t="shared" si="6"/>
        <v>3</v>
      </c>
      <c r="KQ2" s="204">
        <f t="shared" si="6"/>
        <v>4</v>
      </c>
      <c r="KR2" s="204">
        <f t="shared" si="6"/>
        <v>5</v>
      </c>
      <c r="KS2" s="204">
        <f t="shared" si="6"/>
        <v>6</v>
      </c>
      <c r="KT2" s="204">
        <f t="shared" si="6"/>
        <v>7</v>
      </c>
      <c r="KU2" s="204">
        <f t="shared" si="6"/>
        <v>8</v>
      </c>
      <c r="KV2" s="204">
        <f t="shared" si="6"/>
        <v>9</v>
      </c>
      <c r="KW2" s="204">
        <f t="shared" si="6"/>
        <v>10</v>
      </c>
      <c r="KX2" s="204">
        <f t="shared" si="6"/>
        <v>11</v>
      </c>
      <c r="KY2" s="204">
        <f t="shared" si="6"/>
        <v>12</v>
      </c>
      <c r="KZ2" s="204">
        <f t="shared" si="6"/>
        <v>13</v>
      </c>
      <c r="LA2" s="204">
        <f t="shared" si="6"/>
        <v>14</v>
      </c>
      <c r="LB2" s="204">
        <f t="shared" si="6"/>
        <v>15</v>
      </c>
      <c r="LC2" s="204">
        <f t="shared" si="6"/>
        <v>16</v>
      </c>
      <c r="LD2" s="204">
        <f t="shared" si="6"/>
        <v>17</v>
      </c>
      <c r="LE2" s="204">
        <f t="shared" si="6"/>
        <v>18</v>
      </c>
      <c r="LF2" s="204">
        <f t="shared" si="6"/>
        <v>19</v>
      </c>
      <c r="LG2" s="204">
        <f t="shared" si="6"/>
        <v>20</v>
      </c>
      <c r="LH2" s="204">
        <f t="shared" si="6"/>
        <v>21</v>
      </c>
      <c r="LI2" s="204">
        <f t="shared" si="6"/>
        <v>22</v>
      </c>
      <c r="LJ2" s="204">
        <f t="shared" si="6"/>
        <v>23</v>
      </c>
      <c r="LK2" s="204">
        <f t="shared" si="6"/>
        <v>24</v>
      </c>
      <c r="LL2" s="204">
        <f t="shared" si="6"/>
        <v>25</v>
      </c>
      <c r="LM2" s="204">
        <f t="shared" si="6"/>
        <v>26</v>
      </c>
      <c r="LN2" s="204">
        <f t="shared" si="6"/>
        <v>27</v>
      </c>
      <c r="LO2" s="204">
        <f t="shared" si="6"/>
        <v>28</v>
      </c>
      <c r="LP2" s="204">
        <f t="shared" si="6"/>
        <v>29</v>
      </c>
      <c r="LQ2" s="204">
        <f t="shared" si="6"/>
        <v>30</v>
      </c>
      <c r="LR2" s="204">
        <f t="shared" si="6"/>
        <v>31</v>
      </c>
      <c r="LS2" s="204">
        <f t="shared" si="6"/>
        <v>32</v>
      </c>
      <c r="LT2" s="204">
        <f t="shared" si="6"/>
        <v>33</v>
      </c>
      <c r="LU2" s="204">
        <f t="shared" si="6"/>
        <v>34</v>
      </c>
      <c r="LV2" s="204">
        <f t="shared" si="6"/>
        <v>35</v>
      </c>
      <c r="LW2" s="204">
        <f t="shared" si="6"/>
        <v>36</v>
      </c>
      <c r="LX2" s="204">
        <f t="shared" si="6"/>
        <v>37</v>
      </c>
      <c r="LY2" s="204">
        <f t="shared" si="6"/>
        <v>38</v>
      </c>
      <c r="LZ2" s="204">
        <f t="shared" si="6"/>
        <v>39</v>
      </c>
      <c r="MA2" s="204">
        <f t="shared" si="6"/>
        <v>40</v>
      </c>
      <c r="MB2" s="204">
        <f t="shared" si="6"/>
        <v>41</v>
      </c>
      <c r="MC2" s="204">
        <f t="shared" si="6"/>
        <v>42</v>
      </c>
      <c r="MD2" s="204">
        <f t="shared" si="6"/>
        <v>43</v>
      </c>
      <c r="ME2" s="204">
        <f t="shared" si="6"/>
        <v>44</v>
      </c>
      <c r="MF2" s="204">
        <f t="shared" si="6"/>
        <v>45</v>
      </c>
      <c r="MG2" s="204">
        <f t="shared" si="6"/>
        <v>46</v>
      </c>
      <c r="MH2" s="204">
        <f t="shared" si="6"/>
        <v>47</v>
      </c>
      <c r="MI2" s="204">
        <f t="shared" si="6"/>
        <v>48</v>
      </c>
      <c r="MJ2" s="204">
        <f t="shared" si="6"/>
        <v>49</v>
      </c>
      <c r="MK2" s="204">
        <f t="shared" si="6"/>
        <v>50</v>
      </c>
      <c r="ML2" s="204">
        <f t="shared" si="6"/>
        <v>51</v>
      </c>
      <c r="MM2" s="204">
        <f t="shared" si="6"/>
        <v>52</v>
      </c>
      <c r="MN2" s="204">
        <f t="shared" si="6"/>
        <v>53</v>
      </c>
      <c r="MO2" s="204">
        <f t="shared" si="6"/>
        <v>54</v>
      </c>
      <c r="MP2" s="204">
        <f t="shared" si="6"/>
        <v>55</v>
      </c>
      <c r="MQ2" s="204">
        <f t="shared" si="6"/>
        <v>56</v>
      </c>
      <c r="MR2" s="204">
        <f t="shared" si="6"/>
        <v>57</v>
      </c>
      <c r="MS2" s="204">
        <f t="shared" si="6"/>
        <v>58</v>
      </c>
      <c r="MT2" s="204">
        <f t="shared" si="6"/>
        <v>59</v>
      </c>
      <c r="MU2" s="204">
        <f t="shared" si="6"/>
        <v>60</v>
      </c>
      <c r="MV2" s="204">
        <f t="shared" si="6"/>
        <v>61</v>
      </c>
      <c r="MW2" s="204">
        <f t="shared" si="6"/>
        <v>62</v>
      </c>
      <c r="MX2" s="204">
        <f t="shared" si="6"/>
        <v>63</v>
      </c>
      <c r="MY2" s="204">
        <f t="shared" si="6"/>
        <v>64</v>
      </c>
      <c r="MZ2" s="204">
        <f t="shared" si="6"/>
        <v>65</v>
      </c>
      <c r="NA2" s="204">
        <f t="shared" ref="NA2:PL2" si="7">+MZ2+1</f>
        <v>66</v>
      </c>
      <c r="NB2" s="204">
        <f t="shared" si="7"/>
        <v>67</v>
      </c>
      <c r="NC2" s="204">
        <f t="shared" si="7"/>
        <v>68</v>
      </c>
      <c r="ND2" s="204">
        <f t="shared" si="7"/>
        <v>69</v>
      </c>
      <c r="NE2" s="204">
        <f t="shared" si="7"/>
        <v>70</v>
      </c>
      <c r="NF2" s="204">
        <f t="shared" si="7"/>
        <v>71</v>
      </c>
      <c r="NG2" s="204">
        <f t="shared" si="7"/>
        <v>72</v>
      </c>
      <c r="NH2" s="204">
        <f t="shared" si="7"/>
        <v>73</v>
      </c>
      <c r="NI2" s="204">
        <f t="shared" si="7"/>
        <v>74</v>
      </c>
      <c r="NJ2" s="204">
        <f t="shared" si="7"/>
        <v>75</v>
      </c>
      <c r="NK2" s="204">
        <f t="shared" si="7"/>
        <v>76</v>
      </c>
      <c r="NL2" s="204">
        <f t="shared" si="7"/>
        <v>77</v>
      </c>
      <c r="NM2" s="204">
        <f t="shared" si="7"/>
        <v>78</v>
      </c>
      <c r="NN2" s="204">
        <f t="shared" si="7"/>
        <v>79</v>
      </c>
      <c r="NO2" s="204">
        <f t="shared" si="7"/>
        <v>80</v>
      </c>
      <c r="NP2" s="204">
        <f t="shared" si="7"/>
        <v>81</v>
      </c>
      <c r="NQ2" s="204">
        <f t="shared" si="7"/>
        <v>82</v>
      </c>
      <c r="NR2" s="204">
        <f t="shared" si="7"/>
        <v>83</v>
      </c>
      <c r="NS2" s="204">
        <f t="shared" si="7"/>
        <v>84</v>
      </c>
      <c r="NT2" s="204">
        <f t="shared" si="7"/>
        <v>85</v>
      </c>
      <c r="NU2" s="204">
        <f t="shared" si="7"/>
        <v>86</v>
      </c>
      <c r="NV2" s="204">
        <f t="shared" si="7"/>
        <v>87</v>
      </c>
      <c r="NW2" s="204">
        <f t="shared" si="7"/>
        <v>88</v>
      </c>
      <c r="NX2" s="204">
        <f t="shared" si="7"/>
        <v>89</v>
      </c>
      <c r="NY2" s="204">
        <f t="shared" si="7"/>
        <v>90</v>
      </c>
      <c r="NZ2" s="204">
        <f t="shared" si="7"/>
        <v>91</v>
      </c>
      <c r="OA2" s="204">
        <f t="shared" si="7"/>
        <v>92</v>
      </c>
      <c r="OB2" s="204">
        <f t="shared" si="7"/>
        <v>93</v>
      </c>
      <c r="OC2" s="204">
        <f t="shared" si="7"/>
        <v>94</v>
      </c>
      <c r="OD2" s="204">
        <f t="shared" si="7"/>
        <v>95</v>
      </c>
      <c r="OE2" s="204">
        <f t="shared" si="7"/>
        <v>96</v>
      </c>
      <c r="OF2" s="204">
        <f t="shared" si="7"/>
        <v>97</v>
      </c>
      <c r="OG2" s="204">
        <f t="shared" si="7"/>
        <v>98</v>
      </c>
      <c r="OH2" s="204">
        <f t="shared" si="7"/>
        <v>99</v>
      </c>
      <c r="OI2" s="204">
        <f t="shared" si="7"/>
        <v>100</v>
      </c>
      <c r="OJ2" s="204">
        <f t="shared" si="7"/>
        <v>101</v>
      </c>
      <c r="OK2" s="204">
        <f t="shared" si="7"/>
        <v>102</v>
      </c>
      <c r="OL2" s="204">
        <f t="shared" si="7"/>
        <v>103</v>
      </c>
      <c r="OM2" s="204">
        <f t="shared" si="7"/>
        <v>104</v>
      </c>
      <c r="ON2" s="204">
        <f t="shared" si="7"/>
        <v>105</v>
      </c>
      <c r="OO2" s="204">
        <f t="shared" si="7"/>
        <v>106</v>
      </c>
      <c r="OP2" s="204">
        <f t="shared" si="7"/>
        <v>107</v>
      </c>
      <c r="OQ2" s="204">
        <f t="shared" si="7"/>
        <v>108</v>
      </c>
      <c r="OR2" s="204">
        <f t="shared" si="7"/>
        <v>109</v>
      </c>
      <c r="OS2" s="204">
        <f t="shared" si="7"/>
        <v>110</v>
      </c>
      <c r="OT2" s="204">
        <f t="shared" si="7"/>
        <v>111</v>
      </c>
      <c r="OU2" s="204">
        <f t="shared" si="7"/>
        <v>112</v>
      </c>
      <c r="OV2" s="204">
        <f t="shared" si="7"/>
        <v>113</v>
      </c>
      <c r="OW2" s="204">
        <f t="shared" si="7"/>
        <v>114</v>
      </c>
      <c r="OX2" s="204">
        <f t="shared" si="7"/>
        <v>115</v>
      </c>
      <c r="OY2" s="204">
        <f t="shared" si="7"/>
        <v>116</v>
      </c>
      <c r="OZ2" s="204">
        <f t="shared" si="7"/>
        <v>117</v>
      </c>
      <c r="PA2" s="204">
        <f t="shared" si="7"/>
        <v>118</v>
      </c>
      <c r="PB2" s="204">
        <f t="shared" si="7"/>
        <v>119</v>
      </c>
      <c r="PC2" s="204">
        <f t="shared" si="7"/>
        <v>120</v>
      </c>
      <c r="PD2" s="204">
        <f t="shared" si="7"/>
        <v>121</v>
      </c>
      <c r="PE2" s="204">
        <f t="shared" si="7"/>
        <v>122</v>
      </c>
      <c r="PF2" s="204">
        <f t="shared" si="7"/>
        <v>123</v>
      </c>
      <c r="PG2" s="204">
        <f t="shared" si="7"/>
        <v>124</v>
      </c>
      <c r="PH2" s="204">
        <f t="shared" si="7"/>
        <v>125</v>
      </c>
      <c r="PI2" s="204">
        <f t="shared" si="7"/>
        <v>126</v>
      </c>
      <c r="PJ2" s="204">
        <f t="shared" si="7"/>
        <v>127</v>
      </c>
      <c r="PK2" s="204">
        <f t="shared" si="7"/>
        <v>128</v>
      </c>
      <c r="PL2" s="204">
        <f t="shared" si="7"/>
        <v>129</v>
      </c>
      <c r="PM2" s="204">
        <f t="shared" ref="PM2:PO2" si="8">+PL2+1</f>
        <v>130</v>
      </c>
      <c r="PN2" s="204">
        <f t="shared" si="8"/>
        <v>131</v>
      </c>
      <c r="PO2" s="204">
        <f t="shared" si="8"/>
        <v>132</v>
      </c>
      <c r="PQ2" s="201"/>
      <c r="PR2" s="201"/>
      <c r="PS2" s="201"/>
      <c r="PT2" s="201"/>
      <c r="PU2" s="201"/>
      <c r="PV2" s="201"/>
      <c r="PW2" s="201"/>
      <c r="PX2" s="201"/>
      <c r="PY2" s="201"/>
      <c r="PZ2" s="201"/>
      <c r="QA2" s="201"/>
      <c r="QB2" s="201"/>
      <c r="QC2" s="201"/>
      <c r="QD2" s="201"/>
      <c r="QE2" s="201"/>
      <c r="QF2" s="201"/>
      <c r="QG2" s="201"/>
      <c r="QH2" s="201"/>
      <c r="QI2" s="201"/>
      <c r="QJ2" s="201"/>
      <c r="QK2" s="201"/>
      <c r="QL2" s="201"/>
      <c r="QM2" s="201"/>
      <c r="QN2" s="201"/>
      <c r="QO2" s="201"/>
      <c r="QP2" s="201"/>
      <c r="QQ2" s="201"/>
      <c r="QR2" s="201"/>
      <c r="QS2" s="201"/>
      <c r="QT2" s="201"/>
      <c r="QU2" s="201"/>
      <c r="QV2" s="201"/>
      <c r="QW2" s="201"/>
      <c r="QX2" s="201"/>
      <c r="QY2" s="201"/>
      <c r="QZ2" s="201"/>
      <c r="RA2" s="201"/>
      <c r="RB2" s="201"/>
      <c r="RC2" s="201"/>
      <c r="RD2" s="201"/>
      <c r="RE2" s="201"/>
      <c r="RF2" s="201"/>
      <c r="RG2" s="201"/>
      <c r="RH2" s="201"/>
      <c r="RI2" s="201"/>
      <c r="RJ2" s="201"/>
      <c r="RK2" s="201"/>
      <c r="RL2" s="201"/>
      <c r="RM2" s="201"/>
      <c r="RN2" s="201"/>
      <c r="RO2" s="201"/>
      <c r="RP2" s="201"/>
      <c r="RQ2" s="201"/>
      <c r="RR2" s="201"/>
      <c r="RS2" s="201"/>
      <c r="RT2" s="201"/>
      <c r="RU2" s="201"/>
      <c r="RV2" s="201"/>
      <c r="RW2" s="201"/>
      <c r="RX2" s="201"/>
      <c r="RY2" s="201"/>
      <c r="RZ2" s="201"/>
      <c r="SA2" s="201"/>
      <c r="SB2" s="201"/>
      <c r="SC2" s="201"/>
      <c r="SD2" s="201"/>
      <c r="SE2" s="201"/>
      <c r="SF2" s="201"/>
      <c r="SG2" s="201"/>
      <c r="SH2" s="201"/>
      <c r="SI2" s="201"/>
      <c r="SJ2" s="201"/>
      <c r="SK2" s="201"/>
      <c r="SL2" s="201"/>
      <c r="SM2" s="201"/>
      <c r="SN2" s="201"/>
      <c r="SO2" s="201"/>
      <c r="SP2" s="201"/>
      <c r="SQ2" s="201"/>
      <c r="SR2" s="201"/>
      <c r="SS2" s="201"/>
      <c r="ST2" s="201"/>
      <c r="SU2" s="201"/>
      <c r="SV2" s="201"/>
      <c r="SW2" s="201"/>
      <c r="SX2" s="201"/>
      <c r="SY2" s="201"/>
      <c r="SZ2" s="201"/>
      <c r="TA2" s="201"/>
      <c r="TB2" s="201"/>
      <c r="TC2" s="201"/>
      <c r="TD2" s="201"/>
      <c r="TE2" s="201"/>
      <c r="TF2" s="201"/>
      <c r="TG2" s="201"/>
      <c r="TH2" s="201"/>
      <c r="TI2" s="201"/>
      <c r="TJ2" s="201"/>
      <c r="TK2" s="201"/>
      <c r="TL2" s="201"/>
      <c r="TM2" s="201"/>
      <c r="TN2" s="201"/>
      <c r="TO2" s="201"/>
      <c r="TP2" s="201"/>
      <c r="TQ2" s="201"/>
      <c r="TR2" s="201"/>
      <c r="TS2" s="201"/>
      <c r="TT2" s="201"/>
      <c r="TU2" s="201"/>
      <c r="TV2" s="201"/>
      <c r="TW2" s="201"/>
      <c r="TX2" s="201"/>
      <c r="TY2" s="201"/>
      <c r="TZ2" s="201"/>
      <c r="UA2" s="201"/>
      <c r="UB2" s="201"/>
      <c r="UC2" s="201"/>
      <c r="UD2" s="201"/>
      <c r="UE2" s="201"/>
      <c r="UF2" s="201"/>
      <c r="UG2" s="201"/>
      <c r="UH2" s="201"/>
      <c r="UI2" s="201"/>
      <c r="UJ2" s="201"/>
      <c r="UK2" s="201"/>
      <c r="UL2" s="201"/>
      <c r="UM2" s="201"/>
      <c r="UN2" s="201"/>
      <c r="UO2" s="201"/>
      <c r="UP2" s="201"/>
      <c r="UQ2" s="201"/>
      <c r="UR2" s="201"/>
      <c r="US2" s="201"/>
      <c r="UT2" s="201"/>
      <c r="UU2" s="201"/>
    </row>
    <row r="3" spans="2:567" ht="5.0999999999999996" customHeight="1" x14ac:dyDescent="0.25">
      <c r="B3" s="373"/>
      <c r="C3" s="373"/>
      <c r="D3" s="373"/>
      <c r="E3" s="373"/>
      <c r="F3" s="373"/>
      <c r="G3" s="1"/>
      <c r="H3" s="1"/>
      <c r="I3" s="1"/>
      <c r="J3" s="1"/>
      <c r="K3" s="1"/>
      <c r="R3" s="548"/>
      <c r="S3" s="549"/>
      <c r="T3" s="97"/>
      <c r="U3" s="97"/>
      <c r="V3" s="97"/>
      <c r="W3" s="97"/>
      <c r="X3" s="97"/>
      <c r="Y3" s="97"/>
      <c r="Z3" s="97"/>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c r="CQ3" s="97"/>
      <c r="CR3" s="97"/>
      <c r="CS3" s="97"/>
      <c r="CT3" s="97"/>
      <c r="CU3" s="97"/>
      <c r="CV3" s="97"/>
      <c r="CW3" s="97"/>
      <c r="CX3" s="97"/>
      <c r="CY3" s="97"/>
      <c r="CZ3" s="97"/>
      <c r="DA3" s="97"/>
      <c r="DB3" s="97"/>
      <c r="DC3" s="97"/>
      <c r="DD3" s="97"/>
      <c r="DE3" s="97"/>
      <c r="DF3" s="97"/>
      <c r="DG3" s="97"/>
      <c r="DH3" s="97"/>
      <c r="DI3" s="97"/>
      <c r="DJ3" s="97"/>
      <c r="DK3" s="97"/>
      <c r="DL3" s="97"/>
      <c r="DM3" s="97"/>
      <c r="DN3" s="97"/>
      <c r="DO3" s="97"/>
      <c r="DP3" s="97"/>
      <c r="DQ3" s="97"/>
      <c r="DR3" s="97"/>
      <c r="DS3" s="97"/>
      <c r="DT3" s="97"/>
      <c r="DU3" s="97"/>
      <c r="DV3" s="97"/>
      <c r="DW3" s="97"/>
      <c r="DX3" s="97"/>
      <c r="DY3" s="97"/>
      <c r="DZ3" s="97"/>
      <c r="EA3" s="97"/>
      <c r="EB3" s="97"/>
      <c r="EC3" s="97"/>
      <c r="ED3" s="97"/>
      <c r="EE3" s="97"/>
      <c r="EF3" s="97"/>
      <c r="EG3" s="97"/>
      <c r="EH3" s="97"/>
      <c r="EI3" s="97"/>
      <c r="EJ3" s="97"/>
      <c r="EK3" s="97"/>
      <c r="EL3" s="97"/>
      <c r="EM3" s="97"/>
      <c r="EN3" s="97"/>
      <c r="EO3" s="97"/>
      <c r="EP3" s="97"/>
      <c r="EQ3" s="97"/>
      <c r="ER3" s="97"/>
      <c r="ES3" s="97"/>
      <c r="ET3" s="97"/>
      <c r="EU3" s="97"/>
      <c r="FC3" s="199"/>
      <c r="FD3" s="199"/>
      <c r="FE3" s="199"/>
      <c r="FF3" s="199"/>
      <c r="FG3" s="199"/>
      <c r="FH3" s="199"/>
      <c r="FI3" s="199"/>
      <c r="FJ3" s="199"/>
      <c r="FK3" s="199"/>
      <c r="FL3" s="199"/>
      <c r="FM3" s="199"/>
      <c r="FN3" s="199"/>
      <c r="FO3" s="199"/>
      <c r="FP3" s="199"/>
      <c r="FQ3" s="199"/>
      <c r="FR3" s="199"/>
      <c r="FS3" s="199"/>
      <c r="FT3" s="199"/>
      <c r="FU3" s="199"/>
      <c r="FV3" s="199"/>
      <c r="FW3" s="199"/>
      <c r="FX3" s="199"/>
      <c r="FY3" s="199"/>
      <c r="FZ3" s="199"/>
      <c r="GA3" s="199"/>
      <c r="GB3" s="199"/>
      <c r="GC3" s="199"/>
      <c r="GD3" s="199"/>
      <c r="GE3" s="199"/>
      <c r="GF3" s="199"/>
      <c r="GG3" s="199"/>
      <c r="GH3" s="199"/>
      <c r="GI3" s="199"/>
      <c r="GJ3" s="199"/>
      <c r="GK3" s="199"/>
      <c r="GL3" s="199"/>
      <c r="GM3" s="199"/>
      <c r="GN3" s="199"/>
      <c r="GO3" s="199"/>
      <c r="GP3" s="199"/>
      <c r="GQ3" s="199"/>
      <c r="GR3" s="199"/>
      <c r="GS3" s="199"/>
      <c r="GT3" s="199"/>
      <c r="GU3" s="199"/>
      <c r="GV3" s="199"/>
      <c r="GW3" s="199"/>
      <c r="GX3" s="199"/>
      <c r="GY3" s="199"/>
      <c r="GZ3" s="199"/>
      <c r="HA3" s="199"/>
      <c r="HB3" s="199"/>
      <c r="HC3" s="199"/>
      <c r="HD3" s="199"/>
      <c r="HE3" s="199"/>
      <c r="HF3" s="199"/>
      <c r="HG3" s="199"/>
      <c r="HH3" s="199"/>
      <c r="HI3" s="199"/>
      <c r="HJ3" s="199"/>
      <c r="HK3" s="199"/>
      <c r="HL3" s="199"/>
      <c r="HM3" s="199"/>
      <c r="HN3" s="199"/>
      <c r="HO3" s="199"/>
      <c r="HP3" s="199"/>
      <c r="HQ3" s="199"/>
      <c r="HR3" s="199"/>
      <c r="HS3" s="199"/>
      <c r="HT3" s="199"/>
      <c r="HU3" s="199"/>
      <c r="HV3" s="199"/>
      <c r="HW3" s="199"/>
      <c r="HX3" s="199"/>
      <c r="HY3" s="199"/>
      <c r="HZ3" s="199"/>
      <c r="IA3" s="199"/>
      <c r="IB3" s="199"/>
      <c r="IC3" s="199"/>
      <c r="ID3" s="199"/>
      <c r="IE3" s="199"/>
      <c r="IF3" s="199"/>
      <c r="IG3" s="199"/>
      <c r="IH3" s="199"/>
      <c r="II3" s="199"/>
      <c r="IJ3" s="199"/>
      <c r="IK3" s="199"/>
      <c r="IL3" s="199"/>
      <c r="IM3" s="199"/>
      <c r="IN3" s="199"/>
      <c r="IO3" s="199"/>
      <c r="IP3" s="199"/>
      <c r="IQ3" s="199"/>
      <c r="IR3" s="199"/>
      <c r="IS3" s="199"/>
      <c r="IT3" s="199"/>
      <c r="IU3" s="199"/>
      <c r="IV3" s="199"/>
      <c r="IW3" s="199"/>
      <c r="IX3" s="199"/>
      <c r="IY3" s="199"/>
      <c r="IZ3" s="199"/>
      <c r="JA3" s="199"/>
      <c r="JB3" s="199"/>
      <c r="JC3" s="199"/>
      <c r="JD3" s="199"/>
      <c r="JE3" s="199"/>
      <c r="JF3" s="199"/>
      <c r="JG3" s="199"/>
      <c r="JH3" s="199"/>
      <c r="JI3" s="199"/>
      <c r="JJ3" s="199"/>
      <c r="JK3" s="199"/>
      <c r="JL3" s="199"/>
      <c r="JM3" s="199"/>
      <c r="JN3" s="199"/>
      <c r="JO3" s="199"/>
      <c r="JP3" s="199"/>
      <c r="JQ3" s="199"/>
      <c r="JR3" s="199"/>
      <c r="JS3" s="199"/>
      <c r="JT3" s="199"/>
      <c r="JU3" s="199"/>
      <c r="JV3" s="199"/>
      <c r="JW3" s="199"/>
      <c r="JX3" s="199"/>
      <c r="JY3" s="199"/>
      <c r="JZ3" s="199"/>
      <c r="KA3" s="199"/>
      <c r="KB3" s="199"/>
      <c r="KC3" s="199"/>
      <c r="KD3" s="199"/>
      <c r="KE3" s="199"/>
      <c r="PQ3" s="201"/>
      <c r="PR3" s="201"/>
      <c r="PS3" s="201"/>
      <c r="PT3" s="201"/>
      <c r="PU3" s="201"/>
      <c r="PV3" s="201"/>
      <c r="PW3" s="201"/>
      <c r="PX3" s="201"/>
      <c r="PY3" s="201"/>
      <c r="PZ3" s="201"/>
      <c r="QA3" s="201"/>
      <c r="QB3" s="201"/>
      <c r="QC3" s="201"/>
      <c r="QD3" s="201"/>
      <c r="QE3" s="201"/>
      <c r="QF3" s="201"/>
      <c r="QG3" s="201"/>
      <c r="QH3" s="201"/>
      <c r="QI3" s="201"/>
      <c r="QJ3" s="201"/>
      <c r="QK3" s="201"/>
      <c r="QL3" s="201"/>
      <c r="QM3" s="201"/>
      <c r="QN3" s="201"/>
      <c r="QO3" s="201"/>
      <c r="QP3" s="201"/>
      <c r="QQ3" s="201"/>
      <c r="QR3" s="201"/>
      <c r="QS3" s="201"/>
      <c r="QT3" s="201"/>
      <c r="QU3" s="201"/>
      <c r="QV3" s="201"/>
      <c r="QW3" s="201"/>
      <c r="QX3" s="201"/>
      <c r="QY3" s="201"/>
      <c r="QZ3" s="201"/>
      <c r="RA3" s="201"/>
      <c r="RB3" s="201"/>
      <c r="RC3" s="201"/>
      <c r="RD3" s="201"/>
      <c r="RE3" s="201"/>
      <c r="RF3" s="201"/>
      <c r="RG3" s="201"/>
      <c r="RH3" s="201"/>
      <c r="RI3" s="201"/>
      <c r="RJ3" s="201"/>
      <c r="RK3" s="201"/>
      <c r="RL3" s="201"/>
      <c r="RM3" s="201"/>
      <c r="RN3" s="201"/>
      <c r="RO3" s="201"/>
      <c r="RP3" s="201"/>
      <c r="RQ3" s="201"/>
      <c r="RR3" s="201"/>
      <c r="RS3" s="201"/>
      <c r="RT3" s="201"/>
      <c r="RU3" s="201"/>
      <c r="RV3" s="201"/>
      <c r="RW3" s="201"/>
      <c r="RX3" s="201"/>
      <c r="RY3" s="201"/>
      <c r="RZ3" s="201"/>
      <c r="SA3" s="201"/>
      <c r="SB3" s="201"/>
      <c r="SC3" s="201"/>
      <c r="SD3" s="201"/>
      <c r="SE3" s="201"/>
      <c r="SF3" s="201"/>
      <c r="SG3" s="201"/>
      <c r="SH3" s="201"/>
      <c r="SI3" s="201"/>
      <c r="SJ3" s="201"/>
      <c r="SK3" s="201"/>
      <c r="SL3" s="201"/>
      <c r="SM3" s="201"/>
      <c r="SN3" s="201"/>
      <c r="SO3" s="201"/>
      <c r="SP3" s="201"/>
      <c r="SQ3" s="201"/>
      <c r="SR3" s="201"/>
      <c r="SS3" s="201"/>
      <c r="ST3" s="201"/>
      <c r="SU3" s="201"/>
      <c r="SV3" s="201"/>
      <c r="SW3" s="201"/>
      <c r="SX3" s="201"/>
      <c r="SY3" s="201"/>
      <c r="SZ3" s="201"/>
      <c r="TA3" s="201"/>
      <c r="TB3" s="201"/>
      <c r="TC3" s="201"/>
      <c r="TD3" s="201"/>
      <c r="TE3" s="201"/>
      <c r="TF3" s="201"/>
      <c r="TG3" s="201"/>
      <c r="TH3" s="201"/>
      <c r="TI3" s="201"/>
      <c r="TJ3" s="201"/>
      <c r="TK3" s="201"/>
      <c r="TL3" s="201"/>
      <c r="TM3" s="201"/>
      <c r="TN3" s="201"/>
      <c r="TO3" s="201"/>
      <c r="TP3" s="201"/>
      <c r="TQ3" s="201"/>
      <c r="TR3" s="201"/>
      <c r="TS3" s="201"/>
      <c r="TT3" s="201"/>
      <c r="TU3" s="201"/>
      <c r="TV3" s="201"/>
      <c r="TW3" s="201"/>
      <c r="TX3" s="201"/>
      <c r="TY3" s="201"/>
      <c r="TZ3" s="201"/>
      <c r="UA3" s="201"/>
      <c r="UB3" s="201"/>
      <c r="UC3" s="201"/>
      <c r="UD3" s="201"/>
      <c r="UE3" s="201"/>
      <c r="UF3" s="201"/>
      <c r="UG3" s="201"/>
      <c r="UH3" s="201"/>
      <c r="UI3" s="201"/>
      <c r="UJ3" s="201"/>
      <c r="UK3" s="201"/>
      <c r="UL3" s="201"/>
      <c r="UM3" s="201"/>
      <c r="UN3" s="201"/>
      <c r="UO3" s="201"/>
      <c r="UP3" s="201"/>
      <c r="UQ3" s="201"/>
      <c r="UR3" s="201"/>
      <c r="US3" s="201"/>
      <c r="UT3" s="201"/>
      <c r="UU3" s="201"/>
    </row>
    <row r="4" spans="2:567" x14ac:dyDescent="0.25">
      <c r="B4" s="377" t="s">
        <v>326</v>
      </c>
      <c r="C4" s="623" t="s">
        <v>322</v>
      </c>
      <c r="D4" s="624"/>
      <c r="E4" s="621" t="s">
        <v>323</v>
      </c>
      <c r="F4" s="622"/>
      <c r="G4" s="623" t="s">
        <v>324</v>
      </c>
      <c r="H4" s="624"/>
      <c r="I4" s="621" t="s">
        <v>301</v>
      </c>
      <c r="J4" s="622"/>
      <c r="K4" s="378" t="s">
        <v>325</v>
      </c>
      <c r="L4" s="595"/>
      <c r="R4" s="550" t="s">
        <v>632</v>
      </c>
      <c r="S4" s="551">
        <f>Analysis_Period</f>
        <v>36</v>
      </c>
      <c r="T4" s="87">
        <f>+T19</f>
        <v>1</v>
      </c>
      <c r="U4" s="87">
        <f t="shared" ref="U4:CF4" si="9">+U19</f>
        <v>2</v>
      </c>
      <c r="V4" s="87">
        <f t="shared" si="9"/>
        <v>3</v>
      </c>
      <c r="W4" s="87">
        <f t="shared" si="9"/>
        <v>4</v>
      </c>
      <c r="X4" s="87">
        <f t="shared" si="9"/>
        <v>5</v>
      </c>
      <c r="Y4" s="87">
        <f t="shared" si="9"/>
        <v>6</v>
      </c>
      <c r="Z4" s="87">
        <f t="shared" si="9"/>
        <v>7</v>
      </c>
      <c r="AA4" s="87">
        <f t="shared" si="9"/>
        <v>8</v>
      </c>
      <c r="AB4" s="87">
        <f t="shared" si="9"/>
        <v>9</v>
      </c>
      <c r="AC4" s="87">
        <f t="shared" si="9"/>
        <v>10</v>
      </c>
      <c r="AD4" s="87">
        <f t="shared" si="9"/>
        <v>11</v>
      </c>
      <c r="AE4" s="87">
        <f t="shared" si="9"/>
        <v>12</v>
      </c>
      <c r="AF4" s="87">
        <f t="shared" si="9"/>
        <v>13</v>
      </c>
      <c r="AG4" s="87">
        <f t="shared" si="9"/>
        <v>14</v>
      </c>
      <c r="AH4" s="87">
        <f t="shared" si="9"/>
        <v>15</v>
      </c>
      <c r="AI4" s="87">
        <f t="shared" si="9"/>
        <v>16</v>
      </c>
      <c r="AJ4" s="87">
        <f t="shared" si="9"/>
        <v>17</v>
      </c>
      <c r="AK4" s="87">
        <f t="shared" si="9"/>
        <v>18</v>
      </c>
      <c r="AL4" s="87">
        <f t="shared" si="9"/>
        <v>19</v>
      </c>
      <c r="AM4" s="87">
        <f t="shared" si="9"/>
        <v>20</v>
      </c>
      <c r="AN4" s="87">
        <f t="shared" si="9"/>
        <v>21</v>
      </c>
      <c r="AO4" s="87">
        <f t="shared" si="9"/>
        <v>22</v>
      </c>
      <c r="AP4" s="87">
        <f t="shared" si="9"/>
        <v>23</v>
      </c>
      <c r="AQ4" s="87">
        <f t="shared" si="9"/>
        <v>24</v>
      </c>
      <c r="AR4" s="87">
        <f t="shared" si="9"/>
        <v>25</v>
      </c>
      <c r="AS4" s="87">
        <f t="shared" si="9"/>
        <v>26</v>
      </c>
      <c r="AT4" s="87">
        <f t="shared" si="9"/>
        <v>27</v>
      </c>
      <c r="AU4" s="87">
        <f t="shared" si="9"/>
        <v>28</v>
      </c>
      <c r="AV4" s="87">
        <f t="shared" si="9"/>
        <v>29</v>
      </c>
      <c r="AW4" s="87">
        <f t="shared" si="9"/>
        <v>30</v>
      </c>
      <c r="AX4" s="87">
        <f t="shared" si="9"/>
        <v>31</v>
      </c>
      <c r="AY4" s="87">
        <f t="shared" si="9"/>
        <v>32</v>
      </c>
      <c r="AZ4" s="87">
        <f t="shared" si="9"/>
        <v>33</v>
      </c>
      <c r="BA4" s="87">
        <f t="shared" si="9"/>
        <v>34</v>
      </c>
      <c r="BB4" s="87">
        <f t="shared" si="9"/>
        <v>35</v>
      </c>
      <c r="BC4" s="87">
        <f t="shared" si="9"/>
        <v>36</v>
      </c>
      <c r="BD4" s="87">
        <f t="shared" si="9"/>
        <v>37</v>
      </c>
      <c r="BE4" s="87">
        <f t="shared" si="9"/>
        <v>38</v>
      </c>
      <c r="BF4" s="87">
        <f t="shared" si="9"/>
        <v>39</v>
      </c>
      <c r="BG4" s="87">
        <f t="shared" si="9"/>
        <v>40</v>
      </c>
      <c r="BH4" s="87">
        <f t="shared" si="9"/>
        <v>41</v>
      </c>
      <c r="BI4" s="87">
        <f t="shared" si="9"/>
        <v>42</v>
      </c>
      <c r="BJ4" s="87">
        <f t="shared" si="9"/>
        <v>43</v>
      </c>
      <c r="BK4" s="87">
        <f t="shared" si="9"/>
        <v>44</v>
      </c>
      <c r="BL4" s="87">
        <f t="shared" si="9"/>
        <v>45</v>
      </c>
      <c r="BM4" s="87">
        <f t="shared" si="9"/>
        <v>46</v>
      </c>
      <c r="BN4" s="87">
        <f t="shared" si="9"/>
        <v>47</v>
      </c>
      <c r="BO4" s="87">
        <f t="shared" si="9"/>
        <v>48</v>
      </c>
      <c r="BP4" s="87">
        <f t="shared" si="9"/>
        <v>49</v>
      </c>
      <c r="BQ4" s="87">
        <f t="shared" si="9"/>
        <v>50</v>
      </c>
      <c r="BR4" s="87">
        <f t="shared" si="9"/>
        <v>51</v>
      </c>
      <c r="BS4" s="87">
        <f t="shared" si="9"/>
        <v>52</v>
      </c>
      <c r="BT4" s="87">
        <f t="shared" si="9"/>
        <v>53</v>
      </c>
      <c r="BU4" s="87">
        <f t="shared" si="9"/>
        <v>54</v>
      </c>
      <c r="BV4" s="87">
        <f t="shared" si="9"/>
        <v>55</v>
      </c>
      <c r="BW4" s="87">
        <f t="shared" si="9"/>
        <v>56</v>
      </c>
      <c r="BX4" s="87">
        <f t="shared" si="9"/>
        <v>57</v>
      </c>
      <c r="BY4" s="87">
        <f t="shared" si="9"/>
        <v>58</v>
      </c>
      <c r="BZ4" s="87">
        <f t="shared" si="9"/>
        <v>59</v>
      </c>
      <c r="CA4" s="87">
        <f t="shared" si="9"/>
        <v>60</v>
      </c>
      <c r="CB4" s="87">
        <f t="shared" si="9"/>
        <v>61</v>
      </c>
      <c r="CC4" s="87">
        <f t="shared" si="9"/>
        <v>62</v>
      </c>
      <c r="CD4" s="87">
        <f t="shared" si="9"/>
        <v>63</v>
      </c>
      <c r="CE4" s="87">
        <f t="shared" si="9"/>
        <v>64</v>
      </c>
      <c r="CF4" s="87">
        <f t="shared" si="9"/>
        <v>65</v>
      </c>
      <c r="CG4" s="87">
        <f t="shared" ref="CG4:ER4" si="10">+CG19</f>
        <v>66</v>
      </c>
      <c r="CH4" s="87">
        <f t="shared" si="10"/>
        <v>67</v>
      </c>
      <c r="CI4" s="87">
        <f t="shared" si="10"/>
        <v>68</v>
      </c>
      <c r="CJ4" s="87">
        <f t="shared" si="10"/>
        <v>69</v>
      </c>
      <c r="CK4" s="87">
        <f t="shared" si="10"/>
        <v>70</v>
      </c>
      <c r="CL4" s="87">
        <f t="shared" si="10"/>
        <v>71</v>
      </c>
      <c r="CM4" s="87">
        <f t="shared" si="10"/>
        <v>72</v>
      </c>
      <c r="CN4" s="87">
        <f t="shared" si="10"/>
        <v>73</v>
      </c>
      <c r="CO4" s="87">
        <f t="shared" si="10"/>
        <v>74</v>
      </c>
      <c r="CP4" s="87">
        <f t="shared" si="10"/>
        <v>75</v>
      </c>
      <c r="CQ4" s="87">
        <f t="shared" si="10"/>
        <v>76</v>
      </c>
      <c r="CR4" s="87">
        <f t="shared" si="10"/>
        <v>77</v>
      </c>
      <c r="CS4" s="87">
        <f t="shared" si="10"/>
        <v>78</v>
      </c>
      <c r="CT4" s="87">
        <f t="shared" si="10"/>
        <v>79</v>
      </c>
      <c r="CU4" s="87">
        <f t="shared" si="10"/>
        <v>80</v>
      </c>
      <c r="CV4" s="87">
        <f t="shared" si="10"/>
        <v>81</v>
      </c>
      <c r="CW4" s="87">
        <f t="shared" si="10"/>
        <v>82</v>
      </c>
      <c r="CX4" s="87">
        <f t="shared" si="10"/>
        <v>83</v>
      </c>
      <c r="CY4" s="87">
        <f t="shared" si="10"/>
        <v>84</v>
      </c>
      <c r="CZ4" s="87">
        <f t="shared" si="10"/>
        <v>85</v>
      </c>
      <c r="DA4" s="87">
        <f t="shared" si="10"/>
        <v>86</v>
      </c>
      <c r="DB4" s="87">
        <f t="shared" si="10"/>
        <v>87</v>
      </c>
      <c r="DC4" s="87">
        <f t="shared" si="10"/>
        <v>88</v>
      </c>
      <c r="DD4" s="87">
        <f t="shared" si="10"/>
        <v>89</v>
      </c>
      <c r="DE4" s="87">
        <f t="shared" si="10"/>
        <v>90</v>
      </c>
      <c r="DF4" s="87">
        <f t="shared" si="10"/>
        <v>91</v>
      </c>
      <c r="DG4" s="87">
        <f t="shared" si="10"/>
        <v>92</v>
      </c>
      <c r="DH4" s="87">
        <f t="shared" si="10"/>
        <v>93</v>
      </c>
      <c r="DI4" s="87">
        <f t="shared" si="10"/>
        <v>94</v>
      </c>
      <c r="DJ4" s="87">
        <f t="shared" si="10"/>
        <v>95</v>
      </c>
      <c r="DK4" s="87">
        <f t="shared" si="10"/>
        <v>96</v>
      </c>
      <c r="DL4" s="87">
        <f t="shared" si="10"/>
        <v>97</v>
      </c>
      <c r="DM4" s="87">
        <f t="shared" si="10"/>
        <v>98</v>
      </c>
      <c r="DN4" s="87">
        <f t="shared" si="10"/>
        <v>99</v>
      </c>
      <c r="DO4" s="87">
        <f t="shared" si="10"/>
        <v>100</v>
      </c>
      <c r="DP4" s="87">
        <f t="shared" si="10"/>
        <v>101</v>
      </c>
      <c r="DQ4" s="87">
        <f t="shared" si="10"/>
        <v>102</v>
      </c>
      <c r="DR4" s="87">
        <f t="shared" si="10"/>
        <v>103</v>
      </c>
      <c r="DS4" s="87">
        <f t="shared" si="10"/>
        <v>104</v>
      </c>
      <c r="DT4" s="87">
        <f t="shared" si="10"/>
        <v>105</v>
      </c>
      <c r="DU4" s="87">
        <f t="shared" si="10"/>
        <v>106</v>
      </c>
      <c r="DV4" s="87">
        <f t="shared" si="10"/>
        <v>107</v>
      </c>
      <c r="DW4" s="87">
        <f t="shared" si="10"/>
        <v>108</v>
      </c>
      <c r="DX4" s="87">
        <f t="shared" si="10"/>
        <v>109</v>
      </c>
      <c r="DY4" s="87">
        <f t="shared" si="10"/>
        <v>110</v>
      </c>
      <c r="DZ4" s="87">
        <f t="shared" si="10"/>
        <v>111</v>
      </c>
      <c r="EA4" s="87">
        <f t="shared" si="10"/>
        <v>112</v>
      </c>
      <c r="EB4" s="87">
        <f t="shared" si="10"/>
        <v>113</v>
      </c>
      <c r="EC4" s="87">
        <f t="shared" si="10"/>
        <v>114</v>
      </c>
      <c r="ED4" s="87">
        <f t="shared" si="10"/>
        <v>115</v>
      </c>
      <c r="EE4" s="87">
        <f t="shared" si="10"/>
        <v>116</v>
      </c>
      <c r="EF4" s="87">
        <f t="shared" si="10"/>
        <v>117</v>
      </c>
      <c r="EG4" s="87">
        <f t="shared" si="10"/>
        <v>118</v>
      </c>
      <c r="EH4" s="87">
        <f t="shared" si="10"/>
        <v>119</v>
      </c>
      <c r="EI4" s="87">
        <f t="shared" si="10"/>
        <v>120</v>
      </c>
      <c r="EJ4" s="87">
        <f t="shared" si="10"/>
        <v>121</v>
      </c>
      <c r="EK4" s="87">
        <f t="shared" si="10"/>
        <v>122</v>
      </c>
      <c r="EL4" s="87">
        <f t="shared" si="10"/>
        <v>123</v>
      </c>
      <c r="EM4" s="87">
        <f t="shared" si="10"/>
        <v>124</v>
      </c>
      <c r="EN4" s="87">
        <f t="shared" si="10"/>
        <v>125</v>
      </c>
      <c r="EO4" s="87">
        <f t="shared" si="10"/>
        <v>126</v>
      </c>
      <c r="EP4" s="87">
        <f t="shared" si="10"/>
        <v>127</v>
      </c>
      <c r="EQ4" s="87">
        <f t="shared" si="10"/>
        <v>128</v>
      </c>
      <c r="ER4" s="87">
        <f t="shared" si="10"/>
        <v>129</v>
      </c>
      <c r="ES4" s="87">
        <f t="shared" ref="ES4:EU4" si="11">+ES19</f>
        <v>130</v>
      </c>
      <c r="ET4" s="87">
        <f t="shared" si="11"/>
        <v>131</v>
      </c>
      <c r="EU4" s="87">
        <f t="shared" si="11"/>
        <v>132</v>
      </c>
      <c r="FB4" s="203" t="s">
        <v>72</v>
      </c>
      <c r="FC4" s="206">
        <f t="shared" ref="FC4:GH4" si="12">S23</f>
        <v>46053</v>
      </c>
      <c r="FD4" s="206">
        <f t="shared" si="12"/>
        <v>46081</v>
      </c>
      <c r="FE4" s="206">
        <f t="shared" si="12"/>
        <v>46112</v>
      </c>
      <c r="FF4" s="206">
        <f t="shared" si="12"/>
        <v>46142</v>
      </c>
      <c r="FG4" s="206">
        <f t="shared" si="12"/>
        <v>46173</v>
      </c>
      <c r="FH4" s="206">
        <f t="shared" si="12"/>
        <v>46203</v>
      </c>
      <c r="FI4" s="206">
        <f t="shared" si="12"/>
        <v>46234</v>
      </c>
      <c r="FJ4" s="206">
        <f t="shared" si="12"/>
        <v>46265</v>
      </c>
      <c r="FK4" s="206">
        <f t="shared" si="12"/>
        <v>46295</v>
      </c>
      <c r="FL4" s="206">
        <f t="shared" si="12"/>
        <v>46326</v>
      </c>
      <c r="FM4" s="206">
        <f t="shared" si="12"/>
        <v>46356</v>
      </c>
      <c r="FN4" s="206">
        <f t="shared" si="12"/>
        <v>46387</v>
      </c>
      <c r="FO4" s="206">
        <f t="shared" si="12"/>
        <v>46418</v>
      </c>
      <c r="FP4" s="206">
        <f t="shared" si="12"/>
        <v>46446</v>
      </c>
      <c r="FQ4" s="206">
        <f t="shared" si="12"/>
        <v>46477</v>
      </c>
      <c r="FR4" s="206">
        <f t="shared" si="12"/>
        <v>46507</v>
      </c>
      <c r="FS4" s="206">
        <f t="shared" si="12"/>
        <v>46538</v>
      </c>
      <c r="FT4" s="206">
        <f t="shared" si="12"/>
        <v>46568</v>
      </c>
      <c r="FU4" s="206">
        <f t="shared" si="12"/>
        <v>46599</v>
      </c>
      <c r="FV4" s="206">
        <f t="shared" si="12"/>
        <v>46630</v>
      </c>
      <c r="FW4" s="206">
        <f t="shared" si="12"/>
        <v>46660</v>
      </c>
      <c r="FX4" s="206">
        <f t="shared" si="12"/>
        <v>46691</v>
      </c>
      <c r="FY4" s="206">
        <f t="shared" si="12"/>
        <v>46721</v>
      </c>
      <c r="FZ4" s="206">
        <f t="shared" si="12"/>
        <v>46752</v>
      </c>
      <c r="GA4" s="206">
        <f t="shared" si="12"/>
        <v>46783</v>
      </c>
      <c r="GB4" s="206">
        <f t="shared" si="12"/>
        <v>46812</v>
      </c>
      <c r="GC4" s="206">
        <f t="shared" si="12"/>
        <v>46843</v>
      </c>
      <c r="GD4" s="206">
        <f t="shared" si="12"/>
        <v>46873</v>
      </c>
      <c r="GE4" s="206">
        <f t="shared" si="12"/>
        <v>46904</v>
      </c>
      <c r="GF4" s="206">
        <f t="shared" si="12"/>
        <v>46934</v>
      </c>
      <c r="GG4" s="206">
        <f t="shared" si="12"/>
        <v>46965</v>
      </c>
      <c r="GH4" s="206">
        <f t="shared" si="12"/>
        <v>46996</v>
      </c>
      <c r="GI4" s="206">
        <f t="shared" ref="GI4:HN4" si="13">AY23</f>
        <v>47026</v>
      </c>
      <c r="GJ4" s="206">
        <f t="shared" si="13"/>
        <v>47057</v>
      </c>
      <c r="GK4" s="206">
        <f t="shared" si="13"/>
        <v>47087</v>
      </c>
      <c r="GL4" s="206">
        <f t="shared" si="13"/>
        <v>47118</v>
      </c>
      <c r="GM4" s="206">
        <f t="shared" si="13"/>
        <v>47149</v>
      </c>
      <c r="GN4" s="206">
        <f t="shared" si="13"/>
        <v>47177</v>
      </c>
      <c r="GO4" s="206">
        <f t="shared" si="13"/>
        <v>47208</v>
      </c>
      <c r="GP4" s="206">
        <f t="shared" si="13"/>
        <v>47238</v>
      </c>
      <c r="GQ4" s="206">
        <f t="shared" si="13"/>
        <v>47269</v>
      </c>
      <c r="GR4" s="206">
        <f t="shared" si="13"/>
        <v>47299</v>
      </c>
      <c r="GS4" s="206">
        <f t="shared" si="13"/>
        <v>47330</v>
      </c>
      <c r="GT4" s="206">
        <f t="shared" si="13"/>
        <v>47361</v>
      </c>
      <c r="GU4" s="206">
        <f t="shared" si="13"/>
        <v>47391</v>
      </c>
      <c r="GV4" s="206">
        <f t="shared" si="13"/>
        <v>47422</v>
      </c>
      <c r="GW4" s="206">
        <f t="shared" si="13"/>
        <v>47452</v>
      </c>
      <c r="GX4" s="206">
        <f t="shared" si="13"/>
        <v>47483</v>
      </c>
      <c r="GY4" s="206">
        <f t="shared" si="13"/>
        <v>47514</v>
      </c>
      <c r="GZ4" s="206">
        <f t="shared" si="13"/>
        <v>47542</v>
      </c>
      <c r="HA4" s="206">
        <f t="shared" si="13"/>
        <v>47573</v>
      </c>
      <c r="HB4" s="206">
        <f t="shared" si="13"/>
        <v>47603</v>
      </c>
      <c r="HC4" s="206">
        <f t="shared" si="13"/>
        <v>47634</v>
      </c>
      <c r="HD4" s="206">
        <f t="shared" si="13"/>
        <v>47664</v>
      </c>
      <c r="HE4" s="206">
        <f t="shared" si="13"/>
        <v>47695</v>
      </c>
      <c r="HF4" s="206">
        <f t="shared" si="13"/>
        <v>47726</v>
      </c>
      <c r="HG4" s="206">
        <f t="shared" si="13"/>
        <v>47756</v>
      </c>
      <c r="HH4" s="206">
        <f t="shared" si="13"/>
        <v>47787</v>
      </c>
      <c r="HI4" s="206">
        <f t="shared" si="13"/>
        <v>47817</v>
      </c>
      <c r="HJ4" s="206">
        <f t="shared" si="13"/>
        <v>47848</v>
      </c>
      <c r="HK4" s="206">
        <f t="shared" si="13"/>
        <v>47879</v>
      </c>
      <c r="HL4" s="206">
        <f t="shared" si="13"/>
        <v>47907</v>
      </c>
      <c r="HM4" s="206">
        <f t="shared" si="13"/>
        <v>47938</v>
      </c>
      <c r="HN4" s="206">
        <f t="shared" si="13"/>
        <v>47968</v>
      </c>
      <c r="HO4" s="206">
        <f t="shared" ref="HO4:IT4" si="14">CE23</f>
        <v>47999</v>
      </c>
      <c r="HP4" s="206">
        <f t="shared" si="14"/>
        <v>48029</v>
      </c>
      <c r="HQ4" s="206">
        <f t="shared" si="14"/>
        <v>48060</v>
      </c>
      <c r="HR4" s="206">
        <f t="shared" si="14"/>
        <v>48091</v>
      </c>
      <c r="HS4" s="206">
        <f t="shared" si="14"/>
        <v>48121</v>
      </c>
      <c r="HT4" s="206">
        <f t="shared" si="14"/>
        <v>48152</v>
      </c>
      <c r="HU4" s="206">
        <f t="shared" si="14"/>
        <v>48182</v>
      </c>
      <c r="HV4" s="206">
        <f t="shared" si="14"/>
        <v>48213</v>
      </c>
      <c r="HW4" s="206">
        <f t="shared" si="14"/>
        <v>48244</v>
      </c>
      <c r="HX4" s="206">
        <f t="shared" si="14"/>
        <v>48273</v>
      </c>
      <c r="HY4" s="206">
        <f t="shared" si="14"/>
        <v>48304</v>
      </c>
      <c r="HZ4" s="206">
        <f t="shared" si="14"/>
        <v>48334</v>
      </c>
      <c r="IA4" s="206">
        <f t="shared" si="14"/>
        <v>48365</v>
      </c>
      <c r="IB4" s="206">
        <f t="shared" si="14"/>
        <v>48395</v>
      </c>
      <c r="IC4" s="206">
        <f t="shared" si="14"/>
        <v>48426</v>
      </c>
      <c r="ID4" s="206">
        <f t="shared" si="14"/>
        <v>48457</v>
      </c>
      <c r="IE4" s="206">
        <f t="shared" si="14"/>
        <v>48487</v>
      </c>
      <c r="IF4" s="206">
        <f t="shared" si="14"/>
        <v>48518</v>
      </c>
      <c r="IG4" s="206">
        <f t="shared" si="14"/>
        <v>48548</v>
      </c>
      <c r="IH4" s="206">
        <f t="shared" si="14"/>
        <v>48579</v>
      </c>
      <c r="II4" s="206">
        <f t="shared" si="14"/>
        <v>48610</v>
      </c>
      <c r="IJ4" s="206">
        <f t="shared" si="14"/>
        <v>48638</v>
      </c>
      <c r="IK4" s="206">
        <f t="shared" si="14"/>
        <v>48669</v>
      </c>
      <c r="IL4" s="206">
        <f t="shared" si="14"/>
        <v>48699</v>
      </c>
      <c r="IM4" s="206">
        <f t="shared" si="14"/>
        <v>48730</v>
      </c>
      <c r="IN4" s="206">
        <f t="shared" si="14"/>
        <v>48760</v>
      </c>
      <c r="IO4" s="206">
        <f t="shared" si="14"/>
        <v>48791</v>
      </c>
      <c r="IP4" s="206">
        <f t="shared" si="14"/>
        <v>48822</v>
      </c>
      <c r="IQ4" s="206">
        <f t="shared" si="14"/>
        <v>48852</v>
      </c>
      <c r="IR4" s="206">
        <f t="shared" si="14"/>
        <v>48883</v>
      </c>
      <c r="IS4" s="206">
        <f t="shared" si="14"/>
        <v>48913</v>
      </c>
      <c r="IT4" s="206">
        <f t="shared" si="14"/>
        <v>48944</v>
      </c>
      <c r="IU4" s="206">
        <f t="shared" ref="IU4:JZ4" si="15">DK23</f>
        <v>48975</v>
      </c>
      <c r="IV4" s="206">
        <f t="shared" si="15"/>
        <v>49003</v>
      </c>
      <c r="IW4" s="206">
        <f t="shared" si="15"/>
        <v>49034</v>
      </c>
      <c r="IX4" s="206">
        <f t="shared" si="15"/>
        <v>49064</v>
      </c>
      <c r="IY4" s="206">
        <f t="shared" si="15"/>
        <v>49095</v>
      </c>
      <c r="IZ4" s="206">
        <f t="shared" si="15"/>
        <v>49125</v>
      </c>
      <c r="JA4" s="206">
        <f t="shared" si="15"/>
        <v>49156</v>
      </c>
      <c r="JB4" s="206">
        <f t="shared" si="15"/>
        <v>49187</v>
      </c>
      <c r="JC4" s="206">
        <f t="shared" si="15"/>
        <v>49217</v>
      </c>
      <c r="JD4" s="206">
        <f t="shared" si="15"/>
        <v>49248</v>
      </c>
      <c r="JE4" s="206">
        <f t="shared" si="15"/>
        <v>49278</v>
      </c>
      <c r="JF4" s="206">
        <f t="shared" si="15"/>
        <v>49309</v>
      </c>
      <c r="JG4" s="206">
        <f t="shared" si="15"/>
        <v>49340</v>
      </c>
      <c r="JH4" s="206">
        <f t="shared" si="15"/>
        <v>49368</v>
      </c>
      <c r="JI4" s="206">
        <f t="shared" si="15"/>
        <v>49399</v>
      </c>
      <c r="JJ4" s="206">
        <f t="shared" si="15"/>
        <v>49429</v>
      </c>
      <c r="JK4" s="206">
        <f t="shared" si="15"/>
        <v>49460</v>
      </c>
      <c r="JL4" s="206">
        <f t="shared" si="15"/>
        <v>49490</v>
      </c>
      <c r="JM4" s="206">
        <f t="shared" si="15"/>
        <v>49521</v>
      </c>
      <c r="JN4" s="206">
        <f t="shared" si="15"/>
        <v>49552</v>
      </c>
      <c r="JO4" s="206">
        <f t="shared" si="15"/>
        <v>49582</v>
      </c>
      <c r="JP4" s="206">
        <f t="shared" si="15"/>
        <v>49613</v>
      </c>
      <c r="JQ4" s="206">
        <f t="shared" si="15"/>
        <v>49643</v>
      </c>
      <c r="JR4" s="206">
        <f t="shared" si="15"/>
        <v>49674</v>
      </c>
      <c r="JS4" s="206">
        <f t="shared" si="15"/>
        <v>49705</v>
      </c>
      <c r="JT4" s="206">
        <f t="shared" si="15"/>
        <v>49734</v>
      </c>
      <c r="JU4" s="206">
        <f t="shared" si="15"/>
        <v>49765</v>
      </c>
      <c r="JV4" s="206">
        <f t="shared" si="15"/>
        <v>49795</v>
      </c>
      <c r="JW4" s="206">
        <f t="shared" si="15"/>
        <v>49826</v>
      </c>
      <c r="JX4" s="206">
        <f t="shared" si="15"/>
        <v>49856</v>
      </c>
      <c r="JY4" s="206">
        <f t="shared" si="15"/>
        <v>49887</v>
      </c>
      <c r="JZ4" s="206">
        <f t="shared" si="15"/>
        <v>49918</v>
      </c>
      <c r="KA4" s="206">
        <f t="shared" ref="KA4:KE4" si="16">EQ23</f>
        <v>49948</v>
      </c>
      <c r="KB4" s="206">
        <f t="shared" si="16"/>
        <v>49979</v>
      </c>
      <c r="KC4" s="206">
        <f t="shared" si="16"/>
        <v>50009</v>
      </c>
      <c r="KD4" s="206">
        <f t="shared" si="16"/>
        <v>50040</v>
      </c>
      <c r="KE4" s="206">
        <f t="shared" si="16"/>
        <v>50071</v>
      </c>
      <c r="KF4" s="205"/>
      <c r="KL4" s="203" t="s">
        <v>72</v>
      </c>
      <c r="KM4" s="206" t="str">
        <f>FB23</f>
        <v>Analysis Date</v>
      </c>
      <c r="KN4" s="206">
        <f>FC4</f>
        <v>46053</v>
      </c>
      <c r="KO4" s="206">
        <f t="shared" ref="KO4:MZ4" si="17">FD4</f>
        <v>46081</v>
      </c>
      <c r="KP4" s="206">
        <f t="shared" si="17"/>
        <v>46112</v>
      </c>
      <c r="KQ4" s="206">
        <f t="shared" si="17"/>
        <v>46142</v>
      </c>
      <c r="KR4" s="206">
        <f t="shared" si="17"/>
        <v>46173</v>
      </c>
      <c r="KS4" s="206">
        <f t="shared" si="17"/>
        <v>46203</v>
      </c>
      <c r="KT4" s="206">
        <f t="shared" si="17"/>
        <v>46234</v>
      </c>
      <c r="KU4" s="206">
        <f t="shared" si="17"/>
        <v>46265</v>
      </c>
      <c r="KV4" s="206">
        <f t="shared" si="17"/>
        <v>46295</v>
      </c>
      <c r="KW4" s="206">
        <f t="shared" si="17"/>
        <v>46326</v>
      </c>
      <c r="KX4" s="206">
        <f t="shared" si="17"/>
        <v>46356</v>
      </c>
      <c r="KY4" s="206">
        <f t="shared" si="17"/>
        <v>46387</v>
      </c>
      <c r="KZ4" s="206">
        <f t="shared" si="17"/>
        <v>46418</v>
      </c>
      <c r="LA4" s="206">
        <f t="shared" si="17"/>
        <v>46446</v>
      </c>
      <c r="LB4" s="206">
        <f t="shared" si="17"/>
        <v>46477</v>
      </c>
      <c r="LC4" s="206">
        <f t="shared" si="17"/>
        <v>46507</v>
      </c>
      <c r="LD4" s="206">
        <f t="shared" si="17"/>
        <v>46538</v>
      </c>
      <c r="LE4" s="206">
        <f t="shared" si="17"/>
        <v>46568</v>
      </c>
      <c r="LF4" s="206">
        <f t="shared" si="17"/>
        <v>46599</v>
      </c>
      <c r="LG4" s="206">
        <f t="shared" si="17"/>
        <v>46630</v>
      </c>
      <c r="LH4" s="206">
        <f t="shared" si="17"/>
        <v>46660</v>
      </c>
      <c r="LI4" s="206">
        <f t="shared" si="17"/>
        <v>46691</v>
      </c>
      <c r="LJ4" s="206">
        <f t="shared" si="17"/>
        <v>46721</v>
      </c>
      <c r="LK4" s="206">
        <f t="shared" si="17"/>
        <v>46752</v>
      </c>
      <c r="LL4" s="206">
        <f t="shared" si="17"/>
        <v>46783</v>
      </c>
      <c r="LM4" s="206">
        <f t="shared" si="17"/>
        <v>46812</v>
      </c>
      <c r="LN4" s="206">
        <f t="shared" si="17"/>
        <v>46843</v>
      </c>
      <c r="LO4" s="206">
        <f t="shared" si="17"/>
        <v>46873</v>
      </c>
      <c r="LP4" s="206">
        <f t="shared" si="17"/>
        <v>46904</v>
      </c>
      <c r="LQ4" s="206">
        <f t="shared" si="17"/>
        <v>46934</v>
      </c>
      <c r="LR4" s="206">
        <f t="shared" si="17"/>
        <v>46965</v>
      </c>
      <c r="LS4" s="206">
        <f t="shared" si="17"/>
        <v>46996</v>
      </c>
      <c r="LT4" s="206">
        <f t="shared" si="17"/>
        <v>47026</v>
      </c>
      <c r="LU4" s="206">
        <f t="shared" si="17"/>
        <v>47057</v>
      </c>
      <c r="LV4" s="206">
        <f t="shared" si="17"/>
        <v>47087</v>
      </c>
      <c r="LW4" s="206">
        <f t="shared" si="17"/>
        <v>47118</v>
      </c>
      <c r="LX4" s="206">
        <f t="shared" si="17"/>
        <v>47149</v>
      </c>
      <c r="LY4" s="206">
        <f t="shared" si="17"/>
        <v>47177</v>
      </c>
      <c r="LZ4" s="206">
        <f t="shared" si="17"/>
        <v>47208</v>
      </c>
      <c r="MA4" s="206">
        <f t="shared" si="17"/>
        <v>47238</v>
      </c>
      <c r="MB4" s="206">
        <f t="shared" si="17"/>
        <v>47269</v>
      </c>
      <c r="MC4" s="206">
        <f t="shared" si="17"/>
        <v>47299</v>
      </c>
      <c r="MD4" s="206">
        <f t="shared" si="17"/>
        <v>47330</v>
      </c>
      <c r="ME4" s="206">
        <f t="shared" si="17"/>
        <v>47361</v>
      </c>
      <c r="MF4" s="206">
        <f t="shared" si="17"/>
        <v>47391</v>
      </c>
      <c r="MG4" s="206">
        <f t="shared" si="17"/>
        <v>47422</v>
      </c>
      <c r="MH4" s="206">
        <f t="shared" si="17"/>
        <v>47452</v>
      </c>
      <c r="MI4" s="206">
        <f t="shared" si="17"/>
        <v>47483</v>
      </c>
      <c r="MJ4" s="206">
        <f t="shared" si="17"/>
        <v>47514</v>
      </c>
      <c r="MK4" s="206">
        <f t="shared" si="17"/>
        <v>47542</v>
      </c>
      <c r="ML4" s="206">
        <f t="shared" si="17"/>
        <v>47573</v>
      </c>
      <c r="MM4" s="206">
        <f t="shared" si="17"/>
        <v>47603</v>
      </c>
      <c r="MN4" s="206">
        <f t="shared" si="17"/>
        <v>47634</v>
      </c>
      <c r="MO4" s="206">
        <f t="shared" si="17"/>
        <v>47664</v>
      </c>
      <c r="MP4" s="206">
        <f t="shared" si="17"/>
        <v>47695</v>
      </c>
      <c r="MQ4" s="206">
        <f t="shared" si="17"/>
        <v>47726</v>
      </c>
      <c r="MR4" s="206">
        <f t="shared" si="17"/>
        <v>47756</v>
      </c>
      <c r="MS4" s="206">
        <f t="shared" si="17"/>
        <v>47787</v>
      </c>
      <c r="MT4" s="206">
        <f t="shared" si="17"/>
        <v>47817</v>
      </c>
      <c r="MU4" s="206">
        <f t="shared" si="17"/>
        <v>47848</v>
      </c>
      <c r="MV4" s="206">
        <f t="shared" si="17"/>
        <v>47879</v>
      </c>
      <c r="MW4" s="206">
        <f t="shared" si="17"/>
        <v>47907</v>
      </c>
      <c r="MX4" s="206">
        <f t="shared" si="17"/>
        <v>47938</v>
      </c>
      <c r="MY4" s="206">
        <f t="shared" si="17"/>
        <v>47968</v>
      </c>
      <c r="MZ4" s="206">
        <f t="shared" si="17"/>
        <v>47999</v>
      </c>
      <c r="NA4" s="206">
        <f t="shared" ref="NA4:PL4" si="18">HP4</f>
        <v>48029</v>
      </c>
      <c r="NB4" s="206">
        <f t="shared" si="18"/>
        <v>48060</v>
      </c>
      <c r="NC4" s="206">
        <f t="shared" si="18"/>
        <v>48091</v>
      </c>
      <c r="ND4" s="206">
        <f t="shared" si="18"/>
        <v>48121</v>
      </c>
      <c r="NE4" s="206">
        <f t="shared" si="18"/>
        <v>48152</v>
      </c>
      <c r="NF4" s="206">
        <f t="shared" si="18"/>
        <v>48182</v>
      </c>
      <c r="NG4" s="206">
        <f t="shared" si="18"/>
        <v>48213</v>
      </c>
      <c r="NH4" s="206">
        <f t="shared" si="18"/>
        <v>48244</v>
      </c>
      <c r="NI4" s="206">
        <f t="shared" si="18"/>
        <v>48273</v>
      </c>
      <c r="NJ4" s="206">
        <f t="shared" si="18"/>
        <v>48304</v>
      </c>
      <c r="NK4" s="206">
        <f t="shared" si="18"/>
        <v>48334</v>
      </c>
      <c r="NL4" s="206">
        <f t="shared" si="18"/>
        <v>48365</v>
      </c>
      <c r="NM4" s="206">
        <f t="shared" si="18"/>
        <v>48395</v>
      </c>
      <c r="NN4" s="206">
        <f t="shared" si="18"/>
        <v>48426</v>
      </c>
      <c r="NO4" s="206">
        <f t="shared" si="18"/>
        <v>48457</v>
      </c>
      <c r="NP4" s="206">
        <f t="shared" si="18"/>
        <v>48487</v>
      </c>
      <c r="NQ4" s="206">
        <f t="shared" si="18"/>
        <v>48518</v>
      </c>
      <c r="NR4" s="206">
        <f t="shared" si="18"/>
        <v>48548</v>
      </c>
      <c r="NS4" s="206">
        <f t="shared" si="18"/>
        <v>48579</v>
      </c>
      <c r="NT4" s="206">
        <f t="shared" si="18"/>
        <v>48610</v>
      </c>
      <c r="NU4" s="206">
        <f t="shared" si="18"/>
        <v>48638</v>
      </c>
      <c r="NV4" s="206">
        <f t="shared" si="18"/>
        <v>48669</v>
      </c>
      <c r="NW4" s="206">
        <f t="shared" si="18"/>
        <v>48699</v>
      </c>
      <c r="NX4" s="206">
        <f t="shared" si="18"/>
        <v>48730</v>
      </c>
      <c r="NY4" s="206">
        <f t="shared" si="18"/>
        <v>48760</v>
      </c>
      <c r="NZ4" s="206">
        <f t="shared" si="18"/>
        <v>48791</v>
      </c>
      <c r="OA4" s="206">
        <f t="shared" si="18"/>
        <v>48822</v>
      </c>
      <c r="OB4" s="206">
        <f t="shared" si="18"/>
        <v>48852</v>
      </c>
      <c r="OC4" s="206">
        <f t="shared" si="18"/>
        <v>48883</v>
      </c>
      <c r="OD4" s="206">
        <f t="shared" si="18"/>
        <v>48913</v>
      </c>
      <c r="OE4" s="206">
        <f t="shared" si="18"/>
        <v>48944</v>
      </c>
      <c r="OF4" s="206">
        <f t="shared" si="18"/>
        <v>48975</v>
      </c>
      <c r="OG4" s="206">
        <f t="shared" si="18"/>
        <v>49003</v>
      </c>
      <c r="OH4" s="206">
        <f t="shared" si="18"/>
        <v>49034</v>
      </c>
      <c r="OI4" s="206">
        <f t="shared" si="18"/>
        <v>49064</v>
      </c>
      <c r="OJ4" s="206">
        <f t="shared" si="18"/>
        <v>49095</v>
      </c>
      <c r="OK4" s="206">
        <f t="shared" si="18"/>
        <v>49125</v>
      </c>
      <c r="OL4" s="206">
        <f t="shared" si="18"/>
        <v>49156</v>
      </c>
      <c r="OM4" s="206">
        <f t="shared" si="18"/>
        <v>49187</v>
      </c>
      <c r="ON4" s="206">
        <f t="shared" si="18"/>
        <v>49217</v>
      </c>
      <c r="OO4" s="206">
        <f t="shared" si="18"/>
        <v>49248</v>
      </c>
      <c r="OP4" s="206">
        <f t="shared" si="18"/>
        <v>49278</v>
      </c>
      <c r="OQ4" s="206">
        <f t="shared" si="18"/>
        <v>49309</v>
      </c>
      <c r="OR4" s="206">
        <f t="shared" si="18"/>
        <v>49340</v>
      </c>
      <c r="OS4" s="206">
        <f t="shared" si="18"/>
        <v>49368</v>
      </c>
      <c r="OT4" s="206">
        <f t="shared" si="18"/>
        <v>49399</v>
      </c>
      <c r="OU4" s="206">
        <f t="shared" si="18"/>
        <v>49429</v>
      </c>
      <c r="OV4" s="206">
        <f t="shared" si="18"/>
        <v>49460</v>
      </c>
      <c r="OW4" s="206">
        <f t="shared" si="18"/>
        <v>49490</v>
      </c>
      <c r="OX4" s="206">
        <f t="shared" si="18"/>
        <v>49521</v>
      </c>
      <c r="OY4" s="206">
        <f t="shared" si="18"/>
        <v>49552</v>
      </c>
      <c r="OZ4" s="206">
        <f t="shared" si="18"/>
        <v>49582</v>
      </c>
      <c r="PA4" s="206">
        <f t="shared" si="18"/>
        <v>49613</v>
      </c>
      <c r="PB4" s="206">
        <f t="shared" si="18"/>
        <v>49643</v>
      </c>
      <c r="PC4" s="206">
        <f t="shared" si="18"/>
        <v>49674</v>
      </c>
      <c r="PD4" s="206">
        <f t="shared" si="18"/>
        <v>49705</v>
      </c>
      <c r="PE4" s="206">
        <f t="shared" si="18"/>
        <v>49734</v>
      </c>
      <c r="PF4" s="206">
        <f t="shared" si="18"/>
        <v>49765</v>
      </c>
      <c r="PG4" s="206">
        <f t="shared" si="18"/>
        <v>49795</v>
      </c>
      <c r="PH4" s="206">
        <f t="shared" si="18"/>
        <v>49826</v>
      </c>
      <c r="PI4" s="206">
        <f t="shared" si="18"/>
        <v>49856</v>
      </c>
      <c r="PJ4" s="206">
        <f t="shared" si="18"/>
        <v>49887</v>
      </c>
      <c r="PK4" s="206">
        <f t="shared" si="18"/>
        <v>49918</v>
      </c>
      <c r="PL4" s="206">
        <f t="shared" si="18"/>
        <v>49948</v>
      </c>
      <c r="PM4" s="206">
        <f t="shared" ref="PM4:PO4" si="19">KB4</f>
        <v>49979</v>
      </c>
      <c r="PN4" s="206">
        <f t="shared" si="19"/>
        <v>50009</v>
      </c>
      <c r="PO4" s="206">
        <f t="shared" si="19"/>
        <v>50040</v>
      </c>
      <c r="PQ4" s="201"/>
      <c r="PR4" s="201"/>
      <c r="PS4" s="201"/>
      <c r="PT4" s="201"/>
      <c r="PU4" s="201"/>
      <c r="PV4" s="201"/>
      <c r="PW4" s="201"/>
      <c r="PX4" s="201"/>
      <c r="PY4" s="201"/>
      <c r="PZ4" s="201"/>
      <c r="QA4" s="201"/>
      <c r="QB4" s="201"/>
      <c r="QC4" s="201"/>
      <c r="QD4" s="201"/>
      <c r="QE4" s="201"/>
      <c r="QF4" s="201"/>
      <c r="QG4" s="201"/>
      <c r="QH4" s="201"/>
      <c r="QI4" s="201"/>
      <c r="QJ4" s="201"/>
      <c r="QK4" s="201"/>
      <c r="QL4" s="201"/>
      <c r="QM4" s="201"/>
      <c r="QN4" s="201"/>
      <c r="QO4" s="201"/>
      <c r="QP4" s="201"/>
      <c r="QQ4" s="201"/>
      <c r="QR4" s="201"/>
      <c r="QS4" s="201"/>
      <c r="QT4" s="201"/>
      <c r="QU4" s="201"/>
      <c r="QV4" s="201"/>
      <c r="QW4" s="201"/>
      <c r="QX4" s="201"/>
      <c r="QY4" s="201"/>
      <c r="QZ4" s="201"/>
      <c r="RA4" s="201"/>
      <c r="RB4" s="201"/>
      <c r="RC4" s="201"/>
      <c r="RD4" s="201"/>
      <c r="RE4" s="201"/>
      <c r="RF4" s="201"/>
      <c r="RG4" s="201"/>
      <c r="RH4" s="201"/>
      <c r="RI4" s="201"/>
      <c r="RJ4" s="201"/>
      <c r="RK4" s="201"/>
      <c r="RL4" s="201"/>
      <c r="RM4" s="201"/>
      <c r="RN4" s="201"/>
      <c r="RO4" s="201"/>
      <c r="RP4" s="201"/>
      <c r="RQ4" s="201"/>
      <c r="RR4" s="201"/>
      <c r="RS4" s="201"/>
      <c r="RT4" s="201"/>
      <c r="RU4" s="201"/>
      <c r="RV4" s="201"/>
      <c r="RW4" s="201"/>
      <c r="RX4" s="201"/>
      <c r="RY4" s="201"/>
      <c r="RZ4" s="201"/>
      <c r="SA4" s="201"/>
      <c r="SB4" s="201"/>
      <c r="SC4" s="201"/>
      <c r="SD4" s="201"/>
      <c r="SE4" s="201"/>
      <c r="SF4" s="201"/>
      <c r="SG4" s="201"/>
      <c r="SH4" s="201"/>
      <c r="SI4" s="201"/>
      <c r="SJ4" s="201"/>
      <c r="SK4" s="201"/>
      <c r="SL4" s="201"/>
      <c r="SM4" s="201"/>
      <c r="SN4" s="201"/>
      <c r="SO4" s="201"/>
      <c r="SP4" s="201"/>
      <c r="SQ4" s="201"/>
      <c r="SR4" s="201"/>
      <c r="SS4" s="201"/>
      <c r="ST4" s="201"/>
      <c r="SU4" s="201"/>
      <c r="SV4" s="201"/>
      <c r="SW4" s="201"/>
      <c r="SX4" s="201"/>
      <c r="SY4" s="201"/>
      <c r="SZ4" s="201"/>
      <c r="TA4" s="201"/>
      <c r="TB4" s="201"/>
      <c r="TC4" s="201"/>
      <c r="TD4" s="201"/>
      <c r="TE4" s="201"/>
      <c r="TF4" s="201"/>
      <c r="TG4" s="201"/>
      <c r="TH4" s="201"/>
      <c r="TI4" s="201"/>
      <c r="TJ4" s="201"/>
      <c r="TK4" s="201"/>
      <c r="TL4" s="201"/>
      <c r="TM4" s="201"/>
      <c r="TN4" s="201"/>
      <c r="TO4" s="201"/>
      <c r="TP4" s="201"/>
      <c r="TQ4" s="201"/>
      <c r="TR4" s="201"/>
      <c r="TS4" s="201"/>
      <c r="TT4" s="201"/>
      <c r="TU4" s="201"/>
      <c r="TV4" s="201"/>
      <c r="TW4" s="201"/>
      <c r="TX4" s="201"/>
      <c r="TY4" s="201"/>
      <c r="TZ4" s="201"/>
      <c r="UA4" s="201"/>
      <c r="UB4" s="201"/>
      <c r="UC4" s="201"/>
      <c r="UD4" s="201"/>
      <c r="UE4" s="201"/>
      <c r="UF4" s="201"/>
      <c r="UG4" s="201"/>
      <c r="UH4" s="201"/>
      <c r="UI4" s="201"/>
      <c r="UJ4" s="201"/>
      <c r="UK4" s="201"/>
      <c r="UL4" s="201"/>
      <c r="UM4" s="201"/>
      <c r="UN4" s="201"/>
      <c r="UO4" s="201"/>
      <c r="UP4" s="201"/>
      <c r="UQ4" s="201"/>
      <c r="UR4" s="201"/>
      <c r="US4" s="201"/>
      <c r="UT4" s="201"/>
      <c r="UU4" s="201"/>
    </row>
    <row r="5" spans="2:567" x14ac:dyDescent="0.25">
      <c r="B5" s="1"/>
      <c r="C5" s="1"/>
      <c r="D5" s="1"/>
      <c r="E5" s="1"/>
      <c r="F5" s="1"/>
      <c r="G5" s="1"/>
      <c r="H5" s="1"/>
      <c r="I5" s="1"/>
      <c r="J5" s="2"/>
      <c r="K5" s="2"/>
      <c r="L5" s="595" t="s">
        <v>822</v>
      </c>
      <c r="R5" s="89"/>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c r="BT5" s="87"/>
      <c r="BU5" s="87"/>
      <c r="BV5" s="87"/>
      <c r="BW5" s="87"/>
      <c r="BX5" s="87"/>
      <c r="BY5" s="87"/>
      <c r="BZ5" s="87"/>
      <c r="CA5" s="87"/>
      <c r="CB5" s="87"/>
      <c r="CC5" s="87"/>
      <c r="CD5" s="87"/>
      <c r="CE5" s="87"/>
      <c r="CF5" s="87"/>
      <c r="CG5" s="87"/>
      <c r="CH5" s="87"/>
      <c r="CI5" s="87"/>
      <c r="CJ5" s="87"/>
      <c r="CK5" s="87"/>
      <c r="CL5" s="87"/>
      <c r="CM5" s="87"/>
      <c r="CN5" s="87"/>
      <c r="CO5" s="87"/>
      <c r="CP5" s="87"/>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FC5" s="199"/>
      <c r="FD5" s="199"/>
      <c r="FE5" s="199"/>
      <c r="FF5" s="199"/>
      <c r="FG5" s="199"/>
      <c r="FH5" s="199"/>
      <c r="FI5" s="199"/>
      <c r="FJ5" s="199"/>
      <c r="FK5" s="199"/>
      <c r="FL5" s="199"/>
      <c r="FM5" s="199"/>
      <c r="FN5" s="199"/>
      <c r="FO5" s="199"/>
      <c r="FP5" s="199"/>
      <c r="FQ5" s="199"/>
      <c r="FR5" s="199"/>
      <c r="FS5" s="199"/>
      <c r="FT5" s="199"/>
      <c r="FU5" s="199"/>
      <c r="FV5" s="199"/>
      <c r="FW5" s="199"/>
      <c r="FX5" s="199"/>
      <c r="FY5" s="199"/>
      <c r="FZ5" s="199"/>
      <c r="GA5" s="199"/>
      <c r="GB5" s="199"/>
      <c r="GC5" s="199"/>
      <c r="GD5" s="199"/>
      <c r="GE5" s="199"/>
      <c r="GF5" s="199"/>
      <c r="GG5" s="199"/>
      <c r="GH5" s="199"/>
      <c r="GI5" s="199"/>
      <c r="GJ5" s="199"/>
      <c r="GK5" s="199"/>
      <c r="GL5" s="199"/>
      <c r="GM5" s="199"/>
      <c r="GN5" s="199"/>
      <c r="GO5" s="199"/>
      <c r="GP5" s="199"/>
      <c r="GQ5" s="199"/>
      <c r="GR5" s="199"/>
      <c r="GS5" s="199"/>
      <c r="GT5" s="199"/>
      <c r="GU5" s="199"/>
      <c r="GV5" s="199"/>
      <c r="GW5" s="199"/>
      <c r="GX5" s="199"/>
      <c r="GY5" s="199"/>
      <c r="GZ5" s="199"/>
      <c r="HA5" s="199"/>
      <c r="HB5" s="199"/>
      <c r="HC5" s="199"/>
      <c r="HD5" s="199"/>
      <c r="HE5" s="199"/>
      <c r="HF5" s="199"/>
      <c r="HG5" s="199"/>
      <c r="HH5" s="199"/>
      <c r="HI5" s="199"/>
      <c r="HJ5" s="199"/>
      <c r="HK5" s="199"/>
      <c r="HL5" s="199"/>
      <c r="HM5" s="199"/>
      <c r="HN5" s="199"/>
      <c r="HO5" s="199"/>
      <c r="HP5" s="199"/>
      <c r="HQ5" s="199"/>
      <c r="HR5" s="199"/>
      <c r="HS5" s="199"/>
      <c r="HT5" s="199"/>
      <c r="HU5" s="199"/>
      <c r="HV5" s="199"/>
      <c r="HW5" s="199"/>
      <c r="HX5" s="199"/>
      <c r="HY5" s="199"/>
      <c r="HZ5" s="199"/>
      <c r="IA5" s="199"/>
      <c r="IB5" s="199"/>
      <c r="IC5" s="199"/>
      <c r="ID5" s="199"/>
      <c r="IE5" s="199"/>
      <c r="IF5" s="199"/>
      <c r="IG5" s="199"/>
      <c r="IH5" s="199"/>
      <c r="II5" s="199"/>
      <c r="IJ5" s="199"/>
      <c r="IK5" s="199"/>
      <c r="IL5" s="199"/>
      <c r="IM5" s="199"/>
      <c r="IN5" s="199"/>
      <c r="IO5" s="199"/>
      <c r="IP5" s="199"/>
      <c r="IQ5" s="199"/>
      <c r="IR5" s="199"/>
      <c r="IS5" s="199"/>
      <c r="IT5" s="199"/>
      <c r="IU5" s="199"/>
      <c r="IV5" s="199"/>
      <c r="IW5" s="199"/>
      <c r="IX5" s="199"/>
      <c r="IY5" s="199"/>
      <c r="IZ5" s="199"/>
      <c r="JA5" s="199"/>
      <c r="JB5" s="199"/>
      <c r="JC5" s="199"/>
      <c r="JD5" s="199"/>
      <c r="JE5" s="199"/>
      <c r="JF5" s="199"/>
      <c r="JG5" s="199"/>
      <c r="JH5" s="199"/>
      <c r="JI5" s="199"/>
      <c r="JJ5" s="199"/>
      <c r="JK5" s="199"/>
      <c r="JL5" s="199"/>
      <c r="JM5" s="199"/>
      <c r="JN5" s="199"/>
      <c r="JO5" s="199"/>
      <c r="JP5" s="199"/>
      <c r="JQ5" s="199"/>
      <c r="JR5" s="199"/>
      <c r="JS5" s="199"/>
      <c r="JT5" s="199"/>
      <c r="JU5" s="199"/>
      <c r="JV5" s="199"/>
      <c r="JW5" s="199"/>
      <c r="JX5" s="199"/>
      <c r="JY5" s="199"/>
      <c r="JZ5" s="199"/>
      <c r="KA5" s="199"/>
      <c r="KB5" s="199"/>
      <c r="KC5" s="199"/>
      <c r="KD5" s="199"/>
      <c r="KE5" s="199"/>
      <c r="PQ5" s="201"/>
      <c r="PR5" s="201"/>
      <c r="PS5" s="201"/>
      <c r="PT5" s="201"/>
      <c r="PU5" s="201"/>
      <c r="PV5" s="201"/>
      <c r="PW5" s="201"/>
      <c r="PX5" s="201"/>
      <c r="PY5" s="201"/>
      <c r="PZ5" s="201"/>
      <c r="QA5" s="201"/>
      <c r="QB5" s="201"/>
      <c r="QC5" s="201"/>
      <c r="QD5" s="201"/>
      <c r="QE5" s="201"/>
      <c r="QF5" s="201"/>
      <c r="QG5" s="201"/>
      <c r="QH5" s="201"/>
      <c r="QI5" s="201"/>
      <c r="QJ5" s="201"/>
      <c r="QK5" s="201"/>
      <c r="QL5" s="201"/>
      <c r="QM5" s="201"/>
      <c r="QN5" s="201"/>
      <c r="QO5" s="201"/>
      <c r="QP5" s="201"/>
      <c r="QQ5" s="201"/>
      <c r="QR5" s="201"/>
      <c r="QS5" s="201"/>
      <c r="QT5" s="201"/>
      <c r="QU5" s="201"/>
      <c r="QV5" s="201"/>
      <c r="QW5" s="201"/>
      <c r="QX5" s="201"/>
      <c r="QY5" s="201"/>
      <c r="QZ5" s="201"/>
      <c r="RA5" s="201"/>
      <c r="RB5" s="201"/>
      <c r="RC5" s="201"/>
      <c r="RD5" s="201"/>
      <c r="RE5" s="201"/>
      <c r="RF5" s="201"/>
      <c r="RG5" s="201"/>
      <c r="RH5" s="201"/>
      <c r="RI5" s="201"/>
      <c r="RJ5" s="201"/>
      <c r="RK5" s="201"/>
      <c r="RL5" s="201"/>
      <c r="RM5" s="201"/>
      <c r="RN5" s="201"/>
      <c r="RO5" s="201"/>
      <c r="RP5" s="201"/>
      <c r="RQ5" s="201"/>
      <c r="RR5" s="201"/>
      <c r="RS5" s="201"/>
      <c r="RT5" s="201"/>
      <c r="RU5" s="201"/>
      <c r="RV5" s="201"/>
      <c r="RW5" s="201"/>
      <c r="RX5" s="201"/>
      <c r="RY5" s="201"/>
      <c r="RZ5" s="201"/>
      <c r="SA5" s="201"/>
      <c r="SB5" s="201"/>
      <c r="SC5" s="201"/>
      <c r="SD5" s="201"/>
      <c r="SE5" s="201"/>
      <c r="SF5" s="201"/>
      <c r="SG5" s="201"/>
      <c r="SH5" s="201"/>
      <c r="SI5" s="201"/>
      <c r="SJ5" s="201"/>
      <c r="SK5" s="201"/>
      <c r="SL5" s="201"/>
      <c r="SM5" s="201"/>
      <c r="SN5" s="201"/>
      <c r="SO5" s="201"/>
      <c r="SP5" s="201"/>
      <c r="SQ5" s="201"/>
      <c r="SR5" s="201"/>
      <c r="SS5" s="201"/>
      <c r="ST5" s="201"/>
      <c r="SU5" s="201"/>
      <c r="SV5" s="201"/>
      <c r="SW5" s="201"/>
      <c r="SX5" s="201"/>
      <c r="SY5" s="201"/>
      <c r="SZ5" s="201"/>
      <c r="TA5" s="201"/>
      <c r="TB5" s="201"/>
      <c r="TC5" s="201"/>
      <c r="TD5" s="201"/>
      <c r="TE5" s="201"/>
      <c r="TF5" s="201"/>
      <c r="TG5" s="201"/>
      <c r="TH5" s="201"/>
      <c r="TI5" s="201"/>
      <c r="TJ5" s="201"/>
      <c r="TK5" s="201"/>
      <c r="TL5" s="201"/>
      <c r="TM5" s="201"/>
      <c r="TN5" s="201"/>
      <c r="TO5" s="201"/>
      <c r="TP5" s="201"/>
      <c r="TQ5" s="201"/>
      <c r="TR5" s="201"/>
      <c r="TS5" s="201"/>
      <c r="TT5" s="201"/>
      <c r="TU5" s="201"/>
      <c r="TV5" s="201"/>
      <c r="TW5" s="201"/>
      <c r="TX5" s="201"/>
      <c r="TY5" s="201"/>
      <c r="TZ5" s="201"/>
      <c r="UA5" s="201"/>
      <c r="UB5" s="201"/>
      <c r="UC5" s="201"/>
      <c r="UD5" s="201"/>
      <c r="UE5" s="201"/>
      <c r="UF5" s="201"/>
      <c r="UG5" s="201"/>
      <c r="UH5" s="201"/>
      <c r="UI5" s="201"/>
      <c r="UJ5" s="201"/>
      <c r="UK5" s="201"/>
      <c r="UL5" s="201"/>
      <c r="UM5" s="201"/>
      <c r="UN5" s="201"/>
      <c r="UO5" s="201"/>
      <c r="UP5" s="201"/>
      <c r="UQ5" s="201"/>
      <c r="UR5" s="201"/>
      <c r="US5" s="201"/>
      <c r="UT5" s="201"/>
      <c r="UU5" s="201"/>
    </row>
    <row r="6" spans="2:567" ht="5.0999999999999996" customHeight="1" x14ac:dyDescent="0.25">
      <c r="B6" s="16"/>
      <c r="C6" s="17"/>
      <c r="D6" s="17"/>
      <c r="E6" s="17"/>
      <c r="F6" s="17"/>
      <c r="G6" s="17"/>
      <c r="H6" s="17"/>
      <c r="I6" s="17"/>
      <c r="J6" s="191"/>
      <c r="K6" s="191"/>
      <c r="L6" s="240" t="s">
        <v>600</v>
      </c>
      <c r="R6" s="244"/>
      <c r="S6" s="241"/>
      <c r="T6" s="241"/>
      <c r="U6" s="241"/>
      <c r="V6" s="241"/>
      <c r="W6" s="241"/>
      <c r="X6" s="241"/>
      <c r="Y6" s="241"/>
      <c r="Z6" s="241"/>
      <c r="AA6" s="241"/>
      <c r="AB6" s="241"/>
      <c r="AC6" s="241"/>
      <c r="AD6" s="241"/>
      <c r="AE6" s="241"/>
      <c r="AF6" s="241"/>
      <c r="AG6" s="241"/>
      <c r="AH6" s="241"/>
      <c r="AI6" s="241"/>
      <c r="AJ6" s="241"/>
      <c r="AK6" s="241"/>
      <c r="AL6" s="241"/>
      <c r="AM6" s="241"/>
      <c r="AN6" s="241"/>
      <c r="AO6" s="241"/>
      <c r="AP6" s="241"/>
      <c r="AQ6" s="241"/>
      <c r="AR6" s="241"/>
      <c r="AS6" s="241"/>
      <c r="AT6" s="241"/>
      <c r="AU6" s="241"/>
      <c r="AV6" s="241"/>
      <c r="AW6" s="241"/>
      <c r="AX6" s="241"/>
      <c r="AY6" s="241"/>
      <c r="AZ6" s="241"/>
      <c r="BA6" s="241"/>
      <c r="BB6" s="241"/>
      <c r="BC6" s="241"/>
      <c r="BD6" s="241"/>
      <c r="BE6" s="241"/>
      <c r="BF6" s="241"/>
      <c r="BG6" s="241"/>
      <c r="BH6" s="241"/>
      <c r="BI6" s="241"/>
      <c r="BJ6" s="241"/>
      <c r="BK6" s="241"/>
      <c r="BL6" s="241"/>
      <c r="BM6" s="241"/>
      <c r="BN6" s="241"/>
      <c r="BO6" s="241"/>
      <c r="BP6" s="241"/>
      <c r="BQ6" s="241"/>
      <c r="BR6" s="241"/>
      <c r="BS6" s="241"/>
      <c r="BT6" s="241"/>
      <c r="BU6" s="241"/>
      <c r="BV6" s="241"/>
      <c r="BW6" s="241"/>
      <c r="BX6" s="241"/>
      <c r="BY6" s="241"/>
      <c r="BZ6" s="241"/>
      <c r="CA6" s="241"/>
      <c r="CB6" s="241"/>
      <c r="CC6" s="241"/>
      <c r="CD6" s="241"/>
      <c r="CE6" s="241"/>
      <c r="CF6" s="241"/>
      <c r="CG6" s="241"/>
      <c r="CH6" s="241"/>
      <c r="CI6" s="241"/>
      <c r="CJ6" s="241"/>
      <c r="CK6" s="241"/>
      <c r="CL6" s="241"/>
      <c r="CM6" s="241"/>
      <c r="CN6" s="241"/>
      <c r="CO6" s="241"/>
      <c r="CP6" s="241"/>
      <c r="CQ6" s="241"/>
      <c r="CR6" s="241"/>
      <c r="CS6" s="241"/>
      <c r="CT6" s="241"/>
      <c r="CU6" s="241"/>
      <c r="CV6" s="241"/>
      <c r="CW6" s="241"/>
      <c r="CX6" s="241"/>
      <c r="CY6" s="241"/>
      <c r="CZ6" s="241"/>
      <c r="DA6" s="241"/>
      <c r="DB6" s="241"/>
      <c r="DC6" s="241"/>
      <c r="DD6" s="241"/>
      <c r="DE6" s="241"/>
      <c r="DF6" s="241"/>
      <c r="DG6" s="241"/>
      <c r="DH6" s="241"/>
      <c r="DI6" s="241"/>
      <c r="DJ6" s="241"/>
      <c r="DK6" s="241"/>
      <c r="DL6" s="241"/>
      <c r="DM6" s="241"/>
      <c r="DN6" s="241"/>
      <c r="DO6" s="241"/>
      <c r="DP6" s="241"/>
      <c r="DQ6" s="241"/>
      <c r="DR6" s="241"/>
      <c r="DS6" s="241"/>
      <c r="DT6" s="241"/>
      <c r="DU6" s="241"/>
      <c r="DV6" s="241"/>
      <c r="DW6" s="241"/>
      <c r="DX6" s="241"/>
      <c r="DY6" s="241"/>
      <c r="DZ6" s="241"/>
      <c r="EA6" s="241"/>
      <c r="EB6" s="241"/>
      <c r="EC6" s="241"/>
      <c r="ED6" s="241"/>
      <c r="EE6" s="241"/>
      <c r="EF6" s="241"/>
      <c r="EG6" s="241"/>
      <c r="EH6" s="241"/>
      <c r="EI6" s="241"/>
      <c r="EJ6" s="241"/>
      <c r="EK6" s="241"/>
      <c r="EL6" s="241"/>
      <c r="EM6" s="241"/>
      <c r="EN6" s="241"/>
      <c r="EO6" s="241"/>
      <c r="EP6" s="241"/>
      <c r="EQ6" s="241"/>
      <c r="ER6" s="241"/>
      <c r="ES6" s="241"/>
      <c r="ET6" s="241"/>
      <c r="EU6" s="241"/>
      <c r="FC6" s="199"/>
      <c r="FD6" s="199"/>
      <c r="FE6" s="199"/>
      <c r="FF6" s="199"/>
      <c r="FG6" s="199"/>
      <c r="FH6" s="199"/>
      <c r="FI6" s="199"/>
      <c r="FJ6" s="199"/>
      <c r="FK6" s="199"/>
      <c r="FL6" s="199"/>
      <c r="FM6" s="199"/>
      <c r="FN6" s="199"/>
      <c r="FO6" s="199"/>
      <c r="FP6" s="199"/>
      <c r="FQ6" s="199"/>
      <c r="FR6" s="199"/>
      <c r="FS6" s="199"/>
      <c r="FT6" s="199"/>
      <c r="FU6" s="199"/>
      <c r="FV6" s="199"/>
      <c r="FW6" s="199"/>
      <c r="FX6" s="199"/>
      <c r="FY6" s="199"/>
      <c r="FZ6" s="199"/>
      <c r="GA6" s="199"/>
      <c r="GB6" s="199"/>
      <c r="GC6" s="199"/>
      <c r="GD6" s="199"/>
      <c r="GE6" s="199"/>
      <c r="GF6" s="199"/>
      <c r="GG6" s="199"/>
      <c r="GH6" s="199"/>
      <c r="GI6" s="199"/>
      <c r="GJ6" s="199"/>
      <c r="GK6" s="199"/>
      <c r="GL6" s="199"/>
      <c r="GM6" s="199"/>
      <c r="GN6" s="199"/>
      <c r="GO6" s="199"/>
      <c r="GP6" s="199"/>
      <c r="GQ6" s="199"/>
      <c r="GR6" s="199"/>
      <c r="GS6" s="199"/>
      <c r="GT6" s="199"/>
      <c r="GU6" s="199"/>
      <c r="GV6" s="199"/>
      <c r="GW6" s="199"/>
      <c r="GX6" s="199"/>
      <c r="GY6" s="199"/>
      <c r="GZ6" s="199"/>
      <c r="HA6" s="199"/>
      <c r="HB6" s="199"/>
      <c r="HC6" s="199"/>
      <c r="HD6" s="199"/>
      <c r="HE6" s="199"/>
      <c r="HF6" s="199"/>
      <c r="HG6" s="199"/>
      <c r="HH6" s="199"/>
      <c r="HI6" s="199"/>
      <c r="HJ6" s="199"/>
      <c r="HK6" s="199"/>
      <c r="HL6" s="199"/>
      <c r="HM6" s="199"/>
      <c r="HN6" s="199"/>
      <c r="HO6" s="199"/>
      <c r="HP6" s="199"/>
      <c r="HQ6" s="199"/>
      <c r="HR6" s="199"/>
      <c r="HS6" s="199"/>
      <c r="HT6" s="199"/>
      <c r="HU6" s="199"/>
      <c r="HV6" s="199"/>
      <c r="HW6" s="199"/>
      <c r="HX6" s="199"/>
      <c r="HY6" s="199"/>
      <c r="HZ6" s="199"/>
      <c r="IA6" s="199"/>
      <c r="IB6" s="199"/>
      <c r="IC6" s="199"/>
      <c r="ID6" s="199"/>
      <c r="IE6" s="199"/>
      <c r="IF6" s="199"/>
      <c r="IG6" s="199"/>
      <c r="IH6" s="199"/>
      <c r="II6" s="199"/>
      <c r="IJ6" s="199"/>
      <c r="IK6" s="199"/>
      <c r="IL6" s="199"/>
      <c r="IM6" s="199"/>
      <c r="IN6" s="199"/>
      <c r="IO6" s="199"/>
      <c r="IP6" s="199"/>
      <c r="IQ6" s="199"/>
      <c r="IR6" s="199"/>
      <c r="IS6" s="199"/>
      <c r="IT6" s="199"/>
      <c r="IU6" s="199"/>
      <c r="IV6" s="199"/>
      <c r="IW6" s="199"/>
      <c r="IX6" s="199"/>
      <c r="IY6" s="199"/>
      <c r="IZ6" s="199"/>
      <c r="JA6" s="199"/>
      <c r="JB6" s="199"/>
      <c r="JC6" s="199"/>
      <c r="JD6" s="199"/>
      <c r="JE6" s="199"/>
      <c r="JF6" s="199"/>
      <c r="JG6" s="199"/>
      <c r="JH6" s="199"/>
      <c r="JI6" s="199"/>
      <c r="JJ6" s="199"/>
      <c r="JK6" s="199"/>
      <c r="JL6" s="199"/>
      <c r="JM6" s="199"/>
      <c r="JN6" s="199"/>
      <c r="JO6" s="199"/>
      <c r="JP6" s="199"/>
      <c r="JQ6" s="199"/>
      <c r="JR6" s="199"/>
      <c r="JS6" s="199"/>
      <c r="JT6" s="199"/>
      <c r="JU6" s="199"/>
      <c r="JV6" s="199"/>
      <c r="JW6" s="199"/>
      <c r="JX6" s="199"/>
      <c r="JY6" s="199"/>
      <c r="JZ6" s="199"/>
      <c r="KA6" s="199"/>
      <c r="KB6" s="199"/>
      <c r="KC6" s="199"/>
      <c r="KD6" s="199"/>
      <c r="KE6" s="199"/>
      <c r="PQ6" s="201"/>
      <c r="PR6" s="201"/>
      <c r="PS6" s="201"/>
      <c r="PT6" s="201"/>
      <c r="PU6" s="201"/>
      <c r="PV6" s="201"/>
      <c r="PW6" s="201"/>
      <c r="PX6" s="201"/>
      <c r="PY6" s="201"/>
      <c r="PZ6" s="201"/>
      <c r="QA6" s="201"/>
      <c r="QB6" s="201"/>
      <c r="QC6" s="201"/>
      <c r="QD6" s="201"/>
      <c r="QE6" s="201"/>
      <c r="QF6" s="201"/>
      <c r="QG6" s="201"/>
      <c r="QH6" s="201"/>
      <c r="QI6" s="201"/>
      <c r="QJ6" s="201"/>
      <c r="QK6" s="201"/>
      <c r="QL6" s="201"/>
      <c r="QM6" s="201"/>
      <c r="QN6" s="201"/>
      <c r="QO6" s="201"/>
      <c r="QP6" s="201"/>
      <c r="QQ6" s="201"/>
      <c r="QR6" s="201"/>
      <c r="QS6" s="201"/>
      <c r="QT6" s="201"/>
      <c r="QU6" s="201"/>
      <c r="QV6" s="201"/>
      <c r="QW6" s="201"/>
      <c r="QX6" s="201"/>
      <c r="QY6" s="201"/>
      <c r="QZ6" s="201"/>
      <c r="RA6" s="201"/>
      <c r="RB6" s="201"/>
      <c r="RC6" s="201"/>
      <c r="RD6" s="201"/>
      <c r="RE6" s="201"/>
      <c r="RF6" s="201"/>
      <c r="RG6" s="201"/>
      <c r="RH6" s="201"/>
      <c r="RI6" s="201"/>
      <c r="RJ6" s="201"/>
      <c r="RK6" s="201"/>
      <c r="RL6" s="201"/>
      <c r="RM6" s="201"/>
      <c r="RN6" s="201"/>
      <c r="RO6" s="201"/>
      <c r="RP6" s="201"/>
      <c r="RQ6" s="201"/>
      <c r="RR6" s="201"/>
      <c r="RS6" s="201"/>
      <c r="RT6" s="201"/>
      <c r="RU6" s="201"/>
      <c r="RV6" s="201"/>
      <c r="RW6" s="201"/>
      <c r="RX6" s="201"/>
      <c r="RY6" s="201"/>
      <c r="RZ6" s="201"/>
      <c r="SA6" s="201"/>
      <c r="SB6" s="201"/>
      <c r="SC6" s="201"/>
      <c r="SD6" s="201"/>
      <c r="SE6" s="201"/>
      <c r="SF6" s="201"/>
      <c r="SG6" s="201"/>
      <c r="SH6" s="201"/>
      <c r="SI6" s="201"/>
      <c r="SJ6" s="201"/>
      <c r="SK6" s="201"/>
      <c r="SL6" s="201"/>
      <c r="SM6" s="201"/>
      <c r="SN6" s="201"/>
      <c r="SO6" s="201"/>
      <c r="SP6" s="201"/>
      <c r="SQ6" s="201"/>
      <c r="SR6" s="201"/>
      <c r="SS6" s="201"/>
      <c r="ST6" s="201"/>
      <c r="SU6" s="201"/>
      <c r="SV6" s="201"/>
      <c r="SW6" s="201"/>
      <c r="SX6" s="201"/>
      <c r="SY6" s="201"/>
      <c r="SZ6" s="201"/>
      <c r="TA6" s="201"/>
      <c r="TB6" s="201"/>
      <c r="TC6" s="201"/>
      <c r="TD6" s="201"/>
      <c r="TE6" s="201"/>
      <c r="TF6" s="201"/>
      <c r="TG6" s="201"/>
      <c r="TH6" s="201"/>
      <c r="TI6" s="201"/>
      <c r="TJ6" s="201"/>
      <c r="TK6" s="201"/>
      <c r="TL6" s="201"/>
      <c r="TM6" s="201"/>
      <c r="TN6" s="201"/>
      <c r="TO6" s="201"/>
      <c r="TP6" s="201"/>
      <c r="TQ6" s="201"/>
      <c r="TR6" s="201"/>
      <c r="TS6" s="201"/>
      <c r="TT6" s="201"/>
      <c r="TU6" s="201"/>
      <c r="TV6" s="201"/>
      <c r="TW6" s="201"/>
      <c r="TX6" s="201"/>
      <c r="TY6" s="201"/>
      <c r="TZ6" s="201"/>
      <c r="UA6" s="201"/>
      <c r="UB6" s="201"/>
      <c r="UC6" s="201"/>
      <c r="UD6" s="201"/>
      <c r="UE6" s="201"/>
      <c r="UF6" s="201"/>
      <c r="UG6" s="201"/>
      <c r="UH6" s="201"/>
      <c r="UI6" s="201"/>
      <c r="UJ6" s="201"/>
      <c r="UK6" s="201"/>
      <c r="UL6" s="201"/>
      <c r="UM6" s="201"/>
      <c r="UN6" s="201"/>
      <c r="UO6" s="201"/>
      <c r="UP6" s="201"/>
      <c r="UQ6" s="201"/>
      <c r="UR6" s="201"/>
      <c r="US6" s="201"/>
      <c r="UT6" s="201"/>
      <c r="UU6" s="201"/>
    </row>
    <row r="7" spans="2:567" x14ac:dyDescent="0.25">
      <c r="B7" s="16" t="s">
        <v>23</v>
      </c>
      <c r="C7" s="17"/>
      <c r="D7" s="17"/>
      <c r="E7" s="17"/>
      <c r="F7" s="581" t="s">
        <v>731</v>
      </c>
      <c r="G7" s="581" t="s">
        <v>737</v>
      </c>
      <c r="H7" s="17"/>
      <c r="I7" s="17"/>
      <c r="J7" s="191"/>
      <c r="K7" s="335" t="s">
        <v>310</v>
      </c>
      <c r="L7" s="240"/>
      <c r="R7" s="257"/>
      <c r="S7" s="242"/>
      <c r="T7" s="242"/>
      <c r="U7" s="242"/>
      <c r="V7" s="242"/>
      <c r="W7" s="242"/>
      <c r="X7" s="242"/>
      <c r="Y7" s="242"/>
      <c r="Z7" s="242"/>
      <c r="AA7" s="242"/>
      <c r="AB7" s="242"/>
      <c r="AC7" s="242"/>
      <c r="AD7" s="242"/>
      <c r="AE7" s="242"/>
      <c r="AF7" s="242"/>
      <c r="AG7" s="242"/>
      <c r="AH7" s="242"/>
      <c r="AI7" s="242"/>
      <c r="AJ7" s="242"/>
      <c r="AK7" s="242"/>
      <c r="AL7" s="242"/>
      <c r="AM7" s="242"/>
      <c r="AN7" s="242"/>
      <c r="AO7" s="242"/>
      <c r="AP7" s="242"/>
      <c r="AQ7" s="242"/>
      <c r="AR7" s="242"/>
      <c r="AS7" s="242"/>
      <c r="AT7" s="242"/>
      <c r="AU7" s="242"/>
      <c r="AV7" s="242"/>
      <c r="AW7" s="242"/>
      <c r="AX7" s="242"/>
      <c r="AY7" s="242"/>
      <c r="AZ7" s="242"/>
      <c r="BA7" s="242"/>
      <c r="BB7" s="242"/>
      <c r="BC7" s="242"/>
      <c r="BD7" s="242"/>
      <c r="BE7" s="242"/>
      <c r="BF7" s="242"/>
      <c r="BG7" s="242"/>
      <c r="BH7" s="242"/>
      <c r="BI7" s="242"/>
      <c r="BJ7" s="242"/>
      <c r="BK7" s="242"/>
      <c r="BL7" s="242"/>
      <c r="BM7" s="242"/>
      <c r="BN7" s="242"/>
      <c r="BO7" s="242"/>
      <c r="BP7" s="242"/>
      <c r="BQ7" s="242"/>
      <c r="BR7" s="242"/>
      <c r="BS7" s="242"/>
      <c r="BT7" s="242"/>
      <c r="BU7" s="242"/>
      <c r="BV7" s="242"/>
      <c r="BW7" s="242"/>
      <c r="BX7" s="242"/>
      <c r="BY7" s="242"/>
      <c r="BZ7" s="242"/>
      <c r="CA7" s="242"/>
      <c r="CB7" s="242"/>
      <c r="CC7" s="242"/>
      <c r="CD7" s="242"/>
      <c r="CE7" s="242"/>
      <c r="CF7" s="242"/>
      <c r="CG7" s="242"/>
      <c r="CH7" s="242"/>
      <c r="CI7" s="242"/>
      <c r="CJ7" s="242"/>
      <c r="CK7" s="242"/>
      <c r="CL7" s="242"/>
      <c r="CM7" s="242"/>
      <c r="CN7" s="242"/>
      <c r="CO7" s="242"/>
      <c r="CP7" s="242"/>
      <c r="CQ7" s="242"/>
      <c r="CR7" s="242"/>
      <c r="CS7" s="242"/>
      <c r="CT7" s="242"/>
      <c r="CU7" s="242"/>
      <c r="CV7" s="242"/>
      <c r="CW7" s="242"/>
      <c r="CX7" s="242"/>
      <c r="CY7" s="242"/>
      <c r="CZ7" s="242"/>
      <c r="DA7" s="242"/>
      <c r="DB7" s="242"/>
      <c r="DC7" s="242"/>
      <c r="DD7" s="242"/>
      <c r="DE7" s="242"/>
      <c r="DF7" s="242"/>
      <c r="DG7" s="242"/>
      <c r="DH7" s="242"/>
      <c r="DI7" s="242"/>
      <c r="DJ7" s="242"/>
      <c r="DK7" s="242"/>
      <c r="DL7" s="242"/>
      <c r="DM7" s="242"/>
      <c r="DN7" s="242"/>
      <c r="DO7" s="242"/>
      <c r="DP7" s="242"/>
      <c r="DQ7" s="242"/>
      <c r="DR7" s="242"/>
      <c r="DS7" s="242"/>
      <c r="DT7" s="242"/>
      <c r="DU7" s="242"/>
      <c r="DV7" s="242"/>
      <c r="DW7" s="242"/>
      <c r="DX7" s="242"/>
      <c r="DY7" s="242"/>
      <c r="DZ7" s="242"/>
      <c r="EA7" s="242"/>
      <c r="EB7" s="242"/>
      <c r="EC7" s="242"/>
      <c r="ED7" s="242"/>
      <c r="EE7" s="242"/>
      <c r="EF7" s="242"/>
      <c r="EG7" s="242"/>
      <c r="EH7" s="242"/>
      <c r="EI7" s="242"/>
      <c r="EJ7" s="242"/>
      <c r="EK7" s="242"/>
      <c r="EL7" s="242"/>
      <c r="EM7" s="242"/>
      <c r="EN7" s="242"/>
      <c r="EO7" s="242"/>
      <c r="EP7" s="242"/>
      <c r="EQ7" s="242"/>
      <c r="ER7" s="242"/>
      <c r="ES7" s="242"/>
      <c r="ET7" s="242"/>
      <c r="EU7" s="242"/>
      <c r="FC7" s="199"/>
      <c r="FD7" s="199"/>
      <c r="FE7" s="199"/>
      <c r="FF7" s="199"/>
      <c r="FG7" s="199"/>
      <c r="FH7" s="199"/>
      <c r="FI7" s="199"/>
      <c r="FJ7" s="199"/>
      <c r="FK7" s="199"/>
      <c r="FL7" s="199"/>
      <c r="FM7" s="199"/>
      <c r="FN7" s="199"/>
      <c r="FO7" s="199"/>
      <c r="FP7" s="199"/>
      <c r="FQ7" s="199"/>
      <c r="FR7" s="199"/>
      <c r="FS7" s="199"/>
      <c r="FT7" s="199"/>
      <c r="FU7" s="199"/>
      <c r="FV7" s="199"/>
      <c r="FW7" s="199"/>
      <c r="FX7" s="199"/>
      <c r="FY7" s="199"/>
      <c r="FZ7" s="199"/>
      <c r="GA7" s="199"/>
      <c r="GB7" s="199"/>
      <c r="GC7" s="199"/>
      <c r="GD7" s="199"/>
      <c r="GE7" s="199"/>
      <c r="GF7" s="199"/>
      <c r="GG7" s="199"/>
      <c r="GH7" s="199"/>
      <c r="GI7" s="199"/>
      <c r="GJ7" s="199"/>
      <c r="GK7" s="199"/>
      <c r="GL7" s="199"/>
      <c r="GM7" s="199"/>
      <c r="GN7" s="199"/>
      <c r="GO7" s="199"/>
      <c r="GP7" s="199"/>
      <c r="GQ7" s="199"/>
      <c r="GR7" s="199"/>
      <c r="GS7" s="199"/>
      <c r="GT7" s="199"/>
      <c r="GU7" s="199"/>
      <c r="GV7" s="199"/>
      <c r="GW7" s="199"/>
      <c r="GX7" s="199"/>
      <c r="GY7" s="199"/>
      <c r="GZ7" s="199"/>
      <c r="HA7" s="199"/>
      <c r="HB7" s="199"/>
      <c r="HC7" s="199"/>
      <c r="HD7" s="199"/>
      <c r="HE7" s="199"/>
      <c r="HF7" s="199"/>
      <c r="HG7" s="199"/>
      <c r="HH7" s="199"/>
      <c r="HI7" s="199"/>
      <c r="HJ7" s="199"/>
      <c r="HK7" s="199"/>
      <c r="HL7" s="199"/>
      <c r="HM7" s="199"/>
      <c r="HN7" s="199"/>
      <c r="HO7" s="199"/>
      <c r="HP7" s="199"/>
      <c r="HQ7" s="199"/>
      <c r="HR7" s="199"/>
      <c r="HS7" s="199"/>
      <c r="HT7" s="199"/>
      <c r="HU7" s="199"/>
      <c r="HV7" s="199"/>
      <c r="HW7" s="199"/>
      <c r="HX7" s="199"/>
      <c r="HY7" s="199"/>
      <c r="HZ7" s="199"/>
      <c r="IA7" s="199"/>
      <c r="IB7" s="199"/>
      <c r="IC7" s="199"/>
      <c r="ID7" s="199"/>
      <c r="IE7" s="199"/>
      <c r="IF7" s="199"/>
      <c r="IG7" s="199"/>
      <c r="IH7" s="199"/>
      <c r="II7" s="199"/>
      <c r="IJ7" s="199"/>
      <c r="IK7" s="199"/>
      <c r="IL7" s="199"/>
      <c r="IM7" s="199"/>
      <c r="IN7" s="199"/>
      <c r="IO7" s="199"/>
      <c r="IP7" s="199"/>
      <c r="IQ7" s="199"/>
      <c r="IR7" s="199"/>
      <c r="IS7" s="199"/>
      <c r="IT7" s="199"/>
      <c r="IU7" s="199"/>
      <c r="IV7" s="199"/>
      <c r="IW7" s="199"/>
      <c r="IX7" s="199"/>
      <c r="IY7" s="199"/>
      <c r="IZ7" s="199"/>
      <c r="JA7" s="199"/>
      <c r="JB7" s="199"/>
      <c r="JC7" s="199"/>
      <c r="JD7" s="199"/>
      <c r="JE7" s="199"/>
      <c r="JF7" s="199"/>
      <c r="JG7" s="199"/>
      <c r="JH7" s="199"/>
      <c r="JI7" s="199"/>
      <c r="JJ7" s="199"/>
      <c r="JK7" s="199"/>
      <c r="JL7" s="199"/>
      <c r="JM7" s="199"/>
      <c r="JN7" s="199"/>
      <c r="JO7" s="199"/>
      <c r="JP7" s="199"/>
      <c r="JQ7" s="199"/>
      <c r="JR7" s="199"/>
      <c r="JS7" s="199"/>
      <c r="JT7" s="199"/>
      <c r="JU7" s="199"/>
      <c r="JV7" s="199"/>
      <c r="JW7" s="199"/>
      <c r="JX7" s="199"/>
      <c r="JY7" s="199"/>
      <c r="JZ7" s="199"/>
      <c r="KA7" s="199"/>
      <c r="KB7" s="199"/>
      <c r="KC7" s="199"/>
      <c r="KD7" s="199"/>
      <c r="KE7" s="199"/>
      <c r="PQ7" s="201"/>
      <c r="PR7" s="201"/>
      <c r="PS7" s="201"/>
      <c r="PT7" s="201"/>
      <c r="PU7" s="201"/>
      <c r="PV7" s="201"/>
      <c r="PW7" s="201"/>
      <c r="PX7" s="201"/>
      <c r="PY7" s="201"/>
      <c r="PZ7" s="201"/>
      <c r="QA7" s="201"/>
      <c r="QB7" s="201"/>
      <c r="QC7" s="201"/>
      <c r="QD7" s="201"/>
      <c r="QE7" s="201"/>
      <c r="QF7" s="201"/>
      <c r="QG7" s="201"/>
      <c r="QH7" s="201"/>
      <c r="QI7" s="201"/>
      <c r="QJ7" s="201"/>
      <c r="QK7" s="201"/>
      <c r="QL7" s="201"/>
      <c r="QM7" s="201"/>
      <c r="QN7" s="201"/>
      <c r="QO7" s="201"/>
      <c r="QP7" s="201"/>
      <c r="QQ7" s="201"/>
      <c r="QR7" s="201"/>
      <c r="QS7" s="201"/>
      <c r="QT7" s="201"/>
      <c r="QU7" s="201"/>
      <c r="QV7" s="201"/>
      <c r="QW7" s="201"/>
      <c r="QX7" s="201"/>
      <c r="QY7" s="201"/>
      <c r="QZ7" s="201"/>
      <c r="RA7" s="201"/>
      <c r="RB7" s="201"/>
      <c r="RC7" s="201"/>
      <c r="RD7" s="201"/>
      <c r="RE7" s="201"/>
      <c r="RF7" s="201"/>
      <c r="RG7" s="201"/>
      <c r="RH7" s="201"/>
      <c r="RI7" s="201"/>
      <c r="RJ7" s="201"/>
      <c r="RK7" s="201"/>
      <c r="RL7" s="201"/>
      <c r="RM7" s="201"/>
      <c r="RN7" s="201"/>
      <c r="RO7" s="201"/>
      <c r="RP7" s="201"/>
      <c r="RQ7" s="201"/>
      <c r="RR7" s="201"/>
      <c r="RS7" s="201"/>
      <c r="RT7" s="201"/>
      <c r="RU7" s="201"/>
      <c r="RV7" s="201"/>
      <c r="RW7" s="201"/>
      <c r="RX7" s="201"/>
      <c r="RY7" s="201"/>
      <c r="RZ7" s="201"/>
      <c r="SA7" s="201"/>
      <c r="SB7" s="201"/>
      <c r="SC7" s="201"/>
      <c r="SD7" s="201"/>
      <c r="SE7" s="201"/>
      <c r="SF7" s="201"/>
      <c r="SG7" s="201"/>
      <c r="SH7" s="201"/>
      <c r="SI7" s="201"/>
      <c r="SJ7" s="201"/>
      <c r="SK7" s="201"/>
      <c r="SL7" s="201"/>
      <c r="SM7" s="201"/>
      <c r="SN7" s="201"/>
      <c r="SO7" s="201"/>
      <c r="SP7" s="201"/>
      <c r="SQ7" s="201"/>
      <c r="SR7" s="201"/>
      <c r="SS7" s="201"/>
      <c r="ST7" s="201"/>
      <c r="SU7" s="201"/>
      <c r="SV7" s="201"/>
      <c r="SW7" s="201"/>
      <c r="SX7" s="201"/>
      <c r="SY7" s="201"/>
      <c r="SZ7" s="201"/>
      <c r="TA7" s="201"/>
      <c r="TB7" s="201"/>
      <c r="TC7" s="201"/>
      <c r="TD7" s="201"/>
      <c r="TE7" s="201"/>
      <c r="TF7" s="201"/>
      <c r="TG7" s="201"/>
      <c r="TH7" s="201"/>
      <c r="TI7" s="201"/>
      <c r="TJ7" s="201"/>
      <c r="TK7" s="201"/>
      <c r="TL7" s="201"/>
      <c r="TM7" s="201"/>
      <c r="TN7" s="201"/>
      <c r="TO7" s="201"/>
      <c r="TP7" s="201"/>
      <c r="TQ7" s="201"/>
      <c r="TR7" s="201"/>
      <c r="TS7" s="201"/>
      <c r="TT7" s="201"/>
      <c r="TU7" s="201"/>
      <c r="TV7" s="201"/>
      <c r="TW7" s="201"/>
      <c r="TX7" s="201"/>
      <c r="TY7" s="201"/>
      <c r="TZ7" s="201"/>
      <c r="UA7" s="201"/>
      <c r="UB7" s="201"/>
      <c r="UC7" s="201"/>
      <c r="UD7" s="201"/>
      <c r="UE7" s="201"/>
      <c r="UF7" s="201"/>
      <c r="UG7" s="201"/>
      <c r="UH7" s="201"/>
      <c r="UI7" s="201"/>
      <c r="UJ7" s="201"/>
      <c r="UK7" s="201"/>
      <c r="UL7" s="201"/>
      <c r="UM7" s="201"/>
      <c r="UN7" s="201"/>
      <c r="UO7" s="201"/>
      <c r="UP7" s="201"/>
      <c r="UQ7" s="201"/>
      <c r="UR7" s="201"/>
      <c r="US7" s="201"/>
      <c r="UT7" s="201"/>
      <c r="UU7" s="201"/>
    </row>
    <row r="8" spans="2:567" x14ac:dyDescent="0.25">
      <c r="B8" s="18" t="s">
        <v>1</v>
      </c>
      <c r="C8" s="18"/>
      <c r="D8" s="18"/>
      <c r="E8" s="18"/>
      <c r="F8" s="19" t="s">
        <v>2</v>
      </c>
      <c r="G8" s="18" t="s">
        <v>3</v>
      </c>
      <c r="H8" s="18"/>
      <c r="I8" s="18"/>
      <c r="J8" s="26"/>
      <c r="K8" s="19" t="s">
        <v>4</v>
      </c>
      <c r="L8" s="240"/>
      <c r="R8" s="257"/>
      <c r="S8" s="242"/>
      <c r="T8" s="242"/>
      <c r="U8" s="242"/>
      <c r="V8" s="242"/>
      <c r="W8" s="242"/>
      <c r="X8" s="242"/>
      <c r="Y8" s="242"/>
      <c r="Z8" s="242"/>
      <c r="AA8" s="242"/>
      <c r="AB8" s="242"/>
      <c r="AC8" s="242"/>
      <c r="AD8" s="242"/>
      <c r="AE8" s="242"/>
      <c r="AF8" s="242"/>
      <c r="AG8" s="242"/>
      <c r="AH8" s="242"/>
      <c r="AI8" s="242"/>
      <c r="AJ8" s="242"/>
      <c r="AK8" s="242"/>
      <c r="AL8" s="242"/>
      <c r="AM8" s="242"/>
      <c r="AN8" s="242"/>
      <c r="AO8" s="242"/>
      <c r="AP8" s="242"/>
      <c r="AQ8" s="242"/>
      <c r="AR8" s="242"/>
      <c r="AS8" s="242"/>
      <c r="AT8" s="242"/>
      <c r="AU8" s="242"/>
      <c r="AV8" s="242"/>
      <c r="AW8" s="242"/>
      <c r="AX8" s="242"/>
      <c r="AY8" s="242"/>
      <c r="AZ8" s="242"/>
      <c r="BA8" s="242"/>
      <c r="BB8" s="242"/>
      <c r="BC8" s="242"/>
      <c r="BD8" s="242"/>
      <c r="BE8" s="242"/>
      <c r="BF8" s="242"/>
      <c r="BG8" s="242"/>
      <c r="BH8" s="242"/>
      <c r="BI8" s="242"/>
      <c r="BJ8" s="242"/>
      <c r="BK8" s="242"/>
      <c r="BL8" s="242"/>
      <c r="BM8" s="242"/>
      <c r="BN8" s="242"/>
      <c r="BO8" s="242"/>
      <c r="BP8" s="242"/>
      <c r="BQ8" s="242"/>
      <c r="BR8" s="242"/>
      <c r="BS8" s="242"/>
      <c r="BT8" s="242"/>
      <c r="BU8" s="242"/>
      <c r="BV8" s="242"/>
      <c r="BW8" s="242"/>
      <c r="BX8" s="242"/>
      <c r="BY8" s="242"/>
      <c r="BZ8" s="242"/>
      <c r="CA8" s="242"/>
      <c r="CB8" s="242"/>
      <c r="CC8" s="242"/>
      <c r="CD8" s="242"/>
      <c r="CE8" s="242"/>
      <c r="CF8" s="242"/>
      <c r="CG8" s="242"/>
      <c r="CH8" s="242"/>
      <c r="CI8" s="242"/>
      <c r="CJ8" s="242"/>
      <c r="CK8" s="242"/>
      <c r="CL8" s="242"/>
      <c r="CM8" s="242"/>
      <c r="CN8" s="242"/>
      <c r="CO8" s="242"/>
      <c r="CP8" s="242"/>
      <c r="CQ8" s="242"/>
      <c r="CR8" s="242"/>
      <c r="CS8" s="242"/>
      <c r="CT8" s="242"/>
      <c r="CU8" s="242"/>
      <c r="CV8" s="242"/>
      <c r="CW8" s="242"/>
      <c r="CX8" s="242"/>
      <c r="CY8" s="242"/>
      <c r="CZ8" s="242"/>
      <c r="DA8" s="242"/>
      <c r="DB8" s="242"/>
      <c r="DC8" s="242"/>
      <c r="DD8" s="242"/>
      <c r="DE8" s="242"/>
      <c r="DF8" s="242"/>
      <c r="DG8" s="242"/>
      <c r="DH8" s="242"/>
      <c r="DI8" s="242"/>
      <c r="DJ8" s="242"/>
      <c r="DK8" s="242"/>
      <c r="DL8" s="242"/>
      <c r="DM8" s="242"/>
      <c r="DN8" s="242"/>
      <c r="DO8" s="242"/>
      <c r="DP8" s="242"/>
      <c r="DQ8" s="242"/>
      <c r="DR8" s="242"/>
      <c r="DS8" s="242"/>
      <c r="DT8" s="242"/>
      <c r="DU8" s="242"/>
      <c r="DV8" s="242"/>
      <c r="DW8" s="242"/>
      <c r="DX8" s="242"/>
      <c r="DY8" s="242"/>
      <c r="DZ8" s="242"/>
      <c r="EA8" s="242"/>
      <c r="EB8" s="242"/>
      <c r="EC8" s="242"/>
      <c r="ED8" s="242"/>
      <c r="EE8" s="242"/>
      <c r="EF8" s="242"/>
      <c r="EG8" s="242"/>
      <c r="EH8" s="242"/>
      <c r="EI8" s="242"/>
      <c r="EJ8" s="242"/>
      <c r="EK8" s="242"/>
      <c r="EL8" s="242"/>
      <c r="EM8" s="242"/>
      <c r="EN8" s="242"/>
      <c r="EO8" s="242"/>
      <c r="EP8" s="242"/>
      <c r="EQ8" s="242"/>
      <c r="ER8" s="242"/>
      <c r="ES8" s="242"/>
      <c r="ET8" s="242"/>
      <c r="EU8" s="242"/>
      <c r="FC8" s="199"/>
      <c r="FD8" s="199"/>
      <c r="FE8" s="199"/>
      <c r="FF8" s="199"/>
      <c r="FG8" s="199"/>
      <c r="FH8" s="199"/>
      <c r="FI8" s="199"/>
      <c r="FJ8" s="199"/>
      <c r="FK8" s="199"/>
      <c r="FL8" s="199"/>
      <c r="FM8" s="199"/>
      <c r="FN8" s="199"/>
      <c r="FO8" s="199"/>
      <c r="FP8" s="199"/>
      <c r="FQ8" s="199"/>
      <c r="FR8" s="199"/>
      <c r="FS8" s="199"/>
      <c r="FT8" s="199"/>
      <c r="FU8" s="199"/>
      <c r="FV8" s="199"/>
      <c r="FW8" s="199"/>
      <c r="FX8" s="199"/>
      <c r="FY8" s="199"/>
      <c r="FZ8" s="199"/>
      <c r="GA8" s="199"/>
      <c r="GB8" s="199"/>
      <c r="GC8" s="199"/>
      <c r="GD8" s="199"/>
      <c r="GE8" s="199"/>
      <c r="GF8" s="199"/>
      <c r="GG8" s="199"/>
      <c r="GH8" s="199"/>
      <c r="GI8" s="199"/>
      <c r="GJ8" s="199"/>
      <c r="GK8" s="199"/>
      <c r="GL8" s="199"/>
      <c r="GM8" s="199"/>
      <c r="GN8" s="199"/>
      <c r="GO8" s="199"/>
      <c r="GP8" s="199"/>
      <c r="GQ8" s="199"/>
      <c r="GR8" s="199"/>
      <c r="GS8" s="199"/>
      <c r="GT8" s="199"/>
      <c r="GU8" s="199"/>
      <c r="GV8" s="199"/>
      <c r="GW8" s="199"/>
      <c r="GX8" s="199"/>
      <c r="GY8" s="199"/>
      <c r="GZ8" s="199"/>
      <c r="HA8" s="199"/>
      <c r="HB8" s="199"/>
      <c r="HC8" s="199"/>
      <c r="HD8" s="199"/>
      <c r="HE8" s="199"/>
      <c r="HF8" s="199"/>
      <c r="HG8" s="199"/>
      <c r="HH8" s="199"/>
      <c r="HI8" s="199"/>
      <c r="HJ8" s="199"/>
      <c r="HK8" s="199"/>
      <c r="HL8" s="199"/>
      <c r="HM8" s="199"/>
      <c r="HN8" s="199"/>
      <c r="HO8" s="199"/>
      <c r="HP8" s="199"/>
      <c r="HQ8" s="199"/>
      <c r="HR8" s="199"/>
      <c r="HS8" s="199"/>
      <c r="HT8" s="199"/>
      <c r="HU8" s="199"/>
      <c r="HV8" s="199"/>
      <c r="HW8" s="199"/>
      <c r="HX8" s="199"/>
      <c r="HY8" s="199"/>
      <c r="HZ8" s="199"/>
      <c r="IA8" s="199"/>
      <c r="IB8" s="199"/>
      <c r="IC8" s="199"/>
      <c r="ID8" s="199"/>
      <c r="IE8" s="199"/>
      <c r="IF8" s="199"/>
      <c r="IG8" s="199"/>
      <c r="IH8" s="199"/>
      <c r="II8" s="199"/>
      <c r="IJ8" s="199"/>
      <c r="IK8" s="199"/>
      <c r="IL8" s="199"/>
      <c r="IM8" s="199"/>
      <c r="IN8" s="199"/>
      <c r="IO8" s="199"/>
      <c r="IP8" s="199"/>
      <c r="IQ8" s="199"/>
      <c r="IR8" s="199"/>
      <c r="IS8" s="199"/>
      <c r="IT8" s="199"/>
      <c r="IU8" s="199"/>
      <c r="IV8" s="199"/>
      <c r="IW8" s="199"/>
      <c r="IX8" s="199"/>
      <c r="IY8" s="199"/>
      <c r="IZ8" s="199"/>
      <c r="JA8" s="199"/>
      <c r="JB8" s="199"/>
      <c r="JC8" s="199"/>
      <c r="JD8" s="199"/>
      <c r="JE8" s="199"/>
      <c r="JF8" s="199"/>
      <c r="JG8" s="199"/>
      <c r="JH8" s="199"/>
      <c r="JI8" s="199"/>
      <c r="JJ8" s="199"/>
      <c r="JK8" s="199"/>
      <c r="JL8" s="199"/>
      <c r="JM8" s="199"/>
      <c r="JN8" s="199"/>
      <c r="JO8" s="199"/>
      <c r="JP8" s="199"/>
      <c r="JQ8" s="199"/>
      <c r="JR8" s="199"/>
      <c r="JS8" s="199"/>
      <c r="JT8" s="199"/>
      <c r="JU8" s="199"/>
      <c r="JV8" s="199"/>
      <c r="JW8" s="199"/>
      <c r="JX8" s="199"/>
      <c r="JY8" s="199"/>
      <c r="JZ8" s="199"/>
      <c r="KA8" s="199"/>
      <c r="KB8" s="199"/>
      <c r="KC8" s="199"/>
      <c r="KD8" s="199"/>
      <c r="KE8" s="199"/>
      <c r="PQ8" s="201"/>
      <c r="PR8" s="201"/>
      <c r="PS8" s="201"/>
      <c r="PT8" s="201"/>
      <c r="PU8" s="201"/>
      <c r="PV8" s="201"/>
      <c r="PW8" s="201"/>
      <c r="PX8" s="201"/>
      <c r="PY8" s="201"/>
      <c r="PZ8" s="201"/>
      <c r="QA8" s="201"/>
      <c r="QB8" s="201"/>
      <c r="QC8" s="201"/>
      <c r="QD8" s="201"/>
      <c r="QE8" s="201"/>
      <c r="QF8" s="201"/>
      <c r="QG8" s="201"/>
      <c r="QH8" s="201"/>
      <c r="QI8" s="201"/>
      <c r="QJ8" s="201"/>
      <c r="QK8" s="201"/>
      <c r="QL8" s="201"/>
      <c r="QM8" s="201"/>
      <c r="QN8" s="201"/>
      <c r="QO8" s="201"/>
      <c r="QP8" s="201"/>
      <c r="QQ8" s="201"/>
      <c r="QR8" s="201"/>
      <c r="QS8" s="201"/>
      <c r="QT8" s="201"/>
      <c r="QU8" s="201"/>
      <c r="QV8" s="201"/>
      <c r="QW8" s="201"/>
      <c r="QX8" s="201"/>
      <c r="QY8" s="201"/>
      <c r="QZ8" s="201"/>
      <c r="RA8" s="201"/>
      <c r="RB8" s="201"/>
      <c r="RC8" s="201"/>
      <c r="RD8" s="201"/>
      <c r="RE8" s="201"/>
      <c r="RF8" s="201"/>
      <c r="RG8" s="201"/>
      <c r="RH8" s="201"/>
      <c r="RI8" s="201"/>
      <c r="RJ8" s="201"/>
      <c r="RK8" s="201"/>
      <c r="RL8" s="201"/>
      <c r="RM8" s="201"/>
      <c r="RN8" s="201"/>
      <c r="RO8" s="201"/>
      <c r="RP8" s="201"/>
      <c r="RQ8" s="201"/>
      <c r="RR8" s="201"/>
      <c r="RS8" s="201"/>
      <c r="RT8" s="201"/>
      <c r="RU8" s="201"/>
      <c r="RV8" s="201"/>
      <c r="RW8" s="201"/>
      <c r="RX8" s="201"/>
      <c r="RY8" s="201"/>
      <c r="RZ8" s="201"/>
      <c r="SA8" s="201"/>
      <c r="SB8" s="201"/>
      <c r="SC8" s="201"/>
      <c r="SD8" s="201"/>
      <c r="SE8" s="201"/>
      <c r="SF8" s="201"/>
      <c r="SG8" s="201"/>
      <c r="SH8" s="201"/>
      <c r="SI8" s="201"/>
      <c r="SJ8" s="201"/>
      <c r="SK8" s="201"/>
      <c r="SL8" s="201"/>
      <c r="SM8" s="201"/>
      <c r="SN8" s="201"/>
      <c r="SO8" s="201"/>
      <c r="SP8" s="201"/>
      <c r="SQ8" s="201"/>
      <c r="SR8" s="201"/>
      <c r="SS8" s="201"/>
      <c r="ST8" s="201"/>
      <c r="SU8" s="201"/>
      <c r="SV8" s="201"/>
      <c r="SW8" s="201"/>
      <c r="SX8" s="201"/>
      <c r="SY8" s="201"/>
      <c r="SZ8" s="201"/>
      <c r="TA8" s="201"/>
      <c r="TB8" s="201"/>
      <c r="TC8" s="201"/>
      <c r="TD8" s="201"/>
      <c r="TE8" s="201"/>
      <c r="TF8" s="201"/>
      <c r="TG8" s="201"/>
      <c r="TH8" s="201"/>
      <c r="TI8" s="201"/>
      <c r="TJ8" s="201"/>
      <c r="TK8" s="201"/>
      <c r="TL8" s="201"/>
      <c r="TM8" s="201"/>
      <c r="TN8" s="201"/>
      <c r="TO8" s="201"/>
      <c r="TP8" s="201"/>
      <c r="TQ8" s="201"/>
      <c r="TR8" s="201"/>
      <c r="TS8" s="201"/>
      <c r="TT8" s="201"/>
      <c r="TU8" s="201"/>
      <c r="TV8" s="201"/>
      <c r="TW8" s="201"/>
      <c r="TX8" s="201"/>
      <c r="TY8" s="201"/>
      <c r="TZ8" s="201"/>
      <c r="UA8" s="201"/>
      <c r="UB8" s="201"/>
      <c r="UC8" s="201"/>
      <c r="UD8" s="201"/>
      <c r="UE8" s="201"/>
      <c r="UF8" s="201"/>
      <c r="UG8" s="201"/>
      <c r="UH8" s="201"/>
      <c r="UI8" s="201"/>
      <c r="UJ8" s="201"/>
      <c r="UK8" s="201"/>
      <c r="UL8" s="201"/>
      <c r="UM8" s="201"/>
      <c r="UN8" s="201"/>
      <c r="UO8" s="201"/>
      <c r="UP8" s="201"/>
      <c r="UQ8" s="201"/>
      <c r="UR8" s="201"/>
      <c r="US8" s="201"/>
      <c r="UT8" s="201"/>
      <c r="UU8" s="201"/>
    </row>
    <row r="9" spans="2:567" x14ac:dyDescent="0.25">
      <c r="B9" s="20" t="s">
        <v>5</v>
      </c>
      <c r="C9" s="18"/>
      <c r="D9" s="18"/>
      <c r="E9" s="18"/>
      <c r="F9" s="19" t="s">
        <v>6</v>
      </c>
      <c r="G9" s="18" t="s">
        <v>7</v>
      </c>
      <c r="H9" s="18"/>
      <c r="I9" s="18"/>
      <c r="J9" s="26"/>
      <c r="K9" s="19" t="s">
        <v>8</v>
      </c>
      <c r="L9" s="240"/>
      <c r="R9" s="257"/>
      <c r="S9" s="242"/>
      <c r="T9" s="242"/>
      <c r="U9" s="242"/>
      <c r="V9" s="242"/>
      <c r="W9" s="242"/>
      <c r="X9" s="242"/>
      <c r="Y9" s="242"/>
      <c r="Z9" s="242"/>
      <c r="AA9" s="242"/>
      <c r="AB9" s="242"/>
      <c r="AC9" s="242"/>
      <c r="AD9" s="242"/>
      <c r="AE9" s="242"/>
      <c r="AF9" s="242"/>
      <c r="AG9" s="242"/>
      <c r="AH9" s="242"/>
      <c r="AI9" s="242"/>
      <c r="AJ9" s="242"/>
      <c r="AK9" s="242"/>
      <c r="AL9" s="242"/>
      <c r="AM9" s="242"/>
      <c r="AN9" s="242"/>
      <c r="AO9" s="242"/>
      <c r="AP9" s="242"/>
      <c r="AQ9" s="242"/>
      <c r="AR9" s="242"/>
      <c r="AS9" s="242"/>
      <c r="AT9" s="242"/>
      <c r="AU9" s="242"/>
      <c r="AV9" s="242"/>
      <c r="AW9" s="242"/>
      <c r="AX9" s="242"/>
      <c r="AY9" s="242"/>
      <c r="AZ9" s="242"/>
      <c r="BA9" s="242"/>
      <c r="BB9" s="242"/>
      <c r="BC9" s="242"/>
      <c r="BD9" s="242"/>
      <c r="BE9" s="242"/>
      <c r="BF9" s="242"/>
      <c r="BG9" s="242"/>
      <c r="BH9" s="242"/>
      <c r="BI9" s="242"/>
      <c r="BJ9" s="242"/>
      <c r="BK9" s="242"/>
      <c r="BL9" s="242"/>
      <c r="BM9" s="242"/>
      <c r="BN9" s="242"/>
      <c r="BO9" s="242"/>
      <c r="BP9" s="242"/>
      <c r="BQ9" s="242"/>
      <c r="BR9" s="242"/>
      <c r="BS9" s="242"/>
      <c r="BT9" s="242"/>
      <c r="BU9" s="242"/>
      <c r="BV9" s="242"/>
      <c r="BW9" s="242"/>
      <c r="BX9" s="242"/>
      <c r="BY9" s="242"/>
      <c r="BZ9" s="242"/>
      <c r="CA9" s="242"/>
      <c r="CB9" s="242"/>
      <c r="CC9" s="242"/>
      <c r="CD9" s="242"/>
      <c r="CE9" s="242"/>
      <c r="CF9" s="242"/>
      <c r="CG9" s="242"/>
      <c r="CH9" s="242"/>
      <c r="CI9" s="242"/>
      <c r="CJ9" s="242"/>
      <c r="CK9" s="242"/>
      <c r="CL9" s="242"/>
      <c r="CM9" s="242"/>
      <c r="CN9" s="242"/>
      <c r="CO9" s="242"/>
      <c r="CP9" s="242"/>
      <c r="CQ9" s="242"/>
      <c r="CR9" s="242"/>
      <c r="CS9" s="242"/>
      <c r="CT9" s="242"/>
      <c r="CU9" s="242"/>
      <c r="CV9" s="242"/>
      <c r="CW9" s="242"/>
      <c r="CX9" s="242"/>
      <c r="CY9" s="242"/>
      <c r="CZ9" s="242"/>
      <c r="DA9" s="242"/>
      <c r="DB9" s="242"/>
      <c r="DC9" s="242"/>
      <c r="DD9" s="242"/>
      <c r="DE9" s="242"/>
      <c r="DF9" s="242"/>
      <c r="DG9" s="242"/>
      <c r="DH9" s="242"/>
      <c r="DI9" s="242"/>
      <c r="DJ9" s="242"/>
      <c r="DK9" s="242"/>
      <c r="DL9" s="242"/>
      <c r="DM9" s="242"/>
      <c r="DN9" s="242"/>
      <c r="DO9" s="242"/>
      <c r="DP9" s="242"/>
      <c r="DQ9" s="242"/>
      <c r="DR9" s="242"/>
      <c r="DS9" s="242"/>
      <c r="DT9" s="242"/>
      <c r="DU9" s="242"/>
      <c r="DV9" s="242"/>
      <c r="DW9" s="242"/>
      <c r="DX9" s="242"/>
      <c r="DY9" s="242"/>
      <c r="DZ9" s="242"/>
      <c r="EA9" s="242"/>
      <c r="EB9" s="242"/>
      <c r="EC9" s="242"/>
      <c r="ED9" s="242"/>
      <c r="EE9" s="242"/>
      <c r="EF9" s="242"/>
      <c r="EG9" s="242"/>
      <c r="EH9" s="242"/>
      <c r="EI9" s="242"/>
      <c r="EJ9" s="242"/>
      <c r="EK9" s="242"/>
      <c r="EL9" s="242"/>
      <c r="EM9" s="242"/>
      <c r="EN9" s="242"/>
      <c r="EO9" s="242"/>
      <c r="EP9" s="242"/>
      <c r="EQ9" s="242"/>
      <c r="ER9" s="242"/>
      <c r="ES9" s="242"/>
      <c r="ET9" s="242"/>
      <c r="EU9" s="242"/>
      <c r="FC9" s="199"/>
      <c r="FD9" s="199"/>
      <c r="FE9" s="199"/>
      <c r="FF9" s="199"/>
      <c r="FG9" s="199"/>
      <c r="FH9" s="199"/>
      <c r="FI9" s="199"/>
      <c r="FJ9" s="199"/>
      <c r="FK9" s="199"/>
      <c r="FL9" s="199"/>
      <c r="FM9" s="199"/>
      <c r="FN9" s="199"/>
      <c r="FO9" s="199"/>
      <c r="FP9" s="199"/>
      <c r="FQ9" s="199"/>
      <c r="FR9" s="199"/>
      <c r="FS9" s="199"/>
      <c r="FT9" s="199"/>
      <c r="FU9" s="199"/>
      <c r="FV9" s="199"/>
      <c r="FW9" s="199"/>
      <c r="FX9" s="199"/>
      <c r="FY9" s="199"/>
      <c r="FZ9" s="199"/>
      <c r="GA9" s="199"/>
      <c r="GB9" s="199"/>
      <c r="GC9" s="199"/>
      <c r="GD9" s="199"/>
      <c r="GE9" s="199"/>
      <c r="GF9" s="199"/>
      <c r="GG9" s="199"/>
      <c r="GH9" s="199"/>
      <c r="GI9" s="199"/>
      <c r="GJ9" s="199"/>
      <c r="GK9" s="199"/>
      <c r="GL9" s="199"/>
      <c r="GM9" s="199"/>
      <c r="GN9" s="199"/>
      <c r="GO9" s="199"/>
      <c r="GP9" s="199"/>
      <c r="GQ9" s="199"/>
      <c r="GR9" s="199"/>
      <c r="GS9" s="199"/>
      <c r="GT9" s="199"/>
      <c r="GU9" s="199"/>
      <c r="GV9" s="199"/>
      <c r="GW9" s="199"/>
      <c r="GX9" s="199"/>
      <c r="GY9" s="199"/>
      <c r="GZ9" s="199"/>
      <c r="HA9" s="199"/>
      <c r="HB9" s="199"/>
      <c r="HC9" s="199"/>
      <c r="HD9" s="199"/>
      <c r="HE9" s="199"/>
      <c r="HF9" s="199"/>
      <c r="HG9" s="199"/>
      <c r="HH9" s="199"/>
      <c r="HI9" s="199"/>
      <c r="HJ9" s="199"/>
      <c r="HK9" s="199"/>
      <c r="HL9" s="199"/>
      <c r="HM9" s="199"/>
      <c r="HN9" s="199"/>
      <c r="HO9" s="199"/>
      <c r="HP9" s="199"/>
      <c r="HQ9" s="199"/>
      <c r="HR9" s="199"/>
      <c r="HS9" s="199"/>
      <c r="HT9" s="199"/>
      <c r="HU9" s="199"/>
      <c r="HV9" s="199"/>
      <c r="HW9" s="199"/>
      <c r="HX9" s="199"/>
      <c r="HY9" s="199"/>
      <c r="HZ9" s="199"/>
      <c r="IA9" s="199"/>
      <c r="IB9" s="199"/>
      <c r="IC9" s="199"/>
      <c r="ID9" s="199"/>
      <c r="IE9" s="199"/>
      <c r="IF9" s="199"/>
      <c r="IG9" s="199"/>
      <c r="IH9" s="199"/>
      <c r="II9" s="199"/>
      <c r="IJ9" s="199"/>
      <c r="IK9" s="199"/>
      <c r="IL9" s="199"/>
      <c r="IM9" s="199"/>
      <c r="IN9" s="199"/>
      <c r="IO9" s="199"/>
      <c r="IP9" s="199"/>
      <c r="IQ9" s="199"/>
      <c r="IR9" s="199"/>
      <c r="IS9" s="199"/>
      <c r="IT9" s="199"/>
      <c r="IU9" s="199"/>
      <c r="IV9" s="199"/>
      <c r="IW9" s="199"/>
      <c r="IX9" s="199"/>
      <c r="IY9" s="199"/>
      <c r="IZ9" s="199"/>
      <c r="JA9" s="199"/>
      <c r="JB9" s="199"/>
      <c r="JC9" s="199"/>
      <c r="JD9" s="199"/>
      <c r="JE9" s="199"/>
      <c r="JF9" s="199"/>
      <c r="JG9" s="199"/>
      <c r="JH9" s="199"/>
      <c r="JI9" s="199"/>
      <c r="JJ9" s="199"/>
      <c r="JK9" s="199"/>
      <c r="JL9" s="199"/>
      <c r="JM9" s="199"/>
      <c r="JN9" s="199"/>
      <c r="JO9" s="199"/>
      <c r="JP9" s="199"/>
      <c r="JQ9" s="199"/>
      <c r="JR9" s="199"/>
      <c r="JS9" s="199"/>
      <c r="JT9" s="199"/>
      <c r="JU9" s="199"/>
      <c r="JV9" s="199"/>
      <c r="JW9" s="199"/>
      <c r="JX9" s="199"/>
      <c r="JY9" s="199"/>
      <c r="JZ9" s="199"/>
      <c r="KA9" s="199"/>
      <c r="KB9" s="199"/>
      <c r="KC9" s="199"/>
      <c r="KD9" s="199"/>
      <c r="KE9" s="199"/>
      <c r="PQ9" s="201"/>
      <c r="PR9" s="201"/>
      <c r="PS9" s="201"/>
      <c r="PT9" s="201"/>
      <c r="PU9" s="201"/>
      <c r="PV9" s="201"/>
      <c r="PW9" s="201"/>
      <c r="PX9" s="201"/>
      <c r="PY9" s="201"/>
      <c r="PZ9" s="201"/>
      <c r="QA9" s="201"/>
      <c r="QB9" s="201"/>
      <c r="QC9" s="201"/>
      <c r="QD9" s="201"/>
      <c r="QE9" s="201"/>
      <c r="QF9" s="201"/>
      <c r="QG9" s="201"/>
      <c r="QH9" s="201"/>
      <c r="QI9" s="201"/>
      <c r="QJ9" s="201"/>
      <c r="QK9" s="201"/>
      <c r="QL9" s="201"/>
      <c r="QM9" s="201"/>
      <c r="QN9" s="201"/>
      <c r="QO9" s="201"/>
      <c r="QP9" s="201"/>
      <c r="QQ9" s="201"/>
      <c r="QR9" s="201"/>
      <c r="QS9" s="201"/>
      <c r="QT9" s="201"/>
      <c r="QU9" s="201"/>
      <c r="QV9" s="201"/>
      <c r="QW9" s="201"/>
      <c r="QX9" s="201"/>
      <c r="QY9" s="201"/>
      <c r="QZ9" s="201"/>
      <c r="RA9" s="201"/>
      <c r="RB9" s="201"/>
      <c r="RC9" s="201"/>
      <c r="RD9" s="201"/>
      <c r="RE9" s="201"/>
      <c r="RF9" s="201"/>
      <c r="RG9" s="201"/>
      <c r="RH9" s="201"/>
      <c r="RI9" s="201"/>
      <c r="RJ9" s="201"/>
      <c r="RK9" s="201"/>
      <c r="RL9" s="201"/>
      <c r="RM9" s="201"/>
      <c r="RN9" s="201"/>
      <c r="RO9" s="201"/>
      <c r="RP9" s="201"/>
      <c r="RQ9" s="201"/>
      <c r="RR9" s="201"/>
      <c r="RS9" s="201"/>
      <c r="RT9" s="201"/>
      <c r="RU9" s="201"/>
      <c r="RV9" s="201"/>
      <c r="RW9" s="201"/>
      <c r="RX9" s="201"/>
      <c r="RY9" s="201"/>
      <c r="RZ9" s="201"/>
      <c r="SA9" s="201"/>
      <c r="SB9" s="201"/>
      <c r="SC9" s="201"/>
      <c r="SD9" s="201"/>
      <c r="SE9" s="201"/>
      <c r="SF9" s="201"/>
      <c r="SG9" s="201"/>
      <c r="SH9" s="201"/>
      <c r="SI9" s="201"/>
      <c r="SJ9" s="201"/>
      <c r="SK9" s="201"/>
      <c r="SL9" s="201"/>
      <c r="SM9" s="201"/>
      <c r="SN9" s="201"/>
      <c r="SO9" s="201"/>
      <c r="SP9" s="201"/>
      <c r="SQ9" s="201"/>
      <c r="SR9" s="201"/>
      <c r="SS9" s="201"/>
      <c r="ST9" s="201"/>
      <c r="SU9" s="201"/>
      <c r="SV9" s="201"/>
      <c r="SW9" s="201"/>
      <c r="SX9" s="201"/>
      <c r="SY9" s="201"/>
      <c r="SZ9" s="201"/>
      <c r="TA9" s="201"/>
      <c r="TB9" s="201"/>
      <c r="TC9" s="201"/>
      <c r="TD9" s="201"/>
      <c r="TE9" s="201"/>
      <c r="TF9" s="201"/>
      <c r="TG9" s="201"/>
      <c r="TH9" s="201"/>
      <c r="TI9" s="201"/>
      <c r="TJ9" s="201"/>
      <c r="TK9" s="201"/>
      <c r="TL9" s="201"/>
      <c r="TM9" s="201"/>
      <c r="TN9" s="201"/>
      <c r="TO9" s="201"/>
      <c r="TP9" s="201"/>
      <c r="TQ9" s="201"/>
      <c r="TR9" s="201"/>
      <c r="TS9" s="201"/>
      <c r="TT9" s="201"/>
      <c r="TU9" s="201"/>
      <c r="TV9" s="201"/>
      <c r="TW9" s="201"/>
      <c r="TX9" s="201"/>
      <c r="TY9" s="201"/>
      <c r="TZ9" s="201"/>
      <c r="UA9" s="201"/>
      <c r="UB9" s="201"/>
      <c r="UC9" s="201"/>
      <c r="UD9" s="201"/>
      <c r="UE9" s="201"/>
      <c r="UF9" s="201"/>
      <c r="UG9" s="201"/>
      <c r="UH9" s="201"/>
      <c r="UI9" s="201"/>
      <c r="UJ9" s="201"/>
      <c r="UK9" s="201"/>
      <c r="UL9" s="201"/>
      <c r="UM9" s="201"/>
      <c r="UN9" s="201"/>
      <c r="UO9" s="201"/>
      <c r="UP9" s="201"/>
      <c r="UQ9" s="201"/>
      <c r="UR9" s="201"/>
      <c r="US9" s="201"/>
      <c r="UT9" s="201"/>
      <c r="UU9" s="201"/>
    </row>
    <row r="10" spans="2:567" x14ac:dyDescent="0.25">
      <c r="B10" s="18" t="s">
        <v>9</v>
      </c>
      <c r="C10" s="18"/>
      <c r="D10" s="18"/>
      <c r="E10" s="18"/>
      <c r="F10" s="19" t="s">
        <v>10</v>
      </c>
      <c r="G10" s="18" t="s">
        <v>11</v>
      </c>
      <c r="H10" s="18"/>
      <c r="I10" s="18"/>
      <c r="J10" s="26"/>
      <c r="K10" s="21" t="s">
        <v>12</v>
      </c>
      <c r="L10" s="240"/>
      <c r="R10" s="257"/>
      <c r="S10" s="242"/>
      <c r="T10" s="242"/>
      <c r="U10" s="242"/>
      <c r="V10" s="242"/>
      <c r="W10" s="242"/>
      <c r="X10" s="242"/>
      <c r="Y10" s="242"/>
      <c r="Z10" s="242"/>
      <c r="AA10" s="242"/>
      <c r="AB10" s="242"/>
      <c r="AC10" s="242"/>
      <c r="AD10" s="242"/>
      <c r="AE10" s="242"/>
      <c r="AF10" s="242"/>
      <c r="AG10" s="242"/>
      <c r="AH10" s="242"/>
      <c r="AI10" s="242"/>
      <c r="AJ10" s="242"/>
      <c r="AK10" s="242"/>
      <c r="AL10" s="242"/>
      <c r="AM10" s="242"/>
      <c r="AN10" s="242"/>
      <c r="AO10" s="242"/>
      <c r="AP10" s="242"/>
      <c r="AQ10" s="242"/>
      <c r="AR10" s="242"/>
      <c r="AS10" s="242"/>
      <c r="AT10" s="242"/>
      <c r="AU10" s="242"/>
      <c r="AV10" s="242"/>
      <c r="AW10" s="242"/>
      <c r="AX10" s="242"/>
      <c r="AY10" s="242"/>
      <c r="AZ10" s="242"/>
      <c r="BA10" s="242"/>
      <c r="BB10" s="242"/>
      <c r="BC10" s="242"/>
      <c r="BD10" s="242"/>
      <c r="BE10" s="242"/>
      <c r="BF10" s="242"/>
      <c r="BG10" s="242"/>
      <c r="BH10" s="242"/>
      <c r="BI10" s="242"/>
      <c r="BJ10" s="242"/>
      <c r="BK10" s="242"/>
      <c r="BL10" s="242"/>
      <c r="BM10" s="242"/>
      <c r="BN10" s="242"/>
      <c r="BO10" s="242"/>
      <c r="BP10" s="242"/>
      <c r="BQ10" s="242"/>
      <c r="BR10" s="242"/>
      <c r="BS10" s="242"/>
      <c r="BT10" s="242"/>
      <c r="BU10" s="242"/>
      <c r="BV10" s="242"/>
      <c r="BW10" s="242"/>
      <c r="BX10" s="242"/>
      <c r="BY10" s="242"/>
      <c r="BZ10" s="242"/>
      <c r="CA10" s="242"/>
      <c r="CB10" s="242"/>
      <c r="CC10" s="242"/>
      <c r="CD10" s="242"/>
      <c r="CE10" s="242"/>
      <c r="CF10" s="242"/>
      <c r="CG10" s="242"/>
      <c r="CH10" s="242"/>
      <c r="CI10" s="242"/>
      <c r="CJ10" s="242"/>
      <c r="CK10" s="242"/>
      <c r="CL10" s="242"/>
      <c r="CM10" s="242"/>
      <c r="CN10" s="242"/>
      <c r="CO10" s="242"/>
      <c r="CP10" s="242"/>
      <c r="CQ10" s="242"/>
      <c r="CR10" s="242"/>
      <c r="CS10" s="242"/>
      <c r="CT10" s="242"/>
      <c r="CU10" s="242"/>
      <c r="CV10" s="242"/>
      <c r="CW10" s="242"/>
      <c r="CX10" s="242"/>
      <c r="CY10" s="242"/>
      <c r="CZ10" s="242"/>
      <c r="DA10" s="242"/>
      <c r="DB10" s="242"/>
      <c r="DC10" s="242"/>
      <c r="DD10" s="242"/>
      <c r="DE10" s="242"/>
      <c r="DF10" s="242"/>
      <c r="DG10" s="242"/>
      <c r="DH10" s="242"/>
      <c r="DI10" s="242"/>
      <c r="DJ10" s="242"/>
      <c r="DK10" s="242"/>
      <c r="DL10" s="242"/>
      <c r="DM10" s="242"/>
      <c r="DN10" s="242"/>
      <c r="DO10" s="242"/>
      <c r="DP10" s="242"/>
      <c r="DQ10" s="242"/>
      <c r="DR10" s="242"/>
      <c r="DS10" s="242"/>
      <c r="DT10" s="242"/>
      <c r="DU10" s="242"/>
      <c r="DV10" s="242"/>
      <c r="DW10" s="242"/>
      <c r="DX10" s="242"/>
      <c r="DY10" s="242"/>
      <c r="DZ10" s="242"/>
      <c r="EA10" s="242"/>
      <c r="EB10" s="242"/>
      <c r="EC10" s="242"/>
      <c r="ED10" s="242"/>
      <c r="EE10" s="242"/>
      <c r="EF10" s="242"/>
      <c r="EG10" s="242"/>
      <c r="EH10" s="242"/>
      <c r="EI10" s="242"/>
      <c r="EJ10" s="242"/>
      <c r="EK10" s="242"/>
      <c r="EL10" s="242"/>
      <c r="EM10" s="242"/>
      <c r="EN10" s="242"/>
      <c r="EO10" s="242"/>
      <c r="EP10" s="242"/>
      <c r="EQ10" s="242"/>
      <c r="ER10" s="242"/>
      <c r="ES10" s="242"/>
      <c r="ET10" s="242"/>
      <c r="EU10" s="242"/>
      <c r="FC10" s="199"/>
      <c r="FD10" s="199"/>
      <c r="FE10" s="199"/>
      <c r="FF10" s="199"/>
      <c r="FG10" s="199"/>
      <c r="FH10" s="199"/>
      <c r="FI10" s="199"/>
      <c r="FJ10" s="199"/>
      <c r="FK10" s="199"/>
      <c r="FL10" s="199"/>
      <c r="FM10" s="199"/>
      <c r="FN10" s="199"/>
      <c r="FO10" s="199"/>
      <c r="FP10" s="199"/>
      <c r="FQ10" s="199"/>
      <c r="FR10" s="199"/>
      <c r="FS10" s="199"/>
      <c r="FT10" s="199"/>
      <c r="FU10" s="199"/>
      <c r="FV10" s="199"/>
      <c r="FW10" s="199"/>
      <c r="FX10" s="199"/>
      <c r="FY10" s="199"/>
      <c r="FZ10" s="199"/>
      <c r="GA10" s="199"/>
      <c r="GB10" s="199"/>
      <c r="GC10" s="199"/>
      <c r="GD10" s="199"/>
      <c r="GE10" s="199"/>
      <c r="GF10" s="199"/>
      <c r="GG10" s="199"/>
      <c r="GH10" s="199"/>
      <c r="GI10" s="199"/>
      <c r="GJ10" s="199"/>
      <c r="GK10" s="199"/>
      <c r="GL10" s="199"/>
      <c r="GM10" s="199"/>
      <c r="GN10" s="199"/>
      <c r="GO10" s="199"/>
      <c r="GP10" s="199"/>
      <c r="GQ10" s="199"/>
      <c r="GR10" s="199"/>
      <c r="GS10" s="199"/>
      <c r="GT10" s="199"/>
      <c r="GU10" s="199"/>
      <c r="GV10" s="199"/>
      <c r="GW10" s="199"/>
      <c r="GX10" s="199"/>
      <c r="GY10" s="199"/>
      <c r="GZ10" s="199"/>
      <c r="HA10" s="199"/>
      <c r="HB10" s="199"/>
      <c r="HC10" s="199"/>
      <c r="HD10" s="199"/>
      <c r="HE10" s="199"/>
      <c r="HF10" s="199"/>
      <c r="HG10" s="199"/>
      <c r="HH10" s="199"/>
      <c r="HI10" s="199"/>
      <c r="HJ10" s="199"/>
      <c r="HK10" s="199"/>
      <c r="HL10" s="199"/>
      <c r="HM10" s="199"/>
      <c r="HN10" s="199"/>
      <c r="HO10" s="199"/>
      <c r="HP10" s="199"/>
      <c r="HQ10" s="199"/>
      <c r="HR10" s="199"/>
      <c r="HS10" s="199"/>
      <c r="HT10" s="199"/>
      <c r="HU10" s="199"/>
      <c r="HV10" s="199"/>
      <c r="HW10" s="199"/>
      <c r="HX10" s="199"/>
      <c r="HY10" s="199"/>
      <c r="HZ10" s="199"/>
      <c r="IA10" s="199"/>
      <c r="IB10" s="199"/>
      <c r="IC10" s="199"/>
      <c r="ID10" s="199"/>
      <c r="IE10" s="199"/>
      <c r="IF10" s="199"/>
      <c r="IG10" s="199"/>
      <c r="IH10" s="199"/>
      <c r="II10" s="199"/>
      <c r="IJ10" s="199"/>
      <c r="IK10" s="199"/>
      <c r="IL10" s="199"/>
      <c r="IM10" s="199"/>
      <c r="IN10" s="199"/>
      <c r="IO10" s="199"/>
      <c r="IP10" s="199"/>
      <c r="IQ10" s="199"/>
      <c r="IR10" s="199"/>
      <c r="IS10" s="199"/>
      <c r="IT10" s="199"/>
      <c r="IU10" s="199"/>
      <c r="IV10" s="199"/>
      <c r="IW10" s="199"/>
      <c r="IX10" s="199"/>
      <c r="IY10" s="199"/>
      <c r="IZ10" s="199"/>
      <c r="JA10" s="199"/>
      <c r="JB10" s="199"/>
      <c r="JC10" s="199"/>
      <c r="JD10" s="199"/>
      <c r="JE10" s="199"/>
      <c r="JF10" s="199"/>
      <c r="JG10" s="199"/>
      <c r="JH10" s="199"/>
      <c r="JI10" s="199"/>
      <c r="JJ10" s="199"/>
      <c r="JK10" s="199"/>
      <c r="JL10" s="199"/>
      <c r="JM10" s="199"/>
      <c r="JN10" s="199"/>
      <c r="JO10" s="199"/>
      <c r="JP10" s="199"/>
      <c r="JQ10" s="199"/>
      <c r="JR10" s="199"/>
      <c r="JS10" s="199"/>
      <c r="JT10" s="199"/>
      <c r="JU10" s="199"/>
      <c r="JV10" s="199"/>
      <c r="JW10" s="199"/>
      <c r="JX10" s="199"/>
      <c r="JY10" s="199"/>
      <c r="JZ10" s="199"/>
      <c r="KA10" s="199"/>
      <c r="KB10" s="199"/>
      <c r="KC10" s="199"/>
      <c r="KD10" s="199"/>
      <c r="KE10" s="199"/>
      <c r="PQ10" s="201"/>
      <c r="PR10" s="201"/>
      <c r="PS10" s="201"/>
      <c r="PT10" s="201"/>
      <c r="PU10" s="201"/>
      <c r="PV10" s="201"/>
      <c r="PW10" s="201"/>
      <c r="PX10" s="201"/>
      <c r="PY10" s="201"/>
      <c r="PZ10" s="201"/>
      <c r="QA10" s="201"/>
      <c r="QB10" s="201"/>
      <c r="QC10" s="201"/>
      <c r="QD10" s="201"/>
      <c r="QE10" s="201"/>
      <c r="QF10" s="201"/>
      <c r="QG10" s="201"/>
      <c r="QH10" s="201"/>
      <c r="QI10" s="201"/>
      <c r="QJ10" s="201"/>
      <c r="QK10" s="201"/>
      <c r="QL10" s="201"/>
      <c r="QM10" s="201"/>
      <c r="QN10" s="201"/>
      <c r="QO10" s="201"/>
      <c r="QP10" s="201"/>
      <c r="QQ10" s="201"/>
      <c r="QR10" s="201"/>
      <c r="QS10" s="201"/>
      <c r="QT10" s="201"/>
      <c r="QU10" s="201"/>
      <c r="QV10" s="201"/>
      <c r="QW10" s="201"/>
      <c r="QX10" s="201"/>
      <c r="QY10" s="201"/>
      <c r="QZ10" s="201"/>
      <c r="RA10" s="201"/>
      <c r="RB10" s="201"/>
      <c r="RC10" s="201"/>
      <c r="RD10" s="201"/>
      <c r="RE10" s="201"/>
      <c r="RF10" s="201"/>
      <c r="RG10" s="201"/>
      <c r="RH10" s="201"/>
      <c r="RI10" s="201"/>
      <c r="RJ10" s="201"/>
      <c r="RK10" s="201"/>
      <c r="RL10" s="201"/>
      <c r="RM10" s="201"/>
      <c r="RN10" s="201"/>
      <c r="RO10" s="201"/>
      <c r="RP10" s="201"/>
      <c r="RQ10" s="201"/>
      <c r="RR10" s="201"/>
      <c r="RS10" s="201"/>
      <c r="RT10" s="201"/>
      <c r="RU10" s="201"/>
      <c r="RV10" s="201"/>
      <c r="RW10" s="201"/>
      <c r="RX10" s="201"/>
      <c r="RY10" s="201"/>
      <c r="RZ10" s="201"/>
      <c r="SA10" s="201"/>
      <c r="SB10" s="201"/>
      <c r="SC10" s="201"/>
      <c r="SD10" s="201"/>
      <c r="SE10" s="201"/>
      <c r="SF10" s="201"/>
      <c r="SG10" s="201"/>
      <c r="SH10" s="201"/>
      <c r="SI10" s="201"/>
      <c r="SJ10" s="201"/>
      <c r="SK10" s="201"/>
      <c r="SL10" s="201"/>
      <c r="SM10" s="201"/>
      <c r="SN10" s="201"/>
      <c r="SO10" s="201"/>
      <c r="SP10" s="201"/>
      <c r="SQ10" s="201"/>
      <c r="SR10" s="201"/>
      <c r="SS10" s="201"/>
      <c r="ST10" s="201"/>
      <c r="SU10" s="201"/>
      <c r="SV10" s="201"/>
      <c r="SW10" s="201"/>
      <c r="SX10" s="201"/>
      <c r="SY10" s="201"/>
      <c r="SZ10" s="201"/>
      <c r="TA10" s="201"/>
      <c r="TB10" s="201"/>
      <c r="TC10" s="201"/>
      <c r="TD10" s="201"/>
      <c r="TE10" s="201"/>
      <c r="TF10" s="201"/>
      <c r="TG10" s="201"/>
      <c r="TH10" s="201"/>
      <c r="TI10" s="201"/>
      <c r="TJ10" s="201"/>
      <c r="TK10" s="201"/>
      <c r="TL10" s="201"/>
      <c r="TM10" s="201"/>
      <c r="TN10" s="201"/>
      <c r="TO10" s="201"/>
      <c r="TP10" s="201"/>
      <c r="TQ10" s="201"/>
      <c r="TR10" s="201"/>
      <c r="TS10" s="201"/>
      <c r="TT10" s="201"/>
      <c r="TU10" s="201"/>
      <c r="TV10" s="201"/>
      <c r="TW10" s="201"/>
      <c r="TX10" s="201"/>
      <c r="TY10" s="201"/>
      <c r="TZ10" s="201"/>
      <c r="UA10" s="201"/>
      <c r="UB10" s="201"/>
      <c r="UC10" s="201"/>
      <c r="UD10" s="201"/>
      <c r="UE10" s="201"/>
      <c r="UF10" s="201"/>
      <c r="UG10" s="201"/>
      <c r="UH10" s="201"/>
      <c r="UI10" s="201"/>
      <c r="UJ10" s="201"/>
      <c r="UK10" s="201"/>
      <c r="UL10" s="201"/>
      <c r="UM10" s="201"/>
      <c r="UN10" s="201"/>
      <c r="UO10" s="201"/>
      <c r="UP10" s="201"/>
      <c r="UQ10" s="201"/>
      <c r="UR10" s="201"/>
      <c r="US10" s="201"/>
      <c r="UT10" s="201"/>
      <c r="UU10" s="201"/>
    </row>
    <row r="11" spans="2:567" x14ac:dyDescent="0.25">
      <c r="B11" s="18" t="str">
        <f>"Land Area ("&amp;Unit_Measure_Land&amp;")"</f>
        <v>Land Area (Acres)</v>
      </c>
      <c r="C11" s="18"/>
      <c r="D11" s="63">
        <f>F11*43560</f>
        <v>196020</v>
      </c>
      <c r="E11" s="18" t="str">
        <f>Unit_Measure</f>
        <v>SF</v>
      </c>
      <c r="F11" s="580">
        <v>4.5</v>
      </c>
      <c r="G11" s="18" t="s">
        <v>15</v>
      </c>
      <c r="H11" s="18"/>
      <c r="I11" s="18"/>
      <c r="J11" s="26"/>
      <c r="K11" s="22">
        <v>1</v>
      </c>
      <c r="L11" s="240"/>
      <c r="R11" s="257"/>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c r="AP11" s="242"/>
      <c r="AQ11" s="242"/>
      <c r="AR11" s="242"/>
      <c r="AS11" s="242"/>
      <c r="AT11" s="242"/>
      <c r="AU11" s="242"/>
      <c r="AV11" s="242"/>
      <c r="AW11" s="242"/>
      <c r="AX11" s="242"/>
      <c r="AY11" s="242"/>
      <c r="AZ11" s="242"/>
      <c r="BA11" s="242"/>
      <c r="BB11" s="242"/>
      <c r="BC11" s="242"/>
      <c r="BD11" s="242"/>
      <c r="BE11" s="242"/>
      <c r="BF11" s="242"/>
      <c r="BG11" s="242"/>
      <c r="BH11" s="242"/>
      <c r="BI11" s="242"/>
      <c r="BJ11" s="242"/>
      <c r="BK11" s="242"/>
      <c r="BL11" s="242"/>
      <c r="BM11" s="242"/>
      <c r="BN11" s="242"/>
      <c r="BO11" s="242"/>
      <c r="BP11" s="242"/>
      <c r="BQ11" s="242"/>
      <c r="BR11" s="242"/>
      <c r="BS11" s="242"/>
      <c r="BT11" s="242"/>
      <c r="BU11" s="242"/>
      <c r="BV11" s="242"/>
      <c r="BW11" s="242"/>
      <c r="BX11" s="242"/>
      <c r="BY11" s="242"/>
      <c r="BZ11" s="242"/>
      <c r="CA11" s="242"/>
      <c r="CB11" s="242"/>
      <c r="CC11" s="242"/>
      <c r="CD11" s="242"/>
      <c r="CE11" s="242"/>
      <c r="CF11" s="242"/>
      <c r="CG11" s="242"/>
      <c r="CH11" s="242"/>
      <c r="CI11" s="242"/>
      <c r="CJ11" s="242"/>
      <c r="CK11" s="242"/>
      <c r="CL11" s="242"/>
      <c r="CM11" s="242"/>
      <c r="CN11" s="242"/>
      <c r="CO11" s="242"/>
      <c r="CP11" s="242"/>
      <c r="CQ11" s="242"/>
      <c r="CR11" s="242"/>
      <c r="CS11" s="242"/>
      <c r="CT11" s="242"/>
      <c r="CU11" s="242"/>
      <c r="CV11" s="242"/>
      <c r="CW11" s="242"/>
      <c r="CX11" s="242"/>
      <c r="CY11" s="242"/>
      <c r="CZ11" s="242"/>
      <c r="DA11" s="242"/>
      <c r="DB11" s="242"/>
      <c r="DC11" s="242"/>
      <c r="DD11" s="242"/>
      <c r="DE11" s="242"/>
      <c r="DF11" s="242"/>
      <c r="DG11" s="242"/>
      <c r="DH11" s="242"/>
      <c r="DI11" s="242"/>
      <c r="DJ11" s="242"/>
      <c r="DK11" s="242"/>
      <c r="DL11" s="242"/>
      <c r="DM11" s="242"/>
      <c r="DN11" s="242"/>
      <c r="DO11" s="242"/>
      <c r="DP11" s="242"/>
      <c r="DQ11" s="242"/>
      <c r="DR11" s="242"/>
      <c r="DS11" s="242"/>
      <c r="DT11" s="242"/>
      <c r="DU11" s="242"/>
      <c r="DV11" s="242"/>
      <c r="DW11" s="242"/>
      <c r="DX11" s="242"/>
      <c r="DY11" s="242"/>
      <c r="DZ11" s="242"/>
      <c r="EA11" s="242"/>
      <c r="EB11" s="242"/>
      <c r="EC11" s="242"/>
      <c r="ED11" s="242"/>
      <c r="EE11" s="242"/>
      <c r="EF11" s="242"/>
      <c r="EG11" s="242"/>
      <c r="EH11" s="242"/>
      <c r="EI11" s="242"/>
      <c r="EJ11" s="242"/>
      <c r="EK11" s="242"/>
      <c r="EL11" s="242"/>
      <c r="EM11" s="242"/>
      <c r="EN11" s="242"/>
      <c r="EO11" s="242"/>
      <c r="EP11" s="242"/>
      <c r="EQ11" s="242"/>
      <c r="ER11" s="242"/>
      <c r="ES11" s="242"/>
      <c r="ET11" s="242"/>
      <c r="EU11" s="242"/>
      <c r="FC11" s="199"/>
      <c r="FD11" s="199"/>
      <c r="FE11" s="199"/>
      <c r="FF11" s="199"/>
      <c r="FG11" s="199"/>
      <c r="FH11" s="199"/>
      <c r="FI11" s="199"/>
      <c r="FJ11" s="199"/>
      <c r="FK11" s="199"/>
      <c r="FL11" s="199"/>
      <c r="FM11" s="199"/>
      <c r="FN11" s="199"/>
      <c r="FO11" s="199"/>
      <c r="FP11" s="199"/>
      <c r="FQ11" s="199"/>
      <c r="FR11" s="199"/>
      <c r="FS11" s="199"/>
      <c r="FT11" s="199"/>
      <c r="FU11" s="199"/>
      <c r="FV11" s="199"/>
      <c r="FW11" s="199"/>
      <c r="FX11" s="199"/>
      <c r="FY11" s="199"/>
      <c r="FZ11" s="199"/>
      <c r="GA11" s="199"/>
      <c r="GB11" s="199"/>
      <c r="GC11" s="199"/>
      <c r="GD11" s="199"/>
      <c r="GE11" s="199"/>
      <c r="GF11" s="199"/>
      <c r="GG11" s="199"/>
      <c r="GH11" s="199"/>
      <c r="GI11" s="199"/>
      <c r="GJ11" s="199"/>
      <c r="GK11" s="199"/>
      <c r="GL11" s="199"/>
      <c r="GM11" s="199"/>
      <c r="GN11" s="199"/>
      <c r="GO11" s="199"/>
      <c r="GP11" s="199"/>
      <c r="GQ11" s="199"/>
      <c r="GR11" s="199"/>
      <c r="GS11" s="199"/>
      <c r="GT11" s="199"/>
      <c r="GU11" s="199"/>
      <c r="GV11" s="199"/>
      <c r="GW11" s="199"/>
      <c r="GX11" s="199"/>
      <c r="GY11" s="199"/>
      <c r="GZ11" s="199"/>
      <c r="HA11" s="199"/>
      <c r="HB11" s="199"/>
      <c r="HC11" s="199"/>
      <c r="HD11" s="199"/>
      <c r="HE11" s="199"/>
      <c r="HF11" s="199"/>
      <c r="HG11" s="199"/>
      <c r="HH11" s="199"/>
      <c r="HI11" s="199"/>
      <c r="HJ11" s="199"/>
      <c r="HK11" s="199"/>
      <c r="HL11" s="199"/>
      <c r="HM11" s="199"/>
      <c r="HN11" s="199"/>
      <c r="HO11" s="199"/>
      <c r="HP11" s="199"/>
      <c r="HQ11" s="199"/>
      <c r="HR11" s="199"/>
      <c r="HS11" s="199"/>
      <c r="HT11" s="199"/>
      <c r="HU11" s="199"/>
      <c r="HV11" s="199"/>
      <c r="HW11" s="199"/>
      <c r="HX11" s="199"/>
      <c r="HY11" s="199"/>
      <c r="HZ11" s="199"/>
      <c r="IA11" s="199"/>
      <c r="IB11" s="199"/>
      <c r="IC11" s="199"/>
      <c r="ID11" s="199"/>
      <c r="IE11" s="199"/>
      <c r="IF11" s="199"/>
      <c r="IG11" s="199"/>
      <c r="IH11" s="199"/>
      <c r="II11" s="199"/>
      <c r="IJ11" s="199"/>
      <c r="IK11" s="199"/>
      <c r="IL11" s="199"/>
      <c r="IM11" s="199"/>
      <c r="IN11" s="199"/>
      <c r="IO11" s="199"/>
      <c r="IP11" s="199"/>
      <c r="IQ11" s="199"/>
      <c r="IR11" s="199"/>
      <c r="IS11" s="199"/>
      <c r="IT11" s="199"/>
      <c r="IU11" s="199"/>
      <c r="IV11" s="199"/>
      <c r="IW11" s="199"/>
      <c r="IX11" s="199"/>
      <c r="IY11" s="199"/>
      <c r="IZ11" s="199"/>
      <c r="JA11" s="199"/>
      <c r="JB11" s="199"/>
      <c r="JC11" s="199"/>
      <c r="JD11" s="199"/>
      <c r="JE11" s="199"/>
      <c r="JF11" s="199"/>
      <c r="JG11" s="199"/>
      <c r="JH11" s="199"/>
      <c r="JI11" s="199"/>
      <c r="JJ11" s="199"/>
      <c r="JK11" s="199"/>
      <c r="JL11" s="199"/>
      <c r="JM11" s="199"/>
      <c r="JN11" s="199"/>
      <c r="JO11" s="199"/>
      <c r="JP11" s="199"/>
      <c r="JQ11" s="199"/>
      <c r="JR11" s="199"/>
      <c r="JS11" s="199"/>
      <c r="JT11" s="199"/>
      <c r="JU11" s="199"/>
      <c r="JV11" s="199"/>
      <c r="JW11" s="199"/>
      <c r="JX11" s="199"/>
      <c r="JY11" s="199"/>
      <c r="JZ11" s="199"/>
      <c r="KA11" s="199"/>
      <c r="KB11" s="199"/>
      <c r="KC11" s="199"/>
      <c r="KD11" s="199"/>
      <c r="KE11" s="199"/>
      <c r="PQ11" s="201"/>
      <c r="PR11" s="201"/>
      <c r="PS11" s="201"/>
      <c r="PT11" s="201"/>
      <c r="PU11" s="201"/>
      <c r="PV11" s="201"/>
      <c r="PW11" s="201"/>
      <c r="PX11" s="201"/>
      <c r="PY11" s="201"/>
      <c r="PZ11" s="201"/>
      <c r="QA11" s="201"/>
      <c r="QB11" s="201"/>
      <c r="QC11" s="201"/>
      <c r="QD11" s="201"/>
      <c r="QE11" s="201"/>
      <c r="QF11" s="201"/>
      <c r="QG11" s="201"/>
      <c r="QH11" s="201"/>
      <c r="QI11" s="201"/>
      <c r="QJ11" s="201"/>
      <c r="QK11" s="201"/>
      <c r="QL11" s="201"/>
      <c r="QM11" s="201"/>
      <c r="QN11" s="201"/>
      <c r="QO11" s="201"/>
      <c r="QP11" s="201"/>
      <c r="QQ11" s="201"/>
      <c r="QR11" s="201"/>
      <c r="QS11" s="201"/>
      <c r="QT11" s="201"/>
      <c r="QU11" s="201"/>
      <c r="QV11" s="201"/>
      <c r="QW11" s="201"/>
      <c r="QX11" s="201"/>
      <c r="QY11" s="201"/>
      <c r="QZ11" s="201"/>
      <c r="RA11" s="201"/>
      <c r="RB11" s="201"/>
      <c r="RC11" s="201"/>
      <c r="RD11" s="201"/>
      <c r="RE11" s="201"/>
      <c r="RF11" s="201"/>
      <c r="RG11" s="201"/>
      <c r="RH11" s="201"/>
      <c r="RI11" s="201"/>
      <c r="RJ11" s="201"/>
      <c r="RK11" s="201"/>
      <c r="RL11" s="201"/>
      <c r="RM11" s="201"/>
      <c r="RN11" s="201"/>
      <c r="RO11" s="201"/>
      <c r="RP11" s="201"/>
      <c r="RQ11" s="201"/>
      <c r="RR11" s="201"/>
      <c r="RS11" s="201"/>
      <c r="RT11" s="201"/>
      <c r="RU11" s="201"/>
      <c r="RV11" s="201"/>
      <c r="RW11" s="201"/>
      <c r="RX11" s="201"/>
      <c r="RY11" s="201"/>
      <c r="RZ11" s="201"/>
      <c r="SA11" s="201"/>
      <c r="SB11" s="201"/>
      <c r="SC11" s="201"/>
      <c r="SD11" s="201"/>
      <c r="SE11" s="201"/>
      <c r="SF11" s="201"/>
      <c r="SG11" s="201"/>
      <c r="SH11" s="201"/>
      <c r="SI11" s="201"/>
      <c r="SJ11" s="201"/>
      <c r="SK11" s="201"/>
      <c r="SL11" s="201"/>
      <c r="SM11" s="201"/>
      <c r="SN11" s="201"/>
      <c r="SO11" s="201"/>
      <c r="SP11" s="201"/>
      <c r="SQ11" s="201"/>
      <c r="SR11" s="201"/>
      <c r="SS11" s="201"/>
      <c r="ST11" s="201"/>
      <c r="SU11" s="201"/>
      <c r="SV11" s="201"/>
      <c r="SW11" s="201"/>
      <c r="SX11" s="201"/>
      <c r="SY11" s="201"/>
      <c r="SZ11" s="201"/>
      <c r="TA11" s="201"/>
      <c r="TB11" s="201"/>
      <c r="TC11" s="201"/>
      <c r="TD11" s="201"/>
      <c r="TE11" s="201"/>
      <c r="TF11" s="201"/>
      <c r="TG11" s="201"/>
      <c r="TH11" s="201"/>
      <c r="TI11" s="201"/>
      <c r="TJ11" s="201"/>
      <c r="TK11" s="201"/>
      <c r="TL11" s="201"/>
      <c r="TM11" s="201"/>
      <c r="TN11" s="201"/>
      <c r="TO11" s="201"/>
      <c r="TP11" s="201"/>
      <c r="TQ11" s="201"/>
      <c r="TR11" s="201"/>
      <c r="TS11" s="201"/>
      <c r="TT11" s="201"/>
      <c r="TU11" s="201"/>
      <c r="TV11" s="201"/>
      <c r="TW11" s="201"/>
      <c r="TX11" s="201"/>
      <c r="TY11" s="201"/>
      <c r="TZ11" s="201"/>
      <c r="UA11" s="201"/>
      <c r="UB11" s="201"/>
      <c r="UC11" s="201"/>
      <c r="UD11" s="201"/>
      <c r="UE11" s="201"/>
      <c r="UF11" s="201"/>
      <c r="UG11" s="201"/>
      <c r="UH11" s="201"/>
      <c r="UI11" s="201"/>
      <c r="UJ11" s="201"/>
      <c r="UK11" s="201"/>
      <c r="UL11" s="201"/>
      <c r="UM11" s="201"/>
      <c r="UN11" s="201"/>
      <c r="UO11" s="201"/>
      <c r="UP11" s="201"/>
      <c r="UQ11" s="201"/>
      <c r="UR11" s="201"/>
      <c r="US11" s="201"/>
      <c r="UT11" s="201"/>
      <c r="UU11" s="201"/>
    </row>
    <row r="12" spans="2:567" x14ac:dyDescent="0.25">
      <c r="B12" s="18" t="s">
        <v>16</v>
      </c>
      <c r="C12" s="23"/>
      <c r="D12" s="23"/>
      <c r="E12" s="18"/>
      <c r="F12" s="24">
        <f>K13/F11</f>
        <v>66.666666666666671</v>
      </c>
      <c r="G12" s="18" t="s">
        <v>17</v>
      </c>
      <c r="H12" s="18"/>
      <c r="I12" s="18"/>
      <c r="J12" s="26"/>
      <c r="K12" s="22">
        <v>4</v>
      </c>
      <c r="L12" s="240"/>
      <c r="R12" s="257"/>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c r="AP12" s="242"/>
      <c r="AQ12" s="242"/>
      <c r="AR12" s="242"/>
      <c r="AS12" s="242"/>
      <c r="AT12" s="242"/>
      <c r="AU12" s="242"/>
      <c r="AV12" s="242"/>
      <c r="AW12" s="242"/>
      <c r="AX12" s="242"/>
      <c r="AY12" s="242"/>
      <c r="AZ12" s="242"/>
      <c r="BA12" s="242"/>
      <c r="BB12" s="242"/>
      <c r="BC12" s="242"/>
      <c r="BD12" s="242"/>
      <c r="BE12" s="242"/>
      <c r="BF12" s="242"/>
      <c r="BG12" s="242"/>
      <c r="BH12" s="242"/>
      <c r="BI12" s="242"/>
      <c r="BJ12" s="242"/>
      <c r="BK12" s="242"/>
      <c r="BL12" s="242"/>
      <c r="BM12" s="242"/>
      <c r="BN12" s="242"/>
      <c r="BO12" s="242"/>
      <c r="BP12" s="242"/>
      <c r="BQ12" s="242"/>
      <c r="BR12" s="242"/>
      <c r="BS12" s="242"/>
      <c r="BT12" s="242"/>
      <c r="BU12" s="242"/>
      <c r="BV12" s="242"/>
      <c r="BW12" s="242"/>
      <c r="BX12" s="242"/>
      <c r="BY12" s="242"/>
      <c r="BZ12" s="242"/>
      <c r="CA12" s="242"/>
      <c r="CB12" s="242"/>
      <c r="CC12" s="242"/>
      <c r="CD12" s="242"/>
      <c r="CE12" s="242"/>
      <c r="CF12" s="242"/>
      <c r="CG12" s="242"/>
      <c r="CH12" s="242"/>
      <c r="CI12" s="242"/>
      <c r="CJ12" s="242"/>
      <c r="CK12" s="242"/>
      <c r="CL12" s="242"/>
      <c r="CM12" s="242"/>
      <c r="CN12" s="242"/>
      <c r="CO12" s="242"/>
      <c r="CP12" s="242"/>
      <c r="CQ12" s="242"/>
      <c r="CR12" s="242"/>
      <c r="CS12" s="242"/>
      <c r="CT12" s="242"/>
      <c r="CU12" s="242"/>
      <c r="CV12" s="242"/>
      <c r="CW12" s="242"/>
      <c r="CX12" s="242"/>
      <c r="CY12" s="242"/>
      <c r="CZ12" s="242"/>
      <c r="DA12" s="242"/>
      <c r="DB12" s="242"/>
      <c r="DC12" s="242"/>
      <c r="DD12" s="242"/>
      <c r="DE12" s="242"/>
      <c r="DF12" s="242"/>
      <c r="DG12" s="242"/>
      <c r="DH12" s="242"/>
      <c r="DI12" s="242"/>
      <c r="DJ12" s="242"/>
      <c r="DK12" s="242"/>
      <c r="DL12" s="242"/>
      <c r="DM12" s="242"/>
      <c r="DN12" s="242"/>
      <c r="DO12" s="242"/>
      <c r="DP12" s="242"/>
      <c r="DQ12" s="242"/>
      <c r="DR12" s="242"/>
      <c r="DS12" s="242"/>
      <c r="DT12" s="242"/>
      <c r="DU12" s="242"/>
      <c r="DV12" s="242"/>
      <c r="DW12" s="242"/>
      <c r="DX12" s="242"/>
      <c r="DY12" s="242"/>
      <c r="DZ12" s="242"/>
      <c r="EA12" s="242"/>
      <c r="EB12" s="242"/>
      <c r="EC12" s="242"/>
      <c r="ED12" s="242"/>
      <c r="EE12" s="242"/>
      <c r="EF12" s="242"/>
      <c r="EG12" s="242"/>
      <c r="EH12" s="242"/>
      <c r="EI12" s="242"/>
      <c r="EJ12" s="242"/>
      <c r="EK12" s="242"/>
      <c r="EL12" s="242"/>
      <c r="EM12" s="242"/>
      <c r="EN12" s="242"/>
      <c r="EO12" s="242"/>
      <c r="EP12" s="242"/>
      <c r="EQ12" s="242"/>
      <c r="ER12" s="242"/>
      <c r="ES12" s="242"/>
      <c r="ET12" s="242"/>
      <c r="EU12" s="242"/>
      <c r="FC12" s="199"/>
      <c r="FD12" s="199"/>
      <c r="FE12" s="199"/>
      <c r="FF12" s="199"/>
      <c r="FG12" s="199"/>
      <c r="FH12" s="199"/>
      <c r="FI12" s="199"/>
      <c r="FJ12" s="199"/>
      <c r="FK12" s="199"/>
      <c r="FL12" s="199"/>
      <c r="FM12" s="199"/>
      <c r="FN12" s="199"/>
      <c r="FO12" s="199"/>
      <c r="FP12" s="199"/>
      <c r="FQ12" s="199"/>
      <c r="FR12" s="199"/>
      <c r="FS12" s="199"/>
      <c r="FT12" s="199"/>
      <c r="FU12" s="199"/>
      <c r="FV12" s="199"/>
      <c r="FW12" s="199"/>
      <c r="FX12" s="199"/>
      <c r="FY12" s="199"/>
      <c r="FZ12" s="199"/>
      <c r="GA12" s="199"/>
      <c r="GB12" s="199"/>
      <c r="GC12" s="199"/>
      <c r="GD12" s="199"/>
      <c r="GE12" s="199"/>
      <c r="GF12" s="199"/>
      <c r="GG12" s="199"/>
      <c r="GH12" s="199"/>
      <c r="GI12" s="199"/>
      <c r="GJ12" s="199"/>
      <c r="GK12" s="199"/>
      <c r="GL12" s="199"/>
      <c r="GM12" s="199"/>
      <c r="GN12" s="199"/>
      <c r="GO12" s="199"/>
      <c r="GP12" s="199"/>
      <c r="GQ12" s="199"/>
      <c r="GR12" s="199"/>
      <c r="GS12" s="199"/>
      <c r="GT12" s="199"/>
      <c r="GU12" s="199"/>
      <c r="GV12" s="199"/>
      <c r="GW12" s="199"/>
      <c r="GX12" s="199"/>
      <c r="GY12" s="199"/>
      <c r="GZ12" s="199"/>
      <c r="HA12" s="199"/>
      <c r="HB12" s="199"/>
      <c r="HC12" s="199"/>
      <c r="HD12" s="199"/>
      <c r="HE12" s="199"/>
      <c r="HF12" s="199"/>
      <c r="HG12" s="199"/>
      <c r="HH12" s="199"/>
      <c r="HI12" s="199"/>
      <c r="HJ12" s="199"/>
      <c r="HK12" s="199"/>
      <c r="HL12" s="199"/>
      <c r="HM12" s="199"/>
      <c r="HN12" s="199"/>
      <c r="HO12" s="199"/>
      <c r="HP12" s="199"/>
      <c r="HQ12" s="199"/>
      <c r="HR12" s="199"/>
      <c r="HS12" s="199"/>
      <c r="HT12" s="199"/>
      <c r="HU12" s="199"/>
      <c r="HV12" s="199"/>
      <c r="HW12" s="199"/>
      <c r="HX12" s="199"/>
      <c r="HY12" s="199"/>
      <c r="HZ12" s="199"/>
      <c r="IA12" s="199"/>
      <c r="IB12" s="199"/>
      <c r="IC12" s="199"/>
      <c r="ID12" s="199"/>
      <c r="IE12" s="199"/>
      <c r="IF12" s="199"/>
      <c r="IG12" s="199"/>
      <c r="IH12" s="199"/>
      <c r="II12" s="199"/>
      <c r="IJ12" s="199"/>
      <c r="IK12" s="199"/>
      <c r="IL12" s="199"/>
      <c r="IM12" s="199"/>
      <c r="IN12" s="199"/>
      <c r="IO12" s="199"/>
      <c r="IP12" s="199"/>
      <c r="IQ12" s="199"/>
      <c r="IR12" s="199"/>
      <c r="IS12" s="199"/>
      <c r="IT12" s="199"/>
      <c r="IU12" s="199"/>
      <c r="IV12" s="199"/>
      <c r="IW12" s="199"/>
      <c r="IX12" s="199"/>
      <c r="IY12" s="199"/>
      <c r="IZ12" s="199"/>
      <c r="JA12" s="199"/>
      <c r="JB12" s="199"/>
      <c r="JC12" s="199"/>
      <c r="JD12" s="199"/>
      <c r="JE12" s="199"/>
      <c r="JF12" s="199"/>
      <c r="JG12" s="199"/>
      <c r="JH12" s="199"/>
      <c r="JI12" s="199"/>
      <c r="JJ12" s="199"/>
      <c r="JK12" s="199"/>
      <c r="JL12" s="199"/>
      <c r="JM12" s="199"/>
      <c r="JN12" s="199"/>
      <c r="JO12" s="199"/>
      <c r="JP12" s="199"/>
      <c r="JQ12" s="199"/>
      <c r="JR12" s="199"/>
      <c r="JS12" s="199"/>
      <c r="JT12" s="199"/>
      <c r="JU12" s="199"/>
      <c r="JV12" s="199"/>
      <c r="JW12" s="199"/>
      <c r="JX12" s="199"/>
      <c r="JY12" s="199"/>
      <c r="JZ12" s="199"/>
      <c r="KA12" s="199"/>
      <c r="KB12" s="199"/>
      <c r="KC12" s="199"/>
      <c r="KD12" s="199"/>
      <c r="KE12" s="199"/>
      <c r="PQ12" s="201"/>
      <c r="PR12" s="201"/>
      <c r="PS12" s="201"/>
      <c r="PT12" s="201"/>
      <c r="PU12" s="201"/>
      <c r="PV12" s="201"/>
      <c r="PW12" s="201"/>
      <c r="PX12" s="201"/>
      <c r="PY12" s="201"/>
      <c r="PZ12" s="201"/>
      <c r="QA12" s="201"/>
      <c r="QB12" s="201"/>
      <c r="QC12" s="201"/>
      <c r="QD12" s="201"/>
      <c r="QE12" s="201"/>
      <c r="QF12" s="201"/>
      <c r="QG12" s="201"/>
      <c r="QH12" s="201"/>
      <c r="QI12" s="201"/>
      <c r="QJ12" s="201"/>
      <c r="QK12" s="201"/>
      <c r="QL12" s="201"/>
      <c r="QM12" s="201"/>
      <c r="QN12" s="201"/>
      <c r="QO12" s="201"/>
      <c r="QP12" s="201"/>
      <c r="QQ12" s="201"/>
      <c r="QR12" s="201"/>
      <c r="QS12" s="201"/>
      <c r="QT12" s="201"/>
      <c r="QU12" s="201"/>
      <c r="QV12" s="201"/>
      <c r="QW12" s="201"/>
      <c r="QX12" s="201"/>
      <c r="QY12" s="201"/>
      <c r="QZ12" s="201"/>
      <c r="RA12" s="201"/>
      <c r="RB12" s="201"/>
      <c r="RC12" s="201"/>
      <c r="RD12" s="201"/>
      <c r="RE12" s="201"/>
      <c r="RF12" s="201"/>
      <c r="RG12" s="201"/>
      <c r="RH12" s="201"/>
      <c r="RI12" s="201"/>
      <c r="RJ12" s="201"/>
      <c r="RK12" s="201"/>
      <c r="RL12" s="201"/>
      <c r="RM12" s="201"/>
      <c r="RN12" s="201"/>
      <c r="RO12" s="201"/>
      <c r="RP12" s="201"/>
      <c r="RQ12" s="201"/>
      <c r="RR12" s="201"/>
      <c r="RS12" s="201"/>
      <c r="RT12" s="201"/>
      <c r="RU12" s="201"/>
      <c r="RV12" s="201"/>
      <c r="RW12" s="201"/>
      <c r="RX12" s="201"/>
      <c r="RY12" s="201"/>
      <c r="RZ12" s="201"/>
      <c r="SA12" s="201"/>
      <c r="SB12" s="201"/>
      <c r="SC12" s="201"/>
      <c r="SD12" s="201"/>
      <c r="SE12" s="201"/>
      <c r="SF12" s="201"/>
      <c r="SG12" s="201"/>
      <c r="SH12" s="201"/>
      <c r="SI12" s="201"/>
      <c r="SJ12" s="201"/>
      <c r="SK12" s="201"/>
      <c r="SL12" s="201"/>
      <c r="SM12" s="201"/>
      <c r="SN12" s="201"/>
      <c r="SO12" s="201"/>
      <c r="SP12" s="201"/>
      <c r="SQ12" s="201"/>
      <c r="SR12" s="201"/>
      <c r="SS12" s="201"/>
      <c r="ST12" s="201"/>
      <c r="SU12" s="201"/>
      <c r="SV12" s="201"/>
      <c r="SW12" s="201"/>
      <c r="SX12" s="201"/>
      <c r="SY12" s="201"/>
      <c r="SZ12" s="201"/>
      <c r="TA12" s="201"/>
      <c r="TB12" s="201"/>
      <c r="TC12" s="201"/>
      <c r="TD12" s="201"/>
      <c r="TE12" s="201"/>
      <c r="TF12" s="201"/>
      <c r="TG12" s="201"/>
      <c r="TH12" s="201"/>
      <c r="TI12" s="201"/>
      <c r="TJ12" s="201"/>
      <c r="TK12" s="201"/>
      <c r="TL12" s="201"/>
      <c r="TM12" s="201"/>
      <c r="TN12" s="201"/>
      <c r="TO12" s="201"/>
      <c r="TP12" s="201"/>
      <c r="TQ12" s="201"/>
      <c r="TR12" s="201"/>
      <c r="TS12" s="201"/>
      <c r="TT12" s="201"/>
      <c r="TU12" s="201"/>
      <c r="TV12" s="201"/>
      <c r="TW12" s="201"/>
      <c r="TX12" s="201"/>
      <c r="TY12" s="201"/>
      <c r="TZ12" s="201"/>
      <c r="UA12" s="201"/>
      <c r="UB12" s="201"/>
      <c r="UC12" s="201"/>
      <c r="UD12" s="201"/>
      <c r="UE12" s="201"/>
      <c r="UF12" s="201"/>
      <c r="UG12" s="201"/>
      <c r="UH12" s="201"/>
      <c r="UI12" s="201"/>
      <c r="UJ12" s="201"/>
      <c r="UK12" s="201"/>
      <c r="UL12" s="201"/>
      <c r="UM12" s="201"/>
      <c r="UN12" s="201"/>
      <c r="UO12" s="201"/>
      <c r="UP12" s="201"/>
      <c r="UQ12" s="201"/>
      <c r="UR12" s="201"/>
      <c r="US12" s="201"/>
      <c r="UT12" s="201"/>
      <c r="UU12" s="201"/>
    </row>
    <row r="13" spans="2:567" x14ac:dyDescent="0.25">
      <c r="B13" s="18" t="s">
        <v>18</v>
      </c>
      <c r="C13" s="18"/>
      <c r="D13" s="18"/>
      <c r="E13" s="18"/>
      <c r="F13" s="25">
        <f>F14/D11</f>
        <v>1.6372717069686766</v>
      </c>
      <c r="G13" s="18" t="str">
        <f>Unit_Type_Plural</f>
        <v>Units</v>
      </c>
      <c r="H13" s="18"/>
      <c r="I13" s="18"/>
      <c r="J13" s="26"/>
      <c r="K13" s="27">
        <f>C120</f>
        <v>300</v>
      </c>
      <c r="L13" s="240"/>
      <c r="R13" s="257"/>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42"/>
      <c r="BH13" s="242"/>
      <c r="BI13" s="242"/>
      <c r="BJ13" s="242"/>
      <c r="BK13" s="242"/>
      <c r="BL13" s="242"/>
      <c r="BM13" s="242"/>
      <c r="BN13" s="242"/>
      <c r="BO13" s="242"/>
      <c r="BP13" s="242"/>
      <c r="BQ13" s="242"/>
      <c r="BR13" s="242"/>
      <c r="BS13" s="242"/>
      <c r="BT13" s="242"/>
      <c r="BU13" s="242"/>
      <c r="BV13" s="242"/>
      <c r="BW13" s="242"/>
      <c r="BX13" s="242"/>
      <c r="BY13" s="242"/>
      <c r="BZ13" s="242"/>
      <c r="CA13" s="242"/>
      <c r="CB13" s="242"/>
      <c r="CC13" s="242"/>
      <c r="CD13" s="242"/>
      <c r="CE13" s="242"/>
      <c r="CF13" s="242"/>
      <c r="CG13" s="242"/>
      <c r="CH13" s="242"/>
      <c r="CI13" s="242"/>
      <c r="CJ13" s="242"/>
      <c r="CK13" s="242"/>
      <c r="CL13" s="242"/>
      <c r="CM13" s="242"/>
      <c r="CN13" s="242"/>
      <c r="CO13" s="242"/>
      <c r="CP13" s="242"/>
      <c r="CQ13" s="242"/>
      <c r="CR13" s="242"/>
      <c r="CS13" s="242"/>
      <c r="CT13" s="242"/>
      <c r="CU13" s="242"/>
      <c r="CV13" s="242"/>
      <c r="CW13" s="242"/>
      <c r="CX13" s="242"/>
      <c r="CY13" s="242"/>
      <c r="CZ13" s="242"/>
      <c r="DA13" s="242"/>
      <c r="DB13" s="242"/>
      <c r="DC13" s="242"/>
      <c r="DD13" s="242"/>
      <c r="DE13" s="242"/>
      <c r="DF13" s="242"/>
      <c r="DG13" s="242"/>
      <c r="DH13" s="242"/>
      <c r="DI13" s="242"/>
      <c r="DJ13" s="242"/>
      <c r="DK13" s="242"/>
      <c r="DL13" s="242"/>
      <c r="DM13" s="242"/>
      <c r="DN13" s="242"/>
      <c r="DO13" s="242"/>
      <c r="DP13" s="242"/>
      <c r="DQ13" s="242"/>
      <c r="DR13" s="242"/>
      <c r="DS13" s="242"/>
      <c r="DT13" s="242"/>
      <c r="DU13" s="242"/>
      <c r="DV13" s="242"/>
      <c r="DW13" s="242"/>
      <c r="DX13" s="242"/>
      <c r="DY13" s="242"/>
      <c r="DZ13" s="242"/>
      <c r="EA13" s="242"/>
      <c r="EB13" s="242"/>
      <c r="EC13" s="242"/>
      <c r="ED13" s="242"/>
      <c r="EE13" s="242"/>
      <c r="EF13" s="242"/>
      <c r="EG13" s="242"/>
      <c r="EH13" s="242"/>
      <c r="EI13" s="242"/>
      <c r="EJ13" s="242"/>
      <c r="EK13" s="242"/>
      <c r="EL13" s="242"/>
      <c r="EM13" s="242"/>
      <c r="EN13" s="242"/>
      <c r="EO13" s="242"/>
      <c r="EP13" s="242"/>
      <c r="EQ13" s="242"/>
      <c r="ER13" s="242"/>
      <c r="ES13" s="242"/>
      <c r="ET13" s="242"/>
      <c r="EU13" s="242"/>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199"/>
      <c r="GD13" s="199"/>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199"/>
      <c r="IL13" s="199"/>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PQ13" s="201"/>
      <c r="PR13" s="201"/>
      <c r="PS13" s="201"/>
      <c r="PT13" s="201"/>
      <c r="PU13" s="201"/>
      <c r="PV13" s="201"/>
      <c r="PW13" s="201"/>
      <c r="PX13" s="201"/>
      <c r="PY13" s="201"/>
      <c r="PZ13" s="201"/>
      <c r="QA13" s="201"/>
      <c r="QB13" s="201"/>
      <c r="QC13" s="201"/>
      <c r="QD13" s="201"/>
      <c r="QE13" s="201"/>
      <c r="QF13" s="201"/>
      <c r="QG13" s="201"/>
      <c r="QH13" s="201"/>
      <c r="QI13" s="201"/>
      <c r="QJ13" s="201"/>
      <c r="QK13" s="201"/>
      <c r="QL13" s="201"/>
      <c r="QM13" s="201"/>
      <c r="QN13" s="201"/>
      <c r="QO13" s="201"/>
      <c r="QP13" s="201"/>
      <c r="QQ13" s="201"/>
      <c r="QR13" s="201"/>
      <c r="QS13" s="201"/>
      <c r="QT13" s="201"/>
      <c r="QU13" s="201"/>
      <c r="QV13" s="201"/>
      <c r="QW13" s="201"/>
      <c r="QX13" s="201"/>
      <c r="QY13" s="201"/>
      <c r="QZ13" s="201"/>
      <c r="RA13" s="201"/>
      <c r="RB13" s="201"/>
      <c r="RC13" s="201"/>
      <c r="RD13" s="201"/>
      <c r="RE13" s="201"/>
      <c r="RF13" s="201"/>
      <c r="RG13" s="201"/>
      <c r="RH13" s="201"/>
      <c r="RI13" s="201"/>
      <c r="RJ13" s="201"/>
      <c r="RK13" s="201"/>
      <c r="RL13" s="201"/>
      <c r="RM13" s="201"/>
      <c r="RN13" s="201"/>
      <c r="RO13" s="201"/>
      <c r="RP13" s="201"/>
      <c r="RQ13" s="201"/>
      <c r="RR13" s="201"/>
      <c r="RS13" s="201"/>
      <c r="RT13" s="201"/>
      <c r="RU13" s="201"/>
      <c r="RV13" s="201"/>
      <c r="RW13" s="201"/>
      <c r="RX13" s="201"/>
      <c r="RY13" s="201"/>
      <c r="RZ13" s="201"/>
      <c r="SA13" s="201"/>
      <c r="SB13" s="201"/>
      <c r="SC13" s="201"/>
      <c r="SD13" s="201"/>
      <c r="SE13" s="201"/>
      <c r="SF13" s="201"/>
      <c r="SG13" s="201"/>
      <c r="SH13" s="201"/>
      <c r="SI13" s="201"/>
      <c r="SJ13" s="201"/>
      <c r="SK13" s="201"/>
      <c r="SL13" s="201"/>
      <c r="SM13" s="201"/>
      <c r="SN13" s="201"/>
      <c r="SO13" s="201"/>
      <c r="SP13" s="201"/>
      <c r="SQ13" s="201"/>
      <c r="SR13" s="201"/>
      <c r="SS13" s="201"/>
      <c r="ST13" s="201"/>
      <c r="SU13" s="201"/>
      <c r="SV13" s="201"/>
      <c r="SW13" s="201"/>
      <c r="SX13" s="201"/>
      <c r="SY13" s="201"/>
      <c r="SZ13" s="201"/>
      <c r="TA13" s="201"/>
      <c r="TB13" s="201"/>
      <c r="TC13" s="201"/>
      <c r="TD13" s="201"/>
      <c r="TE13" s="201"/>
      <c r="TF13" s="201"/>
      <c r="TG13" s="201"/>
      <c r="TH13" s="201"/>
      <c r="TI13" s="201"/>
      <c r="TJ13" s="201"/>
      <c r="TK13" s="201"/>
      <c r="TL13" s="201"/>
      <c r="TM13" s="201"/>
      <c r="TN13" s="201"/>
      <c r="TO13" s="201"/>
      <c r="TP13" s="201"/>
      <c r="TQ13" s="201"/>
      <c r="TR13" s="201"/>
      <c r="TS13" s="201"/>
      <c r="TT13" s="201"/>
      <c r="TU13" s="201"/>
      <c r="TV13" s="201"/>
      <c r="TW13" s="201"/>
      <c r="TX13" s="201"/>
      <c r="TY13" s="201"/>
      <c r="TZ13" s="201"/>
      <c r="UA13" s="201"/>
      <c r="UB13" s="201"/>
      <c r="UC13" s="201"/>
      <c r="UD13" s="201"/>
      <c r="UE13" s="201"/>
      <c r="UF13" s="201"/>
      <c r="UG13" s="201"/>
      <c r="UH13" s="201"/>
      <c r="UI13" s="201"/>
      <c r="UJ13" s="201"/>
      <c r="UK13" s="201"/>
      <c r="UL13" s="201"/>
      <c r="UM13" s="201"/>
      <c r="UN13" s="201"/>
      <c r="UO13" s="201"/>
      <c r="UP13" s="201"/>
      <c r="UQ13" s="201"/>
      <c r="UR13" s="201"/>
      <c r="US13" s="201"/>
      <c r="UT13" s="201"/>
      <c r="UU13" s="201"/>
    </row>
    <row r="14" spans="2:567" x14ac:dyDescent="0.25">
      <c r="B14" s="18" t="str">
        <f>"Gross Buildable Area (GBA) ("&amp;Unit_Measure&amp;")"</f>
        <v>Gross Buildable Area (GBA) (SF)</v>
      </c>
      <c r="C14" s="18"/>
      <c r="D14" s="18"/>
      <c r="E14" s="18"/>
      <c r="F14" s="60">
        <v>320938</v>
      </c>
      <c r="G14" s="18" t="str">
        <f>"Net Rentable Area ("&amp;Unit_Measure&amp;")"</f>
        <v>Net Rentable Area (SF)</v>
      </c>
      <c r="H14" s="18"/>
      <c r="I14" s="18"/>
      <c r="J14" s="26" t="str">
        <f>TEXT(Units_SF/F14,"0.0%")&amp;" of GBA"</f>
        <v>78.5% of GBA</v>
      </c>
      <c r="K14" s="27">
        <f>C120*D120</f>
        <v>252000</v>
      </c>
      <c r="L14" s="240"/>
      <c r="R14" s="257"/>
      <c r="S14" s="242"/>
      <c r="T14" s="242"/>
      <c r="U14" s="242"/>
      <c r="V14" s="242"/>
      <c r="W14" s="242"/>
      <c r="X14" s="242"/>
      <c r="Y14" s="242"/>
      <c r="Z14" s="242"/>
      <c r="AA14" s="242"/>
      <c r="AB14" s="242"/>
      <c r="AC14" s="242"/>
      <c r="AD14" s="242"/>
      <c r="AE14" s="242"/>
      <c r="AF14" s="242"/>
      <c r="AG14" s="242"/>
      <c r="AH14" s="242"/>
      <c r="AI14" s="242"/>
      <c r="AJ14" s="242"/>
      <c r="AK14" s="242"/>
      <c r="AL14" s="242"/>
      <c r="AM14" s="242"/>
      <c r="AN14" s="242"/>
      <c r="AO14" s="242"/>
      <c r="AP14" s="242"/>
      <c r="AQ14" s="242"/>
      <c r="AR14" s="242"/>
      <c r="AS14" s="242"/>
      <c r="AT14" s="242"/>
      <c r="AU14" s="242"/>
      <c r="AV14" s="242"/>
      <c r="AW14" s="242"/>
      <c r="AX14" s="242"/>
      <c r="AY14" s="242"/>
      <c r="AZ14" s="242"/>
      <c r="BA14" s="242"/>
      <c r="BB14" s="242"/>
      <c r="BC14" s="242"/>
      <c r="BD14" s="242"/>
      <c r="BE14" s="242"/>
      <c r="BF14" s="242"/>
      <c r="BG14" s="242"/>
      <c r="BH14" s="242"/>
      <c r="BI14" s="242"/>
      <c r="BJ14" s="242"/>
      <c r="BK14" s="242"/>
      <c r="BL14" s="242"/>
      <c r="BM14" s="242"/>
      <c r="BN14" s="242"/>
      <c r="BO14" s="242"/>
      <c r="BP14" s="242"/>
      <c r="BQ14" s="242"/>
      <c r="BR14" s="242"/>
      <c r="BS14" s="242"/>
      <c r="BT14" s="242"/>
      <c r="BU14" s="242"/>
      <c r="BV14" s="242"/>
      <c r="BW14" s="242"/>
      <c r="BX14" s="242"/>
      <c r="BY14" s="242"/>
      <c r="BZ14" s="242"/>
      <c r="CA14" s="242"/>
      <c r="CB14" s="242"/>
      <c r="CC14" s="242"/>
      <c r="CD14" s="242"/>
      <c r="CE14" s="242"/>
      <c r="CF14" s="242"/>
      <c r="CG14" s="242"/>
      <c r="CH14" s="242"/>
      <c r="CI14" s="242"/>
      <c r="CJ14" s="242"/>
      <c r="CK14" s="242"/>
      <c r="CL14" s="242"/>
      <c r="CM14" s="242"/>
      <c r="CN14" s="242"/>
      <c r="CO14" s="242"/>
      <c r="CP14" s="242"/>
      <c r="CQ14" s="242"/>
      <c r="CR14" s="242"/>
      <c r="CS14" s="242"/>
      <c r="CT14" s="242"/>
      <c r="CU14" s="242"/>
      <c r="CV14" s="242"/>
      <c r="CW14" s="242"/>
      <c r="CX14" s="242"/>
      <c r="CY14" s="242"/>
      <c r="CZ14" s="242"/>
      <c r="DA14" s="242"/>
      <c r="DB14" s="242"/>
      <c r="DC14" s="242"/>
      <c r="DD14" s="242"/>
      <c r="DE14" s="242"/>
      <c r="DF14" s="242"/>
      <c r="DG14" s="242"/>
      <c r="DH14" s="242"/>
      <c r="DI14" s="242"/>
      <c r="DJ14" s="242"/>
      <c r="DK14" s="242"/>
      <c r="DL14" s="242"/>
      <c r="DM14" s="242"/>
      <c r="DN14" s="242"/>
      <c r="DO14" s="242"/>
      <c r="DP14" s="242"/>
      <c r="DQ14" s="242"/>
      <c r="DR14" s="242"/>
      <c r="DS14" s="242"/>
      <c r="DT14" s="242"/>
      <c r="DU14" s="242"/>
      <c r="DV14" s="242"/>
      <c r="DW14" s="242"/>
      <c r="DX14" s="242"/>
      <c r="DY14" s="242"/>
      <c r="DZ14" s="242"/>
      <c r="EA14" s="242"/>
      <c r="EB14" s="242"/>
      <c r="EC14" s="242"/>
      <c r="ED14" s="242"/>
      <c r="EE14" s="242"/>
      <c r="EF14" s="242"/>
      <c r="EG14" s="242"/>
      <c r="EH14" s="242"/>
      <c r="EI14" s="242"/>
      <c r="EJ14" s="242"/>
      <c r="EK14" s="242"/>
      <c r="EL14" s="242"/>
      <c r="EM14" s="242"/>
      <c r="EN14" s="242"/>
      <c r="EO14" s="242"/>
      <c r="EP14" s="242"/>
      <c r="EQ14" s="242"/>
      <c r="ER14" s="242"/>
      <c r="ES14" s="242"/>
      <c r="ET14" s="242"/>
      <c r="EU14" s="242"/>
      <c r="FC14" s="199"/>
      <c r="FD14" s="199"/>
      <c r="FE14" s="199"/>
      <c r="FF14" s="199"/>
      <c r="FG14" s="199"/>
      <c r="FH14" s="199"/>
      <c r="FI14" s="199"/>
      <c r="FJ14" s="199"/>
      <c r="FK14" s="199"/>
      <c r="FL14" s="199"/>
      <c r="FM14" s="199"/>
      <c r="FN14" s="199"/>
      <c r="FO14" s="199"/>
      <c r="FP14" s="199"/>
      <c r="FQ14" s="199"/>
      <c r="FR14" s="199"/>
      <c r="FS14" s="199"/>
      <c r="FT14" s="199"/>
      <c r="FU14" s="199"/>
      <c r="FV14" s="199"/>
      <c r="FW14" s="199"/>
      <c r="FX14" s="199"/>
      <c r="FY14" s="199"/>
      <c r="FZ14" s="199"/>
      <c r="GA14" s="199"/>
      <c r="GB14" s="199"/>
      <c r="GC14" s="199"/>
      <c r="GD14" s="199"/>
      <c r="GE14" s="199"/>
      <c r="GF14" s="199"/>
      <c r="GG14" s="199"/>
      <c r="GH14" s="199"/>
      <c r="GI14" s="199"/>
      <c r="GJ14" s="199"/>
      <c r="GK14" s="199"/>
      <c r="GL14" s="199"/>
      <c r="GM14" s="199"/>
      <c r="GN14" s="199"/>
      <c r="GO14" s="199"/>
      <c r="GP14" s="199"/>
      <c r="GQ14" s="199"/>
      <c r="GR14" s="199"/>
      <c r="GS14" s="199"/>
      <c r="GT14" s="199"/>
      <c r="GU14" s="199"/>
      <c r="GV14" s="199"/>
      <c r="GW14" s="199"/>
      <c r="GX14" s="199"/>
      <c r="GY14" s="199"/>
      <c r="GZ14" s="199"/>
      <c r="HA14" s="199"/>
      <c r="HB14" s="199"/>
      <c r="HC14" s="199"/>
      <c r="HD14" s="199"/>
      <c r="HE14" s="199"/>
      <c r="HF14" s="199"/>
      <c r="HG14" s="199"/>
      <c r="HH14" s="199"/>
      <c r="HI14" s="199"/>
      <c r="HJ14" s="199"/>
      <c r="HK14" s="199"/>
      <c r="HL14" s="199"/>
      <c r="HM14" s="199"/>
      <c r="HN14" s="199"/>
      <c r="HO14" s="199"/>
      <c r="HP14" s="199"/>
      <c r="HQ14" s="199"/>
      <c r="HR14" s="199"/>
      <c r="HS14" s="199"/>
      <c r="HT14" s="199"/>
      <c r="HU14" s="199"/>
      <c r="HV14" s="199"/>
      <c r="HW14" s="199"/>
      <c r="HX14" s="199"/>
      <c r="HY14" s="199"/>
      <c r="HZ14" s="199"/>
      <c r="IA14" s="199"/>
      <c r="IB14" s="199"/>
      <c r="IC14" s="199"/>
      <c r="ID14" s="199"/>
      <c r="IE14" s="199"/>
      <c r="IF14" s="199"/>
      <c r="IG14" s="199"/>
      <c r="IH14" s="199"/>
      <c r="II14" s="199"/>
      <c r="IJ14" s="199"/>
      <c r="IK14" s="199"/>
      <c r="IL14" s="199"/>
      <c r="IM14" s="199"/>
      <c r="IN14" s="199"/>
      <c r="IO14" s="199"/>
      <c r="IP14" s="199"/>
      <c r="IQ14" s="199"/>
      <c r="IR14" s="199"/>
      <c r="IS14" s="199"/>
      <c r="IT14" s="199"/>
      <c r="IU14" s="199"/>
      <c r="IV14" s="199"/>
      <c r="IW14" s="199"/>
      <c r="IX14" s="199"/>
      <c r="IY14" s="199"/>
      <c r="IZ14" s="199"/>
      <c r="JA14" s="199"/>
      <c r="JB14" s="199"/>
      <c r="JC14" s="199"/>
      <c r="JD14" s="199"/>
      <c r="JE14" s="199"/>
      <c r="JF14" s="199"/>
      <c r="JG14" s="199"/>
      <c r="JH14" s="199"/>
      <c r="JI14" s="199"/>
      <c r="JJ14" s="199"/>
      <c r="JK14" s="199"/>
      <c r="JL14" s="199"/>
      <c r="JM14" s="199"/>
      <c r="JN14" s="199"/>
      <c r="JO14" s="199"/>
      <c r="JP14" s="199"/>
      <c r="JQ14" s="199"/>
      <c r="JR14" s="199"/>
      <c r="JS14" s="199"/>
      <c r="JT14" s="199"/>
      <c r="JU14" s="199"/>
      <c r="JV14" s="199"/>
      <c r="JW14" s="199"/>
      <c r="JX14" s="199"/>
      <c r="JY14" s="199"/>
      <c r="JZ14" s="199"/>
      <c r="KA14" s="199"/>
      <c r="KB14" s="199"/>
      <c r="KC14" s="199"/>
      <c r="KD14" s="199"/>
      <c r="KE14" s="199"/>
      <c r="PQ14" s="201"/>
      <c r="PR14" s="201"/>
      <c r="PS14" s="201"/>
      <c r="PT14" s="201"/>
      <c r="PU14" s="201"/>
      <c r="PV14" s="201"/>
      <c r="PW14" s="201"/>
      <c r="PX14" s="201"/>
      <c r="PY14" s="201"/>
      <c r="PZ14" s="201"/>
      <c r="QA14" s="201"/>
      <c r="QB14" s="201"/>
      <c r="QC14" s="201"/>
      <c r="QD14" s="201"/>
      <c r="QE14" s="201"/>
      <c r="QF14" s="201"/>
      <c r="QG14" s="201"/>
      <c r="QH14" s="201"/>
      <c r="QI14" s="201"/>
      <c r="QJ14" s="201"/>
      <c r="QK14" s="201"/>
      <c r="QL14" s="201"/>
      <c r="QM14" s="201"/>
      <c r="QN14" s="201"/>
      <c r="QO14" s="201"/>
      <c r="QP14" s="201"/>
      <c r="QQ14" s="201"/>
      <c r="QR14" s="201"/>
      <c r="QS14" s="201"/>
      <c r="QT14" s="201"/>
      <c r="QU14" s="201"/>
      <c r="QV14" s="201"/>
      <c r="QW14" s="201"/>
      <c r="QX14" s="201"/>
      <c r="QY14" s="201"/>
      <c r="QZ14" s="201"/>
      <c r="RA14" s="201"/>
      <c r="RB14" s="201"/>
      <c r="RC14" s="201"/>
      <c r="RD14" s="201"/>
      <c r="RE14" s="201"/>
      <c r="RF14" s="201"/>
      <c r="RG14" s="201"/>
      <c r="RH14" s="201"/>
      <c r="RI14" s="201"/>
      <c r="RJ14" s="201"/>
      <c r="RK14" s="201"/>
      <c r="RL14" s="201"/>
      <c r="RM14" s="201"/>
      <c r="RN14" s="201"/>
      <c r="RO14" s="201"/>
      <c r="RP14" s="201"/>
      <c r="RQ14" s="201"/>
      <c r="RR14" s="201"/>
      <c r="RS14" s="201"/>
      <c r="RT14" s="201"/>
      <c r="RU14" s="201"/>
      <c r="RV14" s="201"/>
      <c r="RW14" s="201"/>
      <c r="RX14" s="201"/>
      <c r="RY14" s="201"/>
      <c r="RZ14" s="201"/>
      <c r="SA14" s="201"/>
      <c r="SB14" s="201"/>
      <c r="SC14" s="201"/>
      <c r="SD14" s="201"/>
      <c r="SE14" s="201"/>
      <c r="SF14" s="201"/>
      <c r="SG14" s="201"/>
      <c r="SH14" s="201"/>
      <c r="SI14" s="201"/>
      <c r="SJ14" s="201"/>
      <c r="SK14" s="201"/>
      <c r="SL14" s="201"/>
      <c r="SM14" s="201"/>
      <c r="SN14" s="201"/>
      <c r="SO14" s="201"/>
      <c r="SP14" s="201"/>
      <c r="SQ14" s="201"/>
      <c r="SR14" s="201"/>
      <c r="SS14" s="201"/>
      <c r="ST14" s="201"/>
      <c r="SU14" s="201"/>
      <c r="SV14" s="201"/>
      <c r="SW14" s="201"/>
      <c r="SX14" s="201"/>
      <c r="SY14" s="201"/>
      <c r="SZ14" s="201"/>
      <c r="TA14" s="201"/>
      <c r="TB14" s="201"/>
      <c r="TC14" s="201"/>
      <c r="TD14" s="201"/>
      <c r="TE14" s="201"/>
      <c r="TF14" s="201"/>
      <c r="TG14" s="201"/>
      <c r="TH14" s="201"/>
      <c r="TI14" s="201"/>
      <c r="TJ14" s="201"/>
      <c r="TK14" s="201"/>
      <c r="TL14" s="201"/>
      <c r="TM14" s="201"/>
      <c r="TN14" s="201"/>
      <c r="TO14" s="201"/>
      <c r="TP14" s="201"/>
      <c r="TQ14" s="201"/>
      <c r="TR14" s="201"/>
      <c r="TS14" s="201"/>
      <c r="TT14" s="201"/>
      <c r="TU14" s="201"/>
      <c r="TV14" s="201"/>
      <c r="TW14" s="201"/>
      <c r="TX14" s="201"/>
      <c r="TY14" s="201"/>
      <c r="TZ14" s="201"/>
      <c r="UA14" s="201"/>
      <c r="UB14" s="201"/>
      <c r="UC14" s="201"/>
      <c r="UD14" s="201"/>
      <c r="UE14" s="201"/>
      <c r="UF14" s="201"/>
      <c r="UG14" s="201"/>
      <c r="UH14" s="201"/>
      <c r="UI14" s="201"/>
      <c r="UJ14" s="201"/>
      <c r="UK14" s="201"/>
      <c r="UL14" s="201"/>
      <c r="UM14" s="201"/>
      <c r="UN14" s="201"/>
      <c r="UO14" s="201"/>
      <c r="UP14" s="201"/>
      <c r="UQ14" s="201"/>
      <c r="UR14" s="201"/>
      <c r="US14" s="201"/>
      <c r="UT14" s="201"/>
      <c r="UU14" s="201"/>
    </row>
    <row r="15" spans="2:567" x14ac:dyDescent="0.25">
      <c r="B15" s="18" t="s">
        <v>19</v>
      </c>
      <c r="C15" s="18"/>
      <c r="D15" s="18"/>
      <c r="E15" s="18"/>
      <c r="F15" s="27">
        <f>SUM(K15:K16)</f>
        <v>340</v>
      </c>
      <c r="G15" s="18" t="s">
        <v>20</v>
      </c>
      <c r="H15" s="18"/>
      <c r="I15" s="18"/>
      <c r="J15" s="26"/>
      <c r="K15" s="19">
        <v>285</v>
      </c>
      <c r="L15" s="240"/>
      <c r="R15" s="257"/>
      <c r="S15" s="242"/>
      <c r="T15" s="242"/>
      <c r="U15" s="242"/>
      <c r="V15" s="242"/>
      <c r="W15" s="242"/>
      <c r="X15" s="242"/>
      <c r="Y15" s="242"/>
      <c r="Z15" s="242"/>
      <c r="AA15" s="242"/>
      <c r="AB15" s="242"/>
      <c r="AC15" s="242"/>
      <c r="AD15" s="242"/>
      <c r="AE15" s="242"/>
      <c r="AF15" s="242"/>
      <c r="AG15" s="242"/>
      <c r="AH15" s="242"/>
      <c r="AI15" s="242"/>
      <c r="AJ15" s="242"/>
      <c r="AK15" s="242"/>
      <c r="AL15" s="242"/>
      <c r="AM15" s="242"/>
      <c r="AN15" s="242"/>
      <c r="AO15" s="242"/>
      <c r="AP15" s="242"/>
      <c r="AQ15" s="242"/>
      <c r="AR15" s="242"/>
      <c r="AS15" s="242"/>
      <c r="AT15" s="242"/>
      <c r="AU15" s="242"/>
      <c r="AV15" s="242"/>
      <c r="AW15" s="242"/>
      <c r="AX15" s="242"/>
      <c r="AY15" s="242"/>
      <c r="AZ15" s="242"/>
      <c r="BA15" s="242"/>
      <c r="BB15" s="242"/>
      <c r="BC15" s="242"/>
      <c r="BD15" s="242"/>
      <c r="BE15" s="242"/>
      <c r="BF15" s="242"/>
      <c r="BG15" s="242"/>
      <c r="BH15" s="242"/>
      <c r="BI15" s="242"/>
      <c r="BJ15" s="242"/>
      <c r="BK15" s="242"/>
      <c r="BL15" s="242"/>
      <c r="BM15" s="242"/>
      <c r="BN15" s="242"/>
      <c r="BO15" s="242"/>
      <c r="BP15" s="242"/>
      <c r="BQ15" s="242"/>
      <c r="BR15" s="242"/>
      <c r="BS15" s="242"/>
      <c r="BT15" s="242"/>
      <c r="BU15" s="242"/>
      <c r="BV15" s="242"/>
      <c r="BW15" s="242"/>
      <c r="BX15" s="242"/>
      <c r="BY15" s="242"/>
      <c r="BZ15" s="242"/>
      <c r="CA15" s="242"/>
      <c r="CB15" s="242"/>
      <c r="CC15" s="242"/>
      <c r="CD15" s="242"/>
      <c r="CE15" s="242"/>
      <c r="CF15" s="242"/>
      <c r="CG15" s="242"/>
      <c r="CH15" s="242"/>
      <c r="CI15" s="242"/>
      <c r="CJ15" s="242"/>
      <c r="CK15" s="242"/>
      <c r="CL15" s="242"/>
      <c r="CM15" s="242"/>
      <c r="CN15" s="242"/>
      <c r="CO15" s="242"/>
      <c r="CP15" s="242"/>
      <c r="CQ15" s="242"/>
      <c r="CR15" s="242"/>
      <c r="CS15" s="242"/>
      <c r="CT15" s="242"/>
      <c r="CU15" s="242"/>
      <c r="CV15" s="242"/>
      <c r="CW15" s="242"/>
      <c r="CX15" s="242"/>
      <c r="CY15" s="242"/>
      <c r="CZ15" s="242"/>
      <c r="DA15" s="242"/>
      <c r="DB15" s="242"/>
      <c r="DC15" s="242"/>
      <c r="DD15" s="242"/>
      <c r="DE15" s="242"/>
      <c r="DF15" s="242"/>
      <c r="DG15" s="242"/>
      <c r="DH15" s="242"/>
      <c r="DI15" s="242"/>
      <c r="DJ15" s="242"/>
      <c r="DK15" s="242"/>
      <c r="DL15" s="242"/>
      <c r="DM15" s="242"/>
      <c r="DN15" s="242"/>
      <c r="DO15" s="242"/>
      <c r="DP15" s="242"/>
      <c r="DQ15" s="242"/>
      <c r="DR15" s="242"/>
      <c r="DS15" s="242"/>
      <c r="DT15" s="242"/>
      <c r="DU15" s="242"/>
      <c r="DV15" s="242"/>
      <c r="DW15" s="242"/>
      <c r="DX15" s="242"/>
      <c r="DY15" s="242"/>
      <c r="DZ15" s="242"/>
      <c r="EA15" s="242"/>
      <c r="EB15" s="242"/>
      <c r="EC15" s="242"/>
      <c r="ED15" s="242"/>
      <c r="EE15" s="242"/>
      <c r="EF15" s="242"/>
      <c r="EG15" s="242"/>
      <c r="EH15" s="242"/>
      <c r="EI15" s="242"/>
      <c r="EJ15" s="242"/>
      <c r="EK15" s="242"/>
      <c r="EL15" s="242"/>
      <c r="EM15" s="242"/>
      <c r="EN15" s="242"/>
      <c r="EO15" s="242"/>
      <c r="EP15" s="242"/>
      <c r="EQ15" s="242"/>
      <c r="ER15" s="242"/>
      <c r="ES15" s="242"/>
      <c r="ET15" s="242"/>
      <c r="EU15" s="242"/>
      <c r="FC15" s="199"/>
      <c r="FD15" s="199"/>
      <c r="FE15" s="199"/>
      <c r="FF15" s="199"/>
      <c r="FG15" s="199"/>
      <c r="FH15" s="199"/>
      <c r="FI15" s="199"/>
      <c r="FJ15" s="199"/>
      <c r="FK15" s="199"/>
      <c r="FL15" s="199"/>
      <c r="FM15" s="199"/>
      <c r="FN15" s="199"/>
      <c r="FO15" s="199"/>
      <c r="FP15" s="199"/>
      <c r="FQ15" s="199"/>
      <c r="FR15" s="199"/>
      <c r="FS15" s="199"/>
      <c r="FT15" s="199"/>
      <c r="FU15" s="199"/>
      <c r="FV15" s="199"/>
      <c r="FW15" s="199"/>
      <c r="FX15" s="199"/>
      <c r="FY15" s="199"/>
      <c r="FZ15" s="199"/>
      <c r="GA15" s="199"/>
      <c r="GB15" s="199"/>
      <c r="GC15" s="199"/>
      <c r="GD15" s="199"/>
      <c r="GE15" s="199"/>
      <c r="GF15" s="199"/>
      <c r="GG15" s="199"/>
      <c r="GH15" s="199"/>
      <c r="GI15" s="199"/>
      <c r="GJ15" s="199"/>
      <c r="GK15" s="199"/>
      <c r="GL15" s="199"/>
      <c r="GM15" s="199"/>
      <c r="GN15" s="199"/>
      <c r="GO15" s="199"/>
      <c r="GP15" s="199"/>
      <c r="GQ15" s="199"/>
      <c r="GR15" s="199"/>
      <c r="GS15" s="199"/>
      <c r="GT15" s="199"/>
      <c r="GU15" s="199"/>
      <c r="GV15" s="199"/>
      <c r="GW15" s="199"/>
      <c r="GX15" s="199"/>
      <c r="GY15" s="199"/>
      <c r="GZ15" s="199"/>
      <c r="HA15" s="199"/>
      <c r="HB15" s="199"/>
      <c r="HC15" s="199"/>
      <c r="HD15" s="199"/>
      <c r="HE15" s="199"/>
      <c r="HF15" s="199"/>
      <c r="HG15" s="199"/>
      <c r="HH15" s="199"/>
      <c r="HI15" s="199"/>
      <c r="HJ15" s="199"/>
      <c r="HK15" s="199"/>
      <c r="HL15" s="199"/>
      <c r="HM15" s="199"/>
      <c r="HN15" s="199"/>
      <c r="HO15" s="199"/>
      <c r="HP15" s="199"/>
      <c r="HQ15" s="199"/>
      <c r="HR15" s="199"/>
      <c r="HS15" s="199"/>
      <c r="HT15" s="199"/>
      <c r="HU15" s="199"/>
      <c r="HV15" s="199"/>
      <c r="HW15" s="199"/>
      <c r="HX15" s="199"/>
      <c r="HY15" s="199"/>
      <c r="HZ15" s="199"/>
      <c r="IA15" s="199"/>
      <c r="IB15" s="199"/>
      <c r="IC15" s="199"/>
      <c r="ID15" s="199"/>
      <c r="IE15" s="199"/>
      <c r="IF15" s="199"/>
      <c r="IG15" s="199"/>
      <c r="IH15" s="199"/>
      <c r="II15" s="199"/>
      <c r="IJ15" s="199"/>
      <c r="IK15" s="199"/>
      <c r="IL15" s="199"/>
      <c r="IM15" s="199"/>
      <c r="IN15" s="199"/>
      <c r="IO15" s="199"/>
      <c r="IP15" s="199"/>
      <c r="IQ15" s="199"/>
      <c r="IR15" s="199"/>
      <c r="IS15" s="199"/>
      <c r="IT15" s="199"/>
      <c r="IU15" s="199"/>
      <c r="IV15" s="199"/>
      <c r="IW15" s="199"/>
      <c r="IX15" s="199"/>
      <c r="IY15" s="199"/>
      <c r="IZ15" s="199"/>
      <c r="JA15" s="199"/>
      <c r="JB15" s="199"/>
      <c r="JC15" s="199"/>
      <c r="JD15" s="199"/>
      <c r="JE15" s="199"/>
      <c r="JF15" s="199"/>
      <c r="JG15" s="199"/>
      <c r="JH15" s="199"/>
      <c r="JI15" s="199"/>
      <c r="JJ15" s="199"/>
      <c r="JK15" s="199"/>
      <c r="JL15" s="199"/>
      <c r="JM15" s="199"/>
      <c r="JN15" s="199"/>
      <c r="JO15" s="199"/>
      <c r="JP15" s="199"/>
      <c r="JQ15" s="199"/>
      <c r="JR15" s="199"/>
      <c r="JS15" s="199"/>
      <c r="JT15" s="199"/>
      <c r="JU15" s="199"/>
      <c r="JV15" s="199"/>
      <c r="JW15" s="199"/>
      <c r="JX15" s="199"/>
      <c r="JY15" s="199"/>
      <c r="JZ15" s="199"/>
      <c r="KA15" s="199"/>
      <c r="KB15" s="199"/>
      <c r="KC15" s="199"/>
      <c r="KD15" s="199"/>
      <c r="KE15" s="199"/>
      <c r="PQ15" s="201"/>
      <c r="PR15" s="201"/>
      <c r="PS15" s="201"/>
      <c r="PT15" s="201"/>
      <c r="PU15" s="201"/>
      <c r="PV15" s="201"/>
      <c r="PW15" s="201"/>
      <c r="PX15" s="201"/>
      <c r="PY15" s="201"/>
      <c r="PZ15" s="201"/>
      <c r="QA15" s="201"/>
      <c r="QB15" s="201"/>
      <c r="QC15" s="201"/>
      <c r="QD15" s="201"/>
      <c r="QE15" s="201"/>
      <c r="QF15" s="201"/>
      <c r="QG15" s="201"/>
      <c r="QH15" s="201"/>
      <c r="QI15" s="201"/>
      <c r="QJ15" s="201"/>
      <c r="QK15" s="201"/>
      <c r="QL15" s="201"/>
      <c r="QM15" s="201"/>
      <c r="QN15" s="201"/>
      <c r="QO15" s="201"/>
      <c r="QP15" s="201"/>
      <c r="QQ15" s="201"/>
      <c r="QR15" s="201"/>
      <c r="QS15" s="201"/>
      <c r="QT15" s="201"/>
      <c r="QU15" s="201"/>
      <c r="QV15" s="201"/>
      <c r="QW15" s="201"/>
      <c r="QX15" s="201"/>
      <c r="QY15" s="201"/>
      <c r="QZ15" s="201"/>
      <c r="RA15" s="201"/>
      <c r="RB15" s="201"/>
      <c r="RC15" s="201"/>
      <c r="RD15" s="201"/>
      <c r="RE15" s="201"/>
      <c r="RF15" s="201"/>
      <c r="RG15" s="201"/>
      <c r="RH15" s="201"/>
      <c r="RI15" s="201"/>
      <c r="RJ15" s="201"/>
      <c r="RK15" s="201"/>
      <c r="RL15" s="201"/>
      <c r="RM15" s="201"/>
      <c r="RN15" s="201"/>
      <c r="RO15" s="201"/>
      <c r="RP15" s="201"/>
      <c r="RQ15" s="201"/>
      <c r="RR15" s="201"/>
      <c r="RS15" s="201"/>
      <c r="RT15" s="201"/>
      <c r="RU15" s="201"/>
      <c r="RV15" s="201"/>
      <c r="RW15" s="201"/>
      <c r="RX15" s="201"/>
      <c r="RY15" s="201"/>
      <c r="RZ15" s="201"/>
      <c r="SA15" s="201"/>
      <c r="SB15" s="201"/>
      <c r="SC15" s="201"/>
      <c r="SD15" s="201"/>
      <c r="SE15" s="201"/>
      <c r="SF15" s="201"/>
      <c r="SG15" s="201"/>
      <c r="SH15" s="201"/>
      <c r="SI15" s="201"/>
      <c r="SJ15" s="201"/>
      <c r="SK15" s="201"/>
      <c r="SL15" s="201"/>
      <c r="SM15" s="201"/>
      <c r="SN15" s="201"/>
      <c r="SO15" s="201"/>
      <c r="SP15" s="201"/>
      <c r="SQ15" s="201"/>
      <c r="SR15" s="201"/>
      <c r="SS15" s="201"/>
      <c r="ST15" s="201"/>
      <c r="SU15" s="201"/>
      <c r="SV15" s="201"/>
      <c r="SW15" s="201"/>
      <c r="SX15" s="201"/>
      <c r="SY15" s="201"/>
      <c r="SZ15" s="201"/>
      <c r="TA15" s="201"/>
      <c r="TB15" s="201"/>
      <c r="TC15" s="201"/>
      <c r="TD15" s="201"/>
      <c r="TE15" s="201"/>
      <c r="TF15" s="201"/>
      <c r="TG15" s="201"/>
      <c r="TH15" s="201"/>
      <c r="TI15" s="201"/>
      <c r="TJ15" s="201"/>
      <c r="TK15" s="201"/>
      <c r="TL15" s="201"/>
      <c r="TM15" s="201"/>
      <c r="TN15" s="201"/>
      <c r="TO15" s="201"/>
      <c r="TP15" s="201"/>
      <c r="TQ15" s="201"/>
      <c r="TR15" s="201"/>
      <c r="TS15" s="201"/>
      <c r="TT15" s="201"/>
      <c r="TU15" s="201"/>
      <c r="TV15" s="201"/>
      <c r="TW15" s="201"/>
      <c r="TX15" s="201"/>
      <c r="TY15" s="201"/>
      <c r="TZ15" s="201"/>
      <c r="UA15" s="201"/>
      <c r="UB15" s="201"/>
      <c r="UC15" s="201"/>
      <c r="UD15" s="201"/>
      <c r="UE15" s="201"/>
      <c r="UF15" s="201"/>
      <c r="UG15" s="201"/>
      <c r="UH15" s="201"/>
      <c r="UI15" s="201"/>
      <c r="UJ15" s="201"/>
      <c r="UK15" s="201"/>
      <c r="UL15" s="201"/>
      <c r="UM15" s="201"/>
      <c r="UN15" s="201"/>
      <c r="UO15" s="201"/>
      <c r="UP15" s="201"/>
      <c r="UQ15" s="201"/>
      <c r="UR15" s="201"/>
      <c r="US15" s="201"/>
      <c r="UT15" s="201"/>
      <c r="UU15" s="201"/>
    </row>
    <row r="16" spans="2:567" x14ac:dyDescent="0.25">
      <c r="B16" s="18" t="str">
        <f>"Parking Ratio / "&amp;Unit_Type</f>
        <v>Parking Ratio / Unit</v>
      </c>
      <c r="C16" s="18"/>
      <c r="D16" s="18"/>
      <c r="E16" s="18"/>
      <c r="F16" s="25">
        <f>F15/K13</f>
        <v>1.1333333333333333</v>
      </c>
      <c r="G16" s="18" t="s">
        <v>22</v>
      </c>
      <c r="H16" s="18"/>
      <c r="I16" s="18"/>
      <c r="J16" s="26"/>
      <c r="K16" s="19">
        <v>55</v>
      </c>
      <c r="L16" s="240"/>
      <c r="R16" s="544"/>
      <c r="S16" s="242"/>
      <c r="T16" s="242"/>
      <c r="U16" s="242"/>
      <c r="V16" s="242"/>
      <c r="W16" s="242"/>
      <c r="X16" s="242"/>
      <c r="Y16" s="242"/>
      <c r="Z16" s="242"/>
      <c r="AA16" s="242"/>
      <c r="AB16" s="242"/>
      <c r="AC16" s="242"/>
      <c r="AD16" s="242"/>
      <c r="AE16" s="242"/>
      <c r="AF16" s="242"/>
      <c r="AG16" s="242"/>
      <c r="AH16" s="242"/>
      <c r="AI16" s="242"/>
      <c r="AJ16" s="242"/>
      <c r="AK16" s="242"/>
      <c r="AL16" s="242"/>
      <c r="AM16" s="242"/>
      <c r="AN16" s="242"/>
      <c r="AO16" s="242"/>
      <c r="AP16" s="242"/>
      <c r="AQ16" s="242"/>
      <c r="AR16" s="242"/>
      <c r="AS16" s="242"/>
      <c r="AT16" s="242"/>
      <c r="AU16" s="242"/>
      <c r="AV16" s="242"/>
      <c r="AW16" s="242"/>
      <c r="AX16" s="242"/>
      <c r="AY16" s="242"/>
      <c r="AZ16" s="242"/>
      <c r="BA16" s="242"/>
      <c r="BB16" s="242"/>
      <c r="BC16" s="242"/>
      <c r="BD16" s="242"/>
      <c r="BE16" s="242"/>
      <c r="BF16" s="242"/>
      <c r="BG16" s="242"/>
      <c r="BH16" s="242"/>
      <c r="BI16" s="242"/>
      <c r="BJ16" s="242"/>
      <c r="BK16" s="242"/>
      <c r="BL16" s="242"/>
      <c r="BM16" s="242"/>
      <c r="BN16" s="242"/>
      <c r="BO16" s="242"/>
      <c r="BP16" s="242"/>
      <c r="BQ16" s="242"/>
      <c r="BR16" s="242"/>
      <c r="BS16" s="242"/>
      <c r="BT16" s="242"/>
      <c r="BU16" s="242"/>
      <c r="BV16" s="242"/>
      <c r="BW16" s="242"/>
      <c r="BX16" s="242"/>
      <c r="BY16" s="242"/>
      <c r="BZ16" s="242"/>
      <c r="CA16" s="242"/>
      <c r="CB16" s="242"/>
      <c r="CC16" s="242"/>
      <c r="CD16" s="242"/>
      <c r="CE16" s="242"/>
      <c r="CF16" s="242"/>
      <c r="CG16" s="242"/>
      <c r="CH16" s="242"/>
      <c r="CI16" s="242"/>
      <c r="CJ16" s="242"/>
      <c r="CK16" s="242"/>
      <c r="CL16" s="242"/>
      <c r="CM16" s="242"/>
      <c r="CN16" s="242"/>
      <c r="CO16" s="242"/>
      <c r="CP16" s="242"/>
      <c r="CQ16" s="242"/>
      <c r="CR16" s="242"/>
      <c r="CS16" s="242"/>
      <c r="CT16" s="242"/>
      <c r="CU16" s="242"/>
      <c r="CV16" s="242"/>
      <c r="CW16" s="242"/>
      <c r="CX16" s="242"/>
      <c r="CY16" s="242"/>
      <c r="CZ16" s="242"/>
      <c r="DA16" s="242"/>
      <c r="DB16" s="242"/>
      <c r="DC16" s="242"/>
      <c r="DD16" s="242"/>
      <c r="DE16" s="242"/>
      <c r="DF16" s="242"/>
      <c r="DG16" s="242"/>
      <c r="DH16" s="242"/>
      <c r="DI16" s="242"/>
      <c r="DJ16" s="242"/>
      <c r="DK16" s="242"/>
      <c r="DL16" s="242"/>
      <c r="DM16" s="242"/>
      <c r="DN16" s="242"/>
      <c r="DO16" s="242"/>
      <c r="DP16" s="242"/>
      <c r="DQ16" s="242"/>
      <c r="DR16" s="242"/>
      <c r="DS16" s="242"/>
      <c r="DT16" s="242"/>
      <c r="DU16" s="242"/>
      <c r="DV16" s="242"/>
      <c r="DW16" s="242"/>
      <c r="DX16" s="242"/>
      <c r="DY16" s="242"/>
      <c r="DZ16" s="242"/>
      <c r="EA16" s="242"/>
      <c r="EB16" s="242"/>
      <c r="EC16" s="242"/>
      <c r="ED16" s="242"/>
      <c r="EE16" s="242"/>
      <c r="EF16" s="242"/>
      <c r="EG16" s="242"/>
      <c r="EH16" s="242"/>
      <c r="EI16" s="242"/>
      <c r="EJ16" s="242"/>
      <c r="EK16" s="242"/>
      <c r="EL16" s="242"/>
      <c r="EM16" s="242"/>
      <c r="EN16" s="242"/>
      <c r="EO16" s="242"/>
      <c r="EP16" s="242"/>
      <c r="EQ16" s="242"/>
      <c r="ER16" s="242"/>
      <c r="ES16" s="242"/>
      <c r="ET16" s="242"/>
      <c r="EU16" s="242"/>
      <c r="FC16" s="199"/>
      <c r="FD16" s="199"/>
      <c r="FE16" s="199"/>
      <c r="FF16" s="199"/>
      <c r="FG16" s="199"/>
      <c r="FH16" s="199"/>
      <c r="FI16" s="199"/>
      <c r="FJ16" s="199"/>
      <c r="FK16" s="199"/>
      <c r="FL16" s="199"/>
      <c r="FM16" s="199"/>
      <c r="FN16" s="199"/>
      <c r="FO16" s="199"/>
      <c r="FP16" s="199"/>
      <c r="FQ16" s="199"/>
      <c r="FR16" s="199"/>
      <c r="FS16" s="199"/>
      <c r="FT16" s="199"/>
      <c r="FU16" s="199"/>
      <c r="FV16" s="199"/>
      <c r="FW16" s="199"/>
      <c r="FX16" s="199"/>
      <c r="FY16" s="199"/>
      <c r="FZ16" s="199"/>
      <c r="GA16" s="199"/>
      <c r="GB16" s="199"/>
      <c r="GC16" s="199"/>
      <c r="GD16" s="199"/>
      <c r="GE16" s="199"/>
      <c r="GF16" s="199"/>
      <c r="GG16" s="199"/>
      <c r="GH16" s="199"/>
      <c r="GI16" s="199"/>
      <c r="GJ16" s="199"/>
      <c r="GK16" s="199"/>
      <c r="GL16" s="199"/>
      <c r="GM16" s="199"/>
      <c r="GN16" s="199"/>
      <c r="GO16" s="199"/>
      <c r="GP16" s="199"/>
      <c r="GQ16" s="199"/>
      <c r="GR16" s="199"/>
      <c r="GS16" s="199"/>
      <c r="GT16" s="199"/>
      <c r="GU16" s="199"/>
      <c r="GV16" s="199"/>
      <c r="GW16" s="199"/>
      <c r="GX16" s="199"/>
      <c r="GY16" s="199"/>
      <c r="GZ16" s="199"/>
      <c r="HA16" s="199"/>
      <c r="HB16" s="199"/>
      <c r="HC16" s="199"/>
      <c r="HD16" s="199"/>
      <c r="HE16" s="199"/>
      <c r="HF16" s="199"/>
      <c r="HG16" s="199"/>
      <c r="HH16" s="199"/>
      <c r="HI16" s="199"/>
      <c r="HJ16" s="199"/>
      <c r="HK16" s="199"/>
      <c r="HL16" s="199"/>
      <c r="HM16" s="199"/>
      <c r="HN16" s="199"/>
      <c r="HO16" s="199"/>
      <c r="HP16" s="199"/>
      <c r="HQ16" s="199"/>
      <c r="HR16" s="199"/>
      <c r="HS16" s="199"/>
      <c r="HT16" s="199"/>
      <c r="HU16" s="199"/>
      <c r="HV16" s="199"/>
      <c r="HW16" s="199"/>
      <c r="HX16" s="199"/>
      <c r="HY16" s="199"/>
      <c r="HZ16" s="199"/>
      <c r="IA16" s="199"/>
      <c r="IB16" s="199"/>
      <c r="IC16" s="199"/>
      <c r="ID16" s="199"/>
      <c r="IE16" s="199"/>
      <c r="IF16" s="199"/>
      <c r="IG16" s="199"/>
      <c r="IH16" s="199"/>
      <c r="II16" s="199"/>
      <c r="IJ16" s="199"/>
      <c r="IK16" s="199"/>
      <c r="IL16" s="199"/>
      <c r="IM16" s="199"/>
      <c r="IN16" s="199"/>
      <c r="IO16" s="199"/>
      <c r="IP16" s="199"/>
      <c r="IQ16" s="199"/>
      <c r="IR16" s="199"/>
      <c r="IS16" s="199"/>
      <c r="IT16" s="199"/>
      <c r="IU16" s="199"/>
      <c r="IV16" s="199"/>
      <c r="IW16" s="199"/>
      <c r="IX16" s="199"/>
      <c r="IY16" s="199"/>
      <c r="IZ16" s="199"/>
      <c r="JA16" s="199"/>
      <c r="JB16" s="199"/>
      <c r="JC16" s="199"/>
      <c r="JD16" s="199"/>
      <c r="JE16" s="199"/>
      <c r="JF16" s="199"/>
      <c r="JG16" s="199"/>
      <c r="JH16" s="199"/>
      <c r="JI16" s="199"/>
      <c r="JJ16" s="199"/>
      <c r="JK16" s="199"/>
      <c r="JL16" s="199"/>
      <c r="JM16" s="199"/>
      <c r="JN16" s="199"/>
      <c r="JO16" s="199"/>
      <c r="JP16" s="199"/>
      <c r="JQ16" s="199"/>
      <c r="JR16" s="199"/>
      <c r="JS16" s="199"/>
      <c r="JT16" s="199"/>
      <c r="JU16" s="199"/>
      <c r="JV16" s="199"/>
      <c r="JW16" s="199"/>
      <c r="JX16" s="199"/>
      <c r="JY16" s="199"/>
      <c r="JZ16" s="199"/>
      <c r="KA16" s="199"/>
      <c r="KB16" s="199"/>
      <c r="KC16" s="199"/>
      <c r="KD16" s="199"/>
      <c r="KE16" s="199"/>
      <c r="PQ16" s="201"/>
      <c r="PR16" s="201"/>
      <c r="PS16" s="201"/>
      <c r="PT16" s="201"/>
      <c r="PU16" s="201"/>
      <c r="PV16" s="201"/>
      <c r="PW16" s="201"/>
      <c r="PX16" s="201"/>
      <c r="PY16" s="201"/>
      <c r="PZ16" s="201"/>
      <c r="QA16" s="201"/>
      <c r="QB16" s="201"/>
      <c r="QC16" s="201"/>
      <c r="QD16" s="201"/>
      <c r="QE16" s="201"/>
      <c r="QF16" s="201"/>
      <c r="QG16" s="201"/>
      <c r="QH16" s="201"/>
      <c r="QI16" s="201"/>
      <c r="QJ16" s="201"/>
      <c r="QK16" s="201"/>
      <c r="QL16" s="201"/>
      <c r="QM16" s="201"/>
      <c r="QN16" s="201"/>
      <c r="QO16" s="201"/>
      <c r="QP16" s="201"/>
      <c r="QQ16" s="201"/>
      <c r="QR16" s="201"/>
      <c r="QS16" s="201"/>
      <c r="QT16" s="201"/>
      <c r="QU16" s="201"/>
      <c r="QV16" s="201"/>
      <c r="QW16" s="201"/>
      <c r="QX16" s="201"/>
      <c r="QY16" s="201"/>
      <c r="QZ16" s="201"/>
      <c r="RA16" s="201"/>
      <c r="RB16" s="201"/>
      <c r="RC16" s="201"/>
      <c r="RD16" s="201"/>
      <c r="RE16" s="201"/>
      <c r="RF16" s="201"/>
      <c r="RG16" s="201"/>
      <c r="RH16" s="201"/>
      <c r="RI16" s="201"/>
      <c r="RJ16" s="201"/>
      <c r="RK16" s="201"/>
      <c r="RL16" s="201"/>
      <c r="RM16" s="201"/>
      <c r="RN16" s="201"/>
      <c r="RO16" s="201"/>
      <c r="RP16" s="201"/>
      <c r="RQ16" s="201"/>
      <c r="RR16" s="201"/>
      <c r="RS16" s="201"/>
      <c r="RT16" s="201"/>
      <c r="RU16" s="201"/>
      <c r="RV16" s="201"/>
      <c r="RW16" s="201"/>
      <c r="RX16" s="201"/>
      <c r="RY16" s="201"/>
      <c r="RZ16" s="201"/>
      <c r="SA16" s="201"/>
      <c r="SB16" s="201"/>
      <c r="SC16" s="201"/>
      <c r="SD16" s="201"/>
      <c r="SE16" s="201"/>
      <c r="SF16" s="201"/>
      <c r="SG16" s="201"/>
      <c r="SH16" s="201"/>
      <c r="SI16" s="201"/>
      <c r="SJ16" s="201"/>
      <c r="SK16" s="201"/>
      <c r="SL16" s="201"/>
      <c r="SM16" s="201"/>
      <c r="SN16" s="201"/>
      <c r="SO16" s="201"/>
      <c r="SP16" s="201"/>
      <c r="SQ16" s="201"/>
      <c r="SR16" s="201"/>
      <c r="SS16" s="201"/>
      <c r="ST16" s="201"/>
      <c r="SU16" s="201"/>
      <c r="SV16" s="201"/>
      <c r="SW16" s="201"/>
      <c r="SX16" s="201"/>
      <c r="SY16" s="201"/>
      <c r="SZ16" s="201"/>
      <c r="TA16" s="201"/>
      <c r="TB16" s="201"/>
      <c r="TC16" s="201"/>
      <c r="TD16" s="201"/>
      <c r="TE16" s="201"/>
      <c r="TF16" s="201"/>
      <c r="TG16" s="201"/>
      <c r="TH16" s="201"/>
      <c r="TI16" s="201"/>
      <c r="TJ16" s="201"/>
      <c r="TK16" s="201"/>
      <c r="TL16" s="201"/>
      <c r="TM16" s="201"/>
      <c r="TN16" s="201"/>
      <c r="TO16" s="201"/>
      <c r="TP16" s="201"/>
      <c r="TQ16" s="201"/>
      <c r="TR16" s="201"/>
      <c r="TS16" s="201"/>
      <c r="TT16" s="201"/>
      <c r="TU16" s="201"/>
      <c r="TV16" s="201"/>
      <c r="TW16" s="201"/>
      <c r="TX16" s="201"/>
      <c r="TY16" s="201"/>
      <c r="TZ16" s="201"/>
      <c r="UA16" s="201"/>
      <c r="UB16" s="201"/>
      <c r="UC16" s="201"/>
      <c r="UD16" s="201"/>
      <c r="UE16" s="201"/>
      <c r="UF16" s="201"/>
      <c r="UG16" s="201"/>
      <c r="UH16" s="201"/>
      <c r="UI16" s="201"/>
      <c r="UJ16" s="201"/>
      <c r="UK16" s="201"/>
      <c r="UL16" s="201"/>
      <c r="UM16" s="201"/>
      <c r="UN16" s="201"/>
      <c r="UO16" s="201"/>
      <c r="UP16" s="201"/>
      <c r="UQ16" s="201"/>
      <c r="UR16" s="201"/>
      <c r="US16" s="201"/>
      <c r="UT16" s="201"/>
      <c r="UU16" s="201"/>
    </row>
    <row r="17" spans="2:567" x14ac:dyDescent="0.25">
      <c r="B17" s="18" t="s">
        <v>578</v>
      </c>
      <c r="C17" s="18"/>
      <c r="D17" s="18"/>
      <c r="E17" s="18"/>
      <c r="F17" s="527">
        <v>2002</v>
      </c>
      <c r="G17" s="18" t="s">
        <v>579</v>
      </c>
      <c r="H17" s="18"/>
      <c r="I17" s="18"/>
      <c r="J17" s="26"/>
      <c r="K17" s="527" t="s">
        <v>259</v>
      </c>
      <c r="L17" s="240"/>
      <c r="R17" s="257"/>
      <c r="S17" s="243"/>
      <c r="T17" s="243"/>
      <c r="U17" s="243"/>
      <c r="V17" s="243"/>
      <c r="W17" s="243"/>
      <c r="X17" s="243"/>
      <c r="Y17" s="243"/>
      <c r="Z17" s="243"/>
      <c r="AA17" s="243"/>
      <c r="AB17" s="243"/>
      <c r="AC17" s="243"/>
      <c r="AD17" s="243"/>
      <c r="AE17" s="243"/>
      <c r="AF17" s="243"/>
      <c r="AG17" s="243"/>
      <c r="AH17" s="243"/>
      <c r="AI17" s="243"/>
      <c r="AJ17" s="243"/>
      <c r="AK17" s="243"/>
      <c r="AL17" s="243"/>
      <c r="AM17" s="243"/>
      <c r="AN17" s="243"/>
      <c r="AO17" s="243"/>
      <c r="AP17" s="243"/>
      <c r="AQ17" s="243"/>
      <c r="AR17" s="243"/>
      <c r="AS17" s="243"/>
      <c r="AT17" s="243"/>
      <c r="AU17" s="243"/>
      <c r="AV17" s="243"/>
      <c r="AW17" s="243"/>
      <c r="AX17" s="243"/>
      <c r="AY17" s="243"/>
      <c r="AZ17" s="243"/>
      <c r="BA17" s="243"/>
      <c r="BB17" s="243"/>
      <c r="BC17" s="243"/>
      <c r="BD17" s="243"/>
      <c r="BE17" s="243"/>
      <c r="BF17" s="243"/>
      <c r="BG17" s="243"/>
      <c r="BH17" s="243"/>
      <c r="BI17" s="243"/>
      <c r="BJ17" s="243"/>
      <c r="BK17" s="243"/>
      <c r="BL17" s="243"/>
      <c r="BM17" s="243"/>
      <c r="BN17" s="243"/>
      <c r="BO17" s="243"/>
      <c r="BP17" s="243"/>
      <c r="BQ17" s="243"/>
      <c r="BR17" s="243"/>
      <c r="BS17" s="243"/>
      <c r="BT17" s="243"/>
      <c r="BU17" s="243"/>
      <c r="BV17" s="243"/>
      <c r="BW17" s="243"/>
      <c r="BX17" s="243"/>
      <c r="BY17" s="243"/>
      <c r="BZ17" s="243"/>
      <c r="CA17" s="243"/>
      <c r="CB17" s="243"/>
      <c r="CC17" s="243"/>
      <c r="CD17" s="243"/>
      <c r="CE17" s="243"/>
      <c r="CF17" s="243"/>
      <c r="CG17" s="243"/>
      <c r="CH17" s="243"/>
      <c r="CI17" s="243"/>
      <c r="CJ17" s="243"/>
      <c r="CK17" s="243"/>
      <c r="CL17" s="243"/>
      <c r="CM17" s="243"/>
      <c r="CN17" s="243"/>
      <c r="CO17" s="243"/>
      <c r="CP17" s="243"/>
      <c r="CQ17" s="243"/>
      <c r="CR17" s="243"/>
      <c r="CS17" s="243"/>
      <c r="CT17" s="243"/>
      <c r="CU17" s="243"/>
      <c r="CV17" s="243"/>
      <c r="CW17" s="243"/>
      <c r="CX17" s="243"/>
      <c r="CY17" s="243"/>
      <c r="CZ17" s="243"/>
      <c r="DA17" s="243"/>
      <c r="DB17" s="243"/>
      <c r="DC17" s="243"/>
      <c r="DD17" s="243"/>
      <c r="DE17" s="243"/>
      <c r="DF17" s="243"/>
      <c r="DG17" s="243"/>
      <c r="DH17" s="243"/>
      <c r="DI17" s="243"/>
      <c r="DJ17" s="243"/>
      <c r="DK17" s="243"/>
      <c r="DL17" s="243"/>
      <c r="DM17" s="243"/>
      <c r="DN17" s="243"/>
      <c r="DO17" s="243"/>
      <c r="DP17" s="243"/>
      <c r="DQ17" s="243"/>
      <c r="DR17" s="243"/>
      <c r="DS17" s="243"/>
      <c r="DT17" s="243"/>
      <c r="DU17" s="243"/>
      <c r="DV17" s="243"/>
      <c r="DW17" s="243"/>
      <c r="DX17" s="243"/>
      <c r="DY17" s="243"/>
      <c r="DZ17" s="243"/>
      <c r="EA17" s="243"/>
      <c r="EB17" s="243"/>
      <c r="EC17" s="243"/>
      <c r="ED17" s="243"/>
      <c r="EE17" s="243"/>
      <c r="EF17" s="243"/>
      <c r="EG17" s="243"/>
      <c r="EH17" s="243"/>
      <c r="EI17" s="243"/>
      <c r="EJ17" s="243"/>
      <c r="EK17" s="243"/>
      <c r="EL17" s="243"/>
      <c r="EM17" s="243"/>
      <c r="EN17" s="243"/>
      <c r="EO17" s="243"/>
      <c r="EP17" s="243"/>
      <c r="EQ17" s="243"/>
      <c r="ER17" s="243"/>
      <c r="ES17" s="243"/>
      <c r="ET17" s="243"/>
      <c r="EU17" s="243"/>
      <c r="FC17" s="199"/>
      <c r="FD17" s="199"/>
      <c r="FE17" s="199"/>
      <c r="FF17" s="199"/>
      <c r="FG17" s="199"/>
      <c r="FH17" s="199"/>
      <c r="FI17" s="199"/>
      <c r="FJ17" s="199"/>
      <c r="FK17" s="199"/>
      <c r="FL17" s="199"/>
      <c r="FM17" s="199"/>
      <c r="FN17" s="199"/>
      <c r="FO17" s="199"/>
      <c r="FP17" s="199"/>
      <c r="FQ17" s="199"/>
      <c r="FR17" s="199"/>
      <c r="FS17" s="199"/>
      <c r="FT17" s="199"/>
      <c r="FU17" s="199"/>
      <c r="FV17" s="199"/>
      <c r="FW17" s="199"/>
      <c r="FX17" s="199"/>
      <c r="FY17" s="199"/>
      <c r="FZ17" s="199"/>
      <c r="GA17" s="199"/>
      <c r="GB17" s="199"/>
      <c r="GC17" s="199"/>
      <c r="GD17" s="199"/>
      <c r="GE17" s="199"/>
      <c r="GF17" s="199"/>
      <c r="GG17" s="199"/>
      <c r="GH17" s="199"/>
      <c r="GI17" s="199"/>
      <c r="GJ17" s="199"/>
      <c r="GK17" s="199"/>
      <c r="GL17" s="199"/>
      <c r="GM17" s="199"/>
      <c r="GN17" s="199"/>
      <c r="GO17" s="199"/>
      <c r="GP17" s="199"/>
      <c r="GQ17" s="199"/>
      <c r="GR17" s="199"/>
      <c r="GS17" s="199"/>
      <c r="GT17" s="199"/>
      <c r="GU17" s="199"/>
      <c r="GV17" s="199"/>
      <c r="GW17" s="199"/>
      <c r="GX17" s="199"/>
      <c r="GY17" s="199"/>
      <c r="GZ17" s="199"/>
      <c r="HA17" s="199"/>
      <c r="HB17" s="199"/>
      <c r="HC17" s="199"/>
      <c r="HD17" s="199"/>
      <c r="HE17" s="199"/>
      <c r="HF17" s="199"/>
      <c r="HG17" s="199"/>
      <c r="HH17" s="199"/>
      <c r="HI17" s="199"/>
      <c r="HJ17" s="199"/>
      <c r="HK17" s="199"/>
      <c r="HL17" s="199"/>
      <c r="HM17" s="199"/>
      <c r="HN17" s="199"/>
      <c r="HO17" s="199"/>
      <c r="HP17" s="199"/>
      <c r="HQ17" s="199"/>
      <c r="HR17" s="199"/>
      <c r="HS17" s="199"/>
      <c r="HT17" s="199"/>
      <c r="HU17" s="199"/>
      <c r="HV17" s="199"/>
      <c r="HW17" s="199"/>
      <c r="HX17" s="199"/>
      <c r="HY17" s="199"/>
      <c r="HZ17" s="199"/>
      <c r="IA17" s="199"/>
      <c r="IB17" s="199"/>
      <c r="IC17" s="199"/>
      <c r="ID17" s="199"/>
      <c r="IE17" s="199"/>
      <c r="IF17" s="199"/>
      <c r="IG17" s="199"/>
      <c r="IH17" s="199"/>
      <c r="II17" s="199"/>
      <c r="IJ17" s="199"/>
      <c r="IK17" s="199"/>
      <c r="IL17" s="199"/>
      <c r="IM17" s="199"/>
      <c r="IN17" s="199"/>
      <c r="IO17" s="199"/>
      <c r="IP17" s="199"/>
      <c r="IQ17" s="199"/>
      <c r="IR17" s="199"/>
      <c r="IS17" s="199"/>
      <c r="IT17" s="199"/>
      <c r="IU17" s="199"/>
      <c r="IV17" s="199"/>
      <c r="IW17" s="199"/>
      <c r="IX17" s="199"/>
      <c r="IY17" s="199"/>
      <c r="IZ17" s="199"/>
      <c r="JA17" s="199"/>
      <c r="JB17" s="199"/>
      <c r="JC17" s="199"/>
      <c r="JD17" s="199"/>
      <c r="JE17" s="199"/>
      <c r="JF17" s="199"/>
      <c r="JG17" s="199"/>
      <c r="JH17" s="199"/>
      <c r="JI17" s="199"/>
      <c r="JJ17" s="199"/>
      <c r="JK17" s="199"/>
      <c r="JL17" s="199"/>
      <c r="JM17" s="199"/>
      <c r="JN17" s="199"/>
      <c r="JO17" s="199"/>
      <c r="JP17" s="199"/>
      <c r="JQ17" s="199"/>
      <c r="JR17" s="199"/>
      <c r="JS17" s="199"/>
      <c r="JT17" s="199"/>
      <c r="JU17" s="199"/>
      <c r="JV17" s="199"/>
      <c r="JW17" s="199"/>
      <c r="JX17" s="199"/>
      <c r="JY17" s="199"/>
      <c r="JZ17" s="199"/>
      <c r="KA17" s="199"/>
      <c r="KB17" s="199"/>
      <c r="KC17" s="199"/>
      <c r="KD17" s="199"/>
      <c r="KE17" s="199"/>
      <c r="PQ17" s="201"/>
      <c r="PR17" s="201"/>
      <c r="PS17" s="201"/>
      <c r="PT17" s="201"/>
      <c r="PU17" s="201"/>
      <c r="PV17" s="201"/>
      <c r="PW17" s="201"/>
      <c r="PX17" s="201"/>
      <c r="PY17" s="201"/>
      <c r="PZ17" s="201"/>
      <c r="QA17" s="201"/>
      <c r="QB17" s="201"/>
      <c r="QC17" s="201"/>
      <c r="QD17" s="201"/>
      <c r="QE17" s="201"/>
      <c r="QF17" s="201"/>
      <c r="QG17" s="201"/>
      <c r="QH17" s="201"/>
      <c r="QI17" s="201"/>
      <c r="QJ17" s="201"/>
      <c r="QK17" s="201"/>
      <c r="QL17" s="201"/>
      <c r="QM17" s="201"/>
      <c r="QN17" s="201"/>
      <c r="QO17" s="201"/>
      <c r="QP17" s="201"/>
      <c r="QQ17" s="201"/>
      <c r="QR17" s="201"/>
      <c r="QS17" s="201"/>
      <c r="QT17" s="201"/>
      <c r="QU17" s="201"/>
      <c r="QV17" s="201"/>
      <c r="QW17" s="201"/>
      <c r="QX17" s="201"/>
      <c r="QY17" s="201"/>
      <c r="QZ17" s="201"/>
      <c r="RA17" s="201"/>
      <c r="RB17" s="201"/>
      <c r="RC17" s="201"/>
      <c r="RD17" s="201"/>
      <c r="RE17" s="201"/>
      <c r="RF17" s="201"/>
      <c r="RG17" s="201"/>
      <c r="RH17" s="201"/>
      <c r="RI17" s="201"/>
      <c r="RJ17" s="201"/>
      <c r="RK17" s="201"/>
      <c r="RL17" s="201"/>
      <c r="RM17" s="201"/>
      <c r="RN17" s="201"/>
      <c r="RO17" s="201"/>
      <c r="RP17" s="201"/>
      <c r="RQ17" s="201"/>
      <c r="RR17" s="201"/>
      <c r="RS17" s="201"/>
      <c r="RT17" s="201"/>
      <c r="RU17" s="201"/>
      <c r="RV17" s="201"/>
      <c r="RW17" s="201"/>
      <c r="RX17" s="201"/>
      <c r="RY17" s="201"/>
      <c r="RZ17" s="201"/>
      <c r="SA17" s="201"/>
      <c r="SB17" s="201"/>
      <c r="SC17" s="201"/>
      <c r="SD17" s="201"/>
      <c r="SE17" s="201"/>
      <c r="SF17" s="201"/>
      <c r="SG17" s="201"/>
      <c r="SH17" s="201"/>
      <c r="SI17" s="201"/>
      <c r="SJ17" s="201"/>
      <c r="SK17" s="201"/>
      <c r="SL17" s="201"/>
      <c r="SM17" s="201"/>
      <c r="SN17" s="201"/>
      <c r="SO17" s="201"/>
      <c r="SP17" s="201"/>
      <c r="SQ17" s="201"/>
      <c r="SR17" s="201"/>
      <c r="SS17" s="201"/>
      <c r="ST17" s="201"/>
      <c r="SU17" s="201"/>
      <c r="SV17" s="201"/>
      <c r="SW17" s="201"/>
      <c r="SX17" s="201"/>
      <c r="SY17" s="201"/>
      <c r="SZ17" s="201"/>
      <c r="TA17" s="201"/>
      <c r="TB17" s="201"/>
      <c r="TC17" s="201"/>
      <c r="TD17" s="201"/>
      <c r="TE17" s="201"/>
      <c r="TF17" s="201"/>
      <c r="TG17" s="201"/>
      <c r="TH17" s="201"/>
      <c r="TI17" s="201"/>
      <c r="TJ17" s="201"/>
      <c r="TK17" s="201"/>
      <c r="TL17" s="201"/>
      <c r="TM17" s="201"/>
      <c r="TN17" s="201"/>
      <c r="TO17" s="201"/>
      <c r="TP17" s="201"/>
      <c r="TQ17" s="201"/>
      <c r="TR17" s="201"/>
      <c r="TS17" s="201"/>
      <c r="TT17" s="201"/>
      <c r="TU17" s="201"/>
      <c r="TV17" s="201"/>
      <c r="TW17" s="201"/>
      <c r="TX17" s="201"/>
      <c r="TY17" s="201"/>
      <c r="TZ17" s="201"/>
      <c r="UA17" s="201"/>
      <c r="UB17" s="201"/>
      <c r="UC17" s="201"/>
      <c r="UD17" s="201"/>
      <c r="UE17" s="201"/>
      <c r="UF17" s="201"/>
      <c r="UG17" s="201"/>
      <c r="UH17" s="201"/>
      <c r="UI17" s="201"/>
      <c r="UJ17" s="201"/>
      <c r="UK17" s="201"/>
      <c r="UL17" s="201"/>
      <c r="UM17" s="201"/>
      <c r="UN17" s="201"/>
      <c r="UO17" s="201"/>
      <c r="UP17" s="201"/>
      <c r="UQ17" s="201"/>
      <c r="UR17" s="201"/>
      <c r="US17" s="201"/>
      <c r="UT17" s="201"/>
      <c r="UU17" s="201"/>
    </row>
    <row r="18" spans="2:567" x14ac:dyDescent="0.25">
      <c r="B18" s="18" t="s">
        <v>13</v>
      </c>
      <c r="C18" s="18"/>
      <c r="D18" s="18"/>
      <c r="E18" s="18"/>
      <c r="F18" s="171">
        <v>46023</v>
      </c>
      <c r="G18" s="18" t="s">
        <v>14</v>
      </c>
      <c r="H18" s="18"/>
      <c r="I18" s="18"/>
      <c r="J18" s="26"/>
      <c r="K18" s="172">
        <f>INDEX($T$23:$EU$23,K19)</f>
        <v>47149</v>
      </c>
      <c r="L18" s="240"/>
      <c r="R18" s="257" t="s">
        <v>24</v>
      </c>
      <c r="S18" s="545">
        <f t="shared" ref="S18:AX18" si="20">ROUNDUP(S19/12,0)</f>
        <v>0</v>
      </c>
      <c r="T18" s="545">
        <f t="shared" si="20"/>
        <v>1</v>
      </c>
      <c r="U18" s="545">
        <f t="shared" si="20"/>
        <v>1</v>
      </c>
      <c r="V18" s="545">
        <f t="shared" si="20"/>
        <v>1</v>
      </c>
      <c r="W18" s="545">
        <f t="shared" si="20"/>
        <v>1</v>
      </c>
      <c r="X18" s="545">
        <f t="shared" si="20"/>
        <v>1</v>
      </c>
      <c r="Y18" s="545">
        <f t="shared" si="20"/>
        <v>1</v>
      </c>
      <c r="Z18" s="545">
        <f t="shared" si="20"/>
        <v>1</v>
      </c>
      <c r="AA18" s="545">
        <f t="shared" si="20"/>
        <v>1</v>
      </c>
      <c r="AB18" s="545">
        <f t="shared" si="20"/>
        <v>1</v>
      </c>
      <c r="AC18" s="545">
        <f t="shared" si="20"/>
        <v>1</v>
      </c>
      <c r="AD18" s="545">
        <f t="shared" si="20"/>
        <v>1</v>
      </c>
      <c r="AE18" s="545">
        <f t="shared" si="20"/>
        <v>1</v>
      </c>
      <c r="AF18" s="545">
        <f t="shared" si="20"/>
        <v>2</v>
      </c>
      <c r="AG18" s="545">
        <f t="shared" si="20"/>
        <v>2</v>
      </c>
      <c r="AH18" s="545">
        <f t="shared" si="20"/>
        <v>2</v>
      </c>
      <c r="AI18" s="545">
        <f t="shared" si="20"/>
        <v>2</v>
      </c>
      <c r="AJ18" s="545">
        <f t="shared" si="20"/>
        <v>2</v>
      </c>
      <c r="AK18" s="545">
        <f t="shared" si="20"/>
        <v>2</v>
      </c>
      <c r="AL18" s="545">
        <f t="shared" si="20"/>
        <v>2</v>
      </c>
      <c r="AM18" s="545">
        <f t="shared" si="20"/>
        <v>2</v>
      </c>
      <c r="AN18" s="545">
        <f t="shared" si="20"/>
        <v>2</v>
      </c>
      <c r="AO18" s="545">
        <f t="shared" si="20"/>
        <v>2</v>
      </c>
      <c r="AP18" s="545">
        <f t="shared" si="20"/>
        <v>2</v>
      </c>
      <c r="AQ18" s="545">
        <f t="shared" si="20"/>
        <v>2</v>
      </c>
      <c r="AR18" s="545">
        <f t="shared" si="20"/>
        <v>3</v>
      </c>
      <c r="AS18" s="545">
        <f t="shared" si="20"/>
        <v>3</v>
      </c>
      <c r="AT18" s="545">
        <f t="shared" si="20"/>
        <v>3</v>
      </c>
      <c r="AU18" s="545">
        <f t="shared" si="20"/>
        <v>3</v>
      </c>
      <c r="AV18" s="545">
        <f t="shared" si="20"/>
        <v>3</v>
      </c>
      <c r="AW18" s="545">
        <f t="shared" si="20"/>
        <v>3</v>
      </c>
      <c r="AX18" s="545">
        <f t="shared" si="20"/>
        <v>3</v>
      </c>
      <c r="AY18" s="545">
        <f t="shared" ref="AY18:CD18" si="21">ROUNDUP(AY19/12,0)</f>
        <v>3</v>
      </c>
      <c r="AZ18" s="545">
        <f t="shared" si="21"/>
        <v>3</v>
      </c>
      <c r="BA18" s="545">
        <f t="shared" si="21"/>
        <v>3</v>
      </c>
      <c r="BB18" s="545">
        <f t="shared" si="21"/>
        <v>3</v>
      </c>
      <c r="BC18" s="545">
        <f t="shared" si="21"/>
        <v>3</v>
      </c>
      <c r="BD18" s="545">
        <f t="shared" si="21"/>
        <v>4</v>
      </c>
      <c r="BE18" s="545">
        <f t="shared" si="21"/>
        <v>4</v>
      </c>
      <c r="BF18" s="545">
        <f t="shared" si="21"/>
        <v>4</v>
      </c>
      <c r="BG18" s="545">
        <f t="shared" si="21"/>
        <v>4</v>
      </c>
      <c r="BH18" s="545">
        <f t="shared" si="21"/>
        <v>4</v>
      </c>
      <c r="BI18" s="545">
        <f t="shared" si="21"/>
        <v>4</v>
      </c>
      <c r="BJ18" s="545">
        <f t="shared" si="21"/>
        <v>4</v>
      </c>
      <c r="BK18" s="545">
        <f t="shared" si="21"/>
        <v>4</v>
      </c>
      <c r="BL18" s="545">
        <f t="shared" si="21"/>
        <v>4</v>
      </c>
      <c r="BM18" s="545">
        <f t="shared" si="21"/>
        <v>4</v>
      </c>
      <c r="BN18" s="545">
        <f t="shared" si="21"/>
        <v>4</v>
      </c>
      <c r="BO18" s="545">
        <f t="shared" si="21"/>
        <v>4</v>
      </c>
      <c r="BP18" s="545">
        <f t="shared" si="21"/>
        <v>5</v>
      </c>
      <c r="BQ18" s="545">
        <f t="shared" si="21"/>
        <v>5</v>
      </c>
      <c r="BR18" s="545">
        <f t="shared" si="21"/>
        <v>5</v>
      </c>
      <c r="BS18" s="545">
        <f t="shared" si="21"/>
        <v>5</v>
      </c>
      <c r="BT18" s="545">
        <f t="shared" si="21"/>
        <v>5</v>
      </c>
      <c r="BU18" s="545">
        <f t="shared" si="21"/>
        <v>5</v>
      </c>
      <c r="BV18" s="545">
        <f t="shared" si="21"/>
        <v>5</v>
      </c>
      <c r="BW18" s="545">
        <f t="shared" si="21"/>
        <v>5</v>
      </c>
      <c r="BX18" s="545">
        <f t="shared" si="21"/>
        <v>5</v>
      </c>
      <c r="BY18" s="545">
        <f t="shared" si="21"/>
        <v>5</v>
      </c>
      <c r="BZ18" s="545">
        <f t="shared" si="21"/>
        <v>5</v>
      </c>
      <c r="CA18" s="545">
        <f t="shared" si="21"/>
        <v>5</v>
      </c>
      <c r="CB18" s="545">
        <f t="shared" si="21"/>
        <v>6</v>
      </c>
      <c r="CC18" s="545">
        <f t="shared" si="21"/>
        <v>6</v>
      </c>
      <c r="CD18" s="545">
        <f t="shared" si="21"/>
        <v>6</v>
      </c>
      <c r="CE18" s="545">
        <f t="shared" ref="CE18:DJ18" si="22">ROUNDUP(CE19/12,0)</f>
        <v>6</v>
      </c>
      <c r="CF18" s="545">
        <f t="shared" si="22"/>
        <v>6</v>
      </c>
      <c r="CG18" s="545">
        <f t="shared" si="22"/>
        <v>6</v>
      </c>
      <c r="CH18" s="545">
        <f t="shared" si="22"/>
        <v>6</v>
      </c>
      <c r="CI18" s="545">
        <f t="shared" si="22"/>
        <v>6</v>
      </c>
      <c r="CJ18" s="545">
        <f t="shared" si="22"/>
        <v>6</v>
      </c>
      <c r="CK18" s="545">
        <f t="shared" si="22"/>
        <v>6</v>
      </c>
      <c r="CL18" s="545">
        <f t="shared" si="22"/>
        <v>6</v>
      </c>
      <c r="CM18" s="545">
        <f t="shared" si="22"/>
        <v>6</v>
      </c>
      <c r="CN18" s="545">
        <f t="shared" si="22"/>
        <v>7</v>
      </c>
      <c r="CO18" s="545">
        <f t="shared" si="22"/>
        <v>7</v>
      </c>
      <c r="CP18" s="545">
        <f t="shared" si="22"/>
        <v>7</v>
      </c>
      <c r="CQ18" s="545">
        <f t="shared" si="22"/>
        <v>7</v>
      </c>
      <c r="CR18" s="545">
        <f t="shared" si="22"/>
        <v>7</v>
      </c>
      <c r="CS18" s="545">
        <f t="shared" si="22"/>
        <v>7</v>
      </c>
      <c r="CT18" s="545">
        <f t="shared" si="22"/>
        <v>7</v>
      </c>
      <c r="CU18" s="545">
        <f t="shared" si="22"/>
        <v>7</v>
      </c>
      <c r="CV18" s="545">
        <f t="shared" si="22"/>
        <v>7</v>
      </c>
      <c r="CW18" s="545">
        <f t="shared" si="22"/>
        <v>7</v>
      </c>
      <c r="CX18" s="545">
        <f t="shared" si="22"/>
        <v>7</v>
      </c>
      <c r="CY18" s="545">
        <f t="shared" si="22"/>
        <v>7</v>
      </c>
      <c r="CZ18" s="545">
        <f t="shared" si="22"/>
        <v>8</v>
      </c>
      <c r="DA18" s="545">
        <f t="shared" si="22"/>
        <v>8</v>
      </c>
      <c r="DB18" s="545">
        <f t="shared" si="22"/>
        <v>8</v>
      </c>
      <c r="DC18" s="545">
        <f t="shared" si="22"/>
        <v>8</v>
      </c>
      <c r="DD18" s="545">
        <f t="shared" si="22"/>
        <v>8</v>
      </c>
      <c r="DE18" s="545">
        <f t="shared" si="22"/>
        <v>8</v>
      </c>
      <c r="DF18" s="545">
        <f t="shared" si="22"/>
        <v>8</v>
      </c>
      <c r="DG18" s="545">
        <f t="shared" si="22"/>
        <v>8</v>
      </c>
      <c r="DH18" s="545">
        <f t="shared" si="22"/>
        <v>8</v>
      </c>
      <c r="DI18" s="545">
        <f t="shared" si="22"/>
        <v>8</v>
      </c>
      <c r="DJ18" s="545">
        <f t="shared" si="22"/>
        <v>8</v>
      </c>
      <c r="DK18" s="545">
        <f t="shared" ref="DK18:EP18" si="23">ROUNDUP(DK19/12,0)</f>
        <v>8</v>
      </c>
      <c r="DL18" s="545">
        <f t="shared" si="23"/>
        <v>9</v>
      </c>
      <c r="DM18" s="545">
        <f t="shared" si="23"/>
        <v>9</v>
      </c>
      <c r="DN18" s="545">
        <f t="shared" si="23"/>
        <v>9</v>
      </c>
      <c r="DO18" s="545">
        <f t="shared" si="23"/>
        <v>9</v>
      </c>
      <c r="DP18" s="545">
        <f t="shared" si="23"/>
        <v>9</v>
      </c>
      <c r="DQ18" s="545">
        <f t="shared" si="23"/>
        <v>9</v>
      </c>
      <c r="DR18" s="545">
        <f t="shared" si="23"/>
        <v>9</v>
      </c>
      <c r="DS18" s="545">
        <f t="shared" si="23"/>
        <v>9</v>
      </c>
      <c r="DT18" s="545">
        <f t="shared" si="23"/>
        <v>9</v>
      </c>
      <c r="DU18" s="545">
        <f t="shared" si="23"/>
        <v>9</v>
      </c>
      <c r="DV18" s="545">
        <f t="shared" si="23"/>
        <v>9</v>
      </c>
      <c r="DW18" s="545">
        <f t="shared" si="23"/>
        <v>9</v>
      </c>
      <c r="DX18" s="545">
        <f t="shared" si="23"/>
        <v>10</v>
      </c>
      <c r="DY18" s="545">
        <f t="shared" si="23"/>
        <v>10</v>
      </c>
      <c r="DZ18" s="545">
        <f t="shared" si="23"/>
        <v>10</v>
      </c>
      <c r="EA18" s="545">
        <f t="shared" si="23"/>
        <v>10</v>
      </c>
      <c r="EB18" s="545">
        <f t="shared" si="23"/>
        <v>10</v>
      </c>
      <c r="EC18" s="545">
        <f t="shared" si="23"/>
        <v>10</v>
      </c>
      <c r="ED18" s="545">
        <f t="shared" si="23"/>
        <v>10</v>
      </c>
      <c r="EE18" s="545">
        <f t="shared" si="23"/>
        <v>10</v>
      </c>
      <c r="EF18" s="545">
        <f t="shared" si="23"/>
        <v>10</v>
      </c>
      <c r="EG18" s="545">
        <f t="shared" si="23"/>
        <v>10</v>
      </c>
      <c r="EH18" s="545">
        <f t="shared" si="23"/>
        <v>10</v>
      </c>
      <c r="EI18" s="545">
        <f t="shared" si="23"/>
        <v>10</v>
      </c>
      <c r="EJ18" s="545">
        <f t="shared" si="23"/>
        <v>11</v>
      </c>
      <c r="EK18" s="545">
        <f t="shared" si="23"/>
        <v>11</v>
      </c>
      <c r="EL18" s="545">
        <f t="shared" si="23"/>
        <v>11</v>
      </c>
      <c r="EM18" s="545">
        <f t="shared" si="23"/>
        <v>11</v>
      </c>
      <c r="EN18" s="545">
        <f t="shared" si="23"/>
        <v>11</v>
      </c>
      <c r="EO18" s="545">
        <f t="shared" si="23"/>
        <v>11</v>
      </c>
      <c r="EP18" s="545">
        <f t="shared" si="23"/>
        <v>11</v>
      </c>
      <c r="EQ18" s="545">
        <f t="shared" ref="EQ18:EU18" si="24">ROUNDUP(EQ19/12,0)</f>
        <v>11</v>
      </c>
      <c r="ER18" s="545">
        <f t="shared" si="24"/>
        <v>11</v>
      </c>
      <c r="ES18" s="545">
        <f t="shared" si="24"/>
        <v>11</v>
      </c>
      <c r="ET18" s="545">
        <f t="shared" si="24"/>
        <v>11</v>
      </c>
      <c r="EU18" s="545">
        <f t="shared" si="24"/>
        <v>11</v>
      </c>
      <c r="FC18" s="199"/>
      <c r="FD18" s="199"/>
      <c r="FE18" s="199"/>
      <c r="FF18" s="199"/>
      <c r="FG18" s="199"/>
      <c r="FH18" s="199"/>
      <c r="FI18" s="199"/>
      <c r="FJ18" s="199"/>
      <c r="FK18" s="199"/>
      <c r="FL18" s="199"/>
      <c r="FM18" s="199"/>
      <c r="FN18" s="199"/>
      <c r="FO18" s="199"/>
      <c r="FP18" s="199"/>
      <c r="FQ18" s="199"/>
      <c r="FR18" s="199"/>
      <c r="FS18" s="199"/>
      <c r="FT18" s="199"/>
      <c r="FU18" s="199"/>
      <c r="FV18" s="199"/>
      <c r="FW18" s="199"/>
      <c r="FX18" s="199"/>
      <c r="FY18" s="199"/>
      <c r="FZ18" s="199"/>
      <c r="GA18" s="199"/>
      <c r="GB18" s="199"/>
      <c r="GC18" s="199"/>
      <c r="GD18" s="199"/>
      <c r="GE18" s="199"/>
      <c r="GF18" s="199"/>
      <c r="GG18" s="199"/>
      <c r="GH18" s="199"/>
      <c r="GI18" s="199"/>
      <c r="GJ18" s="199"/>
      <c r="GK18" s="199"/>
      <c r="GL18" s="199"/>
      <c r="GM18" s="199"/>
      <c r="GN18" s="199"/>
      <c r="GO18" s="199"/>
      <c r="GP18" s="199"/>
      <c r="GQ18" s="199"/>
      <c r="GR18" s="199"/>
      <c r="GS18" s="199"/>
      <c r="GT18" s="199"/>
      <c r="GU18" s="199"/>
      <c r="GV18" s="199"/>
      <c r="GW18" s="199"/>
      <c r="GX18" s="199"/>
      <c r="GY18" s="199"/>
      <c r="GZ18" s="199"/>
      <c r="HA18" s="199"/>
      <c r="HB18" s="199"/>
      <c r="HC18" s="199"/>
      <c r="HD18" s="199"/>
      <c r="HE18" s="199"/>
      <c r="HF18" s="199"/>
      <c r="HG18" s="199"/>
      <c r="HH18" s="199"/>
      <c r="HI18" s="199"/>
      <c r="HJ18" s="199"/>
      <c r="HK18" s="199"/>
      <c r="HL18" s="199"/>
      <c r="HM18" s="199"/>
      <c r="HN18" s="199"/>
      <c r="HO18" s="199"/>
      <c r="HP18" s="199"/>
      <c r="HQ18" s="199"/>
      <c r="HR18" s="199"/>
      <c r="HS18" s="199"/>
      <c r="HT18" s="199"/>
      <c r="HU18" s="199"/>
      <c r="HV18" s="199"/>
      <c r="HW18" s="199"/>
      <c r="HX18" s="199"/>
      <c r="HY18" s="199"/>
      <c r="HZ18" s="199"/>
      <c r="IA18" s="199"/>
      <c r="IB18" s="199"/>
      <c r="IC18" s="199"/>
      <c r="ID18" s="199"/>
      <c r="IE18" s="199"/>
      <c r="IF18" s="199"/>
      <c r="IG18" s="199"/>
      <c r="IH18" s="199"/>
      <c r="II18" s="199"/>
      <c r="IJ18" s="199"/>
      <c r="IK18" s="199"/>
      <c r="IL18" s="199"/>
      <c r="IM18" s="199"/>
      <c r="IN18" s="199"/>
      <c r="IO18" s="199"/>
      <c r="IP18" s="199"/>
      <c r="IQ18" s="199"/>
      <c r="IR18" s="199"/>
      <c r="IS18" s="199"/>
      <c r="IT18" s="199"/>
      <c r="IU18" s="199"/>
      <c r="IV18" s="199"/>
      <c r="IW18" s="199"/>
      <c r="IX18" s="199"/>
      <c r="IY18" s="199"/>
      <c r="IZ18" s="199"/>
      <c r="JA18" s="199"/>
      <c r="JB18" s="199"/>
      <c r="JC18" s="199"/>
      <c r="JD18" s="199"/>
      <c r="JE18" s="199"/>
      <c r="JF18" s="199"/>
      <c r="JG18" s="199"/>
      <c r="JH18" s="199"/>
      <c r="JI18" s="199"/>
      <c r="JJ18" s="199"/>
      <c r="JK18" s="199"/>
      <c r="JL18" s="199"/>
      <c r="JM18" s="199"/>
      <c r="JN18" s="199"/>
      <c r="JO18" s="199"/>
      <c r="JP18" s="199"/>
      <c r="JQ18" s="199"/>
      <c r="JR18" s="199"/>
      <c r="JS18" s="199"/>
      <c r="JT18" s="199"/>
      <c r="JU18" s="199"/>
      <c r="JV18" s="199"/>
      <c r="JW18" s="199"/>
      <c r="JX18" s="199"/>
      <c r="JY18" s="199"/>
      <c r="JZ18" s="199"/>
      <c r="KA18" s="199"/>
      <c r="KB18" s="199"/>
      <c r="KC18" s="199"/>
      <c r="KD18" s="199"/>
      <c r="KE18" s="199"/>
      <c r="PQ18" s="201"/>
      <c r="PR18" s="201"/>
      <c r="PS18" s="201"/>
      <c r="PT18" s="201"/>
      <c r="PU18" s="201"/>
      <c r="PV18" s="201"/>
      <c r="PW18" s="201"/>
      <c r="PX18" s="201"/>
      <c r="PY18" s="201"/>
      <c r="PZ18" s="201"/>
      <c r="QA18" s="201"/>
      <c r="QB18" s="201"/>
      <c r="QC18" s="201"/>
      <c r="QD18" s="201"/>
      <c r="QE18" s="201"/>
      <c r="QF18" s="201"/>
      <c r="QG18" s="201"/>
      <c r="QH18" s="201"/>
      <c r="QI18" s="201"/>
      <c r="QJ18" s="201"/>
      <c r="QK18" s="201"/>
      <c r="QL18" s="201"/>
      <c r="QM18" s="201"/>
      <c r="QN18" s="201"/>
      <c r="QO18" s="201"/>
      <c r="QP18" s="201"/>
      <c r="QQ18" s="201"/>
      <c r="QR18" s="201"/>
      <c r="QS18" s="201"/>
      <c r="QT18" s="201"/>
      <c r="QU18" s="201"/>
      <c r="QV18" s="201"/>
      <c r="QW18" s="201"/>
      <c r="QX18" s="201"/>
      <c r="QY18" s="201"/>
      <c r="QZ18" s="201"/>
      <c r="RA18" s="201"/>
      <c r="RB18" s="201"/>
      <c r="RC18" s="201"/>
      <c r="RD18" s="201"/>
      <c r="RE18" s="201"/>
      <c r="RF18" s="201"/>
      <c r="RG18" s="201"/>
      <c r="RH18" s="201"/>
      <c r="RI18" s="201"/>
      <c r="RJ18" s="201"/>
      <c r="RK18" s="201"/>
      <c r="RL18" s="201"/>
      <c r="RM18" s="201"/>
      <c r="RN18" s="201"/>
      <c r="RO18" s="201"/>
      <c r="RP18" s="201"/>
      <c r="RQ18" s="201"/>
      <c r="RR18" s="201"/>
      <c r="RS18" s="201"/>
      <c r="RT18" s="201"/>
      <c r="RU18" s="201"/>
      <c r="RV18" s="201"/>
      <c r="RW18" s="201"/>
      <c r="RX18" s="201"/>
      <c r="RY18" s="201"/>
      <c r="RZ18" s="201"/>
      <c r="SA18" s="201"/>
      <c r="SB18" s="201"/>
      <c r="SC18" s="201"/>
      <c r="SD18" s="201"/>
      <c r="SE18" s="201"/>
      <c r="SF18" s="201"/>
      <c r="SG18" s="201"/>
      <c r="SH18" s="201"/>
      <c r="SI18" s="201"/>
      <c r="SJ18" s="201"/>
      <c r="SK18" s="201"/>
      <c r="SL18" s="201"/>
      <c r="SM18" s="201"/>
      <c r="SN18" s="201"/>
      <c r="SO18" s="201"/>
      <c r="SP18" s="201"/>
      <c r="SQ18" s="201"/>
      <c r="SR18" s="201"/>
      <c r="SS18" s="201"/>
      <c r="ST18" s="201"/>
      <c r="SU18" s="201"/>
      <c r="SV18" s="201"/>
      <c r="SW18" s="201"/>
      <c r="SX18" s="201"/>
      <c r="SY18" s="201"/>
      <c r="SZ18" s="201"/>
      <c r="TA18" s="201"/>
      <c r="TB18" s="201"/>
      <c r="TC18" s="201"/>
      <c r="TD18" s="201"/>
      <c r="TE18" s="201"/>
      <c r="TF18" s="201"/>
      <c r="TG18" s="201"/>
      <c r="TH18" s="201"/>
      <c r="TI18" s="201"/>
      <c r="TJ18" s="201"/>
      <c r="TK18" s="201"/>
      <c r="TL18" s="201"/>
      <c r="TM18" s="201"/>
      <c r="TN18" s="201"/>
      <c r="TO18" s="201"/>
      <c r="TP18" s="201"/>
      <c r="TQ18" s="201"/>
      <c r="TR18" s="201"/>
      <c r="TS18" s="201"/>
      <c r="TT18" s="201"/>
      <c r="TU18" s="201"/>
      <c r="TV18" s="201"/>
      <c r="TW18" s="201"/>
      <c r="TX18" s="201"/>
      <c r="TY18" s="201"/>
      <c r="TZ18" s="201"/>
      <c r="UA18" s="201"/>
      <c r="UB18" s="201"/>
      <c r="UC18" s="201"/>
      <c r="UD18" s="201"/>
      <c r="UE18" s="201"/>
      <c r="UF18" s="201"/>
      <c r="UG18" s="201"/>
      <c r="UH18" s="201"/>
      <c r="UI18" s="201"/>
      <c r="UJ18" s="201"/>
      <c r="UK18" s="201"/>
      <c r="UL18" s="201"/>
      <c r="UM18" s="201"/>
      <c r="UN18" s="201"/>
      <c r="UO18" s="201"/>
      <c r="UP18" s="201"/>
      <c r="UQ18" s="201"/>
      <c r="UR18" s="201"/>
      <c r="US18" s="201"/>
      <c r="UT18" s="201"/>
      <c r="UU18" s="201"/>
    </row>
    <row r="19" spans="2:567" x14ac:dyDescent="0.25">
      <c r="B19" s="18" t="s">
        <v>311</v>
      </c>
      <c r="C19" s="18"/>
      <c r="D19" s="18"/>
      <c r="E19" s="18"/>
      <c r="F19" s="39">
        <f>Stabilization_Month</f>
        <v>24</v>
      </c>
      <c r="G19" s="18" t="s">
        <v>202</v>
      </c>
      <c r="H19" s="18"/>
      <c r="I19" s="18"/>
      <c r="J19" s="39"/>
      <c r="K19" s="39">
        <f>D168</f>
        <v>36</v>
      </c>
      <c r="L19" s="240"/>
      <c r="R19" s="244" t="s">
        <v>25</v>
      </c>
      <c r="S19" s="241">
        <v>0</v>
      </c>
      <c r="T19" s="241">
        <f>S19+1</f>
        <v>1</v>
      </c>
      <c r="U19" s="241">
        <f t="shared" ref="U19:CF19" si="25">T19+1</f>
        <v>2</v>
      </c>
      <c r="V19" s="241">
        <f t="shared" si="25"/>
        <v>3</v>
      </c>
      <c r="W19" s="241">
        <f t="shared" si="25"/>
        <v>4</v>
      </c>
      <c r="X19" s="241">
        <f t="shared" si="25"/>
        <v>5</v>
      </c>
      <c r="Y19" s="241">
        <f t="shared" si="25"/>
        <v>6</v>
      </c>
      <c r="Z19" s="241">
        <f t="shared" si="25"/>
        <v>7</v>
      </c>
      <c r="AA19" s="241">
        <f t="shared" si="25"/>
        <v>8</v>
      </c>
      <c r="AB19" s="241">
        <f t="shared" si="25"/>
        <v>9</v>
      </c>
      <c r="AC19" s="241">
        <f t="shared" si="25"/>
        <v>10</v>
      </c>
      <c r="AD19" s="241">
        <f t="shared" si="25"/>
        <v>11</v>
      </c>
      <c r="AE19" s="241">
        <f t="shared" si="25"/>
        <v>12</v>
      </c>
      <c r="AF19" s="241">
        <f t="shared" si="25"/>
        <v>13</v>
      </c>
      <c r="AG19" s="241">
        <f t="shared" si="25"/>
        <v>14</v>
      </c>
      <c r="AH19" s="241">
        <f t="shared" si="25"/>
        <v>15</v>
      </c>
      <c r="AI19" s="241">
        <f t="shared" si="25"/>
        <v>16</v>
      </c>
      <c r="AJ19" s="241">
        <f t="shared" si="25"/>
        <v>17</v>
      </c>
      <c r="AK19" s="241">
        <f t="shared" si="25"/>
        <v>18</v>
      </c>
      <c r="AL19" s="241">
        <f t="shared" si="25"/>
        <v>19</v>
      </c>
      <c r="AM19" s="241">
        <f t="shared" si="25"/>
        <v>20</v>
      </c>
      <c r="AN19" s="241">
        <f t="shared" si="25"/>
        <v>21</v>
      </c>
      <c r="AO19" s="241">
        <f t="shared" si="25"/>
        <v>22</v>
      </c>
      <c r="AP19" s="241">
        <f t="shared" si="25"/>
        <v>23</v>
      </c>
      <c r="AQ19" s="241">
        <f t="shared" si="25"/>
        <v>24</v>
      </c>
      <c r="AR19" s="241">
        <f t="shared" si="25"/>
        <v>25</v>
      </c>
      <c r="AS19" s="241">
        <f t="shared" si="25"/>
        <v>26</v>
      </c>
      <c r="AT19" s="241">
        <f t="shared" si="25"/>
        <v>27</v>
      </c>
      <c r="AU19" s="241">
        <f t="shared" si="25"/>
        <v>28</v>
      </c>
      <c r="AV19" s="241">
        <f t="shared" si="25"/>
        <v>29</v>
      </c>
      <c r="AW19" s="241">
        <f t="shared" si="25"/>
        <v>30</v>
      </c>
      <c r="AX19" s="241">
        <f t="shared" si="25"/>
        <v>31</v>
      </c>
      <c r="AY19" s="241">
        <f t="shared" si="25"/>
        <v>32</v>
      </c>
      <c r="AZ19" s="241">
        <f t="shared" si="25"/>
        <v>33</v>
      </c>
      <c r="BA19" s="241">
        <f t="shared" si="25"/>
        <v>34</v>
      </c>
      <c r="BB19" s="241">
        <f t="shared" si="25"/>
        <v>35</v>
      </c>
      <c r="BC19" s="241">
        <f t="shared" si="25"/>
        <v>36</v>
      </c>
      <c r="BD19" s="241">
        <f t="shared" si="25"/>
        <v>37</v>
      </c>
      <c r="BE19" s="241">
        <f t="shared" si="25"/>
        <v>38</v>
      </c>
      <c r="BF19" s="241">
        <f t="shared" si="25"/>
        <v>39</v>
      </c>
      <c r="BG19" s="241">
        <f t="shared" si="25"/>
        <v>40</v>
      </c>
      <c r="BH19" s="241">
        <f t="shared" si="25"/>
        <v>41</v>
      </c>
      <c r="BI19" s="241">
        <f t="shared" si="25"/>
        <v>42</v>
      </c>
      <c r="BJ19" s="241">
        <f t="shared" si="25"/>
        <v>43</v>
      </c>
      <c r="BK19" s="241">
        <f t="shared" si="25"/>
        <v>44</v>
      </c>
      <c r="BL19" s="241">
        <f t="shared" si="25"/>
        <v>45</v>
      </c>
      <c r="BM19" s="241">
        <f t="shared" si="25"/>
        <v>46</v>
      </c>
      <c r="BN19" s="241">
        <f t="shared" si="25"/>
        <v>47</v>
      </c>
      <c r="BO19" s="241">
        <f t="shared" si="25"/>
        <v>48</v>
      </c>
      <c r="BP19" s="241">
        <f t="shared" si="25"/>
        <v>49</v>
      </c>
      <c r="BQ19" s="241">
        <f t="shared" si="25"/>
        <v>50</v>
      </c>
      <c r="BR19" s="241">
        <f t="shared" si="25"/>
        <v>51</v>
      </c>
      <c r="BS19" s="241">
        <f t="shared" si="25"/>
        <v>52</v>
      </c>
      <c r="BT19" s="241">
        <f t="shared" si="25"/>
        <v>53</v>
      </c>
      <c r="BU19" s="241">
        <f t="shared" si="25"/>
        <v>54</v>
      </c>
      <c r="BV19" s="241">
        <f t="shared" si="25"/>
        <v>55</v>
      </c>
      <c r="BW19" s="241">
        <f t="shared" si="25"/>
        <v>56</v>
      </c>
      <c r="BX19" s="241">
        <f t="shared" si="25"/>
        <v>57</v>
      </c>
      <c r="BY19" s="241">
        <f t="shared" si="25"/>
        <v>58</v>
      </c>
      <c r="BZ19" s="241">
        <f t="shared" si="25"/>
        <v>59</v>
      </c>
      <c r="CA19" s="241">
        <f t="shared" si="25"/>
        <v>60</v>
      </c>
      <c r="CB19" s="241">
        <f t="shared" si="25"/>
        <v>61</v>
      </c>
      <c r="CC19" s="241">
        <f t="shared" si="25"/>
        <v>62</v>
      </c>
      <c r="CD19" s="241">
        <f t="shared" si="25"/>
        <v>63</v>
      </c>
      <c r="CE19" s="241">
        <f t="shared" si="25"/>
        <v>64</v>
      </c>
      <c r="CF19" s="241">
        <f t="shared" si="25"/>
        <v>65</v>
      </c>
      <c r="CG19" s="241">
        <f t="shared" ref="CG19:ER19" si="26">CF19+1</f>
        <v>66</v>
      </c>
      <c r="CH19" s="241">
        <f t="shared" si="26"/>
        <v>67</v>
      </c>
      <c r="CI19" s="241">
        <f t="shared" si="26"/>
        <v>68</v>
      </c>
      <c r="CJ19" s="241">
        <f t="shared" si="26"/>
        <v>69</v>
      </c>
      <c r="CK19" s="241">
        <f t="shared" si="26"/>
        <v>70</v>
      </c>
      <c r="CL19" s="241">
        <f t="shared" si="26"/>
        <v>71</v>
      </c>
      <c r="CM19" s="241">
        <f t="shared" si="26"/>
        <v>72</v>
      </c>
      <c r="CN19" s="241">
        <f t="shared" si="26"/>
        <v>73</v>
      </c>
      <c r="CO19" s="241">
        <f t="shared" si="26"/>
        <v>74</v>
      </c>
      <c r="CP19" s="241">
        <f t="shared" si="26"/>
        <v>75</v>
      </c>
      <c r="CQ19" s="241">
        <f t="shared" si="26"/>
        <v>76</v>
      </c>
      <c r="CR19" s="241">
        <f t="shared" si="26"/>
        <v>77</v>
      </c>
      <c r="CS19" s="241">
        <f t="shared" si="26"/>
        <v>78</v>
      </c>
      <c r="CT19" s="241">
        <f t="shared" si="26"/>
        <v>79</v>
      </c>
      <c r="CU19" s="241">
        <f t="shared" si="26"/>
        <v>80</v>
      </c>
      <c r="CV19" s="241">
        <f t="shared" si="26"/>
        <v>81</v>
      </c>
      <c r="CW19" s="241">
        <f t="shared" si="26"/>
        <v>82</v>
      </c>
      <c r="CX19" s="241">
        <f t="shared" si="26"/>
        <v>83</v>
      </c>
      <c r="CY19" s="241">
        <f t="shared" si="26"/>
        <v>84</v>
      </c>
      <c r="CZ19" s="241">
        <f t="shared" si="26"/>
        <v>85</v>
      </c>
      <c r="DA19" s="241">
        <f t="shared" si="26"/>
        <v>86</v>
      </c>
      <c r="DB19" s="241">
        <f t="shared" si="26"/>
        <v>87</v>
      </c>
      <c r="DC19" s="241">
        <f t="shared" si="26"/>
        <v>88</v>
      </c>
      <c r="DD19" s="241">
        <f t="shared" si="26"/>
        <v>89</v>
      </c>
      <c r="DE19" s="241">
        <f t="shared" si="26"/>
        <v>90</v>
      </c>
      <c r="DF19" s="241">
        <f t="shared" si="26"/>
        <v>91</v>
      </c>
      <c r="DG19" s="241">
        <f t="shared" si="26"/>
        <v>92</v>
      </c>
      <c r="DH19" s="241">
        <f t="shared" si="26"/>
        <v>93</v>
      </c>
      <c r="DI19" s="241">
        <f t="shared" si="26"/>
        <v>94</v>
      </c>
      <c r="DJ19" s="241">
        <f t="shared" si="26"/>
        <v>95</v>
      </c>
      <c r="DK19" s="241">
        <f t="shared" si="26"/>
        <v>96</v>
      </c>
      <c r="DL19" s="241">
        <f t="shared" si="26"/>
        <v>97</v>
      </c>
      <c r="DM19" s="241">
        <f t="shared" si="26"/>
        <v>98</v>
      </c>
      <c r="DN19" s="241">
        <f t="shared" si="26"/>
        <v>99</v>
      </c>
      <c r="DO19" s="241">
        <f t="shared" si="26"/>
        <v>100</v>
      </c>
      <c r="DP19" s="241">
        <f t="shared" si="26"/>
        <v>101</v>
      </c>
      <c r="DQ19" s="241">
        <f t="shared" si="26"/>
        <v>102</v>
      </c>
      <c r="DR19" s="241">
        <f t="shared" si="26"/>
        <v>103</v>
      </c>
      <c r="DS19" s="241">
        <f t="shared" si="26"/>
        <v>104</v>
      </c>
      <c r="DT19" s="241">
        <f t="shared" si="26"/>
        <v>105</v>
      </c>
      <c r="DU19" s="241">
        <f t="shared" si="26"/>
        <v>106</v>
      </c>
      <c r="DV19" s="241">
        <f t="shared" si="26"/>
        <v>107</v>
      </c>
      <c r="DW19" s="241">
        <f t="shared" si="26"/>
        <v>108</v>
      </c>
      <c r="DX19" s="241">
        <f t="shared" si="26"/>
        <v>109</v>
      </c>
      <c r="DY19" s="241">
        <f t="shared" si="26"/>
        <v>110</v>
      </c>
      <c r="DZ19" s="241">
        <f t="shared" si="26"/>
        <v>111</v>
      </c>
      <c r="EA19" s="241">
        <f t="shared" si="26"/>
        <v>112</v>
      </c>
      <c r="EB19" s="241">
        <f t="shared" si="26"/>
        <v>113</v>
      </c>
      <c r="EC19" s="241">
        <f t="shared" si="26"/>
        <v>114</v>
      </c>
      <c r="ED19" s="241">
        <f t="shared" si="26"/>
        <v>115</v>
      </c>
      <c r="EE19" s="241">
        <f t="shared" si="26"/>
        <v>116</v>
      </c>
      <c r="EF19" s="241">
        <f t="shared" si="26"/>
        <v>117</v>
      </c>
      <c r="EG19" s="241">
        <f t="shared" si="26"/>
        <v>118</v>
      </c>
      <c r="EH19" s="241">
        <f t="shared" si="26"/>
        <v>119</v>
      </c>
      <c r="EI19" s="241">
        <f t="shared" si="26"/>
        <v>120</v>
      </c>
      <c r="EJ19" s="241">
        <f t="shared" si="26"/>
        <v>121</v>
      </c>
      <c r="EK19" s="241">
        <f t="shared" si="26"/>
        <v>122</v>
      </c>
      <c r="EL19" s="241">
        <f t="shared" si="26"/>
        <v>123</v>
      </c>
      <c r="EM19" s="241">
        <f t="shared" si="26"/>
        <v>124</v>
      </c>
      <c r="EN19" s="241">
        <f t="shared" si="26"/>
        <v>125</v>
      </c>
      <c r="EO19" s="241">
        <f t="shared" si="26"/>
        <v>126</v>
      </c>
      <c r="EP19" s="241">
        <f t="shared" si="26"/>
        <v>127</v>
      </c>
      <c r="EQ19" s="241">
        <f t="shared" si="26"/>
        <v>128</v>
      </c>
      <c r="ER19" s="241">
        <f t="shared" si="26"/>
        <v>129</v>
      </c>
      <c r="ES19" s="241">
        <f>ER19+1</f>
        <v>130</v>
      </c>
      <c r="ET19" s="241">
        <f>ES19+1</f>
        <v>131</v>
      </c>
      <c r="EU19" s="241">
        <f>ET19+1</f>
        <v>132</v>
      </c>
      <c r="FC19" s="199"/>
      <c r="FD19" s="199"/>
      <c r="FE19" s="199"/>
      <c r="FF19" s="199"/>
      <c r="FG19" s="199"/>
      <c r="FH19" s="199"/>
      <c r="FI19" s="199"/>
      <c r="FJ19" s="199"/>
      <c r="FK19" s="199"/>
      <c r="FL19" s="199"/>
      <c r="FM19" s="199"/>
      <c r="FN19" s="199"/>
      <c r="FO19" s="199"/>
      <c r="FP19" s="199"/>
      <c r="FQ19" s="199"/>
      <c r="FR19" s="199"/>
      <c r="FS19" s="199"/>
      <c r="FT19" s="199"/>
      <c r="FU19" s="199"/>
      <c r="FV19" s="199"/>
      <c r="FW19" s="199"/>
      <c r="FX19" s="199"/>
      <c r="FY19" s="199"/>
      <c r="FZ19" s="199"/>
      <c r="GA19" s="199"/>
      <c r="GB19" s="199"/>
      <c r="GC19" s="199"/>
      <c r="GD19" s="199"/>
      <c r="GE19" s="199"/>
      <c r="GF19" s="199"/>
      <c r="GG19" s="199"/>
      <c r="GH19" s="199"/>
      <c r="GI19" s="199"/>
      <c r="GJ19" s="199"/>
      <c r="GK19" s="199"/>
      <c r="GL19" s="199"/>
      <c r="GM19" s="199"/>
      <c r="GN19" s="199"/>
      <c r="GO19" s="199"/>
      <c r="GP19" s="199"/>
      <c r="GQ19" s="199"/>
      <c r="GR19" s="199"/>
      <c r="GS19" s="199"/>
      <c r="GT19" s="199"/>
      <c r="GU19" s="199"/>
      <c r="GV19" s="199"/>
      <c r="GW19" s="199"/>
      <c r="GX19" s="199"/>
      <c r="GY19" s="199"/>
      <c r="GZ19" s="199"/>
      <c r="HA19" s="199"/>
      <c r="HB19" s="199"/>
      <c r="HC19" s="199"/>
      <c r="HD19" s="199"/>
      <c r="HE19" s="199"/>
      <c r="HF19" s="199"/>
      <c r="HG19" s="199"/>
      <c r="HH19" s="199"/>
      <c r="HI19" s="199"/>
      <c r="HJ19" s="199"/>
      <c r="HK19" s="199"/>
      <c r="HL19" s="199"/>
      <c r="HM19" s="199"/>
      <c r="HN19" s="199"/>
      <c r="HO19" s="199"/>
      <c r="HP19" s="199"/>
      <c r="HQ19" s="199"/>
      <c r="HR19" s="199"/>
      <c r="HS19" s="199"/>
      <c r="HT19" s="199"/>
      <c r="HU19" s="199"/>
      <c r="HV19" s="199"/>
      <c r="HW19" s="199"/>
      <c r="HX19" s="199"/>
      <c r="HY19" s="199"/>
      <c r="HZ19" s="199"/>
      <c r="IA19" s="199"/>
      <c r="IB19" s="199"/>
      <c r="IC19" s="199"/>
      <c r="ID19" s="199"/>
      <c r="IE19" s="199"/>
      <c r="IF19" s="199"/>
      <c r="IG19" s="199"/>
      <c r="IH19" s="199"/>
      <c r="II19" s="199"/>
      <c r="IJ19" s="199"/>
      <c r="IK19" s="199"/>
      <c r="IL19" s="199"/>
      <c r="IM19" s="199"/>
      <c r="IN19" s="199"/>
      <c r="IO19" s="199"/>
      <c r="IP19" s="199"/>
      <c r="IQ19" s="199"/>
      <c r="IR19" s="199"/>
      <c r="IS19" s="199"/>
      <c r="IT19" s="199"/>
      <c r="IU19" s="199"/>
      <c r="IV19" s="199"/>
      <c r="IW19" s="199"/>
      <c r="IX19" s="199"/>
      <c r="IY19" s="199"/>
      <c r="IZ19" s="199"/>
      <c r="JA19" s="199"/>
      <c r="JB19" s="199"/>
      <c r="JC19" s="199"/>
      <c r="JD19" s="199"/>
      <c r="JE19" s="199"/>
      <c r="JF19" s="199"/>
      <c r="JG19" s="199"/>
      <c r="JH19" s="199"/>
      <c r="JI19" s="199"/>
      <c r="JJ19" s="199"/>
      <c r="JK19" s="199"/>
      <c r="JL19" s="199"/>
      <c r="JM19" s="199"/>
      <c r="JN19" s="199"/>
      <c r="JO19" s="199"/>
      <c r="JP19" s="199"/>
      <c r="JQ19" s="199"/>
      <c r="JR19" s="199"/>
      <c r="JS19" s="199"/>
      <c r="JT19" s="199"/>
      <c r="JU19" s="199"/>
      <c r="JV19" s="199"/>
      <c r="JW19" s="199"/>
      <c r="JX19" s="199"/>
      <c r="JY19" s="199"/>
      <c r="JZ19" s="199"/>
      <c r="KA19" s="199"/>
      <c r="KB19" s="199"/>
      <c r="KC19" s="199"/>
      <c r="KD19" s="199"/>
      <c r="KE19" s="199"/>
      <c r="PQ19" s="201"/>
      <c r="PR19" s="201"/>
      <c r="PS19" s="201"/>
      <c r="PT19" s="201"/>
      <c r="PU19" s="201"/>
      <c r="PV19" s="201"/>
      <c r="PW19" s="201"/>
      <c r="PX19" s="201"/>
      <c r="PY19" s="201"/>
      <c r="PZ19" s="201"/>
      <c r="QA19" s="201"/>
      <c r="QB19" s="201"/>
      <c r="QC19" s="201"/>
      <c r="QD19" s="201"/>
      <c r="QE19" s="201"/>
      <c r="QF19" s="201"/>
      <c r="QG19" s="201"/>
      <c r="QH19" s="201"/>
      <c r="QI19" s="201"/>
      <c r="QJ19" s="201"/>
      <c r="QK19" s="201"/>
      <c r="QL19" s="201"/>
      <c r="QM19" s="201"/>
      <c r="QN19" s="201"/>
      <c r="QO19" s="201"/>
      <c r="QP19" s="201"/>
      <c r="QQ19" s="201"/>
      <c r="QR19" s="201"/>
      <c r="QS19" s="201"/>
      <c r="QT19" s="201"/>
      <c r="QU19" s="201"/>
      <c r="QV19" s="201"/>
      <c r="QW19" s="201"/>
      <c r="QX19" s="201"/>
      <c r="QY19" s="201"/>
      <c r="QZ19" s="201"/>
      <c r="RA19" s="201"/>
      <c r="RB19" s="201"/>
      <c r="RC19" s="201"/>
      <c r="RD19" s="201"/>
      <c r="RE19" s="201"/>
      <c r="RF19" s="201"/>
      <c r="RG19" s="201"/>
      <c r="RH19" s="201"/>
      <c r="RI19" s="201"/>
      <c r="RJ19" s="201"/>
      <c r="RK19" s="201"/>
      <c r="RL19" s="201"/>
      <c r="RM19" s="201"/>
      <c r="RN19" s="201"/>
      <c r="RO19" s="201"/>
      <c r="RP19" s="201"/>
      <c r="RQ19" s="201"/>
      <c r="RR19" s="201"/>
      <c r="RS19" s="201"/>
      <c r="RT19" s="201"/>
      <c r="RU19" s="201"/>
      <c r="RV19" s="201"/>
      <c r="RW19" s="201"/>
      <c r="RX19" s="201"/>
      <c r="RY19" s="201"/>
      <c r="RZ19" s="201"/>
      <c r="SA19" s="201"/>
      <c r="SB19" s="201"/>
      <c r="SC19" s="201"/>
      <c r="SD19" s="201"/>
      <c r="SE19" s="201"/>
      <c r="SF19" s="201"/>
      <c r="SG19" s="201"/>
      <c r="SH19" s="201"/>
      <c r="SI19" s="201"/>
      <c r="SJ19" s="201"/>
      <c r="SK19" s="201"/>
      <c r="SL19" s="201"/>
      <c r="SM19" s="201"/>
      <c r="SN19" s="201"/>
      <c r="SO19" s="201"/>
      <c r="SP19" s="201"/>
      <c r="SQ19" s="201"/>
      <c r="SR19" s="201"/>
      <c r="SS19" s="201"/>
      <c r="ST19" s="201"/>
      <c r="SU19" s="201"/>
      <c r="SV19" s="201"/>
      <c r="SW19" s="201"/>
      <c r="SX19" s="201"/>
      <c r="SY19" s="201"/>
      <c r="SZ19" s="201"/>
      <c r="TA19" s="201"/>
      <c r="TB19" s="201"/>
      <c r="TC19" s="201"/>
      <c r="TD19" s="201"/>
      <c r="TE19" s="201"/>
      <c r="TF19" s="201"/>
      <c r="TG19" s="201"/>
      <c r="TH19" s="201"/>
      <c r="TI19" s="201"/>
      <c r="TJ19" s="201"/>
      <c r="TK19" s="201"/>
      <c r="TL19" s="201"/>
      <c r="TM19" s="201"/>
      <c r="TN19" s="201"/>
      <c r="TO19" s="201"/>
      <c r="TP19" s="201"/>
      <c r="TQ19" s="201"/>
      <c r="TR19" s="201"/>
      <c r="TS19" s="201"/>
      <c r="TT19" s="201"/>
      <c r="TU19" s="201"/>
      <c r="TV19" s="201"/>
      <c r="TW19" s="201"/>
      <c r="TX19" s="201"/>
      <c r="TY19" s="201"/>
      <c r="TZ19" s="201"/>
      <c r="UA19" s="201"/>
      <c r="UB19" s="201"/>
      <c r="UC19" s="201"/>
      <c r="UD19" s="201"/>
      <c r="UE19" s="201"/>
      <c r="UF19" s="201"/>
      <c r="UG19" s="201"/>
      <c r="UH19" s="201"/>
      <c r="UI19" s="201"/>
      <c r="UJ19" s="201"/>
      <c r="UK19" s="201"/>
      <c r="UL19" s="201"/>
      <c r="UM19" s="201"/>
      <c r="UN19" s="201"/>
      <c r="UO19" s="201"/>
      <c r="UP19" s="201"/>
      <c r="UQ19" s="201"/>
      <c r="UR19" s="201"/>
      <c r="US19" s="201"/>
      <c r="UT19" s="201"/>
      <c r="UU19" s="201"/>
    </row>
    <row r="20" spans="2:567" ht="5.0999999999999996" customHeight="1" x14ac:dyDescent="0.25">
      <c r="B20" s="14"/>
      <c r="C20" s="15"/>
      <c r="D20" s="15"/>
      <c r="E20" s="15"/>
      <c r="F20" s="15"/>
      <c r="G20" s="15"/>
      <c r="H20" s="15"/>
      <c r="I20" s="15"/>
      <c r="J20" s="192"/>
      <c r="K20" s="192"/>
      <c r="L20" s="15"/>
      <c r="M20" s="497"/>
      <c r="N20" s="497"/>
      <c r="O20" s="497"/>
      <c r="P20" s="497"/>
      <c r="Q20" s="497"/>
      <c r="R20" s="258"/>
      <c r="S20" s="259"/>
      <c r="T20" s="259"/>
      <c r="U20" s="259"/>
      <c r="V20" s="259"/>
      <c r="W20" s="259"/>
      <c r="X20" s="259"/>
      <c r="Y20" s="259"/>
      <c r="Z20" s="259"/>
      <c r="AA20" s="259"/>
      <c r="AB20" s="259"/>
      <c r="AC20" s="259"/>
      <c r="AD20" s="259"/>
      <c r="AE20" s="259"/>
      <c r="AF20" s="259"/>
      <c r="AG20" s="259"/>
      <c r="AH20" s="259"/>
      <c r="AI20" s="259"/>
      <c r="AJ20" s="259"/>
      <c r="AK20" s="259"/>
      <c r="AL20" s="259"/>
      <c r="AM20" s="259"/>
      <c r="AN20" s="259"/>
      <c r="AO20" s="259"/>
      <c r="AP20" s="259"/>
      <c r="AQ20" s="259"/>
      <c r="AR20" s="259"/>
      <c r="AS20" s="259"/>
      <c r="AT20" s="259"/>
      <c r="AU20" s="259"/>
      <c r="AV20" s="259"/>
      <c r="AW20" s="259"/>
      <c r="AX20" s="259"/>
      <c r="AY20" s="259"/>
      <c r="AZ20" s="259"/>
      <c r="BA20" s="259"/>
      <c r="BB20" s="259"/>
      <c r="BC20" s="259"/>
      <c r="BD20" s="259"/>
      <c r="BE20" s="259"/>
      <c r="BF20" s="259"/>
      <c r="BG20" s="259"/>
      <c r="BH20" s="259"/>
      <c r="BI20" s="259"/>
      <c r="BJ20" s="259"/>
      <c r="BK20" s="259"/>
      <c r="BL20" s="259"/>
      <c r="BM20" s="259"/>
      <c r="BN20" s="259"/>
      <c r="BO20" s="259"/>
      <c r="BP20" s="259"/>
      <c r="BQ20" s="259"/>
      <c r="BR20" s="259"/>
      <c r="BS20" s="259"/>
      <c r="BT20" s="259"/>
      <c r="BU20" s="259"/>
      <c r="BV20" s="259"/>
      <c r="BW20" s="259"/>
      <c r="BX20" s="259"/>
      <c r="BY20" s="259"/>
      <c r="BZ20" s="259"/>
      <c r="CA20" s="259"/>
      <c r="CB20" s="259"/>
      <c r="CC20" s="259"/>
      <c r="CD20" s="259"/>
      <c r="CE20" s="259"/>
      <c r="CF20" s="259"/>
      <c r="CG20" s="259"/>
      <c r="CH20" s="259"/>
      <c r="CI20" s="259"/>
      <c r="CJ20" s="259"/>
      <c r="CK20" s="259"/>
      <c r="CL20" s="259"/>
      <c r="CM20" s="259"/>
      <c r="CN20" s="259"/>
      <c r="CO20" s="259"/>
      <c r="CP20" s="259"/>
      <c r="CQ20" s="259"/>
      <c r="CR20" s="259"/>
      <c r="CS20" s="259"/>
      <c r="CT20" s="259"/>
      <c r="CU20" s="259"/>
      <c r="CV20" s="259"/>
      <c r="CW20" s="259"/>
      <c r="CX20" s="259"/>
      <c r="CY20" s="259"/>
      <c r="CZ20" s="259"/>
      <c r="DA20" s="259"/>
      <c r="DB20" s="259"/>
      <c r="DC20" s="259"/>
      <c r="DD20" s="259"/>
      <c r="DE20" s="259"/>
      <c r="DF20" s="259"/>
      <c r="DG20" s="259"/>
      <c r="DH20" s="259"/>
      <c r="DI20" s="259"/>
      <c r="DJ20" s="259"/>
      <c r="DK20" s="259"/>
      <c r="DL20" s="259"/>
      <c r="DM20" s="259"/>
      <c r="DN20" s="259"/>
      <c r="DO20" s="259"/>
      <c r="DP20" s="259"/>
      <c r="DQ20" s="259"/>
      <c r="DR20" s="259"/>
      <c r="DS20" s="259"/>
      <c r="DT20" s="259"/>
      <c r="DU20" s="259"/>
      <c r="DV20" s="259"/>
      <c r="DW20" s="259"/>
      <c r="DX20" s="259"/>
      <c r="DY20" s="259"/>
      <c r="DZ20" s="259"/>
      <c r="EA20" s="259"/>
      <c r="EB20" s="259"/>
      <c r="EC20" s="259"/>
      <c r="ED20" s="259"/>
      <c r="EE20" s="259"/>
      <c r="EF20" s="259"/>
      <c r="EG20" s="259"/>
      <c r="EH20" s="259"/>
      <c r="EI20" s="259"/>
      <c r="EJ20" s="259"/>
      <c r="EK20" s="259"/>
      <c r="EL20" s="259"/>
      <c r="EM20" s="259"/>
      <c r="EN20" s="259"/>
      <c r="EO20" s="259"/>
      <c r="EP20" s="259"/>
      <c r="EQ20" s="259"/>
      <c r="ER20" s="259"/>
      <c r="ES20" s="259"/>
      <c r="ET20" s="259"/>
      <c r="EU20" s="259"/>
      <c r="FC20" s="199"/>
      <c r="FD20" s="199"/>
      <c r="FE20" s="199"/>
      <c r="FF20" s="199"/>
      <c r="FG20" s="199"/>
      <c r="FH20" s="199"/>
      <c r="FI20" s="199"/>
      <c r="FJ20" s="199"/>
      <c r="FK20" s="199"/>
      <c r="FL20" s="199"/>
      <c r="FM20" s="199"/>
      <c r="FN20" s="199"/>
      <c r="FO20" s="199"/>
      <c r="FP20" s="199"/>
      <c r="FQ20" s="199"/>
      <c r="FR20" s="199"/>
      <c r="FS20" s="199"/>
      <c r="FT20" s="199"/>
      <c r="FU20" s="199"/>
      <c r="FV20" s="199"/>
      <c r="FW20" s="199"/>
      <c r="FX20" s="199"/>
      <c r="FY20" s="199"/>
      <c r="FZ20" s="199"/>
      <c r="GA20" s="199"/>
      <c r="GB20" s="199"/>
      <c r="GC20" s="199"/>
      <c r="GD20" s="199"/>
      <c r="GE20" s="199"/>
      <c r="GF20" s="199"/>
      <c r="GG20" s="199"/>
      <c r="GH20" s="199"/>
      <c r="GI20" s="199"/>
      <c r="GJ20" s="199"/>
      <c r="GK20" s="199"/>
      <c r="GL20" s="199"/>
      <c r="GM20" s="199"/>
      <c r="GN20" s="199"/>
      <c r="GO20" s="199"/>
      <c r="GP20" s="199"/>
      <c r="GQ20" s="199"/>
      <c r="GR20" s="199"/>
      <c r="GS20" s="199"/>
      <c r="GT20" s="199"/>
      <c r="GU20" s="199"/>
      <c r="GV20" s="199"/>
      <c r="GW20" s="199"/>
      <c r="GX20" s="199"/>
      <c r="GY20" s="199"/>
      <c r="GZ20" s="199"/>
      <c r="HA20" s="199"/>
      <c r="HB20" s="199"/>
      <c r="HC20" s="199"/>
      <c r="HD20" s="199"/>
      <c r="HE20" s="199"/>
      <c r="HF20" s="199"/>
      <c r="HG20" s="199"/>
      <c r="HH20" s="199"/>
      <c r="HI20" s="199"/>
      <c r="HJ20" s="199"/>
      <c r="HK20" s="199"/>
      <c r="HL20" s="199"/>
      <c r="HM20" s="199"/>
      <c r="HN20" s="199"/>
      <c r="HO20" s="199"/>
      <c r="HP20" s="199"/>
      <c r="HQ20" s="199"/>
      <c r="HR20" s="199"/>
      <c r="HS20" s="199"/>
      <c r="HT20" s="199"/>
      <c r="HU20" s="199"/>
      <c r="HV20" s="199"/>
      <c r="HW20" s="199"/>
      <c r="HX20" s="199"/>
      <c r="HY20" s="199"/>
      <c r="HZ20" s="199"/>
      <c r="IA20" s="199"/>
      <c r="IB20" s="199"/>
      <c r="IC20" s="199"/>
      <c r="ID20" s="199"/>
      <c r="IE20" s="199"/>
      <c r="IF20" s="199"/>
      <c r="IG20" s="199"/>
      <c r="IH20" s="199"/>
      <c r="II20" s="199"/>
      <c r="IJ20" s="199"/>
      <c r="IK20" s="199"/>
      <c r="IL20" s="199"/>
      <c r="IM20" s="199"/>
      <c r="IN20" s="199"/>
      <c r="IO20" s="199"/>
      <c r="IP20" s="199"/>
      <c r="IQ20" s="199"/>
      <c r="IR20" s="199"/>
      <c r="IS20" s="199"/>
      <c r="IT20" s="199"/>
      <c r="IU20" s="199"/>
      <c r="IV20" s="199"/>
      <c r="IW20" s="199"/>
      <c r="IX20" s="199"/>
      <c r="IY20" s="199"/>
      <c r="IZ20" s="199"/>
      <c r="JA20" s="199"/>
      <c r="JB20" s="199"/>
      <c r="JC20" s="199"/>
      <c r="JD20" s="199"/>
      <c r="JE20" s="199"/>
      <c r="JF20" s="199"/>
      <c r="JG20" s="199"/>
      <c r="JH20" s="199"/>
      <c r="JI20" s="199"/>
      <c r="JJ20" s="199"/>
      <c r="JK20" s="199"/>
      <c r="JL20" s="199"/>
      <c r="JM20" s="199"/>
      <c r="JN20" s="199"/>
      <c r="JO20" s="199"/>
      <c r="JP20" s="199"/>
      <c r="JQ20" s="199"/>
      <c r="JR20" s="199"/>
      <c r="JS20" s="199"/>
      <c r="JT20" s="199"/>
      <c r="JU20" s="199"/>
      <c r="JV20" s="199"/>
      <c r="JW20" s="199"/>
      <c r="JX20" s="199"/>
      <c r="JY20" s="199"/>
      <c r="JZ20" s="199"/>
      <c r="KA20" s="199"/>
      <c r="KB20" s="199"/>
      <c r="KC20" s="199"/>
      <c r="KD20" s="199"/>
      <c r="KE20" s="199"/>
      <c r="PQ20" s="201"/>
      <c r="PR20" s="201"/>
      <c r="PS20" s="201"/>
      <c r="PT20" s="201"/>
      <c r="PU20" s="201"/>
      <c r="PV20" s="201"/>
      <c r="PW20" s="201"/>
      <c r="PX20" s="201"/>
      <c r="PY20" s="201"/>
      <c r="PZ20" s="201"/>
      <c r="QA20" s="201"/>
      <c r="QB20" s="201"/>
      <c r="QC20" s="201"/>
      <c r="QD20" s="201"/>
      <c r="QE20" s="201"/>
      <c r="QF20" s="201"/>
      <c r="QG20" s="201"/>
      <c r="QH20" s="201"/>
      <c r="QI20" s="201"/>
      <c r="QJ20" s="201"/>
      <c r="QK20" s="201"/>
      <c r="QL20" s="201"/>
      <c r="QM20" s="201"/>
      <c r="QN20" s="201"/>
      <c r="QO20" s="201"/>
      <c r="QP20" s="201"/>
      <c r="QQ20" s="201"/>
      <c r="QR20" s="201"/>
      <c r="QS20" s="201"/>
      <c r="QT20" s="201"/>
      <c r="QU20" s="201"/>
      <c r="QV20" s="201"/>
      <c r="QW20" s="201"/>
      <c r="QX20" s="201"/>
      <c r="QY20" s="201"/>
      <c r="QZ20" s="201"/>
      <c r="RA20" s="201"/>
      <c r="RB20" s="201"/>
      <c r="RC20" s="201"/>
      <c r="RD20" s="201"/>
      <c r="RE20" s="201"/>
      <c r="RF20" s="201"/>
      <c r="RG20" s="201"/>
      <c r="RH20" s="201"/>
      <c r="RI20" s="201"/>
      <c r="RJ20" s="201"/>
      <c r="RK20" s="201"/>
      <c r="RL20" s="201"/>
      <c r="RM20" s="201"/>
      <c r="RN20" s="201"/>
      <c r="RO20" s="201"/>
      <c r="RP20" s="201"/>
      <c r="RQ20" s="201"/>
      <c r="RR20" s="201"/>
      <c r="RS20" s="201"/>
      <c r="RT20" s="201"/>
      <c r="RU20" s="201"/>
      <c r="RV20" s="201"/>
      <c r="RW20" s="201"/>
      <c r="RX20" s="201"/>
      <c r="RY20" s="201"/>
      <c r="RZ20" s="201"/>
      <c r="SA20" s="201"/>
      <c r="SB20" s="201"/>
      <c r="SC20" s="201"/>
      <c r="SD20" s="201"/>
      <c r="SE20" s="201"/>
      <c r="SF20" s="201"/>
      <c r="SG20" s="201"/>
      <c r="SH20" s="201"/>
      <c r="SI20" s="201"/>
      <c r="SJ20" s="201"/>
      <c r="SK20" s="201"/>
      <c r="SL20" s="201"/>
      <c r="SM20" s="201"/>
      <c r="SN20" s="201"/>
      <c r="SO20" s="201"/>
      <c r="SP20" s="201"/>
      <c r="SQ20" s="201"/>
      <c r="SR20" s="201"/>
      <c r="SS20" s="201"/>
      <c r="ST20" s="201"/>
      <c r="SU20" s="201"/>
      <c r="SV20" s="201"/>
      <c r="SW20" s="201"/>
      <c r="SX20" s="201"/>
      <c r="SY20" s="201"/>
      <c r="SZ20" s="201"/>
      <c r="TA20" s="201"/>
      <c r="TB20" s="201"/>
      <c r="TC20" s="201"/>
      <c r="TD20" s="201"/>
      <c r="TE20" s="201"/>
      <c r="TF20" s="201"/>
      <c r="TG20" s="201"/>
      <c r="TH20" s="201"/>
      <c r="TI20" s="201"/>
      <c r="TJ20" s="201"/>
      <c r="TK20" s="201"/>
      <c r="TL20" s="201"/>
      <c r="TM20" s="201"/>
      <c r="TN20" s="201"/>
      <c r="TO20" s="201"/>
      <c r="TP20" s="201"/>
      <c r="TQ20" s="201"/>
      <c r="TR20" s="201"/>
      <c r="TS20" s="201"/>
      <c r="TT20" s="201"/>
      <c r="TU20" s="201"/>
      <c r="TV20" s="201"/>
      <c r="TW20" s="201"/>
      <c r="TX20" s="201"/>
      <c r="TY20" s="201"/>
      <c r="TZ20" s="201"/>
      <c r="UA20" s="201"/>
      <c r="UB20" s="201"/>
      <c r="UC20" s="201"/>
      <c r="UD20" s="201"/>
      <c r="UE20" s="201"/>
      <c r="UF20" s="201"/>
      <c r="UG20" s="201"/>
      <c r="UH20" s="201"/>
      <c r="UI20" s="201"/>
      <c r="UJ20" s="201"/>
      <c r="UK20" s="201"/>
      <c r="UL20" s="201"/>
      <c r="UM20" s="201"/>
      <c r="UN20" s="201"/>
      <c r="UO20" s="201"/>
      <c r="UP20" s="201"/>
      <c r="UQ20" s="201"/>
      <c r="UR20" s="201"/>
      <c r="US20" s="201"/>
      <c r="UT20" s="201"/>
      <c r="UU20" s="201"/>
    </row>
    <row r="21" spans="2:567" x14ac:dyDescent="0.25">
      <c r="B21" s="102" t="s">
        <v>26</v>
      </c>
      <c r="C21" s="15"/>
      <c r="D21" s="15"/>
      <c r="E21" s="15"/>
      <c r="F21" s="15"/>
      <c r="G21" s="15"/>
      <c r="H21" s="15"/>
      <c r="I21" s="15"/>
      <c r="J21" s="192"/>
      <c r="K21" s="192"/>
      <c r="L21" s="15"/>
      <c r="M21" s="497"/>
      <c r="N21" s="497"/>
      <c r="O21" s="497"/>
      <c r="P21" s="497"/>
      <c r="Q21" s="497"/>
      <c r="R21" s="258"/>
      <c r="S21" s="259"/>
      <c r="T21" s="259"/>
      <c r="U21" s="259"/>
      <c r="V21" s="259"/>
      <c r="W21" s="259"/>
      <c r="X21" s="259"/>
      <c r="Y21" s="259"/>
      <c r="Z21" s="259"/>
      <c r="AA21" s="259"/>
      <c r="AB21" s="259"/>
      <c r="AC21" s="259"/>
      <c r="AD21" s="259"/>
      <c r="AE21" s="259"/>
      <c r="AF21" s="259"/>
      <c r="AG21" s="259"/>
      <c r="AH21" s="259"/>
      <c r="AI21" s="259"/>
      <c r="AJ21" s="259"/>
      <c r="AK21" s="259"/>
      <c r="AL21" s="259"/>
      <c r="AM21" s="259"/>
      <c r="AN21" s="259"/>
      <c r="AO21" s="259"/>
      <c r="AP21" s="259"/>
      <c r="AQ21" s="259"/>
      <c r="AR21" s="259"/>
      <c r="AS21" s="259"/>
      <c r="AT21" s="259"/>
      <c r="AU21" s="259"/>
      <c r="AV21" s="259"/>
      <c r="AW21" s="259"/>
      <c r="AX21" s="259"/>
      <c r="AY21" s="259"/>
      <c r="AZ21" s="259"/>
      <c r="BA21" s="259"/>
      <c r="BB21" s="259"/>
      <c r="BC21" s="259"/>
      <c r="BD21" s="259"/>
      <c r="BE21" s="259"/>
      <c r="BF21" s="259"/>
      <c r="BG21" s="259"/>
      <c r="BH21" s="259"/>
      <c r="BI21" s="259"/>
      <c r="BJ21" s="259"/>
      <c r="BK21" s="259"/>
      <c r="BL21" s="259"/>
      <c r="BM21" s="259"/>
      <c r="BN21" s="259"/>
      <c r="BO21" s="259"/>
      <c r="BP21" s="259"/>
      <c r="BQ21" s="259"/>
      <c r="BR21" s="259"/>
      <c r="BS21" s="259"/>
      <c r="BT21" s="259"/>
      <c r="BU21" s="259"/>
      <c r="BV21" s="259"/>
      <c r="BW21" s="259"/>
      <c r="BX21" s="259"/>
      <c r="BY21" s="259"/>
      <c r="BZ21" s="259"/>
      <c r="CA21" s="259"/>
      <c r="CB21" s="259"/>
      <c r="CC21" s="259"/>
      <c r="CD21" s="259"/>
      <c r="CE21" s="259"/>
      <c r="CF21" s="259"/>
      <c r="CG21" s="259"/>
      <c r="CH21" s="259"/>
      <c r="CI21" s="259"/>
      <c r="CJ21" s="259"/>
      <c r="CK21" s="259"/>
      <c r="CL21" s="259"/>
      <c r="CM21" s="259"/>
      <c r="CN21" s="259"/>
      <c r="CO21" s="259"/>
      <c r="CP21" s="259"/>
      <c r="CQ21" s="259"/>
      <c r="CR21" s="259"/>
      <c r="CS21" s="259"/>
      <c r="CT21" s="259"/>
      <c r="CU21" s="259"/>
      <c r="CV21" s="259"/>
      <c r="CW21" s="259"/>
      <c r="CX21" s="259"/>
      <c r="CY21" s="259"/>
      <c r="CZ21" s="259"/>
      <c r="DA21" s="259"/>
      <c r="DB21" s="259"/>
      <c r="DC21" s="259"/>
      <c r="DD21" s="259"/>
      <c r="DE21" s="259"/>
      <c r="DF21" s="259"/>
      <c r="DG21" s="259"/>
      <c r="DH21" s="259"/>
      <c r="DI21" s="259"/>
      <c r="DJ21" s="259"/>
      <c r="DK21" s="259"/>
      <c r="DL21" s="259"/>
      <c r="DM21" s="259"/>
      <c r="DN21" s="259"/>
      <c r="DO21" s="259"/>
      <c r="DP21" s="259"/>
      <c r="DQ21" s="259"/>
      <c r="DR21" s="259"/>
      <c r="DS21" s="259"/>
      <c r="DT21" s="259"/>
      <c r="DU21" s="259"/>
      <c r="DV21" s="259"/>
      <c r="DW21" s="259"/>
      <c r="DX21" s="259"/>
      <c r="DY21" s="259"/>
      <c r="DZ21" s="259"/>
      <c r="EA21" s="259"/>
      <c r="EB21" s="259"/>
      <c r="EC21" s="259"/>
      <c r="ED21" s="259"/>
      <c r="EE21" s="259"/>
      <c r="EF21" s="259"/>
      <c r="EG21" s="259"/>
      <c r="EH21" s="259"/>
      <c r="EI21" s="259"/>
      <c r="EJ21" s="259"/>
      <c r="EK21" s="259"/>
      <c r="EL21" s="259"/>
      <c r="EM21" s="259"/>
      <c r="EN21" s="259"/>
      <c r="EO21" s="259"/>
      <c r="EP21" s="259"/>
      <c r="EQ21" s="259"/>
      <c r="ER21" s="259"/>
      <c r="ES21" s="259"/>
      <c r="ET21" s="259"/>
      <c r="EU21" s="259"/>
      <c r="FC21" s="199"/>
      <c r="FD21" s="199"/>
      <c r="FE21" s="199"/>
      <c r="FF21" s="199"/>
      <c r="FG21" s="199"/>
      <c r="FH21" s="199"/>
      <c r="FI21" s="199"/>
      <c r="FJ21" s="199"/>
      <c r="FK21" s="199"/>
      <c r="FL21" s="199"/>
      <c r="FM21" s="199"/>
      <c r="FN21" s="199"/>
      <c r="FO21" s="199"/>
      <c r="FP21" s="199"/>
      <c r="FQ21" s="199"/>
      <c r="FR21" s="199"/>
      <c r="FS21" s="199"/>
      <c r="FT21" s="199"/>
      <c r="FU21" s="199"/>
      <c r="FV21" s="199"/>
      <c r="FW21" s="199"/>
      <c r="FX21" s="199"/>
      <c r="FY21" s="199"/>
      <c r="FZ21" s="199"/>
      <c r="GA21" s="199"/>
      <c r="GB21" s="199"/>
      <c r="GC21" s="199"/>
      <c r="GD21" s="199"/>
      <c r="GE21" s="199"/>
      <c r="GF21" s="199"/>
      <c r="GG21" s="199"/>
      <c r="GH21" s="199"/>
      <c r="GI21" s="199"/>
      <c r="GJ21" s="199"/>
      <c r="GK21" s="199"/>
      <c r="GL21" s="199"/>
      <c r="GM21" s="199"/>
      <c r="GN21" s="199"/>
      <c r="GO21" s="199"/>
      <c r="GP21" s="199"/>
      <c r="GQ21" s="199"/>
      <c r="GR21" s="199"/>
      <c r="GS21" s="199"/>
      <c r="GT21" s="199"/>
      <c r="GU21" s="199"/>
      <c r="GV21" s="199"/>
      <c r="GW21" s="199"/>
      <c r="GX21" s="199"/>
      <c r="GY21" s="199"/>
      <c r="GZ21" s="199"/>
      <c r="HA21" s="199"/>
      <c r="HB21" s="199"/>
      <c r="HC21" s="199"/>
      <c r="HD21" s="199"/>
      <c r="HE21" s="199"/>
      <c r="HF21" s="199"/>
      <c r="HG21" s="199"/>
      <c r="HH21" s="199"/>
      <c r="HI21" s="199"/>
      <c r="HJ21" s="199"/>
      <c r="HK21" s="199"/>
      <c r="HL21" s="199"/>
      <c r="HM21" s="199"/>
      <c r="HN21" s="199"/>
      <c r="HO21" s="199"/>
      <c r="HP21" s="199"/>
      <c r="HQ21" s="199"/>
      <c r="HR21" s="199"/>
      <c r="HS21" s="199"/>
      <c r="HT21" s="199"/>
      <c r="HU21" s="199"/>
      <c r="HV21" s="199"/>
      <c r="HW21" s="199"/>
      <c r="HX21" s="199"/>
      <c r="HY21" s="199"/>
      <c r="HZ21" s="199"/>
      <c r="IA21" s="199"/>
      <c r="IB21" s="199"/>
      <c r="IC21" s="199"/>
      <c r="ID21" s="199"/>
      <c r="IE21" s="199"/>
      <c r="IF21" s="199"/>
      <c r="IG21" s="199"/>
      <c r="IH21" s="199"/>
      <c r="II21" s="199"/>
      <c r="IJ21" s="199"/>
      <c r="IK21" s="199"/>
      <c r="IL21" s="199"/>
      <c r="IM21" s="199"/>
      <c r="IN21" s="199"/>
      <c r="IO21" s="199"/>
      <c r="IP21" s="199"/>
      <c r="IQ21" s="199"/>
      <c r="IR21" s="199"/>
      <c r="IS21" s="199"/>
      <c r="IT21" s="199"/>
      <c r="IU21" s="199"/>
      <c r="IV21" s="199"/>
      <c r="IW21" s="199"/>
      <c r="IX21" s="199"/>
      <c r="IY21" s="199"/>
      <c r="IZ21" s="199"/>
      <c r="JA21" s="199"/>
      <c r="JB21" s="199"/>
      <c r="JC21" s="199"/>
      <c r="JD21" s="199"/>
      <c r="JE21" s="199"/>
      <c r="JF21" s="199"/>
      <c r="JG21" s="199"/>
      <c r="JH21" s="199"/>
      <c r="JI21" s="199"/>
      <c r="JJ21" s="199"/>
      <c r="JK21" s="199"/>
      <c r="JL21" s="199"/>
      <c r="JM21" s="199"/>
      <c r="JN21" s="199"/>
      <c r="JO21" s="199"/>
      <c r="JP21" s="199"/>
      <c r="JQ21" s="199"/>
      <c r="JR21" s="199"/>
      <c r="JS21" s="199"/>
      <c r="JT21" s="199"/>
      <c r="JU21" s="199"/>
      <c r="JV21" s="199"/>
      <c r="JW21" s="199"/>
      <c r="JX21" s="199"/>
      <c r="JY21" s="199"/>
      <c r="JZ21" s="199"/>
      <c r="KA21" s="199"/>
      <c r="KB21" s="199"/>
      <c r="KC21" s="199"/>
      <c r="KD21" s="199"/>
      <c r="KE21" s="199"/>
      <c r="PQ21" s="201"/>
      <c r="PR21" s="201"/>
      <c r="PS21" s="201"/>
      <c r="PT21" s="201"/>
      <c r="PU21" s="201"/>
      <c r="PV21" s="201"/>
      <c r="PW21" s="201"/>
      <c r="PX21" s="201"/>
      <c r="PY21" s="201"/>
      <c r="PZ21" s="201"/>
      <c r="QA21" s="201"/>
      <c r="QB21" s="201"/>
      <c r="QC21" s="201"/>
      <c r="QD21" s="201"/>
      <c r="QE21" s="201"/>
      <c r="QF21" s="201"/>
      <c r="QG21" s="201"/>
      <c r="QH21" s="201"/>
      <c r="QI21" s="201"/>
      <c r="QJ21" s="201"/>
      <c r="QK21" s="201"/>
      <c r="QL21" s="201"/>
      <c r="QM21" s="201"/>
      <c r="QN21" s="201"/>
      <c r="QO21" s="201"/>
      <c r="QP21" s="201"/>
      <c r="QQ21" s="201"/>
      <c r="QR21" s="201"/>
      <c r="QS21" s="201"/>
      <c r="QT21" s="201"/>
      <c r="QU21" s="201"/>
      <c r="QV21" s="201"/>
      <c r="QW21" s="201"/>
      <c r="QX21" s="201"/>
      <c r="QY21" s="201"/>
      <c r="QZ21" s="201"/>
      <c r="RA21" s="201"/>
      <c r="RB21" s="201"/>
      <c r="RC21" s="201"/>
      <c r="RD21" s="201"/>
      <c r="RE21" s="201"/>
      <c r="RF21" s="201"/>
      <c r="RG21" s="201"/>
      <c r="RH21" s="201"/>
      <c r="RI21" s="201"/>
      <c r="RJ21" s="201"/>
      <c r="RK21" s="201"/>
      <c r="RL21" s="201"/>
      <c r="RM21" s="201"/>
      <c r="RN21" s="201"/>
      <c r="RO21" s="201"/>
      <c r="RP21" s="201"/>
      <c r="RQ21" s="201"/>
      <c r="RR21" s="201"/>
      <c r="RS21" s="201"/>
      <c r="RT21" s="201"/>
      <c r="RU21" s="201"/>
      <c r="RV21" s="201"/>
      <c r="RW21" s="201"/>
      <c r="RX21" s="201"/>
      <c r="RY21" s="201"/>
      <c r="RZ21" s="201"/>
      <c r="SA21" s="201"/>
      <c r="SB21" s="201"/>
      <c r="SC21" s="201"/>
      <c r="SD21" s="201"/>
      <c r="SE21" s="201"/>
      <c r="SF21" s="201"/>
      <c r="SG21" s="201"/>
      <c r="SH21" s="201"/>
      <c r="SI21" s="201"/>
      <c r="SJ21" s="201"/>
      <c r="SK21" s="201"/>
      <c r="SL21" s="201"/>
      <c r="SM21" s="201"/>
      <c r="SN21" s="201"/>
      <c r="SO21" s="201"/>
      <c r="SP21" s="201"/>
      <c r="SQ21" s="201"/>
      <c r="SR21" s="201"/>
      <c r="SS21" s="201"/>
      <c r="ST21" s="201"/>
      <c r="SU21" s="201"/>
      <c r="SV21" s="201"/>
      <c r="SW21" s="201"/>
      <c r="SX21" s="201"/>
      <c r="SY21" s="201"/>
      <c r="SZ21" s="201"/>
      <c r="TA21" s="201"/>
      <c r="TB21" s="201"/>
      <c r="TC21" s="201"/>
      <c r="TD21" s="201"/>
      <c r="TE21" s="201"/>
      <c r="TF21" s="201"/>
      <c r="TG21" s="201"/>
      <c r="TH21" s="201"/>
      <c r="TI21" s="201"/>
      <c r="TJ21" s="201"/>
      <c r="TK21" s="201"/>
      <c r="TL21" s="201"/>
      <c r="TM21" s="201"/>
      <c r="TN21" s="201"/>
      <c r="TO21" s="201"/>
      <c r="TP21" s="201"/>
      <c r="TQ21" s="201"/>
      <c r="TR21" s="201"/>
      <c r="TS21" s="201"/>
      <c r="TT21" s="201"/>
      <c r="TU21" s="201"/>
      <c r="TV21" s="201"/>
      <c r="TW21" s="201"/>
      <c r="TX21" s="201"/>
      <c r="TY21" s="201"/>
      <c r="TZ21" s="201"/>
      <c r="UA21" s="201"/>
      <c r="UB21" s="201"/>
      <c r="UC21" s="201"/>
      <c r="UD21" s="201"/>
      <c r="UE21" s="201"/>
      <c r="UF21" s="201"/>
      <c r="UG21" s="201"/>
      <c r="UH21" s="201"/>
      <c r="UI21" s="201"/>
      <c r="UJ21" s="201"/>
      <c r="UK21" s="201"/>
      <c r="UL21" s="201"/>
      <c r="UM21" s="201"/>
      <c r="UN21" s="201"/>
      <c r="UO21" s="201"/>
      <c r="UP21" s="201"/>
      <c r="UQ21" s="201"/>
      <c r="UR21" s="201"/>
      <c r="US21" s="201"/>
      <c r="UT21" s="201"/>
      <c r="UU21" s="201"/>
    </row>
    <row r="22" spans="2:567" x14ac:dyDescent="0.25">
      <c r="B22" s="28" t="s">
        <v>27</v>
      </c>
      <c r="C22" s="29"/>
      <c r="D22" s="29"/>
      <c r="E22" s="29" t="s">
        <v>28</v>
      </c>
      <c r="F22" s="29" t="s">
        <v>29</v>
      </c>
      <c r="G22" s="29" t="s">
        <v>30</v>
      </c>
      <c r="H22" s="32"/>
      <c r="I22" s="30" t="s">
        <v>743</v>
      </c>
      <c r="J22" s="30" t="str">
        <f>"/ "&amp;UPPER(Unit_Type)</f>
        <v>/ UNIT</v>
      </c>
      <c r="K22" s="29" t="s">
        <v>31</v>
      </c>
      <c r="R22" s="89"/>
      <c r="S22" s="87">
        <v>0</v>
      </c>
      <c r="T22" s="87">
        <f>S22+1</f>
        <v>1</v>
      </c>
      <c r="U22" s="87">
        <f t="shared" ref="U22" si="27">T22+1</f>
        <v>2</v>
      </c>
      <c r="V22" s="87">
        <f t="shared" ref="V22" si="28">U22+1</f>
        <v>3</v>
      </c>
      <c r="W22" s="87">
        <f t="shared" ref="W22" si="29">V22+1</f>
        <v>4</v>
      </c>
      <c r="X22" s="87">
        <f t="shared" ref="X22" si="30">W22+1</f>
        <v>5</v>
      </c>
      <c r="Y22" s="87">
        <f t="shared" ref="Y22" si="31">X22+1</f>
        <v>6</v>
      </c>
      <c r="Z22" s="87">
        <f t="shared" ref="Z22" si="32">Y22+1</f>
        <v>7</v>
      </c>
      <c r="AA22" s="87">
        <f t="shared" ref="AA22" si="33">Z22+1</f>
        <v>8</v>
      </c>
      <c r="AB22" s="87">
        <f t="shared" ref="AB22" si="34">AA22+1</f>
        <v>9</v>
      </c>
      <c r="AC22" s="87">
        <f t="shared" ref="AC22" si="35">AB22+1</f>
        <v>10</v>
      </c>
      <c r="AD22" s="87">
        <f t="shared" ref="AD22" si="36">AC22+1</f>
        <v>11</v>
      </c>
      <c r="AE22" s="87">
        <f t="shared" ref="AE22" si="37">AD22+1</f>
        <v>12</v>
      </c>
      <c r="AF22" s="87">
        <f t="shared" ref="AF22" si="38">AE22+1</f>
        <v>13</v>
      </c>
      <c r="AG22" s="87">
        <f t="shared" ref="AG22" si="39">AF22+1</f>
        <v>14</v>
      </c>
      <c r="AH22" s="87">
        <f t="shared" ref="AH22" si="40">AG22+1</f>
        <v>15</v>
      </c>
      <c r="AI22" s="87">
        <f t="shared" ref="AI22" si="41">AH22+1</f>
        <v>16</v>
      </c>
      <c r="AJ22" s="87">
        <f t="shared" ref="AJ22" si="42">AI22+1</f>
        <v>17</v>
      </c>
      <c r="AK22" s="87">
        <f t="shared" ref="AK22" si="43">AJ22+1</f>
        <v>18</v>
      </c>
      <c r="AL22" s="87">
        <f t="shared" ref="AL22" si="44">AK22+1</f>
        <v>19</v>
      </c>
      <c r="AM22" s="87">
        <f t="shared" ref="AM22" si="45">AL22+1</f>
        <v>20</v>
      </c>
      <c r="AN22" s="87">
        <f t="shared" ref="AN22" si="46">AM22+1</f>
        <v>21</v>
      </c>
      <c r="AO22" s="87">
        <f t="shared" ref="AO22" si="47">AN22+1</f>
        <v>22</v>
      </c>
      <c r="AP22" s="87">
        <f t="shared" ref="AP22" si="48">AO22+1</f>
        <v>23</v>
      </c>
      <c r="AQ22" s="87">
        <f t="shared" ref="AQ22" si="49">AP22+1</f>
        <v>24</v>
      </c>
      <c r="AR22" s="87">
        <f t="shared" ref="AR22" si="50">AQ22+1</f>
        <v>25</v>
      </c>
      <c r="AS22" s="87">
        <f t="shared" ref="AS22" si="51">AR22+1</f>
        <v>26</v>
      </c>
      <c r="AT22" s="87">
        <f t="shared" ref="AT22" si="52">AS22+1</f>
        <v>27</v>
      </c>
      <c r="AU22" s="87">
        <f t="shared" ref="AU22" si="53">AT22+1</f>
        <v>28</v>
      </c>
      <c r="AV22" s="87">
        <f t="shared" ref="AV22" si="54">AU22+1</f>
        <v>29</v>
      </c>
      <c r="AW22" s="87">
        <f t="shared" ref="AW22" si="55">AV22+1</f>
        <v>30</v>
      </c>
      <c r="AX22" s="87">
        <f t="shared" ref="AX22" si="56">AW22+1</f>
        <v>31</v>
      </c>
      <c r="AY22" s="87">
        <f t="shared" ref="AY22" si="57">AX22+1</f>
        <v>32</v>
      </c>
      <c r="AZ22" s="87">
        <f t="shared" ref="AZ22" si="58">AY22+1</f>
        <v>33</v>
      </c>
      <c r="BA22" s="87">
        <f t="shared" ref="BA22" si="59">AZ22+1</f>
        <v>34</v>
      </c>
      <c r="BB22" s="87">
        <f t="shared" ref="BB22" si="60">BA22+1</f>
        <v>35</v>
      </c>
      <c r="BC22" s="87">
        <f t="shared" ref="BC22" si="61">BB22+1</f>
        <v>36</v>
      </c>
      <c r="BD22" s="87">
        <f t="shared" ref="BD22" si="62">BC22+1</f>
        <v>37</v>
      </c>
      <c r="BE22" s="87">
        <f t="shared" ref="BE22" si="63">BD22+1</f>
        <v>38</v>
      </c>
      <c r="BF22" s="87">
        <f t="shared" ref="BF22" si="64">BE22+1</f>
        <v>39</v>
      </c>
      <c r="BG22" s="87">
        <f t="shared" ref="BG22" si="65">BF22+1</f>
        <v>40</v>
      </c>
      <c r="BH22" s="87">
        <f t="shared" ref="BH22" si="66">BG22+1</f>
        <v>41</v>
      </c>
      <c r="BI22" s="87">
        <f t="shared" ref="BI22" si="67">BH22+1</f>
        <v>42</v>
      </c>
      <c r="BJ22" s="87">
        <f t="shared" ref="BJ22" si="68">BI22+1</f>
        <v>43</v>
      </c>
      <c r="BK22" s="87">
        <f t="shared" ref="BK22" si="69">BJ22+1</f>
        <v>44</v>
      </c>
      <c r="BL22" s="87">
        <f t="shared" ref="BL22" si="70">BK22+1</f>
        <v>45</v>
      </c>
      <c r="BM22" s="87">
        <f t="shared" ref="BM22" si="71">BL22+1</f>
        <v>46</v>
      </c>
      <c r="BN22" s="87">
        <f t="shared" ref="BN22" si="72">BM22+1</f>
        <v>47</v>
      </c>
      <c r="BO22" s="87">
        <f t="shared" ref="BO22" si="73">BN22+1</f>
        <v>48</v>
      </c>
      <c r="BP22" s="87">
        <f t="shared" ref="BP22" si="74">BO22+1</f>
        <v>49</v>
      </c>
      <c r="BQ22" s="87">
        <f t="shared" ref="BQ22" si="75">BP22+1</f>
        <v>50</v>
      </c>
      <c r="BR22" s="87">
        <f t="shared" ref="BR22" si="76">BQ22+1</f>
        <v>51</v>
      </c>
      <c r="BS22" s="87">
        <f t="shared" ref="BS22" si="77">BR22+1</f>
        <v>52</v>
      </c>
      <c r="BT22" s="87">
        <f t="shared" ref="BT22" si="78">BS22+1</f>
        <v>53</v>
      </c>
      <c r="BU22" s="87">
        <f t="shared" ref="BU22" si="79">BT22+1</f>
        <v>54</v>
      </c>
      <c r="BV22" s="87">
        <f t="shared" ref="BV22" si="80">BU22+1</f>
        <v>55</v>
      </c>
      <c r="BW22" s="87">
        <f t="shared" ref="BW22" si="81">BV22+1</f>
        <v>56</v>
      </c>
      <c r="BX22" s="87">
        <f t="shared" ref="BX22" si="82">BW22+1</f>
        <v>57</v>
      </c>
      <c r="BY22" s="87">
        <f t="shared" ref="BY22" si="83">BX22+1</f>
        <v>58</v>
      </c>
      <c r="BZ22" s="87">
        <f t="shared" ref="BZ22" si="84">BY22+1</f>
        <v>59</v>
      </c>
      <c r="CA22" s="87">
        <f t="shared" ref="CA22" si="85">BZ22+1</f>
        <v>60</v>
      </c>
      <c r="CB22" s="87">
        <f t="shared" ref="CB22" si="86">CA22+1</f>
        <v>61</v>
      </c>
      <c r="CC22" s="87">
        <f t="shared" ref="CC22" si="87">CB22+1</f>
        <v>62</v>
      </c>
      <c r="CD22" s="87">
        <f t="shared" ref="CD22" si="88">CC22+1</f>
        <v>63</v>
      </c>
      <c r="CE22" s="87">
        <f t="shared" ref="CE22" si="89">CD22+1</f>
        <v>64</v>
      </c>
      <c r="CF22" s="87">
        <f t="shared" ref="CF22" si="90">CE22+1</f>
        <v>65</v>
      </c>
      <c r="CG22" s="87">
        <f t="shared" ref="CG22" si="91">CF22+1</f>
        <v>66</v>
      </c>
      <c r="CH22" s="87">
        <f t="shared" ref="CH22" si="92">CG22+1</f>
        <v>67</v>
      </c>
      <c r="CI22" s="87">
        <f t="shared" ref="CI22" si="93">CH22+1</f>
        <v>68</v>
      </c>
      <c r="CJ22" s="87">
        <f t="shared" ref="CJ22" si="94">CI22+1</f>
        <v>69</v>
      </c>
      <c r="CK22" s="87">
        <f t="shared" ref="CK22" si="95">CJ22+1</f>
        <v>70</v>
      </c>
      <c r="CL22" s="87">
        <f t="shared" ref="CL22" si="96">CK22+1</f>
        <v>71</v>
      </c>
      <c r="CM22" s="87">
        <f t="shared" ref="CM22" si="97">CL22+1</f>
        <v>72</v>
      </c>
      <c r="CN22" s="87">
        <f t="shared" ref="CN22" si="98">CM22+1</f>
        <v>73</v>
      </c>
      <c r="CO22" s="87">
        <f t="shared" ref="CO22" si="99">CN22+1</f>
        <v>74</v>
      </c>
      <c r="CP22" s="87">
        <f t="shared" ref="CP22" si="100">CO22+1</f>
        <v>75</v>
      </c>
      <c r="CQ22" s="87">
        <f t="shared" ref="CQ22" si="101">CP22+1</f>
        <v>76</v>
      </c>
      <c r="CR22" s="87">
        <f t="shared" ref="CR22" si="102">CQ22+1</f>
        <v>77</v>
      </c>
      <c r="CS22" s="87">
        <f t="shared" ref="CS22" si="103">CR22+1</f>
        <v>78</v>
      </c>
      <c r="CT22" s="87">
        <f t="shared" ref="CT22" si="104">CS22+1</f>
        <v>79</v>
      </c>
      <c r="CU22" s="87">
        <f t="shared" ref="CU22" si="105">CT22+1</f>
        <v>80</v>
      </c>
      <c r="CV22" s="87">
        <f t="shared" ref="CV22" si="106">CU22+1</f>
        <v>81</v>
      </c>
      <c r="CW22" s="87">
        <f t="shared" ref="CW22" si="107">CV22+1</f>
        <v>82</v>
      </c>
      <c r="CX22" s="87">
        <f t="shared" ref="CX22" si="108">CW22+1</f>
        <v>83</v>
      </c>
      <c r="CY22" s="87">
        <f t="shared" ref="CY22" si="109">CX22+1</f>
        <v>84</v>
      </c>
      <c r="CZ22" s="87">
        <f t="shared" ref="CZ22" si="110">CY22+1</f>
        <v>85</v>
      </c>
      <c r="DA22" s="87">
        <f t="shared" ref="DA22" si="111">CZ22+1</f>
        <v>86</v>
      </c>
      <c r="DB22" s="87">
        <f t="shared" ref="DB22" si="112">DA22+1</f>
        <v>87</v>
      </c>
      <c r="DC22" s="87">
        <f t="shared" ref="DC22" si="113">DB22+1</f>
        <v>88</v>
      </c>
      <c r="DD22" s="87">
        <f t="shared" ref="DD22" si="114">DC22+1</f>
        <v>89</v>
      </c>
      <c r="DE22" s="87">
        <f t="shared" ref="DE22" si="115">DD22+1</f>
        <v>90</v>
      </c>
      <c r="DF22" s="87">
        <f t="shared" ref="DF22" si="116">DE22+1</f>
        <v>91</v>
      </c>
      <c r="DG22" s="87">
        <f t="shared" ref="DG22" si="117">DF22+1</f>
        <v>92</v>
      </c>
      <c r="DH22" s="87">
        <f t="shared" ref="DH22" si="118">DG22+1</f>
        <v>93</v>
      </c>
      <c r="DI22" s="87">
        <f t="shared" ref="DI22" si="119">DH22+1</f>
        <v>94</v>
      </c>
      <c r="DJ22" s="87">
        <f t="shared" ref="DJ22" si="120">DI22+1</f>
        <v>95</v>
      </c>
      <c r="DK22" s="87">
        <f t="shared" ref="DK22" si="121">DJ22+1</f>
        <v>96</v>
      </c>
      <c r="DL22" s="87">
        <f t="shared" ref="DL22" si="122">DK22+1</f>
        <v>97</v>
      </c>
      <c r="DM22" s="87">
        <f t="shared" ref="DM22" si="123">DL22+1</f>
        <v>98</v>
      </c>
      <c r="DN22" s="87">
        <f t="shared" ref="DN22" si="124">DM22+1</f>
        <v>99</v>
      </c>
      <c r="DO22" s="87">
        <f t="shared" ref="DO22" si="125">DN22+1</f>
        <v>100</v>
      </c>
      <c r="DP22" s="87">
        <f t="shared" ref="DP22" si="126">DO22+1</f>
        <v>101</v>
      </c>
      <c r="DQ22" s="87">
        <f t="shared" ref="DQ22" si="127">DP22+1</f>
        <v>102</v>
      </c>
      <c r="DR22" s="87">
        <f t="shared" ref="DR22" si="128">DQ22+1</f>
        <v>103</v>
      </c>
      <c r="DS22" s="87">
        <f t="shared" ref="DS22" si="129">DR22+1</f>
        <v>104</v>
      </c>
      <c r="DT22" s="87">
        <f t="shared" ref="DT22" si="130">DS22+1</f>
        <v>105</v>
      </c>
      <c r="DU22" s="87">
        <f t="shared" ref="DU22" si="131">DT22+1</f>
        <v>106</v>
      </c>
      <c r="DV22" s="87">
        <f t="shared" ref="DV22" si="132">DU22+1</f>
        <v>107</v>
      </c>
      <c r="DW22" s="87">
        <f t="shared" ref="DW22" si="133">DV22+1</f>
        <v>108</v>
      </c>
      <c r="DX22" s="87">
        <f t="shared" ref="DX22" si="134">DW22+1</f>
        <v>109</v>
      </c>
      <c r="DY22" s="87">
        <f t="shared" ref="DY22" si="135">DX22+1</f>
        <v>110</v>
      </c>
      <c r="DZ22" s="87">
        <f t="shared" ref="DZ22" si="136">DY22+1</f>
        <v>111</v>
      </c>
      <c r="EA22" s="87">
        <f t="shared" ref="EA22" si="137">DZ22+1</f>
        <v>112</v>
      </c>
      <c r="EB22" s="87">
        <f t="shared" ref="EB22" si="138">EA22+1</f>
        <v>113</v>
      </c>
      <c r="EC22" s="87">
        <f t="shared" ref="EC22" si="139">EB22+1</f>
        <v>114</v>
      </c>
      <c r="ED22" s="87">
        <f t="shared" ref="ED22" si="140">EC22+1</f>
        <v>115</v>
      </c>
      <c r="EE22" s="87">
        <f t="shared" ref="EE22" si="141">ED22+1</f>
        <v>116</v>
      </c>
      <c r="EF22" s="87">
        <f t="shared" ref="EF22" si="142">EE22+1</f>
        <v>117</v>
      </c>
      <c r="EG22" s="87">
        <f t="shared" ref="EG22" si="143">EF22+1</f>
        <v>118</v>
      </c>
      <c r="EH22" s="87">
        <f t="shared" ref="EH22" si="144">EG22+1</f>
        <v>119</v>
      </c>
      <c r="EI22" s="87">
        <f t="shared" ref="EI22" si="145">EH22+1</f>
        <v>120</v>
      </c>
      <c r="EJ22" s="87">
        <f t="shared" ref="EJ22" si="146">EI22+1</f>
        <v>121</v>
      </c>
      <c r="EK22" s="87">
        <f t="shared" ref="EK22" si="147">EJ22+1</f>
        <v>122</v>
      </c>
      <c r="EL22" s="87">
        <f t="shared" ref="EL22" si="148">EK22+1</f>
        <v>123</v>
      </c>
      <c r="EM22" s="87">
        <f t="shared" ref="EM22" si="149">EL22+1</f>
        <v>124</v>
      </c>
      <c r="EN22" s="87">
        <f t="shared" ref="EN22" si="150">EM22+1</f>
        <v>125</v>
      </c>
      <c r="EO22" s="87">
        <f t="shared" ref="EO22" si="151">EN22+1</f>
        <v>126</v>
      </c>
      <c r="EP22" s="87">
        <f t="shared" ref="EP22" si="152">EO22+1</f>
        <v>127</v>
      </c>
      <c r="EQ22" s="87">
        <f t="shared" ref="EQ22" si="153">EP22+1</f>
        <v>128</v>
      </c>
      <c r="ER22" s="87">
        <f t="shared" ref="ER22" si="154">EQ22+1</f>
        <v>129</v>
      </c>
      <c r="ES22" s="87">
        <f>ER22+1</f>
        <v>130</v>
      </c>
      <c r="ET22" s="87">
        <f>ES22+1</f>
        <v>131</v>
      </c>
      <c r="EU22" s="87">
        <f>ET22+1</f>
        <v>132</v>
      </c>
      <c r="EW22" s="199" t="s">
        <v>74</v>
      </c>
      <c r="FB22" s="203" t="s">
        <v>25</v>
      </c>
      <c r="FC22" s="204">
        <v>0</v>
      </c>
      <c r="FD22" s="204">
        <f>+FC22+1</f>
        <v>1</v>
      </c>
      <c r="FE22" s="204">
        <f t="shared" ref="FE22:HP22" si="155">+FD22+1</f>
        <v>2</v>
      </c>
      <c r="FF22" s="204">
        <f t="shared" si="155"/>
        <v>3</v>
      </c>
      <c r="FG22" s="204">
        <f t="shared" si="155"/>
        <v>4</v>
      </c>
      <c r="FH22" s="204">
        <f t="shared" si="155"/>
        <v>5</v>
      </c>
      <c r="FI22" s="204">
        <f t="shared" si="155"/>
        <v>6</v>
      </c>
      <c r="FJ22" s="204">
        <f t="shared" si="155"/>
        <v>7</v>
      </c>
      <c r="FK22" s="204">
        <f t="shared" si="155"/>
        <v>8</v>
      </c>
      <c r="FL22" s="204">
        <f t="shared" si="155"/>
        <v>9</v>
      </c>
      <c r="FM22" s="204">
        <f t="shared" si="155"/>
        <v>10</v>
      </c>
      <c r="FN22" s="204">
        <f t="shared" si="155"/>
        <v>11</v>
      </c>
      <c r="FO22" s="204">
        <f t="shared" si="155"/>
        <v>12</v>
      </c>
      <c r="FP22" s="204">
        <f t="shared" si="155"/>
        <v>13</v>
      </c>
      <c r="FQ22" s="204">
        <f t="shared" si="155"/>
        <v>14</v>
      </c>
      <c r="FR22" s="204">
        <f t="shared" si="155"/>
        <v>15</v>
      </c>
      <c r="FS22" s="204">
        <f t="shared" si="155"/>
        <v>16</v>
      </c>
      <c r="FT22" s="204">
        <f t="shared" si="155"/>
        <v>17</v>
      </c>
      <c r="FU22" s="204">
        <f t="shared" si="155"/>
        <v>18</v>
      </c>
      <c r="FV22" s="204">
        <f t="shared" si="155"/>
        <v>19</v>
      </c>
      <c r="FW22" s="204">
        <f t="shared" si="155"/>
        <v>20</v>
      </c>
      <c r="FX22" s="204">
        <f t="shared" si="155"/>
        <v>21</v>
      </c>
      <c r="FY22" s="204">
        <f t="shared" si="155"/>
        <v>22</v>
      </c>
      <c r="FZ22" s="204">
        <f t="shared" si="155"/>
        <v>23</v>
      </c>
      <c r="GA22" s="204">
        <f t="shared" si="155"/>
        <v>24</v>
      </c>
      <c r="GB22" s="204">
        <f t="shared" si="155"/>
        <v>25</v>
      </c>
      <c r="GC22" s="204">
        <f t="shared" si="155"/>
        <v>26</v>
      </c>
      <c r="GD22" s="204">
        <f t="shared" si="155"/>
        <v>27</v>
      </c>
      <c r="GE22" s="204">
        <f t="shared" si="155"/>
        <v>28</v>
      </c>
      <c r="GF22" s="204">
        <f t="shared" si="155"/>
        <v>29</v>
      </c>
      <c r="GG22" s="204">
        <f t="shared" si="155"/>
        <v>30</v>
      </c>
      <c r="GH22" s="204">
        <f t="shared" si="155"/>
        <v>31</v>
      </c>
      <c r="GI22" s="204">
        <f t="shared" si="155"/>
        <v>32</v>
      </c>
      <c r="GJ22" s="204">
        <f t="shared" si="155"/>
        <v>33</v>
      </c>
      <c r="GK22" s="204">
        <f t="shared" si="155"/>
        <v>34</v>
      </c>
      <c r="GL22" s="204">
        <f t="shared" si="155"/>
        <v>35</v>
      </c>
      <c r="GM22" s="204">
        <f t="shared" si="155"/>
        <v>36</v>
      </c>
      <c r="GN22" s="204">
        <f t="shared" si="155"/>
        <v>37</v>
      </c>
      <c r="GO22" s="204">
        <f t="shared" si="155"/>
        <v>38</v>
      </c>
      <c r="GP22" s="204">
        <f t="shared" si="155"/>
        <v>39</v>
      </c>
      <c r="GQ22" s="204">
        <f t="shared" si="155"/>
        <v>40</v>
      </c>
      <c r="GR22" s="204">
        <f t="shared" si="155"/>
        <v>41</v>
      </c>
      <c r="GS22" s="204">
        <f t="shared" si="155"/>
        <v>42</v>
      </c>
      <c r="GT22" s="204">
        <f t="shared" si="155"/>
        <v>43</v>
      </c>
      <c r="GU22" s="204">
        <f t="shared" si="155"/>
        <v>44</v>
      </c>
      <c r="GV22" s="204">
        <f t="shared" si="155"/>
        <v>45</v>
      </c>
      <c r="GW22" s="204">
        <f t="shared" si="155"/>
        <v>46</v>
      </c>
      <c r="GX22" s="204">
        <f t="shared" si="155"/>
        <v>47</v>
      </c>
      <c r="GY22" s="204">
        <f t="shared" si="155"/>
        <v>48</v>
      </c>
      <c r="GZ22" s="204">
        <f t="shared" si="155"/>
        <v>49</v>
      </c>
      <c r="HA22" s="204">
        <f t="shared" si="155"/>
        <v>50</v>
      </c>
      <c r="HB22" s="204">
        <f t="shared" si="155"/>
        <v>51</v>
      </c>
      <c r="HC22" s="204">
        <f t="shared" si="155"/>
        <v>52</v>
      </c>
      <c r="HD22" s="204">
        <f t="shared" si="155"/>
        <v>53</v>
      </c>
      <c r="HE22" s="204">
        <f t="shared" si="155"/>
        <v>54</v>
      </c>
      <c r="HF22" s="204">
        <f t="shared" si="155"/>
        <v>55</v>
      </c>
      <c r="HG22" s="204">
        <f t="shared" si="155"/>
        <v>56</v>
      </c>
      <c r="HH22" s="204">
        <f t="shared" si="155"/>
        <v>57</v>
      </c>
      <c r="HI22" s="204">
        <f t="shared" si="155"/>
        <v>58</v>
      </c>
      <c r="HJ22" s="204">
        <f t="shared" si="155"/>
        <v>59</v>
      </c>
      <c r="HK22" s="204">
        <f t="shared" si="155"/>
        <v>60</v>
      </c>
      <c r="HL22" s="204">
        <f t="shared" si="155"/>
        <v>61</v>
      </c>
      <c r="HM22" s="204">
        <f t="shared" si="155"/>
        <v>62</v>
      </c>
      <c r="HN22" s="204">
        <f t="shared" si="155"/>
        <v>63</v>
      </c>
      <c r="HO22" s="204">
        <f t="shared" si="155"/>
        <v>64</v>
      </c>
      <c r="HP22" s="204">
        <f t="shared" si="155"/>
        <v>65</v>
      </c>
      <c r="HQ22" s="204">
        <f t="shared" ref="HQ22:KB22" si="156">+HP22+1</f>
        <v>66</v>
      </c>
      <c r="HR22" s="204">
        <f t="shared" si="156"/>
        <v>67</v>
      </c>
      <c r="HS22" s="204">
        <f t="shared" si="156"/>
        <v>68</v>
      </c>
      <c r="HT22" s="204">
        <f t="shared" si="156"/>
        <v>69</v>
      </c>
      <c r="HU22" s="204">
        <f t="shared" si="156"/>
        <v>70</v>
      </c>
      <c r="HV22" s="204">
        <f t="shared" si="156"/>
        <v>71</v>
      </c>
      <c r="HW22" s="204">
        <f t="shared" si="156"/>
        <v>72</v>
      </c>
      <c r="HX22" s="204">
        <f t="shared" si="156"/>
        <v>73</v>
      </c>
      <c r="HY22" s="204">
        <f t="shared" si="156"/>
        <v>74</v>
      </c>
      <c r="HZ22" s="204">
        <f t="shared" si="156"/>
        <v>75</v>
      </c>
      <c r="IA22" s="204">
        <f t="shared" si="156"/>
        <v>76</v>
      </c>
      <c r="IB22" s="204">
        <f t="shared" si="156"/>
        <v>77</v>
      </c>
      <c r="IC22" s="204">
        <f t="shared" si="156"/>
        <v>78</v>
      </c>
      <c r="ID22" s="204">
        <f t="shared" si="156"/>
        <v>79</v>
      </c>
      <c r="IE22" s="204">
        <f t="shared" si="156"/>
        <v>80</v>
      </c>
      <c r="IF22" s="204">
        <f t="shared" si="156"/>
        <v>81</v>
      </c>
      <c r="IG22" s="204">
        <f t="shared" si="156"/>
        <v>82</v>
      </c>
      <c r="IH22" s="204">
        <f t="shared" si="156"/>
        <v>83</v>
      </c>
      <c r="II22" s="204">
        <f t="shared" si="156"/>
        <v>84</v>
      </c>
      <c r="IJ22" s="204">
        <f t="shared" si="156"/>
        <v>85</v>
      </c>
      <c r="IK22" s="204">
        <f t="shared" si="156"/>
        <v>86</v>
      </c>
      <c r="IL22" s="204">
        <f t="shared" si="156"/>
        <v>87</v>
      </c>
      <c r="IM22" s="204">
        <f t="shared" si="156"/>
        <v>88</v>
      </c>
      <c r="IN22" s="204">
        <f t="shared" si="156"/>
        <v>89</v>
      </c>
      <c r="IO22" s="204">
        <f t="shared" si="156"/>
        <v>90</v>
      </c>
      <c r="IP22" s="204">
        <f t="shared" si="156"/>
        <v>91</v>
      </c>
      <c r="IQ22" s="204">
        <f t="shared" si="156"/>
        <v>92</v>
      </c>
      <c r="IR22" s="204">
        <f t="shared" si="156"/>
        <v>93</v>
      </c>
      <c r="IS22" s="204">
        <f t="shared" si="156"/>
        <v>94</v>
      </c>
      <c r="IT22" s="204">
        <f t="shared" si="156"/>
        <v>95</v>
      </c>
      <c r="IU22" s="204">
        <f t="shared" si="156"/>
        <v>96</v>
      </c>
      <c r="IV22" s="204">
        <f t="shared" si="156"/>
        <v>97</v>
      </c>
      <c r="IW22" s="204">
        <f t="shared" si="156"/>
        <v>98</v>
      </c>
      <c r="IX22" s="204">
        <f t="shared" si="156"/>
        <v>99</v>
      </c>
      <c r="IY22" s="204">
        <f t="shared" si="156"/>
        <v>100</v>
      </c>
      <c r="IZ22" s="204">
        <f t="shared" si="156"/>
        <v>101</v>
      </c>
      <c r="JA22" s="204">
        <f t="shared" si="156"/>
        <v>102</v>
      </c>
      <c r="JB22" s="204">
        <f t="shared" si="156"/>
        <v>103</v>
      </c>
      <c r="JC22" s="204">
        <f t="shared" si="156"/>
        <v>104</v>
      </c>
      <c r="JD22" s="204">
        <f t="shared" si="156"/>
        <v>105</v>
      </c>
      <c r="JE22" s="204">
        <f t="shared" si="156"/>
        <v>106</v>
      </c>
      <c r="JF22" s="204">
        <f t="shared" si="156"/>
        <v>107</v>
      </c>
      <c r="JG22" s="204">
        <f t="shared" si="156"/>
        <v>108</v>
      </c>
      <c r="JH22" s="204">
        <f t="shared" si="156"/>
        <v>109</v>
      </c>
      <c r="JI22" s="204">
        <f t="shared" si="156"/>
        <v>110</v>
      </c>
      <c r="JJ22" s="204">
        <f t="shared" si="156"/>
        <v>111</v>
      </c>
      <c r="JK22" s="204">
        <f t="shared" si="156"/>
        <v>112</v>
      </c>
      <c r="JL22" s="204">
        <f t="shared" si="156"/>
        <v>113</v>
      </c>
      <c r="JM22" s="204">
        <f t="shared" si="156"/>
        <v>114</v>
      </c>
      <c r="JN22" s="204">
        <f t="shared" si="156"/>
        <v>115</v>
      </c>
      <c r="JO22" s="204">
        <f t="shared" si="156"/>
        <v>116</v>
      </c>
      <c r="JP22" s="204">
        <f t="shared" si="156"/>
        <v>117</v>
      </c>
      <c r="JQ22" s="204">
        <f t="shared" si="156"/>
        <v>118</v>
      </c>
      <c r="JR22" s="204">
        <f t="shared" si="156"/>
        <v>119</v>
      </c>
      <c r="JS22" s="204">
        <f t="shared" si="156"/>
        <v>120</v>
      </c>
      <c r="JT22" s="204">
        <f t="shared" si="156"/>
        <v>121</v>
      </c>
      <c r="JU22" s="204">
        <f t="shared" si="156"/>
        <v>122</v>
      </c>
      <c r="JV22" s="204">
        <f t="shared" si="156"/>
        <v>123</v>
      </c>
      <c r="JW22" s="204">
        <f t="shared" si="156"/>
        <v>124</v>
      </c>
      <c r="JX22" s="204">
        <f t="shared" si="156"/>
        <v>125</v>
      </c>
      <c r="JY22" s="204">
        <f t="shared" si="156"/>
        <v>126</v>
      </c>
      <c r="JZ22" s="204">
        <f t="shared" si="156"/>
        <v>127</v>
      </c>
      <c r="KA22" s="204">
        <f t="shared" si="156"/>
        <v>128</v>
      </c>
      <c r="KB22" s="204">
        <f t="shared" si="156"/>
        <v>129</v>
      </c>
      <c r="KC22" s="204">
        <f t="shared" ref="KC22:KE22" si="157">+KB22+1</f>
        <v>130</v>
      </c>
      <c r="KD22" s="204">
        <f t="shared" si="157"/>
        <v>131</v>
      </c>
      <c r="KE22" s="204">
        <f t="shared" si="157"/>
        <v>132</v>
      </c>
      <c r="KF22" s="205"/>
      <c r="KL22" s="203"/>
      <c r="KM22" s="204"/>
      <c r="KN22" s="204"/>
      <c r="KO22" s="204"/>
      <c r="KP22" s="204"/>
      <c r="KQ22" s="204"/>
      <c r="KR22" s="204"/>
      <c r="KS22" s="204"/>
      <c r="KT22" s="204"/>
      <c r="KU22" s="204"/>
      <c r="KV22" s="204"/>
      <c r="KW22" s="204"/>
      <c r="KX22" s="204"/>
      <c r="KY22" s="204"/>
      <c r="KZ22" s="204"/>
      <c r="LA22" s="204"/>
      <c r="LB22" s="204"/>
      <c r="LC22" s="204"/>
      <c r="LD22" s="204"/>
      <c r="LE22" s="204"/>
      <c r="LF22" s="204"/>
      <c r="LG22" s="204"/>
      <c r="LH22" s="204"/>
      <c r="LI22" s="204"/>
      <c r="LJ22" s="204"/>
      <c r="LK22" s="204"/>
      <c r="LL22" s="204"/>
      <c r="LM22" s="204"/>
      <c r="LN22" s="204"/>
      <c r="LO22" s="204"/>
      <c r="LP22" s="204"/>
      <c r="LQ22" s="204"/>
      <c r="LR22" s="204"/>
      <c r="LS22" s="204"/>
      <c r="LT22" s="204"/>
      <c r="LU22" s="204"/>
      <c r="LV22" s="204"/>
      <c r="LW22" s="204"/>
      <c r="LX22" s="204"/>
      <c r="LY22" s="204"/>
      <c r="LZ22" s="204"/>
      <c r="MA22" s="204"/>
      <c r="MB22" s="204"/>
      <c r="MC22" s="204"/>
      <c r="MD22" s="204"/>
      <c r="ME22" s="204"/>
      <c r="MF22" s="204"/>
      <c r="MG22" s="204"/>
      <c r="MH22" s="204"/>
      <c r="MI22" s="204"/>
      <c r="MJ22" s="204"/>
      <c r="MK22" s="204"/>
      <c r="ML22" s="204"/>
      <c r="MM22" s="204"/>
      <c r="MN22" s="204"/>
      <c r="MO22" s="204"/>
      <c r="MP22" s="204"/>
      <c r="MQ22" s="204"/>
      <c r="MR22" s="204"/>
      <c r="MS22" s="204"/>
      <c r="MT22" s="204"/>
      <c r="MU22" s="204"/>
      <c r="MV22" s="204"/>
      <c r="MW22" s="204"/>
      <c r="MX22" s="204"/>
      <c r="MY22" s="204"/>
      <c r="MZ22" s="204"/>
      <c r="NA22" s="204"/>
      <c r="NB22" s="204"/>
      <c r="NC22" s="204"/>
      <c r="ND22" s="204"/>
      <c r="NE22" s="204"/>
      <c r="NF22" s="204"/>
      <c r="NG22" s="204"/>
      <c r="NH22" s="204"/>
      <c r="NI22" s="204"/>
      <c r="NJ22" s="204"/>
      <c r="NK22" s="204"/>
      <c r="NL22" s="204"/>
      <c r="NM22" s="204"/>
      <c r="NN22" s="204"/>
      <c r="NO22" s="204"/>
      <c r="NP22" s="204"/>
      <c r="NQ22" s="204"/>
      <c r="NR22" s="204"/>
      <c r="NS22" s="204"/>
      <c r="NT22" s="204"/>
      <c r="NU22" s="204"/>
      <c r="NV22" s="204"/>
      <c r="NW22" s="204"/>
      <c r="NX22" s="204"/>
      <c r="NY22" s="204"/>
      <c r="NZ22" s="204"/>
      <c r="OA22" s="204"/>
      <c r="OB22" s="204"/>
      <c r="OC22" s="204"/>
      <c r="OD22" s="204"/>
      <c r="OE22" s="204"/>
      <c r="OF22" s="204"/>
      <c r="OG22" s="204"/>
      <c r="OH22" s="204"/>
      <c r="OI22" s="204"/>
      <c r="OJ22" s="204"/>
      <c r="OK22" s="204"/>
      <c r="OL22" s="204"/>
      <c r="OM22" s="204"/>
      <c r="ON22" s="204"/>
      <c r="OO22" s="204"/>
      <c r="OP22" s="204"/>
      <c r="OQ22" s="204"/>
      <c r="OR22" s="204"/>
      <c r="OS22" s="204"/>
      <c r="OT22" s="204"/>
      <c r="OU22" s="204"/>
      <c r="OV22" s="204"/>
      <c r="OW22" s="204"/>
      <c r="OX22" s="204"/>
      <c r="OY22" s="204"/>
      <c r="OZ22" s="204"/>
      <c r="PA22" s="204"/>
      <c r="PB22" s="204"/>
      <c r="PC22" s="204"/>
      <c r="PD22" s="204"/>
      <c r="PE22" s="204"/>
      <c r="PF22" s="204"/>
      <c r="PG22" s="204"/>
      <c r="PH22" s="204"/>
      <c r="PI22" s="204"/>
      <c r="PJ22" s="204"/>
      <c r="PK22" s="204"/>
      <c r="PL22" s="204"/>
      <c r="PM22" s="204"/>
      <c r="PN22" s="204"/>
      <c r="PO22" s="204"/>
      <c r="PQ22" s="201"/>
      <c r="PR22" s="201"/>
      <c r="PS22" s="201"/>
      <c r="PT22" s="201"/>
      <c r="PU22" s="201"/>
      <c r="PV22" s="201"/>
      <c r="PW22" s="201"/>
      <c r="PX22" s="201"/>
      <c r="PY22" s="201"/>
      <c r="PZ22" s="201"/>
      <c r="QA22" s="201"/>
      <c r="QB22" s="201"/>
      <c r="QC22" s="201"/>
      <c r="QD22" s="201"/>
      <c r="QE22" s="201"/>
      <c r="QF22" s="201"/>
      <c r="QG22" s="201"/>
      <c r="QH22" s="201"/>
      <c r="QI22" s="201"/>
      <c r="QJ22" s="201"/>
      <c r="QK22" s="201"/>
      <c r="QL22" s="201"/>
      <c r="QM22" s="201"/>
      <c r="QN22" s="201"/>
      <c r="QO22" s="201"/>
      <c r="QP22" s="201"/>
      <c r="QQ22" s="201"/>
      <c r="QR22" s="201"/>
      <c r="QS22" s="201"/>
      <c r="QT22" s="201"/>
      <c r="QU22" s="201"/>
      <c r="QV22" s="201"/>
      <c r="QW22" s="201"/>
      <c r="QX22" s="201"/>
      <c r="QY22" s="201"/>
      <c r="QZ22" s="201"/>
      <c r="RA22" s="201"/>
      <c r="RB22" s="201"/>
      <c r="RC22" s="201"/>
      <c r="RD22" s="201"/>
      <c r="RE22" s="201"/>
      <c r="RF22" s="201"/>
      <c r="RG22" s="201"/>
      <c r="RH22" s="201"/>
      <c r="RI22" s="201"/>
      <c r="RJ22" s="201"/>
      <c r="RK22" s="201"/>
      <c r="RL22" s="201"/>
      <c r="RM22" s="201"/>
      <c r="RN22" s="201"/>
      <c r="RO22" s="201"/>
      <c r="RP22" s="201"/>
      <c r="RQ22" s="201"/>
      <c r="RR22" s="201"/>
      <c r="RS22" s="201"/>
      <c r="RT22" s="201"/>
      <c r="RU22" s="201"/>
      <c r="RV22" s="201"/>
      <c r="RW22" s="201"/>
      <c r="RX22" s="201"/>
      <c r="RY22" s="201"/>
      <c r="RZ22" s="201"/>
      <c r="SA22" s="201"/>
      <c r="SB22" s="201"/>
      <c r="SC22" s="201"/>
      <c r="SD22" s="201"/>
      <c r="SE22" s="201"/>
      <c r="SF22" s="201"/>
      <c r="SG22" s="201"/>
      <c r="SH22" s="201"/>
      <c r="SI22" s="201"/>
      <c r="SJ22" s="201"/>
      <c r="SK22" s="201"/>
      <c r="SL22" s="201"/>
      <c r="SM22" s="201"/>
      <c r="SN22" s="201"/>
      <c r="SO22" s="201"/>
      <c r="SP22" s="201"/>
      <c r="SQ22" s="201"/>
      <c r="SR22" s="201"/>
      <c r="SS22" s="201"/>
      <c r="ST22" s="201"/>
      <c r="SU22" s="201"/>
      <c r="SV22" s="201"/>
      <c r="SW22" s="201"/>
      <c r="SX22" s="201"/>
      <c r="SY22" s="201"/>
      <c r="SZ22" s="201"/>
      <c r="TA22" s="201"/>
      <c r="TB22" s="201"/>
      <c r="TC22" s="201"/>
      <c r="TD22" s="201"/>
      <c r="TE22" s="201"/>
      <c r="TF22" s="201"/>
      <c r="TG22" s="201"/>
      <c r="TH22" s="201"/>
      <c r="TI22" s="201"/>
      <c r="TJ22" s="201"/>
      <c r="TK22" s="201"/>
      <c r="TL22" s="201"/>
      <c r="TM22" s="201"/>
      <c r="TN22" s="201"/>
      <c r="TO22" s="201"/>
      <c r="TP22" s="201"/>
      <c r="TQ22" s="201"/>
      <c r="TR22" s="201"/>
      <c r="TS22" s="201"/>
      <c r="TT22" s="201"/>
      <c r="TU22" s="201"/>
      <c r="TV22" s="201"/>
      <c r="TW22" s="201"/>
      <c r="TX22" s="201"/>
      <c r="TY22" s="201"/>
      <c r="TZ22" s="201"/>
      <c r="UA22" s="201"/>
      <c r="UB22" s="201"/>
      <c r="UC22" s="201"/>
      <c r="UD22" s="201"/>
      <c r="UE22" s="201"/>
      <c r="UF22" s="201"/>
      <c r="UG22" s="201"/>
      <c r="UH22" s="201"/>
      <c r="UI22" s="201"/>
      <c r="UJ22" s="201"/>
      <c r="UK22" s="201"/>
      <c r="UL22" s="201"/>
      <c r="UM22" s="201"/>
      <c r="UN22" s="201"/>
      <c r="UO22" s="201"/>
      <c r="UP22" s="201"/>
      <c r="UQ22" s="201"/>
      <c r="UR22" s="201"/>
      <c r="US22" s="201"/>
      <c r="UT22" s="201"/>
      <c r="UU22" s="201"/>
    </row>
    <row r="23" spans="2:567" x14ac:dyDescent="0.25">
      <c r="B23" s="18" t="s">
        <v>42</v>
      </c>
      <c r="C23" s="26"/>
      <c r="D23" s="26"/>
      <c r="E23" s="26"/>
      <c r="F23" s="26"/>
      <c r="G23" s="26"/>
      <c r="H23" s="32"/>
      <c r="I23" s="26"/>
      <c r="J23" s="26"/>
      <c r="K23" s="26"/>
      <c r="R23" s="89" t="s">
        <v>80</v>
      </c>
      <c r="S23" s="88">
        <f>EOMONTH(F18,0)</f>
        <v>46053</v>
      </c>
      <c r="T23" s="88">
        <f>EOMONTH(S23,1)</f>
        <v>46081</v>
      </c>
      <c r="U23" s="88">
        <f t="shared" ref="U23:CF23" si="158">EOMONTH(T23,1)</f>
        <v>46112</v>
      </c>
      <c r="V23" s="88">
        <f t="shared" si="158"/>
        <v>46142</v>
      </c>
      <c r="W23" s="88">
        <f t="shared" si="158"/>
        <v>46173</v>
      </c>
      <c r="X23" s="88">
        <f t="shared" si="158"/>
        <v>46203</v>
      </c>
      <c r="Y23" s="88">
        <f t="shared" si="158"/>
        <v>46234</v>
      </c>
      <c r="Z23" s="88">
        <f t="shared" si="158"/>
        <v>46265</v>
      </c>
      <c r="AA23" s="88">
        <f t="shared" si="158"/>
        <v>46295</v>
      </c>
      <c r="AB23" s="88">
        <f t="shared" si="158"/>
        <v>46326</v>
      </c>
      <c r="AC23" s="88">
        <f t="shared" si="158"/>
        <v>46356</v>
      </c>
      <c r="AD23" s="88">
        <f t="shared" si="158"/>
        <v>46387</v>
      </c>
      <c r="AE23" s="88">
        <f t="shared" si="158"/>
        <v>46418</v>
      </c>
      <c r="AF23" s="88">
        <f t="shared" si="158"/>
        <v>46446</v>
      </c>
      <c r="AG23" s="88">
        <f t="shared" si="158"/>
        <v>46477</v>
      </c>
      <c r="AH23" s="88">
        <f t="shared" si="158"/>
        <v>46507</v>
      </c>
      <c r="AI23" s="88">
        <f t="shared" si="158"/>
        <v>46538</v>
      </c>
      <c r="AJ23" s="88">
        <f t="shared" si="158"/>
        <v>46568</v>
      </c>
      <c r="AK23" s="88">
        <f t="shared" si="158"/>
        <v>46599</v>
      </c>
      <c r="AL23" s="88">
        <f t="shared" si="158"/>
        <v>46630</v>
      </c>
      <c r="AM23" s="88">
        <f t="shared" si="158"/>
        <v>46660</v>
      </c>
      <c r="AN23" s="88">
        <f t="shared" si="158"/>
        <v>46691</v>
      </c>
      <c r="AO23" s="88">
        <f t="shared" si="158"/>
        <v>46721</v>
      </c>
      <c r="AP23" s="88">
        <f t="shared" si="158"/>
        <v>46752</v>
      </c>
      <c r="AQ23" s="88">
        <f t="shared" si="158"/>
        <v>46783</v>
      </c>
      <c r="AR23" s="88">
        <f t="shared" si="158"/>
        <v>46812</v>
      </c>
      <c r="AS23" s="88">
        <f t="shared" si="158"/>
        <v>46843</v>
      </c>
      <c r="AT23" s="88">
        <f t="shared" si="158"/>
        <v>46873</v>
      </c>
      <c r="AU23" s="88">
        <f t="shared" si="158"/>
        <v>46904</v>
      </c>
      <c r="AV23" s="88">
        <f t="shared" si="158"/>
        <v>46934</v>
      </c>
      <c r="AW23" s="88">
        <f t="shared" si="158"/>
        <v>46965</v>
      </c>
      <c r="AX23" s="88">
        <f t="shared" si="158"/>
        <v>46996</v>
      </c>
      <c r="AY23" s="88">
        <f t="shared" si="158"/>
        <v>47026</v>
      </c>
      <c r="AZ23" s="88">
        <f t="shared" si="158"/>
        <v>47057</v>
      </c>
      <c r="BA23" s="88">
        <f t="shared" si="158"/>
        <v>47087</v>
      </c>
      <c r="BB23" s="88">
        <f t="shared" si="158"/>
        <v>47118</v>
      </c>
      <c r="BC23" s="88">
        <f t="shared" si="158"/>
        <v>47149</v>
      </c>
      <c r="BD23" s="88">
        <f t="shared" si="158"/>
        <v>47177</v>
      </c>
      <c r="BE23" s="88">
        <f t="shared" si="158"/>
        <v>47208</v>
      </c>
      <c r="BF23" s="88">
        <f t="shared" si="158"/>
        <v>47238</v>
      </c>
      <c r="BG23" s="88">
        <f t="shared" si="158"/>
        <v>47269</v>
      </c>
      <c r="BH23" s="88">
        <f t="shared" si="158"/>
        <v>47299</v>
      </c>
      <c r="BI23" s="88">
        <f t="shared" si="158"/>
        <v>47330</v>
      </c>
      <c r="BJ23" s="88">
        <f t="shared" si="158"/>
        <v>47361</v>
      </c>
      <c r="BK23" s="88">
        <f t="shared" si="158"/>
        <v>47391</v>
      </c>
      <c r="BL23" s="88">
        <f t="shared" si="158"/>
        <v>47422</v>
      </c>
      <c r="BM23" s="88">
        <f t="shared" si="158"/>
        <v>47452</v>
      </c>
      <c r="BN23" s="88">
        <f t="shared" si="158"/>
        <v>47483</v>
      </c>
      <c r="BO23" s="88">
        <f t="shared" si="158"/>
        <v>47514</v>
      </c>
      <c r="BP23" s="88">
        <f t="shared" si="158"/>
        <v>47542</v>
      </c>
      <c r="BQ23" s="88">
        <f t="shared" si="158"/>
        <v>47573</v>
      </c>
      <c r="BR23" s="88">
        <f t="shared" si="158"/>
        <v>47603</v>
      </c>
      <c r="BS23" s="88">
        <f t="shared" si="158"/>
        <v>47634</v>
      </c>
      <c r="BT23" s="88">
        <f t="shared" si="158"/>
        <v>47664</v>
      </c>
      <c r="BU23" s="88">
        <f t="shared" si="158"/>
        <v>47695</v>
      </c>
      <c r="BV23" s="88">
        <f t="shared" si="158"/>
        <v>47726</v>
      </c>
      <c r="BW23" s="88">
        <f t="shared" si="158"/>
        <v>47756</v>
      </c>
      <c r="BX23" s="88">
        <f t="shared" si="158"/>
        <v>47787</v>
      </c>
      <c r="BY23" s="88">
        <f t="shared" si="158"/>
        <v>47817</v>
      </c>
      <c r="BZ23" s="88">
        <f t="shared" si="158"/>
        <v>47848</v>
      </c>
      <c r="CA23" s="88">
        <f t="shared" si="158"/>
        <v>47879</v>
      </c>
      <c r="CB23" s="88">
        <f t="shared" si="158"/>
        <v>47907</v>
      </c>
      <c r="CC23" s="88">
        <f t="shared" si="158"/>
        <v>47938</v>
      </c>
      <c r="CD23" s="88">
        <f t="shared" si="158"/>
        <v>47968</v>
      </c>
      <c r="CE23" s="88">
        <f t="shared" si="158"/>
        <v>47999</v>
      </c>
      <c r="CF23" s="88">
        <f t="shared" si="158"/>
        <v>48029</v>
      </c>
      <c r="CG23" s="88">
        <f t="shared" ref="CG23:ER23" si="159">EOMONTH(CF23,1)</f>
        <v>48060</v>
      </c>
      <c r="CH23" s="88">
        <f t="shared" si="159"/>
        <v>48091</v>
      </c>
      <c r="CI23" s="88">
        <f t="shared" si="159"/>
        <v>48121</v>
      </c>
      <c r="CJ23" s="88">
        <f t="shared" si="159"/>
        <v>48152</v>
      </c>
      <c r="CK23" s="88">
        <f t="shared" si="159"/>
        <v>48182</v>
      </c>
      <c r="CL23" s="88">
        <f t="shared" si="159"/>
        <v>48213</v>
      </c>
      <c r="CM23" s="88">
        <f t="shared" si="159"/>
        <v>48244</v>
      </c>
      <c r="CN23" s="88">
        <f t="shared" si="159"/>
        <v>48273</v>
      </c>
      <c r="CO23" s="88">
        <f t="shared" si="159"/>
        <v>48304</v>
      </c>
      <c r="CP23" s="88">
        <f t="shared" si="159"/>
        <v>48334</v>
      </c>
      <c r="CQ23" s="88">
        <f t="shared" si="159"/>
        <v>48365</v>
      </c>
      <c r="CR23" s="88">
        <f t="shared" si="159"/>
        <v>48395</v>
      </c>
      <c r="CS23" s="88">
        <f t="shared" si="159"/>
        <v>48426</v>
      </c>
      <c r="CT23" s="88">
        <f t="shared" si="159"/>
        <v>48457</v>
      </c>
      <c r="CU23" s="88">
        <f t="shared" si="159"/>
        <v>48487</v>
      </c>
      <c r="CV23" s="88">
        <f t="shared" si="159"/>
        <v>48518</v>
      </c>
      <c r="CW23" s="88">
        <f t="shared" si="159"/>
        <v>48548</v>
      </c>
      <c r="CX23" s="88">
        <f t="shared" si="159"/>
        <v>48579</v>
      </c>
      <c r="CY23" s="88">
        <f t="shared" si="159"/>
        <v>48610</v>
      </c>
      <c r="CZ23" s="88">
        <f t="shared" si="159"/>
        <v>48638</v>
      </c>
      <c r="DA23" s="88">
        <f t="shared" si="159"/>
        <v>48669</v>
      </c>
      <c r="DB23" s="88">
        <f t="shared" si="159"/>
        <v>48699</v>
      </c>
      <c r="DC23" s="88">
        <f t="shared" si="159"/>
        <v>48730</v>
      </c>
      <c r="DD23" s="88">
        <f t="shared" si="159"/>
        <v>48760</v>
      </c>
      <c r="DE23" s="88">
        <f t="shared" si="159"/>
        <v>48791</v>
      </c>
      <c r="DF23" s="88">
        <f t="shared" si="159"/>
        <v>48822</v>
      </c>
      <c r="DG23" s="88">
        <f t="shared" si="159"/>
        <v>48852</v>
      </c>
      <c r="DH23" s="88">
        <f t="shared" si="159"/>
        <v>48883</v>
      </c>
      <c r="DI23" s="88">
        <f t="shared" si="159"/>
        <v>48913</v>
      </c>
      <c r="DJ23" s="88">
        <f t="shared" si="159"/>
        <v>48944</v>
      </c>
      <c r="DK23" s="88">
        <f t="shared" si="159"/>
        <v>48975</v>
      </c>
      <c r="DL23" s="88">
        <f t="shared" si="159"/>
        <v>49003</v>
      </c>
      <c r="DM23" s="88">
        <f t="shared" si="159"/>
        <v>49034</v>
      </c>
      <c r="DN23" s="88">
        <f t="shared" si="159"/>
        <v>49064</v>
      </c>
      <c r="DO23" s="88">
        <f t="shared" si="159"/>
        <v>49095</v>
      </c>
      <c r="DP23" s="88">
        <f t="shared" si="159"/>
        <v>49125</v>
      </c>
      <c r="DQ23" s="88">
        <f t="shared" si="159"/>
        <v>49156</v>
      </c>
      <c r="DR23" s="88">
        <f t="shared" si="159"/>
        <v>49187</v>
      </c>
      <c r="DS23" s="88">
        <f t="shared" si="159"/>
        <v>49217</v>
      </c>
      <c r="DT23" s="88">
        <f t="shared" si="159"/>
        <v>49248</v>
      </c>
      <c r="DU23" s="88">
        <f t="shared" si="159"/>
        <v>49278</v>
      </c>
      <c r="DV23" s="88">
        <f t="shared" si="159"/>
        <v>49309</v>
      </c>
      <c r="DW23" s="88">
        <f t="shared" si="159"/>
        <v>49340</v>
      </c>
      <c r="DX23" s="88">
        <f t="shared" si="159"/>
        <v>49368</v>
      </c>
      <c r="DY23" s="88">
        <f t="shared" si="159"/>
        <v>49399</v>
      </c>
      <c r="DZ23" s="88">
        <f t="shared" si="159"/>
        <v>49429</v>
      </c>
      <c r="EA23" s="88">
        <f t="shared" si="159"/>
        <v>49460</v>
      </c>
      <c r="EB23" s="88">
        <f t="shared" si="159"/>
        <v>49490</v>
      </c>
      <c r="EC23" s="88">
        <f t="shared" si="159"/>
        <v>49521</v>
      </c>
      <c r="ED23" s="88">
        <f t="shared" si="159"/>
        <v>49552</v>
      </c>
      <c r="EE23" s="88">
        <f t="shared" si="159"/>
        <v>49582</v>
      </c>
      <c r="EF23" s="88">
        <f t="shared" si="159"/>
        <v>49613</v>
      </c>
      <c r="EG23" s="88">
        <f t="shared" si="159"/>
        <v>49643</v>
      </c>
      <c r="EH23" s="88">
        <f t="shared" si="159"/>
        <v>49674</v>
      </c>
      <c r="EI23" s="88">
        <f t="shared" si="159"/>
        <v>49705</v>
      </c>
      <c r="EJ23" s="88">
        <f t="shared" si="159"/>
        <v>49734</v>
      </c>
      <c r="EK23" s="88">
        <f t="shared" si="159"/>
        <v>49765</v>
      </c>
      <c r="EL23" s="88">
        <f t="shared" si="159"/>
        <v>49795</v>
      </c>
      <c r="EM23" s="88">
        <f t="shared" si="159"/>
        <v>49826</v>
      </c>
      <c r="EN23" s="88">
        <f t="shared" si="159"/>
        <v>49856</v>
      </c>
      <c r="EO23" s="88">
        <f t="shared" si="159"/>
        <v>49887</v>
      </c>
      <c r="EP23" s="88">
        <f t="shared" si="159"/>
        <v>49918</v>
      </c>
      <c r="EQ23" s="88">
        <f t="shared" si="159"/>
        <v>49948</v>
      </c>
      <c r="ER23" s="88">
        <f t="shared" si="159"/>
        <v>49979</v>
      </c>
      <c r="ES23" s="88">
        <f t="shared" ref="ES23:EU23" si="160">EOMONTH(ER23,1)</f>
        <v>50009</v>
      </c>
      <c r="ET23" s="88">
        <f t="shared" si="160"/>
        <v>50040</v>
      </c>
      <c r="EU23" s="88">
        <f t="shared" si="160"/>
        <v>50071</v>
      </c>
      <c r="EW23" s="203" t="s">
        <v>75</v>
      </c>
      <c r="EX23" s="203" t="s">
        <v>76</v>
      </c>
      <c r="EY23" s="203" t="s">
        <v>77</v>
      </c>
      <c r="EZ23" s="203" t="s">
        <v>78</v>
      </c>
      <c r="FA23" s="203" t="s">
        <v>79</v>
      </c>
      <c r="FB23" s="203" t="s">
        <v>72</v>
      </c>
      <c r="FC23" s="206">
        <f>+FC4</f>
        <v>46053</v>
      </c>
      <c r="FD23" s="206">
        <f t="shared" ref="FD23:HO23" si="161">+FD4</f>
        <v>46081</v>
      </c>
      <c r="FE23" s="206">
        <f t="shared" si="161"/>
        <v>46112</v>
      </c>
      <c r="FF23" s="206">
        <f t="shared" si="161"/>
        <v>46142</v>
      </c>
      <c r="FG23" s="206">
        <f t="shared" si="161"/>
        <v>46173</v>
      </c>
      <c r="FH23" s="206">
        <f t="shared" si="161"/>
        <v>46203</v>
      </c>
      <c r="FI23" s="206">
        <f t="shared" si="161"/>
        <v>46234</v>
      </c>
      <c r="FJ23" s="206">
        <f t="shared" si="161"/>
        <v>46265</v>
      </c>
      <c r="FK23" s="206">
        <f t="shared" si="161"/>
        <v>46295</v>
      </c>
      <c r="FL23" s="206">
        <f t="shared" si="161"/>
        <v>46326</v>
      </c>
      <c r="FM23" s="206">
        <f t="shared" si="161"/>
        <v>46356</v>
      </c>
      <c r="FN23" s="206">
        <f t="shared" si="161"/>
        <v>46387</v>
      </c>
      <c r="FO23" s="206">
        <f t="shared" si="161"/>
        <v>46418</v>
      </c>
      <c r="FP23" s="206">
        <f t="shared" si="161"/>
        <v>46446</v>
      </c>
      <c r="FQ23" s="206">
        <f t="shared" si="161"/>
        <v>46477</v>
      </c>
      <c r="FR23" s="206">
        <f t="shared" si="161"/>
        <v>46507</v>
      </c>
      <c r="FS23" s="206">
        <f t="shared" si="161"/>
        <v>46538</v>
      </c>
      <c r="FT23" s="206">
        <f t="shared" si="161"/>
        <v>46568</v>
      </c>
      <c r="FU23" s="206">
        <f t="shared" si="161"/>
        <v>46599</v>
      </c>
      <c r="FV23" s="206">
        <f t="shared" si="161"/>
        <v>46630</v>
      </c>
      <c r="FW23" s="206">
        <f t="shared" si="161"/>
        <v>46660</v>
      </c>
      <c r="FX23" s="206">
        <f t="shared" si="161"/>
        <v>46691</v>
      </c>
      <c r="FY23" s="206">
        <f t="shared" si="161"/>
        <v>46721</v>
      </c>
      <c r="FZ23" s="206">
        <f t="shared" si="161"/>
        <v>46752</v>
      </c>
      <c r="GA23" s="206">
        <f t="shared" si="161"/>
        <v>46783</v>
      </c>
      <c r="GB23" s="206">
        <f t="shared" si="161"/>
        <v>46812</v>
      </c>
      <c r="GC23" s="206">
        <f t="shared" si="161"/>
        <v>46843</v>
      </c>
      <c r="GD23" s="206">
        <f t="shared" si="161"/>
        <v>46873</v>
      </c>
      <c r="GE23" s="206">
        <f t="shared" si="161"/>
        <v>46904</v>
      </c>
      <c r="GF23" s="206">
        <f t="shared" si="161"/>
        <v>46934</v>
      </c>
      <c r="GG23" s="206">
        <f t="shared" si="161"/>
        <v>46965</v>
      </c>
      <c r="GH23" s="206">
        <f t="shared" si="161"/>
        <v>46996</v>
      </c>
      <c r="GI23" s="206">
        <f t="shared" si="161"/>
        <v>47026</v>
      </c>
      <c r="GJ23" s="206">
        <f t="shared" si="161"/>
        <v>47057</v>
      </c>
      <c r="GK23" s="206">
        <f t="shared" si="161"/>
        <v>47087</v>
      </c>
      <c r="GL23" s="206">
        <f t="shared" si="161"/>
        <v>47118</v>
      </c>
      <c r="GM23" s="206">
        <f t="shared" si="161"/>
        <v>47149</v>
      </c>
      <c r="GN23" s="206">
        <f t="shared" si="161"/>
        <v>47177</v>
      </c>
      <c r="GO23" s="206">
        <f t="shared" si="161"/>
        <v>47208</v>
      </c>
      <c r="GP23" s="206">
        <f t="shared" si="161"/>
        <v>47238</v>
      </c>
      <c r="GQ23" s="206">
        <f t="shared" si="161"/>
        <v>47269</v>
      </c>
      <c r="GR23" s="206">
        <f t="shared" si="161"/>
        <v>47299</v>
      </c>
      <c r="GS23" s="206">
        <f t="shared" si="161"/>
        <v>47330</v>
      </c>
      <c r="GT23" s="206">
        <f t="shared" si="161"/>
        <v>47361</v>
      </c>
      <c r="GU23" s="206">
        <f t="shared" si="161"/>
        <v>47391</v>
      </c>
      <c r="GV23" s="206">
        <f t="shared" si="161"/>
        <v>47422</v>
      </c>
      <c r="GW23" s="206">
        <f t="shared" si="161"/>
        <v>47452</v>
      </c>
      <c r="GX23" s="206">
        <f t="shared" si="161"/>
        <v>47483</v>
      </c>
      <c r="GY23" s="206">
        <f t="shared" si="161"/>
        <v>47514</v>
      </c>
      <c r="GZ23" s="206">
        <f t="shared" si="161"/>
        <v>47542</v>
      </c>
      <c r="HA23" s="206">
        <f t="shared" si="161"/>
        <v>47573</v>
      </c>
      <c r="HB23" s="206">
        <f t="shared" si="161"/>
        <v>47603</v>
      </c>
      <c r="HC23" s="206">
        <f t="shared" si="161"/>
        <v>47634</v>
      </c>
      <c r="HD23" s="206">
        <f t="shared" si="161"/>
        <v>47664</v>
      </c>
      <c r="HE23" s="206">
        <f t="shared" si="161"/>
        <v>47695</v>
      </c>
      <c r="HF23" s="206">
        <f t="shared" si="161"/>
        <v>47726</v>
      </c>
      <c r="HG23" s="206">
        <f t="shared" si="161"/>
        <v>47756</v>
      </c>
      <c r="HH23" s="206">
        <f t="shared" si="161"/>
        <v>47787</v>
      </c>
      <c r="HI23" s="206">
        <f t="shared" si="161"/>
        <v>47817</v>
      </c>
      <c r="HJ23" s="206">
        <f t="shared" si="161"/>
        <v>47848</v>
      </c>
      <c r="HK23" s="206">
        <f t="shared" si="161"/>
        <v>47879</v>
      </c>
      <c r="HL23" s="206">
        <f t="shared" si="161"/>
        <v>47907</v>
      </c>
      <c r="HM23" s="206">
        <f t="shared" si="161"/>
        <v>47938</v>
      </c>
      <c r="HN23" s="206">
        <f t="shared" si="161"/>
        <v>47968</v>
      </c>
      <c r="HO23" s="206">
        <f t="shared" si="161"/>
        <v>47999</v>
      </c>
      <c r="HP23" s="206">
        <f t="shared" ref="HP23:KA23" si="162">+HP4</f>
        <v>48029</v>
      </c>
      <c r="HQ23" s="206">
        <f t="shared" si="162"/>
        <v>48060</v>
      </c>
      <c r="HR23" s="206">
        <f t="shared" si="162"/>
        <v>48091</v>
      </c>
      <c r="HS23" s="206">
        <f t="shared" si="162"/>
        <v>48121</v>
      </c>
      <c r="HT23" s="206">
        <f t="shared" si="162"/>
        <v>48152</v>
      </c>
      <c r="HU23" s="206">
        <f t="shared" si="162"/>
        <v>48182</v>
      </c>
      <c r="HV23" s="206">
        <f t="shared" si="162"/>
        <v>48213</v>
      </c>
      <c r="HW23" s="206">
        <f t="shared" si="162"/>
        <v>48244</v>
      </c>
      <c r="HX23" s="206">
        <f t="shared" si="162"/>
        <v>48273</v>
      </c>
      <c r="HY23" s="206">
        <f t="shared" si="162"/>
        <v>48304</v>
      </c>
      <c r="HZ23" s="206">
        <f t="shared" si="162"/>
        <v>48334</v>
      </c>
      <c r="IA23" s="206">
        <f t="shared" si="162"/>
        <v>48365</v>
      </c>
      <c r="IB23" s="206">
        <f t="shared" si="162"/>
        <v>48395</v>
      </c>
      <c r="IC23" s="206">
        <f t="shared" si="162"/>
        <v>48426</v>
      </c>
      <c r="ID23" s="206">
        <f t="shared" si="162"/>
        <v>48457</v>
      </c>
      <c r="IE23" s="206">
        <f t="shared" si="162"/>
        <v>48487</v>
      </c>
      <c r="IF23" s="206">
        <f t="shared" si="162"/>
        <v>48518</v>
      </c>
      <c r="IG23" s="206">
        <f t="shared" si="162"/>
        <v>48548</v>
      </c>
      <c r="IH23" s="206">
        <f t="shared" si="162"/>
        <v>48579</v>
      </c>
      <c r="II23" s="206">
        <f t="shared" si="162"/>
        <v>48610</v>
      </c>
      <c r="IJ23" s="206">
        <f t="shared" si="162"/>
        <v>48638</v>
      </c>
      <c r="IK23" s="206">
        <f t="shared" si="162"/>
        <v>48669</v>
      </c>
      <c r="IL23" s="206">
        <f t="shared" si="162"/>
        <v>48699</v>
      </c>
      <c r="IM23" s="206">
        <f t="shared" si="162"/>
        <v>48730</v>
      </c>
      <c r="IN23" s="206">
        <f t="shared" si="162"/>
        <v>48760</v>
      </c>
      <c r="IO23" s="206">
        <f t="shared" si="162"/>
        <v>48791</v>
      </c>
      <c r="IP23" s="206">
        <f t="shared" si="162"/>
        <v>48822</v>
      </c>
      <c r="IQ23" s="206">
        <f t="shared" si="162"/>
        <v>48852</v>
      </c>
      <c r="IR23" s="206">
        <f t="shared" si="162"/>
        <v>48883</v>
      </c>
      <c r="IS23" s="206">
        <f t="shared" si="162"/>
        <v>48913</v>
      </c>
      <c r="IT23" s="206">
        <f t="shared" si="162"/>
        <v>48944</v>
      </c>
      <c r="IU23" s="206">
        <f t="shared" si="162"/>
        <v>48975</v>
      </c>
      <c r="IV23" s="206">
        <f t="shared" si="162"/>
        <v>49003</v>
      </c>
      <c r="IW23" s="206">
        <f t="shared" si="162"/>
        <v>49034</v>
      </c>
      <c r="IX23" s="206">
        <f t="shared" si="162"/>
        <v>49064</v>
      </c>
      <c r="IY23" s="206">
        <f t="shared" si="162"/>
        <v>49095</v>
      </c>
      <c r="IZ23" s="206">
        <f t="shared" si="162"/>
        <v>49125</v>
      </c>
      <c r="JA23" s="206">
        <f t="shared" si="162"/>
        <v>49156</v>
      </c>
      <c r="JB23" s="206">
        <f t="shared" si="162"/>
        <v>49187</v>
      </c>
      <c r="JC23" s="206">
        <f t="shared" si="162"/>
        <v>49217</v>
      </c>
      <c r="JD23" s="206">
        <f t="shared" si="162"/>
        <v>49248</v>
      </c>
      <c r="JE23" s="206">
        <f t="shared" si="162"/>
        <v>49278</v>
      </c>
      <c r="JF23" s="206">
        <f t="shared" si="162"/>
        <v>49309</v>
      </c>
      <c r="JG23" s="206">
        <f t="shared" si="162"/>
        <v>49340</v>
      </c>
      <c r="JH23" s="206">
        <f t="shared" si="162"/>
        <v>49368</v>
      </c>
      <c r="JI23" s="206">
        <f t="shared" si="162"/>
        <v>49399</v>
      </c>
      <c r="JJ23" s="206">
        <f t="shared" si="162"/>
        <v>49429</v>
      </c>
      <c r="JK23" s="206">
        <f t="shared" si="162"/>
        <v>49460</v>
      </c>
      <c r="JL23" s="206">
        <f t="shared" si="162"/>
        <v>49490</v>
      </c>
      <c r="JM23" s="206">
        <f t="shared" si="162"/>
        <v>49521</v>
      </c>
      <c r="JN23" s="206">
        <f t="shared" si="162"/>
        <v>49552</v>
      </c>
      <c r="JO23" s="206">
        <f t="shared" si="162"/>
        <v>49582</v>
      </c>
      <c r="JP23" s="206">
        <f t="shared" si="162"/>
        <v>49613</v>
      </c>
      <c r="JQ23" s="206">
        <f t="shared" si="162"/>
        <v>49643</v>
      </c>
      <c r="JR23" s="206">
        <f t="shared" si="162"/>
        <v>49674</v>
      </c>
      <c r="JS23" s="206">
        <f t="shared" si="162"/>
        <v>49705</v>
      </c>
      <c r="JT23" s="206">
        <f t="shared" si="162"/>
        <v>49734</v>
      </c>
      <c r="JU23" s="206">
        <f t="shared" si="162"/>
        <v>49765</v>
      </c>
      <c r="JV23" s="206">
        <f t="shared" si="162"/>
        <v>49795</v>
      </c>
      <c r="JW23" s="206">
        <f t="shared" si="162"/>
        <v>49826</v>
      </c>
      <c r="JX23" s="206">
        <f t="shared" si="162"/>
        <v>49856</v>
      </c>
      <c r="JY23" s="206">
        <f t="shared" si="162"/>
        <v>49887</v>
      </c>
      <c r="JZ23" s="206">
        <f t="shared" si="162"/>
        <v>49918</v>
      </c>
      <c r="KA23" s="206">
        <f t="shared" si="162"/>
        <v>49948</v>
      </c>
      <c r="KB23" s="206">
        <f t="shared" ref="KB23:KE23" si="163">+KB4</f>
        <v>49979</v>
      </c>
      <c r="KC23" s="206">
        <f t="shared" si="163"/>
        <v>50009</v>
      </c>
      <c r="KD23" s="206">
        <f t="shared" si="163"/>
        <v>50040</v>
      </c>
      <c r="KE23" s="206">
        <f t="shared" si="163"/>
        <v>50071</v>
      </c>
      <c r="KF23" s="205"/>
      <c r="KG23" s="203"/>
      <c r="KH23" s="203"/>
      <c r="KI23" s="203"/>
      <c r="KJ23" s="203"/>
      <c r="KK23" s="203"/>
      <c r="KL23" s="203"/>
      <c r="KM23" s="206"/>
      <c r="KN23" s="206"/>
      <c r="KO23" s="206"/>
      <c r="KP23" s="206"/>
      <c r="KQ23" s="206"/>
      <c r="KR23" s="206"/>
      <c r="KS23" s="206"/>
      <c r="KT23" s="206"/>
      <c r="KU23" s="206"/>
      <c r="KV23" s="206"/>
      <c r="KW23" s="206"/>
      <c r="KX23" s="206"/>
      <c r="KY23" s="206"/>
      <c r="KZ23" s="206"/>
      <c r="LA23" s="206"/>
      <c r="LB23" s="206"/>
      <c r="LC23" s="206"/>
      <c r="LD23" s="206"/>
      <c r="LE23" s="206"/>
      <c r="LF23" s="206"/>
      <c r="LG23" s="206"/>
      <c r="LH23" s="206"/>
      <c r="LI23" s="206"/>
      <c r="LJ23" s="206"/>
      <c r="LK23" s="206"/>
      <c r="LL23" s="206"/>
      <c r="LM23" s="206"/>
      <c r="LN23" s="206"/>
      <c r="LO23" s="206"/>
      <c r="LP23" s="206"/>
      <c r="LQ23" s="206"/>
      <c r="LR23" s="206"/>
      <c r="LS23" s="206"/>
      <c r="LT23" s="206"/>
      <c r="LU23" s="206"/>
      <c r="LV23" s="206"/>
      <c r="LW23" s="206"/>
      <c r="LX23" s="206"/>
      <c r="LY23" s="206"/>
      <c r="LZ23" s="206"/>
      <c r="MA23" s="206"/>
      <c r="MB23" s="206"/>
      <c r="MC23" s="206"/>
      <c r="MD23" s="206"/>
      <c r="ME23" s="206"/>
      <c r="MF23" s="206"/>
      <c r="MG23" s="206"/>
      <c r="MH23" s="206"/>
      <c r="MI23" s="206"/>
      <c r="MJ23" s="206"/>
      <c r="MK23" s="206"/>
      <c r="ML23" s="206"/>
      <c r="MM23" s="206"/>
      <c r="MN23" s="206"/>
      <c r="MO23" s="206"/>
      <c r="MP23" s="206"/>
      <c r="MQ23" s="206"/>
      <c r="MR23" s="206"/>
      <c r="MS23" s="206"/>
      <c r="MT23" s="206"/>
      <c r="MU23" s="206"/>
      <c r="MV23" s="206"/>
      <c r="MW23" s="206"/>
      <c r="MX23" s="206"/>
      <c r="MY23" s="206"/>
      <c r="MZ23" s="206"/>
      <c r="NA23" s="206"/>
      <c r="NB23" s="206"/>
      <c r="NC23" s="206"/>
      <c r="ND23" s="206"/>
      <c r="NE23" s="206"/>
      <c r="NF23" s="206"/>
      <c r="NG23" s="206"/>
      <c r="NH23" s="206"/>
      <c r="NI23" s="206"/>
      <c r="NJ23" s="206"/>
      <c r="NK23" s="206"/>
      <c r="NL23" s="206"/>
      <c r="NM23" s="206"/>
      <c r="NN23" s="206"/>
      <c r="NO23" s="206"/>
      <c r="NP23" s="206"/>
      <c r="NQ23" s="206"/>
      <c r="NR23" s="206"/>
      <c r="NS23" s="206"/>
      <c r="NT23" s="206"/>
      <c r="NU23" s="206"/>
      <c r="NV23" s="206"/>
      <c r="NW23" s="206"/>
      <c r="NX23" s="206"/>
      <c r="NY23" s="206"/>
      <c r="NZ23" s="206"/>
      <c r="OA23" s="206"/>
      <c r="OB23" s="206"/>
      <c r="OC23" s="206"/>
      <c r="OD23" s="206"/>
      <c r="OE23" s="206"/>
      <c r="OF23" s="206"/>
      <c r="OG23" s="206"/>
      <c r="OH23" s="206"/>
      <c r="OI23" s="206"/>
      <c r="OJ23" s="206"/>
      <c r="OK23" s="206"/>
      <c r="OL23" s="206"/>
      <c r="OM23" s="206"/>
      <c r="ON23" s="206"/>
      <c r="OO23" s="206"/>
      <c r="OP23" s="206"/>
      <c r="OQ23" s="206"/>
      <c r="OR23" s="206"/>
      <c r="OS23" s="206"/>
      <c r="OT23" s="206"/>
      <c r="OU23" s="206"/>
      <c r="OV23" s="206"/>
      <c r="OW23" s="206"/>
      <c r="OX23" s="206"/>
      <c r="OY23" s="206"/>
      <c r="OZ23" s="206"/>
      <c r="PA23" s="206"/>
      <c r="PB23" s="206"/>
      <c r="PC23" s="206"/>
      <c r="PD23" s="206"/>
      <c r="PE23" s="206"/>
      <c r="PF23" s="206"/>
      <c r="PG23" s="206"/>
      <c r="PH23" s="206"/>
      <c r="PI23" s="206"/>
      <c r="PJ23" s="206"/>
      <c r="PK23" s="206"/>
      <c r="PL23" s="206"/>
      <c r="PM23" s="206"/>
      <c r="PN23" s="206"/>
      <c r="PO23" s="206"/>
      <c r="PQ23" s="201"/>
      <c r="PR23" s="201"/>
      <c r="PS23" s="201"/>
      <c r="PT23" s="201"/>
      <c r="PU23" s="201"/>
      <c r="PV23" s="201"/>
      <c r="PW23" s="201"/>
      <c r="PX23" s="201"/>
      <c r="PY23" s="201"/>
      <c r="PZ23" s="201"/>
      <c r="QA23" s="201"/>
      <c r="QB23" s="201"/>
      <c r="QC23" s="201"/>
      <c r="QD23" s="201"/>
      <c r="QE23" s="201"/>
      <c r="QF23" s="201"/>
      <c r="QG23" s="201"/>
      <c r="QH23" s="201"/>
      <c r="QI23" s="201"/>
      <c r="QJ23" s="201"/>
      <c r="QK23" s="201"/>
      <c r="QL23" s="201"/>
      <c r="QM23" s="201"/>
      <c r="QN23" s="201"/>
      <c r="QO23" s="201"/>
      <c r="QP23" s="201"/>
      <c r="QQ23" s="201"/>
      <c r="QR23" s="201"/>
      <c r="QS23" s="201"/>
      <c r="QT23" s="201"/>
      <c r="QU23" s="201"/>
      <c r="QV23" s="201"/>
      <c r="QW23" s="201"/>
      <c r="QX23" s="201"/>
      <c r="QY23" s="201"/>
      <c r="QZ23" s="201"/>
      <c r="RA23" s="201"/>
      <c r="RB23" s="201"/>
      <c r="RC23" s="201"/>
      <c r="RD23" s="201"/>
      <c r="RE23" s="201"/>
      <c r="RF23" s="201"/>
      <c r="RG23" s="201"/>
      <c r="RH23" s="201"/>
      <c r="RI23" s="201"/>
      <c r="RJ23" s="201"/>
      <c r="RK23" s="201"/>
      <c r="RL23" s="201"/>
      <c r="RM23" s="201"/>
      <c r="RN23" s="201"/>
      <c r="RO23" s="201"/>
      <c r="RP23" s="201"/>
      <c r="RQ23" s="201"/>
      <c r="RR23" s="201"/>
      <c r="RS23" s="201"/>
      <c r="RT23" s="201"/>
      <c r="RU23" s="201"/>
      <c r="RV23" s="201"/>
      <c r="RW23" s="201"/>
      <c r="RX23" s="201"/>
      <c r="RY23" s="201"/>
      <c r="RZ23" s="201"/>
      <c r="SA23" s="201"/>
      <c r="SB23" s="201"/>
      <c r="SC23" s="201"/>
      <c r="SD23" s="201"/>
      <c r="SE23" s="201"/>
      <c r="SF23" s="201"/>
      <c r="SG23" s="201"/>
      <c r="SH23" s="201"/>
      <c r="SI23" s="201"/>
      <c r="SJ23" s="201"/>
      <c r="SK23" s="201"/>
      <c r="SL23" s="201"/>
      <c r="SM23" s="201"/>
      <c r="SN23" s="201"/>
      <c r="SO23" s="201"/>
      <c r="SP23" s="201"/>
      <c r="SQ23" s="201"/>
      <c r="SR23" s="201"/>
      <c r="SS23" s="201"/>
      <c r="ST23" s="201"/>
      <c r="SU23" s="201"/>
      <c r="SV23" s="201"/>
      <c r="SW23" s="201"/>
      <c r="SX23" s="201"/>
      <c r="SY23" s="201"/>
      <c r="SZ23" s="201"/>
      <c r="TA23" s="201"/>
      <c r="TB23" s="201"/>
      <c r="TC23" s="201"/>
      <c r="TD23" s="201"/>
      <c r="TE23" s="201"/>
      <c r="TF23" s="201"/>
      <c r="TG23" s="201"/>
      <c r="TH23" s="201"/>
      <c r="TI23" s="201"/>
      <c r="TJ23" s="201"/>
      <c r="TK23" s="201"/>
      <c r="TL23" s="201"/>
      <c r="TM23" s="201"/>
      <c r="TN23" s="201"/>
      <c r="TO23" s="201"/>
      <c r="TP23" s="201"/>
      <c r="TQ23" s="201"/>
      <c r="TR23" s="201"/>
      <c r="TS23" s="201"/>
      <c r="TT23" s="201"/>
      <c r="TU23" s="201"/>
      <c r="TV23" s="201"/>
      <c r="TW23" s="201"/>
      <c r="TX23" s="201"/>
      <c r="TY23" s="201"/>
      <c r="TZ23" s="201"/>
      <c r="UA23" s="201"/>
      <c r="UB23" s="201"/>
      <c r="UC23" s="201"/>
      <c r="UD23" s="201"/>
      <c r="UE23" s="201"/>
      <c r="UF23" s="201"/>
      <c r="UG23" s="201"/>
      <c r="UH23" s="201"/>
      <c r="UI23" s="201"/>
      <c r="UJ23" s="201"/>
      <c r="UK23" s="201"/>
      <c r="UL23" s="201"/>
      <c r="UM23" s="201"/>
      <c r="UN23" s="201"/>
      <c r="UO23" s="201"/>
      <c r="UP23" s="201"/>
      <c r="UQ23" s="201"/>
      <c r="UR23" s="201"/>
      <c r="US23" s="201"/>
      <c r="UT23" s="201"/>
      <c r="UU23" s="201"/>
    </row>
    <row r="24" spans="2:567" x14ac:dyDescent="0.25">
      <c r="B24" s="44" t="s">
        <v>43</v>
      </c>
      <c r="C24" s="26"/>
      <c r="D24" s="26"/>
      <c r="E24" s="32">
        <v>0</v>
      </c>
      <c r="F24" s="32">
        <v>0</v>
      </c>
      <c r="G24" s="19" t="s">
        <v>32</v>
      </c>
      <c r="H24" s="32"/>
      <c r="I24" s="33">
        <f>K24/Units_SF</f>
        <v>248.01587301587301</v>
      </c>
      <c r="J24" s="34">
        <f>K24/Units</f>
        <v>208333.33333333334</v>
      </c>
      <c r="K24" s="35">
        <v>62500000</v>
      </c>
      <c r="M24" s="3" t="s">
        <v>826</v>
      </c>
      <c r="R24" s="90" t="str">
        <f>IF(ROUND(SUM(S24:EU24),0)=ROUND(K24,0),"OK","ERROR")</f>
        <v>OK</v>
      </c>
      <c r="S24" s="91">
        <f t="shared" ref="S24:AB27" si="164">AND($G24="S-Curve")*FC24+($G24&lt;&gt;"S-Curve")*AND(S$22&gt;=$E24,S$22&lt;=$F24)*$K24/($F24-$E24+1)</f>
        <v>62500000</v>
      </c>
      <c r="T24" s="91">
        <f t="shared" si="164"/>
        <v>0</v>
      </c>
      <c r="U24" s="91">
        <f t="shared" si="164"/>
        <v>0</v>
      </c>
      <c r="V24" s="91">
        <f t="shared" si="164"/>
        <v>0</v>
      </c>
      <c r="W24" s="91">
        <f t="shared" si="164"/>
        <v>0</v>
      </c>
      <c r="X24" s="91">
        <f t="shared" si="164"/>
        <v>0</v>
      </c>
      <c r="Y24" s="91">
        <f t="shared" si="164"/>
        <v>0</v>
      </c>
      <c r="Z24" s="91">
        <f t="shared" si="164"/>
        <v>0</v>
      </c>
      <c r="AA24" s="91">
        <f t="shared" si="164"/>
        <v>0</v>
      </c>
      <c r="AB24" s="91">
        <f t="shared" si="164"/>
        <v>0</v>
      </c>
      <c r="AC24" s="91">
        <f t="shared" ref="AC24:AL27" si="165">AND($G24="S-Curve")*FM24+($G24&lt;&gt;"S-Curve")*AND(AC$22&gt;=$E24,AC$22&lt;=$F24)*$K24/($F24-$E24+1)</f>
        <v>0</v>
      </c>
      <c r="AD24" s="91">
        <f t="shared" si="165"/>
        <v>0</v>
      </c>
      <c r="AE24" s="91">
        <f t="shared" si="165"/>
        <v>0</v>
      </c>
      <c r="AF24" s="91">
        <f t="shared" si="165"/>
        <v>0</v>
      </c>
      <c r="AG24" s="91">
        <f t="shared" si="165"/>
        <v>0</v>
      </c>
      <c r="AH24" s="91">
        <f t="shared" si="165"/>
        <v>0</v>
      </c>
      <c r="AI24" s="91">
        <f t="shared" si="165"/>
        <v>0</v>
      </c>
      <c r="AJ24" s="91">
        <f t="shared" si="165"/>
        <v>0</v>
      </c>
      <c r="AK24" s="91">
        <f t="shared" si="165"/>
        <v>0</v>
      </c>
      <c r="AL24" s="91">
        <f t="shared" si="165"/>
        <v>0</v>
      </c>
      <c r="AM24" s="91">
        <f t="shared" ref="AM24:AV27" si="166">AND($G24="S-Curve")*FW24+($G24&lt;&gt;"S-Curve")*AND(AM$22&gt;=$E24,AM$22&lt;=$F24)*$K24/($F24-$E24+1)</f>
        <v>0</v>
      </c>
      <c r="AN24" s="91">
        <f t="shared" si="166"/>
        <v>0</v>
      </c>
      <c r="AO24" s="91">
        <f t="shared" si="166"/>
        <v>0</v>
      </c>
      <c r="AP24" s="91">
        <f t="shared" si="166"/>
        <v>0</v>
      </c>
      <c r="AQ24" s="91">
        <f t="shared" si="166"/>
        <v>0</v>
      </c>
      <c r="AR24" s="91">
        <f t="shared" si="166"/>
        <v>0</v>
      </c>
      <c r="AS24" s="91">
        <f t="shared" si="166"/>
        <v>0</v>
      </c>
      <c r="AT24" s="91">
        <f t="shared" si="166"/>
        <v>0</v>
      </c>
      <c r="AU24" s="91">
        <f t="shared" si="166"/>
        <v>0</v>
      </c>
      <c r="AV24" s="91">
        <f t="shared" si="166"/>
        <v>0</v>
      </c>
      <c r="AW24" s="91">
        <f t="shared" ref="AW24:BF27" si="167">AND($G24="S-Curve")*GG24+($G24&lt;&gt;"S-Curve")*AND(AW$22&gt;=$E24,AW$22&lt;=$F24)*$K24/($F24-$E24+1)</f>
        <v>0</v>
      </c>
      <c r="AX24" s="91">
        <f t="shared" si="167"/>
        <v>0</v>
      </c>
      <c r="AY24" s="91">
        <f t="shared" si="167"/>
        <v>0</v>
      </c>
      <c r="AZ24" s="91">
        <f t="shared" si="167"/>
        <v>0</v>
      </c>
      <c r="BA24" s="91">
        <f t="shared" si="167"/>
        <v>0</v>
      </c>
      <c r="BB24" s="91">
        <f t="shared" si="167"/>
        <v>0</v>
      </c>
      <c r="BC24" s="91">
        <f t="shared" si="167"/>
        <v>0</v>
      </c>
      <c r="BD24" s="91">
        <f t="shared" si="167"/>
        <v>0</v>
      </c>
      <c r="BE24" s="91">
        <f t="shared" si="167"/>
        <v>0</v>
      </c>
      <c r="BF24" s="91">
        <f t="shared" si="167"/>
        <v>0</v>
      </c>
      <c r="BG24" s="91">
        <f t="shared" ref="BG24:BP27" si="168">AND($G24="S-Curve")*GQ24+($G24&lt;&gt;"S-Curve")*AND(BG$22&gt;=$E24,BG$22&lt;=$F24)*$K24/($F24-$E24+1)</f>
        <v>0</v>
      </c>
      <c r="BH24" s="91">
        <f t="shared" si="168"/>
        <v>0</v>
      </c>
      <c r="BI24" s="91">
        <f t="shared" si="168"/>
        <v>0</v>
      </c>
      <c r="BJ24" s="91">
        <f t="shared" si="168"/>
        <v>0</v>
      </c>
      <c r="BK24" s="91">
        <f t="shared" si="168"/>
        <v>0</v>
      </c>
      <c r="BL24" s="91">
        <f t="shared" si="168"/>
        <v>0</v>
      </c>
      <c r="BM24" s="91">
        <f t="shared" si="168"/>
        <v>0</v>
      </c>
      <c r="BN24" s="91">
        <f t="shared" si="168"/>
        <v>0</v>
      </c>
      <c r="BO24" s="91">
        <f t="shared" si="168"/>
        <v>0</v>
      </c>
      <c r="BP24" s="91">
        <f t="shared" si="168"/>
        <v>0</v>
      </c>
      <c r="BQ24" s="91">
        <f t="shared" ref="BQ24:BZ27" si="169">AND($G24="S-Curve")*HA24+($G24&lt;&gt;"S-Curve")*AND(BQ$22&gt;=$E24,BQ$22&lt;=$F24)*$K24/($F24-$E24+1)</f>
        <v>0</v>
      </c>
      <c r="BR24" s="91">
        <f t="shared" si="169"/>
        <v>0</v>
      </c>
      <c r="BS24" s="91">
        <f t="shared" si="169"/>
        <v>0</v>
      </c>
      <c r="BT24" s="91">
        <f t="shared" si="169"/>
        <v>0</v>
      </c>
      <c r="BU24" s="91">
        <f t="shared" si="169"/>
        <v>0</v>
      </c>
      <c r="BV24" s="91">
        <f t="shared" si="169"/>
        <v>0</v>
      </c>
      <c r="BW24" s="91">
        <f t="shared" si="169"/>
        <v>0</v>
      </c>
      <c r="BX24" s="91">
        <f t="shared" si="169"/>
        <v>0</v>
      </c>
      <c r="BY24" s="91">
        <f t="shared" si="169"/>
        <v>0</v>
      </c>
      <c r="BZ24" s="91">
        <f t="shared" si="169"/>
        <v>0</v>
      </c>
      <c r="CA24" s="91">
        <f t="shared" ref="CA24:CJ27" si="170">AND($G24="S-Curve")*HK24+($G24&lt;&gt;"S-Curve")*AND(CA$22&gt;=$E24,CA$22&lt;=$F24)*$K24/($F24-$E24+1)</f>
        <v>0</v>
      </c>
      <c r="CB24" s="91">
        <f t="shared" si="170"/>
        <v>0</v>
      </c>
      <c r="CC24" s="91">
        <f t="shared" si="170"/>
        <v>0</v>
      </c>
      <c r="CD24" s="91">
        <f t="shared" si="170"/>
        <v>0</v>
      </c>
      <c r="CE24" s="91">
        <f t="shared" si="170"/>
        <v>0</v>
      </c>
      <c r="CF24" s="91">
        <f t="shared" si="170"/>
        <v>0</v>
      </c>
      <c r="CG24" s="91">
        <f t="shared" si="170"/>
        <v>0</v>
      </c>
      <c r="CH24" s="91">
        <f t="shared" si="170"/>
        <v>0</v>
      </c>
      <c r="CI24" s="91">
        <f t="shared" si="170"/>
        <v>0</v>
      </c>
      <c r="CJ24" s="91">
        <f t="shared" si="170"/>
        <v>0</v>
      </c>
      <c r="CK24" s="91">
        <f t="shared" ref="CK24:CT27" si="171">AND($G24="S-Curve")*HU24+($G24&lt;&gt;"S-Curve")*AND(CK$22&gt;=$E24,CK$22&lt;=$F24)*$K24/($F24-$E24+1)</f>
        <v>0</v>
      </c>
      <c r="CL24" s="91">
        <f t="shared" si="171"/>
        <v>0</v>
      </c>
      <c r="CM24" s="91">
        <f t="shared" si="171"/>
        <v>0</v>
      </c>
      <c r="CN24" s="91">
        <f t="shared" si="171"/>
        <v>0</v>
      </c>
      <c r="CO24" s="91">
        <f t="shared" si="171"/>
        <v>0</v>
      </c>
      <c r="CP24" s="91">
        <f t="shared" si="171"/>
        <v>0</v>
      </c>
      <c r="CQ24" s="91">
        <f t="shared" si="171"/>
        <v>0</v>
      </c>
      <c r="CR24" s="91">
        <f t="shared" si="171"/>
        <v>0</v>
      </c>
      <c r="CS24" s="91">
        <f t="shared" si="171"/>
        <v>0</v>
      </c>
      <c r="CT24" s="91">
        <f t="shared" si="171"/>
        <v>0</v>
      </c>
      <c r="CU24" s="91">
        <f t="shared" ref="CU24:DD27" si="172">AND($G24="S-Curve")*IE24+($G24&lt;&gt;"S-Curve")*AND(CU$22&gt;=$E24,CU$22&lt;=$F24)*$K24/($F24-$E24+1)</f>
        <v>0</v>
      </c>
      <c r="CV24" s="91">
        <f t="shared" si="172"/>
        <v>0</v>
      </c>
      <c r="CW24" s="91">
        <f t="shared" si="172"/>
        <v>0</v>
      </c>
      <c r="CX24" s="91">
        <f t="shared" si="172"/>
        <v>0</v>
      </c>
      <c r="CY24" s="91">
        <f t="shared" si="172"/>
        <v>0</v>
      </c>
      <c r="CZ24" s="91">
        <f t="shared" si="172"/>
        <v>0</v>
      </c>
      <c r="DA24" s="91">
        <f t="shared" si="172"/>
        <v>0</v>
      </c>
      <c r="DB24" s="91">
        <f t="shared" si="172"/>
        <v>0</v>
      </c>
      <c r="DC24" s="91">
        <f t="shared" si="172"/>
        <v>0</v>
      </c>
      <c r="DD24" s="91">
        <f t="shared" si="172"/>
        <v>0</v>
      </c>
      <c r="DE24" s="91">
        <f t="shared" ref="DE24:DN27" si="173">AND($G24="S-Curve")*IO24+($G24&lt;&gt;"S-Curve")*AND(DE$22&gt;=$E24,DE$22&lt;=$F24)*$K24/($F24-$E24+1)</f>
        <v>0</v>
      </c>
      <c r="DF24" s="91">
        <f t="shared" si="173"/>
        <v>0</v>
      </c>
      <c r="DG24" s="91">
        <f t="shared" si="173"/>
        <v>0</v>
      </c>
      <c r="DH24" s="91">
        <f t="shared" si="173"/>
        <v>0</v>
      </c>
      <c r="DI24" s="91">
        <f t="shared" si="173"/>
        <v>0</v>
      </c>
      <c r="DJ24" s="91">
        <f t="shared" si="173"/>
        <v>0</v>
      </c>
      <c r="DK24" s="91">
        <f t="shared" si="173"/>
        <v>0</v>
      </c>
      <c r="DL24" s="91">
        <f t="shared" si="173"/>
        <v>0</v>
      </c>
      <c r="DM24" s="91">
        <f t="shared" si="173"/>
        <v>0</v>
      </c>
      <c r="DN24" s="91">
        <f t="shared" si="173"/>
        <v>0</v>
      </c>
      <c r="DO24" s="91">
        <f t="shared" ref="DO24:DX27" si="174">AND($G24="S-Curve")*IY24+($G24&lt;&gt;"S-Curve")*AND(DO$22&gt;=$E24,DO$22&lt;=$F24)*$K24/($F24-$E24+1)</f>
        <v>0</v>
      </c>
      <c r="DP24" s="91">
        <f t="shared" si="174"/>
        <v>0</v>
      </c>
      <c r="DQ24" s="91">
        <f t="shared" si="174"/>
        <v>0</v>
      </c>
      <c r="DR24" s="91">
        <f t="shared" si="174"/>
        <v>0</v>
      </c>
      <c r="DS24" s="91">
        <f t="shared" si="174"/>
        <v>0</v>
      </c>
      <c r="DT24" s="91">
        <f t="shared" si="174"/>
        <v>0</v>
      </c>
      <c r="DU24" s="91">
        <f t="shared" si="174"/>
        <v>0</v>
      </c>
      <c r="DV24" s="91">
        <f t="shared" si="174"/>
        <v>0</v>
      </c>
      <c r="DW24" s="91">
        <f t="shared" si="174"/>
        <v>0</v>
      </c>
      <c r="DX24" s="91">
        <f t="shared" si="174"/>
        <v>0</v>
      </c>
      <c r="DY24" s="91">
        <f t="shared" ref="DY24:EH27" si="175">AND($G24="S-Curve")*JI24+($G24&lt;&gt;"S-Curve")*AND(DY$22&gt;=$E24,DY$22&lt;=$F24)*$K24/($F24-$E24+1)</f>
        <v>0</v>
      </c>
      <c r="DZ24" s="91">
        <f t="shared" si="175"/>
        <v>0</v>
      </c>
      <c r="EA24" s="91">
        <f t="shared" si="175"/>
        <v>0</v>
      </c>
      <c r="EB24" s="91">
        <f t="shared" si="175"/>
        <v>0</v>
      </c>
      <c r="EC24" s="91">
        <f t="shared" si="175"/>
        <v>0</v>
      </c>
      <c r="ED24" s="91">
        <f t="shared" si="175"/>
        <v>0</v>
      </c>
      <c r="EE24" s="91">
        <f t="shared" si="175"/>
        <v>0</v>
      </c>
      <c r="EF24" s="91">
        <f t="shared" si="175"/>
        <v>0</v>
      </c>
      <c r="EG24" s="91">
        <f t="shared" si="175"/>
        <v>0</v>
      </c>
      <c r="EH24" s="91">
        <f t="shared" si="175"/>
        <v>0</v>
      </c>
      <c r="EI24" s="91">
        <f t="shared" ref="EI24:ER27" si="176">AND($G24="S-Curve")*JS24+($G24&lt;&gt;"S-Curve")*AND(EI$22&gt;=$E24,EI$22&lt;=$F24)*$K24/($F24-$E24+1)</f>
        <v>0</v>
      </c>
      <c r="EJ24" s="91">
        <f t="shared" si="176"/>
        <v>0</v>
      </c>
      <c r="EK24" s="91">
        <f t="shared" si="176"/>
        <v>0</v>
      </c>
      <c r="EL24" s="91">
        <f t="shared" si="176"/>
        <v>0</v>
      </c>
      <c r="EM24" s="91">
        <f t="shared" si="176"/>
        <v>0</v>
      </c>
      <c r="EN24" s="91">
        <f t="shared" si="176"/>
        <v>0</v>
      </c>
      <c r="EO24" s="91">
        <f t="shared" si="176"/>
        <v>0</v>
      </c>
      <c r="EP24" s="91">
        <f t="shared" si="176"/>
        <v>0</v>
      </c>
      <c r="EQ24" s="91">
        <f t="shared" si="176"/>
        <v>0</v>
      </c>
      <c r="ER24" s="91">
        <f t="shared" si="176"/>
        <v>0</v>
      </c>
      <c r="ES24" s="91">
        <f t="shared" ref="ES24:EU27" si="177">AND($G24="S-Curve")*KC24+($G24&lt;&gt;"S-Curve")*AND(ES$22&gt;=$E24,ES$22&lt;=$F24)*$K24/($F24-$E24+1)</f>
        <v>0</v>
      </c>
      <c r="ET24" s="91">
        <f t="shared" si="177"/>
        <v>0</v>
      </c>
      <c r="EU24" s="91">
        <f t="shared" si="177"/>
        <v>0</v>
      </c>
      <c r="EW24" s="207">
        <f>K24</f>
        <v>62500000</v>
      </c>
      <c r="EX24" s="208">
        <f>INDEX($S$23:$EU$23,1,E24+1)</f>
        <v>46053</v>
      </c>
      <c r="EY24" s="208">
        <f>INDEX($S$23:$EU$23,1,F24+1)</f>
        <v>46053</v>
      </c>
      <c r="EZ24" s="209">
        <f>F24-E24+1</f>
        <v>1</v>
      </c>
      <c r="FA24" s="210">
        <f>EZ24/6</f>
        <v>0.16666666666666666</v>
      </c>
      <c r="FC24" s="211">
        <f t="shared" ref="FC24:FL27" si="178">AND(FC$4&gt;=$EX24,FC$4&lt;=$EY24)*(_xlfn.NORM.DIST((YEAR(FC$4)-YEAR($EX24))*12+MONTH(FC$4)-MONTH($EX24)+1,$EZ24/2,$FA24,TRUE)-_xlfn.NORM.DIST((YEAR(FC$4)-YEAR($EX24))*12+MONTH(FC$4)-MONTH($EX24),$EZ24/2,$FA24,TRUE))/(1-2*_xlfn.NORM.DIST(0,$EZ24/2,$FA24,TRUE))*$EW24</f>
        <v>62500000</v>
      </c>
      <c r="FD24" s="211">
        <f t="shared" si="178"/>
        <v>0</v>
      </c>
      <c r="FE24" s="211">
        <f t="shared" si="178"/>
        <v>0</v>
      </c>
      <c r="FF24" s="211">
        <f t="shared" si="178"/>
        <v>0</v>
      </c>
      <c r="FG24" s="211">
        <f t="shared" si="178"/>
        <v>0</v>
      </c>
      <c r="FH24" s="211">
        <f t="shared" si="178"/>
        <v>0</v>
      </c>
      <c r="FI24" s="211">
        <f t="shared" si="178"/>
        <v>0</v>
      </c>
      <c r="FJ24" s="211">
        <f t="shared" si="178"/>
        <v>0</v>
      </c>
      <c r="FK24" s="211">
        <f t="shared" si="178"/>
        <v>0</v>
      </c>
      <c r="FL24" s="211">
        <f t="shared" si="178"/>
        <v>0</v>
      </c>
      <c r="FM24" s="211">
        <f t="shared" ref="FM24:FV27" si="179">AND(FM$4&gt;=$EX24,FM$4&lt;=$EY24)*(_xlfn.NORM.DIST((YEAR(FM$4)-YEAR($EX24))*12+MONTH(FM$4)-MONTH($EX24)+1,$EZ24/2,$FA24,TRUE)-_xlfn.NORM.DIST((YEAR(FM$4)-YEAR($EX24))*12+MONTH(FM$4)-MONTH($EX24),$EZ24/2,$FA24,TRUE))/(1-2*_xlfn.NORM.DIST(0,$EZ24/2,$FA24,TRUE))*$EW24</f>
        <v>0</v>
      </c>
      <c r="FN24" s="211">
        <f t="shared" si="179"/>
        <v>0</v>
      </c>
      <c r="FO24" s="211">
        <f t="shared" si="179"/>
        <v>0</v>
      </c>
      <c r="FP24" s="211">
        <f t="shared" si="179"/>
        <v>0</v>
      </c>
      <c r="FQ24" s="211">
        <f t="shared" si="179"/>
        <v>0</v>
      </c>
      <c r="FR24" s="211">
        <f t="shared" si="179"/>
        <v>0</v>
      </c>
      <c r="FS24" s="211">
        <f t="shared" si="179"/>
        <v>0</v>
      </c>
      <c r="FT24" s="211">
        <f t="shared" si="179"/>
        <v>0</v>
      </c>
      <c r="FU24" s="211">
        <f t="shared" si="179"/>
        <v>0</v>
      </c>
      <c r="FV24" s="211">
        <f t="shared" si="179"/>
        <v>0</v>
      </c>
      <c r="FW24" s="211">
        <f t="shared" ref="FW24:GF27" si="180">AND(FW$4&gt;=$EX24,FW$4&lt;=$EY24)*(_xlfn.NORM.DIST((YEAR(FW$4)-YEAR($EX24))*12+MONTH(FW$4)-MONTH($EX24)+1,$EZ24/2,$FA24,TRUE)-_xlfn.NORM.DIST((YEAR(FW$4)-YEAR($EX24))*12+MONTH(FW$4)-MONTH($EX24),$EZ24/2,$FA24,TRUE))/(1-2*_xlfn.NORM.DIST(0,$EZ24/2,$FA24,TRUE))*$EW24</f>
        <v>0</v>
      </c>
      <c r="FX24" s="211">
        <f t="shared" si="180"/>
        <v>0</v>
      </c>
      <c r="FY24" s="211">
        <f t="shared" si="180"/>
        <v>0</v>
      </c>
      <c r="FZ24" s="211">
        <f t="shared" si="180"/>
        <v>0</v>
      </c>
      <c r="GA24" s="211">
        <f t="shared" si="180"/>
        <v>0</v>
      </c>
      <c r="GB24" s="211">
        <f t="shared" si="180"/>
        <v>0</v>
      </c>
      <c r="GC24" s="211">
        <f t="shared" si="180"/>
        <v>0</v>
      </c>
      <c r="GD24" s="211">
        <f t="shared" si="180"/>
        <v>0</v>
      </c>
      <c r="GE24" s="211">
        <f t="shared" si="180"/>
        <v>0</v>
      </c>
      <c r="GF24" s="211">
        <f t="shared" si="180"/>
        <v>0</v>
      </c>
      <c r="GG24" s="211">
        <f t="shared" ref="GG24:GP27" si="181">AND(GG$4&gt;=$EX24,GG$4&lt;=$EY24)*(_xlfn.NORM.DIST((YEAR(GG$4)-YEAR($EX24))*12+MONTH(GG$4)-MONTH($EX24)+1,$EZ24/2,$FA24,TRUE)-_xlfn.NORM.DIST((YEAR(GG$4)-YEAR($EX24))*12+MONTH(GG$4)-MONTH($EX24),$EZ24/2,$FA24,TRUE))/(1-2*_xlfn.NORM.DIST(0,$EZ24/2,$FA24,TRUE))*$EW24</f>
        <v>0</v>
      </c>
      <c r="GH24" s="211">
        <f t="shared" si="181"/>
        <v>0</v>
      </c>
      <c r="GI24" s="211">
        <f t="shared" si="181"/>
        <v>0</v>
      </c>
      <c r="GJ24" s="211">
        <f t="shared" si="181"/>
        <v>0</v>
      </c>
      <c r="GK24" s="211">
        <f t="shared" si="181"/>
        <v>0</v>
      </c>
      <c r="GL24" s="211">
        <f t="shared" si="181"/>
        <v>0</v>
      </c>
      <c r="GM24" s="211">
        <f t="shared" si="181"/>
        <v>0</v>
      </c>
      <c r="GN24" s="211">
        <f t="shared" si="181"/>
        <v>0</v>
      </c>
      <c r="GO24" s="211">
        <f t="shared" si="181"/>
        <v>0</v>
      </c>
      <c r="GP24" s="211">
        <f t="shared" si="181"/>
        <v>0</v>
      </c>
      <c r="GQ24" s="211">
        <f t="shared" ref="GQ24:GZ27" si="182">AND(GQ$4&gt;=$EX24,GQ$4&lt;=$EY24)*(_xlfn.NORM.DIST((YEAR(GQ$4)-YEAR($EX24))*12+MONTH(GQ$4)-MONTH($EX24)+1,$EZ24/2,$FA24,TRUE)-_xlfn.NORM.DIST((YEAR(GQ$4)-YEAR($EX24))*12+MONTH(GQ$4)-MONTH($EX24),$EZ24/2,$FA24,TRUE))/(1-2*_xlfn.NORM.DIST(0,$EZ24/2,$FA24,TRUE))*$EW24</f>
        <v>0</v>
      </c>
      <c r="GR24" s="211">
        <f t="shared" si="182"/>
        <v>0</v>
      </c>
      <c r="GS24" s="211">
        <f t="shared" si="182"/>
        <v>0</v>
      </c>
      <c r="GT24" s="211">
        <f t="shared" si="182"/>
        <v>0</v>
      </c>
      <c r="GU24" s="211">
        <f t="shared" si="182"/>
        <v>0</v>
      </c>
      <c r="GV24" s="211">
        <f t="shared" si="182"/>
        <v>0</v>
      </c>
      <c r="GW24" s="211">
        <f t="shared" si="182"/>
        <v>0</v>
      </c>
      <c r="GX24" s="211">
        <f t="shared" si="182"/>
        <v>0</v>
      </c>
      <c r="GY24" s="211">
        <f t="shared" si="182"/>
        <v>0</v>
      </c>
      <c r="GZ24" s="211">
        <f t="shared" si="182"/>
        <v>0</v>
      </c>
      <c r="HA24" s="211">
        <f t="shared" ref="HA24:HJ27" si="183">AND(HA$4&gt;=$EX24,HA$4&lt;=$EY24)*(_xlfn.NORM.DIST((YEAR(HA$4)-YEAR($EX24))*12+MONTH(HA$4)-MONTH($EX24)+1,$EZ24/2,$FA24,TRUE)-_xlfn.NORM.DIST((YEAR(HA$4)-YEAR($EX24))*12+MONTH(HA$4)-MONTH($EX24),$EZ24/2,$FA24,TRUE))/(1-2*_xlfn.NORM.DIST(0,$EZ24/2,$FA24,TRUE))*$EW24</f>
        <v>0</v>
      </c>
      <c r="HB24" s="211">
        <f t="shared" si="183"/>
        <v>0</v>
      </c>
      <c r="HC24" s="211">
        <f t="shared" si="183"/>
        <v>0</v>
      </c>
      <c r="HD24" s="211">
        <f t="shared" si="183"/>
        <v>0</v>
      </c>
      <c r="HE24" s="211">
        <f t="shared" si="183"/>
        <v>0</v>
      </c>
      <c r="HF24" s="211">
        <f t="shared" si="183"/>
        <v>0</v>
      </c>
      <c r="HG24" s="211">
        <f t="shared" si="183"/>
        <v>0</v>
      </c>
      <c r="HH24" s="211">
        <f t="shared" si="183"/>
        <v>0</v>
      </c>
      <c r="HI24" s="211">
        <f t="shared" si="183"/>
        <v>0</v>
      </c>
      <c r="HJ24" s="211">
        <f t="shared" si="183"/>
        <v>0</v>
      </c>
      <c r="HK24" s="211">
        <f t="shared" ref="HK24:HT27" si="184">AND(HK$4&gt;=$EX24,HK$4&lt;=$EY24)*(_xlfn.NORM.DIST((YEAR(HK$4)-YEAR($EX24))*12+MONTH(HK$4)-MONTH($EX24)+1,$EZ24/2,$FA24,TRUE)-_xlfn.NORM.DIST((YEAR(HK$4)-YEAR($EX24))*12+MONTH(HK$4)-MONTH($EX24),$EZ24/2,$FA24,TRUE))/(1-2*_xlfn.NORM.DIST(0,$EZ24/2,$FA24,TRUE))*$EW24</f>
        <v>0</v>
      </c>
      <c r="HL24" s="211">
        <f t="shared" si="184"/>
        <v>0</v>
      </c>
      <c r="HM24" s="211">
        <f t="shared" si="184"/>
        <v>0</v>
      </c>
      <c r="HN24" s="211">
        <f t="shared" si="184"/>
        <v>0</v>
      </c>
      <c r="HO24" s="211">
        <f t="shared" si="184"/>
        <v>0</v>
      </c>
      <c r="HP24" s="211">
        <f t="shared" si="184"/>
        <v>0</v>
      </c>
      <c r="HQ24" s="211">
        <f t="shared" si="184"/>
        <v>0</v>
      </c>
      <c r="HR24" s="211">
        <f t="shared" si="184"/>
        <v>0</v>
      </c>
      <c r="HS24" s="211">
        <f t="shared" si="184"/>
        <v>0</v>
      </c>
      <c r="HT24" s="211">
        <f t="shared" si="184"/>
        <v>0</v>
      </c>
      <c r="HU24" s="211">
        <f t="shared" ref="HU24:ID27" si="185">AND(HU$4&gt;=$EX24,HU$4&lt;=$EY24)*(_xlfn.NORM.DIST((YEAR(HU$4)-YEAR($EX24))*12+MONTH(HU$4)-MONTH($EX24)+1,$EZ24/2,$FA24,TRUE)-_xlfn.NORM.DIST((YEAR(HU$4)-YEAR($EX24))*12+MONTH(HU$4)-MONTH($EX24),$EZ24/2,$FA24,TRUE))/(1-2*_xlfn.NORM.DIST(0,$EZ24/2,$FA24,TRUE))*$EW24</f>
        <v>0</v>
      </c>
      <c r="HV24" s="211">
        <f t="shared" si="185"/>
        <v>0</v>
      </c>
      <c r="HW24" s="211">
        <f t="shared" si="185"/>
        <v>0</v>
      </c>
      <c r="HX24" s="211">
        <f t="shared" si="185"/>
        <v>0</v>
      </c>
      <c r="HY24" s="211">
        <f t="shared" si="185"/>
        <v>0</v>
      </c>
      <c r="HZ24" s="211">
        <f t="shared" si="185"/>
        <v>0</v>
      </c>
      <c r="IA24" s="211">
        <f t="shared" si="185"/>
        <v>0</v>
      </c>
      <c r="IB24" s="211">
        <f t="shared" si="185"/>
        <v>0</v>
      </c>
      <c r="IC24" s="211">
        <f t="shared" si="185"/>
        <v>0</v>
      </c>
      <c r="ID24" s="211">
        <f t="shared" si="185"/>
        <v>0</v>
      </c>
      <c r="IE24" s="211">
        <f t="shared" ref="IE24:IN27" si="186">AND(IE$4&gt;=$EX24,IE$4&lt;=$EY24)*(_xlfn.NORM.DIST((YEAR(IE$4)-YEAR($EX24))*12+MONTH(IE$4)-MONTH($EX24)+1,$EZ24/2,$FA24,TRUE)-_xlfn.NORM.DIST((YEAR(IE$4)-YEAR($EX24))*12+MONTH(IE$4)-MONTH($EX24),$EZ24/2,$FA24,TRUE))/(1-2*_xlfn.NORM.DIST(0,$EZ24/2,$FA24,TRUE))*$EW24</f>
        <v>0</v>
      </c>
      <c r="IF24" s="211">
        <f t="shared" si="186"/>
        <v>0</v>
      </c>
      <c r="IG24" s="211">
        <f t="shared" si="186"/>
        <v>0</v>
      </c>
      <c r="IH24" s="211">
        <f t="shared" si="186"/>
        <v>0</v>
      </c>
      <c r="II24" s="211">
        <f t="shared" si="186"/>
        <v>0</v>
      </c>
      <c r="IJ24" s="211">
        <f t="shared" si="186"/>
        <v>0</v>
      </c>
      <c r="IK24" s="211">
        <f t="shared" si="186"/>
        <v>0</v>
      </c>
      <c r="IL24" s="211">
        <f t="shared" si="186"/>
        <v>0</v>
      </c>
      <c r="IM24" s="211">
        <f t="shared" si="186"/>
        <v>0</v>
      </c>
      <c r="IN24" s="211">
        <f t="shared" si="186"/>
        <v>0</v>
      </c>
      <c r="IO24" s="211">
        <f t="shared" ref="IO24:IX27" si="187">AND(IO$4&gt;=$EX24,IO$4&lt;=$EY24)*(_xlfn.NORM.DIST((YEAR(IO$4)-YEAR($EX24))*12+MONTH(IO$4)-MONTH($EX24)+1,$EZ24/2,$FA24,TRUE)-_xlfn.NORM.DIST((YEAR(IO$4)-YEAR($EX24))*12+MONTH(IO$4)-MONTH($EX24),$EZ24/2,$FA24,TRUE))/(1-2*_xlfn.NORM.DIST(0,$EZ24/2,$FA24,TRUE))*$EW24</f>
        <v>0</v>
      </c>
      <c r="IP24" s="211">
        <f t="shared" si="187"/>
        <v>0</v>
      </c>
      <c r="IQ24" s="211">
        <f t="shared" si="187"/>
        <v>0</v>
      </c>
      <c r="IR24" s="211">
        <f t="shared" si="187"/>
        <v>0</v>
      </c>
      <c r="IS24" s="211">
        <f t="shared" si="187"/>
        <v>0</v>
      </c>
      <c r="IT24" s="211">
        <f t="shared" si="187"/>
        <v>0</v>
      </c>
      <c r="IU24" s="211">
        <f t="shared" si="187"/>
        <v>0</v>
      </c>
      <c r="IV24" s="211">
        <f t="shared" si="187"/>
        <v>0</v>
      </c>
      <c r="IW24" s="211">
        <f t="shared" si="187"/>
        <v>0</v>
      </c>
      <c r="IX24" s="211">
        <f t="shared" si="187"/>
        <v>0</v>
      </c>
      <c r="IY24" s="211">
        <f t="shared" ref="IY24:JH27" si="188">AND(IY$4&gt;=$EX24,IY$4&lt;=$EY24)*(_xlfn.NORM.DIST((YEAR(IY$4)-YEAR($EX24))*12+MONTH(IY$4)-MONTH($EX24)+1,$EZ24/2,$FA24,TRUE)-_xlfn.NORM.DIST((YEAR(IY$4)-YEAR($EX24))*12+MONTH(IY$4)-MONTH($EX24),$EZ24/2,$FA24,TRUE))/(1-2*_xlfn.NORM.DIST(0,$EZ24/2,$FA24,TRUE))*$EW24</f>
        <v>0</v>
      </c>
      <c r="IZ24" s="211">
        <f t="shared" si="188"/>
        <v>0</v>
      </c>
      <c r="JA24" s="211">
        <f t="shared" si="188"/>
        <v>0</v>
      </c>
      <c r="JB24" s="211">
        <f t="shared" si="188"/>
        <v>0</v>
      </c>
      <c r="JC24" s="211">
        <f t="shared" si="188"/>
        <v>0</v>
      </c>
      <c r="JD24" s="211">
        <f t="shared" si="188"/>
        <v>0</v>
      </c>
      <c r="JE24" s="211">
        <f t="shared" si="188"/>
        <v>0</v>
      </c>
      <c r="JF24" s="211">
        <f t="shared" si="188"/>
        <v>0</v>
      </c>
      <c r="JG24" s="211">
        <f t="shared" si="188"/>
        <v>0</v>
      </c>
      <c r="JH24" s="211">
        <f t="shared" si="188"/>
        <v>0</v>
      </c>
      <c r="JI24" s="211">
        <f t="shared" ref="JI24:JR27" si="189">AND(JI$4&gt;=$EX24,JI$4&lt;=$EY24)*(_xlfn.NORM.DIST((YEAR(JI$4)-YEAR($EX24))*12+MONTH(JI$4)-MONTH($EX24)+1,$EZ24/2,$FA24,TRUE)-_xlfn.NORM.DIST((YEAR(JI$4)-YEAR($EX24))*12+MONTH(JI$4)-MONTH($EX24),$EZ24/2,$FA24,TRUE))/(1-2*_xlfn.NORM.DIST(0,$EZ24/2,$FA24,TRUE))*$EW24</f>
        <v>0</v>
      </c>
      <c r="JJ24" s="211">
        <f t="shared" si="189"/>
        <v>0</v>
      </c>
      <c r="JK24" s="211">
        <f t="shared" si="189"/>
        <v>0</v>
      </c>
      <c r="JL24" s="211">
        <f t="shared" si="189"/>
        <v>0</v>
      </c>
      <c r="JM24" s="211">
        <f t="shared" si="189"/>
        <v>0</v>
      </c>
      <c r="JN24" s="211">
        <f t="shared" si="189"/>
        <v>0</v>
      </c>
      <c r="JO24" s="211">
        <f t="shared" si="189"/>
        <v>0</v>
      </c>
      <c r="JP24" s="211">
        <f t="shared" si="189"/>
        <v>0</v>
      </c>
      <c r="JQ24" s="211">
        <f t="shared" si="189"/>
        <v>0</v>
      </c>
      <c r="JR24" s="211">
        <f t="shared" si="189"/>
        <v>0</v>
      </c>
      <c r="JS24" s="211">
        <f t="shared" ref="JS24:KE27" si="190">AND(JS$4&gt;=$EX24,JS$4&lt;=$EY24)*(_xlfn.NORM.DIST((YEAR(JS$4)-YEAR($EX24))*12+MONTH(JS$4)-MONTH($EX24)+1,$EZ24/2,$FA24,TRUE)-_xlfn.NORM.DIST((YEAR(JS$4)-YEAR($EX24))*12+MONTH(JS$4)-MONTH($EX24),$EZ24/2,$FA24,TRUE))/(1-2*_xlfn.NORM.DIST(0,$EZ24/2,$FA24,TRUE))*$EW24</f>
        <v>0</v>
      </c>
      <c r="JT24" s="211">
        <f t="shared" si="190"/>
        <v>0</v>
      </c>
      <c r="JU24" s="211">
        <f t="shared" si="190"/>
        <v>0</v>
      </c>
      <c r="JV24" s="211">
        <f t="shared" si="190"/>
        <v>0</v>
      </c>
      <c r="JW24" s="211">
        <f t="shared" si="190"/>
        <v>0</v>
      </c>
      <c r="JX24" s="211">
        <f t="shared" si="190"/>
        <v>0</v>
      </c>
      <c r="JY24" s="211">
        <f t="shared" si="190"/>
        <v>0</v>
      </c>
      <c r="JZ24" s="211">
        <f t="shared" si="190"/>
        <v>0</v>
      </c>
      <c r="KA24" s="211">
        <f t="shared" si="190"/>
        <v>0</v>
      </c>
      <c r="KB24" s="211">
        <f t="shared" si="190"/>
        <v>0</v>
      </c>
      <c r="KC24" s="211">
        <f t="shared" si="190"/>
        <v>0</v>
      </c>
      <c r="KD24" s="211">
        <f t="shared" si="190"/>
        <v>0</v>
      </c>
      <c r="KE24" s="211">
        <f t="shared" si="190"/>
        <v>0</v>
      </c>
      <c r="KG24" s="207"/>
      <c r="KH24" s="208"/>
      <c r="KI24" s="208"/>
      <c r="KJ24" s="209"/>
      <c r="KK24" s="210"/>
      <c r="KM24" s="211"/>
      <c r="KN24" s="211"/>
      <c r="KO24" s="211"/>
      <c r="KP24" s="211"/>
      <c r="KQ24" s="211"/>
      <c r="KR24" s="211"/>
      <c r="KS24" s="211"/>
      <c r="KT24" s="211"/>
      <c r="KU24" s="211"/>
      <c r="KV24" s="211"/>
      <c r="KW24" s="211"/>
      <c r="KX24" s="211"/>
      <c r="KY24" s="211"/>
      <c r="KZ24" s="211"/>
      <c r="LA24" s="211"/>
      <c r="LB24" s="211"/>
      <c r="LC24" s="211"/>
      <c r="LD24" s="211"/>
      <c r="LE24" s="211"/>
      <c r="LF24" s="211"/>
      <c r="LG24" s="211"/>
      <c r="LH24" s="211"/>
      <c r="LI24" s="211"/>
      <c r="LJ24" s="211"/>
      <c r="LK24" s="211"/>
      <c r="LL24" s="211"/>
      <c r="LM24" s="211"/>
      <c r="LN24" s="211"/>
      <c r="LO24" s="211"/>
      <c r="LP24" s="211"/>
      <c r="LQ24" s="211"/>
      <c r="LR24" s="211"/>
      <c r="LS24" s="211"/>
      <c r="LT24" s="211"/>
      <c r="LU24" s="211"/>
      <c r="LV24" s="211"/>
      <c r="LW24" s="211"/>
      <c r="LX24" s="211"/>
      <c r="LY24" s="211"/>
      <c r="LZ24" s="211"/>
      <c r="MA24" s="211"/>
      <c r="MB24" s="211"/>
      <c r="MC24" s="211"/>
      <c r="MD24" s="211"/>
      <c r="ME24" s="211"/>
      <c r="MF24" s="211"/>
      <c r="MG24" s="211"/>
      <c r="MH24" s="211"/>
      <c r="MI24" s="211"/>
      <c r="MJ24" s="211"/>
      <c r="MK24" s="211"/>
      <c r="ML24" s="211"/>
      <c r="MM24" s="211"/>
      <c r="MN24" s="211"/>
      <c r="MO24" s="211"/>
      <c r="MP24" s="211"/>
      <c r="MQ24" s="211"/>
      <c r="MR24" s="211"/>
      <c r="MS24" s="211"/>
      <c r="MT24" s="211"/>
      <c r="MU24" s="211"/>
      <c r="MV24" s="211"/>
      <c r="MW24" s="211"/>
      <c r="MX24" s="211"/>
      <c r="MY24" s="211"/>
      <c r="MZ24" s="211"/>
      <c r="NA24" s="211"/>
      <c r="NB24" s="211"/>
      <c r="NC24" s="211"/>
      <c r="ND24" s="211"/>
      <c r="NE24" s="211"/>
      <c r="NF24" s="211"/>
      <c r="NG24" s="211"/>
      <c r="NH24" s="211"/>
      <c r="NI24" s="211"/>
      <c r="NJ24" s="211"/>
      <c r="NK24" s="211"/>
      <c r="NL24" s="211"/>
      <c r="NM24" s="211"/>
      <c r="NN24" s="211"/>
      <c r="NO24" s="211"/>
      <c r="NP24" s="211"/>
      <c r="NQ24" s="211"/>
      <c r="NR24" s="211"/>
      <c r="NS24" s="211"/>
      <c r="NT24" s="211"/>
      <c r="NU24" s="211"/>
      <c r="NV24" s="211"/>
      <c r="NW24" s="211"/>
      <c r="NX24" s="211"/>
      <c r="NY24" s="211"/>
      <c r="NZ24" s="211"/>
      <c r="OA24" s="211"/>
      <c r="OB24" s="211"/>
      <c r="OC24" s="211"/>
      <c r="OD24" s="211"/>
      <c r="OE24" s="211"/>
      <c r="OF24" s="211"/>
      <c r="OG24" s="211"/>
      <c r="OH24" s="211"/>
      <c r="OI24" s="211"/>
      <c r="OJ24" s="211"/>
      <c r="OK24" s="211"/>
      <c r="OL24" s="211"/>
      <c r="OM24" s="211"/>
      <c r="ON24" s="211"/>
      <c r="OO24" s="211"/>
      <c r="OP24" s="211"/>
      <c r="OQ24" s="211"/>
      <c r="OR24" s="211"/>
      <c r="OS24" s="211"/>
      <c r="OT24" s="211"/>
      <c r="OU24" s="211"/>
      <c r="OV24" s="211"/>
      <c r="OW24" s="211"/>
      <c r="OX24" s="211"/>
      <c r="OY24" s="211"/>
      <c r="OZ24" s="211"/>
      <c r="PA24" s="211"/>
      <c r="PB24" s="211"/>
      <c r="PC24" s="211"/>
      <c r="PD24" s="211"/>
      <c r="PE24" s="211"/>
      <c r="PF24" s="211"/>
      <c r="PG24" s="211"/>
      <c r="PH24" s="211"/>
      <c r="PI24" s="211"/>
      <c r="PJ24" s="211"/>
      <c r="PK24" s="211"/>
      <c r="PL24" s="211"/>
      <c r="PM24" s="211"/>
      <c r="PN24" s="211"/>
      <c r="PO24" s="211"/>
      <c r="PQ24" s="201"/>
      <c r="PR24" s="201"/>
      <c r="PS24" s="201"/>
      <c r="PT24" s="201"/>
      <c r="PU24" s="201"/>
      <c r="PV24" s="201"/>
      <c r="PW24" s="201"/>
      <c r="PX24" s="201"/>
      <c r="PY24" s="201"/>
      <c r="PZ24" s="201"/>
      <c r="QA24" s="201"/>
      <c r="QB24" s="201"/>
      <c r="QC24" s="201"/>
      <c r="QD24" s="201"/>
      <c r="QE24" s="201"/>
      <c r="QF24" s="201"/>
      <c r="QG24" s="201"/>
      <c r="QH24" s="201"/>
      <c r="QI24" s="201"/>
      <c r="QJ24" s="201"/>
      <c r="QK24" s="201"/>
      <c r="QL24" s="201"/>
      <c r="QM24" s="201"/>
      <c r="QN24" s="201"/>
      <c r="QO24" s="201"/>
      <c r="QP24" s="201"/>
      <c r="QQ24" s="201"/>
      <c r="QR24" s="201"/>
      <c r="QS24" s="201"/>
      <c r="QT24" s="201"/>
      <c r="QU24" s="201"/>
      <c r="QV24" s="201"/>
      <c r="QW24" s="201"/>
      <c r="QX24" s="201"/>
      <c r="QY24" s="201"/>
      <c r="QZ24" s="201"/>
      <c r="RA24" s="201"/>
      <c r="RB24" s="201"/>
      <c r="RC24" s="201"/>
      <c r="RD24" s="201"/>
      <c r="RE24" s="201"/>
      <c r="RF24" s="201"/>
      <c r="RG24" s="201"/>
      <c r="RH24" s="201"/>
      <c r="RI24" s="201"/>
      <c r="RJ24" s="201"/>
      <c r="RK24" s="201"/>
      <c r="RL24" s="201"/>
      <c r="RM24" s="201"/>
      <c r="RN24" s="201"/>
      <c r="RO24" s="201"/>
      <c r="RP24" s="201"/>
      <c r="RQ24" s="201"/>
      <c r="RR24" s="201"/>
      <c r="RS24" s="201"/>
      <c r="RT24" s="201"/>
      <c r="RU24" s="201"/>
      <c r="RV24" s="201"/>
      <c r="RW24" s="201"/>
      <c r="RX24" s="201"/>
      <c r="RY24" s="201"/>
      <c r="RZ24" s="201"/>
      <c r="SA24" s="201"/>
      <c r="SB24" s="201"/>
      <c r="SC24" s="201"/>
      <c r="SD24" s="201"/>
      <c r="SE24" s="201"/>
      <c r="SF24" s="201"/>
      <c r="SG24" s="201"/>
      <c r="SH24" s="201"/>
      <c r="SI24" s="201"/>
      <c r="SJ24" s="201"/>
      <c r="SK24" s="201"/>
      <c r="SL24" s="201"/>
      <c r="SM24" s="201"/>
      <c r="SN24" s="201"/>
      <c r="SO24" s="201"/>
      <c r="SP24" s="201"/>
      <c r="SQ24" s="201"/>
      <c r="SR24" s="201"/>
      <c r="SS24" s="201"/>
      <c r="ST24" s="201"/>
      <c r="SU24" s="201"/>
      <c r="SV24" s="201"/>
      <c r="SW24" s="201"/>
      <c r="SX24" s="201"/>
      <c r="SY24" s="201"/>
      <c r="SZ24" s="201"/>
      <c r="TA24" s="201"/>
      <c r="TB24" s="201"/>
      <c r="TC24" s="201"/>
      <c r="TD24" s="201"/>
      <c r="TE24" s="201"/>
      <c r="TF24" s="201"/>
      <c r="TG24" s="201"/>
      <c r="TH24" s="201"/>
      <c r="TI24" s="201"/>
      <c r="TJ24" s="201"/>
      <c r="TK24" s="201"/>
      <c r="TL24" s="201"/>
      <c r="TM24" s="201"/>
      <c r="TN24" s="201"/>
      <c r="TO24" s="201"/>
      <c r="TP24" s="201"/>
      <c r="TQ24" s="201"/>
      <c r="TR24" s="201"/>
      <c r="TS24" s="201"/>
      <c r="TT24" s="201"/>
      <c r="TU24" s="201"/>
      <c r="TV24" s="201"/>
      <c r="TW24" s="201"/>
      <c r="TX24" s="201"/>
      <c r="TY24" s="201"/>
      <c r="TZ24" s="201"/>
      <c r="UA24" s="201"/>
      <c r="UB24" s="201"/>
      <c r="UC24" s="201"/>
      <c r="UD24" s="201"/>
      <c r="UE24" s="201"/>
      <c r="UF24" s="201"/>
      <c r="UG24" s="201"/>
      <c r="UH24" s="201"/>
      <c r="UI24" s="201"/>
      <c r="UJ24" s="201"/>
      <c r="UK24" s="201"/>
      <c r="UL24" s="201"/>
      <c r="UM24" s="201"/>
      <c r="UN24" s="201"/>
      <c r="UO24" s="201"/>
      <c r="UP24" s="201"/>
      <c r="UQ24" s="201"/>
      <c r="UR24" s="201"/>
      <c r="US24" s="201"/>
      <c r="UT24" s="201"/>
      <c r="UU24" s="201"/>
    </row>
    <row r="25" spans="2:567" x14ac:dyDescent="0.25">
      <c r="B25" s="31" t="s">
        <v>33</v>
      </c>
      <c r="C25" s="26"/>
      <c r="D25" s="26"/>
      <c r="E25" s="32">
        <v>0</v>
      </c>
      <c r="F25" s="32">
        <v>0</v>
      </c>
      <c r="G25" s="19" t="s">
        <v>32</v>
      </c>
      <c r="H25" s="32"/>
      <c r="I25" s="33">
        <f>K25/Units_SF</f>
        <v>1.2400793650793651</v>
      </c>
      <c r="J25" s="34">
        <f>K25/Units</f>
        <v>1041.6666666666667</v>
      </c>
      <c r="K25" s="35">
        <f>K24*0.005</f>
        <v>312500</v>
      </c>
      <c r="M25" s="3" t="s">
        <v>827</v>
      </c>
      <c r="R25" s="90" t="str">
        <f t="shared" ref="R25:R27" si="191">IF(ROUND(SUM(S25:EU25),0)=ROUND(K25,0),"OK","ERROR")</f>
        <v>OK</v>
      </c>
      <c r="S25" s="91">
        <f t="shared" si="164"/>
        <v>312500</v>
      </c>
      <c r="T25" s="91">
        <f t="shared" si="164"/>
        <v>0</v>
      </c>
      <c r="U25" s="91">
        <f t="shared" si="164"/>
        <v>0</v>
      </c>
      <c r="V25" s="91">
        <f t="shared" si="164"/>
        <v>0</v>
      </c>
      <c r="W25" s="91">
        <f t="shared" si="164"/>
        <v>0</v>
      </c>
      <c r="X25" s="91">
        <f t="shared" si="164"/>
        <v>0</v>
      </c>
      <c r="Y25" s="91">
        <f t="shared" si="164"/>
        <v>0</v>
      </c>
      <c r="Z25" s="91">
        <f t="shared" si="164"/>
        <v>0</v>
      </c>
      <c r="AA25" s="91">
        <f t="shared" si="164"/>
        <v>0</v>
      </c>
      <c r="AB25" s="91">
        <f t="shared" si="164"/>
        <v>0</v>
      </c>
      <c r="AC25" s="91">
        <f t="shared" si="165"/>
        <v>0</v>
      </c>
      <c r="AD25" s="91">
        <f t="shared" si="165"/>
        <v>0</v>
      </c>
      <c r="AE25" s="91">
        <f t="shared" si="165"/>
        <v>0</v>
      </c>
      <c r="AF25" s="91">
        <f t="shared" si="165"/>
        <v>0</v>
      </c>
      <c r="AG25" s="91">
        <f t="shared" si="165"/>
        <v>0</v>
      </c>
      <c r="AH25" s="91">
        <f t="shared" si="165"/>
        <v>0</v>
      </c>
      <c r="AI25" s="91">
        <f t="shared" si="165"/>
        <v>0</v>
      </c>
      <c r="AJ25" s="91">
        <f t="shared" si="165"/>
        <v>0</v>
      </c>
      <c r="AK25" s="91">
        <f t="shared" si="165"/>
        <v>0</v>
      </c>
      <c r="AL25" s="91">
        <f t="shared" si="165"/>
        <v>0</v>
      </c>
      <c r="AM25" s="91">
        <f t="shared" si="166"/>
        <v>0</v>
      </c>
      <c r="AN25" s="91">
        <f t="shared" si="166"/>
        <v>0</v>
      </c>
      <c r="AO25" s="91">
        <f t="shared" si="166"/>
        <v>0</v>
      </c>
      <c r="AP25" s="91">
        <f t="shared" si="166"/>
        <v>0</v>
      </c>
      <c r="AQ25" s="91">
        <f t="shared" si="166"/>
        <v>0</v>
      </c>
      <c r="AR25" s="91">
        <f t="shared" si="166"/>
        <v>0</v>
      </c>
      <c r="AS25" s="91">
        <f t="shared" si="166"/>
        <v>0</v>
      </c>
      <c r="AT25" s="91">
        <f t="shared" si="166"/>
        <v>0</v>
      </c>
      <c r="AU25" s="91">
        <f t="shared" si="166"/>
        <v>0</v>
      </c>
      <c r="AV25" s="91">
        <f t="shared" si="166"/>
        <v>0</v>
      </c>
      <c r="AW25" s="91">
        <f t="shared" si="167"/>
        <v>0</v>
      </c>
      <c r="AX25" s="91">
        <f t="shared" si="167"/>
        <v>0</v>
      </c>
      <c r="AY25" s="91">
        <f t="shared" si="167"/>
        <v>0</v>
      </c>
      <c r="AZ25" s="91">
        <f t="shared" si="167"/>
        <v>0</v>
      </c>
      <c r="BA25" s="91">
        <f t="shared" si="167"/>
        <v>0</v>
      </c>
      <c r="BB25" s="91">
        <f t="shared" si="167"/>
        <v>0</v>
      </c>
      <c r="BC25" s="91">
        <f t="shared" si="167"/>
        <v>0</v>
      </c>
      <c r="BD25" s="91">
        <f t="shared" si="167"/>
        <v>0</v>
      </c>
      <c r="BE25" s="91">
        <f t="shared" si="167"/>
        <v>0</v>
      </c>
      <c r="BF25" s="91">
        <f t="shared" si="167"/>
        <v>0</v>
      </c>
      <c r="BG25" s="91">
        <f t="shared" si="168"/>
        <v>0</v>
      </c>
      <c r="BH25" s="91">
        <f t="shared" si="168"/>
        <v>0</v>
      </c>
      <c r="BI25" s="91">
        <f t="shared" si="168"/>
        <v>0</v>
      </c>
      <c r="BJ25" s="91">
        <f t="shared" si="168"/>
        <v>0</v>
      </c>
      <c r="BK25" s="91">
        <f t="shared" si="168"/>
        <v>0</v>
      </c>
      <c r="BL25" s="91">
        <f t="shared" si="168"/>
        <v>0</v>
      </c>
      <c r="BM25" s="91">
        <f t="shared" si="168"/>
        <v>0</v>
      </c>
      <c r="BN25" s="91">
        <f t="shared" si="168"/>
        <v>0</v>
      </c>
      <c r="BO25" s="91">
        <f t="shared" si="168"/>
        <v>0</v>
      </c>
      <c r="BP25" s="91">
        <f t="shared" si="168"/>
        <v>0</v>
      </c>
      <c r="BQ25" s="91">
        <f t="shared" si="169"/>
        <v>0</v>
      </c>
      <c r="BR25" s="91">
        <f t="shared" si="169"/>
        <v>0</v>
      </c>
      <c r="BS25" s="91">
        <f t="shared" si="169"/>
        <v>0</v>
      </c>
      <c r="BT25" s="91">
        <f t="shared" si="169"/>
        <v>0</v>
      </c>
      <c r="BU25" s="91">
        <f t="shared" si="169"/>
        <v>0</v>
      </c>
      <c r="BV25" s="91">
        <f t="shared" si="169"/>
        <v>0</v>
      </c>
      <c r="BW25" s="91">
        <f t="shared" si="169"/>
        <v>0</v>
      </c>
      <c r="BX25" s="91">
        <f t="shared" si="169"/>
        <v>0</v>
      </c>
      <c r="BY25" s="91">
        <f t="shared" si="169"/>
        <v>0</v>
      </c>
      <c r="BZ25" s="91">
        <f t="shared" si="169"/>
        <v>0</v>
      </c>
      <c r="CA25" s="91">
        <f t="shared" si="170"/>
        <v>0</v>
      </c>
      <c r="CB25" s="91">
        <f t="shared" si="170"/>
        <v>0</v>
      </c>
      <c r="CC25" s="91">
        <f t="shared" si="170"/>
        <v>0</v>
      </c>
      <c r="CD25" s="91">
        <f t="shared" si="170"/>
        <v>0</v>
      </c>
      <c r="CE25" s="91">
        <f t="shared" si="170"/>
        <v>0</v>
      </c>
      <c r="CF25" s="91">
        <f t="shared" si="170"/>
        <v>0</v>
      </c>
      <c r="CG25" s="91">
        <f t="shared" si="170"/>
        <v>0</v>
      </c>
      <c r="CH25" s="91">
        <f t="shared" si="170"/>
        <v>0</v>
      </c>
      <c r="CI25" s="91">
        <f t="shared" si="170"/>
        <v>0</v>
      </c>
      <c r="CJ25" s="91">
        <f t="shared" si="170"/>
        <v>0</v>
      </c>
      <c r="CK25" s="91">
        <f t="shared" si="171"/>
        <v>0</v>
      </c>
      <c r="CL25" s="91">
        <f t="shared" si="171"/>
        <v>0</v>
      </c>
      <c r="CM25" s="91">
        <f t="shared" si="171"/>
        <v>0</v>
      </c>
      <c r="CN25" s="91">
        <f t="shared" si="171"/>
        <v>0</v>
      </c>
      <c r="CO25" s="91">
        <f t="shared" si="171"/>
        <v>0</v>
      </c>
      <c r="CP25" s="91">
        <f t="shared" si="171"/>
        <v>0</v>
      </c>
      <c r="CQ25" s="91">
        <f t="shared" si="171"/>
        <v>0</v>
      </c>
      <c r="CR25" s="91">
        <f t="shared" si="171"/>
        <v>0</v>
      </c>
      <c r="CS25" s="91">
        <f t="shared" si="171"/>
        <v>0</v>
      </c>
      <c r="CT25" s="91">
        <f t="shared" si="171"/>
        <v>0</v>
      </c>
      <c r="CU25" s="91">
        <f t="shared" si="172"/>
        <v>0</v>
      </c>
      <c r="CV25" s="91">
        <f t="shared" si="172"/>
        <v>0</v>
      </c>
      <c r="CW25" s="91">
        <f t="shared" si="172"/>
        <v>0</v>
      </c>
      <c r="CX25" s="91">
        <f t="shared" si="172"/>
        <v>0</v>
      </c>
      <c r="CY25" s="91">
        <f t="shared" si="172"/>
        <v>0</v>
      </c>
      <c r="CZ25" s="91">
        <f t="shared" si="172"/>
        <v>0</v>
      </c>
      <c r="DA25" s="91">
        <f t="shared" si="172"/>
        <v>0</v>
      </c>
      <c r="DB25" s="91">
        <f t="shared" si="172"/>
        <v>0</v>
      </c>
      <c r="DC25" s="91">
        <f t="shared" si="172"/>
        <v>0</v>
      </c>
      <c r="DD25" s="91">
        <f t="shared" si="172"/>
        <v>0</v>
      </c>
      <c r="DE25" s="91">
        <f t="shared" si="173"/>
        <v>0</v>
      </c>
      <c r="DF25" s="91">
        <f t="shared" si="173"/>
        <v>0</v>
      </c>
      <c r="DG25" s="91">
        <f t="shared" si="173"/>
        <v>0</v>
      </c>
      <c r="DH25" s="91">
        <f t="shared" si="173"/>
        <v>0</v>
      </c>
      <c r="DI25" s="91">
        <f t="shared" si="173"/>
        <v>0</v>
      </c>
      <c r="DJ25" s="91">
        <f t="shared" si="173"/>
        <v>0</v>
      </c>
      <c r="DK25" s="91">
        <f t="shared" si="173"/>
        <v>0</v>
      </c>
      <c r="DL25" s="91">
        <f t="shared" si="173"/>
        <v>0</v>
      </c>
      <c r="DM25" s="91">
        <f t="shared" si="173"/>
        <v>0</v>
      </c>
      <c r="DN25" s="91">
        <f t="shared" si="173"/>
        <v>0</v>
      </c>
      <c r="DO25" s="91">
        <f t="shared" si="174"/>
        <v>0</v>
      </c>
      <c r="DP25" s="91">
        <f t="shared" si="174"/>
        <v>0</v>
      </c>
      <c r="DQ25" s="91">
        <f t="shared" si="174"/>
        <v>0</v>
      </c>
      <c r="DR25" s="91">
        <f t="shared" si="174"/>
        <v>0</v>
      </c>
      <c r="DS25" s="91">
        <f t="shared" si="174"/>
        <v>0</v>
      </c>
      <c r="DT25" s="91">
        <f t="shared" si="174"/>
        <v>0</v>
      </c>
      <c r="DU25" s="91">
        <f t="shared" si="174"/>
        <v>0</v>
      </c>
      <c r="DV25" s="91">
        <f t="shared" si="174"/>
        <v>0</v>
      </c>
      <c r="DW25" s="91">
        <f t="shared" si="174"/>
        <v>0</v>
      </c>
      <c r="DX25" s="91">
        <f t="shared" si="174"/>
        <v>0</v>
      </c>
      <c r="DY25" s="91">
        <f t="shared" si="175"/>
        <v>0</v>
      </c>
      <c r="DZ25" s="91">
        <f t="shared" si="175"/>
        <v>0</v>
      </c>
      <c r="EA25" s="91">
        <f t="shared" si="175"/>
        <v>0</v>
      </c>
      <c r="EB25" s="91">
        <f t="shared" si="175"/>
        <v>0</v>
      </c>
      <c r="EC25" s="91">
        <f t="shared" si="175"/>
        <v>0</v>
      </c>
      <c r="ED25" s="91">
        <f t="shared" si="175"/>
        <v>0</v>
      </c>
      <c r="EE25" s="91">
        <f t="shared" si="175"/>
        <v>0</v>
      </c>
      <c r="EF25" s="91">
        <f t="shared" si="175"/>
        <v>0</v>
      </c>
      <c r="EG25" s="91">
        <f t="shared" si="175"/>
        <v>0</v>
      </c>
      <c r="EH25" s="91">
        <f t="shared" si="175"/>
        <v>0</v>
      </c>
      <c r="EI25" s="91">
        <f t="shared" si="176"/>
        <v>0</v>
      </c>
      <c r="EJ25" s="91">
        <f t="shared" si="176"/>
        <v>0</v>
      </c>
      <c r="EK25" s="91">
        <f t="shared" si="176"/>
        <v>0</v>
      </c>
      <c r="EL25" s="91">
        <f t="shared" si="176"/>
        <v>0</v>
      </c>
      <c r="EM25" s="91">
        <f t="shared" si="176"/>
        <v>0</v>
      </c>
      <c r="EN25" s="91">
        <f t="shared" si="176"/>
        <v>0</v>
      </c>
      <c r="EO25" s="91">
        <f t="shared" si="176"/>
        <v>0</v>
      </c>
      <c r="EP25" s="91">
        <f t="shared" si="176"/>
        <v>0</v>
      </c>
      <c r="EQ25" s="91">
        <f t="shared" si="176"/>
        <v>0</v>
      </c>
      <c r="ER25" s="91">
        <f t="shared" si="176"/>
        <v>0</v>
      </c>
      <c r="ES25" s="91">
        <f t="shared" si="177"/>
        <v>0</v>
      </c>
      <c r="ET25" s="91">
        <f t="shared" si="177"/>
        <v>0</v>
      </c>
      <c r="EU25" s="91">
        <f t="shared" si="177"/>
        <v>0</v>
      </c>
      <c r="EW25" s="207">
        <f>K25</f>
        <v>312500</v>
      </c>
      <c r="EX25" s="208">
        <f>INDEX($S$23:$EU$23,1,E25+1)</f>
        <v>46053</v>
      </c>
      <c r="EY25" s="208">
        <f>INDEX($S$23:$EU$23,1,F25+1)</f>
        <v>46053</v>
      </c>
      <c r="EZ25" s="209">
        <f>F25-E25+1</f>
        <v>1</v>
      </c>
      <c r="FA25" s="210">
        <f>EZ25/6</f>
        <v>0.16666666666666666</v>
      </c>
      <c r="FC25" s="211">
        <f t="shared" si="178"/>
        <v>312500</v>
      </c>
      <c r="FD25" s="211">
        <f t="shared" si="178"/>
        <v>0</v>
      </c>
      <c r="FE25" s="211">
        <f t="shared" si="178"/>
        <v>0</v>
      </c>
      <c r="FF25" s="211">
        <f t="shared" si="178"/>
        <v>0</v>
      </c>
      <c r="FG25" s="211">
        <f t="shared" si="178"/>
        <v>0</v>
      </c>
      <c r="FH25" s="211">
        <f t="shared" si="178"/>
        <v>0</v>
      </c>
      <c r="FI25" s="211">
        <f t="shared" si="178"/>
        <v>0</v>
      </c>
      <c r="FJ25" s="211">
        <f t="shared" si="178"/>
        <v>0</v>
      </c>
      <c r="FK25" s="211">
        <f t="shared" si="178"/>
        <v>0</v>
      </c>
      <c r="FL25" s="211">
        <f t="shared" si="178"/>
        <v>0</v>
      </c>
      <c r="FM25" s="211">
        <f t="shared" si="179"/>
        <v>0</v>
      </c>
      <c r="FN25" s="211">
        <f t="shared" si="179"/>
        <v>0</v>
      </c>
      <c r="FO25" s="211">
        <f t="shared" si="179"/>
        <v>0</v>
      </c>
      <c r="FP25" s="211">
        <f t="shared" si="179"/>
        <v>0</v>
      </c>
      <c r="FQ25" s="211">
        <f t="shared" si="179"/>
        <v>0</v>
      </c>
      <c r="FR25" s="211">
        <f t="shared" si="179"/>
        <v>0</v>
      </c>
      <c r="FS25" s="211">
        <f t="shared" si="179"/>
        <v>0</v>
      </c>
      <c r="FT25" s="211">
        <f t="shared" si="179"/>
        <v>0</v>
      </c>
      <c r="FU25" s="211">
        <f t="shared" si="179"/>
        <v>0</v>
      </c>
      <c r="FV25" s="211">
        <f t="shared" si="179"/>
        <v>0</v>
      </c>
      <c r="FW25" s="211">
        <f t="shared" si="180"/>
        <v>0</v>
      </c>
      <c r="FX25" s="211">
        <f t="shared" si="180"/>
        <v>0</v>
      </c>
      <c r="FY25" s="211">
        <f t="shared" si="180"/>
        <v>0</v>
      </c>
      <c r="FZ25" s="211">
        <f t="shared" si="180"/>
        <v>0</v>
      </c>
      <c r="GA25" s="211">
        <f t="shared" si="180"/>
        <v>0</v>
      </c>
      <c r="GB25" s="211">
        <f t="shared" si="180"/>
        <v>0</v>
      </c>
      <c r="GC25" s="211">
        <f t="shared" si="180"/>
        <v>0</v>
      </c>
      <c r="GD25" s="211">
        <f t="shared" si="180"/>
        <v>0</v>
      </c>
      <c r="GE25" s="211">
        <f t="shared" si="180"/>
        <v>0</v>
      </c>
      <c r="GF25" s="211">
        <f t="shared" si="180"/>
        <v>0</v>
      </c>
      <c r="GG25" s="211">
        <f t="shared" si="181"/>
        <v>0</v>
      </c>
      <c r="GH25" s="211">
        <f t="shared" si="181"/>
        <v>0</v>
      </c>
      <c r="GI25" s="211">
        <f t="shared" si="181"/>
        <v>0</v>
      </c>
      <c r="GJ25" s="211">
        <f t="shared" si="181"/>
        <v>0</v>
      </c>
      <c r="GK25" s="211">
        <f t="shared" si="181"/>
        <v>0</v>
      </c>
      <c r="GL25" s="211">
        <f t="shared" si="181"/>
        <v>0</v>
      </c>
      <c r="GM25" s="211">
        <f t="shared" si="181"/>
        <v>0</v>
      </c>
      <c r="GN25" s="211">
        <f t="shared" si="181"/>
        <v>0</v>
      </c>
      <c r="GO25" s="211">
        <f t="shared" si="181"/>
        <v>0</v>
      </c>
      <c r="GP25" s="211">
        <f t="shared" si="181"/>
        <v>0</v>
      </c>
      <c r="GQ25" s="211">
        <f t="shared" si="182"/>
        <v>0</v>
      </c>
      <c r="GR25" s="211">
        <f t="shared" si="182"/>
        <v>0</v>
      </c>
      <c r="GS25" s="211">
        <f t="shared" si="182"/>
        <v>0</v>
      </c>
      <c r="GT25" s="211">
        <f t="shared" si="182"/>
        <v>0</v>
      </c>
      <c r="GU25" s="211">
        <f t="shared" si="182"/>
        <v>0</v>
      </c>
      <c r="GV25" s="211">
        <f t="shared" si="182"/>
        <v>0</v>
      </c>
      <c r="GW25" s="211">
        <f t="shared" si="182"/>
        <v>0</v>
      </c>
      <c r="GX25" s="211">
        <f t="shared" si="182"/>
        <v>0</v>
      </c>
      <c r="GY25" s="211">
        <f t="shared" si="182"/>
        <v>0</v>
      </c>
      <c r="GZ25" s="211">
        <f t="shared" si="182"/>
        <v>0</v>
      </c>
      <c r="HA25" s="211">
        <f t="shared" si="183"/>
        <v>0</v>
      </c>
      <c r="HB25" s="211">
        <f t="shared" si="183"/>
        <v>0</v>
      </c>
      <c r="HC25" s="211">
        <f t="shared" si="183"/>
        <v>0</v>
      </c>
      <c r="HD25" s="211">
        <f t="shared" si="183"/>
        <v>0</v>
      </c>
      <c r="HE25" s="211">
        <f t="shared" si="183"/>
        <v>0</v>
      </c>
      <c r="HF25" s="211">
        <f t="shared" si="183"/>
        <v>0</v>
      </c>
      <c r="HG25" s="211">
        <f t="shared" si="183"/>
        <v>0</v>
      </c>
      <c r="HH25" s="211">
        <f t="shared" si="183"/>
        <v>0</v>
      </c>
      <c r="HI25" s="211">
        <f t="shared" si="183"/>
        <v>0</v>
      </c>
      <c r="HJ25" s="211">
        <f t="shared" si="183"/>
        <v>0</v>
      </c>
      <c r="HK25" s="211">
        <f t="shared" si="184"/>
        <v>0</v>
      </c>
      <c r="HL25" s="211">
        <f t="shared" si="184"/>
        <v>0</v>
      </c>
      <c r="HM25" s="211">
        <f t="shared" si="184"/>
        <v>0</v>
      </c>
      <c r="HN25" s="211">
        <f t="shared" si="184"/>
        <v>0</v>
      </c>
      <c r="HO25" s="211">
        <f t="shared" si="184"/>
        <v>0</v>
      </c>
      <c r="HP25" s="211">
        <f t="shared" si="184"/>
        <v>0</v>
      </c>
      <c r="HQ25" s="211">
        <f t="shared" si="184"/>
        <v>0</v>
      </c>
      <c r="HR25" s="211">
        <f t="shared" si="184"/>
        <v>0</v>
      </c>
      <c r="HS25" s="211">
        <f t="shared" si="184"/>
        <v>0</v>
      </c>
      <c r="HT25" s="211">
        <f t="shared" si="184"/>
        <v>0</v>
      </c>
      <c r="HU25" s="211">
        <f t="shared" si="185"/>
        <v>0</v>
      </c>
      <c r="HV25" s="211">
        <f t="shared" si="185"/>
        <v>0</v>
      </c>
      <c r="HW25" s="211">
        <f t="shared" si="185"/>
        <v>0</v>
      </c>
      <c r="HX25" s="211">
        <f t="shared" si="185"/>
        <v>0</v>
      </c>
      <c r="HY25" s="211">
        <f t="shared" si="185"/>
        <v>0</v>
      </c>
      <c r="HZ25" s="211">
        <f t="shared" si="185"/>
        <v>0</v>
      </c>
      <c r="IA25" s="211">
        <f t="shared" si="185"/>
        <v>0</v>
      </c>
      <c r="IB25" s="211">
        <f t="shared" si="185"/>
        <v>0</v>
      </c>
      <c r="IC25" s="211">
        <f t="shared" si="185"/>
        <v>0</v>
      </c>
      <c r="ID25" s="211">
        <f t="shared" si="185"/>
        <v>0</v>
      </c>
      <c r="IE25" s="211">
        <f t="shared" si="186"/>
        <v>0</v>
      </c>
      <c r="IF25" s="211">
        <f t="shared" si="186"/>
        <v>0</v>
      </c>
      <c r="IG25" s="211">
        <f t="shared" si="186"/>
        <v>0</v>
      </c>
      <c r="IH25" s="211">
        <f t="shared" si="186"/>
        <v>0</v>
      </c>
      <c r="II25" s="211">
        <f t="shared" si="186"/>
        <v>0</v>
      </c>
      <c r="IJ25" s="211">
        <f t="shared" si="186"/>
        <v>0</v>
      </c>
      <c r="IK25" s="211">
        <f t="shared" si="186"/>
        <v>0</v>
      </c>
      <c r="IL25" s="211">
        <f t="shared" si="186"/>
        <v>0</v>
      </c>
      <c r="IM25" s="211">
        <f t="shared" si="186"/>
        <v>0</v>
      </c>
      <c r="IN25" s="211">
        <f t="shared" si="186"/>
        <v>0</v>
      </c>
      <c r="IO25" s="211">
        <f t="shared" si="187"/>
        <v>0</v>
      </c>
      <c r="IP25" s="211">
        <f t="shared" si="187"/>
        <v>0</v>
      </c>
      <c r="IQ25" s="211">
        <f t="shared" si="187"/>
        <v>0</v>
      </c>
      <c r="IR25" s="211">
        <f t="shared" si="187"/>
        <v>0</v>
      </c>
      <c r="IS25" s="211">
        <f t="shared" si="187"/>
        <v>0</v>
      </c>
      <c r="IT25" s="211">
        <f t="shared" si="187"/>
        <v>0</v>
      </c>
      <c r="IU25" s="211">
        <f t="shared" si="187"/>
        <v>0</v>
      </c>
      <c r="IV25" s="211">
        <f t="shared" si="187"/>
        <v>0</v>
      </c>
      <c r="IW25" s="211">
        <f t="shared" si="187"/>
        <v>0</v>
      </c>
      <c r="IX25" s="211">
        <f t="shared" si="187"/>
        <v>0</v>
      </c>
      <c r="IY25" s="211">
        <f t="shared" si="188"/>
        <v>0</v>
      </c>
      <c r="IZ25" s="211">
        <f t="shared" si="188"/>
        <v>0</v>
      </c>
      <c r="JA25" s="211">
        <f t="shared" si="188"/>
        <v>0</v>
      </c>
      <c r="JB25" s="211">
        <f t="shared" si="188"/>
        <v>0</v>
      </c>
      <c r="JC25" s="211">
        <f t="shared" si="188"/>
        <v>0</v>
      </c>
      <c r="JD25" s="211">
        <f t="shared" si="188"/>
        <v>0</v>
      </c>
      <c r="JE25" s="211">
        <f t="shared" si="188"/>
        <v>0</v>
      </c>
      <c r="JF25" s="211">
        <f t="shared" si="188"/>
        <v>0</v>
      </c>
      <c r="JG25" s="211">
        <f t="shared" si="188"/>
        <v>0</v>
      </c>
      <c r="JH25" s="211">
        <f t="shared" si="188"/>
        <v>0</v>
      </c>
      <c r="JI25" s="211">
        <f t="shared" si="189"/>
        <v>0</v>
      </c>
      <c r="JJ25" s="211">
        <f t="shared" si="189"/>
        <v>0</v>
      </c>
      <c r="JK25" s="211">
        <f t="shared" si="189"/>
        <v>0</v>
      </c>
      <c r="JL25" s="211">
        <f t="shared" si="189"/>
        <v>0</v>
      </c>
      <c r="JM25" s="211">
        <f t="shared" si="189"/>
        <v>0</v>
      </c>
      <c r="JN25" s="211">
        <f t="shared" si="189"/>
        <v>0</v>
      </c>
      <c r="JO25" s="211">
        <f t="shared" si="189"/>
        <v>0</v>
      </c>
      <c r="JP25" s="211">
        <f t="shared" si="189"/>
        <v>0</v>
      </c>
      <c r="JQ25" s="211">
        <f t="shared" si="189"/>
        <v>0</v>
      </c>
      <c r="JR25" s="211">
        <f t="shared" si="189"/>
        <v>0</v>
      </c>
      <c r="JS25" s="211">
        <f t="shared" si="190"/>
        <v>0</v>
      </c>
      <c r="JT25" s="211">
        <f t="shared" si="190"/>
        <v>0</v>
      </c>
      <c r="JU25" s="211">
        <f t="shared" si="190"/>
        <v>0</v>
      </c>
      <c r="JV25" s="211">
        <f t="shared" si="190"/>
        <v>0</v>
      </c>
      <c r="JW25" s="211">
        <f t="shared" si="190"/>
        <v>0</v>
      </c>
      <c r="JX25" s="211">
        <f t="shared" si="190"/>
        <v>0</v>
      </c>
      <c r="JY25" s="211">
        <f t="shared" si="190"/>
        <v>0</v>
      </c>
      <c r="JZ25" s="211">
        <f t="shared" si="190"/>
        <v>0</v>
      </c>
      <c r="KA25" s="211">
        <f t="shared" si="190"/>
        <v>0</v>
      </c>
      <c r="KB25" s="211">
        <f t="shared" si="190"/>
        <v>0</v>
      </c>
      <c r="KC25" s="211">
        <f t="shared" si="190"/>
        <v>0</v>
      </c>
      <c r="KD25" s="211">
        <f t="shared" si="190"/>
        <v>0</v>
      </c>
      <c r="KE25" s="211">
        <f t="shared" si="190"/>
        <v>0</v>
      </c>
      <c r="KG25" s="207"/>
      <c r="KH25" s="208"/>
      <c r="KI25" s="208"/>
      <c r="KJ25" s="209"/>
      <c r="KK25" s="210"/>
      <c r="KM25" s="211"/>
      <c r="KN25" s="211"/>
      <c r="KO25" s="211"/>
      <c r="KP25" s="211"/>
      <c r="KQ25" s="211"/>
      <c r="KR25" s="211"/>
      <c r="KS25" s="211"/>
      <c r="KT25" s="211"/>
      <c r="KU25" s="211"/>
      <c r="KV25" s="211"/>
      <c r="KW25" s="211"/>
      <c r="KX25" s="211"/>
      <c r="KY25" s="211"/>
      <c r="KZ25" s="211"/>
      <c r="LA25" s="211"/>
      <c r="LB25" s="211"/>
      <c r="LC25" s="211"/>
      <c r="LD25" s="211"/>
      <c r="LE25" s="211"/>
      <c r="LF25" s="211"/>
      <c r="LG25" s="211"/>
      <c r="LH25" s="211"/>
      <c r="LI25" s="211"/>
      <c r="LJ25" s="211"/>
      <c r="LK25" s="211"/>
      <c r="LL25" s="211"/>
      <c r="LM25" s="211"/>
      <c r="LN25" s="211"/>
      <c r="LO25" s="211"/>
      <c r="LP25" s="211"/>
      <c r="LQ25" s="211"/>
      <c r="LR25" s="211"/>
      <c r="LS25" s="211"/>
      <c r="LT25" s="211"/>
      <c r="LU25" s="211"/>
      <c r="LV25" s="211"/>
      <c r="LW25" s="211"/>
      <c r="LX25" s="211"/>
      <c r="LY25" s="211"/>
      <c r="LZ25" s="211"/>
      <c r="MA25" s="211"/>
      <c r="MB25" s="211"/>
      <c r="MC25" s="211"/>
      <c r="MD25" s="211"/>
      <c r="ME25" s="211"/>
      <c r="MF25" s="211"/>
      <c r="MG25" s="211"/>
      <c r="MH25" s="211"/>
      <c r="MI25" s="211"/>
      <c r="MJ25" s="211"/>
      <c r="MK25" s="211"/>
      <c r="ML25" s="211"/>
      <c r="MM25" s="211"/>
      <c r="MN25" s="211"/>
      <c r="MO25" s="211"/>
      <c r="MP25" s="211"/>
      <c r="MQ25" s="211"/>
      <c r="MR25" s="211"/>
      <c r="MS25" s="211"/>
      <c r="MT25" s="211"/>
      <c r="MU25" s="211"/>
      <c r="MV25" s="211"/>
      <c r="MW25" s="211"/>
      <c r="MX25" s="211"/>
      <c r="MY25" s="211"/>
      <c r="MZ25" s="211"/>
      <c r="NA25" s="211"/>
      <c r="NB25" s="211"/>
      <c r="NC25" s="211"/>
      <c r="ND25" s="211"/>
      <c r="NE25" s="211"/>
      <c r="NF25" s="211"/>
      <c r="NG25" s="211"/>
      <c r="NH25" s="211"/>
      <c r="NI25" s="211"/>
      <c r="NJ25" s="211"/>
      <c r="NK25" s="211"/>
      <c r="NL25" s="211"/>
      <c r="NM25" s="211"/>
      <c r="NN25" s="211"/>
      <c r="NO25" s="211"/>
      <c r="NP25" s="211"/>
      <c r="NQ25" s="211"/>
      <c r="NR25" s="211"/>
      <c r="NS25" s="211"/>
      <c r="NT25" s="211"/>
      <c r="NU25" s="211"/>
      <c r="NV25" s="211"/>
      <c r="NW25" s="211"/>
      <c r="NX25" s="211"/>
      <c r="NY25" s="211"/>
      <c r="NZ25" s="211"/>
      <c r="OA25" s="211"/>
      <c r="OB25" s="211"/>
      <c r="OC25" s="211"/>
      <c r="OD25" s="211"/>
      <c r="OE25" s="211"/>
      <c r="OF25" s="211"/>
      <c r="OG25" s="211"/>
      <c r="OH25" s="211"/>
      <c r="OI25" s="211"/>
      <c r="OJ25" s="211"/>
      <c r="OK25" s="211"/>
      <c r="OL25" s="211"/>
      <c r="OM25" s="211"/>
      <c r="ON25" s="211"/>
      <c r="OO25" s="211"/>
      <c r="OP25" s="211"/>
      <c r="OQ25" s="211"/>
      <c r="OR25" s="211"/>
      <c r="OS25" s="211"/>
      <c r="OT25" s="211"/>
      <c r="OU25" s="211"/>
      <c r="OV25" s="211"/>
      <c r="OW25" s="211"/>
      <c r="OX25" s="211"/>
      <c r="OY25" s="211"/>
      <c r="OZ25" s="211"/>
      <c r="PA25" s="211"/>
      <c r="PB25" s="211"/>
      <c r="PC25" s="211"/>
      <c r="PD25" s="211"/>
      <c r="PE25" s="211"/>
      <c r="PF25" s="211"/>
      <c r="PG25" s="211"/>
      <c r="PH25" s="211"/>
      <c r="PI25" s="211"/>
      <c r="PJ25" s="211"/>
      <c r="PK25" s="211"/>
      <c r="PL25" s="211"/>
      <c r="PM25" s="211"/>
      <c r="PN25" s="211"/>
      <c r="PO25" s="211"/>
      <c r="PQ25" s="201"/>
      <c r="PR25" s="201"/>
      <c r="PS25" s="201"/>
      <c r="PT25" s="201"/>
      <c r="PU25" s="201"/>
      <c r="PV25" s="201"/>
      <c r="PW25" s="201"/>
      <c r="PX25" s="201"/>
      <c r="PY25" s="201"/>
      <c r="PZ25" s="201"/>
      <c r="QA25" s="201"/>
      <c r="QB25" s="201"/>
      <c r="QC25" s="201"/>
      <c r="QD25" s="201"/>
      <c r="QE25" s="201"/>
      <c r="QF25" s="201"/>
      <c r="QG25" s="201"/>
      <c r="QH25" s="201"/>
      <c r="QI25" s="201"/>
      <c r="QJ25" s="201"/>
      <c r="QK25" s="201"/>
      <c r="QL25" s="201"/>
      <c r="QM25" s="201"/>
      <c r="QN25" s="201"/>
      <c r="QO25" s="201"/>
      <c r="QP25" s="201"/>
      <c r="QQ25" s="201"/>
      <c r="QR25" s="201"/>
      <c r="QS25" s="201"/>
      <c r="QT25" s="201"/>
      <c r="QU25" s="201"/>
      <c r="QV25" s="201"/>
      <c r="QW25" s="201"/>
      <c r="QX25" s="201"/>
      <c r="QY25" s="201"/>
      <c r="QZ25" s="201"/>
      <c r="RA25" s="201"/>
      <c r="RB25" s="201"/>
      <c r="RC25" s="201"/>
      <c r="RD25" s="201"/>
      <c r="RE25" s="201"/>
      <c r="RF25" s="201"/>
      <c r="RG25" s="201"/>
      <c r="RH25" s="201"/>
      <c r="RI25" s="201"/>
      <c r="RJ25" s="201"/>
      <c r="RK25" s="201"/>
      <c r="RL25" s="201"/>
      <c r="RM25" s="201"/>
      <c r="RN25" s="201"/>
      <c r="RO25" s="201"/>
      <c r="RP25" s="201"/>
      <c r="RQ25" s="201"/>
      <c r="RR25" s="201"/>
      <c r="RS25" s="201"/>
      <c r="RT25" s="201"/>
      <c r="RU25" s="201"/>
      <c r="RV25" s="201"/>
      <c r="RW25" s="201"/>
      <c r="RX25" s="201"/>
      <c r="RY25" s="201"/>
      <c r="RZ25" s="201"/>
      <c r="SA25" s="201"/>
      <c r="SB25" s="201"/>
      <c r="SC25" s="201"/>
      <c r="SD25" s="201"/>
      <c r="SE25" s="201"/>
      <c r="SF25" s="201"/>
      <c r="SG25" s="201"/>
      <c r="SH25" s="201"/>
      <c r="SI25" s="201"/>
      <c r="SJ25" s="201"/>
      <c r="SK25" s="201"/>
      <c r="SL25" s="201"/>
      <c r="SM25" s="201"/>
      <c r="SN25" s="201"/>
      <c r="SO25" s="201"/>
      <c r="SP25" s="201"/>
      <c r="SQ25" s="201"/>
      <c r="SR25" s="201"/>
      <c r="SS25" s="201"/>
      <c r="ST25" s="201"/>
      <c r="SU25" s="201"/>
      <c r="SV25" s="201"/>
      <c r="SW25" s="201"/>
      <c r="SX25" s="201"/>
      <c r="SY25" s="201"/>
      <c r="SZ25" s="201"/>
      <c r="TA25" s="201"/>
      <c r="TB25" s="201"/>
      <c r="TC25" s="201"/>
      <c r="TD25" s="201"/>
      <c r="TE25" s="201"/>
      <c r="TF25" s="201"/>
      <c r="TG25" s="201"/>
      <c r="TH25" s="201"/>
      <c r="TI25" s="201"/>
      <c r="TJ25" s="201"/>
      <c r="TK25" s="201"/>
      <c r="TL25" s="201"/>
      <c r="TM25" s="201"/>
      <c r="TN25" s="201"/>
      <c r="TO25" s="201"/>
      <c r="TP25" s="201"/>
      <c r="TQ25" s="201"/>
      <c r="TR25" s="201"/>
      <c r="TS25" s="201"/>
      <c r="TT25" s="201"/>
      <c r="TU25" s="201"/>
      <c r="TV25" s="201"/>
      <c r="TW25" s="201"/>
      <c r="TX25" s="201"/>
      <c r="TY25" s="201"/>
      <c r="TZ25" s="201"/>
      <c r="UA25" s="201"/>
      <c r="UB25" s="201"/>
      <c r="UC25" s="201"/>
      <c r="UD25" s="201"/>
      <c r="UE25" s="201"/>
      <c r="UF25" s="201"/>
      <c r="UG25" s="201"/>
      <c r="UH25" s="201"/>
      <c r="UI25" s="201"/>
      <c r="UJ25" s="201"/>
      <c r="UK25" s="201"/>
      <c r="UL25" s="201"/>
      <c r="UM25" s="201"/>
      <c r="UN25" s="201"/>
      <c r="UO25" s="201"/>
      <c r="UP25" s="201"/>
      <c r="UQ25" s="201"/>
      <c r="UR25" s="201"/>
      <c r="US25" s="201"/>
      <c r="UT25" s="201"/>
      <c r="UU25" s="201"/>
    </row>
    <row r="26" spans="2:567" x14ac:dyDescent="0.25">
      <c r="B26" s="31" t="s">
        <v>34</v>
      </c>
      <c r="C26" s="26"/>
      <c r="D26" s="26"/>
      <c r="E26" s="32">
        <v>0</v>
      </c>
      <c r="F26" s="32">
        <v>0</v>
      </c>
      <c r="G26" s="19" t="s">
        <v>32</v>
      </c>
      <c r="H26" s="32"/>
      <c r="I26" s="33">
        <f>K26/Units_SF</f>
        <v>0</v>
      </c>
      <c r="J26" s="34">
        <f>K26/Units</f>
        <v>0</v>
      </c>
      <c r="K26" s="35">
        <v>0</v>
      </c>
      <c r="R26" s="90" t="str">
        <f t="shared" ref="R26" si="192">IF(ROUND(SUM(S26:EU26),0)=ROUND(K26,0),"OK","ERROR")</f>
        <v>OK</v>
      </c>
      <c r="S26" s="91">
        <f t="shared" ref="S26" si="193">AND($G26="S-Curve")*FC26+($G26&lt;&gt;"S-Curve")*AND(S$22&gt;=$E26,S$22&lt;=$F26)*$K26/($F26-$E26+1)</f>
        <v>0</v>
      </c>
      <c r="T26" s="91">
        <f t="shared" ref="T26" si="194">AND($G26="S-Curve")*FD26+($G26&lt;&gt;"S-Curve")*AND(T$22&gt;=$E26,T$22&lt;=$F26)*$K26/($F26-$E26+1)</f>
        <v>0</v>
      </c>
      <c r="U26" s="91">
        <f t="shared" ref="U26" si="195">AND($G26="S-Curve")*FE26+($G26&lt;&gt;"S-Curve")*AND(U$22&gt;=$E26,U$22&lt;=$F26)*$K26/($F26-$E26+1)</f>
        <v>0</v>
      </c>
      <c r="V26" s="91">
        <f t="shared" ref="V26" si="196">AND($G26="S-Curve")*FF26+($G26&lt;&gt;"S-Curve")*AND(V$22&gt;=$E26,V$22&lt;=$F26)*$K26/($F26-$E26+1)</f>
        <v>0</v>
      </c>
      <c r="W26" s="91">
        <f t="shared" ref="W26" si="197">AND($G26="S-Curve")*FG26+($G26&lt;&gt;"S-Curve")*AND(W$22&gt;=$E26,W$22&lt;=$F26)*$K26/($F26-$E26+1)</f>
        <v>0</v>
      </c>
      <c r="X26" s="91">
        <f t="shared" ref="X26" si="198">AND($G26="S-Curve")*FH26+($G26&lt;&gt;"S-Curve")*AND(X$22&gt;=$E26,X$22&lt;=$F26)*$K26/($F26-$E26+1)</f>
        <v>0</v>
      </c>
      <c r="Y26" s="91">
        <f t="shared" ref="Y26" si="199">AND($G26="S-Curve")*FI26+($G26&lt;&gt;"S-Curve")*AND(Y$22&gt;=$E26,Y$22&lt;=$F26)*$K26/($F26-$E26+1)</f>
        <v>0</v>
      </c>
      <c r="Z26" s="91">
        <f t="shared" ref="Z26" si="200">AND($G26="S-Curve")*FJ26+($G26&lt;&gt;"S-Curve")*AND(Z$22&gt;=$E26,Z$22&lt;=$F26)*$K26/($F26-$E26+1)</f>
        <v>0</v>
      </c>
      <c r="AA26" s="91">
        <f t="shared" ref="AA26" si="201">AND($G26="S-Curve")*FK26+($G26&lt;&gt;"S-Curve")*AND(AA$22&gt;=$E26,AA$22&lt;=$F26)*$K26/($F26-$E26+1)</f>
        <v>0</v>
      </c>
      <c r="AB26" s="91">
        <f t="shared" ref="AB26" si="202">AND($G26="S-Curve")*FL26+($G26&lt;&gt;"S-Curve")*AND(AB$22&gt;=$E26,AB$22&lt;=$F26)*$K26/($F26-$E26+1)</f>
        <v>0</v>
      </c>
      <c r="AC26" s="91">
        <f t="shared" ref="AC26" si="203">AND($G26="S-Curve")*FM26+($G26&lt;&gt;"S-Curve")*AND(AC$22&gt;=$E26,AC$22&lt;=$F26)*$K26/($F26-$E26+1)</f>
        <v>0</v>
      </c>
      <c r="AD26" s="91">
        <f t="shared" ref="AD26" si="204">AND($G26="S-Curve")*FN26+($G26&lt;&gt;"S-Curve")*AND(AD$22&gt;=$E26,AD$22&lt;=$F26)*$K26/($F26-$E26+1)</f>
        <v>0</v>
      </c>
      <c r="AE26" s="91">
        <f t="shared" ref="AE26" si="205">AND($G26="S-Curve")*FO26+($G26&lt;&gt;"S-Curve")*AND(AE$22&gt;=$E26,AE$22&lt;=$F26)*$K26/($F26-$E26+1)</f>
        <v>0</v>
      </c>
      <c r="AF26" s="91">
        <f t="shared" ref="AF26" si="206">AND($G26="S-Curve")*FP26+($G26&lt;&gt;"S-Curve")*AND(AF$22&gt;=$E26,AF$22&lt;=$F26)*$K26/($F26-$E26+1)</f>
        <v>0</v>
      </c>
      <c r="AG26" s="91">
        <f t="shared" ref="AG26" si="207">AND($G26="S-Curve")*FQ26+($G26&lt;&gt;"S-Curve")*AND(AG$22&gt;=$E26,AG$22&lt;=$F26)*$K26/($F26-$E26+1)</f>
        <v>0</v>
      </c>
      <c r="AH26" s="91">
        <f t="shared" ref="AH26" si="208">AND($G26="S-Curve")*FR26+($G26&lt;&gt;"S-Curve")*AND(AH$22&gt;=$E26,AH$22&lt;=$F26)*$K26/($F26-$E26+1)</f>
        <v>0</v>
      </c>
      <c r="AI26" s="91">
        <f t="shared" ref="AI26" si="209">AND($G26="S-Curve")*FS26+($G26&lt;&gt;"S-Curve")*AND(AI$22&gt;=$E26,AI$22&lt;=$F26)*$K26/($F26-$E26+1)</f>
        <v>0</v>
      </c>
      <c r="AJ26" s="91">
        <f t="shared" ref="AJ26" si="210">AND($G26="S-Curve")*FT26+($G26&lt;&gt;"S-Curve")*AND(AJ$22&gt;=$E26,AJ$22&lt;=$F26)*$K26/($F26-$E26+1)</f>
        <v>0</v>
      </c>
      <c r="AK26" s="91">
        <f t="shared" ref="AK26" si="211">AND($G26="S-Curve")*FU26+($G26&lt;&gt;"S-Curve")*AND(AK$22&gt;=$E26,AK$22&lt;=$F26)*$K26/($F26-$E26+1)</f>
        <v>0</v>
      </c>
      <c r="AL26" s="91">
        <f t="shared" ref="AL26" si="212">AND($G26="S-Curve")*FV26+($G26&lt;&gt;"S-Curve")*AND(AL$22&gt;=$E26,AL$22&lt;=$F26)*$K26/($F26-$E26+1)</f>
        <v>0</v>
      </c>
      <c r="AM26" s="91">
        <f t="shared" ref="AM26" si="213">AND($G26="S-Curve")*FW26+($G26&lt;&gt;"S-Curve")*AND(AM$22&gt;=$E26,AM$22&lt;=$F26)*$K26/($F26-$E26+1)</f>
        <v>0</v>
      </c>
      <c r="AN26" s="91">
        <f t="shared" ref="AN26" si="214">AND($G26="S-Curve")*FX26+($G26&lt;&gt;"S-Curve")*AND(AN$22&gt;=$E26,AN$22&lt;=$F26)*$K26/($F26-$E26+1)</f>
        <v>0</v>
      </c>
      <c r="AO26" s="91">
        <f t="shared" ref="AO26" si="215">AND($G26="S-Curve")*FY26+($G26&lt;&gt;"S-Curve")*AND(AO$22&gt;=$E26,AO$22&lt;=$F26)*$K26/($F26-$E26+1)</f>
        <v>0</v>
      </c>
      <c r="AP26" s="91">
        <f t="shared" ref="AP26" si="216">AND($G26="S-Curve")*FZ26+($G26&lt;&gt;"S-Curve")*AND(AP$22&gt;=$E26,AP$22&lt;=$F26)*$K26/($F26-$E26+1)</f>
        <v>0</v>
      </c>
      <c r="AQ26" s="91">
        <f t="shared" ref="AQ26" si="217">AND($G26="S-Curve")*GA26+($G26&lt;&gt;"S-Curve")*AND(AQ$22&gt;=$E26,AQ$22&lt;=$F26)*$K26/($F26-$E26+1)</f>
        <v>0</v>
      </c>
      <c r="AR26" s="91">
        <f t="shared" ref="AR26" si="218">AND($G26="S-Curve")*GB26+($G26&lt;&gt;"S-Curve")*AND(AR$22&gt;=$E26,AR$22&lt;=$F26)*$K26/($F26-$E26+1)</f>
        <v>0</v>
      </c>
      <c r="AS26" s="91">
        <f t="shared" ref="AS26" si="219">AND($G26="S-Curve")*GC26+($G26&lt;&gt;"S-Curve")*AND(AS$22&gt;=$E26,AS$22&lt;=$F26)*$K26/($F26-$E26+1)</f>
        <v>0</v>
      </c>
      <c r="AT26" s="91">
        <f t="shared" ref="AT26" si="220">AND($G26="S-Curve")*GD26+($G26&lt;&gt;"S-Curve")*AND(AT$22&gt;=$E26,AT$22&lt;=$F26)*$K26/($F26-$E26+1)</f>
        <v>0</v>
      </c>
      <c r="AU26" s="91">
        <f t="shared" ref="AU26" si="221">AND($G26="S-Curve")*GE26+($G26&lt;&gt;"S-Curve")*AND(AU$22&gt;=$E26,AU$22&lt;=$F26)*$K26/($F26-$E26+1)</f>
        <v>0</v>
      </c>
      <c r="AV26" s="91">
        <f t="shared" ref="AV26" si="222">AND($G26="S-Curve")*GF26+($G26&lt;&gt;"S-Curve")*AND(AV$22&gt;=$E26,AV$22&lt;=$F26)*$K26/($F26-$E26+1)</f>
        <v>0</v>
      </c>
      <c r="AW26" s="91">
        <f t="shared" ref="AW26" si="223">AND($G26="S-Curve")*GG26+($G26&lt;&gt;"S-Curve")*AND(AW$22&gt;=$E26,AW$22&lt;=$F26)*$K26/($F26-$E26+1)</f>
        <v>0</v>
      </c>
      <c r="AX26" s="91">
        <f t="shared" ref="AX26" si="224">AND($G26="S-Curve")*GH26+($G26&lt;&gt;"S-Curve")*AND(AX$22&gt;=$E26,AX$22&lt;=$F26)*$K26/($F26-$E26+1)</f>
        <v>0</v>
      </c>
      <c r="AY26" s="91">
        <f t="shared" ref="AY26" si="225">AND($G26="S-Curve")*GI26+($G26&lt;&gt;"S-Curve")*AND(AY$22&gt;=$E26,AY$22&lt;=$F26)*$K26/($F26-$E26+1)</f>
        <v>0</v>
      </c>
      <c r="AZ26" s="91">
        <f t="shared" ref="AZ26" si="226">AND($G26="S-Curve")*GJ26+($G26&lt;&gt;"S-Curve")*AND(AZ$22&gt;=$E26,AZ$22&lt;=$F26)*$K26/($F26-$E26+1)</f>
        <v>0</v>
      </c>
      <c r="BA26" s="91">
        <f t="shared" ref="BA26" si="227">AND($G26="S-Curve")*GK26+($G26&lt;&gt;"S-Curve")*AND(BA$22&gt;=$E26,BA$22&lt;=$F26)*$K26/($F26-$E26+1)</f>
        <v>0</v>
      </c>
      <c r="BB26" s="91">
        <f t="shared" ref="BB26" si="228">AND($G26="S-Curve")*GL26+($G26&lt;&gt;"S-Curve")*AND(BB$22&gt;=$E26,BB$22&lt;=$F26)*$K26/($F26-$E26+1)</f>
        <v>0</v>
      </c>
      <c r="BC26" s="91">
        <f t="shared" ref="BC26" si="229">AND($G26="S-Curve")*GM26+($G26&lt;&gt;"S-Curve")*AND(BC$22&gt;=$E26,BC$22&lt;=$F26)*$K26/($F26-$E26+1)</f>
        <v>0</v>
      </c>
      <c r="BD26" s="91">
        <f t="shared" ref="BD26" si="230">AND($G26="S-Curve")*GN26+($G26&lt;&gt;"S-Curve")*AND(BD$22&gt;=$E26,BD$22&lt;=$F26)*$K26/($F26-$E26+1)</f>
        <v>0</v>
      </c>
      <c r="BE26" s="91">
        <f t="shared" ref="BE26" si="231">AND($G26="S-Curve")*GO26+($G26&lt;&gt;"S-Curve")*AND(BE$22&gt;=$E26,BE$22&lt;=$F26)*$K26/($F26-$E26+1)</f>
        <v>0</v>
      </c>
      <c r="BF26" s="91">
        <f t="shared" ref="BF26" si="232">AND($G26="S-Curve")*GP26+($G26&lt;&gt;"S-Curve")*AND(BF$22&gt;=$E26,BF$22&lt;=$F26)*$K26/($F26-$E26+1)</f>
        <v>0</v>
      </c>
      <c r="BG26" s="91">
        <f t="shared" ref="BG26" si="233">AND($G26="S-Curve")*GQ26+($G26&lt;&gt;"S-Curve")*AND(BG$22&gt;=$E26,BG$22&lt;=$F26)*$K26/($F26-$E26+1)</f>
        <v>0</v>
      </c>
      <c r="BH26" s="91">
        <f t="shared" ref="BH26" si="234">AND($G26="S-Curve")*GR26+($G26&lt;&gt;"S-Curve")*AND(BH$22&gt;=$E26,BH$22&lt;=$F26)*$K26/($F26-$E26+1)</f>
        <v>0</v>
      </c>
      <c r="BI26" s="91">
        <f t="shared" ref="BI26" si="235">AND($G26="S-Curve")*GS26+($G26&lt;&gt;"S-Curve")*AND(BI$22&gt;=$E26,BI$22&lt;=$F26)*$K26/($F26-$E26+1)</f>
        <v>0</v>
      </c>
      <c r="BJ26" s="91">
        <f t="shared" ref="BJ26" si="236">AND($G26="S-Curve")*GT26+($G26&lt;&gt;"S-Curve")*AND(BJ$22&gt;=$E26,BJ$22&lt;=$F26)*$K26/($F26-$E26+1)</f>
        <v>0</v>
      </c>
      <c r="BK26" s="91">
        <f t="shared" ref="BK26" si="237">AND($G26="S-Curve")*GU26+($G26&lt;&gt;"S-Curve")*AND(BK$22&gt;=$E26,BK$22&lt;=$F26)*$K26/($F26-$E26+1)</f>
        <v>0</v>
      </c>
      <c r="BL26" s="91">
        <f t="shared" ref="BL26" si="238">AND($G26="S-Curve")*GV26+($G26&lt;&gt;"S-Curve")*AND(BL$22&gt;=$E26,BL$22&lt;=$F26)*$K26/($F26-$E26+1)</f>
        <v>0</v>
      </c>
      <c r="BM26" s="91">
        <f t="shared" ref="BM26" si="239">AND($G26="S-Curve")*GW26+($G26&lt;&gt;"S-Curve")*AND(BM$22&gt;=$E26,BM$22&lt;=$F26)*$K26/($F26-$E26+1)</f>
        <v>0</v>
      </c>
      <c r="BN26" s="91">
        <f t="shared" ref="BN26" si="240">AND($G26="S-Curve")*GX26+($G26&lt;&gt;"S-Curve")*AND(BN$22&gt;=$E26,BN$22&lt;=$F26)*$K26/($F26-$E26+1)</f>
        <v>0</v>
      </c>
      <c r="BO26" s="91">
        <f t="shared" ref="BO26" si="241">AND($G26="S-Curve")*GY26+($G26&lt;&gt;"S-Curve")*AND(BO$22&gt;=$E26,BO$22&lt;=$F26)*$K26/($F26-$E26+1)</f>
        <v>0</v>
      </c>
      <c r="BP26" s="91">
        <f t="shared" ref="BP26" si="242">AND($G26="S-Curve")*GZ26+($G26&lt;&gt;"S-Curve")*AND(BP$22&gt;=$E26,BP$22&lt;=$F26)*$K26/($F26-$E26+1)</f>
        <v>0</v>
      </c>
      <c r="BQ26" s="91">
        <f t="shared" ref="BQ26" si="243">AND($G26="S-Curve")*HA26+($G26&lt;&gt;"S-Curve")*AND(BQ$22&gt;=$E26,BQ$22&lt;=$F26)*$K26/($F26-$E26+1)</f>
        <v>0</v>
      </c>
      <c r="BR26" s="91">
        <f t="shared" ref="BR26" si="244">AND($G26="S-Curve")*HB26+($G26&lt;&gt;"S-Curve")*AND(BR$22&gt;=$E26,BR$22&lt;=$F26)*$K26/($F26-$E26+1)</f>
        <v>0</v>
      </c>
      <c r="BS26" s="91">
        <f t="shared" ref="BS26" si="245">AND($G26="S-Curve")*HC26+($G26&lt;&gt;"S-Curve")*AND(BS$22&gt;=$E26,BS$22&lt;=$F26)*$K26/($F26-$E26+1)</f>
        <v>0</v>
      </c>
      <c r="BT26" s="91">
        <f t="shared" ref="BT26" si="246">AND($G26="S-Curve")*HD26+($G26&lt;&gt;"S-Curve")*AND(BT$22&gt;=$E26,BT$22&lt;=$F26)*$K26/($F26-$E26+1)</f>
        <v>0</v>
      </c>
      <c r="BU26" s="91">
        <f t="shared" ref="BU26" si="247">AND($G26="S-Curve")*HE26+($G26&lt;&gt;"S-Curve")*AND(BU$22&gt;=$E26,BU$22&lt;=$F26)*$K26/($F26-$E26+1)</f>
        <v>0</v>
      </c>
      <c r="BV26" s="91">
        <f t="shared" ref="BV26" si="248">AND($G26="S-Curve")*HF26+($G26&lt;&gt;"S-Curve")*AND(BV$22&gt;=$E26,BV$22&lt;=$F26)*$K26/($F26-$E26+1)</f>
        <v>0</v>
      </c>
      <c r="BW26" s="91">
        <f t="shared" ref="BW26" si="249">AND($G26="S-Curve")*HG26+($G26&lt;&gt;"S-Curve")*AND(BW$22&gt;=$E26,BW$22&lt;=$F26)*$K26/($F26-$E26+1)</f>
        <v>0</v>
      </c>
      <c r="BX26" s="91">
        <f t="shared" ref="BX26" si="250">AND($G26="S-Curve")*HH26+($G26&lt;&gt;"S-Curve")*AND(BX$22&gt;=$E26,BX$22&lt;=$F26)*$K26/($F26-$E26+1)</f>
        <v>0</v>
      </c>
      <c r="BY26" s="91">
        <f t="shared" ref="BY26" si="251">AND($G26="S-Curve")*HI26+($G26&lt;&gt;"S-Curve")*AND(BY$22&gt;=$E26,BY$22&lt;=$F26)*$K26/($F26-$E26+1)</f>
        <v>0</v>
      </c>
      <c r="BZ26" s="91">
        <f t="shared" ref="BZ26" si="252">AND($G26="S-Curve")*HJ26+($G26&lt;&gt;"S-Curve")*AND(BZ$22&gt;=$E26,BZ$22&lt;=$F26)*$K26/($F26-$E26+1)</f>
        <v>0</v>
      </c>
      <c r="CA26" s="91">
        <f t="shared" ref="CA26" si="253">AND($G26="S-Curve")*HK26+($G26&lt;&gt;"S-Curve")*AND(CA$22&gt;=$E26,CA$22&lt;=$F26)*$K26/($F26-$E26+1)</f>
        <v>0</v>
      </c>
      <c r="CB26" s="91">
        <f t="shared" ref="CB26" si="254">AND($G26="S-Curve")*HL26+($G26&lt;&gt;"S-Curve")*AND(CB$22&gt;=$E26,CB$22&lt;=$F26)*$K26/($F26-$E26+1)</f>
        <v>0</v>
      </c>
      <c r="CC26" s="91">
        <f t="shared" ref="CC26" si="255">AND($G26="S-Curve")*HM26+($G26&lt;&gt;"S-Curve")*AND(CC$22&gt;=$E26,CC$22&lt;=$F26)*$K26/($F26-$E26+1)</f>
        <v>0</v>
      </c>
      <c r="CD26" s="91">
        <f t="shared" ref="CD26" si="256">AND($G26="S-Curve")*HN26+($G26&lt;&gt;"S-Curve")*AND(CD$22&gt;=$E26,CD$22&lt;=$F26)*$K26/($F26-$E26+1)</f>
        <v>0</v>
      </c>
      <c r="CE26" s="91">
        <f t="shared" ref="CE26" si="257">AND($G26="S-Curve")*HO26+($G26&lt;&gt;"S-Curve")*AND(CE$22&gt;=$E26,CE$22&lt;=$F26)*$K26/($F26-$E26+1)</f>
        <v>0</v>
      </c>
      <c r="CF26" s="91">
        <f t="shared" ref="CF26" si="258">AND($G26="S-Curve")*HP26+($G26&lt;&gt;"S-Curve")*AND(CF$22&gt;=$E26,CF$22&lt;=$F26)*$K26/($F26-$E26+1)</f>
        <v>0</v>
      </c>
      <c r="CG26" s="91">
        <f t="shared" ref="CG26" si="259">AND($G26="S-Curve")*HQ26+($G26&lt;&gt;"S-Curve")*AND(CG$22&gt;=$E26,CG$22&lt;=$F26)*$K26/($F26-$E26+1)</f>
        <v>0</v>
      </c>
      <c r="CH26" s="91">
        <f t="shared" ref="CH26" si="260">AND($G26="S-Curve")*HR26+($G26&lt;&gt;"S-Curve")*AND(CH$22&gt;=$E26,CH$22&lt;=$F26)*$K26/($F26-$E26+1)</f>
        <v>0</v>
      </c>
      <c r="CI26" s="91">
        <f t="shared" ref="CI26" si="261">AND($G26="S-Curve")*HS26+($G26&lt;&gt;"S-Curve")*AND(CI$22&gt;=$E26,CI$22&lt;=$F26)*$K26/($F26-$E26+1)</f>
        <v>0</v>
      </c>
      <c r="CJ26" s="91">
        <f t="shared" ref="CJ26" si="262">AND($G26="S-Curve")*HT26+($G26&lt;&gt;"S-Curve")*AND(CJ$22&gt;=$E26,CJ$22&lt;=$F26)*$K26/($F26-$E26+1)</f>
        <v>0</v>
      </c>
      <c r="CK26" s="91">
        <f t="shared" ref="CK26" si="263">AND($G26="S-Curve")*HU26+($G26&lt;&gt;"S-Curve")*AND(CK$22&gt;=$E26,CK$22&lt;=$F26)*$K26/($F26-$E26+1)</f>
        <v>0</v>
      </c>
      <c r="CL26" s="91">
        <f t="shared" ref="CL26" si="264">AND($G26="S-Curve")*HV26+($G26&lt;&gt;"S-Curve")*AND(CL$22&gt;=$E26,CL$22&lt;=$F26)*$K26/($F26-$E26+1)</f>
        <v>0</v>
      </c>
      <c r="CM26" s="91">
        <f t="shared" ref="CM26" si="265">AND($G26="S-Curve")*HW26+($G26&lt;&gt;"S-Curve")*AND(CM$22&gt;=$E26,CM$22&lt;=$F26)*$K26/($F26-$E26+1)</f>
        <v>0</v>
      </c>
      <c r="CN26" s="91">
        <f t="shared" ref="CN26" si="266">AND($G26="S-Curve")*HX26+($G26&lt;&gt;"S-Curve")*AND(CN$22&gt;=$E26,CN$22&lt;=$F26)*$K26/($F26-$E26+1)</f>
        <v>0</v>
      </c>
      <c r="CO26" s="91">
        <f t="shared" ref="CO26" si="267">AND($G26="S-Curve")*HY26+($G26&lt;&gt;"S-Curve")*AND(CO$22&gt;=$E26,CO$22&lt;=$F26)*$K26/($F26-$E26+1)</f>
        <v>0</v>
      </c>
      <c r="CP26" s="91">
        <f t="shared" ref="CP26" si="268">AND($G26="S-Curve")*HZ26+($G26&lt;&gt;"S-Curve")*AND(CP$22&gt;=$E26,CP$22&lt;=$F26)*$K26/($F26-$E26+1)</f>
        <v>0</v>
      </c>
      <c r="CQ26" s="91">
        <f t="shared" ref="CQ26" si="269">AND($G26="S-Curve")*IA26+($G26&lt;&gt;"S-Curve")*AND(CQ$22&gt;=$E26,CQ$22&lt;=$F26)*$K26/($F26-$E26+1)</f>
        <v>0</v>
      </c>
      <c r="CR26" s="91">
        <f t="shared" ref="CR26" si="270">AND($G26="S-Curve")*IB26+($G26&lt;&gt;"S-Curve")*AND(CR$22&gt;=$E26,CR$22&lt;=$F26)*$K26/($F26-$E26+1)</f>
        <v>0</v>
      </c>
      <c r="CS26" s="91">
        <f t="shared" ref="CS26" si="271">AND($G26="S-Curve")*IC26+($G26&lt;&gt;"S-Curve")*AND(CS$22&gt;=$E26,CS$22&lt;=$F26)*$K26/($F26-$E26+1)</f>
        <v>0</v>
      </c>
      <c r="CT26" s="91">
        <f t="shared" ref="CT26" si="272">AND($G26="S-Curve")*ID26+($G26&lt;&gt;"S-Curve")*AND(CT$22&gt;=$E26,CT$22&lt;=$F26)*$K26/($F26-$E26+1)</f>
        <v>0</v>
      </c>
      <c r="CU26" s="91">
        <f t="shared" ref="CU26" si="273">AND($G26="S-Curve")*IE26+($G26&lt;&gt;"S-Curve")*AND(CU$22&gt;=$E26,CU$22&lt;=$F26)*$K26/($F26-$E26+1)</f>
        <v>0</v>
      </c>
      <c r="CV26" s="91">
        <f t="shared" ref="CV26" si="274">AND($G26="S-Curve")*IF26+($G26&lt;&gt;"S-Curve")*AND(CV$22&gt;=$E26,CV$22&lt;=$F26)*$K26/($F26-$E26+1)</f>
        <v>0</v>
      </c>
      <c r="CW26" s="91">
        <f t="shared" ref="CW26" si="275">AND($G26="S-Curve")*IG26+($G26&lt;&gt;"S-Curve")*AND(CW$22&gt;=$E26,CW$22&lt;=$F26)*$K26/($F26-$E26+1)</f>
        <v>0</v>
      </c>
      <c r="CX26" s="91">
        <f t="shared" ref="CX26" si="276">AND($G26="S-Curve")*IH26+($G26&lt;&gt;"S-Curve")*AND(CX$22&gt;=$E26,CX$22&lt;=$F26)*$K26/($F26-$E26+1)</f>
        <v>0</v>
      </c>
      <c r="CY26" s="91">
        <f t="shared" ref="CY26" si="277">AND($G26="S-Curve")*II26+($G26&lt;&gt;"S-Curve")*AND(CY$22&gt;=$E26,CY$22&lt;=$F26)*$K26/($F26-$E26+1)</f>
        <v>0</v>
      </c>
      <c r="CZ26" s="91">
        <f t="shared" ref="CZ26" si="278">AND($G26="S-Curve")*IJ26+($G26&lt;&gt;"S-Curve")*AND(CZ$22&gt;=$E26,CZ$22&lt;=$F26)*$K26/($F26-$E26+1)</f>
        <v>0</v>
      </c>
      <c r="DA26" s="91">
        <f t="shared" ref="DA26" si="279">AND($G26="S-Curve")*IK26+($G26&lt;&gt;"S-Curve")*AND(DA$22&gt;=$E26,DA$22&lt;=$F26)*$K26/($F26-$E26+1)</f>
        <v>0</v>
      </c>
      <c r="DB26" s="91">
        <f t="shared" ref="DB26" si="280">AND($G26="S-Curve")*IL26+($G26&lt;&gt;"S-Curve")*AND(DB$22&gt;=$E26,DB$22&lt;=$F26)*$K26/($F26-$E26+1)</f>
        <v>0</v>
      </c>
      <c r="DC26" s="91">
        <f t="shared" ref="DC26" si="281">AND($G26="S-Curve")*IM26+($G26&lt;&gt;"S-Curve")*AND(DC$22&gt;=$E26,DC$22&lt;=$F26)*$K26/($F26-$E26+1)</f>
        <v>0</v>
      </c>
      <c r="DD26" s="91">
        <f t="shared" ref="DD26" si="282">AND($G26="S-Curve")*IN26+($G26&lt;&gt;"S-Curve")*AND(DD$22&gt;=$E26,DD$22&lt;=$F26)*$K26/($F26-$E26+1)</f>
        <v>0</v>
      </c>
      <c r="DE26" s="91">
        <f t="shared" ref="DE26" si="283">AND($G26="S-Curve")*IO26+($G26&lt;&gt;"S-Curve")*AND(DE$22&gt;=$E26,DE$22&lt;=$F26)*$K26/($F26-$E26+1)</f>
        <v>0</v>
      </c>
      <c r="DF26" s="91">
        <f t="shared" ref="DF26" si="284">AND($G26="S-Curve")*IP26+($G26&lt;&gt;"S-Curve")*AND(DF$22&gt;=$E26,DF$22&lt;=$F26)*$K26/($F26-$E26+1)</f>
        <v>0</v>
      </c>
      <c r="DG26" s="91">
        <f t="shared" ref="DG26" si="285">AND($G26="S-Curve")*IQ26+($G26&lt;&gt;"S-Curve")*AND(DG$22&gt;=$E26,DG$22&lt;=$F26)*$K26/($F26-$E26+1)</f>
        <v>0</v>
      </c>
      <c r="DH26" s="91">
        <f t="shared" ref="DH26" si="286">AND($G26="S-Curve")*IR26+($G26&lt;&gt;"S-Curve")*AND(DH$22&gt;=$E26,DH$22&lt;=$F26)*$K26/($F26-$E26+1)</f>
        <v>0</v>
      </c>
      <c r="DI26" s="91">
        <f t="shared" ref="DI26" si="287">AND($G26="S-Curve")*IS26+($G26&lt;&gt;"S-Curve")*AND(DI$22&gt;=$E26,DI$22&lt;=$F26)*$K26/($F26-$E26+1)</f>
        <v>0</v>
      </c>
      <c r="DJ26" s="91">
        <f t="shared" ref="DJ26" si="288">AND($G26="S-Curve")*IT26+($G26&lt;&gt;"S-Curve")*AND(DJ$22&gt;=$E26,DJ$22&lt;=$F26)*$K26/($F26-$E26+1)</f>
        <v>0</v>
      </c>
      <c r="DK26" s="91">
        <f t="shared" ref="DK26" si="289">AND($G26="S-Curve")*IU26+($G26&lt;&gt;"S-Curve")*AND(DK$22&gt;=$E26,DK$22&lt;=$F26)*$K26/($F26-$E26+1)</f>
        <v>0</v>
      </c>
      <c r="DL26" s="91">
        <f t="shared" ref="DL26" si="290">AND($G26="S-Curve")*IV26+($G26&lt;&gt;"S-Curve")*AND(DL$22&gt;=$E26,DL$22&lt;=$F26)*$K26/($F26-$E26+1)</f>
        <v>0</v>
      </c>
      <c r="DM26" s="91">
        <f t="shared" ref="DM26" si="291">AND($G26="S-Curve")*IW26+($G26&lt;&gt;"S-Curve")*AND(DM$22&gt;=$E26,DM$22&lt;=$F26)*$K26/($F26-$E26+1)</f>
        <v>0</v>
      </c>
      <c r="DN26" s="91">
        <f t="shared" ref="DN26" si="292">AND($G26="S-Curve")*IX26+($G26&lt;&gt;"S-Curve")*AND(DN$22&gt;=$E26,DN$22&lt;=$F26)*$K26/($F26-$E26+1)</f>
        <v>0</v>
      </c>
      <c r="DO26" s="91">
        <f t="shared" ref="DO26" si="293">AND($G26="S-Curve")*IY26+($G26&lt;&gt;"S-Curve")*AND(DO$22&gt;=$E26,DO$22&lt;=$F26)*$K26/($F26-$E26+1)</f>
        <v>0</v>
      </c>
      <c r="DP26" s="91">
        <f t="shared" ref="DP26" si="294">AND($G26="S-Curve")*IZ26+($G26&lt;&gt;"S-Curve")*AND(DP$22&gt;=$E26,DP$22&lt;=$F26)*$K26/($F26-$E26+1)</f>
        <v>0</v>
      </c>
      <c r="DQ26" s="91">
        <f t="shared" ref="DQ26" si="295">AND($G26="S-Curve")*JA26+($G26&lt;&gt;"S-Curve")*AND(DQ$22&gt;=$E26,DQ$22&lt;=$F26)*$K26/($F26-$E26+1)</f>
        <v>0</v>
      </c>
      <c r="DR26" s="91">
        <f t="shared" ref="DR26" si="296">AND($G26="S-Curve")*JB26+($G26&lt;&gt;"S-Curve")*AND(DR$22&gt;=$E26,DR$22&lt;=$F26)*$K26/($F26-$E26+1)</f>
        <v>0</v>
      </c>
      <c r="DS26" s="91">
        <f t="shared" ref="DS26" si="297">AND($G26="S-Curve")*JC26+($G26&lt;&gt;"S-Curve")*AND(DS$22&gt;=$E26,DS$22&lt;=$F26)*$K26/($F26-$E26+1)</f>
        <v>0</v>
      </c>
      <c r="DT26" s="91">
        <f t="shared" ref="DT26" si="298">AND($G26="S-Curve")*JD26+($G26&lt;&gt;"S-Curve")*AND(DT$22&gt;=$E26,DT$22&lt;=$F26)*$K26/($F26-$E26+1)</f>
        <v>0</v>
      </c>
      <c r="DU26" s="91">
        <f t="shared" ref="DU26" si="299">AND($G26="S-Curve")*JE26+($G26&lt;&gt;"S-Curve")*AND(DU$22&gt;=$E26,DU$22&lt;=$F26)*$K26/($F26-$E26+1)</f>
        <v>0</v>
      </c>
      <c r="DV26" s="91">
        <f t="shared" ref="DV26" si="300">AND($G26="S-Curve")*JF26+($G26&lt;&gt;"S-Curve")*AND(DV$22&gt;=$E26,DV$22&lt;=$F26)*$K26/($F26-$E26+1)</f>
        <v>0</v>
      </c>
      <c r="DW26" s="91">
        <f t="shared" ref="DW26" si="301">AND($G26="S-Curve")*JG26+($G26&lt;&gt;"S-Curve")*AND(DW$22&gt;=$E26,DW$22&lt;=$F26)*$K26/($F26-$E26+1)</f>
        <v>0</v>
      </c>
      <c r="DX26" s="91">
        <f t="shared" ref="DX26" si="302">AND($G26="S-Curve")*JH26+($G26&lt;&gt;"S-Curve")*AND(DX$22&gt;=$E26,DX$22&lt;=$F26)*$K26/($F26-$E26+1)</f>
        <v>0</v>
      </c>
      <c r="DY26" s="91">
        <f t="shared" ref="DY26" si="303">AND($G26="S-Curve")*JI26+($G26&lt;&gt;"S-Curve")*AND(DY$22&gt;=$E26,DY$22&lt;=$F26)*$K26/($F26-$E26+1)</f>
        <v>0</v>
      </c>
      <c r="DZ26" s="91">
        <f t="shared" ref="DZ26" si="304">AND($G26="S-Curve")*JJ26+($G26&lt;&gt;"S-Curve")*AND(DZ$22&gt;=$E26,DZ$22&lt;=$F26)*$K26/($F26-$E26+1)</f>
        <v>0</v>
      </c>
      <c r="EA26" s="91">
        <f t="shared" ref="EA26" si="305">AND($G26="S-Curve")*JK26+($G26&lt;&gt;"S-Curve")*AND(EA$22&gt;=$E26,EA$22&lt;=$F26)*$K26/($F26-$E26+1)</f>
        <v>0</v>
      </c>
      <c r="EB26" s="91">
        <f t="shared" ref="EB26" si="306">AND($G26="S-Curve")*JL26+($G26&lt;&gt;"S-Curve")*AND(EB$22&gt;=$E26,EB$22&lt;=$F26)*$K26/($F26-$E26+1)</f>
        <v>0</v>
      </c>
      <c r="EC26" s="91">
        <f t="shared" ref="EC26" si="307">AND($G26="S-Curve")*JM26+($G26&lt;&gt;"S-Curve")*AND(EC$22&gt;=$E26,EC$22&lt;=$F26)*$K26/($F26-$E26+1)</f>
        <v>0</v>
      </c>
      <c r="ED26" s="91">
        <f t="shared" ref="ED26" si="308">AND($G26="S-Curve")*JN26+($G26&lt;&gt;"S-Curve")*AND(ED$22&gt;=$E26,ED$22&lt;=$F26)*$K26/($F26-$E26+1)</f>
        <v>0</v>
      </c>
      <c r="EE26" s="91">
        <f t="shared" ref="EE26" si="309">AND($G26="S-Curve")*JO26+($G26&lt;&gt;"S-Curve")*AND(EE$22&gt;=$E26,EE$22&lt;=$F26)*$K26/($F26-$E26+1)</f>
        <v>0</v>
      </c>
      <c r="EF26" s="91">
        <f t="shared" ref="EF26" si="310">AND($G26="S-Curve")*JP26+($G26&lt;&gt;"S-Curve")*AND(EF$22&gt;=$E26,EF$22&lt;=$F26)*$K26/($F26-$E26+1)</f>
        <v>0</v>
      </c>
      <c r="EG26" s="91">
        <f t="shared" ref="EG26" si="311">AND($G26="S-Curve")*JQ26+($G26&lt;&gt;"S-Curve")*AND(EG$22&gt;=$E26,EG$22&lt;=$F26)*$K26/($F26-$E26+1)</f>
        <v>0</v>
      </c>
      <c r="EH26" s="91">
        <f t="shared" ref="EH26" si="312">AND($G26="S-Curve")*JR26+($G26&lt;&gt;"S-Curve")*AND(EH$22&gt;=$E26,EH$22&lt;=$F26)*$K26/($F26-$E26+1)</f>
        <v>0</v>
      </c>
      <c r="EI26" s="91">
        <f t="shared" ref="EI26" si="313">AND($G26="S-Curve")*JS26+($G26&lt;&gt;"S-Curve")*AND(EI$22&gt;=$E26,EI$22&lt;=$F26)*$K26/($F26-$E26+1)</f>
        <v>0</v>
      </c>
      <c r="EJ26" s="91">
        <f t="shared" ref="EJ26" si="314">AND($G26="S-Curve")*JT26+($G26&lt;&gt;"S-Curve")*AND(EJ$22&gt;=$E26,EJ$22&lt;=$F26)*$K26/($F26-$E26+1)</f>
        <v>0</v>
      </c>
      <c r="EK26" s="91">
        <f t="shared" ref="EK26" si="315">AND($G26="S-Curve")*JU26+($G26&lt;&gt;"S-Curve")*AND(EK$22&gt;=$E26,EK$22&lt;=$F26)*$K26/($F26-$E26+1)</f>
        <v>0</v>
      </c>
      <c r="EL26" s="91">
        <f t="shared" ref="EL26" si="316">AND($G26="S-Curve")*JV26+($G26&lt;&gt;"S-Curve")*AND(EL$22&gt;=$E26,EL$22&lt;=$F26)*$K26/($F26-$E26+1)</f>
        <v>0</v>
      </c>
      <c r="EM26" s="91">
        <f t="shared" ref="EM26" si="317">AND($G26="S-Curve")*JW26+($G26&lt;&gt;"S-Curve")*AND(EM$22&gt;=$E26,EM$22&lt;=$F26)*$K26/($F26-$E26+1)</f>
        <v>0</v>
      </c>
      <c r="EN26" s="91">
        <f t="shared" ref="EN26" si="318">AND($G26="S-Curve")*JX26+($G26&lt;&gt;"S-Curve")*AND(EN$22&gt;=$E26,EN$22&lt;=$F26)*$K26/($F26-$E26+1)</f>
        <v>0</v>
      </c>
      <c r="EO26" s="91">
        <f t="shared" ref="EO26" si="319">AND($G26="S-Curve")*JY26+($G26&lt;&gt;"S-Curve")*AND(EO$22&gt;=$E26,EO$22&lt;=$F26)*$K26/($F26-$E26+1)</f>
        <v>0</v>
      </c>
      <c r="EP26" s="91">
        <f t="shared" ref="EP26" si="320">AND($G26="S-Curve")*JZ26+($G26&lt;&gt;"S-Curve")*AND(EP$22&gt;=$E26,EP$22&lt;=$F26)*$K26/($F26-$E26+1)</f>
        <v>0</v>
      </c>
      <c r="EQ26" s="91">
        <f t="shared" ref="EQ26" si="321">AND($G26="S-Curve")*KA26+($G26&lt;&gt;"S-Curve")*AND(EQ$22&gt;=$E26,EQ$22&lt;=$F26)*$K26/($F26-$E26+1)</f>
        <v>0</v>
      </c>
      <c r="ER26" s="91">
        <f t="shared" ref="ER26" si="322">AND($G26="S-Curve")*KB26+($G26&lt;&gt;"S-Curve")*AND(ER$22&gt;=$E26,ER$22&lt;=$F26)*$K26/($F26-$E26+1)</f>
        <v>0</v>
      </c>
      <c r="ES26" s="91">
        <f t="shared" ref="ES26" si="323">AND($G26="S-Curve")*KC26+($G26&lt;&gt;"S-Curve")*AND(ES$22&gt;=$E26,ES$22&lt;=$F26)*$K26/($F26-$E26+1)</f>
        <v>0</v>
      </c>
      <c r="ET26" s="91">
        <f t="shared" ref="ET26" si="324">AND($G26="S-Curve")*KD26+($G26&lt;&gt;"S-Curve")*AND(ET$22&gt;=$E26,ET$22&lt;=$F26)*$K26/($F26-$E26+1)</f>
        <v>0</v>
      </c>
      <c r="EU26" s="91">
        <f t="shared" ref="EU26" si="325">AND($G26="S-Curve")*KE26+($G26&lt;&gt;"S-Curve")*AND(EU$22&gt;=$E26,EU$22&lt;=$F26)*$K26/($F26-$E26+1)</f>
        <v>0</v>
      </c>
      <c r="EW26" s="207">
        <f>K26</f>
        <v>0</v>
      </c>
      <c r="EX26" s="208">
        <f t="shared" ref="EX26" si="326">INDEX($S$23:$EU$23,1,E26+1)</f>
        <v>46053</v>
      </c>
      <c r="EY26" s="208">
        <f t="shared" ref="EY26" si="327">INDEX($S$23:$EU$23,1,F26+1)</f>
        <v>46053</v>
      </c>
      <c r="EZ26" s="209">
        <f>F26-E26+1</f>
        <v>1</v>
      </c>
      <c r="FA26" s="210">
        <f>EZ26/6</f>
        <v>0.16666666666666666</v>
      </c>
      <c r="FC26" s="211">
        <f t="shared" si="178"/>
        <v>0</v>
      </c>
      <c r="FD26" s="211">
        <f t="shared" si="178"/>
        <v>0</v>
      </c>
      <c r="FE26" s="211">
        <f t="shared" si="178"/>
        <v>0</v>
      </c>
      <c r="FF26" s="211">
        <f t="shared" si="178"/>
        <v>0</v>
      </c>
      <c r="FG26" s="211">
        <f t="shared" si="178"/>
        <v>0</v>
      </c>
      <c r="FH26" s="211">
        <f t="shared" si="178"/>
        <v>0</v>
      </c>
      <c r="FI26" s="211">
        <f t="shared" si="178"/>
        <v>0</v>
      </c>
      <c r="FJ26" s="211">
        <f t="shared" si="178"/>
        <v>0</v>
      </c>
      <c r="FK26" s="211">
        <f t="shared" si="178"/>
        <v>0</v>
      </c>
      <c r="FL26" s="211">
        <f t="shared" si="178"/>
        <v>0</v>
      </c>
      <c r="FM26" s="211">
        <f t="shared" si="179"/>
        <v>0</v>
      </c>
      <c r="FN26" s="211">
        <f t="shared" si="179"/>
        <v>0</v>
      </c>
      <c r="FO26" s="211">
        <f t="shared" si="179"/>
        <v>0</v>
      </c>
      <c r="FP26" s="211">
        <f t="shared" si="179"/>
        <v>0</v>
      </c>
      <c r="FQ26" s="211">
        <f t="shared" si="179"/>
        <v>0</v>
      </c>
      <c r="FR26" s="211">
        <f t="shared" si="179"/>
        <v>0</v>
      </c>
      <c r="FS26" s="211">
        <f t="shared" si="179"/>
        <v>0</v>
      </c>
      <c r="FT26" s="211">
        <f t="shared" si="179"/>
        <v>0</v>
      </c>
      <c r="FU26" s="211">
        <f t="shared" si="179"/>
        <v>0</v>
      </c>
      <c r="FV26" s="211">
        <f t="shared" si="179"/>
        <v>0</v>
      </c>
      <c r="FW26" s="211">
        <f t="shared" si="180"/>
        <v>0</v>
      </c>
      <c r="FX26" s="211">
        <f t="shared" si="180"/>
        <v>0</v>
      </c>
      <c r="FY26" s="211">
        <f t="shared" si="180"/>
        <v>0</v>
      </c>
      <c r="FZ26" s="211">
        <f t="shared" si="180"/>
        <v>0</v>
      </c>
      <c r="GA26" s="211">
        <f t="shared" si="180"/>
        <v>0</v>
      </c>
      <c r="GB26" s="211">
        <f t="shared" si="180"/>
        <v>0</v>
      </c>
      <c r="GC26" s="211">
        <f t="shared" si="180"/>
        <v>0</v>
      </c>
      <c r="GD26" s="211">
        <f t="shared" si="180"/>
        <v>0</v>
      </c>
      <c r="GE26" s="211">
        <f t="shared" si="180"/>
        <v>0</v>
      </c>
      <c r="GF26" s="211">
        <f t="shared" si="180"/>
        <v>0</v>
      </c>
      <c r="GG26" s="211">
        <f t="shared" si="181"/>
        <v>0</v>
      </c>
      <c r="GH26" s="211">
        <f t="shared" si="181"/>
        <v>0</v>
      </c>
      <c r="GI26" s="211">
        <f t="shared" si="181"/>
        <v>0</v>
      </c>
      <c r="GJ26" s="211">
        <f t="shared" si="181"/>
        <v>0</v>
      </c>
      <c r="GK26" s="211">
        <f t="shared" si="181"/>
        <v>0</v>
      </c>
      <c r="GL26" s="211">
        <f t="shared" si="181"/>
        <v>0</v>
      </c>
      <c r="GM26" s="211">
        <f t="shared" si="181"/>
        <v>0</v>
      </c>
      <c r="GN26" s="211">
        <f t="shared" si="181"/>
        <v>0</v>
      </c>
      <c r="GO26" s="211">
        <f t="shared" si="181"/>
        <v>0</v>
      </c>
      <c r="GP26" s="211">
        <f t="shared" si="181"/>
        <v>0</v>
      </c>
      <c r="GQ26" s="211">
        <f t="shared" si="182"/>
        <v>0</v>
      </c>
      <c r="GR26" s="211">
        <f t="shared" si="182"/>
        <v>0</v>
      </c>
      <c r="GS26" s="211">
        <f t="shared" si="182"/>
        <v>0</v>
      </c>
      <c r="GT26" s="211">
        <f t="shared" si="182"/>
        <v>0</v>
      </c>
      <c r="GU26" s="211">
        <f t="shared" si="182"/>
        <v>0</v>
      </c>
      <c r="GV26" s="211">
        <f t="shared" si="182"/>
        <v>0</v>
      </c>
      <c r="GW26" s="211">
        <f t="shared" si="182"/>
        <v>0</v>
      </c>
      <c r="GX26" s="211">
        <f t="shared" si="182"/>
        <v>0</v>
      </c>
      <c r="GY26" s="211">
        <f t="shared" si="182"/>
        <v>0</v>
      </c>
      <c r="GZ26" s="211">
        <f t="shared" si="182"/>
        <v>0</v>
      </c>
      <c r="HA26" s="211">
        <f t="shared" si="183"/>
        <v>0</v>
      </c>
      <c r="HB26" s="211">
        <f t="shared" si="183"/>
        <v>0</v>
      </c>
      <c r="HC26" s="211">
        <f t="shared" si="183"/>
        <v>0</v>
      </c>
      <c r="HD26" s="211">
        <f t="shared" si="183"/>
        <v>0</v>
      </c>
      <c r="HE26" s="211">
        <f t="shared" si="183"/>
        <v>0</v>
      </c>
      <c r="HF26" s="211">
        <f t="shared" si="183"/>
        <v>0</v>
      </c>
      <c r="HG26" s="211">
        <f t="shared" si="183"/>
        <v>0</v>
      </c>
      <c r="HH26" s="211">
        <f t="shared" si="183"/>
        <v>0</v>
      </c>
      <c r="HI26" s="211">
        <f t="shared" si="183"/>
        <v>0</v>
      </c>
      <c r="HJ26" s="211">
        <f t="shared" si="183"/>
        <v>0</v>
      </c>
      <c r="HK26" s="211">
        <f t="shared" si="184"/>
        <v>0</v>
      </c>
      <c r="HL26" s="211">
        <f t="shared" si="184"/>
        <v>0</v>
      </c>
      <c r="HM26" s="211">
        <f t="shared" si="184"/>
        <v>0</v>
      </c>
      <c r="HN26" s="211">
        <f t="shared" si="184"/>
        <v>0</v>
      </c>
      <c r="HO26" s="211">
        <f t="shared" si="184"/>
        <v>0</v>
      </c>
      <c r="HP26" s="211">
        <f t="shared" si="184"/>
        <v>0</v>
      </c>
      <c r="HQ26" s="211">
        <f t="shared" si="184"/>
        <v>0</v>
      </c>
      <c r="HR26" s="211">
        <f t="shared" si="184"/>
        <v>0</v>
      </c>
      <c r="HS26" s="211">
        <f t="shared" si="184"/>
        <v>0</v>
      </c>
      <c r="HT26" s="211">
        <f t="shared" si="184"/>
        <v>0</v>
      </c>
      <c r="HU26" s="211">
        <f t="shared" si="185"/>
        <v>0</v>
      </c>
      <c r="HV26" s="211">
        <f t="shared" si="185"/>
        <v>0</v>
      </c>
      <c r="HW26" s="211">
        <f t="shared" si="185"/>
        <v>0</v>
      </c>
      <c r="HX26" s="211">
        <f t="shared" si="185"/>
        <v>0</v>
      </c>
      <c r="HY26" s="211">
        <f t="shared" si="185"/>
        <v>0</v>
      </c>
      <c r="HZ26" s="211">
        <f t="shared" si="185"/>
        <v>0</v>
      </c>
      <c r="IA26" s="211">
        <f t="shared" si="185"/>
        <v>0</v>
      </c>
      <c r="IB26" s="211">
        <f t="shared" si="185"/>
        <v>0</v>
      </c>
      <c r="IC26" s="211">
        <f t="shared" si="185"/>
        <v>0</v>
      </c>
      <c r="ID26" s="211">
        <f t="shared" si="185"/>
        <v>0</v>
      </c>
      <c r="IE26" s="211">
        <f t="shared" si="186"/>
        <v>0</v>
      </c>
      <c r="IF26" s="211">
        <f t="shared" si="186"/>
        <v>0</v>
      </c>
      <c r="IG26" s="211">
        <f t="shared" si="186"/>
        <v>0</v>
      </c>
      <c r="IH26" s="211">
        <f t="shared" si="186"/>
        <v>0</v>
      </c>
      <c r="II26" s="211">
        <f t="shared" si="186"/>
        <v>0</v>
      </c>
      <c r="IJ26" s="211">
        <f t="shared" si="186"/>
        <v>0</v>
      </c>
      <c r="IK26" s="211">
        <f t="shared" si="186"/>
        <v>0</v>
      </c>
      <c r="IL26" s="211">
        <f t="shared" si="186"/>
        <v>0</v>
      </c>
      <c r="IM26" s="211">
        <f t="shared" si="186"/>
        <v>0</v>
      </c>
      <c r="IN26" s="211">
        <f t="shared" si="186"/>
        <v>0</v>
      </c>
      <c r="IO26" s="211">
        <f t="shared" si="187"/>
        <v>0</v>
      </c>
      <c r="IP26" s="211">
        <f t="shared" si="187"/>
        <v>0</v>
      </c>
      <c r="IQ26" s="211">
        <f t="shared" si="187"/>
        <v>0</v>
      </c>
      <c r="IR26" s="211">
        <f t="shared" si="187"/>
        <v>0</v>
      </c>
      <c r="IS26" s="211">
        <f t="shared" si="187"/>
        <v>0</v>
      </c>
      <c r="IT26" s="211">
        <f t="shared" si="187"/>
        <v>0</v>
      </c>
      <c r="IU26" s="211">
        <f t="shared" si="187"/>
        <v>0</v>
      </c>
      <c r="IV26" s="211">
        <f t="shared" si="187"/>
        <v>0</v>
      </c>
      <c r="IW26" s="211">
        <f t="shared" si="187"/>
        <v>0</v>
      </c>
      <c r="IX26" s="211">
        <f t="shared" si="187"/>
        <v>0</v>
      </c>
      <c r="IY26" s="211">
        <f t="shared" si="188"/>
        <v>0</v>
      </c>
      <c r="IZ26" s="211">
        <f t="shared" si="188"/>
        <v>0</v>
      </c>
      <c r="JA26" s="211">
        <f t="shared" si="188"/>
        <v>0</v>
      </c>
      <c r="JB26" s="211">
        <f t="shared" si="188"/>
        <v>0</v>
      </c>
      <c r="JC26" s="211">
        <f t="shared" si="188"/>
        <v>0</v>
      </c>
      <c r="JD26" s="211">
        <f t="shared" si="188"/>
        <v>0</v>
      </c>
      <c r="JE26" s="211">
        <f t="shared" si="188"/>
        <v>0</v>
      </c>
      <c r="JF26" s="211">
        <f t="shared" si="188"/>
        <v>0</v>
      </c>
      <c r="JG26" s="211">
        <f t="shared" si="188"/>
        <v>0</v>
      </c>
      <c r="JH26" s="211">
        <f t="shared" si="188"/>
        <v>0</v>
      </c>
      <c r="JI26" s="211">
        <f t="shared" si="189"/>
        <v>0</v>
      </c>
      <c r="JJ26" s="211">
        <f t="shared" si="189"/>
        <v>0</v>
      </c>
      <c r="JK26" s="211">
        <f t="shared" si="189"/>
        <v>0</v>
      </c>
      <c r="JL26" s="211">
        <f t="shared" si="189"/>
        <v>0</v>
      </c>
      <c r="JM26" s="211">
        <f t="shared" si="189"/>
        <v>0</v>
      </c>
      <c r="JN26" s="211">
        <f t="shared" si="189"/>
        <v>0</v>
      </c>
      <c r="JO26" s="211">
        <f t="shared" si="189"/>
        <v>0</v>
      </c>
      <c r="JP26" s="211">
        <f t="shared" si="189"/>
        <v>0</v>
      </c>
      <c r="JQ26" s="211">
        <f t="shared" si="189"/>
        <v>0</v>
      </c>
      <c r="JR26" s="211">
        <f t="shared" si="189"/>
        <v>0</v>
      </c>
      <c r="JS26" s="211">
        <f t="shared" si="190"/>
        <v>0</v>
      </c>
      <c r="JT26" s="211">
        <f t="shared" si="190"/>
        <v>0</v>
      </c>
      <c r="JU26" s="211">
        <f t="shared" si="190"/>
        <v>0</v>
      </c>
      <c r="JV26" s="211">
        <f t="shared" si="190"/>
        <v>0</v>
      </c>
      <c r="JW26" s="211">
        <f t="shared" si="190"/>
        <v>0</v>
      </c>
      <c r="JX26" s="211">
        <f t="shared" si="190"/>
        <v>0</v>
      </c>
      <c r="JY26" s="211">
        <f t="shared" si="190"/>
        <v>0</v>
      </c>
      <c r="JZ26" s="211">
        <f t="shared" si="190"/>
        <v>0</v>
      </c>
      <c r="KA26" s="211">
        <f t="shared" si="190"/>
        <v>0</v>
      </c>
      <c r="KB26" s="211">
        <f t="shared" si="190"/>
        <v>0</v>
      </c>
      <c r="KC26" s="211">
        <f t="shared" si="190"/>
        <v>0</v>
      </c>
      <c r="KD26" s="211">
        <f t="shared" si="190"/>
        <v>0</v>
      </c>
      <c r="KE26" s="211">
        <f t="shared" si="190"/>
        <v>0</v>
      </c>
      <c r="KG26" s="207"/>
      <c r="KH26" s="208"/>
      <c r="KI26" s="208"/>
      <c r="KJ26" s="209"/>
      <c r="KK26" s="210"/>
      <c r="KM26" s="211"/>
      <c r="KN26" s="211"/>
      <c r="KO26" s="211"/>
      <c r="KP26" s="211"/>
      <c r="KQ26" s="211"/>
      <c r="KR26" s="211"/>
      <c r="KS26" s="211"/>
      <c r="KT26" s="211"/>
      <c r="KU26" s="211"/>
      <c r="KV26" s="211"/>
      <c r="KW26" s="211"/>
      <c r="KX26" s="211"/>
      <c r="KY26" s="211"/>
      <c r="KZ26" s="211"/>
      <c r="LA26" s="211"/>
      <c r="LB26" s="211"/>
      <c r="LC26" s="211"/>
      <c r="LD26" s="211"/>
      <c r="LE26" s="211"/>
      <c r="LF26" s="211"/>
      <c r="LG26" s="211"/>
      <c r="LH26" s="211"/>
      <c r="LI26" s="211"/>
      <c r="LJ26" s="211"/>
      <c r="LK26" s="211"/>
      <c r="LL26" s="211"/>
      <c r="LM26" s="211"/>
      <c r="LN26" s="211"/>
      <c r="LO26" s="211"/>
      <c r="LP26" s="211"/>
      <c r="LQ26" s="211"/>
      <c r="LR26" s="211"/>
      <c r="LS26" s="211"/>
      <c r="LT26" s="211"/>
      <c r="LU26" s="211"/>
      <c r="LV26" s="211"/>
      <c r="LW26" s="211"/>
      <c r="LX26" s="211"/>
      <c r="LY26" s="211"/>
      <c r="LZ26" s="211"/>
      <c r="MA26" s="211"/>
      <c r="MB26" s="211"/>
      <c r="MC26" s="211"/>
      <c r="MD26" s="211"/>
      <c r="ME26" s="211"/>
      <c r="MF26" s="211"/>
      <c r="MG26" s="211"/>
      <c r="MH26" s="211"/>
      <c r="MI26" s="211"/>
      <c r="MJ26" s="211"/>
      <c r="MK26" s="211"/>
      <c r="ML26" s="211"/>
      <c r="MM26" s="211"/>
      <c r="MN26" s="211"/>
      <c r="MO26" s="211"/>
      <c r="MP26" s="211"/>
      <c r="MQ26" s="211"/>
      <c r="MR26" s="211"/>
      <c r="MS26" s="211"/>
      <c r="MT26" s="211"/>
      <c r="MU26" s="211"/>
      <c r="MV26" s="211"/>
      <c r="MW26" s="211"/>
      <c r="MX26" s="211"/>
      <c r="MY26" s="211"/>
      <c r="MZ26" s="211"/>
      <c r="NA26" s="211"/>
      <c r="NB26" s="211"/>
      <c r="NC26" s="211"/>
      <c r="ND26" s="211"/>
      <c r="NE26" s="211"/>
      <c r="NF26" s="211"/>
      <c r="NG26" s="211"/>
      <c r="NH26" s="211"/>
      <c r="NI26" s="211"/>
      <c r="NJ26" s="211"/>
      <c r="NK26" s="211"/>
      <c r="NL26" s="211"/>
      <c r="NM26" s="211"/>
      <c r="NN26" s="211"/>
      <c r="NO26" s="211"/>
      <c r="NP26" s="211"/>
      <c r="NQ26" s="211"/>
      <c r="NR26" s="211"/>
      <c r="NS26" s="211"/>
      <c r="NT26" s="211"/>
      <c r="NU26" s="211"/>
      <c r="NV26" s="211"/>
      <c r="NW26" s="211"/>
      <c r="NX26" s="211"/>
      <c r="NY26" s="211"/>
      <c r="NZ26" s="211"/>
      <c r="OA26" s="211"/>
      <c r="OB26" s="211"/>
      <c r="OC26" s="211"/>
      <c r="OD26" s="211"/>
      <c r="OE26" s="211"/>
      <c r="OF26" s="211"/>
      <c r="OG26" s="211"/>
      <c r="OH26" s="211"/>
      <c r="OI26" s="211"/>
      <c r="OJ26" s="211"/>
      <c r="OK26" s="211"/>
      <c r="OL26" s="211"/>
      <c r="OM26" s="211"/>
      <c r="ON26" s="211"/>
      <c r="OO26" s="211"/>
      <c r="OP26" s="211"/>
      <c r="OQ26" s="211"/>
      <c r="OR26" s="211"/>
      <c r="OS26" s="211"/>
      <c r="OT26" s="211"/>
      <c r="OU26" s="211"/>
      <c r="OV26" s="211"/>
      <c r="OW26" s="211"/>
      <c r="OX26" s="211"/>
      <c r="OY26" s="211"/>
      <c r="OZ26" s="211"/>
      <c r="PA26" s="211"/>
      <c r="PB26" s="211"/>
      <c r="PC26" s="211"/>
      <c r="PD26" s="211"/>
      <c r="PE26" s="211"/>
      <c r="PF26" s="211"/>
      <c r="PG26" s="211"/>
      <c r="PH26" s="211"/>
      <c r="PI26" s="211"/>
      <c r="PJ26" s="211"/>
      <c r="PK26" s="211"/>
      <c r="PL26" s="211"/>
      <c r="PM26" s="211"/>
      <c r="PN26" s="211"/>
      <c r="PO26" s="211"/>
      <c r="PQ26" s="201"/>
      <c r="PR26" s="201"/>
      <c r="PS26" s="201"/>
      <c r="PT26" s="201"/>
      <c r="PU26" s="201"/>
      <c r="PV26" s="201"/>
      <c r="PW26" s="201"/>
      <c r="PX26" s="201"/>
      <c r="PY26" s="201"/>
      <c r="PZ26" s="201"/>
      <c r="QA26" s="201"/>
      <c r="QB26" s="201"/>
      <c r="QC26" s="201"/>
      <c r="QD26" s="201"/>
      <c r="QE26" s="201"/>
      <c r="QF26" s="201"/>
      <c r="QG26" s="201"/>
      <c r="QH26" s="201"/>
      <c r="QI26" s="201"/>
      <c r="QJ26" s="201"/>
      <c r="QK26" s="201"/>
      <c r="QL26" s="201"/>
      <c r="QM26" s="201"/>
      <c r="QN26" s="201"/>
      <c r="QO26" s="201"/>
      <c r="QP26" s="201"/>
      <c r="QQ26" s="201"/>
      <c r="QR26" s="201"/>
      <c r="QS26" s="201"/>
      <c r="QT26" s="201"/>
      <c r="QU26" s="201"/>
      <c r="QV26" s="201"/>
      <c r="QW26" s="201"/>
      <c r="QX26" s="201"/>
      <c r="QY26" s="201"/>
      <c r="QZ26" s="201"/>
      <c r="RA26" s="201"/>
      <c r="RB26" s="201"/>
      <c r="RC26" s="201"/>
      <c r="RD26" s="201"/>
      <c r="RE26" s="201"/>
      <c r="RF26" s="201"/>
      <c r="RG26" s="201"/>
      <c r="RH26" s="201"/>
      <c r="RI26" s="201"/>
      <c r="RJ26" s="201"/>
      <c r="RK26" s="201"/>
      <c r="RL26" s="201"/>
      <c r="RM26" s="201"/>
      <c r="RN26" s="201"/>
      <c r="RO26" s="201"/>
      <c r="RP26" s="201"/>
      <c r="RQ26" s="201"/>
      <c r="RR26" s="201"/>
      <c r="RS26" s="201"/>
      <c r="RT26" s="201"/>
      <c r="RU26" s="201"/>
      <c r="RV26" s="201"/>
      <c r="RW26" s="201"/>
      <c r="RX26" s="201"/>
      <c r="RY26" s="201"/>
      <c r="RZ26" s="201"/>
      <c r="SA26" s="201"/>
      <c r="SB26" s="201"/>
      <c r="SC26" s="201"/>
      <c r="SD26" s="201"/>
      <c r="SE26" s="201"/>
      <c r="SF26" s="201"/>
      <c r="SG26" s="201"/>
      <c r="SH26" s="201"/>
      <c r="SI26" s="201"/>
      <c r="SJ26" s="201"/>
      <c r="SK26" s="201"/>
      <c r="SL26" s="201"/>
      <c r="SM26" s="201"/>
      <c r="SN26" s="201"/>
      <c r="SO26" s="201"/>
      <c r="SP26" s="201"/>
      <c r="SQ26" s="201"/>
      <c r="SR26" s="201"/>
      <c r="SS26" s="201"/>
      <c r="ST26" s="201"/>
      <c r="SU26" s="201"/>
      <c r="SV26" s="201"/>
      <c r="SW26" s="201"/>
      <c r="SX26" s="201"/>
      <c r="SY26" s="201"/>
      <c r="SZ26" s="201"/>
      <c r="TA26" s="201"/>
      <c r="TB26" s="201"/>
      <c r="TC26" s="201"/>
      <c r="TD26" s="201"/>
      <c r="TE26" s="201"/>
      <c r="TF26" s="201"/>
      <c r="TG26" s="201"/>
      <c r="TH26" s="201"/>
      <c r="TI26" s="201"/>
      <c r="TJ26" s="201"/>
      <c r="TK26" s="201"/>
      <c r="TL26" s="201"/>
      <c r="TM26" s="201"/>
      <c r="TN26" s="201"/>
      <c r="TO26" s="201"/>
      <c r="TP26" s="201"/>
      <c r="TQ26" s="201"/>
      <c r="TR26" s="201"/>
      <c r="TS26" s="201"/>
      <c r="TT26" s="201"/>
      <c r="TU26" s="201"/>
      <c r="TV26" s="201"/>
      <c r="TW26" s="201"/>
      <c r="TX26" s="201"/>
      <c r="TY26" s="201"/>
      <c r="TZ26" s="201"/>
      <c r="UA26" s="201"/>
      <c r="UB26" s="201"/>
      <c r="UC26" s="201"/>
      <c r="UD26" s="201"/>
      <c r="UE26" s="201"/>
      <c r="UF26" s="201"/>
      <c r="UG26" s="201"/>
      <c r="UH26" s="201"/>
      <c r="UI26" s="201"/>
      <c r="UJ26" s="201"/>
      <c r="UK26" s="201"/>
      <c r="UL26" s="201"/>
      <c r="UM26" s="201"/>
      <c r="UN26" s="201"/>
      <c r="UO26" s="201"/>
      <c r="UP26" s="201"/>
      <c r="UQ26" s="201"/>
      <c r="UR26" s="201"/>
      <c r="US26" s="201"/>
      <c r="UT26" s="201"/>
      <c r="UU26" s="201"/>
    </row>
    <row r="27" spans="2:567" ht="15" x14ac:dyDescent="0.35">
      <c r="B27" s="31" t="s">
        <v>34</v>
      </c>
      <c r="C27" s="26"/>
      <c r="D27" s="26"/>
      <c r="E27" s="32">
        <v>0</v>
      </c>
      <c r="F27" s="32">
        <v>0</v>
      </c>
      <c r="G27" s="19" t="s">
        <v>32</v>
      </c>
      <c r="H27" s="32"/>
      <c r="I27" s="55">
        <f>K27/Units_SF</f>
        <v>0</v>
      </c>
      <c r="J27" s="36">
        <f>K27/Units</f>
        <v>0</v>
      </c>
      <c r="K27" s="37">
        <v>0</v>
      </c>
      <c r="R27" s="90" t="str">
        <f t="shared" si="191"/>
        <v>OK</v>
      </c>
      <c r="S27" s="94">
        <f t="shared" si="164"/>
        <v>0</v>
      </c>
      <c r="T27" s="94">
        <f t="shared" si="164"/>
        <v>0</v>
      </c>
      <c r="U27" s="94">
        <f t="shared" si="164"/>
        <v>0</v>
      </c>
      <c r="V27" s="94">
        <f t="shared" si="164"/>
        <v>0</v>
      </c>
      <c r="W27" s="94">
        <f t="shared" si="164"/>
        <v>0</v>
      </c>
      <c r="X27" s="94">
        <f t="shared" si="164"/>
        <v>0</v>
      </c>
      <c r="Y27" s="94">
        <f t="shared" si="164"/>
        <v>0</v>
      </c>
      <c r="Z27" s="94">
        <f t="shared" si="164"/>
        <v>0</v>
      </c>
      <c r="AA27" s="94">
        <f t="shared" si="164"/>
        <v>0</v>
      </c>
      <c r="AB27" s="94">
        <f t="shared" si="164"/>
        <v>0</v>
      </c>
      <c r="AC27" s="94">
        <f t="shared" si="165"/>
        <v>0</v>
      </c>
      <c r="AD27" s="94">
        <f t="shared" si="165"/>
        <v>0</v>
      </c>
      <c r="AE27" s="94">
        <f t="shared" si="165"/>
        <v>0</v>
      </c>
      <c r="AF27" s="94">
        <f t="shared" si="165"/>
        <v>0</v>
      </c>
      <c r="AG27" s="94">
        <f t="shared" si="165"/>
        <v>0</v>
      </c>
      <c r="AH27" s="94">
        <f t="shared" si="165"/>
        <v>0</v>
      </c>
      <c r="AI27" s="94">
        <f t="shared" si="165"/>
        <v>0</v>
      </c>
      <c r="AJ27" s="94">
        <f t="shared" si="165"/>
        <v>0</v>
      </c>
      <c r="AK27" s="94">
        <f t="shared" si="165"/>
        <v>0</v>
      </c>
      <c r="AL27" s="94">
        <f t="shared" si="165"/>
        <v>0</v>
      </c>
      <c r="AM27" s="94">
        <f t="shared" si="166"/>
        <v>0</v>
      </c>
      <c r="AN27" s="94">
        <f t="shared" si="166"/>
        <v>0</v>
      </c>
      <c r="AO27" s="94">
        <f t="shared" si="166"/>
        <v>0</v>
      </c>
      <c r="AP27" s="94">
        <f t="shared" si="166"/>
        <v>0</v>
      </c>
      <c r="AQ27" s="94">
        <f t="shared" si="166"/>
        <v>0</v>
      </c>
      <c r="AR27" s="94">
        <f t="shared" si="166"/>
        <v>0</v>
      </c>
      <c r="AS27" s="94">
        <f t="shared" si="166"/>
        <v>0</v>
      </c>
      <c r="AT27" s="94">
        <f t="shared" si="166"/>
        <v>0</v>
      </c>
      <c r="AU27" s="94">
        <f t="shared" si="166"/>
        <v>0</v>
      </c>
      <c r="AV27" s="94">
        <f t="shared" si="166"/>
        <v>0</v>
      </c>
      <c r="AW27" s="94">
        <f t="shared" si="167"/>
        <v>0</v>
      </c>
      <c r="AX27" s="94">
        <f t="shared" si="167"/>
        <v>0</v>
      </c>
      <c r="AY27" s="94">
        <f t="shared" si="167"/>
        <v>0</v>
      </c>
      <c r="AZ27" s="94">
        <f t="shared" si="167"/>
        <v>0</v>
      </c>
      <c r="BA27" s="94">
        <f t="shared" si="167"/>
        <v>0</v>
      </c>
      <c r="BB27" s="94">
        <f t="shared" si="167"/>
        <v>0</v>
      </c>
      <c r="BC27" s="94">
        <f t="shared" si="167"/>
        <v>0</v>
      </c>
      <c r="BD27" s="94">
        <f t="shared" si="167"/>
        <v>0</v>
      </c>
      <c r="BE27" s="94">
        <f t="shared" si="167"/>
        <v>0</v>
      </c>
      <c r="BF27" s="94">
        <f t="shared" si="167"/>
        <v>0</v>
      </c>
      <c r="BG27" s="94">
        <f t="shared" si="168"/>
        <v>0</v>
      </c>
      <c r="BH27" s="94">
        <f t="shared" si="168"/>
        <v>0</v>
      </c>
      <c r="BI27" s="94">
        <f t="shared" si="168"/>
        <v>0</v>
      </c>
      <c r="BJ27" s="94">
        <f t="shared" si="168"/>
        <v>0</v>
      </c>
      <c r="BK27" s="94">
        <f t="shared" si="168"/>
        <v>0</v>
      </c>
      <c r="BL27" s="94">
        <f t="shared" si="168"/>
        <v>0</v>
      </c>
      <c r="BM27" s="94">
        <f t="shared" si="168"/>
        <v>0</v>
      </c>
      <c r="BN27" s="94">
        <f t="shared" si="168"/>
        <v>0</v>
      </c>
      <c r="BO27" s="94">
        <f t="shared" si="168"/>
        <v>0</v>
      </c>
      <c r="BP27" s="94">
        <f t="shared" si="168"/>
        <v>0</v>
      </c>
      <c r="BQ27" s="94">
        <f t="shared" si="169"/>
        <v>0</v>
      </c>
      <c r="BR27" s="94">
        <f t="shared" si="169"/>
        <v>0</v>
      </c>
      <c r="BS27" s="94">
        <f t="shared" si="169"/>
        <v>0</v>
      </c>
      <c r="BT27" s="94">
        <f t="shared" si="169"/>
        <v>0</v>
      </c>
      <c r="BU27" s="94">
        <f t="shared" si="169"/>
        <v>0</v>
      </c>
      <c r="BV27" s="94">
        <f t="shared" si="169"/>
        <v>0</v>
      </c>
      <c r="BW27" s="94">
        <f t="shared" si="169"/>
        <v>0</v>
      </c>
      <c r="BX27" s="94">
        <f t="shared" si="169"/>
        <v>0</v>
      </c>
      <c r="BY27" s="94">
        <f t="shared" si="169"/>
        <v>0</v>
      </c>
      <c r="BZ27" s="94">
        <f t="shared" si="169"/>
        <v>0</v>
      </c>
      <c r="CA27" s="94">
        <f t="shared" si="170"/>
        <v>0</v>
      </c>
      <c r="CB27" s="94">
        <f t="shared" si="170"/>
        <v>0</v>
      </c>
      <c r="CC27" s="94">
        <f t="shared" si="170"/>
        <v>0</v>
      </c>
      <c r="CD27" s="94">
        <f t="shared" si="170"/>
        <v>0</v>
      </c>
      <c r="CE27" s="94">
        <f t="shared" si="170"/>
        <v>0</v>
      </c>
      <c r="CF27" s="94">
        <f t="shared" si="170"/>
        <v>0</v>
      </c>
      <c r="CG27" s="94">
        <f t="shared" si="170"/>
        <v>0</v>
      </c>
      <c r="CH27" s="94">
        <f t="shared" si="170"/>
        <v>0</v>
      </c>
      <c r="CI27" s="94">
        <f t="shared" si="170"/>
        <v>0</v>
      </c>
      <c r="CJ27" s="94">
        <f t="shared" si="170"/>
        <v>0</v>
      </c>
      <c r="CK27" s="94">
        <f t="shared" si="171"/>
        <v>0</v>
      </c>
      <c r="CL27" s="94">
        <f t="shared" si="171"/>
        <v>0</v>
      </c>
      <c r="CM27" s="94">
        <f t="shared" si="171"/>
        <v>0</v>
      </c>
      <c r="CN27" s="94">
        <f t="shared" si="171"/>
        <v>0</v>
      </c>
      <c r="CO27" s="94">
        <f t="shared" si="171"/>
        <v>0</v>
      </c>
      <c r="CP27" s="94">
        <f t="shared" si="171"/>
        <v>0</v>
      </c>
      <c r="CQ27" s="94">
        <f t="shared" si="171"/>
        <v>0</v>
      </c>
      <c r="CR27" s="94">
        <f t="shared" si="171"/>
        <v>0</v>
      </c>
      <c r="CS27" s="94">
        <f t="shared" si="171"/>
        <v>0</v>
      </c>
      <c r="CT27" s="94">
        <f t="shared" si="171"/>
        <v>0</v>
      </c>
      <c r="CU27" s="94">
        <f t="shared" si="172"/>
        <v>0</v>
      </c>
      <c r="CV27" s="94">
        <f t="shared" si="172"/>
        <v>0</v>
      </c>
      <c r="CW27" s="94">
        <f t="shared" si="172"/>
        <v>0</v>
      </c>
      <c r="CX27" s="94">
        <f t="shared" si="172"/>
        <v>0</v>
      </c>
      <c r="CY27" s="94">
        <f t="shared" si="172"/>
        <v>0</v>
      </c>
      <c r="CZ27" s="94">
        <f t="shared" si="172"/>
        <v>0</v>
      </c>
      <c r="DA27" s="94">
        <f t="shared" si="172"/>
        <v>0</v>
      </c>
      <c r="DB27" s="94">
        <f t="shared" si="172"/>
        <v>0</v>
      </c>
      <c r="DC27" s="94">
        <f t="shared" si="172"/>
        <v>0</v>
      </c>
      <c r="DD27" s="94">
        <f t="shared" si="172"/>
        <v>0</v>
      </c>
      <c r="DE27" s="94">
        <f t="shared" si="173"/>
        <v>0</v>
      </c>
      <c r="DF27" s="94">
        <f t="shared" si="173"/>
        <v>0</v>
      </c>
      <c r="DG27" s="94">
        <f t="shared" si="173"/>
        <v>0</v>
      </c>
      <c r="DH27" s="94">
        <f t="shared" si="173"/>
        <v>0</v>
      </c>
      <c r="DI27" s="94">
        <f t="shared" si="173"/>
        <v>0</v>
      </c>
      <c r="DJ27" s="94">
        <f t="shared" si="173"/>
        <v>0</v>
      </c>
      <c r="DK27" s="94">
        <f t="shared" si="173"/>
        <v>0</v>
      </c>
      <c r="DL27" s="94">
        <f t="shared" si="173"/>
        <v>0</v>
      </c>
      <c r="DM27" s="94">
        <f t="shared" si="173"/>
        <v>0</v>
      </c>
      <c r="DN27" s="94">
        <f t="shared" si="173"/>
        <v>0</v>
      </c>
      <c r="DO27" s="94">
        <f t="shared" si="174"/>
        <v>0</v>
      </c>
      <c r="DP27" s="94">
        <f t="shared" si="174"/>
        <v>0</v>
      </c>
      <c r="DQ27" s="94">
        <f t="shared" si="174"/>
        <v>0</v>
      </c>
      <c r="DR27" s="94">
        <f t="shared" si="174"/>
        <v>0</v>
      </c>
      <c r="DS27" s="94">
        <f t="shared" si="174"/>
        <v>0</v>
      </c>
      <c r="DT27" s="94">
        <f t="shared" si="174"/>
        <v>0</v>
      </c>
      <c r="DU27" s="94">
        <f t="shared" si="174"/>
        <v>0</v>
      </c>
      <c r="DV27" s="94">
        <f t="shared" si="174"/>
        <v>0</v>
      </c>
      <c r="DW27" s="94">
        <f t="shared" si="174"/>
        <v>0</v>
      </c>
      <c r="DX27" s="94">
        <f t="shared" si="174"/>
        <v>0</v>
      </c>
      <c r="DY27" s="94">
        <f t="shared" si="175"/>
        <v>0</v>
      </c>
      <c r="DZ27" s="94">
        <f t="shared" si="175"/>
        <v>0</v>
      </c>
      <c r="EA27" s="94">
        <f t="shared" si="175"/>
        <v>0</v>
      </c>
      <c r="EB27" s="94">
        <f t="shared" si="175"/>
        <v>0</v>
      </c>
      <c r="EC27" s="94">
        <f t="shared" si="175"/>
        <v>0</v>
      </c>
      <c r="ED27" s="94">
        <f t="shared" si="175"/>
        <v>0</v>
      </c>
      <c r="EE27" s="94">
        <f t="shared" si="175"/>
        <v>0</v>
      </c>
      <c r="EF27" s="94">
        <f t="shared" si="175"/>
        <v>0</v>
      </c>
      <c r="EG27" s="94">
        <f t="shared" si="175"/>
        <v>0</v>
      </c>
      <c r="EH27" s="94">
        <f t="shared" si="175"/>
        <v>0</v>
      </c>
      <c r="EI27" s="94">
        <f t="shared" si="176"/>
        <v>0</v>
      </c>
      <c r="EJ27" s="94">
        <f t="shared" si="176"/>
        <v>0</v>
      </c>
      <c r="EK27" s="94">
        <f t="shared" si="176"/>
        <v>0</v>
      </c>
      <c r="EL27" s="94">
        <f t="shared" si="176"/>
        <v>0</v>
      </c>
      <c r="EM27" s="94">
        <f t="shared" si="176"/>
        <v>0</v>
      </c>
      <c r="EN27" s="94">
        <f t="shared" si="176"/>
        <v>0</v>
      </c>
      <c r="EO27" s="94">
        <f t="shared" si="176"/>
        <v>0</v>
      </c>
      <c r="EP27" s="94">
        <f t="shared" si="176"/>
        <v>0</v>
      </c>
      <c r="EQ27" s="94">
        <f t="shared" si="176"/>
        <v>0</v>
      </c>
      <c r="ER27" s="94">
        <f t="shared" si="176"/>
        <v>0</v>
      </c>
      <c r="ES27" s="94">
        <f t="shared" si="177"/>
        <v>0</v>
      </c>
      <c r="ET27" s="94">
        <f t="shared" si="177"/>
        <v>0</v>
      </c>
      <c r="EU27" s="94">
        <f t="shared" si="177"/>
        <v>0</v>
      </c>
      <c r="EW27" s="207">
        <f>K27</f>
        <v>0</v>
      </c>
      <c r="EX27" s="208">
        <f>INDEX($S$23:$EU$23,1,E27+1)</f>
        <v>46053</v>
      </c>
      <c r="EY27" s="208">
        <f>INDEX($S$23:$EU$23,1,F27+1)</f>
        <v>46053</v>
      </c>
      <c r="EZ27" s="209">
        <f>F27-E27+1</f>
        <v>1</v>
      </c>
      <c r="FA27" s="210">
        <f>EZ27/6</f>
        <v>0.16666666666666666</v>
      </c>
      <c r="FC27" s="211">
        <f t="shared" si="178"/>
        <v>0</v>
      </c>
      <c r="FD27" s="211">
        <f t="shared" si="178"/>
        <v>0</v>
      </c>
      <c r="FE27" s="211">
        <f t="shared" si="178"/>
        <v>0</v>
      </c>
      <c r="FF27" s="211">
        <f t="shared" si="178"/>
        <v>0</v>
      </c>
      <c r="FG27" s="211">
        <f t="shared" si="178"/>
        <v>0</v>
      </c>
      <c r="FH27" s="211">
        <f t="shared" si="178"/>
        <v>0</v>
      </c>
      <c r="FI27" s="211">
        <f t="shared" si="178"/>
        <v>0</v>
      </c>
      <c r="FJ27" s="211">
        <f t="shared" si="178"/>
        <v>0</v>
      </c>
      <c r="FK27" s="211">
        <f t="shared" si="178"/>
        <v>0</v>
      </c>
      <c r="FL27" s="211">
        <f t="shared" si="178"/>
        <v>0</v>
      </c>
      <c r="FM27" s="211">
        <f t="shared" si="179"/>
        <v>0</v>
      </c>
      <c r="FN27" s="211">
        <f t="shared" si="179"/>
        <v>0</v>
      </c>
      <c r="FO27" s="211">
        <f t="shared" si="179"/>
        <v>0</v>
      </c>
      <c r="FP27" s="211">
        <f t="shared" si="179"/>
        <v>0</v>
      </c>
      <c r="FQ27" s="211">
        <f t="shared" si="179"/>
        <v>0</v>
      </c>
      <c r="FR27" s="211">
        <f t="shared" si="179"/>
        <v>0</v>
      </c>
      <c r="FS27" s="211">
        <f t="shared" si="179"/>
        <v>0</v>
      </c>
      <c r="FT27" s="211">
        <f t="shared" si="179"/>
        <v>0</v>
      </c>
      <c r="FU27" s="211">
        <f t="shared" si="179"/>
        <v>0</v>
      </c>
      <c r="FV27" s="211">
        <f t="shared" si="179"/>
        <v>0</v>
      </c>
      <c r="FW27" s="211">
        <f t="shared" si="180"/>
        <v>0</v>
      </c>
      <c r="FX27" s="211">
        <f t="shared" si="180"/>
        <v>0</v>
      </c>
      <c r="FY27" s="211">
        <f t="shared" si="180"/>
        <v>0</v>
      </c>
      <c r="FZ27" s="211">
        <f t="shared" si="180"/>
        <v>0</v>
      </c>
      <c r="GA27" s="211">
        <f t="shared" si="180"/>
        <v>0</v>
      </c>
      <c r="GB27" s="211">
        <f t="shared" si="180"/>
        <v>0</v>
      </c>
      <c r="GC27" s="211">
        <f t="shared" si="180"/>
        <v>0</v>
      </c>
      <c r="GD27" s="211">
        <f t="shared" si="180"/>
        <v>0</v>
      </c>
      <c r="GE27" s="211">
        <f t="shared" si="180"/>
        <v>0</v>
      </c>
      <c r="GF27" s="211">
        <f t="shared" si="180"/>
        <v>0</v>
      </c>
      <c r="GG27" s="211">
        <f t="shared" si="181"/>
        <v>0</v>
      </c>
      <c r="GH27" s="211">
        <f t="shared" si="181"/>
        <v>0</v>
      </c>
      <c r="GI27" s="211">
        <f t="shared" si="181"/>
        <v>0</v>
      </c>
      <c r="GJ27" s="211">
        <f t="shared" si="181"/>
        <v>0</v>
      </c>
      <c r="GK27" s="211">
        <f t="shared" si="181"/>
        <v>0</v>
      </c>
      <c r="GL27" s="211">
        <f t="shared" si="181"/>
        <v>0</v>
      </c>
      <c r="GM27" s="211">
        <f t="shared" si="181"/>
        <v>0</v>
      </c>
      <c r="GN27" s="211">
        <f t="shared" si="181"/>
        <v>0</v>
      </c>
      <c r="GO27" s="211">
        <f t="shared" si="181"/>
        <v>0</v>
      </c>
      <c r="GP27" s="211">
        <f t="shared" si="181"/>
        <v>0</v>
      </c>
      <c r="GQ27" s="211">
        <f t="shared" si="182"/>
        <v>0</v>
      </c>
      <c r="GR27" s="211">
        <f t="shared" si="182"/>
        <v>0</v>
      </c>
      <c r="GS27" s="211">
        <f t="shared" si="182"/>
        <v>0</v>
      </c>
      <c r="GT27" s="211">
        <f t="shared" si="182"/>
        <v>0</v>
      </c>
      <c r="GU27" s="211">
        <f t="shared" si="182"/>
        <v>0</v>
      </c>
      <c r="GV27" s="211">
        <f t="shared" si="182"/>
        <v>0</v>
      </c>
      <c r="GW27" s="211">
        <f t="shared" si="182"/>
        <v>0</v>
      </c>
      <c r="GX27" s="211">
        <f t="shared" si="182"/>
        <v>0</v>
      </c>
      <c r="GY27" s="211">
        <f t="shared" si="182"/>
        <v>0</v>
      </c>
      <c r="GZ27" s="211">
        <f t="shared" si="182"/>
        <v>0</v>
      </c>
      <c r="HA27" s="211">
        <f t="shared" si="183"/>
        <v>0</v>
      </c>
      <c r="HB27" s="211">
        <f t="shared" si="183"/>
        <v>0</v>
      </c>
      <c r="HC27" s="211">
        <f t="shared" si="183"/>
        <v>0</v>
      </c>
      <c r="HD27" s="211">
        <f t="shared" si="183"/>
        <v>0</v>
      </c>
      <c r="HE27" s="211">
        <f t="shared" si="183"/>
        <v>0</v>
      </c>
      <c r="HF27" s="211">
        <f t="shared" si="183"/>
        <v>0</v>
      </c>
      <c r="HG27" s="211">
        <f t="shared" si="183"/>
        <v>0</v>
      </c>
      <c r="HH27" s="211">
        <f t="shared" si="183"/>
        <v>0</v>
      </c>
      <c r="HI27" s="211">
        <f t="shared" si="183"/>
        <v>0</v>
      </c>
      <c r="HJ27" s="211">
        <f t="shared" si="183"/>
        <v>0</v>
      </c>
      <c r="HK27" s="211">
        <f t="shared" si="184"/>
        <v>0</v>
      </c>
      <c r="HL27" s="211">
        <f t="shared" si="184"/>
        <v>0</v>
      </c>
      <c r="HM27" s="211">
        <f t="shared" si="184"/>
        <v>0</v>
      </c>
      <c r="HN27" s="211">
        <f t="shared" si="184"/>
        <v>0</v>
      </c>
      <c r="HO27" s="211">
        <f t="shared" si="184"/>
        <v>0</v>
      </c>
      <c r="HP27" s="211">
        <f t="shared" si="184"/>
        <v>0</v>
      </c>
      <c r="HQ27" s="211">
        <f t="shared" si="184"/>
        <v>0</v>
      </c>
      <c r="HR27" s="211">
        <f t="shared" si="184"/>
        <v>0</v>
      </c>
      <c r="HS27" s="211">
        <f t="shared" si="184"/>
        <v>0</v>
      </c>
      <c r="HT27" s="211">
        <f t="shared" si="184"/>
        <v>0</v>
      </c>
      <c r="HU27" s="211">
        <f t="shared" si="185"/>
        <v>0</v>
      </c>
      <c r="HV27" s="211">
        <f t="shared" si="185"/>
        <v>0</v>
      </c>
      <c r="HW27" s="211">
        <f t="shared" si="185"/>
        <v>0</v>
      </c>
      <c r="HX27" s="211">
        <f t="shared" si="185"/>
        <v>0</v>
      </c>
      <c r="HY27" s="211">
        <f t="shared" si="185"/>
        <v>0</v>
      </c>
      <c r="HZ27" s="211">
        <f t="shared" si="185"/>
        <v>0</v>
      </c>
      <c r="IA27" s="211">
        <f t="shared" si="185"/>
        <v>0</v>
      </c>
      <c r="IB27" s="211">
        <f t="shared" si="185"/>
        <v>0</v>
      </c>
      <c r="IC27" s="211">
        <f t="shared" si="185"/>
        <v>0</v>
      </c>
      <c r="ID27" s="211">
        <f t="shared" si="185"/>
        <v>0</v>
      </c>
      <c r="IE27" s="211">
        <f t="shared" si="186"/>
        <v>0</v>
      </c>
      <c r="IF27" s="211">
        <f t="shared" si="186"/>
        <v>0</v>
      </c>
      <c r="IG27" s="211">
        <f t="shared" si="186"/>
        <v>0</v>
      </c>
      <c r="IH27" s="211">
        <f t="shared" si="186"/>
        <v>0</v>
      </c>
      <c r="II27" s="211">
        <f t="shared" si="186"/>
        <v>0</v>
      </c>
      <c r="IJ27" s="211">
        <f t="shared" si="186"/>
        <v>0</v>
      </c>
      <c r="IK27" s="211">
        <f t="shared" si="186"/>
        <v>0</v>
      </c>
      <c r="IL27" s="211">
        <f t="shared" si="186"/>
        <v>0</v>
      </c>
      <c r="IM27" s="211">
        <f t="shared" si="186"/>
        <v>0</v>
      </c>
      <c r="IN27" s="211">
        <f t="shared" si="186"/>
        <v>0</v>
      </c>
      <c r="IO27" s="211">
        <f t="shared" si="187"/>
        <v>0</v>
      </c>
      <c r="IP27" s="211">
        <f t="shared" si="187"/>
        <v>0</v>
      </c>
      <c r="IQ27" s="211">
        <f t="shared" si="187"/>
        <v>0</v>
      </c>
      <c r="IR27" s="211">
        <f t="shared" si="187"/>
        <v>0</v>
      </c>
      <c r="IS27" s="211">
        <f t="shared" si="187"/>
        <v>0</v>
      </c>
      <c r="IT27" s="211">
        <f t="shared" si="187"/>
        <v>0</v>
      </c>
      <c r="IU27" s="211">
        <f t="shared" si="187"/>
        <v>0</v>
      </c>
      <c r="IV27" s="211">
        <f t="shared" si="187"/>
        <v>0</v>
      </c>
      <c r="IW27" s="211">
        <f t="shared" si="187"/>
        <v>0</v>
      </c>
      <c r="IX27" s="211">
        <f t="shared" si="187"/>
        <v>0</v>
      </c>
      <c r="IY27" s="211">
        <f t="shared" si="188"/>
        <v>0</v>
      </c>
      <c r="IZ27" s="211">
        <f t="shared" si="188"/>
        <v>0</v>
      </c>
      <c r="JA27" s="211">
        <f t="shared" si="188"/>
        <v>0</v>
      </c>
      <c r="JB27" s="211">
        <f t="shared" si="188"/>
        <v>0</v>
      </c>
      <c r="JC27" s="211">
        <f t="shared" si="188"/>
        <v>0</v>
      </c>
      <c r="JD27" s="211">
        <f t="shared" si="188"/>
        <v>0</v>
      </c>
      <c r="JE27" s="211">
        <f t="shared" si="188"/>
        <v>0</v>
      </c>
      <c r="JF27" s="211">
        <f t="shared" si="188"/>
        <v>0</v>
      </c>
      <c r="JG27" s="211">
        <f t="shared" si="188"/>
        <v>0</v>
      </c>
      <c r="JH27" s="211">
        <f t="shared" si="188"/>
        <v>0</v>
      </c>
      <c r="JI27" s="211">
        <f t="shared" si="189"/>
        <v>0</v>
      </c>
      <c r="JJ27" s="211">
        <f t="shared" si="189"/>
        <v>0</v>
      </c>
      <c r="JK27" s="211">
        <f t="shared" si="189"/>
        <v>0</v>
      </c>
      <c r="JL27" s="211">
        <f t="shared" si="189"/>
        <v>0</v>
      </c>
      <c r="JM27" s="211">
        <f t="shared" si="189"/>
        <v>0</v>
      </c>
      <c r="JN27" s="211">
        <f t="shared" si="189"/>
        <v>0</v>
      </c>
      <c r="JO27" s="211">
        <f t="shared" si="189"/>
        <v>0</v>
      </c>
      <c r="JP27" s="211">
        <f t="shared" si="189"/>
        <v>0</v>
      </c>
      <c r="JQ27" s="211">
        <f t="shared" si="189"/>
        <v>0</v>
      </c>
      <c r="JR27" s="211">
        <f t="shared" si="189"/>
        <v>0</v>
      </c>
      <c r="JS27" s="211">
        <f t="shared" si="190"/>
        <v>0</v>
      </c>
      <c r="JT27" s="211">
        <f t="shared" si="190"/>
        <v>0</v>
      </c>
      <c r="JU27" s="211">
        <f t="shared" si="190"/>
        <v>0</v>
      </c>
      <c r="JV27" s="211">
        <f t="shared" si="190"/>
        <v>0</v>
      </c>
      <c r="JW27" s="211">
        <f t="shared" si="190"/>
        <v>0</v>
      </c>
      <c r="JX27" s="211">
        <f t="shared" si="190"/>
        <v>0</v>
      </c>
      <c r="JY27" s="211">
        <f t="shared" si="190"/>
        <v>0</v>
      </c>
      <c r="JZ27" s="211">
        <f t="shared" si="190"/>
        <v>0</v>
      </c>
      <c r="KA27" s="211">
        <f t="shared" si="190"/>
        <v>0</v>
      </c>
      <c r="KB27" s="211">
        <f t="shared" si="190"/>
        <v>0</v>
      </c>
      <c r="KC27" s="211">
        <f t="shared" si="190"/>
        <v>0</v>
      </c>
      <c r="KD27" s="211">
        <f t="shared" si="190"/>
        <v>0</v>
      </c>
      <c r="KE27" s="211">
        <f t="shared" si="190"/>
        <v>0</v>
      </c>
      <c r="KG27" s="207"/>
      <c r="KH27" s="208"/>
      <c r="KI27" s="208"/>
      <c r="KJ27" s="209"/>
      <c r="KK27" s="210"/>
      <c r="KM27" s="211"/>
      <c r="KN27" s="211"/>
      <c r="KO27" s="211"/>
      <c r="KP27" s="211"/>
      <c r="KQ27" s="211"/>
      <c r="KR27" s="211"/>
      <c r="KS27" s="211"/>
      <c r="KT27" s="211"/>
      <c r="KU27" s="211"/>
      <c r="KV27" s="211"/>
      <c r="KW27" s="211"/>
      <c r="KX27" s="211"/>
      <c r="KY27" s="211"/>
      <c r="KZ27" s="211"/>
      <c r="LA27" s="211"/>
      <c r="LB27" s="211"/>
      <c r="LC27" s="211"/>
      <c r="LD27" s="211"/>
      <c r="LE27" s="211"/>
      <c r="LF27" s="211"/>
      <c r="LG27" s="211"/>
      <c r="LH27" s="211"/>
      <c r="LI27" s="211"/>
      <c r="LJ27" s="211"/>
      <c r="LK27" s="211"/>
      <c r="LL27" s="211"/>
      <c r="LM27" s="211"/>
      <c r="LN27" s="211"/>
      <c r="LO27" s="211"/>
      <c r="LP27" s="211"/>
      <c r="LQ27" s="211"/>
      <c r="LR27" s="211"/>
      <c r="LS27" s="211"/>
      <c r="LT27" s="211"/>
      <c r="LU27" s="211"/>
      <c r="LV27" s="211"/>
      <c r="LW27" s="211"/>
      <c r="LX27" s="211"/>
      <c r="LY27" s="211"/>
      <c r="LZ27" s="211"/>
      <c r="MA27" s="211"/>
      <c r="MB27" s="211"/>
      <c r="MC27" s="211"/>
      <c r="MD27" s="211"/>
      <c r="ME27" s="211"/>
      <c r="MF27" s="211"/>
      <c r="MG27" s="211"/>
      <c r="MH27" s="211"/>
      <c r="MI27" s="211"/>
      <c r="MJ27" s="211"/>
      <c r="MK27" s="211"/>
      <c r="ML27" s="211"/>
      <c r="MM27" s="211"/>
      <c r="MN27" s="211"/>
      <c r="MO27" s="211"/>
      <c r="MP27" s="211"/>
      <c r="MQ27" s="211"/>
      <c r="MR27" s="211"/>
      <c r="MS27" s="211"/>
      <c r="MT27" s="211"/>
      <c r="MU27" s="211"/>
      <c r="MV27" s="211"/>
      <c r="MW27" s="211"/>
      <c r="MX27" s="211"/>
      <c r="MY27" s="211"/>
      <c r="MZ27" s="211"/>
      <c r="NA27" s="211"/>
      <c r="NB27" s="211"/>
      <c r="NC27" s="211"/>
      <c r="ND27" s="211"/>
      <c r="NE27" s="211"/>
      <c r="NF27" s="211"/>
      <c r="NG27" s="211"/>
      <c r="NH27" s="211"/>
      <c r="NI27" s="211"/>
      <c r="NJ27" s="211"/>
      <c r="NK27" s="211"/>
      <c r="NL27" s="211"/>
      <c r="NM27" s="211"/>
      <c r="NN27" s="211"/>
      <c r="NO27" s="211"/>
      <c r="NP27" s="211"/>
      <c r="NQ27" s="211"/>
      <c r="NR27" s="211"/>
      <c r="NS27" s="211"/>
      <c r="NT27" s="211"/>
      <c r="NU27" s="211"/>
      <c r="NV27" s="211"/>
      <c r="NW27" s="211"/>
      <c r="NX27" s="211"/>
      <c r="NY27" s="211"/>
      <c r="NZ27" s="211"/>
      <c r="OA27" s="211"/>
      <c r="OB27" s="211"/>
      <c r="OC27" s="211"/>
      <c r="OD27" s="211"/>
      <c r="OE27" s="211"/>
      <c r="OF27" s="211"/>
      <c r="OG27" s="211"/>
      <c r="OH27" s="211"/>
      <c r="OI27" s="211"/>
      <c r="OJ27" s="211"/>
      <c r="OK27" s="211"/>
      <c r="OL27" s="211"/>
      <c r="OM27" s="211"/>
      <c r="ON27" s="211"/>
      <c r="OO27" s="211"/>
      <c r="OP27" s="211"/>
      <c r="OQ27" s="211"/>
      <c r="OR27" s="211"/>
      <c r="OS27" s="211"/>
      <c r="OT27" s="211"/>
      <c r="OU27" s="211"/>
      <c r="OV27" s="211"/>
      <c r="OW27" s="211"/>
      <c r="OX27" s="211"/>
      <c r="OY27" s="211"/>
      <c r="OZ27" s="211"/>
      <c r="PA27" s="211"/>
      <c r="PB27" s="211"/>
      <c r="PC27" s="211"/>
      <c r="PD27" s="211"/>
      <c r="PE27" s="211"/>
      <c r="PF27" s="211"/>
      <c r="PG27" s="211"/>
      <c r="PH27" s="211"/>
      <c r="PI27" s="211"/>
      <c r="PJ27" s="211"/>
      <c r="PK27" s="211"/>
      <c r="PL27" s="211"/>
      <c r="PM27" s="211"/>
      <c r="PN27" s="211"/>
      <c r="PO27" s="211"/>
      <c r="PQ27" s="201"/>
      <c r="PR27" s="201"/>
      <c r="PS27" s="201"/>
      <c r="PT27" s="201"/>
      <c r="PU27" s="201"/>
      <c r="PV27" s="201"/>
      <c r="PW27" s="201"/>
      <c r="PX27" s="201"/>
      <c r="PY27" s="201"/>
      <c r="PZ27" s="201"/>
      <c r="QA27" s="201"/>
      <c r="QB27" s="201"/>
      <c r="QC27" s="201"/>
      <c r="QD27" s="201"/>
      <c r="QE27" s="201"/>
      <c r="QF27" s="201"/>
      <c r="QG27" s="201"/>
      <c r="QH27" s="201"/>
      <c r="QI27" s="201"/>
      <c r="QJ27" s="201"/>
      <c r="QK27" s="201"/>
      <c r="QL27" s="201"/>
      <c r="QM27" s="201"/>
      <c r="QN27" s="201"/>
      <c r="QO27" s="201"/>
      <c r="QP27" s="201"/>
      <c r="QQ27" s="201"/>
      <c r="QR27" s="201"/>
      <c r="QS27" s="201"/>
      <c r="QT27" s="201"/>
      <c r="QU27" s="201"/>
      <c r="QV27" s="201"/>
      <c r="QW27" s="201"/>
      <c r="QX27" s="201"/>
      <c r="QY27" s="201"/>
      <c r="QZ27" s="201"/>
      <c r="RA27" s="201"/>
      <c r="RB27" s="201"/>
      <c r="RC27" s="201"/>
      <c r="RD27" s="201"/>
      <c r="RE27" s="201"/>
      <c r="RF27" s="201"/>
      <c r="RG27" s="201"/>
      <c r="RH27" s="201"/>
      <c r="RI27" s="201"/>
      <c r="RJ27" s="201"/>
      <c r="RK27" s="201"/>
      <c r="RL27" s="201"/>
      <c r="RM27" s="201"/>
      <c r="RN27" s="201"/>
      <c r="RO27" s="201"/>
      <c r="RP27" s="201"/>
      <c r="RQ27" s="201"/>
      <c r="RR27" s="201"/>
      <c r="RS27" s="201"/>
      <c r="RT27" s="201"/>
      <c r="RU27" s="201"/>
      <c r="RV27" s="201"/>
      <c r="RW27" s="201"/>
      <c r="RX27" s="201"/>
      <c r="RY27" s="201"/>
      <c r="RZ27" s="201"/>
      <c r="SA27" s="201"/>
      <c r="SB27" s="201"/>
      <c r="SC27" s="201"/>
      <c r="SD27" s="201"/>
      <c r="SE27" s="201"/>
      <c r="SF27" s="201"/>
      <c r="SG27" s="201"/>
      <c r="SH27" s="201"/>
      <c r="SI27" s="201"/>
      <c r="SJ27" s="201"/>
      <c r="SK27" s="201"/>
      <c r="SL27" s="201"/>
      <c r="SM27" s="201"/>
      <c r="SN27" s="201"/>
      <c r="SO27" s="201"/>
      <c r="SP27" s="201"/>
      <c r="SQ27" s="201"/>
      <c r="SR27" s="201"/>
      <c r="SS27" s="201"/>
      <c r="ST27" s="201"/>
      <c r="SU27" s="201"/>
      <c r="SV27" s="201"/>
      <c r="SW27" s="201"/>
      <c r="SX27" s="201"/>
      <c r="SY27" s="201"/>
      <c r="SZ27" s="201"/>
      <c r="TA27" s="201"/>
      <c r="TB27" s="201"/>
      <c r="TC27" s="201"/>
      <c r="TD27" s="201"/>
      <c r="TE27" s="201"/>
      <c r="TF27" s="201"/>
      <c r="TG27" s="201"/>
      <c r="TH27" s="201"/>
      <c r="TI27" s="201"/>
      <c r="TJ27" s="201"/>
      <c r="TK27" s="201"/>
      <c r="TL27" s="201"/>
      <c r="TM27" s="201"/>
      <c r="TN27" s="201"/>
      <c r="TO27" s="201"/>
      <c r="TP27" s="201"/>
      <c r="TQ27" s="201"/>
      <c r="TR27" s="201"/>
      <c r="TS27" s="201"/>
      <c r="TT27" s="201"/>
      <c r="TU27" s="201"/>
      <c r="TV27" s="201"/>
      <c r="TW27" s="201"/>
      <c r="TX27" s="201"/>
      <c r="TY27" s="201"/>
      <c r="TZ27" s="201"/>
      <c r="UA27" s="201"/>
      <c r="UB27" s="201"/>
      <c r="UC27" s="201"/>
      <c r="UD27" s="201"/>
      <c r="UE27" s="201"/>
      <c r="UF27" s="201"/>
      <c r="UG27" s="201"/>
      <c r="UH27" s="201"/>
      <c r="UI27" s="201"/>
      <c r="UJ27" s="201"/>
      <c r="UK27" s="201"/>
      <c r="UL27" s="201"/>
      <c r="UM27" s="201"/>
      <c r="UN27" s="201"/>
      <c r="UO27" s="201"/>
      <c r="UP27" s="201"/>
      <c r="UQ27" s="201"/>
      <c r="UR27" s="201"/>
      <c r="US27" s="201"/>
      <c r="UT27" s="201"/>
      <c r="UU27" s="201"/>
    </row>
    <row r="28" spans="2:567" x14ac:dyDescent="0.25">
      <c r="B28" s="38" t="s">
        <v>48</v>
      </c>
      <c r="C28" s="26"/>
      <c r="D28" s="26"/>
      <c r="E28" s="39">
        <f>MIN(E24:E27)</f>
        <v>0</v>
      </c>
      <c r="F28" s="39">
        <f>MAX(F24:F27)</f>
        <v>0</v>
      </c>
      <c r="G28" s="32"/>
      <c r="H28" s="32"/>
      <c r="I28" s="33">
        <f>SUM(I24:I27)</f>
        <v>249.25595238095238</v>
      </c>
      <c r="J28" s="34">
        <f>SUM(J24:J27)</f>
        <v>209375</v>
      </c>
      <c r="K28" s="40">
        <f>SUM(K24:K27)</f>
        <v>62812500</v>
      </c>
      <c r="R28" s="90" t="str">
        <f>IF(ROUND(SUM(S28:EU28),0)=ROUND(K28,0),"Acq. Costs - OK","ERROR")</f>
        <v>Acq. Costs - OK</v>
      </c>
      <c r="S28" s="91">
        <f t="shared" ref="S28:AX28" si="328">SUM(S24:S27)</f>
        <v>62812500</v>
      </c>
      <c r="T28" s="91">
        <f t="shared" si="328"/>
        <v>0</v>
      </c>
      <c r="U28" s="91">
        <f t="shared" si="328"/>
        <v>0</v>
      </c>
      <c r="V28" s="91">
        <f t="shared" si="328"/>
        <v>0</v>
      </c>
      <c r="W28" s="91">
        <f t="shared" si="328"/>
        <v>0</v>
      </c>
      <c r="X28" s="91">
        <f t="shared" si="328"/>
        <v>0</v>
      </c>
      <c r="Y28" s="91">
        <f t="shared" si="328"/>
        <v>0</v>
      </c>
      <c r="Z28" s="91">
        <f t="shared" si="328"/>
        <v>0</v>
      </c>
      <c r="AA28" s="91">
        <f t="shared" si="328"/>
        <v>0</v>
      </c>
      <c r="AB28" s="91">
        <f t="shared" si="328"/>
        <v>0</v>
      </c>
      <c r="AC28" s="91">
        <f t="shared" si="328"/>
        <v>0</v>
      </c>
      <c r="AD28" s="91">
        <f t="shared" si="328"/>
        <v>0</v>
      </c>
      <c r="AE28" s="91">
        <f t="shared" si="328"/>
        <v>0</v>
      </c>
      <c r="AF28" s="91">
        <f t="shared" si="328"/>
        <v>0</v>
      </c>
      <c r="AG28" s="91">
        <f t="shared" si="328"/>
        <v>0</v>
      </c>
      <c r="AH28" s="91">
        <f t="shared" si="328"/>
        <v>0</v>
      </c>
      <c r="AI28" s="91">
        <f t="shared" si="328"/>
        <v>0</v>
      </c>
      <c r="AJ28" s="91">
        <f t="shared" si="328"/>
        <v>0</v>
      </c>
      <c r="AK28" s="91">
        <f t="shared" si="328"/>
        <v>0</v>
      </c>
      <c r="AL28" s="91">
        <f t="shared" si="328"/>
        <v>0</v>
      </c>
      <c r="AM28" s="91">
        <f t="shared" si="328"/>
        <v>0</v>
      </c>
      <c r="AN28" s="91">
        <f t="shared" si="328"/>
        <v>0</v>
      </c>
      <c r="AO28" s="91">
        <f t="shared" si="328"/>
        <v>0</v>
      </c>
      <c r="AP28" s="91">
        <f t="shared" si="328"/>
        <v>0</v>
      </c>
      <c r="AQ28" s="91">
        <f t="shared" si="328"/>
        <v>0</v>
      </c>
      <c r="AR28" s="91">
        <f t="shared" si="328"/>
        <v>0</v>
      </c>
      <c r="AS28" s="91">
        <f t="shared" si="328"/>
        <v>0</v>
      </c>
      <c r="AT28" s="91">
        <f t="shared" si="328"/>
        <v>0</v>
      </c>
      <c r="AU28" s="91">
        <f t="shared" si="328"/>
        <v>0</v>
      </c>
      <c r="AV28" s="91">
        <f t="shared" si="328"/>
        <v>0</v>
      </c>
      <c r="AW28" s="91">
        <f t="shared" si="328"/>
        <v>0</v>
      </c>
      <c r="AX28" s="91">
        <f t="shared" si="328"/>
        <v>0</v>
      </c>
      <c r="AY28" s="91">
        <f t="shared" ref="AY28:CD28" si="329">SUM(AY24:AY27)</f>
        <v>0</v>
      </c>
      <c r="AZ28" s="91">
        <f t="shared" si="329"/>
        <v>0</v>
      </c>
      <c r="BA28" s="91">
        <f t="shared" si="329"/>
        <v>0</v>
      </c>
      <c r="BB28" s="91">
        <f t="shared" si="329"/>
        <v>0</v>
      </c>
      <c r="BC28" s="91">
        <f t="shared" si="329"/>
        <v>0</v>
      </c>
      <c r="BD28" s="91">
        <f t="shared" si="329"/>
        <v>0</v>
      </c>
      <c r="BE28" s="91">
        <f t="shared" si="329"/>
        <v>0</v>
      </c>
      <c r="BF28" s="91">
        <f t="shared" si="329"/>
        <v>0</v>
      </c>
      <c r="BG28" s="91">
        <f t="shared" si="329"/>
        <v>0</v>
      </c>
      <c r="BH28" s="91">
        <f t="shared" si="329"/>
        <v>0</v>
      </c>
      <c r="BI28" s="91">
        <f t="shared" si="329"/>
        <v>0</v>
      </c>
      <c r="BJ28" s="91">
        <f t="shared" si="329"/>
        <v>0</v>
      </c>
      <c r="BK28" s="91">
        <f t="shared" si="329"/>
        <v>0</v>
      </c>
      <c r="BL28" s="91">
        <f t="shared" si="329"/>
        <v>0</v>
      </c>
      <c r="BM28" s="91">
        <f t="shared" si="329"/>
        <v>0</v>
      </c>
      <c r="BN28" s="91">
        <f t="shared" si="329"/>
        <v>0</v>
      </c>
      <c r="BO28" s="91">
        <f t="shared" si="329"/>
        <v>0</v>
      </c>
      <c r="BP28" s="91">
        <f t="shared" si="329"/>
        <v>0</v>
      </c>
      <c r="BQ28" s="91">
        <f t="shared" si="329"/>
        <v>0</v>
      </c>
      <c r="BR28" s="91">
        <f t="shared" si="329"/>
        <v>0</v>
      </c>
      <c r="BS28" s="91">
        <f t="shared" si="329"/>
        <v>0</v>
      </c>
      <c r="BT28" s="91">
        <f t="shared" si="329"/>
        <v>0</v>
      </c>
      <c r="BU28" s="91">
        <f t="shared" si="329"/>
        <v>0</v>
      </c>
      <c r="BV28" s="91">
        <f t="shared" si="329"/>
        <v>0</v>
      </c>
      <c r="BW28" s="91">
        <f t="shared" si="329"/>
        <v>0</v>
      </c>
      <c r="BX28" s="91">
        <f t="shared" si="329"/>
        <v>0</v>
      </c>
      <c r="BY28" s="91">
        <f t="shared" si="329"/>
        <v>0</v>
      </c>
      <c r="BZ28" s="91">
        <f t="shared" si="329"/>
        <v>0</v>
      </c>
      <c r="CA28" s="91">
        <f t="shared" si="329"/>
        <v>0</v>
      </c>
      <c r="CB28" s="91">
        <f t="shared" si="329"/>
        <v>0</v>
      </c>
      <c r="CC28" s="91">
        <f t="shared" si="329"/>
        <v>0</v>
      </c>
      <c r="CD28" s="91">
        <f t="shared" si="329"/>
        <v>0</v>
      </c>
      <c r="CE28" s="91">
        <f t="shared" ref="CE28:DJ28" si="330">SUM(CE24:CE27)</f>
        <v>0</v>
      </c>
      <c r="CF28" s="91">
        <f t="shared" si="330"/>
        <v>0</v>
      </c>
      <c r="CG28" s="91">
        <f t="shared" si="330"/>
        <v>0</v>
      </c>
      <c r="CH28" s="91">
        <f t="shared" si="330"/>
        <v>0</v>
      </c>
      <c r="CI28" s="91">
        <f t="shared" si="330"/>
        <v>0</v>
      </c>
      <c r="CJ28" s="91">
        <f t="shared" si="330"/>
        <v>0</v>
      </c>
      <c r="CK28" s="91">
        <f t="shared" si="330"/>
        <v>0</v>
      </c>
      <c r="CL28" s="91">
        <f t="shared" si="330"/>
        <v>0</v>
      </c>
      <c r="CM28" s="91">
        <f t="shared" si="330"/>
        <v>0</v>
      </c>
      <c r="CN28" s="91">
        <f t="shared" si="330"/>
        <v>0</v>
      </c>
      <c r="CO28" s="91">
        <f t="shared" si="330"/>
        <v>0</v>
      </c>
      <c r="CP28" s="91">
        <f t="shared" si="330"/>
        <v>0</v>
      </c>
      <c r="CQ28" s="91">
        <f t="shared" si="330"/>
        <v>0</v>
      </c>
      <c r="CR28" s="91">
        <f t="shared" si="330"/>
        <v>0</v>
      </c>
      <c r="CS28" s="91">
        <f t="shared" si="330"/>
        <v>0</v>
      </c>
      <c r="CT28" s="91">
        <f t="shared" si="330"/>
        <v>0</v>
      </c>
      <c r="CU28" s="91">
        <f t="shared" si="330"/>
        <v>0</v>
      </c>
      <c r="CV28" s="91">
        <f t="shared" si="330"/>
        <v>0</v>
      </c>
      <c r="CW28" s="91">
        <f t="shared" si="330"/>
        <v>0</v>
      </c>
      <c r="CX28" s="91">
        <f t="shared" si="330"/>
        <v>0</v>
      </c>
      <c r="CY28" s="91">
        <f t="shared" si="330"/>
        <v>0</v>
      </c>
      <c r="CZ28" s="91">
        <f t="shared" si="330"/>
        <v>0</v>
      </c>
      <c r="DA28" s="91">
        <f t="shared" si="330"/>
        <v>0</v>
      </c>
      <c r="DB28" s="91">
        <f t="shared" si="330"/>
        <v>0</v>
      </c>
      <c r="DC28" s="91">
        <f t="shared" si="330"/>
        <v>0</v>
      </c>
      <c r="DD28" s="91">
        <f t="shared" si="330"/>
        <v>0</v>
      </c>
      <c r="DE28" s="91">
        <f t="shared" si="330"/>
        <v>0</v>
      </c>
      <c r="DF28" s="91">
        <f t="shared" si="330"/>
        <v>0</v>
      </c>
      <c r="DG28" s="91">
        <f t="shared" si="330"/>
        <v>0</v>
      </c>
      <c r="DH28" s="91">
        <f t="shared" si="330"/>
        <v>0</v>
      </c>
      <c r="DI28" s="91">
        <f t="shared" si="330"/>
        <v>0</v>
      </c>
      <c r="DJ28" s="91">
        <f t="shared" si="330"/>
        <v>0</v>
      </c>
      <c r="DK28" s="91">
        <f t="shared" ref="DK28:EP28" si="331">SUM(DK24:DK27)</f>
        <v>0</v>
      </c>
      <c r="DL28" s="91">
        <f t="shared" si="331"/>
        <v>0</v>
      </c>
      <c r="DM28" s="91">
        <f t="shared" si="331"/>
        <v>0</v>
      </c>
      <c r="DN28" s="91">
        <f t="shared" si="331"/>
        <v>0</v>
      </c>
      <c r="DO28" s="91">
        <f t="shared" si="331"/>
        <v>0</v>
      </c>
      <c r="DP28" s="91">
        <f t="shared" si="331"/>
        <v>0</v>
      </c>
      <c r="DQ28" s="91">
        <f t="shared" si="331"/>
        <v>0</v>
      </c>
      <c r="DR28" s="91">
        <f t="shared" si="331"/>
        <v>0</v>
      </c>
      <c r="DS28" s="91">
        <f t="shared" si="331"/>
        <v>0</v>
      </c>
      <c r="DT28" s="91">
        <f t="shared" si="331"/>
        <v>0</v>
      </c>
      <c r="DU28" s="91">
        <f t="shared" si="331"/>
        <v>0</v>
      </c>
      <c r="DV28" s="91">
        <f t="shared" si="331"/>
        <v>0</v>
      </c>
      <c r="DW28" s="91">
        <f t="shared" si="331"/>
        <v>0</v>
      </c>
      <c r="DX28" s="91">
        <f t="shared" si="331"/>
        <v>0</v>
      </c>
      <c r="DY28" s="91">
        <f t="shared" si="331"/>
        <v>0</v>
      </c>
      <c r="DZ28" s="91">
        <f t="shared" si="331"/>
        <v>0</v>
      </c>
      <c r="EA28" s="91">
        <f t="shared" si="331"/>
        <v>0</v>
      </c>
      <c r="EB28" s="91">
        <f t="shared" si="331"/>
        <v>0</v>
      </c>
      <c r="EC28" s="91">
        <f t="shared" si="331"/>
        <v>0</v>
      </c>
      <c r="ED28" s="91">
        <f t="shared" si="331"/>
        <v>0</v>
      </c>
      <c r="EE28" s="91">
        <f t="shared" si="331"/>
        <v>0</v>
      </c>
      <c r="EF28" s="91">
        <f t="shared" si="331"/>
        <v>0</v>
      </c>
      <c r="EG28" s="91">
        <f t="shared" si="331"/>
        <v>0</v>
      </c>
      <c r="EH28" s="91">
        <f t="shared" si="331"/>
        <v>0</v>
      </c>
      <c r="EI28" s="91">
        <f t="shared" si="331"/>
        <v>0</v>
      </c>
      <c r="EJ28" s="91">
        <f t="shared" si="331"/>
        <v>0</v>
      </c>
      <c r="EK28" s="91">
        <f t="shared" si="331"/>
        <v>0</v>
      </c>
      <c r="EL28" s="91">
        <f t="shared" si="331"/>
        <v>0</v>
      </c>
      <c r="EM28" s="91">
        <f t="shared" si="331"/>
        <v>0</v>
      </c>
      <c r="EN28" s="91">
        <f t="shared" si="331"/>
        <v>0</v>
      </c>
      <c r="EO28" s="91">
        <f t="shared" si="331"/>
        <v>0</v>
      </c>
      <c r="EP28" s="91">
        <f t="shared" si="331"/>
        <v>0</v>
      </c>
      <c r="EQ28" s="91">
        <f t="shared" ref="EQ28:EU28" si="332">SUM(EQ24:EQ27)</f>
        <v>0</v>
      </c>
      <c r="ER28" s="91">
        <f t="shared" si="332"/>
        <v>0</v>
      </c>
      <c r="ES28" s="91">
        <f t="shared" si="332"/>
        <v>0</v>
      </c>
      <c r="ET28" s="91">
        <f t="shared" si="332"/>
        <v>0</v>
      </c>
      <c r="EU28" s="91">
        <f t="shared" si="332"/>
        <v>0</v>
      </c>
      <c r="EY28" s="216" t="s">
        <v>444</v>
      </c>
      <c r="EZ28" s="199">
        <f>COUNTA($B$24:$B$27)</f>
        <v>4</v>
      </c>
      <c r="FC28" s="199"/>
      <c r="FD28" s="199"/>
      <c r="FE28" s="199"/>
      <c r="FF28" s="199"/>
      <c r="FG28" s="199"/>
      <c r="FH28" s="199"/>
      <c r="FI28" s="199"/>
      <c r="FJ28" s="199"/>
      <c r="FK28" s="199"/>
      <c r="FL28" s="199"/>
      <c r="FM28" s="199"/>
      <c r="FN28" s="199"/>
      <c r="FO28" s="199"/>
      <c r="FP28" s="199"/>
      <c r="FQ28" s="199"/>
      <c r="FR28" s="199"/>
      <c r="FS28" s="199"/>
      <c r="FT28" s="199"/>
      <c r="FU28" s="199"/>
      <c r="FV28" s="199"/>
      <c r="FW28" s="199"/>
      <c r="FX28" s="199"/>
      <c r="FY28" s="199"/>
      <c r="FZ28" s="199"/>
      <c r="GA28" s="199"/>
      <c r="GB28" s="199"/>
      <c r="GC28" s="199"/>
      <c r="GD28" s="199"/>
      <c r="GE28" s="199"/>
      <c r="GF28" s="199"/>
      <c r="GG28" s="199"/>
      <c r="GH28" s="199"/>
      <c r="GI28" s="199"/>
      <c r="GJ28" s="199"/>
      <c r="GK28" s="199"/>
      <c r="GL28" s="199"/>
      <c r="GM28" s="199"/>
      <c r="GN28" s="199"/>
      <c r="GO28" s="199"/>
      <c r="GP28" s="199"/>
      <c r="GQ28" s="199"/>
      <c r="GR28" s="199"/>
      <c r="GS28" s="199"/>
      <c r="GT28" s="199"/>
      <c r="GU28" s="199"/>
      <c r="GV28" s="199"/>
      <c r="GW28" s="199"/>
      <c r="GX28" s="199"/>
      <c r="GY28" s="199"/>
      <c r="GZ28" s="199"/>
      <c r="HA28" s="199"/>
      <c r="HB28" s="199"/>
      <c r="HC28" s="199"/>
      <c r="HD28" s="199"/>
      <c r="HE28" s="199"/>
      <c r="HF28" s="199"/>
      <c r="HG28" s="199"/>
      <c r="HH28" s="199"/>
      <c r="HI28" s="199"/>
      <c r="HJ28" s="199"/>
      <c r="HK28" s="199"/>
      <c r="HL28" s="199"/>
      <c r="HM28" s="199"/>
      <c r="HN28" s="199"/>
      <c r="HO28" s="199"/>
      <c r="HP28" s="199"/>
      <c r="HQ28" s="199"/>
      <c r="HR28" s="199"/>
      <c r="HS28" s="199"/>
      <c r="HT28" s="199"/>
      <c r="HU28" s="199"/>
      <c r="HV28" s="199"/>
      <c r="HW28" s="199"/>
      <c r="HX28" s="199"/>
      <c r="HY28" s="199"/>
      <c r="HZ28" s="199"/>
      <c r="IA28" s="199"/>
      <c r="IB28" s="199"/>
      <c r="IC28" s="199"/>
      <c r="ID28" s="199"/>
      <c r="IE28" s="199"/>
      <c r="IF28" s="199"/>
      <c r="IG28" s="199"/>
      <c r="IH28" s="199"/>
      <c r="II28" s="199"/>
      <c r="IJ28" s="199"/>
      <c r="IK28" s="199"/>
      <c r="IL28" s="199"/>
      <c r="IM28" s="199"/>
      <c r="IN28" s="199"/>
      <c r="IO28" s="199"/>
      <c r="IP28" s="199"/>
      <c r="IQ28" s="199"/>
      <c r="IR28" s="199"/>
      <c r="IS28" s="199"/>
      <c r="IT28" s="199"/>
      <c r="IU28" s="199"/>
      <c r="IV28" s="199"/>
      <c r="IW28" s="199"/>
      <c r="IX28" s="199"/>
      <c r="IY28" s="199"/>
      <c r="IZ28" s="199"/>
      <c r="JA28" s="199"/>
      <c r="JB28" s="199"/>
      <c r="JC28" s="199"/>
      <c r="JD28" s="199"/>
      <c r="JE28" s="199"/>
      <c r="JF28" s="199"/>
      <c r="JG28" s="199"/>
      <c r="JH28" s="199"/>
      <c r="JI28" s="199"/>
      <c r="JJ28" s="199"/>
      <c r="JK28" s="199"/>
      <c r="JL28" s="199"/>
      <c r="JM28" s="199"/>
      <c r="JN28" s="199"/>
      <c r="JO28" s="199"/>
      <c r="JP28" s="199"/>
      <c r="JQ28" s="199"/>
      <c r="JR28" s="199"/>
      <c r="JS28" s="199"/>
      <c r="JT28" s="199"/>
      <c r="JU28" s="199"/>
      <c r="JV28" s="199"/>
      <c r="JW28" s="199"/>
      <c r="JX28" s="199"/>
      <c r="JY28" s="199"/>
      <c r="JZ28" s="199"/>
      <c r="KA28" s="199"/>
      <c r="KB28" s="199"/>
      <c r="KC28" s="199"/>
      <c r="KD28" s="199"/>
      <c r="KE28" s="199"/>
      <c r="PQ28" s="201"/>
      <c r="PR28" s="201"/>
      <c r="PS28" s="201"/>
      <c r="PT28" s="201"/>
      <c r="PU28" s="201"/>
      <c r="PV28" s="201"/>
      <c r="PW28" s="201"/>
      <c r="PX28" s="201"/>
      <c r="PY28" s="201"/>
      <c r="PZ28" s="201"/>
      <c r="QA28" s="201"/>
      <c r="QB28" s="201"/>
      <c r="QC28" s="201"/>
      <c r="QD28" s="201"/>
      <c r="QE28" s="201"/>
      <c r="QF28" s="201"/>
      <c r="QG28" s="201"/>
      <c r="QH28" s="201"/>
      <c r="QI28" s="201"/>
      <c r="QJ28" s="201"/>
      <c r="QK28" s="201"/>
      <c r="QL28" s="201"/>
      <c r="QM28" s="201"/>
      <c r="QN28" s="201"/>
      <c r="QO28" s="201"/>
      <c r="QP28" s="201"/>
      <c r="QQ28" s="201"/>
      <c r="QR28" s="201"/>
      <c r="QS28" s="201"/>
      <c r="QT28" s="201"/>
      <c r="QU28" s="201"/>
      <c r="QV28" s="201"/>
      <c r="QW28" s="201"/>
      <c r="QX28" s="201"/>
      <c r="QY28" s="201"/>
      <c r="QZ28" s="201"/>
      <c r="RA28" s="201"/>
      <c r="RB28" s="201"/>
      <c r="RC28" s="201"/>
      <c r="RD28" s="201"/>
      <c r="RE28" s="201"/>
      <c r="RF28" s="201"/>
      <c r="RG28" s="201"/>
      <c r="RH28" s="201"/>
      <c r="RI28" s="201"/>
      <c r="RJ28" s="201"/>
      <c r="RK28" s="201"/>
      <c r="RL28" s="201"/>
      <c r="RM28" s="201"/>
      <c r="RN28" s="201"/>
      <c r="RO28" s="201"/>
      <c r="RP28" s="201"/>
      <c r="RQ28" s="201"/>
      <c r="RR28" s="201"/>
      <c r="RS28" s="201"/>
      <c r="RT28" s="201"/>
      <c r="RU28" s="201"/>
      <c r="RV28" s="201"/>
      <c r="RW28" s="201"/>
      <c r="RX28" s="201"/>
      <c r="RY28" s="201"/>
      <c r="RZ28" s="201"/>
      <c r="SA28" s="201"/>
      <c r="SB28" s="201"/>
      <c r="SC28" s="201"/>
      <c r="SD28" s="201"/>
      <c r="SE28" s="201"/>
      <c r="SF28" s="201"/>
      <c r="SG28" s="201"/>
      <c r="SH28" s="201"/>
      <c r="SI28" s="201"/>
      <c r="SJ28" s="201"/>
      <c r="SK28" s="201"/>
      <c r="SL28" s="201"/>
      <c r="SM28" s="201"/>
      <c r="SN28" s="201"/>
      <c r="SO28" s="201"/>
      <c r="SP28" s="201"/>
      <c r="SQ28" s="201"/>
      <c r="SR28" s="201"/>
      <c r="SS28" s="201"/>
      <c r="ST28" s="201"/>
      <c r="SU28" s="201"/>
      <c r="SV28" s="201"/>
      <c r="SW28" s="201"/>
      <c r="SX28" s="201"/>
      <c r="SY28" s="201"/>
      <c r="SZ28" s="201"/>
      <c r="TA28" s="201"/>
      <c r="TB28" s="201"/>
      <c r="TC28" s="201"/>
      <c r="TD28" s="201"/>
      <c r="TE28" s="201"/>
      <c r="TF28" s="201"/>
      <c r="TG28" s="201"/>
      <c r="TH28" s="201"/>
      <c r="TI28" s="201"/>
      <c r="TJ28" s="201"/>
      <c r="TK28" s="201"/>
      <c r="TL28" s="201"/>
      <c r="TM28" s="201"/>
      <c r="TN28" s="201"/>
      <c r="TO28" s="201"/>
      <c r="TP28" s="201"/>
      <c r="TQ28" s="201"/>
      <c r="TR28" s="201"/>
      <c r="TS28" s="201"/>
      <c r="TT28" s="201"/>
      <c r="TU28" s="201"/>
      <c r="TV28" s="201"/>
      <c r="TW28" s="201"/>
      <c r="TX28" s="201"/>
      <c r="TY28" s="201"/>
      <c r="TZ28" s="201"/>
      <c r="UA28" s="201"/>
      <c r="UB28" s="201"/>
      <c r="UC28" s="201"/>
      <c r="UD28" s="201"/>
      <c r="UE28" s="201"/>
      <c r="UF28" s="201"/>
      <c r="UG28" s="201"/>
      <c r="UH28" s="201"/>
      <c r="UI28" s="201"/>
      <c r="UJ28" s="201"/>
      <c r="UK28" s="201"/>
      <c r="UL28" s="201"/>
      <c r="UM28" s="201"/>
      <c r="UN28" s="201"/>
      <c r="UO28" s="201"/>
      <c r="UP28" s="201"/>
      <c r="UQ28" s="201"/>
      <c r="UR28" s="201"/>
      <c r="US28" s="201"/>
      <c r="UT28" s="201"/>
      <c r="UU28" s="201"/>
    </row>
    <row r="29" spans="2:567" ht="5.0999999999999996" customHeight="1" x14ac:dyDescent="0.25">
      <c r="B29" s="41"/>
      <c r="C29" s="26"/>
      <c r="D29" s="26"/>
      <c r="E29" s="32"/>
      <c r="F29" s="32"/>
      <c r="G29" s="32"/>
      <c r="H29" s="32"/>
      <c r="I29" s="33"/>
      <c r="J29" s="42"/>
      <c r="K29" s="43"/>
      <c r="S29" s="91"/>
      <c r="T29" s="91"/>
      <c r="U29" s="91"/>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91"/>
      <c r="AZ29" s="91"/>
      <c r="BA29" s="91"/>
      <c r="BB29" s="91"/>
      <c r="BC29" s="91"/>
      <c r="BD29" s="91"/>
      <c r="BE29" s="91"/>
      <c r="BF29" s="91"/>
      <c r="BG29" s="91"/>
      <c r="BH29" s="91"/>
      <c r="BI29" s="91"/>
      <c r="BJ29" s="91"/>
      <c r="BK29" s="91"/>
      <c r="BL29" s="91"/>
      <c r="BM29" s="91"/>
      <c r="BN29" s="91"/>
      <c r="BO29" s="91"/>
      <c r="BP29" s="91"/>
      <c r="BQ29" s="91"/>
      <c r="BR29" s="91"/>
      <c r="BS29" s="91"/>
      <c r="BT29" s="91"/>
      <c r="BU29" s="91"/>
      <c r="BV29" s="91"/>
      <c r="BW29" s="91"/>
      <c r="BX29" s="91"/>
      <c r="BY29" s="91"/>
      <c r="BZ29" s="91"/>
      <c r="CA29" s="91"/>
      <c r="CB29" s="91"/>
      <c r="CC29" s="91"/>
      <c r="CD29" s="91"/>
      <c r="CE29" s="91"/>
      <c r="CF29" s="91"/>
      <c r="CG29" s="91"/>
      <c r="CH29" s="91"/>
      <c r="CI29" s="91"/>
      <c r="CJ29" s="91"/>
      <c r="CK29" s="91"/>
      <c r="CL29" s="91"/>
      <c r="CM29" s="91"/>
      <c r="CN29" s="91"/>
      <c r="CO29" s="91"/>
      <c r="CP29" s="91"/>
      <c r="CQ29" s="91"/>
      <c r="CR29" s="91"/>
      <c r="CS29" s="91"/>
      <c r="CT29" s="91"/>
      <c r="CU29" s="91"/>
      <c r="CV29" s="91"/>
      <c r="CW29" s="91"/>
      <c r="CX29" s="91"/>
      <c r="CY29" s="91"/>
      <c r="CZ29" s="91"/>
      <c r="DA29" s="91"/>
      <c r="DB29" s="91"/>
      <c r="DC29" s="91"/>
      <c r="DD29" s="91"/>
      <c r="DE29" s="91"/>
      <c r="DF29" s="91"/>
      <c r="DG29" s="91"/>
      <c r="DH29" s="91"/>
      <c r="DI29" s="91"/>
      <c r="DJ29" s="91"/>
      <c r="DK29" s="91"/>
      <c r="DL29" s="91"/>
      <c r="DM29" s="91"/>
      <c r="DN29" s="91"/>
      <c r="DO29" s="91"/>
      <c r="DP29" s="91"/>
      <c r="DQ29" s="91"/>
      <c r="DR29" s="91"/>
      <c r="DS29" s="91"/>
      <c r="DT29" s="91"/>
      <c r="DU29" s="91"/>
      <c r="DV29" s="91"/>
      <c r="DW29" s="91"/>
      <c r="DX29" s="91"/>
      <c r="DY29" s="91"/>
      <c r="DZ29" s="91"/>
      <c r="EA29" s="91"/>
      <c r="EB29" s="91"/>
      <c r="EC29" s="91"/>
      <c r="ED29" s="91"/>
      <c r="EE29" s="91"/>
      <c r="EF29" s="91"/>
      <c r="EG29" s="91"/>
      <c r="EH29" s="91"/>
      <c r="EI29" s="91"/>
      <c r="EJ29" s="91"/>
      <c r="EK29" s="91"/>
      <c r="EL29" s="91"/>
      <c r="EM29" s="91"/>
      <c r="EN29" s="91"/>
      <c r="EO29" s="91"/>
      <c r="EP29" s="91"/>
      <c r="EQ29" s="91"/>
      <c r="ER29" s="91"/>
      <c r="ES29" s="91"/>
      <c r="ET29" s="91"/>
      <c r="EU29" s="91"/>
      <c r="FC29" s="199"/>
      <c r="FD29" s="199"/>
      <c r="FE29" s="199"/>
      <c r="FF29" s="199"/>
      <c r="FG29" s="199"/>
      <c r="FH29" s="199"/>
      <c r="FI29" s="199"/>
      <c r="FJ29" s="199"/>
      <c r="FK29" s="199"/>
      <c r="FL29" s="199"/>
      <c r="FM29" s="199"/>
      <c r="FN29" s="199"/>
      <c r="FO29" s="199"/>
      <c r="FP29" s="199"/>
      <c r="FQ29" s="199"/>
      <c r="FR29" s="199"/>
      <c r="FS29" s="199"/>
      <c r="FT29" s="199"/>
      <c r="FU29" s="199"/>
      <c r="FV29" s="199"/>
      <c r="FW29" s="199"/>
      <c r="FX29" s="199"/>
      <c r="FY29" s="199"/>
      <c r="FZ29" s="199"/>
      <c r="GA29" s="199"/>
      <c r="GB29" s="199"/>
      <c r="GC29" s="199"/>
      <c r="GD29" s="199"/>
      <c r="GE29" s="199"/>
      <c r="GF29" s="199"/>
      <c r="GG29" s="199"/>
      <c r="GH29" s="199"/>
      <c r="GI29" s="199"/>
      <c r="GJ29" s="199"/>
      <c r="GK29" s="199"/>
      <c r="GL29" s="199"/>
      <c r="GM29" s="199"/>
      <c r="GN29" s="199"/>
      <c r="GO29" s="199"/>
      <c r="GP29" s="199"/>
      <c r="GQ29" s="199"/>
      <c r="GR29" s="199"/>
      <c r="GS29" s="199"/>
      <c r="GT29" s="199"/>
      <c r="GU29" s="199"/>
      <c r="GV29" s="199"/>
      <c r="GW29" s="199"/>
      <c r="GX29" s="199"/>
      <c r="GY29" s="199"/>
      <c r="GZ29" s="199"/>
      <c r="HA29" s="199"/>
      <c r="HB29" s="199"/>
      <c r="HC29" s="199"/>
      <c r="HD29" s="199"/>
      <c r="HE29" s="199"/>
      <c r="HF29" s="199"/>
      <c r="HG29" s="199"/>
      <c r="HH29" s="199"/>
      <c r="HI29" s="199"/>
      <c r="HJ29" s="199"/>
      <c r="HK29" s="199"/>
      <c r="HL29" s="199"/>
      <c r="HM29" s="199"/>
      <c r="HN29" s="199"/>
      <c r="HO29" s="199"/>
      <c r="HP29" s="199"/>
      <c r="HQ29" s="199"/>
      <c r="HR29" s="199"/>
      <c r="HS29" s="199"/>
      <c r="HT29" s="199"/>
      <c r="HU29" s="199"/>
      <c r="HV29" s="199"/>
      <c r="HW29" s="199"/>
      <c r="HX29" s="199"/>
      <c r="HY29" s="199"/>
      <c r="HZ29" s="199"/>
      <c r="IA29" s="199"/>
      <c r="IB29" s="199"/>
      <c r="IC29" s="199"/>
      <c r="ID29" s="199"/>
      <c r="IE29" s="199"/>
      <c r="IF29" s="199"/>
      <c r="IG29" s="199"/>
      <c r="IH29" s="199"/>
      <c r="II29" s="199"/>
      <c r="IJ29" s="199"/>
      <c r="IK29" s="199"/>
      <c r="IL29" s="199"/>
      <c r="IM29" s="199"/>
      <c r="IN29" s="199"/>
      <c r="IO29" s="199"/>
      <c r="IP29" s="199"/>
      <c r="IQ29" s="199"/>
      <c r="IR29" s="199"/>
      <c r="IS29" s="199"/>
      <c r="IT29" s="199"/>
      <c r="IU29" s="199"/>
      <c r="IV29" s="199"/>
      <c r="IW29" s="199"/>
      <c r="IX29" s="199"/>
      <c r="IY29" s="199"/>
      <c r="IZ29" s="199"/>
      <c r="JA29" s="199"/>
      <c r="JB29" s="199"/>
      <c r="JC29" s="199"/>
      <c r="JD29" s="199"/>
      <c r="JE29" s="199"/>
      <c r="JF29" s="199"/>
      <c r="JG29" s="199"/>
      <c r="JH29" s="199"/>
      <c r="JI29" s="199"/>
      <c r="JJ29" s="199"/>
      <c r="JK29" s="199"/>
      <c r="JL29" s="199"/>
      <c r="JM29" s="199"/>
      <c r="JN29" s="199"/>
      <c r="JO29" s="199"/>
      <c r="JP29" s="199"/>
      <c r="JQ29" s="199"/>
      <c r="JR29" s="199"/>
      <c r="JS29" s="199"/>
      <c r="JT29" s="199"/>
      <c r="JU29" s="199"/>
      <c r="JV29" s="199"/>
      <c r="JW29" s="199"/>
      <c r="JX29" s="199"/>
      <c r="JY29" s="199"/>
      <c r="JZ29" s="199"/>
      <c r="KA29" s="199"/>
      <c r="KB29" s="199"/>
      <c r="KC29" s="199"/>
      <c r="KD29" s="199"/>
      <c r="KE29" s="199"/>
      <c r="PQ29" s="201"/>
      <c r="PR29" s="201"/>
      <c r="PS29" s="201"/>
      <c r="PT29" s="201"/>
      <c r="PU29" s="201"/>
      <c r="PV29" s="201"/>
      <c r="PW29" s="201"/>
      <c r="PX29" s="201"/>
      <c r="PY29" s="201"/>
      <c r="PZ29" s="201"/>
      <c r="QA29" s="201"/>
      <c r="QB29" s="201"/>
      <c r="QC29" s="201"/>
      <c r="QD29" s="201"/>
      <c r="QE29" s="201"/>
      <c r="QF29" s="201"/>
      <c r="QG29" s="201"/>
      <c r="QH29" s="201"/>
      <c r="QI29" s="201"/>
      <c r="QJ29" s="201"/>
      <c r="QK29" s="201"/>
      <c r="QL29" s="201"/>
      <c r="QM29" s="201"/>
      <c r="QN29" s="201"/>
      <c r="QO29" s="201"/>
      <c r="QP29" s="201"/>
      <c r="QQ29" s="201"/>
      <c r="QR29" s="201"/>
      <c r="QS29" s="201"/>
      <c r="QT29" s="201"/>
      <c r="QU29" s="201"/>
      <c r="QV29" s="201"/>
      <c r="QW29" s="201"/>
      <c r="QX29" s="201"/>
      <c r="QY29" s="201"/>
      <c r="QZ29" s="201"/>
      <c r="RA29" s="201"/>
      <c r="RB29" s="201"/>
      <c r="RC29" s="201"/>
      <c r="RD29" s="201"/>
      <c r="RE29" s="201"/>
      <c r="RF29" s="201"/>
      <c r="RG29" s="201"/>
      <c r="RH29" s="201"/>
      <c r="RI29" s="201"/>
      <c r="RJ29" s="201"/>
      <c r="RK29" s="201"/>
      <c r="RL29" s="201"/>
      <c r="RM29" s="201"/>
      <c r="RN29" s="201"/>
      <c r="RO29" s="201"/>
      <c r="RP29" s="201"/>
      <c r="RQ29" s="201"/>
      <c r="RR29" s="201"/>
      <c r="RS29" s="201"/>
      <c r="RT29" s="201"/>
      <c r="RU29" s="201"/>
      <c r="RV29" s="201"/>
      <c r="RW29" s="201"/>
      <c r="RX29" s="201"/>
      <c r="RY29" s="201"/>
      <c r="RZ29" s="201"/>
      <c r="SA29" s="201"/>
      <c r="SB29" s="201"/>
      <c r="SC29" s="201"/>
      <c r="SD29" s="201"/>
      <c r="SE29" s="201"/>
      <c r="SF29" s="201"/>
      <c r="SG29" s="201"/>
      <c r="SH29" s="201"/>
      <c r="SI29" s="201"/>
      <c r="SJ29" s="201"/>
      <c r="SK29" s="201"/>
      <c r="SL29" s="201"/>
      <c r="SM29" s="201"/>
      <c r="SN29" s="201"/>
      <c r="SO29" s="201"/>
      <c r="SP29" s="201"/>
      <c r="SQ29" s="201"/>
      <c r="SR29" s="201"/>
      <c r="SS29" s="201"/>
      <c r="ST29" s="201"/>
      <c r="SU29" s="201"/>
      <c r="SV29" s="201"/>
      <c r="SW29" s="201"/>
      <c r="SX29" s="201"/>
      <c r="SY29" s="201"/>
      <c r="SZ29" s="201"/>
      <c r="TA29" s="201"/>
      <c r="TB29" s="201"/>
      <c r="TC29" s="201"/>
      <c r="TD29" s="201"/>
      <c r="TE29" s="201"/>
      <c r="TF29" s="201"/>
      <c r="TG29" s="201"/>
      <c r="TH29" s="201"/>
      <c r="TI29" s="201"/>
      <c r="TJ29" s="201"/>
      <c r="TK29" s="201"/>
      <c r="TL29" s="201"/>
      <c r="TM29" s="201"/>
      <c r="TN29" s="201"/>
      <c r="TO29" s="201"/>
      <c r="TP29" s="201"/>
      <c r="TQ29" s="201"/>
      <c r="TR29" s="201"/>
      <c r="TS29" s="201"/>
      <c r="TT29" s="201"/>
      <c r="TU29" s="201"/>
      <c r="TV29" s="201"/>
      <c r="TW29" s="201"/>
      <c r="TX29" s="201"/>
      <c r="TY29" s="201"/>
      <c r="TZ29" s="201"/>
      <c r="UA29" s="201"/>
      <c r="UB29" s="201"/>
      <c r="UC29" s="201"/>
      <c r="UD29" s="201"/>
      <c r="UE29" s="201"/>
      <c r="UF29" s="201"/>
      <c r="UG29" s="201"/>
      <c r="UH29" s="201"/>
      <c r="UI29" s="201"/>
      <c r="UJ29" s="201"/>
      <c r="UK29" s="201"/>
      <c r="UL29" s="201"/>
      <c r="UM29" s="201"/>
      <c r="UN29" s="201"/>
      <c r="UO29" s="201"/>
      <c r="UP29" s="201"/>
      <c r="UQ29" s="201"/>
      <c r="UR29" s="201"/>
      <c r="US29" s="201"/>
      <c r="UT29" s="201"/>
      <c r="UU29" s="201"/>
    </row>
    <row r="30" spans="2:567" x14ac:dyDescent="0.25">
      <c r="B30" s="38" t="s">
        <v>35</v>
      </c>
      <c r="C30" s="26"/>
      <c r="D30" s="26"/>
      <c r="E30" s="32"/>
      <c r="F30" s="32"/>
      <c r="G30" s="32"/>
      <c r="H30" s="32"/>
      <c r="I30" s="33"/>
      <c r="J30" s="42"/>
      <c r="K30" s="43"/>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91"/>
      <c r="AZ30" s="91"/>
      <c r="BA30" s="91"/>
      <c r="BB30" s="91"/>
      <c r="BC30" s="91"/>
      <c r="BD30" s="91"/>
      <c r="BE30" s="91"/>
      <c r="BF30" s="91"/>
      <c r="BG30" s="91"/>
      <c r="BH30" s="91"/>
      <c r="BI30" s="91"/>
      <c r="BJ30" s="91"/>
      <c r="BK30" s="91"/>
      <c r="BL30" s="91"/>
      <c r="BM30" s="91"/>
      <c r="BN30" s="91"/>
      <c r="BO30" s="91"/>
      <c r="BP30" s="91"/>
      <c r="BQ30" s="91"/>
      <c r="BR30" s="91"/>
      <c r="BS30" s="91"/>
      <c r="BT30" s="91"/>
      <c r="BU30" s="91"/>
      <c r="BV30" s="91"/>
      <c r="BW30" s="91"/>
      <c r="BX30" s="91"/>
      <c r="BY30" s="91"/>
      <c r="BZ30" s="91"/>
      <c r="CA30" s="91"/>
      <c r="CB30" s="91"/>
      <c r="CC30" s="91"/>
      <c r="CD30" s="91"/>
      <c r="CE30" s="91"/>
      <c r="CF30" s="91"/>
      <c r="CG30" s="91"/>
      <c r="CH30" s="91"/>
      <c r="CI30" s="91"/>
      <c r="CJ30" s="91"/>
      <c r="CK30" s="91"/>
      <c r="CL30" s="91"/>
      <c r="CM30" s="91"/>
      <c r="CN30" s="91"/>
      <c r="CO30" s="91"/>
      <c r="CP30" s="91"/>
      <c r="CQ30" s="91"/>
      <c r="CR30" s="91"/>
      <c r="CS30" s="91"/>
      <c r="CT30" s="91"/>
      <c r="CU30" s="91"/>
      <c r="CV30" s="91"/>
      <c r="CW30" s="91"/>
      <c r="CX30" s="91"/>
      <c r="CY30" s="91"/>
      <c r="CZ30" s="91"/>
      <c r="DA30" s="91"/>
      <c r="DB30" s="91"/>
      <c r="DC30" s="91"/>
      <c r="DD30" s="91"/>
      <c r="DE30" s="91"/>
      <c r="DF30" s="91"/>
      <c r="DG30" s="91"/>
      <c r="DH30" s="91"/>
      <c r="DI30" s="91"/>
      <c r="DJ30" s="91"/>
      <c r="DK30" s="91"/>
      <c r="DL30" s="91"/>
      <c r="DM30" s="91"/>
      <c r="DN30" s="91"/>
      <c r="DO30" s="91"/>
      <c r="DP30" s="91"/>
      <c r="DQ30" s="91"/>
      <c r="DR30" s="91"/>
      <c r="DS30" s="91"/>
      <c r="DT30" s="91"/>
      <c r="DU30" s="91"/>
      <c r="DV30" s="91"/>
      <c r="DW30" s="91"/>
      <c r="DX30" s="91"/>
      <c r="DY30" s="91"/>
      <c r="DZ30" s="91"/>
      <c r="EA30" s="91"/>
      <c r="EB30" s="91"/>
      <c r="EC30" s="91"/>
      <c r="ED30" s="91"/>
      <c r="EE30" s="91"/>
      <c r="EF30" s="91"/>
      <c r="EG30" s="91"/>
      <c r="EH30" s="91"/>
      <c r="EI30" s="91"/>
      <c r="EJ30" s="91"/>
      <c r="EK30" s="91"/>
      <c r="EL30" s="91"/>
      <c r="EM30" s="91"/>
      <c r="EN30" s="91"/>
      <c r="EO30" s="91"/>
      <c r="EP30" s="91"/>
      <c r="EQ30" s="91"/>
      <c r="ER30" s="91"/>
      <c r="ES30" s="91"/>
      <c r="ET30" s="91"/>
      <c r="EU30" s="91"/>
      <c r="FC30" s="199"/>
      <c r="FD30" s="199"/>
      <c r="FE30" s="199"/>
      <c r="FF30" s="199"/>
      <c r="FG30" s="199"/>
      <c r="FH30" s="199"/>
      <c r="FI30" s="199"/>
      <c r="FJ30" s="199"/>
      <c r="FK30" s="199"/>
      <c r="FL30" s="199"/>
      <c r="FM30" s="199"/>
      <c r="FN30" s="199"/>
      <c r="FO30" s="199"/>
      <c r="FP30" s="199"/>
      <c r="FQ30" s="199"/>
      <c r="FR30" s="199"/>
      <c r="FS30" s="199"/>
      <c r="FT30" s="199"/>
      <c r="FU30" s="199"/>
      <c r="FV30" s="199"/>
      <c r="FW30" s="199"/>
      <c r="FX30" s="199"/>
      <c r="FY30" s="199"/>
      <c r="FZ30" s="199"/>
      <c r="GA30" s="199"/>
      <c r="GB30" s="199"/>
      <c r="GC30" s="199"/>
      <c r="GD30" s="199"/>
      <c r="GE30" s="199"/>
      <c r="GF30" s="199"/>
      <c r="GG30" s="199"/>
      <c r="GH30" s="199"/>
      <c r="GI30" s="199"/>
      <c r="GJ30" s="199"/>
      <c r="GK30" s="199"/>
      <c r="GL30" s="199"/>
      <c r="GM30" s="199"/>
      <c r="GN30" s="199"/>
      <c r="GO30" s="199"/>
      <c r="GP30" s="199"/>
      <c r="GQ30" s="199"/>
      <c r="GR30" s="199"/>
      <c r="GS30" s="199"/>
      <c r="GT30" s="199"/>
      <c r="GU30" s="199"/>
      <c r="GV30" s="199"/>
      <c r="GW30" s="199"/>
      <c r="GX30" s="199"/>
      <c r="GY30" s="199"/>
      <c r="GZ30" s="199"/>
      <c r="HA30" s="199"/>
      <c r="HB30" s="199"/>
      <c r="HC30" s="199"/>
      <c r="HD30" s="199"/>
      <c r="HE30" s="199"/>
      <c r="HF30" s="199"/>
      <c r="HG30" s="199"/>
      <c r="HH30" s="199"/>
      <c r="HI30" s="199"/>
      <c r="HJ30" s="199"/>
      <c r="HK30" s="199"/>
      <c r="HL30" s="199"/>
      <c r="HM30" s="199"/>
      <c r="HN30" s="199"/>
      <c r="HO30" s="199"/>
      <c r="HP30" s="199"/>
      <c r="HQ30" s="199"/>
      <c r="HR30" s="199"/>
      <c r="HS30" s="199"/>
      <c r="HT30" s="199"/>
      <c r="HU30" s="199"/>
      <c r="HV30" s="199"/>
      <c r="HW30" s="199"/>
      <c r="HX30" s="199"/>
      <c r="HY30" s="199"/>
      <c r="HZ30" s="199"/>
      <c r="IA30" s="199"/>
      <c r="IB30" s="199"/>
      <c r="IC30" s="199"/>
      <c r="ID30" s="199"/>
      <c r="IE30" s="199"/>
      <c r="IF30" s="199"/>
      <c r="IG30" s="199"/>
      <c r="IH30" s="199"/>
      <c r="II30" s="199"/>
      <c r="IJ30" s="199"/>
      <c r="IK30" s="199"/>
      <c r="IL30" s="199"/>
      <c r="IM30" s="199"/>
      <c r="IN30" s="199"/>
      <c r="IO30" s="199"/>
      <c r="IP30" s="199"/>
      <c r="IQ30" s="199"/>
      <c r="IR30" s="199"/>
      <c r="IS30" s="199"/>
      <c r="IT30" s="199"/>
      <c r="IU30" s="199"/>
      <c r="IV30" s="199"/>
      <c r="IW30" s="199"/>
      <c r="IX30" s="199"/>
      <c r="IY30" s="199"/>
      <c r="IZ30" s="199"/>
      <c r="JA30" s="199"/>
      <c r="JB30" s="199"/>
      <c r="JC30" s="199"/>
      <c r="JD30" s="199"/>
      <c r="JE30" s="199"/>
      <c r="JF30" s="199"/>
      <c r="JG30" s="199"/>
      <c r="JH30" s="199"/>
      <c r="JI30" s="199"/>
      <c r="JJ30" s="199"/>
      <c r="JK30" s="199"/>
      <c r="JL30" s="199"/>
      <c r="JM30" s="199"/>
      <c r="JN30" s="199"/>
      <c r="JO30" s="199"/>
      <c r="JP30" s="199"/>
      <c r="JQ30" s="199"/>
      <c r="JR30" s="199"/>
      <c r="JS30" s="199"/>
      <c r="JT30" s="199"/>
      <c r="JU30" s="199"/>
      <c r="JV30" s="199"/>
      <c r="JW30" s="199"/>
      <c r="JX30" s="199"/>
      <c r="JY30" s="199"/>
      <c r="JZ30" s="199"/>
      <c r="KA30" s="199"/>
      <c r="KB30" s="199"/>
      <c r="KC30" s="199"/>
      <c r="KD30" s="199"/>
      <c r="KE30" s="199"/>
      <c r="PQ30" s="201"/>
      <c r="PR30" s="201"/>
      <c r="PS30" s="201"/>
      <c r="PT30" s="201"/>
      <c r="PU30" s="201"/>
      <c r="PV30" s="201"/>
      <c r="PW30" s="201"/>
      <c r="PX30" s="201"/>
      <c r="PY30" s="201"/>
      <c r="PZ30" s="201"/>
      <c r="QA30" s="201"/>
      <c r="QB30" s="201"/>
      <c r="QC30" s="201"/>
      <c r="QD30" s="201"/>
      <c r="QE30" s="201"/>
      <c r="QF30" s="201"/>
      <c r="QG30" s="201"/>
      <c r="QH30" s="201"/>
      <c r="QI30" s="201"/>
      <c r="QJ30" s="201"/>
      <c r="QK30" s="201"/>
      <c r="QL30" s="201"/>
      <c r="QM30" s="201"/>
      <c r="QN30" s="201"/>
      <c r="QO30" s="201"/>
      <c r="QP30" s="201"/>
      <c r="QQ30" s="201"/>
      <c r="QR30" s="201"/>
      <c r="QS30" s="201"/>
      <c r="QT30" s="201"/>
      <c r="QU30" s="201"/>
      <c r="QV30" s="201"/>
      <c r="QW30" s="201"/>
      <c r="QX30" s="201"/>
      <c r="QY30" s="201"/>
      <c r="QZ30" s="201"/>
      <c r="RA30" s="201"/>
      <c r="RB30" s="201"/>
      <c r="RC30" s="201"/>
      <c r="RD30" s="201"/>
      <c r="RE30" s="201"/>
      <c r="RF30" s="201"/>
      <c r="RG30" s="201"/>
      <c r="RH30" s="201"/>
      <c r="RI30" s="201"/>
      <c r="RJ30" s="201"/>
      <c r="RK30" s="201"/>
      <c r="RL30" s="201"/>
      <c r="RM30" s="201"/>
      <c r="RN30" s="201"/>
      <c r="RO30" s="201"/>
      <c r="RP30" s="201"/>
      <c r="RQ30" s="201"/>
      <c r="RR30" s="201"/>
      <c r="RS30" s="201"/>
      <c r="RT30" s="201"/>
      <c r="RU30" s="201"/>
      <c r="RV30" s="201"/>
      <c r="RW30" s="201"/>
      <c r="RX30" s="201"/>
      <c r="RY30" s="201"/>
      <c r="RZ30" s="201"/>
      <c r="SA30" s="201"/>
      <c r="SB30" s="201"/>
      <c r="SC30" s="201"/>
      <c r="SD30" s="201"/>
      <c r="SE30" s="201"/>
      <c r="SF30" s="201"/>
      <c r="SG30" s="201"/>
      <c r="SH30" s="201"/>
      <c r="SI30" s="201"/>
      <c r="SJ30" s="201"/>
      <c r="SK30" s="201"/>
      <c r="SL30" s="201"/>
      <c r="SM30" s="201"/>
      <c r="SN30" s="201"/>
      <c r="SO30" s="201"/>
      <c r="SP30" s="201"/>
      <c r="SQ30" s="201"/>
      <c r="SR30" s="201"/>
      <c r="SS30" s="201"/>
      <c r="ST30" s="201"/>
      <c r="SU30" s="201"/>
      <c r="SV30" s="201"/>
      <c r="SW30" s="201"/>
      <c r="SX30" s="201"/>
      <c r="SY30" s="201"/>
      <c r="SZ30" s="201"/>
      <c r="TA30" s="201"/>
      <c r="TB30" s="201"/>
      <c r="TC30" s="201"/>
      <c r="TD30" s="201"/>
      <c r="TE30" s="201"/>
      <c r="TF30" s="201"/>
      <c r="TG30" s="201"/>
      <c r="TH30" s="201"/>
      <c r="TI30" s="201"/>
      <c r="TJ30" s="201"/>
      <c r="TK30" s="201"/>
      <c r="TL30" s="201"/>
      <c r="TM30" s="201"/>
      <c r="TN30" s="201"/>
      <c r="TO30" s="201"/>
      <c r="TP30" s="201"/>
      <c r="TQ30" s="201"/>
      <c r="TR30" s="201"/>
      <c r="TS30" s="201"/>
      <c r="TT30" s="201"/>
      <c r="TU30" s="201"/>
      <c r="TV30" s="201"/>
      <c r="TW30" s="201"/>
      <c r="TX30" s="201"/>
      <c r="TY30" s="201"/>
      <c r="TZ30" s="201"/>
      <c r="UA30" s="201"/>
      <c r="UB30" s="201"/>
      <c r="UC30" s="201"/>
      <c r="UD30" s="201"/>
      <c r="UE30" s="201"/>
      <c r="UF30" s="201"/>
      <c r="UG30" s="201"/>
      <c r="UH30" s="201"/>
      <c r="UI30" s="201"/>
      <c r="UJ30" s="201"/>
      <c r="UK30" s="201"/>
      <c r="UL30" s="201"/>
      <c r="UM30" s="201"/>
      <c r="UN30" s="201"/>
      <c r="UO30" s="201"/>
      <c r="UP30" s="201"/>
      <c r="UQ30" s="201"/>
      <c r="UR30" s="201"/>
      <c r="US30" s="201"/>
      <c r="UT30" s="201"/>
      <c r="UU30" s="201"/>
    </row>
    <row r="31" spans="2:567" x14ac:dyDescent="0.25">
      <c r="B31" s="31" t="s">
        <v>56</v>
      </c>
      <c r="C31" s="26"/>
      <c r="D31" s="26"/>
      <c r="E31" s="32">
        <v>1</v>
      </c>
      <c r="F31" s="32">
        <v>18</v>
      </c>
      <c r="G31" s="19" t="s">
        <v>602</v>
      </c>
      <c r="H31" s="32"/>
      <c r="I31" s="33">
        <f>K31/Units_SF</f>
        <v>17.857142857142858</v>
      </c>
      <c r="J31" s="34">
        <f>K31/Units</f>
        <v>15000</v>
      </c>
      <c r="K31" s="35">
        <f>+Units*15000</f>
        <v>4500000</v>
      </c>
      <c r="M31" s="3" t="s">
        <v>828</v>
      </c>
      <c r="R31" s="90" t="str">
        <f t="shared" ref="R31:R34" si="333">IF(ROUND(SUM(S31:EU31),0)=ROUND(K31,0),"OK","ERROR")</f>
        <v>OK</v>
      </c>
      <c r="S31" s="543">
        <f t="shared" ref="S31:AB34" si="334">AND($G31="S-Curve")*FC31+OR($G31="Straight-Line",$G31="Detail",$E$120=1)*AND(S$22&gt;=$E31,S$22&lt;=$F31)*$K31/($F31-$E31+1)+($G31="Schedule")*$K31*(IFERROR(T$108/SUM($T$108:$EU$108),0))</f>
        <v>187499.99999999997</v>
      </c>
      <c r="T31" s="91">
        <f t="shared" si="334"/>
        <v>187499.99999999997</v>
      </c>
      <c r="U31" s="91">
        <f t="shared" si="334"/>
        <v>187500</v>
      </c>
      <c r="V31" s="91">
        <f t="shared" si="334"/>
        <v>187499.99999999988</v>
      </c>
      <c r="W31" s="91">
        <f t="shared" si="334"/>
        <v>187500.00000000006</v>
      </c>
      <c r="X31" s="91">
        <f t="shared" si="334"/>
        <v>187499.99999999988</v>
      </c>
      <c r="Y31" s="91">
        <f t="shared" si="334"/>
        <v>187500.00000000006</v>
      </c>
      <c r="Z31" s="91">
        <f t="shared" si="334"/>
        <v>187499.9999999998</v>
      </c>
      <c r="AA31" s="91">
        <f t="shared" si="334"/>
        <v>187500.00000000006</v>
      </c>
      <c r="AB31" s="91">
        <f t="shared" si="334"/>
        <v>187500.00000000006</v>
      </c>
      <c r="AC31" s="91">
        <f t="shared" ref="AC31:AL34" si="335">AND($G31="S-Curve")*FM31+OR($G31="Straight-Line",$G31="Detail",$E$120=1)*AND(AC$22&gt;=$E31,AC$22&lt;=$F31)*$K31/($F31-$E31+1)+($G31="Schedule")*$K31*(IFERROR(AD$108/SUM($T$108:$EU$108),0))</f>
        <v>187499.9999999998</v>
      </c>
      <c r="AD31" s="91">
        <f t="shared" si="335"/>
        <v>187500.00000000006</v>
      </c>
      <c r="AE31" s="91">
        <f t="shared" si="335"/>
        <v>187499.9999999998</v>
      </c>
      <c r="AF31" s="91">
        <f t="shared" si="335"/>
        <v>187500.00000000026</v>
      </c>
      <c r="AG31" s="91">
        <f t="shared" si="335"/>
        <v>187499.9999999998</v>
      </c>
      <c r="AH31" s="91">
        <f t="shared" si="335"/>
        <v>187499.9999999998</v>
      </c>
      <c r="AI31" s="91">
        <f t="shared" si="335"/>
        <v>187500.00000000026</v>
      </c>
      <c r="AJ31" s="91">
        <f t="shared" si="335"/>
        <v>187499.9999999998</v>
      </c>
      <c r="AK31" s="91">
        <f t="shared" si="335"/>
        <v>187499.9999999998</v>
      </c>
      <c r="AL31" s="91">
        <f t="shared" si="335"/>
        <v>187500.00000000026</v>
      </c>
      <c r="AM31" s="91">
        <f t="shared" ref="AM31:AV34" si="336">AND($G31="S-Curve")*FW31+OR($G31="Straight-Line",$G31="Detail",$E$120=1)*AND(AM$22&gt;=$E31,AM$22&lt;=$F31)*$K31/($F31-$E31+1)+($G31="Schedule")*$K31*(IFERROR(AN$108/SUM($T$108:$EU$108),0))</f>
        <v>187499.9999999998</v>
      </c>
      <c r="AN31" s="91">
        <f t="shared" si="336"/>
        <v>187499.9999999998</v>
      </c>
      <c r="AO31" s="91">
        <f t="shared" si="336"/>
        <v>187500.00000000026</v>
      </c>
      <c r="AP31" s="91">
        <f t="shared" si="336"/>
        <v>187499.9999999998</v>
      </c>
      <c r="AQ31" s="91">
        <f t="shared" si="336"/>
        <v>0</v>
      </c>
      <c r="AR31" s="91">
        <f t="shared" si="336"/>
        <v>0</v>
      </c>
      <c r="AS31" s="91">
        <f t="shared" si="336"/>
        <v>0</v>
      </c>
      <c r="AT31" s="91">
        <f t="shared" si="336"/>
        <v>0</v>
      </c>
      <c r="AU31" s="91">
        <f t="shared" si="336"/>
        <v>0</v>
      </c>
      <c r="AV31" s="91">
        <f t="shared" si="336"/>
        <v>0</v>
      </c>
      <c r="AW31" s="91">
        <f t="shared" ref="AW31:BF34" si="337">AND($G31="S-Curve")*GG31+OR($G31="Straight-Line",$G31="Detail",$E$120=1)*AND(AW$22&gt;=$E31,AW$22&lt;=$F31)*$K31/($F31-$E31+1)+($G31="Schedule")*$K31*(IFERROR(AX$108/SUM($T$108:$EU$108),0))</f>
        <v>0</v>
      </c>
      <c r="AX31" s="91">
        <f t="shared" si="337"/>
        <v>0</v>
      </c>
      <c r="AY31" s="91">
        <f t="shared" si="337"/>
        <v>0</v>
      </c>
      <c r="AZ31" s="91">
        <f t="shared" si="337"/>
        <v>0</v>
      </c>
      <c r="BA31" s="91">
        <f t="shared" si="337"/>
        <v>0</v>
      </c>
      <c r="BB31" s="91">
        <f t="shared" si="337"/>
        <v>0</v>
      </c>
      <c r="BC31" s="91">
        <f t="shared" si="337"/>
        <v>0</v>
      </c>
      <c r="BD31" s="91">
        <f t="shared" si="337"/>
        <v>0</v>
      </c>
      <c r="BE31" s="91">
        <f t="shared" si="337"/>
        <v>0</v>
      </c>
      <c r="BF31" s="91">
        <f t="shared" si="337"/>
        <v>0</v>
      </c>
      <c r="BG31" s="91">
        <f t="shared" ref="BG31:BP34" si="338">AND($G31="S-Curve")*GQ31+OR($G31="Straight-Line",$G31="Detail",$E$120=1)*AND(BG$22&gt;=$E31,BG$22&lt;=$F31)*$K31/($F31-$E31+1)+($G31="Schedule")*$K31*(IFERROR(BH$108/SUM($T$108:$EU$108),0))</f>
        <v>0</v>
      </c>
      <c r="BH31" s="91">
        <f t="shared" si="338"/>
        <v>0</v>
      </c>
      <c r="BI31" s="91">
        <f t="shared" si="338"/>
        <v>0</v>
      </c>
      <c r="BJ31" s="91">
        <f t="shared" si="338"/>
        <v>0</v>
      </c>
      <c r="BK31" s="91">
        <f t="shared" si="338"/>
        <v>0</v>
      </c>
      <c r="BL31" s="91">
        <f t="shared" si="338"/>
        <v>0</v>
      </c>
      <c r="BM31" s="91">
        <f t="shared" si="338"/>
        <v>0</v>
      </c>
      <c r="BN31" s="91">
        <f t="shared" si="338"/>
        <v>0</v>
      </c>
      <c r="BO31" s="91">
        <f t="shared" si="338"/>
        <v>0</v>
      </c>
      <c r="BP31" s="91">
        <f t="shared" si="338"/>
        <v>0</v>
      </c>
      <c r="BQ31" s="91">
        <f t="shared" ref="BQ31:BZ34" si="339">AND($G31="S-Curve")*HA31+OR($G31="Straight-Line",$G31="Detail",$E$120=1)*AND(BQ$22&gt;=$E31,BQ$22&lt;=$F31)*$K31/($F31-$E31+1)+($G31="Schedule")*$K31*(IFERROR(BR$108/SUM($T$108:$EU$108),0))</f>
        <v>0</v>
      </c>
      <c r="BR31" s="91">
        <f t="shared" si="339"/>
        <v>0</v>
      </c>
      <c r="BS31" s="91">
        <f t="shared" si="339"/>
        <v>0</v>
      </c>
      <c r="BT31" s="91">
        <f t="shared" si="339"/>
        <v>0</v>
      </c>
      <c r="BU31" s="91">
        <f t="shared" si="339"/>
        <v>0</v>
      </c>
      <c r="BV31" s="91">
        <f t="shared" si="339"/>
        <v>0</v>
      </c>
      <c r="BW31" s="91">
        <f t="shared" si="339"/>
        <v>0</v>
      </c>
      <c r="BX31" s="91">
        <f t="shared" si="339"/>
        <v>0</v>
      </c>
      <c r="BY31" s="91">
        <f t="shared" si="339"/>
        <v>0</v>
      </c>
      <c r="BZ31" s="91">
        <f t="shared" si="339"/>
        <v>0</v>
      </c>
      <c r="CA31" s="91">
        <f t="shared" ref="CA31:CJ34" si="340">AND($G31="S-Curve")*HK31+OR($G31="Straight-Line",$G31="Detail",$E$120=1)*AND(CA$22&gt;=$E31,CA$22&lt;=$F31)*$K31/($F31-$E31+1)+($G31="Schedule")*$K31*(IFERROR(CB$108/SUM($T$108:$EU$108),0))</f>
        <v>0</v>
      </c>
      <c r="CB31" s="91">
        <f t="shared" si="340"/>
        <v>0</v>
      </c>
      <c r="CC31" s="91">
        <f t="shared" si="340"/>
        <v>0</v>
      </c>
      <c r="CD31" s="91">
        <f t="shared" si="340"/>
        <v>0</v>
      </c>
      <c r="CE31" s="91">
        <f t="shared" si="340"/>
        <v>0</v>
      </c>
      <c r="CF31" s="91">
        <f t="shared" si="340"/>
        <v>0</v>
      </c>
      <c r="CG31" s="91">
        <f t="shared" si="340"/>
        <v>0</v>
      </c>
      <c r="CH31" s="91">
        <f t="shared" si="340"/>
        <v>0</v>
      </c>
      <c r="CI31" s="91">
        <f t="shared" si="340"/>
        <v>0</v>
      </c>
      <c r="CJ31" s="91">
        <f t="shared" si="340"/>
        <v>0</v>
      </c>
      <c r="CK31" s="91">
        <f t="shared" ref="CK31:CT34" si="341">AND($G31="S-Curve")*HU31+OR($G31="Straight-Line",$G31="Detail",$E$120=1)*AND(CK$22&gt;=$E31,CK$22&lt;=$F31)*$K31/($F31-$E31+1)+($G31="Schedule")*$K31*(IFERROR(CL$108/SUM($T$108:$EU$108),0))</f>
        <v>0</v>
      </c>
      <c r="CL31" s="91">
        <f t="shared" si="341"/>
        <v>0</v>
      </c>
      <c r="CM31" s="91">
        <f t="shared" si="341"/>
        <v>0</v>
      </c>
      <c r="CN31" s="91">
        <f t="shared" si="341"/>
        <v>0</v>
      </c>
      <c r="CO31" s="91">
        <f t="shared" si="341"/>
        <v>0</v>
      </c>
      <c r="CP31" s="91">
        <f t="shared" si="341"/>
        <v>0</v>
      </c>
      <c r="CQ31" s="91">
        <f t="shared" si="341"/>
        <v>0</v>
      </c>
      <c r="CR31" s="91">
        <f t="shared" si="341"/>
        <v>0</v>
      </c>
      <c r="CS31" s="91">
        <f t="shared" si="341"/>
        <v>0</v>
      </c>
      <c r="CT31" s="91">
        <f t="shared" si="341"/>
        <v>0</v>
      </c>
      <c r="CU31" s="91">
        <f t="shared" ref="CU31:DD34" si="342">AND($G31="S-Curve")*IE31+OR($G31="Straight-Line",$G31="Detail",$E$120=1)*AND(CU$22&gt;=$E31,CU$22&lt;=$F31)*$K31/($F31-$E31+1)+($G31="Schedule")*$K31*(IFERROR(CV$108/SUM($T$108:$EU$108),0))</f>
        <v>0</v>
      </c>
      <c r="CV31" s="91">
        <f t="shared" si="342"/>
        <v>0</v>
      </c>
      <c r="CW31" s="91">
        <f t="shared" si="342"/>
        <v>0</v>
      </c>
      <c r="CX31" s="91">
        <f t="shared" si="342"/>
        <v>0</v>
      </c>
      <c r="CY31" s="91">
        <f t="shared" si="342"/>
        <v>0</v>
      </c>
      <c r="CZ31" s="91">
        <f t="shared" si="342"/>
        <v>0</v>
      </c>
      <c r="DA31" s="91">
        <f t="shared" si="342"/>
        <v>0</v>
      </c>
      <c r="DB31" s="91">
        <f t="shared" si="342"/>
        <v>0</v>
      </c>
      <c r="DC31" s="91">
        <f t="shared" si="342"/>
        <v>0</v>
      </c>
      <c r="DD31" s="91">
        <f t="shared" si="342"/>
        <v>0</v>
      </c>
      <c r="DE31" s="91">
        <f t="shared" ref="DE31:DN34" si="343">AND($G31="S-Curve")*IO31+OR($G31="Straight-Line",$G31="Detail",$E$120=1)*AND(DE$22&gt;=$E31,DE$22&lt;=$F31)*$K31/($F31-$E31+1)+($G31="Schedule")*$K31*(IFERROR(DF$108/SUM($T$108:$EU$108),0))</f>
        <v>0</v>
      </c>
      <c r="DF31" s="91">
        <f t="shared" si="343"/>
        <v>0</v>
      </c>
      <c r="DG31" s="91">
        <f t="shared" si="343"/>
        <v>0</v>
      </c>
      <c r="DH31" s="91">
        <f t="shared" si="343"/>
        <v>0</v>
      </c>
      <c r="DI31" s="91">
        <f t="shared" si="343"/>
        <v>0</v>
      </c>
      <c r="DJ31" s="91">
        <f t="shared" si="343"/>
        <v>0</v>
      </c>
      <c r="DK31" s="91">
        <f t="shared" si="343"/>
        <v>0</v>
      </c>
      <c r="DL31" s="91">
        <f t="shared" si="343"/>
        <v>0</v>
      </c>
      <c r="DM31" s="91">
        <f t="shared" si="343"/>
        <v>0</v>
      </c>
      <c r="DN31" s="91">
        <f t="shared" si="343"/>
        <v>0</v>
      </c>
      <c r="DO31" s="91">
        <f t="shared" ref="DO31:DX34" si="344">AND($G31="S-Curve")*IY31+OR($G31="Straight-Line",$G31="Detail",$E$120=1)*AND(DO$22&gt;=$E31,DO$22&lt;=$F31)*$K31/($F31-$E31+1)+($G31="Schedule")*$K31*(IFERROR(DP$108/SUM($T$108:$EU$108),0))</f>
        <v>0</v>
      </c>
      <c r="DP31" s="91">
        <f t="shared" si="344"/>
        <v>0</v>
      </c>
      <c r="DQ31" s="91">
        <f t="shared" si="344"/>
        <v>0</v>
      </c>
      <c r="DR31" s="91">
        <f t="shared" si="344"/>
        <v>0</v>
      </c>
      <c r="DS31" s="91">
        <f t="shared" si="344"/>
        <v>0</v>
      </c>
      <c r="DT31" s="91">
        <f t="shared" si="344"/>
        <v>0</v>
      </c>
      <c r="DU31" s="91">
        <f t="shared" si="344"/>
        <v>0</v>
      </c>
      <c r="DV31" s="91">
        <f t="shared" si="344"/>
        <v>0</v>
      </c>
      <c r="DW31" s="91">
        <f t="shared" si="344"/>
        <v>0</v>
      </c>
      <c r="DX31" s="91">
        <f t="shared" si="344"/>
        <v>0</v>
      </c>
      <c r="DY31" s="91">
        <f t="shared" ref="DY31:EH34" si="345">AND($G31="S-Curve")*JI31+OR($G31="Straight-Line",$G31="Detail",$E$120=1)*AND(DY$22&gt;=$E31,DY$22&lt;=$F31)*$K31/($F31-$E31+1)+($G31="Schedule")*$K31*(IFERROR(DZ$108/SUM($T$108:$EU$108),0))</f>
        <v>0</v>
      </c>
      <c r="DZ31" s="91">
        <f t="shared" si="345"/>
        <v>0</v>
      </c>
      <c r="EA31" s="91">
        <f t="shared" si="345"/>
        <v>0</v>
      </c>
      <c r="EB31" s="91">
        <f t="shared" si="345"/>
        <v>0</v>
      </c>
      <c r="EC31" s="91">
        <f t="shared" si="345"/>
        <v>0</v>
      </c>
      <c r="ED31" s="91">
        <f t="shared" si="345"/>
        <v>0</v>
      </c>
      <c r="EE31" s="91">
        <f t="shared" si="345"/>
        <v>0</v>
      </c>
      <c r="EF31" s="91">
        <f t="shared" si="345"/>
        <v>0</v>
      </c>
      <c r="EG31" s="91">
        <f t="shared" si="345"/>
        <v>0</v>
      </c>
      <c r="EH31" s="91">
        <f t="shared" si="345"/>
        <v>0</v>
      </c>
      <c r="EI31" s="91">
        <f t="shared" ref="EI31:ER34" si="346">AND($G31="S-Curve")*JS31+OR($G31="Straight-Line",$G31="Detail",$E$120=1)*AND(EI$22&gt;=$E31,EI$22&lt;=$F31)*$K31/($F31-$E31+1)+($G31="Schedule")*$K31*(IFERROR(EJ$108/SUM($T$108:$EU$108),0))</f>
        <v>0</v>
      </c>
      <c r="EJ31" s="91">
        <f t="shared" si="346"/>
        <v>0</v>
      </c>
      <c r="EK31" s="91">
        <f t="shared" si="346"/>
        <v>0</v>
      </c>
      <c r="EL31" s="91">
        <f t="shared" si="346"/>
        <v>0</v>
      </c>
      <c r="EM31" s="91">
        <f t="shared" si="346"/>
        <v>0</v>
      </c>
      <c r="EN31" s="91">
        <f t="shared" si="346"/>
        <v>0</v>
      </c>
      <c r="EO31" s="91">
        <f t="shared" si="346"/>
        <v>0</v>
      </c>
      <c r="EP31" s="91">
        <f t="shared" si="346"/>
        <v>0</v>
      </c>
      <c r="EQ31" s="91">
        <f t="shared" si="346"/>
        <v>0</v>
      </c>
      <c r="ER31" s="91">
        <f t="shared" si="346"/>
        <v>0</v>
      </c>
      <c r="ES31" s="91">
        <f t="shared" ref="ES31:EU34" si="347">AND($G31="S-Curve")*KC31+OR($G31="Straight-Line",$G31="Detail",$E$120=1)*AND(ES$22&gt;=$E31,ES$22&lt;=$F31)*$K31/($F31-$E31+1)+($G31="Schedule")*$K31*(IFERROR(ET$108/SUM($T$108:$EU$108),0))</f>
        <v>0</v>
      </c>
      <c r="ET31" s="91">
        <f t="shared" si="347"/>
        <v>0</v>
      </c>
      <c r="EU31" s="91">
        <f t="shared" si="347"/>
        <v>0</v>
      </c>
      <c r="EW31" s="207">
        <f>K31</f>
        <v>4500000</v>
      </c>
      <c r="EX31" s="208">
        <f>INDEX($S$23:$EU$23,1,E31+1)</f>
        <v>46081</v>
      </c>
      <c r="EY31" s="208">
        <f>INDEX($S$23:$EU$23,1,F31+1)</f>
        <v>46599</v>
      </c>
      <c r="EZ31" s="209">
        <f>F31-E31+1</f>
        <v>18</v>
      </c>
      <c r="FA31" s="210">
        <f>EZ31/6</f>
        <v>3</v>
      </c>
      <c r="FC31" s="211">
        <f t="shared" ref="FC31:FL34" si="348">AND(FC$4&gt;=$EX31,FC$4&lt;=$EY31)*(_xlfn.NORM.DIST((YEAR(FC$4)-YEAR($EX31))*12+MONTH(FC$4)-MONTH($EX31)+1,$EZ31/2,$FA31,TRUE)-_xlfn.NORM.DIST((YEAR(FC$4)-YEAR($EX31))*12+MONTH(FC$4)-MONTH($EX31),$EZ31/2,$FA31,TRUE))/(1-2*_xlfn.NORM.DIST(0,$EZ31/2,$FA31,TRUE))*$EW31</f>
        <v>0</v>
      </c>
      <c r="FD31" s="211">
        <f t="shared" si="348"/>
        <v>11192.388578440943</v>
      </c>
      <c r="FE31" s="211">
        <f t="shared" si="348"/>
        <v>27005.174739198741</v>
      </c>
      <c r="FF31" s="211">
        <f t="shared" si="348"/>
        <v>58364.186338414183</v>
      </c>
      <c r="FG31" s="211">
        <f t="shared" si="348"/>
        <v>112986.03070175179</v>
      </c>
      <c r="FH31" s="211">
        <f t="shared" si="348"/>
        <v>195922.85529215974</v>
      </c>
      <c r="FI31" s="211">
        <f t="shared" si="348"/>
        <v>304319.75520221825</v>
      </c>
      <c r="FJ31" s="211">
        <f t="shared" si="348"/>
        <v>423410.89934880001</v>
      </c>
      <c r="FK31" s="211">
        <f t="shared" si="348"/>
        <v>527694.27879327419</v>
      </c>
      <c r="FL31" s="211">
        <f t="shared" si="348"/>
        <v>589104.43100574217</v>
      </c>
      <c r="FM31" s="211">
        <f t="shared" ref="FM31:FV34" si="349">AND(FM$4&gt;=$EX31,FM$4&lt;=$EY31)*(_xlfn.NORM.DIST((YEAR(FM$4)-YEAR($EX31))*12+MONTH(FM$4)-MONTH($EX31)+1,$EZ31/2,$FA31,TRUE)-_xlfn.NORM.DIST((YEAR(FM$4)-YEAR($EX31))*12+MONTH(FM$4)-MONTH($EX31),$EZ31/2,$FA31,TRUE))/(1-2*_xlfn.NORM.DIST(0,$EZ31/2,$FA31,TRUE))*$EW31</f>
        <v>589104.43100574252</v>
      </c>
      <c r="FN31" s="211">
        <f t="shared" si="349"/>
        <v>527694.27879327384</v>
      </c>
      <c r="FO31" s="211">
        <f t="shared" si="349"/>
        <v>423410.89934880013</v>
      </c>
      <c r="FP31" s="211">
        <f t="shared" si="349"/>
        <v>304319.75520221813</v>
      </c>
      <c r="FQ31" s="211">
        <f t="shared" si="349"/>
        <v>195922.85529215977</v>
      </c>
      <c r="FR31" s="211">
        <f t="shared" si="349"/>
        <v>112986.03070175168</v>
      </c>
      <c r="FS31" s="211">
        <f t="shared" si="349"/>
        <v>58364.186338414358</v>
      </c>
      <c r="FT31" s="211">
        <f t="shared" si="349"/>
        <v>27005.174739198468</v>
      </c>
      <c r="FU31" s="211">
        <f t="shared" si="349"/>
        <v>11192.388578441076</v>
      </c>
      <c r="FV31" s="211">
        <f t="shared" si="349"/>
        <v>0</v>
      </c>
      <c r="FW31" s="211">
        <f t="shared" ref="FW31:GF34" si="350">AND(FW$4&gt;=$EX31,FW$4&lt;=$EY31)*(_xlfn.NORM.DIST((YEAR(FW$4)-YEAR($EX31))*12+MONTH(FW$4)-MONTH($EX31)+1,$EZ31/2,$FA31,TRUE)-_xlfn.NORM.DIST((YEAR(FW$4)-YEAR($EX31))*12+MONTH(FW$4)-MONTH($EX31),$EZ31/2,$FA31,TRUE))/(1-2*_xlfn.NORM.DIST(0,$EZ31/2,$FA31,TRUE))*$EW31</f>
        <v>0</v>
      </c>
      <c r="FX31" s="211">
        <f t="shared" si="350"/>
        <v>0</v>
      </c>
      <c r="FY31" s="211">
        <f t="shared" si="350"/>
        <v>0</v>
      </c>
      <c r="FZ31" s="211">
        <f t="shared" si="350"/>
        <v>0</v>
      </c>
      <c r="GA31" s="211">
        <f t="shared" si="350"/>
        <v>0</v>
      </c>
      <c r="GB31" s="211">
        <f t="shared" si="350"/>
        <v>0</v>
      </c>
      <c r="GC31" s="211">
        <f t="shared" si="350"/>
        <v>0</v>
      </c>
      <c r="GD31" s="211">
        <f t="shared" si="350"/>
        <v>0</v>
      </c>
      <c r="GE31" s="211">
        <f t="shared" si="350"/>
        <v>0</v>
      </c>
      <c r="GF31" s="211">
        <f t="shared" si="350"/>
        <v>0</v>
      </c>
      <c r="GG31" s="211">
        <f t="shared" ref="GG31:GP34" si="351">AND(GG$4&gt;=$EX31,GG$4&lt;=$EY31)*(_xlfn.NORM.DIST((YEAR(GG$4)-YEAR($EX31))*12+MONTH(GG$4)-MONTH($EX31)+1,$EZ31/2,$FA31,TRUE)-_xlfn.NORM.DIST((YEAR(GG$4)-YEAR($EX31))*12+MONTH(GG$4)-MONTH($EX31),$EZ31/2,$FA31,TRUE))/(1-2*_xlfn.NORM.DIST(0,$EZ31/2,$FA31,TRUE))*$EW31</f>
        <v>0</v>
      </c>
      <c r="GH31" s="211">
        <f t="shared" si="351"/>
        <v>0</v>
      </c>
      <c r="GI31" s="211">
        <f t="shared" si="351"/>
        <v>0</v>
      </c>
      <c r="GJ31" s="211">
        <f t="shared" si="351"/>
        <v>0</v>
      </c>
      <c r="GK31" s="211">
        <f t="shared" si="351"/>
        <v>0</v>
      </c>
      <c r="GL31" s="211">
        <f t="shared" si="351"/>
        <v>0</v>
      </c>
      <c r="GM31" s="211">
        <f t="shared" si="351"/>
        <v>0</v>
      </c>
      <c r="GN31" s="211">
        <f t="shared" si="351"/>
        <v>0</v>
      </c>
      <c r="GO31" s="211">
        <f t="shared" si="351"/>
        <v>0</v>
      </c>
      <c r="GP31" s="211">
        <f t="shared" si="351"/>
        <v>0</v>
      </c>
      <c r="GQ31" s="211">
        <f t="shared" ref="GQ31:GZ34" si="352">AND(GQ$4&gt;=$EX31,GQ$4&lt;=$EY31)*(_xlfn.NORM.DIST((YEAR(GQ$4)-YEAR($EX31))*12+MONTH(GQ$4)-MONTH($EX31)+1,$EZ31/2,$FA31,TRUE)-_xlfn.NORM.DIST((YEAR(GQ$4)-YEAR($EX31))*12+MONTH(GQ$4)-MONTH($EX31),$EZ31/2,$FA31,TRUE))/(1-2*_xlfn.NORM.DIST(0,$EZ31/2,$FA31,TRUE))*$EW31</f>
        <v>0</v>
      </c>
      <c r="GR31" s="211">
        <f t="shared" si="352"/>
        <v>0</v>
      </c>
      <c r="GS31" s="211">
        <f t="shared" si="352"/>
        <v>0</v>
      </c>
      <c r="GT31" s="211">
        <f t="shared" si="352"/>
        <v>0</v>
      </c>
      <c r="GU31" s="211">
        <f t="shared" si="352"/>
        <v>0</v>
      </c>
      <c r="GV31" s="211">
        <f t="shared" si="352"/>
        <v>0</v>
      </c>
      <c r="GW31" s="211">
        <f t="shared" si="352"/>
        <v>0</v>
      </c>
      <c r="GX31" s="211">
        <f t="shared" si="352"/>
        <v>0</v>
      </c>
      <c r="GY31" s="211">
        <f t="shared" si="352"/>
        <v>0</v>
      </c>
      <c r="GZ31" s="211">
        <f t="shared" si="352"/>
        <v>0</v>
      </c>
      <c r="HA31" s="211">
        <f t="shared" ref="HA31:HJ34" si="353">AND(HA$4&gt;=$EX31,HA$4&lt;=$EY31)*(_xlfn.NORM.DIST((YEAR(HA$4)-YEAR($EX31))*12+MONTH(HA$4)-MONTH($EX31)+1,$EZ31/2,$FA31,TRUE)-_xlfn.NORM.DIST((YEAR(HA$4)-YEAR($EX31))*12+MONTH(HA$4)-MONTH($EX31),$EZ31/2,$FA31,TRUE))/(1-2*_xlfn.NORM.DIST(0,$EZ31/2,$FA31,TRUE))*$EW31</f>
        <v>0</v>
      </c>
      <c r="HB31" s="211">
        <f t="shared" si="353"/>
        <v>0</v>
      </c>
      <c r="HC31" s="211">
        <f t="shared" si="353"/>
        <v>0</v>
      </c>
      <c r="HD31" s="211">
        <f t="shared" si="353"/>
        <v>0</v>
      </c>
      <c r="HE31" s="211">
        <f t="shared" si="353"/>
        <v>0</v>
      </c>
      <c r="HF31" s="211">
        <f t="shared" si="353"/>
        <v>0</v>
      </c>
      <c r="HG31" s="211">
        <f t="shared" si="353"/>
        <v>0</v>
      </c>
      <c r="HH31" s="211">
        <f t="shared" si="353"/>
        <v>0</v>
      </c>
      <c r="HI31" s="211">
        <f t="shared" si="353"/>
        <v>0</v>
      </c>
      <c r="HJ31" s="211">
        <f t="shared" si="353"/>
        <v>0</v>
      </c>
      <c r="HK31" s="211">
        <f t="shared" ref="HK31:HT34" si="354">AND(HK$4&gt;=$EX31,HK$4&lt;=$EY31)*(_xlfn.NORM.DIST((YEAR(HK$4)-YEAR($EX31))*12+MONTH(HK$4)-MONTH($EX31)+1,$EZ31/2,$FA31,TRUE)-_xlfn.NORM.DIST((YEAR(HK$4)-YEAR($EX31))*12+MONTH(HK$4)-MONTH($EX31),$EZ31/2,$FA31,TRUE))/(1-2*_xlfn.NORM.DIST(0,$EZ31/2,$FA31,TRUE))*$EW31</f>
        <v>0</v>
      </c>
      <c r="HL31" s="211">
        <f t="shared" si="354"/>
        <v>0</v>
      </c>
      <c r="HM31" s="211">
        <f t="shared" si="354"/>
        <v>0</v>
      </c>
      <c r="HN31" s="211">
        <f t="shared" si="354"/>
        <v>0</v>
      </c>
      <c r="HO31" s="211">
        <f t="shared" si="354"/>
        <v>0</v>
      </c>
      <c r="HP31" s="211">
        <f t="shared" si="354"/>
        <v>0</v>
      </c>
      <c r="HQ31" s="211">
        <f t="shared" si="354"/>
        <v>0</v>
      </c>
      <c r="HR31" s="211">
        <f t="shared" si="354"/>
        <v>0</v>
      </c>
      <c r="HS31" s="211">
        <f t="shared" si="354"/>
        <v>0</v>
      </c>
      <c r="HT31" s="211">
        <f t="shared" si="354"/>
        <v>0</v>
      </c>
      <c r="HU31" s="211">
        <f t="shared" ref="HU31:ID34" si="355">AND(HU$4&gt;=$EX31,HU$4&lt;=$EY31)*(_xlfn.NORM.DIST((YEAR(HU$4)-YEAR($EX31))*12+MONTH(HU$4)-MONTH($EX31)+1,$EZ31/2,$FA31,TRUE)-_xlfn.NORM.DIST((YEAR(HU$4)-YEAR($EX31))*12+MONTH(HU$4)-MONTH($EX31),$EZ31/2,$FA31,TRUE))/(1-2*_xlfn.NORM.DIST(0,$EZ31/2,$FA31,TRUE))*$EW31</f>
        <v>0</v>
      </c>
      <c r="HV31" s="211">
        <f t="shared" si="355"/>
        <v>0</v>
      </c>
      <c r="HW31" s="211">
        <f t="shared" si="355"/>
        <v>0</v>
      </c>
      <c r="HX31" s="211">
        <f t="shared" si="355"/>
        <v>0</v>
      </c>
      <c r="HY31" s="211">
        <f t="shared" si="355"/>
        <v>0</v>
      </c>
      <c r="HZ31" s="211">
        <f t="shared" si="355"/>
        <v>0</v>
      </c>
      <c r="IA31" s="211">
        <f t="shared" si="355"/>
        <v>0</v>
      </c>
      <c r="IB31" s="211">
        <f t="shared" si="355"/>
        <v>0</v>
      </c>
      <c r="IC31" s="211">
        <f t="shared" si="355"/>
        <v>0</v>
      </c>
      <c r="ID31" s="211">
        <f t="shared" si="355"/>
        <v>0</v>
      </c>
      <c r="IE31" s="211">
        <f t="shared" ref="IE31:IN34" si="356">AND(IE$4&gt;=$EX31,IE$4&lt;=$EY31)*(_xlfn.NORM.DIST((YEAR(IE$4)-YEAR($EX31))*12+MONTH(IE$4)-MONTH($EX31)+1,$EZ31/2,$FA31,TRUE)-_xlfn.NORM.DIST((YEAR(IE$4)-YEAR($EX31))*12+MONTH(IE$4)-MONTH($EX31),$EZ31/2,$FA31,TRUE))/(1-2*_xlfn.NORM.DIST(0,$EZ31/2,$FA31,TRUE))*$EW31</f>
        <v>0</v>
      </c>
      <c r="IF31" s="211">
        <f t="shared" si="356"/>
        <v>0</v>
      </c>
      <c r="IG31" s="211">
        <f t="shared" si="356"/>
        <v>0</v>
      </c>
      <c r="IH31" s="211">
        <f t="shared" si="356"/>
        <v>0</v>
      </c>
      <c r="II31" s="211">
        <f t="shared" si="356"/>
        <v>0</v>
      </c>
      <c r="IJ31" s="211">
        <f t="shared" si="356"/>
        <v>0</v>
      </c>
      <c r="IK31" s="211">
        <f t="shared" si="356"/>
        <v>0</v>
      </c>
      <c r="IL31" s="211">
        <f t="shared" si="356"/>
        <v>0</v>
      </c>
      <c r="IM31" s="211">
        <f t="shared" si="356"/>
        <v>0</v>
      </c>
      <c r="IN31" s="211">
        <f t="shared" si="356"/>
        <v>0</v>
      </c>
      <c r="IO31" s="211">
        <f t="shared" ref="IO31:IX34" si="357">AND(IO$4&gt;=$EX31,IO$4&lt;=$EY31)*(_xlfn.NORM.DIST((YEAR(IO$4)-YEAR($EX31))*12+MONTH(IO$4)-MONTH($EX31)+1,$EZ31/2,$FA31,TRUE)-_xlfn.NORM.DIST((YEAR(IO$4)-YEAR($EX31))*12+MONTH(IO$4)-MONTH($EX31),$EZ31/2,$FA31,TRUE))/(1-2*_xlfn.NORM.DIST(0,$EZ31/2,$FA31,TRUE))*$EW31</f>
        <v>0</v>
      </c>
      <c r="IP31" s="211">
        <f t="shared" si="357"/>
        <v>0</v>
      </c>
      <c r="IQ31" s="211">
        <f t="shared" si="357"/>
        <v>0</v>
      </c>
      <c r="IR31" s="211">
        <f t="shared" si="357"/>
        <v>0</v>
      </c>
      <c r="IS31" s="211">
        <f t="shared" si="357"/>
        <v>0</v>
      </c>
      <c r="IT31" s="211">
        <f t="shared" si="357"/>
        <v>0</v>
      </c>
      <c r="IU31" s="211">
        <f t="shared" si="357"/>
        <v>0</v>
      </c>
      <c r="IV31" s="211">
        <f t="shared" si="357"/>
        <v>0</v>
      </c>
      <c r="IW31" s="211">
        <f t="shared" si="357"/>
        <v>0</v>
      </c>
      <c r="IX31" s="211">
        <f t="shared" si="357"/>
        <v>0</v>
      </c>
      <c r="IY31" s="211">
        <f t="shared" ref="IY31:JH34" si="358">AND(IY$4&gt;=$EX31,IY$4&lt;=$EY31)*(_xlfn.NORM.DIST((YEAR(IY$4)-YEAR($EX31))*12+MONTH(IY$4)-MONTH($EX31)+1,$EZ31/2,$FA31,TRUE)-_xlfn.NORM.DIST((YEAR(IY$4)-YEAR($EX31))*12+MONTH(IY$4)-MONTH($EX31),$EZ31/2,$FA31,TRUE))/(1-2*_xlfn.NORM.DIST(0,$EZ31/2,$FA31,TRUE))*$EW31</f>
        <v>0</v>
      </c>
      <c r="IZ31" s="211">
        <f t="shared" si="358"/>
        <v>0</v>
      </c>
      <c r="JA31" s="211">
        <f t="shared" si="358"/>
        <v>0</v>
      </c>
      <c r="JB31" s="211">
        <f t="shared" si="358"/>
        <v>0</v>
      </c>
      <c r="JC31" s="211">
        <f t="shared" si="358"/>
        <v>0</v>
      </c>
      <c r="JD31" s="211">
        <f t="shared" si="358"/>
        <v>0</v>
      </c>
      <c r="JE31" s="211">
        <f t="shared" si="358"/>
        <v>0</v>
      </c>
      <c r="JF31" s="211">
        <f t="shared" si="358"/>
        <v>0</v>
      </c>
      <c r="JG31" s="211">
        <f t="shared" si="358"/>
        <v>0</v>
      </c>
      <c r="JH31" s="211">
        <f t="shared" si="358"/>
        <v>0</v>
      </c>
      <c r="JI31" s="211">
        <f t="shared" ref="JI31:JR34" si="359">AND(JI$4&gt;=$EX31,JI$4&lt;=$EY31)*(_xlfn.NORM.DIST((YEAR(JI$4)-YEAR($EX31))*12+MONTH(JI$4)-MONTH($EX31)+1,$EZ31/2,$FA31,TRUE)-_xlfn.NORM.DIST((YEAR(JI$4)-YEAR($EX31))*12+MONTH(JI$4)-MONTH($EX31),$EZ31/2,$FA31,TRUE))/(1-2*_xlfn.NORM.DIST(0,$EZ31/2,$FA31,TRUE))*$EW31</f>
        <v>0</v>
      </c>
      <c r="JJ31" s="211">
        <f t="shared" si="359"/>
        <v>0</v>
      </c>
      <c r="JK31" s="211">
        <f t="shared" si="359"/>
        <v>0</v>
      </c>
      <c r="JL31" s="211">
        <f t="shared" si="359"/>
        <v>0</v>
      </c>
      <c r="JM31" s="211">
        <f t="shared" si="359"/>
        <v>0</v>
      </c>
      <c r="JN31" s="211">
        <f t="shared" si="359"/>
        <v>0</v>
      </c>
      <c r="JO31" s="211">
        <f t="shared" si="359"/>
        <v>0</v>
      </c>
      <c r="JP31" s="211">
        <f t="shared" si="359"/>
        <v>0</v>
      </c>
      <c r="JQ31" s="211">
        <f t="shared" si="359"/>
        <v>0</v>
      </c>
      <c r="JR31" s="211">
        <f t="shared" si="359"/>
        <v>0</v>
      </c>
      <c r="JS31" s="211">
        <f t="shared" ref="JS31:KE34" si="360">AND(JS$4&gt;=$EX31,JS$4&lt;=$EY31)*(_xlfn.NORM.DIST((YEAR(JS$4)-YEAR($EX31))*12+MONTH(JS$4)-MONTH($EX31)+1,$EZ31/2,$FA31,TRUE)-_xlfn.NORM.DIST((YEAR(JS$4)-YEAR($EX31))*12+MONTH(JS$4)-MONTH($EX31),$EZ31/2,$FA31,TRUE))/(1-2*_xlfn.NORM.DIST(0,$EZ31/2,$FA31,TRUE))*$EW31</f>
        <v>0</v>
      </c>
      <c r="JT31" s="211">
        <f t="shared" si="360"/>
        <v>0</v>
      </c>
      <c r="JU31" s="211">
        <f t="shared" si="360"/>
        <v>0</v>
      </c>
      <c r="JV31" s="211">
        <f t="shared" si="360"/>
        <v>0</v>
      </c>
      <c r="JW31" s="211">
        <f t="shared" si="360"/>
        <v>0</v>
      </c>
      <c r="JX31" s="211">
        <f t="shared" si="360"/>
        <v>0</v>
      </c>
      <c r="JY31" s="211">
        <f t="shared" si="360"/>
        <v>0</v>
      </c>
      <c r="JZ31" s="211">
        <f t="shared" si="360"/>
        <v>0</v>
      </c>
      <c r="KA31" s="211">
        <f t="shared" si="360"/>
        <v>0</v>
      </c>
      <c r="KB31" s="211">
        <f t="shared" si="360"/>
        <v>0</v>
      </c>
      <c r="KC31" s="211">
        <f t="shared" si="360"/>
        <v>0</v>
      </c>
      <c r="KD31" s="211">
        <f t="shared" si="360"/>
        <v>0</v>
      </c>
      <c r="KE31" s="211">
        <f t="shared" si="360"/>
        <v>0</v>
      </c>
      <c r="KG31" s="207"/>
      <c r="KH31" s="208"/>
      <c r="KI31" s="208"/>
      <c r="KJ31" s="209"/>
      <c r="KK31" s="210"/>
      <c r="KM31" s="211"/>
      <c r="KN31" s="211"/>
      <c r="KO31" s="211"/>
      <c r="KP31" s="211"/>
      <c r="KQ31" s="211"/>
      <c r="KR31" s="211"/>
      <c r="KS31" s="211"/>
      <c r="KT31" s="211"/>
      <c r="KU31" s="211"/>
      <c r="KV31" s="211"/>
      <c r="KW31" s="211"/>
      <c r="KX31" s="211"/>
      <c r="KY31" s="211"/>
      <c r="KZ31" s="211"/>
      <c r="LA31" s="211"/>
      <c r="LB31" s="211"/>
      <c r="LC31" s="211"/>
      <c r="LD31" s="211"/>
      <c r="LE31" s="211"/>
      <c r="LF31" s="211"/>
      <c r="LG31" s="211"/>
      <c r="LH31" s="211"/>
      <c r="LI31" s="211"/>
      <c r="LJ31" s="211"/>
      <c r="LK31" s="211"/>
      <c r="LL31" s="211"/>
      <c r="LM31" s="211"/>
      <c r="LN31" s="211"/>
      <c r="LO31" s="211"/>
      <c r="LP31" s="211"/>
      <c r="LQ31" s="211"/>
      <c r="LR31" s="211"/>
      <c r="LS31" s="211"/>
      <c r="LT31" s="211"/>
      <c r="LU31" s="211"/>
      <c r="LV31" s="211"/>
      <c r="LW31" s="211"/>
      <c r="LX31" s="211"/>
      <c r="LY31" s="211"/>
      <c r="LZ31" s="211"/>
      <c r="MA31" s="211"/>
      <c r="MB31" s="211"/>
      <c r="MC31" s="211"/>
      <c r="MD31" s="211"/>
      <c r="ME31" s="211"/>
      <c r="MF31" s="211"/>
      <c r="MG31" s="211"/>
      <c r="MH31" s="211"/>
      <c r="MI31" s="211"/>
      <c r="MJ31" s="211"/>
      <c r="MK31" s="211"/>
      <c r="ML31" s="211"/>
      <c r="MM31" s="211"/>
      <c r="MN31" s="211"/>
      <c r="MO31" s="211"/>
      <c r="MP31" s="211"/>
      <c r="MQ31" s="211"/>
      <c r="MR31" s="211"/>
      <c r="MS31" s="211"/>
      <c r="MT31" s="211"/>
      <c r="MU31" s="211"/>
      <c r="MV31" s="211"/>
      <c r="MW31" s="211"/>
      <c r="MX31" s="211"/>
      <c r="MY31" s="211"/>
      <c r="MZ31" s="211"/>
      <c r="NA31" s="211"/>
      <c r="NB31" s="211"/>
      <c r="NC31" s="211"/>
      <c r="ND31" s="211"/>
      <c r="NE31" s="211"/>
      <c r="NF31" s="211"/>
      <c r="NG31" s="211"/>
      <c r="NH31" s="211"/>
      <c r="NI31" s="211"/>
      <c r="NJ31" s="211"/>
      <c r="NK31" s="211"/>
      <c r="NL31" s="211"/>
      <c r="NM31" s="211"/>
      <c r="NN31" s="211"/>
      <c r="NO31" s="211"/>
      <c r="NP31" s="211"/>
      <c r="NQ31" s="211"/>
      <c r="NR31" s="211"/>
      <c r="NS31" s="211"/>
      <c r="NT31" s="211"/>
      <c r="NU31" s="211"/>
      <c r="NV31" s="211"/>
      <c r="NW31" s="211"/>
      <c r="NX31" s="211"/>
      <c r="NY31" s="211"/>
      <c r="NZ31" s="211"/>
      <c r="OA31" s="211"/>
      <c r="OB31" s="211"/>
      <c r="OC31" s="211"/>
      <c r="OD31" s="211"/>
      <c r="OE31" s="211"/>
      <c r="OF31" s="211"/>
      <c r="OG31" s="211"/>
      <c r="OH31" s="211"/>
      <c r="OI31" s="211"/>
      <c r="OJ31" s="211"/>
      <c r="OK31" s="211"/>
      <c r="OL31" s="211"/>
      <c r="OM31" s="211"/>
      <c r="ON31" s="211"/>
      <c r="OO31" s="211"/>
      <c r="OP31" s="211"/>
      <c r="OQ31" s="211"/>
      <c r="OR31" s="211"/>
      <c r="OS31" s="211"/>
      <c r="OT31" s="211"/>
      <c r="OU31" s="211"/>
      <c r="OV31" s="211"/>
      <c r="OW31" s="211"/>
      <c r="OX31" s="211"/>
      <c r="OY31" s="211"/>
      <c r="OZ31" s="211"/>
      <c r="PA31" s="211"/>
      <c r="PB31" s="211"/>
      <c r="PC31" s="211"/>
      <c r="PD31" s="211"/>
      <c r="PE31" s="211"/>
      <c r="PF31" s="211"/>
      <c r="PG31" s="211"/>
      <c r="PH31" s="211"/>
      <c r="PI31" s="211"/>
      <c r="PJ31" s="211"/>
      <c r="PK31" s="211"/>
      <c r="PL31" s="211"/>
      <c r="PM31" s="211"/>
      <c r="PN31" s="211"/>
      <c r="PO31" s="211"/>
      <c r="PQ31" s="201"/>
      <c r="PR31" s="201"/>
      <c r="PS31" s="201"/>
      <c r="PT31" s="201"/>
      <c r="PU31" s="201"/>
      <c r="PV31" s="201"/>
      <c r="PW31" s="201"/>
      <c r="PX31" s="201"/>
      <c r="PY31" s="201"/>
      <c r="PZ31" s="201"/>
      <c r="QA31" s="201"/>
      <c r="QB31" s="201"/>
      <c r="QC31" s="201"/>
      <c r="QD31" s="201"/>
      <c r="QE31" s="201"/>
      <c r="QF31" s="201"/>
      <c r="QG31" s="201"/>
      <c r="QH31" s="201"/>
      <c r="QI31" s="201"/>
      <c r="QJ31" s="201"/>
      <c r="QK31" s="201"/>
      <c r="QL31" s="201"/>
      <c r="QM31" s="201"/>
      <c r="QN31" s="201"/>
      <c r="QO31" s="201"/>
      <c r="QP31" s="201"/>
      <c r="QQ31" s="201"/>
      <c r="QR31" s="201"/>
      <c r="QS31" s="201"/>
      <c r="QT31" s="201"/>
      <c r="QU31" s="201"/>
      <c r="QV31" s="201"/>
      <c r="QW31" s="201"/>
      <c r="QX31" s="201"/>
      <c r="QY31" s="201"/>
      <c r="QZ31" s="201"/>
      <c r="RA31" s="201"/>
      <c r="RB31" s="201"/>
      <c r="RC31" s="201"/>
      <c r="RD31" s="201"/>
      <c r="RE31" s="201"/>
      <c r="RF31" s="201"/>
      <c r="RG31" s="201"/>
      <c r="RH31" s="201"/>
      <c r="RI31" s="201"/>
      <c r="RJ31" s="201"/>
      <c r="RK31" s="201"/>
      <c r="RL31" s="201"/>
      <c r="RM31" s="201"/>
      <c r="RN31" s="201"/>
      <c r="RO31" s="201"/>
      <c r="RP31" s="201"/>
      <c r="RQ31" s="201"/>
      <c r="RR31" s="201"/>
      <c r="RS31" s="201"/>
      <c r="RT31" s="201"/>
      <c r="RU31" s="201"/>
      <c r="RV31" s="201"/>
      <c r="RW31" s="201"/>
      <c r="RX31" s="201"/>
      <c r="RY31" s="201"/>
      <c r="RZ31" s="201"/>
      <c r="SA31" s="201"/>
      <c r="SB31" s="201"/>
      <c r="SC31" s="201"/>
      <c r="SD31" s="201"/>
      <c r="SE31" s="201"/>
      <c r="SF31" s="201"/>
      <c r="SG31" s="201"/>
      <c r="SH31" s="201"/>
      <c r="SI31" s="201"/>
      <c r="SJ31" s="201"/>
      <c r="SK31" s="201"/>
      <c r="SL31" s="201"/>
      <c r="SM31" s="201"/>
      <c r="SN31" s="201"/>
      <c r="SO31" s="201"/>
      <c r="SP31" s="201"/>
      <c r="SQ31" s="201"/>
      <c r="SR31" s="201"/>
      <c r="SS31" s="201"/>
      <c r="ST31" s="201"/>
      <c r="SU31" s="201"/>
      <c r="SV31" s="201"/>
      <c r="SW31" s="201"/>
      <c r="SX31" s="201"/>
      <c r="SY31" s="201"/>
      <c r="SZ31" s="201"/>
      <c r="TA31" s="201"/>
      <c r="TB31" s="201"/>
      <c r="TC31" s="201"/>
      <c r="TD31" s="201"/>
      <c r="TE31" s="201"/>
      <c r="TF31" s="201"/>
      <c r="TG31" s="201"/>
      <c r="TH31" s="201"/>
      <c r="TI31" s="201"/>
      <c r="TJ31" s="201"/>
      <c r="TK31" s="201"/>
      <c r="TL31" s="201"/>
      <c r="TM31" s="201"/>
      <c r="TN31" s="201"/>
      <c r="TO31" s="201"/>
      <c r="TP31" s="201"/>
      <c r="TQ31" s="201"/>
      <c r="TR31" s="201"/>
      <c r="TS31" s="201"/>
      <c r="TT31" s="201"/>
      <c r="TU31" s="201"/>
      <c r="TV31" s="201"/>
      <c r="TW31" s="201"/>
      <c r="TX31" s="201"/>
      <c r="TY31" s="201"/>
      <c r="TZ31" s="201"/>
      <c r="UA31" s="201"/>
      <c r="UB31" s="201"/>
      <c r="UC31" s="201"/>
      <c r="UD31" s="201"/>
      <c r="UE31" s="201"/>
      <c r="UF31" s="201"/>
      <c r="UG31" s="201"/>
      <c r="UH31" s="201"/>
      <c r="UI31" s="201"/>
      <c r="UJ31" s="201"/>
      <c r="UK31" s="201"/>
      <c r="UL31" s="201"/>
      <c r="UM31" s="201"/>
      <c r="UN31" s="201"/>
      <c r="UO31" s="201"/>
      <c r="UP31" s="201"/>
      <c r="UQ31" s="201"/>
      <c r="UR31" s="201"/>
      <c r="US31" s="201"/>
      <c r="UT31" s="201"/>
      <c r="UU31" s="201"/>
    </row>
    <row r="32" spans="2:567" x14ac:dyDescent="0.25">
      <c r="B32" s="31" t="s">
        <v>57</v>
      </c>
      <c r="C32" s="26"/>
      <c r="D32" s="26"/>
      <c r="E32" s="32">
        <v>1</v>
      </c>
      <c r="F32" s="32">
        <v>18</v>
      </c>
      <c r="G32" s="19" t="s">
        <v>602</v>
      </c>
      <c r="H32" s="32"/>
      <c r="I32" s="33">
        <f>K32/Units_SF</f>
        <v>0</v>
      </c>
      <c r="J32" s="34">
        <f>K32/Units</f>
        <v>0</v>
      </c>
      <c r="K32" s="35">
        <v>0</v>
      </c>
      <c r="R32" s="90" t="str">
        <f t="shared" si="333"/>
        <v>OK</v>
      </c>
      <c r="S32" s="91">
        <f t="shared" si="334"/>
        <v>0</v>
      </c>
      <c r="T32" s="91">
        <f t="shared" si="334"/>
        <v>0</v>
      </c>
      <c r="U32" s="91">
        <f t="shared" si="334"/>
        <v>0</v>
      </c>
      <c r="V32" s="91">
        <f t="shared" si="334"/>
        <v>0</v>
      </c>
      <c r="W32" s="91">
        <f t="shared" si="334"/>
        <v>0</v>
      </c>
      <c r="X32" s="91">
        <f t="shared" si="334"/>
        <v>0</v>
      </c>
      <c r="Y32" s="91">
        <f t="shared" si="334"/>
        <v>0</v>
      </c>
      <c r="Z32" s="91">
        <f t="shared" si="334"/>
        <v>0</v>
      </c>
      <c r="AA32" s="91">
        <f t="shared" si="334"/>
        <v>0</v>
      </c>
      <c r="AB32" s="91">
        <f t="shared" si="334"/>
        <v>0</v>
      </c>
      <c r="AC32" s="91">
        <f t="shared" si="335"/>
        <v>0</v>
      </c>
      <c r="AD32" s="91">
        <f t="shared" si="335"/>
        <v>0</v>
      </c>
      <c r="AE32" s="91">
        <f t="shared" si="335"/>
        <v>0</v>
      </c>
      <c r="AF32" s="91">
        <f t="shared" si="335"/>
        <v>0</v>
      </c>
      <c r="AG32" s="91">
        <f t="shared" si="335"/>
        <v>0</v>
      </c>
      <c r="AH32" s="91">
        <f t="shared" si="335"/>
        <v>0</v>
      </c>
      <c r="AI32" s="91">
        <f t="shared" si="335"/>
        <v>0</v>
      </c>
      <c r="AJ32" s="91">
        <f t="shared" si="335"/>
        <v>0</v>
      </c>
      <c r="AK32" s="91">
        <f t="shared" si="335"/>
        <v>0</v>
      </c>
      <c r="AL32" s="91">
        <f t="shared" si="335"/>
        <v>0</v>
      </c>
      <c r="AM32" s="91">
        <f t="shared" si="336"/>
        <v>0</v>
      </c>
      <c r="AN32" s="91">
        <f t="shared" si="336"/>
        <v>0</v>
      </c>
      <c r="AO32" s="91">
        <f t="shared" si="336"/>
        <v>0</v>
      </c>
      <c r="AP32" s="91">
        <f t="shared" si="336"/>
        <v>0</v>
      </c>
      <c r="AQ32" s="91">
        <f t="shared" si="336"/>
        <v>0</v>
      </c>
      <c r="AR32" s="91">
        <f t="shared" si="336"/>
        <v>0</v>
      </c>
      <c r="AS32" s="91">
        <f t="shared" si="336"/>
        <v>0</v>
      </c>
      <c r="AT32" s="91">
        <f t="shared" si="336"/>
        <v>0</v>
      </c>
      <c r="AU32" s="91">
        <f t="shared" si="336"/>
        <v>0</v>
      </c>
      <c r="AV32" s="91">
        <f t="shared" si="336"/>
        <v>0</v>
      </c>
      <c r="AW32" s="91">
        <f t="shared" si="337"/>
        <v>0</v>
      </c>
      <c r="AX32" s="91">
        <f t="shared" si="337"/>
        <v>0</v>
      </c>
      <c r="AY32" s="91">
        <f t="shared" si="337"/>
        <v>0</v>
      </c>
      <c r="AZ32" s="91">
        <f t="shared" si="337"/>
        <v>0</v>
      </c>
      <c r="BA32" s="91">
        <f t="shared" si="337"/>
        <v>0</v>
      </c>
      <c r="BB32" s="91">
        <f t="shared" si="337"/>
        <v>0</v>
      </c>
      <c r="BC32" s="91">
        <f t="shared" si="337"/>
        <v>0</v>
      </c>
      <c r="BD32" s="91">
        <f t="shared" si="337"/>
        <v>0</v>
      </c>
      <c r="BE32" s="91">
        <f t="shared" si="337"/>
        <v>0</v>
      </c>
      <c r="BF32" s="91">
        <f t="shared" si="337"/>
        <v>0</v>
      </c>
      <c r="BG32" s="91">
        <f t="shared" si="338"/>
        <v>0</v>
      </c>
      <c r="BH32" s="91">
        <f t="shared" si="338"/>
        <v>0</v>
      </c>
      <c r="BI32" s="91">
        <f t="shared" si="338"/>
        <v>0</v>
      </c>
      <c r="BJ32" s="91">
        <f t="shared" si="338"/>
        <v>0</v>
      </c>
      <c r="BK32" s="91">
        <f t="shared" si="338"/>
        <v>0</v>
      </c>
      <c r="BL32" s="91">
        <f t="shared" si="338"/>
        <v>0</v>
      </c>
      <c r="BM32" s="91">
        <f t="shared" si="338"/>
        <v>0</v>
      </c>
      <c r="BN32" s="91">
        <f t="shared" si="338"/>
        <v>0</v>
      </c>
      <c r="BO32" s="91">
        <f t="shared" si="338"/>
        <v>0</v>
      </c>
      <c r="BP32" s="91">
        <f t="shared" si="338"/>
        <v>0</v>
      </c>
      <c r="BQ32" s="91">
        <f t="shared" si="339"/>
        <v>0</v>
      </c>
      <c r="BR32" s="91">
        <f t="shared" si="339"/>
        <v>0</v>
      </c>
      <c r="BS32" s="91">
        <f t="shared" si="339"/>
        <v>0</v>
      </c>
      <c r="BT32" s="91">
        <f t="shared" si="339"/>
        <v>0</v>
      </c>
      <c r="BU32" s="91">
        <f t="shared" si="339"/>
        <v>0</v>
      </c>
      <c r="BV32" s="91">
        <f t="shared" si="339"/>
        <v>0</v>
      </c>
      <c r="BW32" s="91">
        <f t="shared" si="339"/>
        <v>0</v>
      </c>
      <c r="BX32" s="91">
        <f t="shared" si="339"/>
        <v>0</v>
      </c>
      <c r="BY32" s="91">
        <f t="shared" si="339"/>
        <v>0</v>
      </c>
      <c r="BZ32" s="91">
        <f t="shared" si="339"/>
        <v>0</v>
      </c>
      <c r="CA32" s="91">
        <f t="shared" si="340"/>
        <v>0</v>
      </c>
      <c r="CB32" s="91">
        <f t="shared" si="340"/>
        <v>0</v>
      </c>
      <c r="CC32" s="91">
        <f t="shared" si="340"/>
        <v>0</v>
      </c>
      <c r="CD32" s="91">
        <f t="shared" si="340"/>
        <v>0</v>
      </c>
      <c r="CE32" s="91">
        <f t="shared" si="340"/>
        <v>0</v>
      </c>
      <c r="CF32" s="91">
        <f t="shared" si="340"/>
        <v>0</v>
      </c>
      <c r="CG32" s="91">
        <f t="shared" si="340"/>
        <v>0</v>
      </c>
      <c r="CH32" s="91">
        <f t="shared" si="340"/>
        <v>0</v>
      </c>
      <c r="CI32" s="91">
        <f t="shared" si="340"/>
        <v>0</v>
      </c>
      <c r="CJ32" s="91">
        <f t="shared" si="340"/>
        <v>0</v>
      </c>
      <c r="CK32" s="91">
        <f t="shared" si="341"/>
        <v>0</v>
      </c>
      <c r="CL32" s="91">
        <f t="shared" si="341"/>
        <v>0</v>
      </c>
      <c r="CM32" s="91">
        <f t="shared" si="341"/>
        <v>0</v>
      </c>
      <c r="CN32" s="91">
        <f t="shared" si="341"/>
        <v>0</v>
      </c>
      <c r="CO32" s="91">
        <f t="shared" si="341"/>
        <v>0</v>
      </c>
      <c r="CP32" s="91">
        <f t="shared" si="341"/>
        <v>0</v>
      </c>
      <c r="CQ32" s="91">
        <f t="shared" si="341"/>
        <v>0</v>
      </c>
      <c r="CR32" s="91">
        <f t="shared" si="341"/>
        <v>0</v>
      </c>
      <c r="CS32" s="91">
        <f t="shared" si="341"/>
        <v>0</v>
      </c>
      <c r="CT32" s="91">
        <f t="shared" si="341"/>
        <v>0</v>
      </c>
      <c r="CU32" s="91">
        <f t="shared" si="342"/>
        <v>0</v>
      </c>
      <c r="CV32" s="91">
        <f t="shared" si="342"/>
        <v>0</v>
      </c>
      <c r="CW32" s="91">
        <f t="shared" si="342"/>
        <v>0</v>
      </c>
      <c r="CX32" s="91">
        <f t="shared" si="342"/>
        <v>0</v>
      </c>
      <c r="CY32" s="91">
        <f t="shared" si="342"/>
        <v>0</v>
      </c>
      <c r="CZ32" s="91">
        <f t="shared" si="342"/>
        <v>0</v>
      </c>
      <c r="DA32" s="91">
        <f t="shared" si="342"/>
        <v>0</v>
      </c>
      <c r="DB32" s="91">
        <f t="shared" si="342"/>
        <v>0</v>
      </c>
      <c r="DC32" s="91">
        <f t="shared" si="342"/>
        <v>0</v>
      </c>
      <c r="DD32" s="91">
        <f t="shared" si="342"/>
        <v>0</v>
      </c>
      <c r="DE32" s="91">
        <f t="shared" si="343"/>
        <v>0</v>
      </c>
      <c r="DF32" s="91">
        <f t="shared" si="343"/>
        <v>0</v>
      </c>
      <c r="DG32" s="91">
        <f t="shared" si="343"/>
        <v>0</v>
      </c>
      <c r="DH32" s="91">
        <f t="shared" si="343"/>
        <v>0</v>
      </c>
      <c r="DI32" s="91">
        <f t="shared" si="343"/>
        <v>0</v>
      </c>
      <c r="DJ32" s="91">
        <f t="shared" si="343"/>
        <v>0</v>
      </c>
      <c r="DK32" s="91">
        <f t="shared" si="343"/>
        <v>0</v>
      </c>
      <c r="DL32" s="91">
        <f t="shared" si="343"/>
        <v>0</v>
      </c>
      <c r="DM32" s="91">
        <f t="shared" si="343"/>
        <v>0</v>
      </c>
      <c r="DN32" s="91">
        <f t="shared" si="343"/>
        <v>0</v>
      </c>
      <c r="DO32" s="91">
        <f t="shared" si="344"/>
        <v>0</v>
      </c>
      <c r="DP32" s="91">
        <f t="shared" si="344"/>
        <v>0</v>
      </c>
      <c r="DQ32" s="91">
        <f t="shared" si="344"/>
        <v>0</v>
      </c>
      <c r="DR32" s="91">
        <f t="shared" si="344"/>
        <v>0</v>
      </c>
      <c r="DS32" s="91">
        <f t="shared" si="344"/>
        <v>0</v>
      </c>
      <c r="DT32" s="91">
        <f t="shared" si="344"/>
        <v>0</v>
      </c>
      <c r="DU32" s="91">
        <f t="shared" si="344"/>
        <v>0</v>
      </c>
      <c r="DV32" s="91">
        <f t="shared" si="344"/>
        <v>0</v>
      </c>
      <c r="DW32" s="91">
        <f t="shared" si="344"/>
        <v>0</v>
      </c>
      <c r="DX32" s="91">
        <f t="shared" si="344"/>
        <v>0</v>
      </c>
      <c r="DY32" s="91">
        <f t="shared" si="345"/>
        <v>0</v>
      </c>
      <c r="DZ32" s="91">
        <f t="shared" si="345"/>
        <v>0</v>
      </c>
      <c r="EA32" s="91">
        <f t="shared" si="345"/>
        <v>0</v>
      </c>
      <c r="EB32" s="91">
        <f t="shared" si="345"/>
        <v>0</v>
      </c>
      <c r="EC32" s="91">
        <f t="shared" si="345"/>
        <v>0</v>
      </c>
      <c r="ED32" s="91">
        <f t="shared" si="345"/>
        <v>0</v>
      </c>
      <c r="EE32" s="91">
        <f t="shared" si="345"/>
        <v>0</v>
      </c>
      <c r="EF32" s="91">
        <f t="shared" si="345"/>
        <v>0</v>
      </c>
      <c r="EG32" s="91">
        <f t="shared" si="345"/>
        <v>0</v>
      </c>
      <c r="EH32" s="91">
        <f t="shared" si="345"/>
        <v>0</v>
      </c>
      <c r="EI32" s="91">
        <f t="shared" si="346"/>
        <v>0</v>
      </c>
      <c r="EJ32" s="91">
        <f t="shared" si="346"/>
        <v>0</v>
      </c>
      <c r="EK32" s="91">
        <f t="shared" si="346"/>
        <v>0</v>
      </c>
      <c r="EL32" s="91">
        <f t="shared" si="346"/>
        <v>0</v>
      </c>
      <c r="EM32" s="91">
        <f t="shared" si="346"/>
        <v>0</v>
      </c>
      <c r="EN32" s="91">
        <f t="shared" si="346"/>
        <v>0</v>
      </c>
      <c r="EO32" s="91">
        <f t="shared" si="346"/>
        <v>0</v>
      </c>
      <c r="EP32" s="91">
        <f t="shared" si="346"/>
        <v>0</v>
      </c>
      <c r="EQ32" s="91">
        <f t="shared" si="346"/>
        <v>0</v>
      </c>
      <c r="ER32" s="91">
        <f t="shared" si="346"/>
        <v>0</v>
      </c>
      <c r="ES32" s="91">
        <f t="shared" si="347"/>
        <v>0</v>
      </c>
      <c r="ET32" s="91">
        <f t="shared" si="347"/>
        <v>0</v>
      </c>
      <c r="EU32" s="91">
        <f t="shared" si="347"/>
        <v>0</v>
      </c>
      <c r="EW32" s="207">
        <f>K32</f>
        <v>0</v>
      </c>
      <c r="EX32" s="208">
        <f>INDEX($S$23:$EU$23,1,E32+1)</f>
        <v>46081</v>
      </c>
      <c r="EY32" s="208">
        <f>INDEX($S$23:$EU$23,1,F32+1)</f>
        <v>46599</v>
      </c>
      <c r="EZ32" s="209">
        <f>F32-E32+1</f>
        <v>18</v>
      </c>
      <c r="FA32" s="210">
        <f>EZ32/6</f>
        <v>3</v>
      </c>
      <c r="FC32" s="211">
        <f t="shared" si="348"/>
        <v>0</v>
      </c>
      <c r="FD32" s="211">
        <f t="shared" si="348"/>
        <v>0</v>
      </c>
      <c r="FE32" s="211">
        <f t="shared" si="348"/>
        <v>0</v>
      </c>
      <c r="FF32" s="211">
        <f t="shared" si="348"/>
        <v>0</v>
      </c>
      <c r="FG32" s="211">
        <f t="shared" si="348"/>
        <v>0</v>
      </c>
      <c r="FH32" s="211">
        <f t="shared" si="348"/>
        <v>0</v>
      </c>
      <c r="FI32" s="211">
        <f t="shared" si="348"/>
        <v>0</v>
      </c>
      <c r="FJ32" s="211">
        <f t="shared" si="348"/>
        <v>0</v>
      </c>
      <c r="FK32" s="211">
        <f t="shared" si="348"/>
        <v>0</v>
      </c>
      <c r="FL32" s="211">
        <f t="shared" si="348"/>
        <v>0</v>
      </c>
      <c r="FM32" s="211">
        <f t="shared" si="349"/>
        <v>0</v>
      </c>
      <c r="FN32" s="211">
        <f t="shared" si="349"/>
        <v>0</v>
      </c>
      <c r="FO32" s="211">
        <f t="shared" si="349"/>
        <v>0</v>
      </c>
      <c r="FP32" s="211">
        <f t="shared" si="349"/>
        <v>0</v>
      </c>
      <c r="FQ32" s="211">
        <f t="shared" si="349"/>
        <v>0</v>
      </c>
      <c r="FR32" s="211">
        <f t="shared" si="349"/>
        <v>0</v>
      </c>
      <c r="FS32" s="211">
        <f t="shared" si="349"/>
        <v>0</v>
      </c>
      <c r="FT32" s="211">
        <f t="shared" si="349"/>
        <v>0</v>
      </c>
      <c r="FU32" s="211">
        <f t="shared" si="349"/>
        <v>0</v>
      </c>
      <c r="FV32" s="211">
        <f t="shared" si="349"/>
        <v>0</v>
      </c>
      <c r="FW32" s="211">
        <f t="shared" si="350"/>
        <v>0</v>
      </c>
      <c r="FX32" s="211">
        <f t="shared" si="350"/>
        <v>0</v>
      </c>
      <c r="FY32" s="211">
        <f t="shared" si="350"/>
        <v>0</v>
      </c>
      <c r="FZ32" s="211">
        <f t="shared" si="350"/>
        <v>0</v>
      </c>
      <c r="GA32" s="211">
        <f t="shared" si="350"/>
        <v>0</v>
      </c>
      <c r="GB32" s="211">
        <f t="shared" si="350"/>
        <v>0</v>
      </c>
      <c r="GC32" s="211">
        <f t="shared" si="350"/>
        <v>0</v>
      </c>
      <c r="GD32" s="211">
        <f t="shared" si="350"/>
        <v>0</v>
      </c>
      <c r="GE32" s="211">
        <f t="shared" si="350"/>
        <v>0</v>
      </c>
      <c r="GF32" s="211">
        <f t="shared" si="350"/>
        <v>0</v>
      </c>
      <c r="GG32" s="211">
        <f t="shared" si="351"/>
        <v>0</v>
      </c>
      <c r="GH32" s="211">
        <f t="shared" si="351"/>
        <v>0</v>
      </c>
      <c r="GI32" s="211">
        <f t="shared" si="351"/>
        <v>0</v>
      </c>
      <c r="GJ32" s="211">
        <f t="shared" si="351"/>
        <v>0</v>
      </c>
      <c r="GK32" s="211">
        <f t="shared" si="351"/>
        <v>0</v>
      </c>
      <c r="GL32" s="211">
        <f t="shared" si="351"/>
        <v>0</v>
      </c>
      <c r="GM32" s="211">
        <f t="shared" si="351"/>
        <v>0</v>
      </c>
      <c r="GN32" s="211">
        <f t="shared" si="351"/>
        <v>0</v>
      </c>
      <c r="GO32" s="211">
        <f t="shared" si="351"/>
        <v>0</v>
      </c>
      <c r="GP32" s="211">
        <f t="shared" si="351"/>
        <v>0</v>
      </c>
      <c r="GQ32" s="211">
        <f t="shared" si="352"/>
        <v>0</v>
      </c>
      <c r="GR32" s="211">
        <f t="shared" si="352"/>
        <v>0</v>
      </c>
      <c r="GS32" s="211">
        <f t="shared" si="352"/>
        <v>0</v>
      </c>
      <c r="GT32" s="211">
        <f t="shared" si="352"/>
        <v>0</v>
      </c>
      <c r="GU32" s="211">
        <f t="shared" si="352"/>
        <v>0</v>
      </c>
      <c r="GV32" s="211">
        <f t="shared" si="352"/>
        <v>0</v>
      </c>
      <c r="GW32" s="211">
        <f t="shared" si="352"/>
        <v>0</v>
      </c>
      <c r="GX32" s="211">
        <f t="shared" si="352"/>
        <v>0</v>
      </c>
      <c r="GY32" s="211">
        <f t="shared" si="352"/>
        <v>0</v>
      </c>
      <c r="GZ32" s="211">
        <f t="shared" si="352"/>
        <v>0</v>
      </c>
      <c r="HA32" s="211">
        <f t="shared" si="353"/>
        <v>0</v>
      </c>
      <c r="HB32" s="211">
        <f t="shared" si="353"/>
        <v>0</v>
      </c>
      <c r="HC32" s="211">
        <f t="shared" si="353"/>
        <v>0</v>
      </c>
      <c r="HD32" s="211">
        <f t="shared" si="353"/>
        <v>0</v>
      </c>
      <c r="HE32" s="211">
        <f t="shared" si="353"/>
        <v>0</v>
      </c>
      <c r="HF32" s="211">
        <f t="shared" si="353"/>
        <v>0</v>
      </c>
      <c r="HG32" s="211">
        <f t="shared" si="353"/>
        <v>0</v>
      </c>
      <c r="HH32" s="211">
        <f t="shared" si="353"/>
        <v>0</v>
      </c>
      <c r="HI32" s="211">
        <f t="shared" si="353"/>
        <v>0</v>
      </c>
      <c r="HJ32" s="211">
        <f t="shared" si="353"/>
        <v>0</v>
      </c>
      <c r="HK32" s="211">
        <f t="shared" si="354"/>
        <v>0</v>
      </c>
      <c r="HL32" s="211">
        <f t="shared" si="354"/>
        <v>0</v>
      </c>
      <c r="HM32" s="211">
        <f t="shared" si="354"/>
        <v>0</v>
      </c>
      <c r="HN32" s="211">
        <f t="shared" si="354"/>
        <v>0</v>
      </c>
      <c r="HO32" s="211">
        <f t="shared" si="354"/>
        <v>0</v>
      </c>
      <c r="HP32" s="211">
        <f t="shared" si="354"/>
        <v>0</v>
      </c>
      <c r="HQ32" s="211">
        <f t="shared" si="354"/>
        <v>0</v>
      </c>
      <c r="HR32" s="211">
        <f t="shared" si="354"/>
        <v>0</v>
      </c>
      <c r="HS32" s="211">
        <f t="shared" si="354"/>
        <v>0</v>
      </c>
      <c r="HT32" s="211">
        <f t="shared" si="354"/>
        <v>0</v>
      </c>
      <c r="HU32" s="211">
        <f t="shared" si="355"/>
        <v>0</v>
      </c>
      <c r="HV32" s="211">
        <f t="shared" si="355"/>
        <v>0</v>
      </c>
      <c r="HW32" s="211">
        <f t="shared" si="355"/>
        <v>0</v>
      </c>
      <c r="HX32" s="211">
        <f t="shared" si="355"/>
        <v>0</v>
      </c>
      <c r="HY32" s="211">
        <f t="shared" si="355"/>
        <v>0</v>
      </c>
      <c r="HZ32" s="211">
        <f t="shared" si="355"/>
        <v>0</v>
      </c>
      <c r="IA32" s="211">
        <f t="shared" si="355"/>
        <v>0</v>
      </c>
      <c r="IB32" s="211">
        <f t="shared" si="355"/>
        <v>0</v>
      </c>
      <c r="IC32" s="211">
        <f t="shared" si="355"/>
        <v>0</v>
      </c>
      <c r="ID32" s="211">
        <f t="shared" si="355"/>
        <v>0</v>
      </c>
      <c r="IE32" s="211">
        <f t="shared" si="356"/>
        <v>0</v>
      </c>
      <c r="IF32" s="211">
        <f t="shared" si="356"/>
        <v>0</v>
      </c>
      <c r="IG32" s="211">
        <f t="shared" si="356"/>
        <v>0</v>
      </c>
      <c r="IH32" s="211">
        <f t="shared" si="356"/>
        <v>0</v>
      </c>
      <c r="II32" s="211">
        <f t="shared" si="356"/>
        <v>0</v>
      </c>
      <c r="IJ32" s="211">
        <f t="shared" si="356"/>
        <v>0</v>
      </c>
      <c r="IK32" s="211">
        <f t="shared" si="356"/>
        <v>0</v>
      </c>
      <c r="IL32" s="211">
        <f t="shared" si="356"/>
        <v>0</v>
      </c>
      <c r="IM32" s="211">
        <f t="shared" si="356"/>
        <v>0</v>
      </c>
      <c r="IN32" s="211">
        <f t="shared" si="356"/>
        <v>0</v>
      </c>
      <c r="IO32" s="211">
        <f t="shared" si="357"/>
        <v>0</v>
      </c>
      <c r="IP32" s="211">
        <f t="shared" si="357"/>
        <v>0</v>
      </c>
      <c r="IQ32" s="211">
        <f t="shared" si="357"/>
        <v>0</v>
      </c>
      <c r="IR32" s="211">
        <f t="shared" si="357"/>
        <v>0</v>
      </c>
      <c r="IS32" s="211">
        <f t="shared" si="357"/>
        <v>0</v>
      </c>
      <c r="IT32" s="211">
        <f t="shared" si="357"/>
        <v>0</v>
      </c>
      <c r="IU32" s="211">
        <f t="shared" si="357"/>
        <v>0</v>
      </c>
      <c r="IV32" s="211">
        <f t="shared" si="357"/>
        <v>0</v>
      </c>
      <c r="IW32" s="211">
        <f t="shared" si="357"/>
        <v>0</v>
      </c>
      <c r="IX32" s="211">
        <f t="shared" si="357"/>
        <v>0</v>
      </c>
      <c r="IY32" s="211">
        <f t="shared" si="358"/>
        <v>0</v>
      </c>
      <c r="IZ32" s="211">
        <f t="shared" si="358"/>
        <v>0</v>
      </c>
      <c r="JA32" s="211">
        <f t="shared" si="358"/>
        <v>0</v>
      </c>
      <c r="JB32" s="211">
        <f t="shared" si="358"/>
        <v>0</v>
      </c>
      <c r="JC32" s="211">
        <f t="shared" si="358"/>
        <v>0</v>
      </c>
      <c r="JD32" s="211">
        <f t="shared" si="358"/>
        <v>0</v>
      </c>
      <c r="JE32" s="211">
        <f t="shared" si="358"/>
        <v>0</v>
      </c>
      <c r="JF32" s="211">
        <f t="shared" si="358"/>
        <v>0</v>
      </c>
      <c r="JG32" s="211">
        <f t="shared" si="358"/>
        <v>0</v>
      </c>
      <c r="JH32" s="211">
        <f t="shared" si="358"/>
        <v>0</v>
      </c>
      <c r="JI32" s="211">
        <f t="shared" si="359"/>
        <v>0</v>
      </c>
      <c r="JJ32" s="211">
        <f t="shared" si="359"/>
        <v>0</v>
      </c>
      <c r="JK32" s="211">
        <f t="shared" si="359"/>
        <v>0</v>
      </c>
      <c r="JL32" s="211">
        <f t="shared" si="359"/>
        <v>0</v>
      </c>
      <c r="JM32" s="211">
        <f t="shared" si="359"/>
        <v>0</v>
      </c>
      <c r="JN32" s="211">
        <f t="shared" si="359"/>
        <v>0</v>
      </c>
      <c r="JO32" s="211">
        <f t="shared" si="359"/>
        <v>0</v>
      </c>
      <c r="JP32" s="211">
        <f t="shared" si="359"/>
        <v>0</v>
      </c>
      <c r="JQ32" s="211">
        <f t="shared" si="359"/>
        <v>0</v>
      </c>
      <c r="JR32" s="211">
        <f t="shared" si="359"/>
        <v>0</v>
      </c>
      <c r="JS32" s="211">
        <f t="shared" si="360"/>
        <v>0</v>
      </c>
      <c r="JT32" s="211">
        <f t="shared" si="360"/>
        <v>0</v>
      </c>
      <c r="JU32" s="211">
        <f t="shared" si="360"/>
        <v>0</v>
      </c>
      <c r="JV32" s="211">
        <f t="shared" si="360"/>
        <v>0</v>
      </c>
      <c r="JW32" s="211">
        <f t="shared" si="360"/>
        <v>0</v>
      </c>
      <c r="JX32" s="211">
        <f t="shared" si="360"/>
        <v>0</v>
      </c>
      <c r="JY32" s="211">
        <f t="shared" si="360"/>
        <v>0</v>
      </c>
      <c r="JZ32" s="211">
        <f t="shared" si="360"/>
        <v>0</v>
      </c>
      <c r="KA32" s="211">
        <f t="shared" si="360"/>
        <v>0</v>
      </c>
      <c r="KB32" s="211">
        <f t="shared" si="360"/>
        <v>0</v>
      </c>
      <c r="KC32" s="211">
        <f t="shared" si="360"/>
        <v>0</v>
      </c>
      <c r="KD32" s="211">
        <f t="shared" si="360"/>
        <v>0</v>
      </c>
      <c r="KE32" s="211">
        <f t="shared" si="360"/>
        <v>0</v>
      </c>
      <c r="KG32" s="207"/>
      <c r="KH32" s="208"/>
      <c r="KI32" s="208"/>
      <c r="KJ32" s="209"/>
      <c r="KK32" s="210"/>
      <c r="KM32" s="211"/>
      <c r="KN32" s="211"/>
      <c r="KO32" s="211"/>
      <c r="KP32" s="211"/>
      <c r="KQ32" s="211"/>
      <c r="KR32" s="211"/>
      <c r="KS32" s="211"/>
      <c r="KT32" s="211"/>
      <c r="KU32" s="211"/>
      <c r="KV32" s="211"/>
      <c r="KW32" s="211"/>
      <c r="KX32" s="211"/>
      <c r="KY32" s="211"/>
      <c r="KZ32" s="211"/>
      <c r="LA32" s="211"/>
      <c r="LB32" s="211"/>
      <c r="LC32" s="211"/>
      <c r="LD32" s="211"/>
      <c r="LE32" s="211"/>
      <c r="LF32" s="211"/>
      <c r="LG32" s="211"/>
      <c r="LH32" s="211"/>
      <c r="LI32" s="211"/>
      <c r="LJ32" s="211"/>
      <c r="LK32" s="211"/>
      <c r="LL32" s="211"/>
      <c r="LM32" s="211"/>
      <c r="LN32" s="211"/>
      <c r="LO32" s="211"/>
      <c r="LP32" s="211"/>
      <c r="LQ32" s="211"/>
      <c r="LR32" s="211"/>
      <c r="LS32" s="211"/>
      <c r="LT32" s="211"/>
      <c r="LU32" s="211"/>
      <c r="LV32" s="211"/>
      <c r="LW32" s="211"/>
      <c r="LX32" s="211"/>
      <c r="LY32" s="211"/>
      <c r="LZ32" s="211"/>
      <c r="MA32" s="211"/>
      <c r="MB32" s="211"/>
      <c r="MC32" s="211"/>
      <c r="MD32" s="211"/>
      <c r="ME32" s="211"/>
      <c r="MF32" s="211"/>
      <c r="MG32" s="211"/>
      <c r="MH32" s="211"/>
      <c r="MI32" s="211"/>
      <c r="MJ32" s="211"/>
      <c r="MK32" s="211"/>
      <c r="ML32" s="211"/>
      <c r="MM32" s="211"/>
      <c r="MN32" s="211"/>
      <c r="MO32" s="211"/>
      <c r="MP32" s="211"/>
      <c r="MQ32" s="211"/>
      <c r="MR32" s="211"/>
      <c r="MS32" s="211"/>
      <c r="MT32" s="211"/>
      <c r="MU32" s="211"/>
      <c r="MV32" s="211"/>
      <c r="MW32" s="211"/>
      <c r="MX32" s="211"/>
      <c r="MY32" s="211"/>
      <c r="MZ32" s="211"/>
      <c r="NA32" s="211"/>
      <c r="NB32" s="211"/>
      <c r="NC32" s="211"/>
      <c r="ND32" s="211"/>
      <c r="NE32" s="211"/>
      <c r="NF32" s="211"/>
      <c r="NG32" s="211"/>
      <c r="NH32" s="211"/>
      <c r="NI32" s="211"/>
      <c r="NJ32" s="211"/>
      <c r="NK32" s="211"/>
      <c r="NL32" s="211"/>
      <c r="NM32" s="211"/>
      <c r="NN32" s="211"/>
      <c r="NO32" s="211"/>
      <c r="NP32" s="211"/>
      <c r="NQ32" s="211"/>
      <c r="NR32" s="211"/>
      <c r="NS32" s="211"/>
      <c r="NT32" s="211"/>
      <c r="NU32" s="211"/>
      <c r="NV32" s="211"/>
      <c r="NW32" s="211"/>
      <c r="NX32" s="211"/>
      <c r="NY32" s="211"/>
      <c r="NZ32" s="211"/>
      <c r="OA32" s="211"/>
      <c r="OB32" s="211"/>
      <c r="OC32" s="211"/>
      <c r="OD32" s="211"/>
      <c r="OE32" s="211"/>
      <c r="OF32" s="211"/>
      <c r="OG32" s="211"/>
      <c r="OH32" s="211"/>
      <c r="OI32" s="211"/>
      <c r="OJ32" s="211"/>
      <c r="OK32" s="211"/>
      <c r="OL32" s="211"/>
      <c r="OM32" s="211"/>
      <c r="ON32" s="211"/>
      <c r="OO32" s="211"/>
      <c r="OP32" s="211"/>
      <c r="OQ32" s="211"/>
      <c r="OR32" s="211"/>
      <c r="OS32" s="211"/>
      <c r="OT32" s="211"/>
      <c r="OU32" s="211"/>
      <c r="OV32" s="211"/>
      <c r="OW32" s="211"/>
      <c r="OX32" s="211"/>
      <c r="OY32" s="211"/>
      <c r="OZ32" s="211"/>
      <c r="PA32" s="211"/>
      <c r="PB32" s="211"/>
      <c r="PC32" s="211"/>
      <c r="PD32" s="211"/>
      <c r="PE32" s="211"/>
      <c r="PF32" s="211"/>
      <c r="PG32" s="211"/>
      <c r="PH32" s="211"/>
      <c r="PI32" s="211"/>
      <c r="PJ32" s="211"/>
      <c r="PK32" s="211"/>
      <c r="PL32" s="211"/>
      <c r="PM32" s="211"/>
      <c r="PN32" s="211"/>
      <c r="PO32" s="211"/>
      <c r="PQ32" s="201"/>
      <c r="PR32" s="201"/>
      <c r="PS32" s="201"/>
      <c r="PT32" s="201"/>
      <c r="PU32" s="201"/>
      <c r="PV32" s="201"/>
      <c r="PW32" s="201"/>
      <c r="PX32" s="201"/>
      <c r="PY32" s="201"/>
      <c r="PZ32" s="201"/>
      <c r="QA32" s="201"/>
      <c r="QB32" s="201"/>
      <c r="QC32" s="201"/>
      <c r="QD32" s="201"/>
      <c r="QE32" s="201"/>
      <c r="QF32" s="201"/>
      <c r="QG32" s="201"/>
      <c r="QH32" s="201"/>
      <c r="QI32" s="201"/>
      <c r="QJ32" s="201"/>
      <c r="QK32" s="201"/>
      <c r="QL32" s="201"/>
      <c r="QM32" s="201"/>
      <c r="QN32" s="201"/>
      <c r="QO32" s="201"/>
      <c r="QP32" s="201"/>
      <c r="QQ32" s="201"/>
      <c r="QR32" s="201"/>
      <c r="QS32" s="201"/>
      <c r="QT32" s="201"/>
      <c r="QU32" s="201"/>
      <c r="QV32" s="201"/>
      <c r="QW32" s="201"/>
      <c r="QX32" s="201"/>
      <c r="QY32" s="201"/>
      <c r="QZ32" s="201"/>
      <c r="RA32" s="201"/>
      <c r="RB32" s="201"/>
      <c r="RC32" s="201"/>
      <c r="RD32" s="201"/>
      <c r="RE32" s="201"/>
      <c r="RF32" s="201"/>
      <c r="RG32" s="201"/>
      <c r="RH32" s="201"/>
      <c r="RI32" s="201"/>
      <c r="RJ32" s="201"/>
      <c r="RK32" s="201"/>
      <c r="RL32" s="201"/>
      <c r="RM32" s="201"/>
      <c r="RN32" s="201"/>
      <c r="RO32" s="201"/>
      <c r="RP32" s="201"/>
      <c r="RQ32" s="201"/>
      <c r="RR32" s="201"/>
      <c r="RS32" s="201"/>
      <c r="RT32" s="201"/>
      <c r="RU32" s="201"/>
      <c r="RV32" s="201"/>
      <c r="RW32" s="201"/>
      <c r="RX32" s="201"/>
      <c r="RY32" s="201"/>
      <c r="RZ32" s="201"/>
      <c r="SA32" s="201"/>
      <c r="SB32" s="201"/>
      <c r="SC32" s="201"/>
      <c r="SD32" s="201"/>
      <c r="SE32" s="201"/>
      <c r="SF32" s="201"/>
      <c r="SG32" s="201"/>
      <c r="SH32" s="201"/>
      <c r="SI32" s="201"/>
      <c r="SJ32" s="201"/>
      <c r="SK32" s="201"/>
      <c r="SL32" s="201"/>
      <c r="SM32" s="201"/>
      <c r="SN32" s="201"/>
      <c r="SO32" s="201"/>
      <c r="SP32" s="201"/>
      <c r="SQ32" s="201"/>
      <c r="SR32" s="201"/>
      <c r="SS32" s="201"/>
      <c r="ST32" s="201"/>
      <c r="SU32" s="201"/>
      <c r="SV32" s="201"/>
      <c r="SW32" s="201"/>
      <c r="SX32" s="201"/>
      <c r="SY32" s="201"/>
      <c r="SZ32" s="201"/>
      <c r="TA32" s="201"/>
      <c r="TB32" s="201"/>
      <c r="TC32" s="201"/>
      <c r="TD32" s="201"/>
      <c r="TE32" s="201"/>
      <c r="TF32" s="201"/>
      <c r="TG32" s="201"/>
      <c r="TH32" s="201"/>
      <c r="TI32" s="201"/>
      <c r="TJ32" s="201"/>
      <c r="TK32" s="201"/>
      <c r="TL32" s="201"/>
      <c r="TM32" s="201"/>
      <c r="TN32" s="201"/>
      <c r="TO32" s="201"/>
      <c r="TP32" s="201"/>
      <c r="TQ32" s="201"/>
      <c r="TR32" s="201"/>
      <c r="TS32" s="201"/>
      <c r="TT32" s="201"/>
      <c r="TU32" s="201"/>
      <c r="TV32" s="201"/>
      <c r="TW32" s="201"/>
      <c r="TX32" s="201"/>
      <c r="TY32" s="201"/>
      <c r="TZ32" s="201"/>
      <c r="UA32" s="201"/>
      <c r="UB32" s="201"/>
      <c r="UC32" s="201"/>
      <c r="UD32" s="201"/>
      <c r="UE32" s="201"/>
      <c r="UF32" s="201"/>
      <c r="UG32" s="201"/>
      <c r="UH32" s="201"/>
      <c r="UI32" s="201"/>
      <c r="UJ32" s="201"/>
      <c r="UK32" s="201"/>
      <c r="UL32" s="201"/>
      <c r="UM32" s="201"/>
      <c r="UN32" s="201"/>
      <c r="UO32" s="201"/>
      <c r="UP32" s="201"/>
      <c r="UQ32" s="201"/>
      <c r="UR32" s="201"/>
      <c r="US32" s="201"/>
      <c r="UT32" s="201"/>
      <c r="UU32" s="201"/>
    </row>
    <row r="33" spans="1:567" x14ac:dyDescent="0.25">
      <c r="B33" s="31" t="s">
        <v>34</v>
      </c>
      <c r="C33" s="26"/>
      <c r="D33" s="26"/>
      <c r="E33" s="32">
        <v>1</v>
      </c>
      <c r="F33" s="32">
        <v>18</v>
      </c>
      <c r="G33" s="19" t="s">
        <v>602</v>
      </c>
      <c r="H33" s="32"/>
      <c r="I33" s="33">
        <f>K33/Units_SF</f>
        <v>0</v>
      </c>
      <c r="J33" s="34">
        <f>K33/Units</f>
        <v>0</v>
      </c>
      <c r="K33" s="35">
        <v>0</v>
      </c>
      <c r="R33" s="90" t="str">
        <f t="shared" ref="R33" si="361">IF(ROUND(SUM(S33:EU33),0)=ROUND(K33,0),"OK","ERROR")</f>
        <v>OK</v>
      </c>
      <c r="S33" s="91">
        <f t="shared" si="334"/>
        <v>0</v>
      </c>
      <c r="T33" s="91">
        <f t="shared" si="334"/>
        <v>0</v>
      </c>
      <c r="U33" s="91">
        <f t="shared" si="334"/>
        <v>0</v>
      </c>
      <c r="V33" s="91">
        <f t="shared" si="334"/>
        <v>0</v>
      </c>
      <c r="W33" s="91">
        <f t="shared" si="334"/>
        <v>0</v>
      </c>
      <c r="X33" s="91">
        <f t="shared" si="334"/>
        <v>0</v>
      </c>
      <c r="Y33" s="91">
        <f t="shared" si="334"/>
        <v>0</v>
      </c>
      <c r="Z33" s="91">
        <f t="shared" si="334"/>
        <v>0</v>
      </c>
      <c r="AA33" s="91">
        <f t="shared" si="334"/>
        <v>0</v>
      </c>
      <c r="AB33" s="91">
        <f t="shared" si="334"/>
        <v>0</v>
      </c>
      <c r="AC33" s="91">
        <f t="shared" si="335"/>
        <v>0</v>
      </c>
      <c r="AD33" s="91">
        <f t="shared" si="335"/>
        <v>0</v>
      </c>
      <c r="AE33" s="91">
        <f t="shared" si="335"/>
        <v>0</v>
      </c>
      <c r="AF33" s="91">
        <f t="shared" si="335"/>
        <v>0</v>
      </c>
      <c r="AG33" s="91">
        <f t="shared" si="335"/>
        <v>0</v>
      </c>
      <c r="AH33" s="91">
        <f t="shared" si="335"/>
        <v>0</v>
      </c>
      <c r="AI33" s="91">
        <f t="shared" si="335"/>
        <v>0</v>
      </c>
      <c r="AJ33" s="91">
        <f t="shared" si="335"/>
        <v>0</v>
      </c>
      <c r="AK33" s="91">
        <f t="shared" si="335"/>
        <v>0</v>
      </c>
      <c r="AL33" s="91">
        <f t="shared" si="335"/>
        <v>0</v>
      </c>
      <c r="AM33" s="91">
        <f t="shared" si="336"/>
        <v>0</v>
      </c>
      <c r="AN33" s="91">
        <f t="shared" si="336"/>
        <v>0</v>
      </c>
      <c r="AO33" s="91">
        <f t="shared" si="336"/>
        <v>0</v>
      </c>
      <c r="AP33" s="91">
        <f t="shared" si="336"/>
        <v>0</v>
      </c>
      <c r="AQ33" s="91">
        <f t="shared" si="336"/>
        <v>0</v>
      </c>
      <c r="AR33" s="91">
        <f t="shared" si="336"/>
        <v>0</v>
      </c>
      <c r="AS33" s="91">
        <f t="shared" si="336"/>
        <v>0</v>
      </c>
      <c r="AT33" s="91">
        <f t="shared" si="336"/>
        <v>0</v>
      </c>
      <c r="AU33" s="91">
        <f t="shared" si="336"/>
        <v>0</v>
      </c>
      <c r="AV33" s="91">
        <f t="shared" si="336"/>
        <v>0</v>
      </c>
      <c r="AW33" s="91">
        <f t="shared" si="337"/>
        <v>0</v>
      </c>
      <c r="AX33" s="91">
        <f t="shared" si="337"/>
        <v>0</v>
      </c>
      <c r="AY33" s="91">
        <f t="shared" si="337"/>
        <v>0</v>
      </c>
      <c r="AZ33" s="91">
        <f t="shared" si="337"/>
        <v>0</v>
      </c>
      <c r="BA33" s="91">
        <f t="shared" si="337"/>
        <v>0</v>
      </c>
      <c r="BB33" s="91">
        <f t="shared" si="337"/>
        <v>0</v>
      </c>
      <c r="BC33" s="91">
        <f t="shared" si="337"/>
        <v>0</v>
      </c>
      <c r="BD33" s="91">
        <f t="shared" si="337"/>
        <v>0</v>
      </c>
      <c r="BE33" s="91">
        <f t="shared" si="337"/>
        <v>0</v>
      </c>
      <c r="BF33" s="91">
        <f t="shared" si="337"/>
        <v>0</v>
      </c>
      <c r="BG33" s="91">
        <f t="shared" si="338"/>
        <v>0</v>
      </c>
      <c r="BH33" s="91">
        <f t="shared" si="338"/>
        <v>0</v>
      </c>
      <c r="BI33" s="91">
        <f t="shared" si="338"/>
        <v>0</v>
      </c>
      <c r="BJ33" s="91">
        <f t="shared" si="338"/>
        <v>0</v>
      </c>
      <c r="BK33" s="91">
        <f t="shared" si="338"/>
        <v>0</v>
      </c>
      <c r="BL33" s="91">
        <f t="shared" si="338"/>
        <v>0</v>
      </c>
      <c r="BM33" s="91">
        <f t="shared" si="338"/>
        <v>0</v>
      </c>
      <c r="BN33" s="91">
        <f t="shared" si="338"/>
        <v>0</v>
      </c>
      <c r="BO33" s="91">
        <f t="shared" si="338"/>
        <v>0</v>
      </c>
      <c r="BP33" s="91">
        <f t="shared" si="338"/>
        <v>0</v>
      </c>
      <c r="BQ33" s="91">
        <f t="shared" si="339"/>
        <v>0</v>
      </c>
      <c r="BR33" s="91">
        <f t="shared" si="339"/>
        <v>0</v>
      </c>
      <c r="BS33" s="91">
        <f t="shared" si="339"/>
        <v>0</v>
      </c>
      <c r="BT33" s="91">
        <f t="shared" si="339"/>
        <v>0</v>
      </c>
      <c r="BU33" s="91">
        <f t="shared" si="339"/>
        <v>0</v>
      </c>
      <c r="BV33" s="91">
        <f t="shared" si="339"/>
        <v>0</v>
      </c>
      <c r="BW33" s="91">
        <f t="shared" si="339"/>
        <v>0</v>
      </c>
      <c r="BX33" s="91">
        <f t="shared" si="339"/>
        <v>0</v>
      </c>
      <c r="BY33" s="91">
        <f t="shared" si="339"/>
        <v>0</v>
      </c>
      <c r="BZ33" s="91">
        <f t="shared" si="339"/>
        <v>0</v>
      </c>
      <c r="CA33" s="91">
        <f t="shared" si="340"/>
        <v>0</v>
      </c>
      <c r="CB33" s="91">
        <f t="shared" si="340"/>
        <v>0</v>
      </c>
      <c r="CC33" s="91">
        <f t="shared" si="340"/>
        <v>0</v>
      </c>
      <c r="CD33" s="91">
        <f t="shared" si="340"/>
        <v>0</v>
      </c>
      <c r="CE33" s="91">
        <f t="shared" si="340"/>
        <v>0</v>
      </c>
      <c r="CF33" s="91">
        <f t="shared" si="340"/>
        <v>0</v>
      </c>
      <c r="CG33" s="91">
        <f t="shared" si="340"/>
        <v>0</v>
      </c>
      <c r="CH33" s="91">
        <f t="shared" si="340"/>
        <v>0</v>
      </c>
      <c r="CI33" s="91">
        <f t="shared" si="340"/>
        <v>0</v>
      </c>
      <c r="CJ33" s="91">
        <f t="shared" si="340"/>
        <v>0</v>
      </c>
      <c r="CK33" s="91">
        <f t="shared" si="341"/>
        <v>0</v>
      </c>
      <c r="CL33" s="91">
        <f t="shared" si="341"/>
        <v>0</v>
      </c>
      <c r="CM33" s="91">
        <f t="shared" si="341"/>
        <v>0</v>
      </c>
      <c r="CN33" s="91">
        <f t="shared" si="341"/>
        <v>0</v>
      </c>
      <c r="CO33" s="91">
        <f t="shared" si="341"/>
        <v>0</v>
      </c>
      <c r="CP33" s="91">
        <f t="shared" si="341"/>
        <v>0</v>
      </c>
      <c r="CQ33" s="91">
        <f t="shared" si="341"/>
        <v>0</v>
      </c>
      <c r="CR33" s="91">
        <f t="shared" si="341"/>
        <v>0</v>
      </c>
      <c r="CS33" s="91">
        <f t="shared" si="341"/>
        <v>0</v>
      </c>
      <c r="CT33" s="91">
        <f t="shared" si="341"/>
        <v>0</v>
      </c>
      <c r="CU33" s="91">
        <f t="shared" si="342"/>
        <v>0</v>
      </c>
      <c r="CV33" s="91">
        <f t="shared" si="342"/>
        <v>0</v>
      </c>
      <c r="CW33" s="91">
        <f t="shared" si="342"/>
        <v>0</v>
      </c>
      <c r="CX33" s="91">
        <f t="shared" si="342"/>
        <v>0</v>
      </c>
      <c r="CY33" s="91">
        <f t="shared" si="342"/>
        <v>0</v>
      </c>
      <c r="CZ33" s="91">
        <f t="shared" si="342"/>
        <v>0</v>
      </c>
      <c r="DA33" s="91">
        <f t="shared" si="342"/>
        <v>0</v>
      </c>
      <c r="DB33" s="91">
        <f t="shared" si="342"/>
        <v>0</v>
      </c>
      <c r="DC33" s="91">
        <f t="shared" si="342"/>
        <v>0</v>
      </c>
      <c r="DD33" s="91">
        <f t="shared" si="342"/>
        <v>0</v>
      </c>
      <c r="DE33" s="91">
        <f t="shared" si="343"/>
        <v>0</v>
      </c>
      <c r="DF33" s="91">
        <f t="shared" si="343"/>
        <v>0</v>
      </c>
      <c r="DG33" s="91">
        <f t="shared" si="343"/>
        <v>0</v>
      </c>
      <c r="DH33" s="91">
        <f t="shared" si="343"/>
        <v>0</v>
      </c>
      <c r="DI33" s="91">
        <f t="shared" si="343"/>
        <v>0</v>
      </c>
      <c r="DJ33" s="91">
        <f t="shared" si="343"/>
        <v>0</v>
      </c>
      <c r="DK33" s="91">
        <f t="shared" si="343"/>
        <v>0</v>
      </c>
      <c r="DL33" s="91">
        <f t="shared" si="343"/>
        <v>0</v>
      </c>
      <c r="DM33" s="91">
        <f t="shared" si="343"/>
        <v>0</v>
      </c>
      <c r="DN33" s="91">
        <f t="shared" si="343"/>
        <v>0</v>
      </c>
      <c r="DO33" s="91">
        <f t="shared" si="344"/>
        <v>0</v>
      </c>
      <c r="DP33" s="91">
        <f t="shared" si="344"/>
        <v>0</v>
      </c>
      <c r="DQ33" s="91">
        <f t="shared" si="344"/>
        <v>0</v>
      </c>
      <c r="DR33" s="91">
        <f t="shared" si="344"/>
        <v>0</v>
      </c>
      <c r="DS33" s="91">
        <f t="shared" si="344"/>
        <v>0</v>
      </c>
      <c r="DT33" s="91">
        <f t="shared" si="344"/>
        <v>0</v>
      </c>
      <c r="DU33" s="91">
        <f t="shared" si="344"/>
        <v>0</v>
      </c>
      <c r="DV33" s="91">
        <f t="shared" si="344"/>
        <v>0</v>
      </c>
      <c r="DW33" s="91">
        <f t="shared" si="344"/>
        <v>0</v>
      </c>
      <c r="DX33" s="91">
        <f t="shared" si="344"/>
        <v>0</v>
      </c>
      <c r="DY33" s="91">
        <f t="shared" si="345"/>
        <v>0</v>
      </c>
      <c r="DZ33" s="91">
        <f t="shared" si="345"/>
        <v>0</v>
      </c>
      <c r="EA33" s="91">
        <f t="shared" si="345"/>
        <v>0</v>
      </c>
      <c r="EB33" s="91">
        <f t="shared" si="345"/>
        <v>0</v>
      </c>
      <c r="EC33" s="91">
        <f t="shared" si="345"/>
        <v>0</v>
      </c>
      <c r="ED33" s="91">
        <f t="shared" si="345"/>
        <v>0</v>
      </c>
      <c r="EE33" s="91">
        <f t="shared" si="345"/>
        <v>0</v>
      </c>
      <c r="EF33" s="91">
        <f t="shared" si="345"/>
        <v>0</v>
      </c>
      <c r="EG33" s="91">
        <f t="shared" si="345"/>
        <v>0</v>
      </c>
      <c r="EH33" s="91">
        <f t="shared" si="345"/>
        <v>0</v>
      </c>
      <c r="EI33" s="91">
        <f t="shared" si="346"/>
        <v>0</v>
      </c>
      <c r="EJ33" s="91">
        <f t="shared" si="346"/>
        <v>0</v>
      </c>
      <c r="EK33" s="91">
        <f t="shared" si="346"/>
        <v>0</v>
      </c>
      <c r="EL33" s="91">
        <f t="shared" si="346"/>
        <v>0</v>
      </c>
      <c r="EM33" s="91">
        <f t="shared" si="346"/>
        <v>0</v>
      </c>
      <c r="EN33" s="91">
        <f t="shared" si="346"/>
        <v>0</v>
      </c>
      <c r="EO33" s="91">
        <f t="shared" si="346"/>
        <v>0</v>
      </c>
      <c r="EP33" s="91">
        <f t="shared" si="346"/>
        <v>0</v>
      </c>
      <c r="EQ33" s="91">
        <f t="shared" si="346"/>
        <v>0</v>
      </c>
      <c r="ER33" s="91">
        <f t="shared" si="346"/>
        <v>0</v>
      </c>
      <c r="ES33" s="91">
        <f t="shared" si="347"/>
        <v>0</v>
      </c>
      <c r="ET33" s="91">
        <f t="shared" si="347"/>
        <v>0</v>
      </c>
      <c r="EU33" s="91">
        <f t="shared" si="347"/>
        <v>0</v>
      </c>
      <c r="EW33" s="207">
        <f>K33</f>
        <v>0</v>
      </c>
      <c r="EX33" s="208">
        <f t="shared" ref="EX33" si="362">INDEX($S$23:$EU$23,1,E33+1)</f>
        <v>46081</v>
      </c>
      <c r="EY33" s="208">
        <f t="shared" ref="EY33" si="363">INDEX($S$23:$EU$23,1,F33+1)</f>
        <v>46599</v>
      </c>
      <c r="EZ33" s="209">
        <f>F33-E33+1</f>
        <v>18</v>
      </c>
      <c r="FA33" s="210">
        <f>EZ33/6</f>
        <v>3</v>
      </c>
      <c r="FC33" s="211">
        <f t="shared" si="348"/>
        <v>0</v>
      </c>
      <c r="FD33" s="211">
        <f t="shared" si="348"/>
        <v>0</v>
      </c>
      <c r="FE33" s="211">
        <f t="shared" si="348"/>
        <v>0</v>
      </c>
      <c r="FF33" s="211">
        <f t="shared" si="348"/>
        <v>0</v>
      </c>
      <c r="FG33" s="211">
        <f t="shared" si="348"/>
        <v>0</v>
      </c>
      <c r="FH33" s="211">
        <f t="shared" si="348"/>
        <v>0</v>
      </c>
      <c r="FI33" s="211">
        <f t="shared" si="348"/>
        <v>0</v>
      </c>
      <c r="FJ33" s="211">
        <f t="shared" si="348"/>
        <v>0</v>
      </c>
      <c r="FK33" s="211">
        <f t="shared" si="348"/>
        <v>0</v>
      </c>
      <c r="FL33" s="211">
        <f t="shared" si="348"/>
        <v>0</v>
      </c>
      <c r="FM33" s="211">
        <f t="shared" si="349"/>
        <v>0</v>
      </c>
      <c r="FN33" s="211">
        <f t="shared" si="349"/>
        <v>0</v>
      </c>
      <c r="FO33" s="211">
        <f t="shared" si="349"/>
        <v>0</v>
      </c>
      <c r="FP33" s="211">
        <f t="shared" si="349"/>
        <v>0</v>
      </c>
      <c r="FQ33" s="211">
        <f t="shared" si="349"/>
        <v>0</v>
      </c>
      <c r="FR33" s="211">
        <f t="shared" si="349"/>
        <v>0</v>
      </c>
      <c r="FS33" s="211">
        <f t="shared" si="349"/>
        <v>0</v>
      </c>
      <c r="FT33" s="211">
        <f t="shared" si="349"/>
        <v>0</v>
      </c>
      <c r="FU33" s="211">
        <f t="shared" si="349"/>
        <v>0</v>
      </c>
      <c r="FV33" s="211">
        <f t="shared" si="349"/>
        <v>0</v>
      </c>
      <c r="FW33" s="211">
        <f t="shared" si="350"/>
        <v>0</v>
      </c>
      <c r="FX33" s="211">
        <f t="shared" si="350"/>
        <v>0</v>
      </c>
      <c r="FY33" s="211">
        <f t="shared" si="350"/>
        <v>0</v>
      </c>
      <c r="FZ33" s="211">
        <f t="shared" si="350"/>
        <v>0</v>
      </c>
      <c r="GA33" s="211">
        <f t="shared" si="350"/>
        <v>0</v>
      </c>
      <c r="GB33" s="211">
        <f t="shared" si="350"/>
        <v>0</v>
      </c>
      <c r="GC33" s="211">
        <f t="shared" si="350"/>
        <v>0</v>
      </c>
      <c r="GD33" s="211">
        <f t="shared" si="350"/>
        <v>0</v>
      </c>
      <c r="GE33" s="211">
        <f t="shared" si="350"/>
        <v>0</v>
      </c>
      <c r="GF33" s="211">
        <f t="shared" si="350"/>
        <v>0</v>
      </c>
      <c r="GG33" s="211">
        <f t="shared" si="351"/>
        <v>0</v>
      </c>
      <c r="GH33" s="211">
        <f t="shared" si="351"/>
        <v>0</v>
      </c>
      <c r="GI33" s="211">
        <f t="shared" si="351"/>
        <v>0</v>
      </c>
      <c r="GJ33" s="211">
        <f t="shared" si="351"/>
        <v>0</v>
      </c>
      <c r="GK33" s="211">
        <f t="shared" si="351"/>
        <v>0</v>
      </c>
      <c r="GL33" s="211">
        <f t="shared" si="351"/>
        <v>0</v>
      </c>
      <c r="GM33" s="211">
        <f t="shared" si="351"/>
        <v>0</v>
      </c>
      <c r="GN33" s="211">
        <f t="shared" si="351"/>
        <v>0</v>
      </c>
      <c r="GO33" s="211">
        <f t="shared" si="351"/>
        <v>0</v>
      </c>
      <c r="GP33" s="211">
        <f t="shared" si="351"/>
        <v>0</v>
      </c>
      <c r="GQ33" s="211">
        <f t="shared" si="352"/>
        <v>0</v>
      </c>
      <c r="GR33" s="211">
        <f t="shared" si="352"/>
        <v>0</v>
      </c>
      <c r="GS33" s="211">
        <f t="shared" si="352"/>
        <v>0</v>
      </c>
      <c r="GT33" s="211">
        <f t="shared" si="352"/>
        <v>0</v>
      </c>
      <c r="GU33" s="211">
        <f t="shared" si="352"/>
        <v>0</v>
      </c>
      <c r="GV33" s="211">
        <f t="shared" si="352"/>
        <v>0</v>
      </c>
      <c r="GW33" s="211">
        <f t="shared" si="352"/>
        <v>0</v>
      </c>
      <c r="GX33" s="211">
        <f t="shared" si="352"/>
        <v>0</v>
      </c>
      <c r="GY33" s="211">
        <f t="shared" si="352"/>
        <v>0</v>
      </c>
      <c r="GZ33" s="211">
        <f t="shared" si="352"/>
        <v>0</v>
      </c>
      <c r="HA33" s="211">
        <f t="shared" si="353"/>
        <v>0</v>
      </c>
      <c r="HB33" s="211">
        <f t="shared" si="353"/>
        <v>0</v>
      </c>
      <c r="HC33" s="211">
        <f t="shared" si="353"/>
        <v>0</v>
      </c>
      <c r="HD33" s="211">
        <f t="shared" si="353"/>
        <v>0</v>
      </c>
      <c r="HE33" s="211">
        <f t="shared" si="353"/>
        <v>0</v>
      </c>
      <c r="HF33" s="211">
        <f t="shared" si="353"/>
        <v>0</v>
      </c>
      <c r="HG33" s="211">
        <f t="shared" si="353"/>
        <v>0</v>
      </c>
      <c r="HH33" s="211">
        <f t="shared" si="353"/>
        <v>0</v>
      </c>
      <c r="HI33" s="211">
        <f t="shared" si="353"/>
        <v>0</v>
      </c>
      <c r="HJ33" s="211">
        <f t="shared" si="353"/>
        <v>0</v>
      </c>
      <c r="HK33" s="211">
        <f t="shared" si="354"/>
        <v>0</v>
      </c>
      <c r="HL33" s="211">
        <f t="shared" si="354"/>
        <v>0</v>
      </c>
      <c r="HM33" s="211">
        <f t="shared" si="354"/>
        <v>0</v>
      </c>
      <c r="HN33" s="211">
        <f t="shared" si="354"/>
        <v>0</v>
      </c>
      <c r="HO33" s="211">
        <f t="shared" si="354"/>
        <v>0</v>
      </c>
      <c r="HP33" s="211">
        <f t="shared" si="354"/>
        <v>0</v>
      </c>
      <c r="HQ33" s="211">
        <f t="shared" si="354"/>
        <v>0</v>
      </c>
      <c r="HR33" s="211">
        <f t="shared" si="354"/>
        <v>0</v>
      </c>
      <c r="HS33" s="211">
        <f t="shared" si="354"/>
        <v>0</v>
      </c>
      <c r="HT33" s="211">
        <f t="shared" si="354"/>
        <v>0</v>
      </c>
      <c r="HU33" s="211">
        <f t="shared" si="355"/>
        <v>0</v>
      </c>
      <c r="HV33" s="211">
        <f t="shared" si="355"/>
        <v>0</v>
      </c>
      <c r="HW33" s="211">
        <f t="shared" si="355"/>
        <v>0</v>
      </c>
      <c r="HX33" s="211">
        <f t="shared" si="355"/>
        <v>0</v>
      </c>
      <c r="HY33" s="211">
        <f t="shared" si="355"/>
        <v>0</v>
      </c>
      <c r="HZ33" s="211">
        <f t="shared" si="355"/>
        <v>0</v>
      </c>
      <c r="IA33" s="211">
        <f t="shared" si="355"/>
        <v>0</v>
      </c>
      <c r="IB33" s="211">
        <f t="shared" si="355"/>
        <v>0</v>
      </c>
      <c r="IC33" s="211">
        <f t="shared" si="355"/>
        <v>0</v>
      </c>
      <c r="ID33" s="211">
        <f t="shared" si="355"/>
        <v>0</v>
      </c>
      <c r="IE33" s="211">
        <f t="shared" si="356"/>
        <v>0</v>
      </c>
      <c r="IF33" s="211">
        <f t="shared" si="356"/>
        <v>0</v>
      </c>
      <c r="IG33" s="211">
        <f t="shared" si="356"/>
        <v>0</v>
      </c>
      <c r="IH33" s="211">
        <f t="shared" si="356"/>
        <v>0</v>
      </c>
      <c r="II33" s="211">
        <f t="shared" si="356"/>
        <v>0</v>
      </c>
      <c r="IJ33" s="211">
        <f t="shared" si="356"/>
        <v>0</v>
      </c>
      <c r="IK33" s="211">
        <f t="shared" si="356"/>
        <v>0</v>
      </c>
      <c r="IL33" s="211">
        <f t="shared" si="356"/>
        <v>0</v>
      </c>
      <c r="IM33" s="211">
        <f t="shared" si="356"/>
        <v>0</v>
      </c>
      <c r="IN33" s="211">
        <f t="shared" si="356"/>
        <v>0</v>
      </c>
      <c r="IO33" s="211">
        <f t="shared" si="357"/>
        <v>0</v>
      </c>
      <c r="IP33" s="211">
        <f t="shared" si="357"/>
        <v>0</v>
      </c>
      <c r="IQ33" s="211">
        <f t="shared" si="357"/>
        <v>0</v>
      </c>
      <c r="IR33" s="211">
        <f t="shared" si="357"/>
        <v>0</v>
      </c>
      <c r="IS33" s="211">
        <f t="shared" si="357"/>
        <v>0</v>
      </c>
      <c r="IT33" s="211">
        <f t="shared" si="357"/>
        <v>0</v>
      </c>
      <c r="IU33" s="211">
        <f t="shared" si="357"/>
        <v>0</v>
      </c>
      <c r="IV33" s="211">
        <f t="shared" si="357"/>
        <v>0</v>
      </c>
      <c r="IW33" s="211">
        <f t="shared" si="357"/>
        <v>0</v>
      </c>
      <c r="IX33" s="211">
        <f t="shared" si="357"/>
        <v>0</v>
      </c>
      <c r="IY33" s="211">
        <f t="shared" si="358"/>
        <v>0</v>
      </c>
      <c r="IZ33" s="211">
        <f t="shared" si="358"/>
        <v>0</v>
      </c>
      <c r="JA33" s="211">
        <f t="shared" si="358"/>
        <v>0</v>
      </c>
      <c r="JB33" s="211">
        <f t="shared" si="358"/>
        <v>0</v>
      </c>
      <c r="JC33" s="211">
        <f t="shared" si="358"/>
        <v>0</v>
      </c>
      <c r="JD33" s="211">
        <f t="shared" si="358"/>
        <v>0</v>
      </c>
      <c r="JE33" s="211">
        <f t="shared" si="358"/>
        <v>0</v>
      </c>
      <c r="JF33" s="211">
        <f t="shared" si="358"/>
        <v>0</v>
      </c>
      <c r="JG33" s="211">
        <f t="shared" si="358"/>
        <v>0</v>
      </c>
      <c r="JH33" s="211">
        <f t="shared" si="358"/>
        <v>0</v>
      </c>
      <c r="JI33" s="211">
        <f t="shared" si="359"/>
        <v>0</v>
      </c>
      <c r="JJ33" s="211">
        <f t="shared" si="359"/>
        <v>0</v>
      </c>
      <c r="JK33" s="211">
        <f t="shared" si="359"/>
        <v>0</v>
      </c>
      <c r="JL33" s="211">
        <f t="shared" si="359"/>
        <v>0</v>
      </c>
      <c r="JM33" s="211">
        <f t="shared" si="359"/>
        <v>0</v>
      </c>
      <c r="JN33" s="211">
        <f t="shared" si="359"/>
        <v>0</v>
      </c>
      <c r="JO33" s="211">
        <f t="shared" si="359"/>
        <v>0</v>
      </c>
      <c r="JP33" s="211">
        <f t="shared" si="359"/>
        <v>0</v>
      </c>
      <c r="JQ33" s="211">
        <f t="shared" si="359"/>
        <v>0</v>
      </c>
      <c r="JR33" s="211">
        <f t="shared" si="359"/>
        <v>0</v>
      </c>
      <c r="JS33" s="211">
        <f t="shared" si="360"/>
        <v>0</v>
      </c>
      <c r="JT33" s="211">
        <f t="shared" si="360"/>
        <v>0</v>
      </c>
      <c r="JU33" s="211">
        <f t="shared" si="360"/>
        <v>0</v>
      </c>
      <c r="JV33" s="211">
        <f t="shared" si="360"/>
        <v>0</v>
      </c>
      <c r="JW33" s="211">
        <f t="shared" si="360"/>
        <v>0</v>
      </c>
      <c r="JX33" s="211">
        <f t="shared" si="360"/>
        <v>0</v>
      </c>
      <c r="JY33" s="211">
        <f t="shared" si="360"/>
        <v>0</v>
      </c>
      <c r="JZ33" s="211">
        <f t="shared" si="360"/>
        <v>0</v>
      </c>
      <c r="KA33" s="211">
        <f t="shared" si="360"/>
        <v>0</v>
      </c>
      <c r="KB33" s="211">
        <f t="shared" si="360"/>
        <v>0</v>
      </c>
      <c r="KC33" s="211">
        <f t="shared" si="360"/>
        <v>0</v>
      </c>
      <c r="KD33" s="211">
        <f t="shared" si="360"/>
        <v>0</v>
      </c>
      <c r="KE33" s="211">
        <f t="shared" si="360"/>
        <v>0</v>
      </c>
      <c r="KG33" s="207"/>
      <c r="KH33" s="208"/>
      <c r="KI33" s="208"/>
      <c r="KJ33" s="209"/>
      <c r="KK33" s="210"/>
      <c r="KM33" s="211"/>
      <c r="KN33" s="211"/>
      <c r="KO33" s="211"/>
      <c r="KP33" s="211"/>
      <c r="KQ33" s="211"/>
      <c r="KR33" s="211"/>
      <c r="KS33" s="211"/>
      <c r="KT33" s="211"/>
      <c r="KU33" s="211"/>
      <c r="KV33" s="211"/>
      <c r="KW33" s="211"/>
      <c r="KX33" s="211"/>
      <c r="KY33" s="211"/>
      <c r="KZ33" s="211"/>
      <c r="LA33" s="211"/>
      <c r="LB33" s="211"/>
      <c r="LC33" s="211"/>
      <c r="LD33" s="211"/>
      <c r="LE33" s="211"/>
      <c r="LF33" s="211"/>
      <c r="LG33" s="211"/>
      <c r="LH33" s="211"/>
      <c r="LI33" s="211"/>
      <c r="LJ33" s="211"/>
      <c r="LK33" s="211"/>
      <c r="LL33" s="211"/>
      <c r="LM33" s="211"/>
      <c r="LN33" s="211"/>
      <c r="LO33" s="211"/>
      <c r="LP33" s="211"/>
      <c r="LQ33" s="211"/>
      <c r="LR33" s="211"/>
      <c r="LS33" s="211"/>
      <c r="LT33" s="211"/>
      <c r="LU33" s="211"/>
      <c r="LV33" s="211"/>
      <c r="LW33" s="211"/>
      <c r="LX33" s="211"/>
      <c r="LY33" s="211"/>
      <c r="LZ33" s="211"/>
      <c r="MA33" s="211"/>
      <c r="MB33" s="211"/>
      <c r="MC33" s="211"/>
      <c r="MD33" s="211"/>
      <c r="ME33" s="211"/>
      <c r="MF33" s="211"/>
      <c r="MG33" s="211"/>
      <c r="MH33" s="211"/>
      <c r="MI33" s="211"/>
      <c r="MJ33" s="211"/>
      <c r="MK33" s="211"/>
      <c r="ML33" s="211"/>
      <c r="MM33" s="211"/>
      <c r="MN33" s="211"/>
      <c r="MO33" s="211"/>
      <c r="MP33" s="211"/>
      <c r="MQ33" s="211"/>
      <c r="MR33" s="211"/>
      <c r="MS33" s="211"/>
      <c r="MT33" s="211"/>
      <c r="MU33" s="211"/>
      <c r="MV33" s="211"/>
      <c r="MW33" s="211"/>
      <c r="MX33" s="211"/>
      <c r="MY33" s="211"/>
      <c r="MZ33" s="211"/>
      <c r="NA33" s="211"/>
      <c r="NB33" s="211"/>
      <c r="NC33" s="211"/>
      <c r="ND33" s="211"/>
      <c r="NE33" s="211"/>
      <c r="NF33" s="211"/>
      <c r="NG33" s="211"/>
      <c r="NH33" s="211"/>
      <c r="NI33" s="211"/>
      <c r="NJ33" s="211"/>
      <c r="NK33" s="211"/>
      <c r="NL33" s="211"/>
      <c r="NM33" s="211"/>
      <c r="NN33" s="211"/>
      <c r="NO33" s="211"/>
      <c r="NP33" s="211"/>
      <c r="NQ33" s="211"/>
      <c r="NR33" s="211"/>
      <c r="NS33" s="211"/>
      <c r="NT33" s="211"/>
      <c r="NU33" s="211"/>
      <c r="NV33" s="211"/>
      <c r="NW33" s="211"/>
      <c r="NX33" s="211"/>
      <c r="NY33" s="211"/>
      <c r="NZ33" s="211"/>
      <c r="OA33" s="211"/>
      <c r="OB33" s="211"/>
      <c r="OC33" s="211"/>
      <c r="OD33" s="211"/>
      <c r="OE33" s="211"/>
      <c r="OF33" s="211"/>
      <c r="OG33" s="211"/>
      <c r="OH33" s="211"/>
      <c r="OI33" s="211"/>
      <c r="OJ33" s="211"/>
      <c r="OK33" s="211"/>
      <c r="OL33" s="211"/>
      <c r="OM33" s="211"/>
      <c r="ON33" s="211"/>
      <c r="OO33" s="211"/>
      <c r="OP33" s="211"/>
      <c r="OQ33" s="211"/>
      <c r="OR33" s="211"/>
      <c r="OS33" s="211"/>
      <c r="OT33" s="211"/>
      <c r="OU33" s="211"/>
      <c r="OV33" s="211"/>
      <c r="OW33" s="211"/>
      <c r="OX33" s="211"/>
      <c r="OY33" s="211"/>
      <c r="OZ33" s="211"/>
      <c r="PA33" s="211"/>
      <c r="PB33" s="211"/>
      <c r="PC33" s="211"/>
      <c r="PD33" s="211"/>
      <c r="PE33" s="211"/>
      <c r="PF33" s="211"/>
      <c r="PG33" s="211"/>
      <c r="PH33" s="211"/>
      <c r="PI33" s="211"/>
      <c r="PJ33" s="211"/>
      <c r="PK33" s="211"/>
      <c r="PL33" s="211"/>
      <c r="PM33" s="211"/>
      <c r="PN33" s="211"/>
      <c r="PO33" s="211"/>
      <c r="PQ33" s="201"/>
      <c r="PR33" s="201"/>
      <c r="PS33" s="201"/>
      <c r="PT33" s="201"/>
      <c r="PU33" s="201"/>
      <c r="PV33" s="201"/>
      <c r="PW33" s="201"/>
      <c r="PX33" s="201"/>
      <c r="PY33" s="201"/>
      <c r="PZ33" s="201"/>
      <c r="QA33" s="201"/>
      <c r="QB33" s="201"/>
      <c r="QC33" s="201"/>
      <c r="QD33" s="201"/>
      <c r="QE33" s="201"/>
      <c r="QF33" s="201"/>
      <c r="QG33" s="201"/>
      <c r="QH33" s="201"/>
      <c r="QI33" s="201"/>
      <c r="QJ33" s="201"/>
      <c r="QK33" s="201"/>
      <c r="QL33" s="201"/>
      <c r="QM33" s="201"/>
      <c r="QN33" s="201"/>
      <c r="QO33" s="201"/>
      <c r="QP33" s="201"/>
      <c r="QQ33" s="201"/>
      <c r="QR33" s="201"/>
      <c r="QS33" s="201"/>
      <c r="QT33" s="201"/>
      <c r="QU33" s="201"/>
      <c r="QV33" s="201"/>
      <c r="QW33" s="201"/>
      <c r="QX33" s="201"/>
      <c r="QY33" s="201"/>
      <c r="QZ33" s="201"/>
      <c r="RA33" s="201"/>
      <c r="RB33" s="201"/>
      <c r="RC33" s="201"/>
      <c r="RD33" s="201"/>
      <c r="RE33" s="201"/>
      <c r="RF33" s="201"/>
      <c r="RG33" s="201"/>
      <c r="RH33" s="201"/>
      <c r="RI33" s="201"/>
      <c r="RJ33" s="201"/>
      <c r="RK33" s="201"/>
      <c r="RL33" s="201"/>
      <c r="RM33" s="201"/>
      <c r="RN33" s="201"/>
      <c r="RO33" s="201"/>
      <c r="RP33" s="201"/>
      <c r="RQ33" s="201"/>
      <c r="RR33" s="201"/>
      <c r="RS33" s="201"/>
      <c r="RT33" s="201"/>
      <c r="RU33" s="201"/>
      <c r="RV33" s="201"/>
      <c r="RW33" s="201"/>
      <c r="RX33" s="201"/>
      <c r="RY33" s="201"/>
      <c r="RZ33" s="201"/>
      <c r="SA33" s="201"/>
      <c r="SB33" s="201"/>
      <c r="SC33" s="201"/>
      <c r="SD33" s="201"/>
      <c r="SE33" s="201"/>
      <c r="SF33" s="201"/>
      <c r="SG33" s="201"/>
      <c r="SH33" s="201"/>
      <c r="SI33" s="201"/>
      <c r="SJ33" s="201"/>
      <c r="SK33" s="201"/>
      <c r="SL33" s="201"/>
      <c r="SM33" s="201"/>
      <c r="SN33" s="201"/>
      <c r="SO33" s="201"/>
      <c r="SP33" s="201"/>
      <c r="SQ33" s="201"/>
      <c r="SR33" s="201"/>
      <c r="SS33" s="201"/>
      <c r="ST33" s="201"/>
      <c r="SU33" s="201"/>
      <c r="SV33" s="201"/>
      <c r="SW33" s="201"/>
      <c r="SX33" s="201"/>
      <c r="SY33" s="201"/>
      <c r="SZ33" s="201"/>
      <c r="TA33" s="201"/>
      <c r="TB33" s="201"/>
      <c r="TC33" s="201"/>
      <c r="TD33" s="201"/>
      <c r="TE33" s="201"/>
      <c r="TF33" s="201"/>
      <c r="TG33" s="201"/>
      <c r="TH33" s="201"/>
      <c r="TI33" s="201"/>
      <c r="TJ33" s="201"/>
      <c r="TK33" s="201"/>
      <c r="TL33" s="201"/>
      <c r="TM33" s="201"/>
      <c r="TN33" s="201"/>
      <c r="TO33" s="201"/>
      <c r="TP33" s="201"/>
      <c r="TQ33" s="201"/>
      <c r="TR33" s="201"/>
      <c r="TS33" s="201"/>
      <c r="TT33" s="201"/>
      <c r="TU33" s="201"/>
      <c r="TV33" s="201"/>
      <c r="TW33" s="201"/>
      <c r="TX33" s="201"/>
      <c r="TY33" s="201"/>
      <c r="TZ33" s="201"/>
      <c r="UA33" s="201"/>
      <c r="UB33" s="201"/>
      <c r="UC33" s="201"/>
      <c r="UD33" s="201"/>
      <c r="UE33" s="201"/>
      <c r="UF33" s="201"/>
      <c r="UG33" s="201"/>
      <c r="UH33" s="201"/>
      <c r="UI33" s="201"/>
      <c r="UJ33" s="201"/>
      <c r="UK33" s="201"/>
      <c r="UL33" s="201"/>
      <c r="UM33" s="201"/>
      <c r="UN33" s="201"/>
      <c r="UO33" s="201"/>
      <c r="UP33" s="201"/>
      <c r="UQ33" s="201"/>
      <c r="UR33" s="201"/>
      <c r="US33" s="201"/>
      <c r="UT33" s="201"/>
      <c r="UU33" s="201"/>
    </row>
    <row r="34" spans="1:567" ht="15" x14ac:dyDescent="0.35">
      <c r="B34" s="31" t="s">
        <v>34</v>
      </c>
      <c r="C34" s="26"/>
      <c r="D34" s="26"/>
      <c r="E34" s="32">
        <v>0</v>
      </c>
      <c r="F34" s="32">
        <v>0</v>
      </c>
      <c r="G34" s="19" t="s">
        <v>602</v>
      </c>
      <c r="H34" s="32"/>
      <c r="I34" s="55">
        <f>K34/Units_SF</f>
        <v>0</v>
      </c>
      <c r="J34" s="36">
        <f>K34/Units</f>
        <v>0</v>
      </c>
      <c r="K34" s="37">
        <v>0</v>
      </c>
      <c r="R34" s="90" t="str">
        <f t="shared" si="333"/>
        <v>OK</v>
      </c>
      <c r="S34" s="94">
        <f t="shared" si="334"/>
        <v>0</v>
      </c>
      <c r="T34" s="94">
        <f t="shared" si="334"/>
        <v>0</v>
      </c>
      <c r="U34" s="94">
        <f t="shared" si="334"/>
        <v>0</v>
      </c>
      <c r="V34" s="94">
        <f t="shared" si="334"/>
        <v>0</v>
      </c>
      <c r="W34" s="94">
        <f t="shared" si="334"/>
        <v>0</v>
      </c>
      <c r="X34" s="94">
        <f t="shared" si="334"/>
        <v>0</v>
      </c>
      <c r="Y34" s="94">
        <f t="shared" si="334"/>
        <v>0</v>
      </c>
      <c r="Z34" s="94">
        <f t="shared" si="334"/>
        <v>0</v>
      </c>
      <c r="AA34" s="94">
        <f t="shared" si="334"/>
        <v>0</v>
      </c>
      <c r="AB34" s="94">
        <f t="shared" si="334"/>
        <v>0</v>
      </c>
      <c r="AC34" s="94">
        <f t="shared" si="335"/>
        <v>0</v>
      </c>
      <c r="AD34" s="94">
        <f t="shared" si="335"/>
        <v>0</v>
      </c>
      <c r="AE34" s="94">
        <f t="shared" si="335"/>
        <v>0</v>
      </c>
      <c r="AF34" s="94">
        <f t="shared" si="335"/>
        <v>0</v>
      </c>
      <c r="AG34" s="94">
        <f t="shared" si="335"/>
        <v>0</v>
      </c>
      <c r="AH34" s="94">
        <f t="shared" si="335"/>
        <v>0</v>
      </c>
      <c r="AI34" s="94">
        <f t="shared" si="335"/>
        <v>0</v>
      </c>
      <c r="AJ34" s="94">
        <f t="shared" si="335"/>
        <v>0</v>
      </c>
      <c r="AK34" s="94">
        <f t="shared" si="335"/>
        <v>0</v>
      </c>
      <c r="AL34" s="94">
        <f t="shared" si="335"/>
        <v>0</v>
      </c>
      <c r="AM34" s="94">
        <f t="shared" si="336"/>
        <v>0</v>
      </c>
      <c r="AN34" s="94">
        <f t="shared" si="336"/>
        <v>0</v>
      </c>
      <c r="AO34" s="94">
        <f t="shared" si="336"/>
        <v>0</v>
      </c>
      <c r="AP34" s="94">
        <f t="shared" si="336"/>
        <v>0</v>
      </c>
      <c r="AQ34" s="94">
        <f t="shared" si="336"/>
        <v>0</v>
      </c>
      <c r="AR34" s="94">
        <f t="shared" si="336"/>
        <v>0</v>
      </c>
      <c r="AS34" s="94">
        <f t="shared" si="336"/>
        <v>0</v>
      </c>
      <c r="AT34" s="94">
        <f t="shared" si="336"/>
        <v>0</v>
      </c>
      <c r="AU34" s="94">
        <f t="shared" si="336"/>
        <v>0</v>
      </c>
      <c r="AV34" s="94">
        <f t="shared" si="336"/>
        <v>0</v>
      </c>
      <c r="AW34" s="94">
        <f t="shared" si="337"/>
        <v>0</v>
      </c>
      <c r="AX34" s="94">
        <f t="shared" si="337"/>
        <v>0</v>
      </c>
      <c r="AY34" s="94">
        <f t="shared" si="337"/>
        <v>0</v>
      </c>
      <c r="AZ34" s="94">
        <f t="shared" si="337"/>
        <v>0</v>
      </c>
      <c r="BA34" s="94">
        <f t="shared" si="337"/>
        <v>0</v>
      </c>
      <c r="BB34" s="94">
        <f t="shared" si="337"/>
        <v>0</v>
      </c>
      <c r="BC34" s="94">
        <f t="shared" si="337"/>
        <v>0</v>
      </c>
      <c r="BD34" s="94">
        <f t="shared" si="337"/>
        <v>0</v>
      </c>
      <c r="BE34" s="94">
        <f t="shared" si="337"/>
        <v>0</v>
      </c>
      <c r="BF34" s="94">
        <f t="shared" si="337"/>
        <v>0</v>
      </c>
      <c r="BG34" s="94">
        <f t="shared" si="338"/>
        <v>0</v>
      </c>
      <c r="BH34" s="94">
        <f t="shared" si="338"/>
        <v>0</v>
      </c>
      <c r="BI34" s="94">
        <f t="shared" si="338"/>
        <v>0</v>
      </c>
      <c r="BJ34" s="94">
        <f t="shared" si="338"/>
        <v>0</v>
      </c>
      <c r="BK34" s="94">
        <f t="shared" si="338"/>
        <v>0</v>
      </c>
      <c r="BL34" s="94">
        <f t="shared" si="338"/>
        <v>0</v>
      </c>
      <c r="BM34" s="94">
        <f t="shared" si="338"/>
        <v>0</v>
      </c>
      <c r="BN34" s="94">
        <f t="shared" si="338"/>
        <v>0</v>
      </c>
      <c r="BO34" s="94">
        <f t="shared" si="338"/>
        <v>0</v>
      </c>
      <c r="BP34" s="94">
        <f t="shared" si="338"/>
        <v>0</v>
      </c>
      <c r="BQ34" s="94">
        <f t="shared" si="339"/>
        <v>0</v>
      </c>
      <c r="BR34" s="94">
        <f t="shared" si="339"/>
        <v>0</v>
      </c>
      <c r="BS34" s="94">
        <f t="shared" si="339"/>
        <v>0</v>
      </c>
      <c r="BT34" s="94">
        <f t="shared" si="339"/>
        <v>0</v>
      </c>
      <c r="BU34" s="94">
        <f t="shared" si="339"/>
        <v>0</v>
      </c>
      <c r="BV34" s="94">
        <f t="shared" si="339"/>
        <v>0</v>
      </c>
      <c r="BW34" s="94">
        <f t="shared" si="339"/>
        <v>0</v>
      </c>
      <c r="BX34" s="94">
        <f t="shared" si="339"/>
        <v>0</v>
      </c>
      <c r="BY34" s="94">
        <f t="shared" si="339"/>
        <v>0</v>
      </c>
      <c r="BZ34" s="94">
        <f t="shared" si="339"/>
        <v>0</v>
      </c>
      <c r="CA34" s="94">
        <f t="shared" si="340"/>
        <v>0</v>
      </c>
      <c r="CB34" s="94">
        <f t="shared" si="340"/>
        <v>0</v>
      </c>
      <c r="CC34" s="94">
        <f t="shared" si="340"/>
        <v>0</v>
      </c>
      <c r="CD34" s="94">
        <f t="shared" si="340"/>
        <v>0</v>
      </c>
      <c r="CE34" s="94">
        <f t="shared" si="340"/>
        <v>0</v>
      </c>
      <c r="CF34" s="94">
        <f t="shared" si="340"/>
        <v>0</v>
      </c>
      <c r="CG34" s="94">
        <f t="shared" si="340"/>
        <v>0</v>
      </c>
      <c r="CH34" s="94">
        <f t="shared" si="340"/>
        <v>0</v>
      </c>
      <c r="CI34" s="94">
        <f t="shared" si="340"/>
        <v>0</v>
      </c>
      <c r="CJ34" s="94">
        <f t="shared" si="340"/>
        <v>0</v>
      </c>
      <c r="CK34" s="94">
        <f t="shared" si="341"/>
        <v>0</v>
      </c>
      <c r="CL34" s="94">
        <f t="shared" si="341"/>
        <v>0</v>
      </c>
      <c r="CM34" s="94">
        <f t="shared" si="341"/>
        <v>0</v>
      </c>
      <c r="CN34" s="94">
        <f t="shared" si="341"/>
        <v>0</v>
      </c>
      <c r="CO34" s="94">
        <f t="shared" si="341"/>
        <v>0</v>
      </c>
      <c r="CP34" s="94">
        <f t="shared" si="341"/>
        <v>0</v>
      </c>
      <c r="CQ34" s="94">
        <f t="shared" si="341"/>
        <v>0</v>
      </c>
      <c r="CR34" s="94">
        <f t="shared" si="341"/>
        <v>0</v>
      </c>
      <c r="CS34" s="94">
        <f t="shared" si="341"/>
        <v>0</v>
      </c>
      <c r="CT34" s="94">
        <f t="shared" si="341"/>
        <v>0</v>
      </c>
      <c r="CU34" s="94">
        <f t="shared" si="342"/>
        <v>0</v>
      </c>
      <c r="CV34" s="94">
        <f t="shared" si="342"/>
        <v>0</v>
      </c>
      <c r="CW34" s="94">
        <f t="shared" si="342"/>
        <v>0</v>
      </c>
      <c r="CX34" s="94">
        <f t="shared" si="342"/>
        <v>0</v>
      </c>
      <c r="CY34" s="94">
        <f t="shared" si="342"/>
        <v>0</v>
      </c>
      <c r="CZ34" s="94">
        <f t="shared" si="342"/>
        <v>0</v>
      </c>
      <c r="DA34" s="94">
        <f t="shared" si="342"/>
        <v>0</v>
      </c>
      <c r="DB34" s="94">
        <f t="shared" si="342"/>
        <v>0</v>
      </c>
      <c r="DC34" s="94">
        <f t="shared" si="342"/>
        <v>0</v>
      </c>
      <c r="DD34" s="94">
        <f t="shared" si="342"/>
        <v>0</v>
      </c>
      <c r="DE34" s="94">
        <f t="shared" si="343"/>
        <v>0</v>
      </c>
      <c r="DF34" s="94">
        <f t="shared" si="343"/>
        <v>0</v>
      </c>
      <c r="DG34" s="94">
        <f t="shared" si="343"/>
        <v>0</v>
      </c>
      <c r="DH34" s="94">
        <f t="shared" si="343"/>
        <v>0</v>
      </c>
      <c r="DI34" s="94">
        <f t="shared" si="343"/>
        <v>0</v>
      </c>
      <c r="DJ34" s="94">
        <f t="shared" si="343"/>
        <v>0</v>
      </c>
      <c r="DK34" s="94">
        <f t="shared" si="343"/>
        <v>0</v>
      </c>
      <c r="DL34" s="94">
        <f t="shared" si="343"/>
        <v>0</v>
      </c>
      <c r="DM34" s="94">
        <f t="shared" si="343"/>
        <v>0</v>
      </c>
      <c r="DN34" s="94">
        <f t="shared" si="343"/>
        <v>0</v>
      </c>
      <c r="DO34" s="94">
        <f t="shared" si="344"/>
        <v>0</v>
      </c>
      <c r="DP34" s="94">
        <f t="shared" si="344"/>
        <v>0</v>
      </c>
      <c r="DQ34" s="94">
        <f t="shared" si="344"/>
        <v>0</v>
      </c>
      <c r="DR34" s="94">
        <f t="shared" si="344"/>
        <v>0</v>
      </c>
      <c r="DS34" s="94">
        <f t="shared" si="344"/>
        <v>0</v>
      </c>
      <c r="DT34" s="94">
        <f t="shared" si="344"/>
        <v>0</v>
      </c>
      <c r="DU34" s="94">
        <f t="shared" si="344"/>
        <v>0</v>
      </c>
      <c r="DV34" s="94">
        <f t="shared" si="344"/>
        <v>0</v>
      </c>
      <c r="DW34" s="94">
        <f t="shared" si="344"/>
        <v>0</v>
      </c>
      <c r="DX34" s="94">
        <f t="shared" si="344"/>
        <v>0</v>
      </c>
      <c r="DY34" s="94">
        <f t="shared" si="345"/>
        <v>0</v>
      </c>
      <c r="DZ34" s="94">
        <f t="shared" si="345"/>
        <v>0</v>
      </c>
      <c r="EA34" s="94">
        <f t="shared" si="345"/>
        <v>0</v>
      </c>
      <c r="EB34" s="94">
        <f t="shared" si="345"/>
        <v>0</v>
      </c>
      <c r="EC34" s="94">
        <f t="shared" si="345"/>
        <v>0</v>
      </c>
      <c r="ED34" s="94">
        <f t="shared" si="345"/>
        <v>0</v>
      </c>
      <c r="EE34" s="94">
        <f t="shared" si="345"/>
        <v>0</v>
      </c>
      <c r="EF34" s="94">
        <f t="shared" si="345"/>
        <v>0</v>
      </c>
      <c r="EG34" s="94">
        <f t="shared" si="345"/>
        <v>0</v>
      </c>
      <c r="EH34" s="94">
        <f t="shared" si="345"/>
        <v>0</v>
      </c>
      <c r="EI34" s="94">
        <f t="shared" si="346"/>
        <v>0</v>
      </c>
      <c r="EJ34" s="94">
        <f t="shared" si="346"/>
        <v>0</v>
      </c>
      <c r="EK34" s="94">
        <f t="shared" si="346"/>
        <v>0</v>
      </c>
      <c r="EL34" s="94">
        <f t="shared" si="346"/>
        <v>0</v>
      </c>
      <c r="EM34" s="94">
        <f t="shared" si="346"/>
        <v>0</v>
      </c>
      <c r="EN34" s="94">
        <f t="shared" si="346"/>
        <v>0</v>
      </c>
      <c r="EO34" s="94">
        <f t="shared" si="346"/>
        <v>0</v>
      </c>
      <c r="EP34" s="94">
        <f t="shared" si="346"/>
        <v>0</v>
      </c>
      <c r="EQ34" s="94">
        <f t="shared" si="346"/>
        <v>0</v>
      </c>
      <c r="ER34" s="94">
        <f t="shared" si="346"/>
        <v>0</v>
      </c>
      <c r="ES34" s="94">
        <f t="shared" si="347"/>
        <v>0</v>
      </c>
      <c r="ET34" s="94">
        <f t="shared" si="347"/>
        <v>0</v>
      </c>
      <c r="EU34" s="94">
        <f t="shared" si="347"/>
        <v>0</v>
      </c>
      <c r="EW34" s="207">
        <f>K34</f>
        <v>0</v>
      </c>
      <c r="EX34" s="208">
        <f>INDEX($S$23:$EU$23,1,E34+1)</f>
        <v>46053</v>
      </c>
      <c r="EY34" s="208">
        <f>INDEX($S$23:$EU$23,1,F34+1)</f>
        <v>46053</v>
      </c>
      <c r="EZ34" s="209">
        <f>F34-E34+1</f>
        <v>1</v>
      </c>
      <c r="FA34" s="210">
        <f>EZ34/6</f>
        <v>0.16666666666666666</v>
      </c>
      <c r="FC34" s="211">
        <f t="shared" si="348"/>
        <v>0</v>
      </c>
      <c r="FD34" s="211">
        <f t="shared" si="348"/>
        <v>0</v>
      </c>
      <c r="FE34" s="211">
        <f t="shared" si="348"/>
        <v>0</v>
      </c>
      <c r="FF34" s="211">
        <f t="shared" si="348"/>
        <v>0</v>
      </c>
      <c r="FG34" s="211">
        <f t="shared" si="348"/>
        <v>0</v>
      </c>
      <c r="FH34" s="211">
        <f t="shared" si="348"/>
        <v>0</v>
      </c>
      <c r="FI34" s="211">
        <f t="shared" si="348"/>
        <v>0</v>
      </c>
      <c r="FJ34" s="211">
        <f t="shared" si="348"/>
        <v>0</v>
      </c>
      <c r="FK34" s="211">
        <f t="shared" si="348"/>
        <v>0</v>
      </c>
      <c r="FL34" s="211">
        <f t="shared" si="348"/>
        <v>0</v>
      </c>
      <c r="FM34" s="211">
        <f t="shared" si="349"/>
        <v>0</v>
      </c>
      <c r="FN34" s="211">
        <f t="shared" si="349"/>
        <v>0</v>
      </c>
      <c r="FO34" s="211">
        <f t="shared" si="349"/>
        <v>0</v>
      </c>
      <c r="FP34" s="211">
        <f t="shared" si="349"/>
        <v>0</v>
      </c>
      <c r="FQ34" s="211">
        <f t="shared" si="349"/>
        <v>0</v>
      </c>
      <c r="FR34" s="211">
        <f t="shared" si="349"/>
        <v>0</v>
      </c>
      <c r="FS34" s="211">
        <f t="shared" si="349"/>
        <v>0</v>
      </c>
      <c r="FT34" s="211">
        <f t="shared" si="349"/>
        <v>0</v>
      </c>
      <c r="FU34" s="211">
        <f t="shared" si="349"/>
        <v>0</v>
      </c>
      <c r="FV34" s="211">
        <f t="shared" si="349"/>
        <v>0</v>
      </c>
      <c r="FW34" s="211">
        <f t="shared" si="350"/>
        <v>0</v>
      </c>
      <c r="FX34" s="211">
        <f t="shared" si="350"/>
        <v>0</v>
      </c>
      <c r="FY34" s="211">
        <f t="shared" si="350"/>
        <v>0</v>
      </c>
      <c r="FZ34" s="211">
        <f t="shared" si="350"/>
        <v>0</v>
      </c>
      <c r="GA34" s="211">
        <f t="shared" si="350"/>
        <v>0</v>
      </c>
      <c r="GB34" s="211">
        <f t="shared" si="350"/>
        <v>0</v>
      </c>
      <c r="GC34" s="211">
        <f t="shared" si="350"/>
        <v>0</v>
      </c>
      <c r="GD34" s="211">
        <f t="shared" si="350"/>
        <v>0</v>
      </c>
      <c r="GE34" s="211">
        <f t="shared" si="350"/>
        <v>0</v>
      </c>
      <c r="GF34" s="211">
        <f t="shared" si="350"/>
        <v>0</v>
      </c>
      <c r="GG34" s="211">
        <f t="shared" si="351"/>
        <v>0</v>
      </c>
      <c r="GH34" s="211">
        <f t="shared" si="351"/>
        <v>0</v>
      </c>
      <c r="GI34" s="211">
        <f t="shared" si="351"/>
        <v>0</v>
      </c>
      <c r="GJ34" s="211">
        <f t="shared" si="351"/>
        <v>0</v>
      </c>
      <c r="GK34" s="211">
        <f t="shared" si="351"/>
        <v>0</v>
      </c>
      <c r="GL34" s="211">
        <f t="shared" si="351"/>
        <v>0</v>
      </c>
      <c r="GM34" s="211">
        <f t="shared" si="351"/>
        <v>0</v>
      </c>
      <c r="GN34" s="211">
        <f t="shared" si="351"/>
        <v>0</v>
      </c>
      <c r="GO34" s="211">
        <f t="shared" si="351"/>
        <v>0</v>
      </c>
      <c r="GP34" s="211">
        <f t="shared" si="351"/>
        <v>0</v>
      </c>
      <c r="GQ34" s="211">
        <f t="shared" si="352"/>
        <v>0</v>
      </c>
      <c r="GR34" s="211">
        <f t="shared" si="352"/>
        <v>0</v>
      </c>
      <c r="GS34" s="211">
        <f t="shared" si="352"/>
        <v>0</v>
      </c>
      <c r="GT34" s="211">
        <f t="shared" si="352"/>
        <v>0</v>
      </c>
      <c r="GU34" s="211">
        <f t="shared" si="352"/>
        <v>0</v>
      </c>
      <c r="GV34" s="211">
        <f t="shared" si="352"/>
        <v>0</v>
      </c>
      <c r="GW34" s="211">
        <f t="shared" si="352"/>
        <v>0</v>
      </c>
      <c r="GX34" s="211">
        <f t="shared" si="352"/>
        <v>0</v>
      </c>
      <c r="GY34" s="211">
        <f t="shared" si="352"/>
        <v>0</v>
      </c>
      <c r="GZ34" s="211">
        <f t="shared" si="352"/>
        <v>0</v>
      </c>
      <c r="HA34" s="211">
        <f t="shared" si="353"/>
        <v>0</v>
      </c>
      <c r="HB34" s="211">
        <f t="shared" si="353"/>
        <v>0</v>
      </c>
      <c r="HC34" s="211">
        <f t="shared" si="353"/>
        <v>0</v>
      </c>
      <c r="HD34" s="211">
        <f t="shared" si="353"/>
        <v>0</v>
      </c>
      <c r="HE34" s="211">
        <f t="shared" si="353"/>
        <v>0</v>
      </c>
      <c r="HF34" s="211">
        <f t="shared" si="353"/>
        <v>0</v>
      </c>
      <c r="HG34" s="211">
        <f t="shared" si="353"/>
        <v>0</v>
      </c>
      <c r="HH34" s="211">
        <f t="shared" si="353"/>
        <v>0</v>
      </c>
      <c r="HI34" s="211">
        <f t="shared" si="353"/>
        <v>0</v>
      </c>
      <c r="HJ34" s="211">
        <f t="shared" si="353"/>
        <v>0</v>
      </c>
      <c r="HK34" s="211">
        <f t="shared" si="354"/>
        <v>0</v>
      </c>
      <c r="HL34" s="211">
        <f t="shared" si="354"/>
        <v>0</v>
      </c>
      <c r="HM34" s="211">
        <f t="shared" si="354"/>
        <v>0</v>
      </c>
      <c r="HN34" s="211">
        <f t="shared" si="354"/>
        <v>0</v>
      </c>
      <c r="HO34" s="211">
        <f t="shared" si="354"/>
        <v>0</v>
      </c>
      <c r="HP34" s="211">
        <f t="shared" si="354"/>
        <v>0</v>
      </c>
      <c r="HQ34" s="211">
        <f t="shared" si="354"/>
        <v>0</v>
      </c>
      <c r="HR34" s="211">
        <f t="shared" si="354"/>
        <v>0</v>
      </c>
      <c r="HS34" s="211">
        <f t="shared" si="354"/>
        <v>0</v>
      </c>
      <c r="HT34" s="211">
        <f t="shared" si="354"/>
        <v>0</v>
      </c>
      <c r="HU34" s="211">
        <f t="shared" si="355"/>
        <v>0</v>
      </c>
      <c r="HV34" s="211">
        <f t="shared" si="355"/>
        <v>0</v>
      </c>
      <c r="HW34" s="211">
        <f t="shared" si="355"/>
        <v>0</v>
      </c>
      <c r="HX34" s="211">
        <f t="shared" si="355"/>
        <v>0</v>
      </c>
      <c r="HY34" s="211">
        <f t="shared" si="355"/>
        <v>0</v>
      </c>
      <c r="HZ34" s="211">
        <f t="shared" si="355"/>
        <v>0</v>
      </c>
      <c r="IA34" s="211">
        <f t="shared" si="355"/>
        <v>0</v>
      </c>
      <c r="IB34" s="211">
        <f t="shared" si="355"/>
        <v>0</v>
      </c>
      <c r="IC34" s="211">
        <f t="shared" si="355"/>
        <v>0</v>
      </c>
      <c r="ID34" s="211">
        <f t="shared" si="355"/>
        <v>0</v>
      </c>
      <c r="IE34" s="211">
        <f t="shared" si="356"/>
        <v>0</v>
      </c>
      <c r="IF34" s="211">
        <f t="shared" si="356"/>
        <v>0</v>
      </c>
      <c r="IG34" s="211">
        <f t="shared" si="356"/>
        <v>0</v>
      </c>
      <c r="IH34" s="211">
        <f t="shared" si="356"/>
        <v>0</v>
      </c>
      <c r="II34" s="211">
        <f t="shared" si="356"/>
        <v>0</v>
      </c>
      <c r="IJ34" s="211">
        <f t="shared" si="356"/>
        <v>0</v>
      </c>
      <c r="IK34" s="211">
        <f t="shared" si="356"/>
        <v>0</v>
      </c>
      <c r="IL34" s="211">
        <f t="shared" si="356"/>
        <v>0</v>
      </c>
      <c r="IM34" s="211">
        <f t="shared" si="356"/>
        <v>0</v>
      </c>
      <c r="IN34" s="211">
        <f t="shared" si="356"/>
        <v>0</v>
      </c>
      <c r="IO34" s="211">
        <f t="shared" si="357"/>
        <v>0</v>
      </c>
      <c r="IP34" s="211">
        <f t="shared" si="357"/>
        <v>0</v>
      </c>
      <c r="IQ34" s="211">
        <f t="shared" si="357"/>
        <v>0</v>
      </c>
      <c r="IR34" s="211">
        <f t="shared" si="357"/>
        <v>0</v>
      </c>
      <c r="IS34" s="211">
        <f t="shared" si="357"/>
        <v>0</v>
      </c>
      <c r="IT34" s="211">
        <f t="shared" si="357"/>
        <v>0</v>
      </c>
      <c r="IU34" s="211">
        <f t="shared" si="357"/>
        <v>0</v>
      </c>
      <c r="IV34" s="211">
        <f t="shared" si="357"/>
        <v>0</v>
      </c>
      <c r="IW34" s="211">
        <f t="shared" si="357"/>
        <v>0</v>
      </c>
      <c r="IX34" s="211">
        <f t="shared" si="357"/>
        <v>0</v>
      </c>
      <c r="IY34" s="211">
        <f t="shared" si="358"/>
        <v>0</v>
      </c>
      <c r="IZ34" s="211">
        <f t="shared" si="358"/>
        <v>0</v>
      </c>
      <c r="JA34" s="211">
        <f t="shared" si="358"/>
        <v>0</v>
      </c>
      <c r="JB34" s="211">
        <f t="shared" si="358"/>
        <v>0</v>
      </c>
      <c r="JC34" s="211">
        <f t="shared" si="358"/>
        <v>0</v>
      </c>
      <c r="JD34" s="211">
        <f t="shared" si="358"/>
        <v>0</v>
      </c>
      <c r="JE34" s="211">
        <f t="shared" si="358"/>
        <v>0</v>
      </c>
      <c r="JF34" s="211">
        <f t="shared" si="358"/>
        <v>0</v>
      </c>
      <c r="JG34" s="211">
        <f t="shared" si="358"/>
        <v>0</v>
      </c>
      <c r="JH34" s="211">
        <f t="shared" si="358"/>
        <v>0</v>
      </c>
      <c r="JI34" s="211">
        <f t="shared" si="359"/>
        <v>0</v>
      </c>
      <c r="JJ34" s="211">
        <f t="shared" si="359"/>
        <v>0</v>
      </c>
      <c r="JK34" s="211">
        <f t="shared" si="359"/>
        <v>0</v>
      </c>
      <c r="JL34" s="211">
        <f t="shared" si="359"/>
        <v>0</v>
      </c>
      <c r="JM34" s="211">
        <f t="shared" si="359"/>
        <v>0</v>
      </c>
      <c r="JN34" s="211">
        <f t="shared" si="359"/>
        <v>0</v>
      </c>
      <c r="JO34" s="211">
        <f t="shared" si="359"/>
        <v>0</v>
      </c>
      <c r="JP34" s="211">
        <f t="shared" si="359"/>
        <v>0</v>
      </c>
      <c r="JQ34" s="211">
        <f t="shared" si="359"/>
        <v>0</v>
      </c>
      <c r="JR34" s="211">
        <f t="shared" si="359"/>
        <v>0</v>
      </c>
      <c r="JS34" s="211">
        <f t="shared" si="360"/>
        <v>0</v>
      </c>
      <c r="JT34" s="211">
        <f t="shared" si="360"/>
        <v>0</v>
      </c>
      <c r="JU34" s="211">
        <f t="shared" si="360"/>
        <v>0</v>
      </c>
      <c r="JV34" s="211">
        <f t="shared" si="360"/>
        <v>0</v>
      </c>
      <c r="JW34" s="211">
        <f t="shared" si="360"/>
        <v>0</v>
      </c>
      <c r="JX34" s="211">
        <f t="shared" si="360"/>
        <v>0</v>
      </c>
      <c r="JY34" s="211">
        <f t="shared" si="360"/>
        <v>0</v>
      </c>
      <c r="JZ34" s="211">
        <f t="shared" si="360"/>
        <v>0</v>
      </c>
      <c r="KA34" s="211">
        <f t="shared" si="360"/>
        <v>0</v>
      </c>
      <c r="KB34" s="211">
        <f t="shared" si="360"/>
        <v>0</v>
      </c>
      <c r="KC34" s="211">
        <f t="shared" si="360"/>
        <v>0</v>
      </c>
      <c r="KD34" s="211">
        <f t="shared" si="360"/>
        <v>0</v>
      </c>
      <c r="KE34" s="211">
        <f t="shared" si="360"/>
        <v>0</v>
      </c>
      <c r="KG34" s="207"/>
      <c r="KH34" s="208"/>
      <c r="KI34" s="208"/>
      <c r="KJ34" s="209"/>
      <c r="KK34" s="210"/>
      <c r="KM34" s="211"/>
      <c r="KN34" s="211"/>
      <c r="KO34" s="211"/>
      <c r="KP34" s="211"/>
      <c r="KQ34" s="211"/>
      <c r="KR34" s="211"/>
      <c r="KS34" s="211"/>
      <c r="KT34" s="211"/>
      <c r="KU34" s="211"/>
      <c r="KV34" s="211"/>
      <c r="KW34" s="211"/>
      <c r="KX34" s="211"/>
      <c r="KY34" s="211"/>
      <c r="KZ34" s="211"/>
      <c r="LA34" s="211"/>
      <c r="LB34" s="211"/>
      <c r="LC34" s="211"/>
      <c r="LD34" s="211"/>
      <c r="LE34" s="211"/>
      <c r="LF34" s="211"/>
      <c r="LG34" s="211"/>
      <c r="LH34" s="211"/>
      <c r="LI34" s="211"/>
      <c r="LJ34" s="211"/>
      <c r="LK34" s="211"/>
      <c r="LL34" s="211"/>
      <c r="LM34" s="211"/>
      <c r="LN34" s="211"/>
      <c r="LO34" s="211"/>
      <c r="LP34" s="211"/>
      <c r="LQ34" s="211"/>
      <c r="LR34" s="211"/>
      <c r="LS34" s="211"/>
      <c r="LT34" s="211"/>
      <c r="LU34" s="211"/>
      <c r="LV34" s="211"/>
      <c r="LW34" s="211"/>
      <c r="LX34" s="211"/>
      <c r="LY34" s="211"/>
      <c r="LZ34" s="211"/>
      <c r="MA34" s="211"/>
      <c r="MB34" s="211"/>
      <c r="MC34" s="211"/>
      <c r="MD34" s="211"/>
      <c r="ME34" s="211"/>
      <c r="MF34" s="211"/>
      <c r="MG34" s="211"/>
      <c r="MH34" s="211"/>
      <c r="MI34" s="211"/>
      <c r="MJ34" s="211"/>
      <c r="MK34" s="211"/>
      <c r="ML34" s="211"/>
      <c r="MM34" s="211"/>
      <c r="MN34" s="211"/>
      <c r="MO34" s="211"/>
      <c r="MP34" s="211"/>
      <c r="MQ34" s="211"/>
      <c r="MR34" s="211"/>
      <c r="MS34" s="211"/>
      <c r="MT34" s="211"/>
      <c r="MU34" s="211"/>
      <c r="MV34" s="211"/>
      <c r="MW34" s="211"/>
      <c r="MX34" s="211"/>
      <c r="MY34" s="211"/>
      <c r="MZ34" s="211"/>
      <c r="NA34" s="211"/>
      <c r="NB34" s="211"/>
      <c r="NC34" s="211"/>
      <c r="ND34" s="211"/>
      <c r="NE34" s="211"/>
      <c r="NF34" s="211"/>
      <c r="NG34" s="211"/>
      <c r="NH34" s="211"/>
      <c r="NI34" s="211"/>
      <c r="NJ34" s="211"/>
      <c r="NK34" s="211"/>
      <c r="NL34" s="211"/>
      <c r="NM34" s="211"/>
      <c r="NN34" s="211"/>
      <c r="NO34" s="211"/>
      <c r="NP34" s="211"/>
      <c r="NQ34" s="211"/>
      <c r="NR34" s="211"/>
      <c r="NS34" s="211"/>
      <c r="NT34" s="211"/>
      <c r="NU34" s="211"/>
      <c r="NV34" s="211"/>
      <c r="NW34" s="211"/>
      <c r="NX34" s="211"/>
      <c r="NY34" s="211"/>
      <c r="NZ34" s="211"/>
      <c r="OA34" s="211"/>
      <c r="OB34" s="211"/>
      <c r="OC34" s="211"/>
      <c r="OD34" s="211"/>
      <c r="OE34" s="211"/>
      <c r="OF34" s="211"/>
      <c r="OG34" s="211"/>
      <c r="OH34" s="211"/>
      <c r="OI34" s="211"/>
      <c r="OJ34" s="211"/>
      <c r="OK34" s="211"/>
      <c r="OL34" s="211"/>
      <c r="OM34" s="211"/>
      <c r="ON34" s="211"/>
      <c r="OO34" s="211"/>
      <c r="OP34" s="211"/>
      <c r="OQ34" s="211"/>
      <c r="OR34" s="211"/>
      <c r="OS34" s="211"/>
      <c r="OT34" s="211"/>
      <c r="OU34" s="211"/>
      <c r="OV34" s="211"/>
      <c r="OW34" s="211"/>
      <c r="OX34" s="211"/>
      <c r="OY34" s="211"/>
      <c r="OZ34" s="211"/>
      <c r="PA34" s="211"/>
      <c r="PB34" s="211"/>
      <c r="PC34" s="211"/>
      <c r="PD34" s="211"/>
      <c r="PE34" s="211"/>
      <c r="PF34" s="211"/>
      <c r="PG34" s="211"/>
      <c r="PH34" s="211"/>
      <c r="PI34" s="211"/>
      <c r="PJ34" s="211"/>
      <c r="PK34" s="211"/>
      <c r="PL34" s="211"/>
      <c r="PM34" s="211"/>
      <c r="PN34" s="211"/>
      <c r="PO34" s="211"/>
      <c r="PQ34" s="201"/>
      <c r="PR34" s="201"/>
      <c r="PS34" s="201"/>
      <c r="PT34" s="201"/>
      <c r="PU34" s="201"/>
      <c r="PV34" s="201"/>
      <c r="PW34" s="201"/>
      <c r="PX34" s="201"/>
      <c r="PY34" s="201"/>
      <c r="PZ34" s="201"/>
      <c r="QA34" s="201"/>
      <c r="QB34" s="201"/>
      <c r="QC34" s="201"/>
      <c r="QD34" s="201"/>
      <c r="QE34" s="201"/>
      <c r="QF34" s="201"/>
      <c r="QG34" s="201"/>
      <c r="QH34" s="201"/>
      <c r="QI34" s="201"/>
      <c r="QJ34" s="201"/>
      <c r="QK34" s="201"/>
      <c r="QL34" s="201"/>
      <c r="QM34" s="201"/>
      <c r="QN34" s="201"/>
      <c r="QO34" s="201"/>
      <c r="QP34" s="201"/>
      <c r="QQ34" s="201"/>
      <c r="QR34" s="201"/>
      <c r="QS34" s="201"/>
      <c r="QT34" s="201"/>
      <c r="QU34" s="201"/>
      <c r="QV34" s="201"/>
      <c r="QW34" s="201"/>
      <c r="QX34" s="201"/>
      <c r="QY34" s="201"/>
      <c r="QZ34" s="201"/>
      <c r="RA34" s="201"/>
      <c r="RB34" s="201"/>
      <c r="RC34" s="201"/>
      <c r="RD34" s="201"/>
      <c r="RE34" s="201"/>
      <c r="RF34" s="201"/>
      <c r="RG34" s="201"/>
      <c r="RH34" s="201"/>
      <c r="RI34" s="201"/>
      <c r="RJ34" s="201"/>
      <c r="RK34" s="201"/>
      <c r="RL34" s="201"/>
      <c r="RM34" s="201"/>
      <c r="RN34" s="201"/>
      <c r="RO34" s="201"/>
      <c r="RP34" s="201"/>
      <c r="RQ34" s="201"/>
      <c r="RR34" s="201"/>
      <c r="RS34" s="201"/>
      <c r="RT34" s="201"/>
      <c r="RU34" s="201"/>
      <c r="RV34" s="201"/>
      <c r="RW34" s="201"/>
      <c r="RX34" s="201"/>
      <c r="RY34" s="201"/>
      <c r="RZ34" s="201"/>
      <c r="SA34" s="201"/>
      <c r="SB34" s="201"/>
      <c r="SC34" s="201"/>
      <c r="SD34" s="201"/>
      <c r="SE34" s="201"/>
      <c r="SF34" s="201"/>
      <c r="SG34" s="201"/>
      <c r="SH34" s="201"/>
      <c r="SI34" s="201"/>
      <c r="SJ34" s="201"/>
      <c r="SK34" s="201"/>
      <c r="SL34" s="201"/>
      <c r="SM34" s="201"/>
      <c r="SN34" s="201"/>
      <c r="SO34" s="201"/>
      <c r="SP34" s="201"/>
      <c r="SQ34" s="201"/>
      <c r="SR34" s="201"/>
      <c r="SS34" s="201"/>
      <c r="ST34" s="201"/>
      <c r="SU34" s="201"/>
      <c r="SV34" s="201"/>
      <c r="SW34" s="201"/>
      <c r="SX34" s="201"/>
      <c r="SY34" s="201"/>
      <c r="SZ34" s="201"/>
      <c r="TA34" s="201"/>
      <c r="TB34" s="201"/>
      <c r="TC34" s="201"/>
      <c r="TD34" s="201"/>
      <c r="TE34" s="201"/>
      <c r="TF34" s="201"/>
      <c r="TG34" s="201"/>
      <c r="TH34" s="201"/>
      <c r="TI34" s="201"/>
      <c r="TJ34" s="201"/>
      <c r="TK34" s="201"/>
      <c r="TL34" s="201"/>
      <c r="TM34" s="201"/>
      <c r="TN34" s="201"/>
      <c r="TO34" s="201"/>
      <c r="TP34" s="201"/>
      <c r="TQ34" s="201"/>
      <c r="TR34" s="201"/>
      <c r="TS34" s="201"/>
      <c r="TT34" s="201"/>
      <c r="TU34" s="201"/>
      <c r="TV34" s="201"/>
      <c r="TW34" s="201"/>
      <c r="TX34" s="201"/>
      <c r="TY34" s="201"/>
      <c r="TZ34" s="201"/>
      <c r="UA34" s="201"/>
      <c r="UB34" s="201"/>
      <c r="UC34" s="201"/>
      <c r="UD34" s="201"/>
      <c r="UE34" s="201"/>
      <c r="UF34" s="201"/>
      <c r="UG34" s="201"/>
      <c r="UH34" s="201"/>
      <c r="UI34" s="201"/>
      <c r="UJ34" s="201"/>
      <c r="UK34" s="201"/>
      <c r="UL34" s="201"/>
      <c r="UM34" s="201"/>
      <c r="UN34" s="201"/>
      <c r="UO34" s="201"/>
      <c r="UP34" s="201"/>
      <c r="UQ34" s="201"/>
      <c r="UR34" s="201"/>
      <c r="US34" s="201"/>
      <c r="UT34" s="201"/>
      <c r="UU34" s="201"/>
    </row>
    <row r="35" spans="1:567" x14ac:dyDescent="0.25">
      <c r="B35" s="38" t="s">
        <v>36</v>
      </c>
      <c r="C35" s="26"/>
      <c r="D35" s="26"/>
      <c r="E35" s="39">
        <f>MIN(E31:E34)</f>
        <v>0</v>
      </c>
      <c r="F35" s="39">
        <f>MAX(F31:F34)</f>
        <v>18</v>
      </c>
      <c r="G35" s="32"/>
      <c r="H35" s="32"/>
      <c r="I35" s="33">
        <f>SUM(I31:I34)</f>
        <v>17.857142857142858</v>
      </c>
      <c r="J35" s="34">
        <f>SUM(J31:J34)</f>
        <v>15000</v>
      </c>
      <c r="K35" s="40">
        <f>SUM(K31:K34)</f>
        <v>4500000</v>
      </c>
      <c r="R35" s="90" t="str">
        <f>IF(ROUND(SUM(S35:EU35),0)=ROUND(K35,0),"Hard Costs - OK","ERROR")</f>
        <v>Hard Costs - OK</v>
      </c>
      <c r="S35" s="91">
        <f>SUM(S31:S34)</f>
        <v>187499.99999999997</v>
      </c>
      <c r="T35" s="91">
        <f t="shared" ref="T35" si="364">SUM(T31:T34)</f>
        <v>187499.99999999997</v>
      </c>
      <c r="U35" s="91">
        <f t="shared" ref="U35" si="365">SUM(U31:U34)</f>
        <v>187500</v>
      </c>
      <c r="V35" s="91">
        <f t="shared" ref="V35" si="366">SUM(V31:V34)</f>
        <v>187499.99999999988</v>
      </c>
      <c r="W35" s="91">
        <f t="shared" ref="W35" si="367">SUM(W31:W34)</f>
        <v>187500.00000000006</v>
      </c>
      <c r="X35" s="91">
        <f t="shared" ref="X35" si="368">SUM(X31:X34)</f>
        <v>187499.99999999988</v>
      </c>
      <c r="Y35" s="91">
        <f t="shared" ref="Y35" si="369">SUM(Y31:Y34)</f>
        <v>187500.00000000006</v>
      </c>
      <c r="Z35" s="91">
        <f t="shared" ref="Z35" si="370">SUM(Z31:Z34)</f>
        <v>187499.9999999998</v>
      </c>
      <c r="AA35" s="91">
        <f t="shared" ref="AA35" si="371">SUM(AA31:AA34)</f>
        <v>187500.00000000006</v>
      </c>
      <c r="AB35" s="91">
        <f t="shared" ref="AB35" si="372">SUM(AB31:AB34)</f>
        <v>187500.00000000006</v>
      </c>
      <c r="AC35" s="91">
        <f t="shared" ref="AC35" si="373">SUM(AC31:AC34)</f>
        <v>187499.9999999998</v>
      </c>
      <c r="AD35" s="91">
        <f t="shared" ref="AD35" si="374">SUM(AD31:AD34)</f>
        <v>187500.00000000006</v>
      </c>
      <c r="AE35" s="91">
        <f t="shared" ref="AE35" si="375">SUM(AE31:AE34)</f>
        <v>187499.9999999998</v>
      </c>
      <c r="AF35" s="91">
        <f t="shared" ref="AF35" si="376">SUM(AF31:AF34)</f>
        <v>187500.00000000026</v>
      </c>
      <c r="AG35" s="91">
        <f t="shared" ref="AG35" si="377">SUM(AG31:AG34)</f>
        <v>187499.9999999998</v>
      </c>
      <c r="AH35" s="91">
        <f t="shared" ref="AH35" si="378">SUM(AH31:AH34)</f>
        <v>187499.9999999998</v>
      </c>
      <c r="AI35" s="91">
        <f t="shared" ref="AI35" si="379">SUM(AI31:AI34)</f>
        <v>187500.00000000026</v>
      </c>
      <c r="AJ35" s="91">
        <f t="shared" ref="AJ35" si="380">SUM(AJ31:AJ34)</f>
        <v>187499.9999999998</v>
      </c>
      <c r="AK35" s="91">
        <f t="shared" ref="AK35" si="381">SUM(AK31:AK34)</f>
        <v>187499.9999999998</v>
      </c>
      <c r="AL35" s="91">
        <f t="shared" ref="AL35" si="382">SUM(AL31:AL34)</f>
        <v>187500.00000000026</v>
      </c>
      <c r="AM35" s="91">
        <f t="shared" ref="AM35" si="383">SUM(AM31:AM34)</f>
        <v>187499.9999999998</v>
      </c>
      <c r="AN35" s="91">
        <f t="shared" ref="AN35" si="384">SUM(AN31:AN34)</f>
        <v>187499.9999999998</v>
      </c>
      <c r="AO35" s="91">
        <f t="shared" ref="AO35" si="385">SUM(AO31:AO34)</f>
        <v>187500.00000000026</v>
      </c>
      <c r="AP35" s="91">
        <f t="shared" ref="AP35" si="386">SUM(AP31:AP34)</f>
        <v>187499.9999999998</v>
      </c>
      <c r="AQ35" s="91">
        <f t="shared" ref="AQ35" si="387">SUM(AQ31:AQ34)</f>
        <v>0</v>
      </c>
      <c r="AR35" s="91">
        <f t="shared" ref="AR35" si="388">SUM(AR31:AR34)</f>
        <v>0</v>
      </c>
      <c r="AS35" s="91">
        <f t="shared" ref="AS35" si="389">SUM(AS31:AS34)</f>
        <v>0</v>
      </c>
      <c r="AT35" s="91">
        <f t="shared" ref="AT35" si="390">SUM(AT31:AT34)</f>
        <v>0</v>
      </c>
      <c r="AU35" s="91">
        <f t="shared" ref="AU35" si="391">SUM(AU31:AU34)</f>
        <v>0</v>
      </c>
      <c r="AV35" s="91">
        <f t="shared" ref="AV35" si="392">SUM(AV31:AV34)</f>
        <v>0</v>
      </c>
      <c r="AW35" s="91">
        <f t="shared" ref="AW35" si="393">SUM(AW31:AW34)</f>
        <v>0</v>
      </c>
      <c r="AX35" s="91">
        <f t="shared" ref="AX35" si="394">SUM(AX31:AX34)</f>
        <v>0</v>
      </c>
      <c r="AY35" s="91">
        <f t="shared" ref="AY35" si="395">SUM(AY31:AY34)</f>
        <v>0</v>
      </c>
      <c r="AZ35" s="91">
        <f t="shared" ref="AZ35" si="396">SUM(AZ31:AZ34)</f>
        <v>0</v>
      </c>
      <c r="BA35" s="91">
        <f t="shared" ref="BA35" si="397">SUM(BA31:BA34)</f>
        <v>0</v>
      </c>
      <c r="BB35" s="91">
        <f t="shared" ref="BB35" si="398">SUM(BB31:BB34)</f>
        <v>0</v>
      </c>
      <c r="BC35" s="91">
        <f t="shared" ref="BC35" si="399">SUM(BC31:BC34)</f>
        <v>0</v>
      </c>
      <c r="BD35" s="91">
        <f t="shared" ref="BD35" si="400">SUM(BD31:BD34)</f>
        <v>0</v>
      </c>
      <c r="BE35" s="91">
        <f t="shared" ref="BE35" si="401">SUM(BE31:BE34)</f>
        <v>0</v>
      </c>
      <c r="BF35" s="91">
        <f t="shared" ref="BF35" si="402">SUM(BF31:BF34)</f>
        <v>0</v>
      </c>
      <c r="BG35" s="91">
        <f t="shared" ref="BG35" si="403">SUM(BG31:BG34)</f>
        <v>0</v>
      </c>
      <c r="BH35" s="91">
        <f t="shared" ref="BH35" si="404">SUM(BH31:BH34)</f>
        <v>0</v>
      </c>
      <c r="BI35" s="91">
        <f t="shared" ref="BI35" si="405">SUM(BI31:BI34)</f>
        <v>0</v>
      </c>
      <c r="BJ35" s="91">
        <f t="shared" ref="BJ35" si="406">SUM(BJ31:BJ34)</f>
        <v>0</v>
      </c>
      <c r="BK35" s="91">
        <f t="shared" ref="BK35" si="407">SUM(BK31:BK34)</f>
        <v>0</v>
      </c>
      <c r="BL35" s="91">
        <f t="shared" ref="BL35" si="408">SUM(BL31:BL34)</f>
        <v>0</v>
      </c>
      <c r="BM35" s="91">
        <f t="shared" ref="BM35" si="409">SUM(BM31:BM34)</f>
        <v>0</v>
      </c>
      <c r="BN35" s="91">
        <f t="shared" ref="BN35" si="410">SUM(BN31:BN34)</f>
        <v>0</v>
      </c>
      <c r="BO35" s="91">
        <f t="shared" ref="BO35" si="411">SUM(BO31:BO34)</f>
        <v>0</v>
      </c>
      <c r="BP35" s="91">
        <f t="shared" ref="BP35" si="412">SUM(BP31:BP34)</f>
        <v>0</v>
      </c>
      <c r="BQ35" s="91">
        <f t="shared" ref="BQ35" si="413">SUM(BQ31:BQ34)</f>
        <v>0</v>
      </c>
      <c r="BR35" s="91">
        <f t="shared" ref="BR35" si="414">SUM(BR31:BR34)</f>
        <v>0</v>
      </c>
      <c r="BS35" s="91">
        <f t="shared" ref="BS35" si="415">SUM(BS31:BS34)</f>
        <v>0</v>
      </c>
      <c r="BT35" s="91">
        <f t="shared" ref="BT35" si="416">SUM(BT31:BT34)</f>
        <v>0</v>
      </c>
      <c r="BU35" s="91">
        <f t="shared" ref="BU35" si="417">SUM(BU31:BU34)</f>
        <v>0</v>
      </c>
      <c r="BV35" s="91">
        <f t="shared" ref="BV35" si="418">SUM(BV31:BV34)</f>
        <v>0</v>
      </c>
      <c r="BW35" s="91">
        <f t="shared" ref="BW35" si="419">SUM(BW31:BW34)</f>
        <v>0</v>
      </c>
      <c r="BX35" s="91">
        <f t="shared" ref="BX35" si="420">SUM(BX31:BX34)</f>
        <v>0</v>
      </c>
      <c r="BY35" s="91">
        <f t="shared" ref="BY35" si="421">SUM(BY31:BY34)</f>
        <v>0</v>
      </c>
      <c r="BZ35" s="91">
        <f t="shared" ref="BZ35" si="422">SUM(BZ31:BZ34)</f>
        <v>0</v>
      </c>
      <c r="CA35" s="91">
        <f t="shared" ref="CA35" si="423">SUM(CA31:CA34)</f>
        <v>0</v>
      </c>
      <c r="CB35" s="91">
        <f t="shared" ref="CB35" si="424">SUM(CB31:CB34)</f>
        <v>0</v>
      </c>
      <c r="CC35" s="91">
        <f t="shared" ref="CC35" si="425">SUM(CC31:CC34)</f>
        <v>0</v>
      </c>
      <c r="CD35" s="91">
        <f t="shared" ref="CD35" si="426">SUM(CD31:CD34)</f>
        <v>0</v>
      </c>
      <c r="CE35" s="91">
        <f t="shared" ref="CE35" si="427">SUM(CE31:CE34)</f>
        <v>0</v>
      </c>
      <c r="CF35" s="91">
        <f t="shared" ref="CF35" si="428">SUM(CF31:CF34)</f>
        <v>0</v>
      </c>
      <c r="CG35" s="91">
        <f t="shared" ref="CG35" si="429">SUM(CG31:CG34)</f>
        <v>0</v>
      </c>
      <c r="CH35" s="91">
        <f t="shared" ref="CH35" si="430">SUM(CH31:CH34)</f>
        <v>0</v>
      </c>
      <c r="CI35" s="91">
        <f t="shared" ref="CI35" si="431">SUM(CI31:CI34)</f>
        <v>0</v>
      </c>
      <c r="CJ35" s="91">
        <f t="shared" ref="CJ35" si="432">SUM(CJ31:CJ34)</f>
        <v>0</v>
      </c>
      <c r="CK35" s="91">
        <f t="shared" ref="CK35" si="433">SUM(CK31:CK34)</f>
        <v>0</v>
      </c>
      <c r="CL35" s="91">
        <f t="shared" ref="CL35" si="434">SUM(CL31:CL34)</f>
        <v>0</v>
      </c>
      <c r="CM35" s="91">
        <f t="shared" ref="CM35" si="435">SUM(CM31:CM34)</f>
        <v>0</v>
      </c>
      <c r="CN35" s="91">
        <f t="shared" ref="CN35" si="436">SUM(CN31:CN34)</f>
        <v>0</v>
      </c>
      <c r="CO35" s="91">
        <f t="shared" ref="CO35" si="437">SUM(CO31:CO34)</f>
        <v>0</v>
      </c>
      <c r="CP35" s="91">
        <f t="shared" ref="CP35" si="438">SUM(CP31:CP34)</f>
        <v>0</v>
      </c>
      <c r="CQ35" s="91">
        <f t="shared" ref="CQ35" si="439">SUM(CQ31:CQ34)</f>
        <v>0</v>
      </c>
      <c r="CR35" s="91">
        <f t="shared" ref="CR35" si="440">SUM(CR31:CR34)</f>
        <v>0</v>
      </c>
      <c r="CS35" s="91">
        <f t="shared" ref="CS35" si="441">SUM(CS31:CS34)</f>
        <v>0</v>
      </c>
      <c r="CT35" s="91">
        <f t="shared" ref="CT35" si="442">SUM(CT31:CT34)</f>
        <v>0</v>
      </c>
      <c r="CU35" s="91">
        <f t="shared" ref="CU35" si="443">SUM(CU31:CU34)</f>
        <v>0</v>
      </c>
      <c r="CV35" s="91">
        <f t="shared" ref="CV35" si="444">SUM(CV31:CV34)</f>
        <v>0</v>
      </c>
      <c r="CW35" s="91">
        <f t="shared" ref="CW35" si="445">SUM(CW31:CW34)</f>
        <v>0</v>
      </c>
      <c r="CX35" s="91">
        <f t="shared" ref="CX35" si="446">SUM(CX31:CX34)</f>
        <v>0</v>
      </c>
      <c r="CY35" s="91">
        <f t="shared" ref="CY35" si="447">SUM(CY31:CY34)</f>
        <v>0</v>
      </c>
      <c r="CZ35" s="91">
        <f t="shared" ref="CZ35" si="448">SUM(CZ31:CZ34)</f>
        <v>0</v>
      </c>
      <c r="DA35" s="91">
        <f t="shared" ref="DA35" si="449">SUM(DA31:DA34)</f>
        <v>0</v>
      </c>
      <c r="DB35" s="91">
        <f t="shared" ref="DB35" si="450">SUM(DB31:DB34)</f>
        <v>0</v>
      </c>
      <c r="DC35" s="91">
        <f t="shared" ref="DC35" si="451">SUM(DC31:DC34)</f>
        <v>0</v>
      </c>
      <c r="DD35" s="91">
        <f t="shared" ref="DD35" si="452">SUM(DD31:DD34)</f>
        <v>0</v>
      </c>
      <c r="DE35" s="91">
        <f t="shared" ref="DE35" si="453">SUM(DE31:DE34)</f>
        <v>0</v>
      </c>
      <c r="DF35" s="91">
        <f t="shared" ref="DF35" si="454">SUM(DF31:DF34)</f>
        <v>0</v>
      </c>
      <c r="DG35" s="91">
        <f t="shared" ref="DG35" si="455">SUM(DG31:DG34)</f>
        <v>0</v>
      </c>
      <c r="DH35" s="91">
        <f t="shared" ref="DH35" si="456">SUM(DH31:DH34)</f>
        <v>0</v>
      </c>
      <c r="DI35" s="91">
        <f t="shared" ref="DI35" si="457">SUM(DI31:DI34)</f>
        <v>0</v>
      </c>
      <c r="DJ35" s="91">
        <f t="shared" ref="DJ35" si="458">SUM(DJ31:DJ34)</f>
        <v>0</v>
      </c>
      <c r="DK35" s="91">
        <f t="shared" ref="DK35" si="459">SUM(DK31:DK34)</f>
        <v>0</v>
      </c>
      <c r="DL35" s="91">
        <f t="shared" ref="DL35" si="460">SUM(DL31:DL34)</f>
        <v>0</v>
      </c>
      <c r="DM35" s="91">
        <f t="shared" ref="DM35" si="461">SUM(DM31:DM34)</f>
        <v>0</v>
      </c>
      <c r="DN35" s="91">
        <f t="shared" ref="DN35" si="462">SUM(DN31:DN34)</f>
        <v>0</v>
      </c>
      <c r="DO35" s="91">
        <f t="shared" ref="DO35" si="463">SUM(DO31:DO34)</f>
        <v>0</v>
      </c>
      <c r="DP35" s="91">
        <f t="shared" ref="DP35" si="464">SUM(DP31:DP34)</f>
        <v>0</v>
      </c>
      <c r="DQ35" s="91">
        <f t="shared" ref="DQ35" si="465">SUM(DQ31:DQ34)</f>
        <v>0</v>
      </c>
      <c r="DR35" s="91">
        <f t="shared" ref="DR35" si="466">SUM(DR31:DR34)</f>
        <v>0</v>
      </c>
      <c r="DS35" s="91">
        <f t="shared" ref="DS35" si="467">SUM(DS31:DS34)</f>
        <v>0</v>
      </c>
      <c r="DT35" s="91">
        <f t="shared" ref="DT35" si="468">SUM(DT31:DT34)</f>
        <v>0</v>
      </c>
      <c r="DU35" s="91">
        <f t="shared" ref="DU35" si="469">SUM(DU31:DU34)</f>
        <v>0</v>
      </c>
      <c r="DV35" s="91">
        <f t="shared" ref="DV35" si="470">SUM(DV31:DV34)</f>
        <v>0</v>
      </c>
      <c r="DW35" s="91">
        <f t="shared" ref="DW35" si="471">SUM(DW31:DW34)</f>
        <v>0</v>
      </c>
      <c r="DX35" s="91">
        <f t="shared" ref="DX35" si="472">SUM(DX31:DX34)</f>
        <v>0</v>
      </c>
      <c r="DY35" s="91">
        <f t="shared" ref="DY35" si="473">SUM(DY31:DY34)</f>
        <v>0</v>
      </c>
      <c r="DZ35" s="91">
        <f t="shared" ref="DZ35" si="474">SUM(DZ31:DZ34)</f>
        <v>0</v>
      </c>
      <c r="EA35" s="91">
        <f t="shared" ref="EA35" si="475">SUM(EA31:EA34)</f>
        <v>0</v>
      </c>
      <c r="EB35" s="91">
        <f t="shared" ref="EB35" si="476">SUM(EB31:EB34)</f>
        <v>0</v>
      </c>
      <c r="EC35" s="91">
        <f t="shared" ref="EC35" si="477">SUM(EC31:EC34)</f>
        <v>0</v>
      </c>
      <c r="ED35" s="91">
        <f t="shared" ref="ED35" si="478">SUM(ED31:ED34)</f>
        <v>0</v>
      </c>
      <c r="EE35" s="91">
        <f t="shared" ref="EE35" si="479">SUM(EE31:EE34)</f>
        <v>0</v>
      </c>
      <c r="EF35" s="91">
        <f t="shared" ref="EF35" si="480">SUM(EF31:EF34)</f>
        <v>0</v>
      </c>
      <c r="EG35" s="91">
        <f t="shared" ref="EG35" si="481">SUM(EG31:EG34)</f>
        <v>0</v>
      </c>
      <c r="EH35" s="91">
        <f t="shared" ref="EH35" si="482">SUM(EH31:EH34)</f>
        <v>0</v>
      </c>
      <c r="EI35" s="91">
        <f t="shared" ref="EI35" si="483">SUM(EI31:EI34)</f>
        <v>0</v>
      </c>
      <c r="EJ35" s="91">
        <f t="shared" ref="EJ35" si="484">SUM(EJ31:EJ34)</f>
        <v>0</v>
      </c>
      <c r="EK35" s="91">
        <f t="shared" ref="EK35" si="485">SUM(EK31:EK34)</f>
        <v>0</v>
      </c>
      <c r="EL35" s="91">
        <f t="shared" ref="EL35" si="486">SUM(EL31:EL34)</f>
        <v>0</v>
      </c>
      <c r="EM35" s="91">
        <f t="shared" ref="EM35" si="487">SUM(EM31:EM34)</f>
        <v>0</v>
      </c>
      <c r="EN35" s="91">
        <f t="shared" ref="EN35" si="488">SUM(EN31:EN34)</f>
        <v>0</v>
      </c>
      <c r="EO35" s="91">
        <f t="shared" ref="EO35" si="489">SUM(EO31:EO34)</f>
        <v>0</v>
      </c>
      <c r="EP35" s="91">
        <f t="shared" ref="EP35" si="490">SUM(EP31:EP34)</f>
        <v>0</v>
      </c>
      <c r="EQ35" s="91">
        <f t="shared" ref="EQ35" si="491">SUM(EQ31:EQ34)</f>
        <v>0</v>
      </c>
      <c r="ER35" s="91">
        <f t="shared" ref="ER35" si="492">SUM(ER31:ER34)</f>
        <v>0</v>
      </c>
      <c r="ES35" s="91">
        <f t="shared" ref="ES35" si="493">SUM(ES31:ES34)</f>
        <v>0</v>
      </c>
      <c r="ET35" s="91">
        <f t="shared" ref="ET35" si="494">SUM(ET31:ET34)</f>
        <v>0</v>
      </c>
      <c r="EU35" s="91">
        <f t="shared" ref="EU35" si="495">SUM(EU31:EU34)</f>
        <v>0</v>
      </c>
      <c r="EY35" s="216" t="s">
        <v>445</v>
      </c>
      <c r="EZ35" s="199">
        <f>COUNTA($B$31:$B$34)</f>
        <v>4</v>
      </c>
      <c r="FC35" s="199"/>
      <c r="FD35" s="199"/>
      <c r="FE35" s="199"/>
      <c r="FF35" s="199"/>
      <c r="FG35" s="199"/>
      <c r="FH35" s="199"/>
      <c r="FI35" s="199"/>
      <c r="FJ35" s="199"/>
      <c r="FK35" s="199"/>
      <c r="FL35" s="199"/>
      <c r="FM35" s="199"/>
      <c r="FN35" s="199"/>
      <c r="FO35" s="199"/>
      <c r="FP35" s="199"/>
      <c r="FQ35" s="199"/>
      <c r="FR35" s="199"/>
      <c r="FS35" s="199"/>
      <c r="FT35" s="199"/>
      <c r="FU35" s="199"/>
      <c r="FV35" s="199"/>
      <c r="FW35" s="199"/>
      <c r="FX35" s="199"/>
      <c r="FY35" s="199"/>
      <c r="FZ35" s="199"/>
      <c r="GA35" s="199"/>
      <c r="GB35" s="199"/>
      <c r="GC35" s="199"/>
      <c r="GD35" s="199"/>
      <c r="GE35" s="199"/>
      <c r="GF35" s="199"/>
      <c r="GG35" s="199"/>
      <c r="GH35" s="199"/>
      <c r="GI35" s="199"/>
      <c r="GJ35" s="199"/>
      <c r="GK35" s="199"/>
      <c r="GL35" s="199"/>
      <c r="GM35" s="199"/>
      <c r="GN35" s="199"/>
      <c r="GO35" s="199"/>
      <c r="GP35" s="199"/>
      <c r="GQ35" s="199"/>
      <c r="GR35" s="199"/>
      <c r="GS35" s="199"/>
      <c r="GT35" s="199"/>
      <c r="GU35" s="199"/>
      <c r="GV35" s="199"/>
      <c r="GW35" s="199"/>
      <c r="GX35" s="199"/>
      <c r="GY35" s="199"/>
      <c r="GZ35" s="199"/>
      <c r="HA35" s="199"/>
      <c r="HB35" s="199"/>
      <c r="HC35" s="199"/>
      <c r="HD35" s="199"/>
      <c r="HE35" s="199"/>
      <c r="HF35" s="199"/>
      <c r="HG35" s="199"/>
      <c r="HH35" s="199"/>
      <c r="HI35" s="199"/>
      <c r="HJ35" s="199"/>
      <c r="HK35" s="199"/>
      <c r="HL35" s="199"/>
      <c r="HM35" s="199"/>
      <c r="HN35" s="199"/>
      <c r="HO35" s="199"/>
      <c r="HP35" s="199"/>
      <c r="HQ35" s="199"/>
      <c r="HR35" s="199"/>
      <c r="HS35" s="199"/>
      <c r="HT35" s="199"/>
      <c r="HU35" s="199"/>
      <c r="HV35" s="199"/>
      <c r="HW35" s="199"/>
      <c r="HX35" s="199"/>
      <c r="HY35" s="199"/>
      <c r="HZ35" s="199"/>
      <c r="IA35" s="199"/>
      <c r="IB35" s="199"/>
      <c r="IC35" s="199"/>
      <c r="ID35" s="199"/>
      <c r="IE35" s="199"/>
      <c r="IF35" s="199"/>
      <c r="IG35" s="199"/>
      <c r="IH35" s="199"/>
      <c r="II35" s="199"/>
      <c r="IJ35" s="199"/>
      <c r="IK35" s="199"/>
      <c r="IL35" s="199"/>
      <c r="IM35" s="199"/>
      <c r="IN35" s="199"/>
      <c r="IO35" s="199"/>
      <c r="IP35" s="199"/>
      <c r="IQ35" s="199"/>
      <c r="IR35" s="199"/>
      <c r="IS35" s="199"/>
      <c r="IT35" s="199"/>
      <c r="IU35" s="199"/>
      <c r="IV35" s="199"/>
      <c r="IW35" s="199"/>
      <c r="IX35" s="199"/>
      <c r="IY35" s="199"/>
      <c r="IZ35" s="199"/>
      <c r="JA35" s="199"/>
      <c r="JB35" s="199"/>
      <c r="JC35" s="199"/>
      <c r="JD35" s="199"/>
      <c r="JE35" s="199"/>
      <c r="JF35" s="199"/>
      <c r="JG35" s="199"/>
      <c r="JH35" s="199"/>
      <c r="JI35" s="199"/>
      <c r="JJ35" s="199"/>
      <c r="JK35" s="199"/>
      <c r="JL35" s="199"/>
      <c r="JM35" s="199"/>
      <c r="JN35" s="199"/>
      <c r="JO35" s="199"/>
      <c r="JP35" s="199"/>
      <c r="JQ35" s="199"/>
      <c r="JR35" s="199"/>
      <c r="JS35" s="199"/>
      <c r="JT35" s="199"/>
      <c r="JU35" s="199"/>
      <c r="JV35" s="199"/>
      <c r="JW35" s="199"/>
      <c r="JX35" s="199"/>
      <c r="JY35" s="199"/>
      <c r="JZ35" s="199"/>
      <c r="KA35" s="199"/>
      <c r="KB35" s="199"/>
      <c r="KC35" s="199"/>
      <c r="KD35" s="199"/>
      <c r="KE35" s="199"/>
      <c r="PQ35" s="201"/>
      <c r="PR35" s="201"/>
      <c r="PS35" s="201"/>
      <c r="PT35" s="201"/>
      <c r="PU35" s="201"/>
      <c r="PV35" s="201"/>
      <c r="PW35" s="201"/>
      <c r="PX35" s="201"/>
      <c r="PY35" s="201"/>
      <c r="PZ35" s="201"/>
      <c r="QA35" s="201"/>
      <c r="QB35" s="201"/>
      <c r="QC35" s="201"/>
      <c r="QD35" s="201"/>
      <c r="QE35" s="201"/>
      <c r="QF35" s="201"/>
      <c r="QG35" s="201"/>
      <c r="QH35" s="201"/>
      <c r="QI35" s="201"/>
      <c r="QJ35" s="201"/>
      <c r="QK35" s="201"/>
      <c r="QL35" s="201"/>
      <c r="QM35" s="201"/>
      <c r="QN35" s="201"/>
      <c r="QO35" s="201"/>
      <c r="QP35" s="201"/>
      <c r="QQ35" s="201"/>
      <c r="QR35" s="201"/>
      <c r="QS35" s="201"/>
      <c r="QT35" s="201"/>
      <c r="QU35" s="201"/>
      <c r="QV35" s="201"/>
      <c r="QW35" s="201"/>
      <c r="QX35" s="201"/>
      <c r="QY35" s="201"/>
      <c r="QZ35" s="201"/>
      <c r="RA35" s="201"/>
      <c r="RB35" s="201"/>
      <c r="RC35" s="201"/>
      <c r="RD35" s="201"/>
      <c r="RE35" s="201"/>
      <c r="RF35" s="201"/>
      <c r="RG35" s="201"/>
      <c r="RH35" s="201"/>
      <c r="RI35" s="201"/>
      <c r="RJ35" s="201"/>
      <c r="RK35" s="201"/>
      <c r="RL35" s="201"/>
      <c r="RM35" s="201"/>
      <c r="RN35" s="201"/>
      <c r="RO35" s="201"/>
      <c r="RP35" s="201"/>
      <c r="RQ35" s="201"/>
      <c r="RR35" s="201"/>
      <c r="RS35" s="201"/>
      <c r="RT35" s="201"/>
      <c r="RU35" s="201"/>
      <c r="RV35" s="201"/>
      <c r="RW35" s="201"/>
      <c r="RX35" s="201"/>
      <c r="RY35" s="201"/>
      <c r="RZ35" s="201"/>
      <c r="SA35" s="201"/>
      <c r="SB35" s="201"/>
      <c r="SC35" s="201"/>
      <c r="SD35" s="201"/>
      <c r="SE35" s="201"/>
      <c r="SF35" s="201"/>
      <c r="SG35" s="201"/>
      <c r="SH35" s="201"/>
      <c r="SI35" s="201"/>
      <c r="SJ35" s="201"/>
      <c r="SK35" s="201"/>
      <c r="SL35" s="201"/>
      <c r="SM35" s="201"/>
      <c r="SN35" s="201"/>
      <c r="SO35" s="201"/>
      <c r="SP35" s="201"/>
      <c r="SQ35" s="201"/>
      <c r="SR35" s="201"/>
      <c r="SS35" s="201"/>
      <c r="ST35" s="201"/>
      <c r="SU35" s="201"/>
      <c r="SV35" s="201"/>
      <c r="SW35" s="201"/>
      <c r="SX35" s="201"/>
      <c r="SY35" s="201"/>
      <c r="SZ35" s="201"/>
      <c r="TA35" s="201"/>
      <c r="TB35" s="201"/>
      <c r="TC35" s="201"/>
      <c r="TD35" s="201"/>
      <c r="TE35" s="201"/>
      <c r="TF35" s="201"/>
      <c r="TG35" s="201"/>
      <c r="TH35" s="201"/>
      <c r="TI35" s="201"/>
      <c r="TJ35" s="201"/>
      <c r="TK35" s="201"/>
      <c r="TL35" s="201"/>
      <c r="TM35" s="201"/>
      <c r="TN35" s="201"/>
      <c r="TO35" s="201"/>
      <c r="TP35" s="201"/>
      <c r="TQ35" s="201"/>
      <c r="TR35" s="201"/>
      <c r="TS35" s="201"/>
      <c r="TT35" s="201"/>
      <c r="TU35" s="201"/>
      <c r="TV35" s="201"/>
      <c r="TW35" s="201"/>
      <c r="TX35" s="201"/>
      <c r="TY35" s="201"/>
      <c r="TZ35" s="201"/>
      <c r="UA35" s="201"/>
      <c r="UB35" s="201"/>
      <c r="UC35" s="201"/>
      <c r="UD35" s="201"/>
      <c r="UE35" s="201"/>
      <c r="UF35" s="201"/>
      <c r="UG35" s="201"/>
      <c r="UH35" s="201"/>
      <c r="UI35" s="201"/>
      <c r="UJ35" s="201"/>
      <c r="UK35" s="201"/>
      <c r="UL35" s="201"/>
      <c r="UM35" s="201"/>
      <c r="UN35" s="201"/>
      <c r="UO35" s="201"/>
      <c r="UP35" s="201"/>
      <c r="UQ35" s="201"/>
      <c r="UR35" s="201"/>
      <c r="US35" s="201"/>
      <c r="UT35" s="201"/>
      <c r="UU35" s="201"/>
    </row>
    <row r="36" spans="1:567" ht="5.0999999999999996" customHeight="1" x14ac:dyDescent="0.25">
      <c r="B36" s="41"/>
      <c r="C36" s="26"/>
      <c r="D36" s="26"/>
      <c r="E36" s="32"/>
      <c r="F36" s="32"/>
      <c r="G36" s="32"/>
      <c r="H36" s="32"/>
      <c r="I36" s="33"/>
      <c r="J36" s="42"/>
      <c r="K36" s="43"/>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1"/>
      <c r="BV36" s="91"/>
      <c r="BW36" s="91"/>
      <c r="BX36" s="91"/>
      <c r="BY36" s="91"/>
      <c r="BZ36" s="91"/>
      <c r="CA36" s="91"/>
      <c r="CB36" s="91"/>
      <c r="CC36" s="91"/>
      <c r="CD36" s="91"/>
      <c r="CE36" s="91"/>
      <c r="CF36" s="91"/>
      <c r="CG36" s="91"/>
      <c r="CH36" s="91"/>
      <c r="CI36" s="91"/>
      <c r="CJ36" s="91"/>
      <c r="CK36" s="91"/>
      <c r="CL36" s="91"/>
      <c r="CM36" s="91"/>
      <c r="CN36" s="91"/>
      <c r="CO36" s="91"/>
      <c r="CP36" s="91"/>
      <c r="CQ36" s="91"/>
      <c r="CR36" s="91"/>
      <c r="CS36" s="91"/>
      <c r="CT36" s="91"/>
      <c r="CU36" s="91"/>
      <c r="CV36" s="91"/>
      <c r="CW36" s="91"/>
      <c r="CX36" s="91"/>
      <c r="CY36" s="91"/>
      <c r="CZ36" s="91"/>
      <c r="DA36" s="91"/>
      <c r="DB36" s="91"/>
      <c r="DC36" s="91"/>
      <c r="DD36" s="91"/>
      <c r="DE36" s="91"/>
      <c r="DF36" s="91"/>
      <c r="DG36" s="91"/>
      <c r="DH36" s="91"/>
      <c r="DI36" s="91"/>
      <c r="DJ36" s="91"/>
      <c r="DK36" s="91"/>
      <c r="DL36" s="91"/>
      <c r="DM36" s="91"/>
      <c r="DN36" s="91"/>
      <c r="DO36" s="91"/>
      <c r="DP36" s="91"/>
      <c r="DQ36" s="91"/>
      <c r="DR36" s="91"/>
      <c r="DS36" s="91"/>
      <c r="DT36" s="91"/>
      <c r="DU36" s="91"/>
      <c r="DV36" s="91"/>
      <c r="DW36" s="91"/>
      <c r="DX36" s="91"/>
      <c r="DY36" s="91"/>
      <c r="DZ36" s="91"/>
      <c r="EA36" s="91"/>
      <c r="EB36" s="91"/>
      <c r="EC36" s="91"/>
      <c r="ED36" s="91"/>
      <c r="EE36" s="91"/>
      <c r="EF36" s="91"/>
      <c r="EG36" s="91"/>
      <c r="EH36" s="91"/>
      <c r="EI36" s="91"/>
      <c r="EJ36" s="91"/>
      <c r="EK36" s="91"/>
      <c r="EL36" s="91"/>
      <c r="EM36" s="91"/>
      <c r="EN36" s="91"/>
      <c r="EO36" s="91"/>
      <c r="EP36" s="91"/>
      <c r="EQ36" s="91"/>
      <c r="ER36" s="91"/>
      <c r="ES36" s="91"/>
      <c r="ET36" s="91"/>
      <c r="EU36" s="91"/>
      <c r="FC36" s="199"/>
      <c r="FD36" s="199"/>
      <c r="FE36" s="199"/>
      <c r="FF36" s="199"/>
      <c r="FG36" s="199"/>
      <c r="FH36" s="199"/>
      <c r="FI36" s="199"/>
      <c r="FJ36" s="199"/>
      <c r="FK36" s="199"/>
      <c r="FL36" s="199"/>
      <c r="FM36" s="199"/>
      <c r="FN36" s="199"/>
      <c r="FO36" s="199"/>
      <c r="FP36" s="199"/>
      <c r="FQ36" s="199"/>
      <c r="FR36" s="199"/>
      <c r="FS36" s="199"/>
      <c r="FT36" s="199"/>
      <c r="FU36" s="199"/>
      <c r="FV36" s="199"/>
      <c r="FW36" s="199"/>
      <c r="FX36" s="199"/>
      <c r="FY36" s="199"/>
      <c r="FZ36" s="199"/>
      <c r="GA36" s="199"/>
      <c r="GB36" s="199"/>
      <c r="GC36" s="199"/>
      <c r="GD36" s="199"/>
      <c r="GE36" s="199"/>
      <c r="GF36" s="199"/>
      <c r="GG36" s="199"/>
      <c r="GH36" s="199"/>
      <c r="GI36" s="199"/>
      <c r="GJ36" s="199"/>
      <c r="GK36" s="199"/>
      <c r="GL36" s="199"/>
      <c r="GM36" s="199"/>
      <c r="GN36" s="199"/>
      <c r="GO36" s="199"/>
      <c r="GP36" s="199"/>
      <c r="GQ36" s="199"/>
      <c r="GR36" s="199"/>
      <c r="GS36" s="199"/>
      <c r="GT36" s="199"/>
      <c r="GU36" s="199"/>
      <c r="GV36" s="199"/>
      <c r="GW36" s="199"/>
      <c r="GX36" s="199"/>
      <c r="GY36" s="199"/>
      <c r="GZ36" s="199"/>
      <c r="HA36" s="199"/>
      <c r="HB36" s="199"/>
      <c r="HC36" s="199"/>
      <c r="HD36" s="199"/>
      <c r="HE36" s="199"/>
      <c r="HF36" s="199"/>
      <c r="HG36" s="199"/>
      <c r="HH36" s="199"/>
      <c r="HI36" s="199"/>
      <c r="HJ36" s="199"/>
      <c r="HK36" s="199"/>
      <c r="HL36" s="199"/>
      <c r="HM36" s="199"/>
      <c r="HN36" s="199"/>
      <c r="HO36" s="199"/>
      <c r="HP36" s="199"/>
      <c r="HQ36" s="199"/>
      <c r="HR36" s="199"/>
      <c r="HS36" s="199"/>
      <c r="HT36" s="199"/>
      <c r="HU36" s="199"/>
      <c r="HV36" s="199"/>
      <c r="HW36" s="199"/>
      <c r="HX36" s="199"/>
      <c r="HY36" s="199"/>
      <c r="HZ36" s="199"/>
      <c r="IA36" s="199"/>
      <c r="IB36" s="199"/>
      <c r="IC36" s="199"/>
      <c r="ID36" s="199"/>
      <c r="IE36" s="199"/>
      <c r="IF36" s="199"/>
      <c r="IG36" s="199"/>
      <c r="IH36" s="199"/>
      <c r="II36" s="199"/>
      <c r="IJ36" s="199"/>
      <c r="IK36" s="199"/>
      <c r="IL36" s="199"/>
      <c r="IM36" s="199"/>
      <c r="IN36" s="199"/>
      <c r="IO36" s="199"/>
      <c r="IP36" s="199"/>
      <c r="IQ36" s="199"/>
      <c r="IR36" s="199"/>
      <c r="IS36" s="199"/>
      <c r="IT36" s="199"/>
      <c r="IU36" s="199"/>
      <c r="IV36" s="199"/>
      <c r="IW36" s="199"/>
      <c r="IX36" s="199"/>
      <c r="IY36" s="199"/>
      <c r="IZ36" s="199"/>
      <c r="JA36" s="199"/>
      <c r="JB36" s="199"/>
      <c r="JC36" s="199"/>
      <c r="JD36" s="199"/>
      <c r="JE36" s="199"/>
      <c r="JF36" s="199"/>
      <c r="JG36" s="199"/>
      <c r="JH36" s="199"/>
      <c r="JI36" s="199"/>
      <c r="JJ36" s="199"/>
      <c r="JK36" s="199"/>
      <c r="JL36" s="199"/>
      <c r="JM36" s="199"/>
      <c r="JN36" s="199"/>
      <c r="JO36" s="199"/>
      <c r="JP36" s="199"/>
      <c r="JQ36" s="199"/>
      <c r="JR36" s="199"/>
      <c r="JS36" s="199"/>
      <c r="JT36" s="199"/>
      <c r="JU36" s="199"/>
      <c r="JV36" s="199"/>
      <c r="JW36" s="199"/>
      <c r="JX36" s="199"/>
      <c r="JY36" s="199"/>
      <c r="JZ36" s="199"/>
      <c r="KA36" s="199"/>
      <c r="KB36" s="199"/>
      <c r="KC36" s="199"/>
      <c r="KD36" s="199"/>
      <c r="KE36" s="199"/>
      <c r="PQ36" s="201"/>
      <c r="PR36" s="201"/>
      <c r="PS36" s="201"/>
      <c r="PT36" s="201"/>
      <c r="PU36" s="201"/>
      <c r="PV36" s="201"/>
      <c r="PW36" s="201"/>
      <c r="PX36" s="201"/>
      <c r="PY36" s="201"/>
      <c r="PZ36" s="201"/>
      <c r="QA36" s="201"/>
      <c r="QB36" s="201"/>
      <c r="QC36" s="201"/>
      <c r="QD36" s="201"/>
      <c r="QE36" s="201"/>
      <c r="QF36" s="201"/>
      <c r="QG36" s="201"/>
      <c r="QH36" s="201"/>
      <c r="QI36" s="201"/>
      <c r="QJ36" s="201"/>
      <c r="QK36" s="201"/>
      <c r="QL36" s="201"/>
      <c r="QM36" s="201"/>
      <c r="QN36" s="201"/>
      <c r="QO36" s="201"/>
      <c r="QP36" s="201"/>
      <c r="QQ36" s="201"/>
      <c r="QR36" s="201"/>
      <c r="QS36" s="201"/>
      <c r="QT36" s="201"/>
      <c r="QU36" s="201"/>
      <c r="QV36" s="201"/>
      <c r="QW36" s="201"/>
      <c r="QX36" s="201"/>
      <c r="QY36" s="201"/>
      <c r="QZ36" s="201"/>
      <c r="RA36" s="201"/>
      <c r="RB36" s="201"/>
      <c r="RC36" s="201"/>
      <c r="RD36" s="201"/>
      <c r="RE36" s="201"/>
      <c r="RF36" s="201"/>
      <c r="RG36" s="201"/>
      <c r="RH36" s="201"/>
      <c r="RI36" s="201"/>
      <c r="RJ36" s="201"/>
      <c r="RK36" s="201"/>
      <c r="RL36" s="201"/>
      <c r="RM36" s="201"/>
      <c r="RN36" s="201"/>
      <c r="RO36" s="201"/>
      <c r="RP36" s="201"/>
      <c r="RQ36" s="201"/>
      <c r="RR36" s="201"/>
      <c r="RS36" s="201"/>
      <c r="RT36" s="201"/>
      <c r="RU36" s="201"/>
      <c r="RV36" s="201"/>
      <c r="RW36" s="201"/>
      <c r="RX36" s="201"/>
      <c r="RY36" s="201"/>
      <c r="RZ36" s="201"/>
      <c r="SA36" s="201"/>
      <c r="SB36" s="201"/>
      <c r="SC36" s="201"/>
      <c r="SD36" s="201"/>
      <c r="SE36" s="201"/>
      <c r="SF36" s="201"/>
      <c r="SG36" s="201"/>
      <c r="SH36" s="201"/>
      <c r="SI36" s="201"/>
      <c r="SJ36" s="201"/>
      <c r="SK36" s="201"/>
      <c r="SL36" s="201"/>
      <c r="SM36" s="201"/>
      <c r="SN36" s="201"/>
      <c r="SO36" s="201"/>
      <c r="SP36" s="201"/>
      <c r="SQ36" s="201"/>
      <c r="SR36" s="201"/>
      <c r="SS36" s="201"/>
      <c r="ST36" s="201"/>
      <c r="SU36" s="201"/>
      <c r="SV36" s="201"/>
      <c r="SW36" s="201"/>
      <c r="SX36" s="201"/>
      <c r="SY36" s="201"/>
      <c r="SZ36" s="201"/>
      <c r="TA36" s="201"/>
      <c r="TB36" s="201"/>
      <c r="TC36" s="201"/>
      <c r="TD36" s="201"/>
      <c r="TE36" s="201"/>
      <c r="TF36" s="201"/>
      <c r="TG36" s="201"/>
      <c r="TH36" s="201"/>
      <c r="TI36" s="201"/>
      <c r="TJ36" s="201"/>
      <c r="TK36" s="201"/>
      <c r="TL36" s="201"/>
      <c r="TM36" s="201"/>
      <c r="TN36" s="201"/>
      <c r="TO36" s="201"/>
      <c r="TP36" s="201"/>
      <c r="TQ36" s="201"/>
      <c r="TR36" s="201"/>
      <c r="TS36" s="201"/>
      <c r="TT36" s="201"/>
      <c r="TU36" s="201"/>
      <c r="TV36" s="201"/>
      <c r="TW36" s="201"/>
      <c r="TX36" s="201"/>
      <c r="TY36" s="201"/>
      <c r="TZ36" s="201"/>
      <c r="UA36" s="201"/>
      <c r="UB36" s="201"/>
      <c r="UC36" s="201"/>
      <c r="UD36" s="201"/>
      <c r="UE36" s="201"/>
      <c r="UF36" s="201"/>
      <c r="UG36" s="201"/>
      <c r="UH36" s="201"/>
      <c r="UI36" s="201"/>
      <c r="UJ36" s="201"/>
      <c r="UK36" s="201"/>
      <c r="UL36" s="201"/>
      <c r="UM36" s="201"/>
      <c r="UN36" s="201"/>
      <c r="UO36" s="201"/>
      <c r="UP36" s="201"/>
      <c r="UQ36" s="201"/>
      <c r="UR36" s="201"/>
      <c r="US36" s="201"/>
      <c r="UT36" s="201"/>
      <c r="UU36" s="201"/>
    </row>
    <row r="37" spans="1:567" x14ac:dyDescent="0.25">
      <c r="B37" s="38" t="s">
        <v>37</v>
      </c>
      <c r="C37" s="26"/>
      <c r="D37" s="26"/>
      <c r="E37" s="32"/>
      <c r="F37" s="32"/>
      <c r="G37" s="32"/>
      <c r="H37" s="32"/>
      <c r="I37" s="33"/>
      <c r="J37" s="42"/>
      <c r="K37" s="43"/>
      <c r="R37" s="260"/>
      <c r="S37" s="91"/>
      <c r="T37" s="91"/>
      <c r="U37" s="91"/>
      <c r="V37" s="91"/>
      <c r="W37" s="91"/>
      <c r="X37" s="91"/>
      <c r="Y37" s="91"/>
      <c r="Z37" s="91"/>
      <c r="AA37" s="91"/>
      <c r="AB37" s="91"/>
      <c r="AC37" s="91"/>
      <c r="AD37" s="91"/>
      <c r="AE37" s="91"/>
      <c r="AF37" s="91"/>
      <c r="AG37" s="91"/>
      <c r="AH37" s="91"/>
      <c r="AI37" s="91"/>
      <c r="AJ37" s="91"/>
      <c r="AK37" s="91"/>
      <c r="AL37" s="91"/>
      <c r="AM37" s="91"/>
      <c r="AN37" s="91"/>
      <c r="AO37" s="91"/>
      <c r="AP37" s="91"/>
      <c r="AQ37" s="91"/>
      <c r="AR37" s="91"/>
      <c r="AS37" s="91"/>
      <c r="AT37" s="91"/>
      <c r="AU37" s="91"/>
      <c r="AV37" s="91"/>
      <c r="AW37" s="91"/>
      <c r="AX37" s="91"/>
      <c r="AY37" s="91"/>
      <c r="AZ37" s="91"/>
      <c r="BA37" s="91"/>
      <c r="BB37" s="91"/>
      <c r="BC37" s="91"/>
      <c r="BD37" s="91"/>
      <c r="BE37" s="91"/>
      <c r="BF37" s="91"/>
      <c r="BG37" s="91"/>
      <c r="BH37" s="91"/>
      <c r="BI37" s="91"/>
      <c r="BJ37" s="91"/>
      <c r="BK37" s="91"/>
      <c r="BL37" s="91"/>
      <c r="BM37" s="91"/>
      <c r="BN37" s="91"/>
      <c r="BO37" s="91"/>
      <c r="BP37" s="91"/>
      <c r="BQ37" s="91"/>
      <c r="BR37" s="91"/>
      <c r="BS37" s="91"/>
      <c r="BT37" s="91"/>
      <c r="BU37" s="91"/>
      <c r="BV37" s="91"/>
      <c r="BW37" s="91"/>
      <c r="BX37" s="91"/>
      <c r="BY37" s="91"/>
      <c r="BZ37" s="91"/>
      <c r="CA37" s="91"/>
      <c r="CB37" s="91"/>
      <c r="CC37" s="91"/>
      <c r="CD37" s="91"/>
      <c r="CE37" s="91"/>
      <c r="CF37" s="91"/>
      <c r="CG37" s="91"/>
      <c r="CH37" s="91"/>
      <c r="CI37" s="91"/>
      <c r="CJ37" s="91"/>
      <c r="CK37" s="91"/>
      <c r="CL37" s="91"/>
      <c r="CM37" s="91"/>
      <c r="CN37" s="91"/>
      <c r="CO37" s="91"/>
      <c r="CP37" s="91"/>
      <c r="CQ37" s="91"/>
      <c r="CR37" s="91"/>
      <c r="CS37" s="91"/>
      <c r="CT37" s="91"/>
      <c r="CU37" s="91"/>
      <c r="CV37" s="91"/>
      <c r="CW37" s="91"/>
      <c r="CX37" s="91"/>
      <c r="CY37" s="91"/>
      <c r="CZ37" s="91"/>
      <c r="DA37" s="91"/>
      <c r="DB37" s="91"/>
      <c r="DC37" s="91"/>
      <c r="DD37" s="91"/>
      <c r="DE37" s="91"/>
      <c r="DF37" s="91"/>
      <c r="DG37" s="91"/>
      <c r="DH37" s="91"/>
      <c r="DI37" s="91"/>
      <c r="DJ37" s="91"/>
      <c r="DK37" s="91"/>
      <c r="DL37" s="91"/>
      <c r="DM37" s="91"/>
      <c r="DN37" s="91"/>
      <c r="DO37" s="91"/>
      <c r="DP37" s="91"/>
      <c r="DQ37" s="91"/>
      <c r="DR37" s="91"/>
      <c r="DS37" s="91"/>
      <c r="DT37" s="91"/>
      <c r="DU37" s="91"/>
      <c r="DV37" s="91"/>
      <c r="DW37" s="91"/>
      <c r="DX37" s="91"/>
      <c r="DY37" s="91"/>
      <c r="DZ37" s="91"/>
      <c r="EA37" s="91"/>
      <c r="EB37" s="91"/>
      <c r="EC37" s="91"/>
      <c r="ED37" s="91"/>
      <c r="EE37" s="91"/>
      <c r="EF37" s="91"/>
      <c r="EG37" s="91"/>
      <c r="EH37" s="91"/>
      <c r="EI37" s="91"/>
      <c r="EJ37" s="91"/>
      <c r="EK37" s="91"/>
      <c r="EL37" s="91"/>
      <c r="EM37" s="91"/>
      <c r="EN37" s="91"/>
      <c r="EO37" s="91"/>
      <c r="EP37" s="91"/>
      <c r="EQ37" s="91"/>
      <c r="ER37" s="91"/>
      <c r="ES37" s="91"/>
      <c r="ET37" s="91"/>
      <c r="EU37" s="91"/>
      <c r="FC37" s="199"/>
      <c r="FD37" s="199"/>
      <c r="FE37" s="199"/>
      <c r="FF37" s="199"/>
      <c r="FG37" s="199"/>
      <c r="FH37" s="199"/>
      <c r="FI37" s="199"/>
      <c r="FJ37" s="199"/>
      <c r="FK37" s="199"/>
      <c r="FL37" s="199"/>
      <c r="FM37" s="199"/>
      <c r="FN37" s="199"/>
      <c r="FO37" s="199"/>
      <c r="FP37" s="199"/>
      <c r="FQ37" s="199"/>
      <c r="FR37" s="199"/>
      <c r="FS37" s="199"/>
      <c r="FT37" s="199"/>
      <c r="FU37" s="199"/>
      <c r="FV37" s="199"/>
      <c r="FW37" s="199"/>
      <c r="FX37" s="199"/>
      <c r="FY37" s="199"/>
      <c r="FZ37" s="199"/>
      <c r="GA37" s="199"/>
      <c r="GB37" s="199"/>
      <c r="GC37" s="199"/>
      <c r="GD37" s="199"/>
      <c r="GE37" s="199"/>
      <c r="GF37" s="199"/>
      <c r="GG37" s="199"/>
      <c r="GH37" s="199"/>
      <c r="GI37" s="199"/>
      <c r="GJ37" s="199"/>
      <c r="GK37" s="199"/>
      <c r="GL37" s="199"/>
      <c r="GM37" s="199"/>
      <c r="GN37" s="199"/>
      <c r="GO37" s="199"/>
      <c r="GP37" s="199"/>
      <c r="GQ37" s="199"/>
      <c r="GR37" s="199"/>
      <c r="GS37" s="199"/>
      <c r="GT37" s="199"/>
      <c r="GU37" s="199"/>
      <c r="GV37" s="199"/>
      <c r="GW37" s="199"/>
      <c r="GX37" s="199"/>
      <c r="GY37" s="199"/>
      <c r="GZ37" s="199"/>
      <c r="HA37" s="199"/>
      <c r="HB37" s="199"/>
      <c r="HC37" s="199"/>
      <c r="HD37" s="199"/>
      <c r="HE37" s="199"/>
      <c r="HF37" s="199"/>
      <c r="HG37" s="199"/>
      <c r="HH37" s="199"/>
      <c r="HI37" s="199"/>
      <c r="HJ37" s="199"/>
      <c r="HK37" s="199"/>
      <c r="HL37" s="199"/>
      <c r="HM37" s="199"/>
      <c r="HN37" s="199"/>
      <c r="HO37" s="199"/>
      <c r="HP37" s="199"/>
      <c r="HQ37" s="199"/>
      <c r="HR37" s="199"/>
      <c r="HS37" s="199"/>
      <c r="HT37" s="199"/>
      <c r="HU37" s="199"/>
      <c r="HV37" s="199"/>
      <c r="HW37" s="199"/>
      <c r="HX37" s="199"/>
      <c r="HY37" s="199"/>
      <c r="HZ37" s="199"/>
      <c r="IA37" s="199"/>
      <c r="IB37" s="199"/>
      <c r="IC37" s="199"/>
      <c r="ID37" s="199"/>
      <c r="IE37" s="199"/>
      <c r="IF37" s="199"/>
      <c r="IG37" s="199"/>
      <c r="IH37" s="199"/>
      <c r="II37" s="199"/>
      <c r="IJ37" s="199"/>
      <c r="IK37" s="199"/>
      <c r="IL37" s="199"/>
      <c r="IM37" s="199"/>
      <c r="IN37" s="199"/>
      <c r="IO37" s="199"/>
      <c r="IP37" s="199"/>
      <c r="IQ37" s="199"/>
      <c r="IR37" s="199"/>
      <c r="IS37" s="199"/>
      <c r="IT37" s="199"/>
      <c r="IU37" s="199"/>
      <c r="IV37" s="199"/>
      <c r="IW37" s="199"/>
      <c r="IX37" s="199"/>
      <c r="IY37" s="199"/>
      <c r="IZ37" s="199"/>
      <c r="JA37" s="199"/>
      <c r="JB37" s="199"/>
      <c r="JC37" s="199"/>
      <c r="JD37" s="199"/>
      <c r="JE37" s="199"/>
      <c r="JF37" s="199"/>
      <c r="JG37" s="199"/>
      <c r="JH37" s="199"/>
      <c r="JI37" s="199"/>
      <c r="JJ37" s="199"/>
      <c r="JK37" s="199"/>
      <c r="JL37" s="199"/>
      <c r="JM37" s="199"/>
      <c r="JN37" s="199"/>
      <c r="JO37" s="199"/>
      <c r="JP37" s="199"/>
      <c r="JQ37" s="199"/>
      <c r="JR37" s="199"/>
      <c r="JS37" s="199"/>
      <c r="JT37" s="199"/>
      <c r="JU37" s="199"/>
      <c r="JV37" s="199"/>
      <c r="JW37" s="199"/>
      <c r="JX37" s="199"/>
      <c r="JY37" s="199"/>
      <c r="JZ37" s="199"/>
      <c r="KA37" s="199"/>
      <c r="KB37" s="199"/>
      <c r="KC37" s="199"/>
      <c r="KD37" s="199"/>
      <c r="KE37" s="199"/>
      <c r="PQ37" s="201"/>
      <c r="PR37" s="201"/>
      <c r="PS37" s="201"/>
      <c r="PT37" s="201"/>
      <c r="PU37" s="201"/>
      <c r="PV37" s="201"/>
      <c r="PW37" s="201"/>
      <c r="PX37" s="201"/>
      <c r="PY37" s="201"/>
      <c r="PZ37" s="201"/>
      <c r="QA37" s="201"/>
      <c r="QB37" s="201"/>
      <c r="QC37" s="201"/>
      <c r="QD37" s="201"/>
      <c r="QE37" s="201"/>
      <c r="QF37" s="201"/>
      <c r="QG37" s="201"/>
      <c r="QH37" s="201"/>
      <c r="QI37" s="201"/>
      <c r="QJ37" s="201"/>
      <c r="QK37" s="201"/>
      <c r="QL37" s="201"/>
      <c r="QM37" s="201"/>
      <c r="QN37" s="201"/>
      <c r="QO37" s="201"/>
      <c r="QP37" s="201"/>
      <c r="QQ37" s="201"/>
      <c r="QR37" s="201"/>
      <c r="QS37" s="201"/>
      <c r="QT37" s="201"/>
      <c r="QU37" s="201"/>
      <c r="QV37" s="201"/>
      <c r="QW37" s="201"/>
      <c r="QX37" s="201"/>
      <c r="QY37" s="201"/>
      <c r="QZ37" s="201"/>
      <c r="RA37" s="201"/>
      <c r="RB37" s="201"/>
      <c r="RC37" s="201"/>
      <c r="RD37" s="201"/>
      <c r="RE37" s="201"/>
      <c r="RF37" s="201"/>
      <c r="RG37" s="201"/>
      <c r="RH37" s="201"/>
      <c r="RI37" s="201"/>
      <c r="RJ37" s="201"/>
      <c r="RK37" s="201"/>
      <c r="RL37" s="201"/>
      <c r="RM37" s="201"/>
      <c r="RN37" s="201"/>
      <c r="RO37" s="201"/>
      <c r="RP37" s="201"/>
      <c r="RQ37" s="201"/>
      <c r="RR37" s="201"/>
      <c r="RS37" s="201"/>
      <c r="RT37" s="201"/>
      <c r="RU37" s="201"/>
      <c r="RV37" s="201"/>
      <c r="RW37" s="201"/>
      <c r="RX37" s="201"/>
      <c r="RY37" s="201"/>
      <c r="RZ37" s="201"/>
      <c r="SA37" s="201"/>
      <c r="SB37" s="201"/>
      <c r="SC37" s="201"/>
      <c r="SD37" s="201"/>
      <c r="SE37" s="201"/>
      <c r="SF37" s="201"/>
      <c r="SG37" s="201"/>
      <c r="SH37" s="201"/>
      <c r="SI37" s="201"/>
      <c r="SJ37" s="201"/>
      <c r="SK37" s="201"/>
      <c r="SL37" s="201"/>
      <c r="SM37" s="201"/>
      <c r="SN37" s="201"/>
      <c r="SO37" s="201"/>
      <c r="SP37" s="201"/>
      <c r="SQ37" s="201"/>
      <c r="SR37" s="201"/>
      <c r="SS37" s="201"/>
      <c r="ST37" s="201"/>
      <c r="SU37" s="201"/>
      <c r="SV37" s="201"/>
      <c r="SW37" s="201"/>
      <c r="SX37" s="201"/>
      <c r="SY37" s="201"/>
      <c r="SZ37" s="201"/>
      <c r="TA37" s="201"/>
      <c r="TB37" s="201"/>
      <c r="TC37" s="201"/>
      <c r="TD37" s="201"/>
      <c r="TE37" s="201"/>
      <c r="TF37" s="201"/>
      <c r="TG37" s="201"/>
      <c r="TH37" s="201"/>
      <c r="TI37" s="201"/>
      <c r="TJ37" s="201"/>
      <c r="TK37" s="201"/>
      <c r="TL37" s="201"/>
      <c r="TM37" s="201"/>
      <c r="TN37" s="201"/>
      <c r="TO37" s="201"/>
      <c r="TP37" s="201"/>
      <c r="TQ37" s="201"/>
      <c r="TR37" s="201"/>
      <c r="TS37" s="201"/>
      <c r="TT37" s="201"/>
      <c r="TU37" s="201"/>
      <c r="TV37" s="201"/>
      <c r="TW37" s="201"/>
      <c r="TX37" s="201"/>
      <c r="TY37" s="201"/>
      <c r="TZ37" s="201"/>
      <c r="UA37" s="201"/>
      <c r="UB37" s="201"/>
      <c r="UC37" s="201"/>
      <c r="UD37" s="201"/>
      <c r="UE37" s="201"/>
      <c r="UF37" s="201"/>
      <c r="UG37" s="201"/>
      <c r="UH37" s="201"/>
      <c r="UI37" s="201"/>
      <c r="UJ37" s="201"/>
      <c r="UK37" s="201"/>
      <c r="UL37" s="201"/>
      <c r="UM37" s="201"/>
      <c r="UN37" s="201"/>
      <c r="UO37" s="201"/>
      <c r="UP37" s="201"/>
      <c r="UQ37" s="201"/>
      <c r="UR37" s="201"/>
      <c r="US37" s="201"/>
      <c r="UT37" s="201"/>
      <c r="UU37" s="201"/>
    </row>
    <row r="38" spans="1:567" x14ac:dyDescent="0.25">
      <c r="B38" s="31" t="s">
        <v>38</v>
      </c>
      <c r="C38" s="26"/>
      <c r="D38" s="26"/>
      <c r="E38" s="32">
        <v>1</v>
      </c>
      <c r="F38" s="32">
        <v>18</v>
      </c>
      <c r="G38" s="19" t="s">
        <v>602</v>
      </c>
      <c r="H38" s="32"/>
      <c r="I38" s="33">
        <f t="shared" ref="I38:I43" si="496">K38/Units_SF</f>
        <v>0.7142857142857143</v>
      </c>
      <c r="J38" s="34">
        <f t="shared" ref="J38:J43" si="497">K38/Units</f>
        <v>600</v>
      </c>
      <c r="K38" s="35">
        <f>+K35*0.04</f>
        <v>180000</v>
      </c>
      <c r="M38" s="3" t="s">
        <v>829</v>
      </c>
      <c r="R38" s="90" t="str">
        <f t="shared" ref="R38:R43" si="498">IF(ROUND(SUM(S38:EU38),0)=ROUND(K38,0),"OK","ERROR")</f>
        <v>OK</v>
      </c>
      <c r="S38" s="91">
        <f t="shared" ref="S38:AB43" si="499">AND($G38="S-Curve")*FC38+OR($G38="Straight-Line",$G38="Detail",$E$120=1)*AND(S$22&gt;=$E38,S$22&lt;=$F38)*$K38/($F38-$E38+1)+($G38="Schedule")*$K38*(IFERROR(T$108/SUM($T$108:$EU$108),0))</f>
        <v>7499.9999999999982</v>
      </c>
      <c r="T38" s="91">
        <f t="shared" si="499"/>
        <v>7499.9999999999982</v>
      </c>
      <c r="U38" s="91">
        <f t="shared" si="499"/>
        <v>7500</v>
      </c>
      <c r="V38" s="91">
        <f t="shared" si="499"/>
        <v>7499.9999999999955</v>
      </c>
      <c r="W38" s="91">
        <f t="shared" si="499"/>
        <v>7500.0000000000018</v>
      </c>
      <c r="X38" s="91">
        <f t="shared" si="499"/>
        <v>7499.9999999999955</v>
      </c>
      <c r="Y38" s="91">
        <f t="shared" si="499"/>
        <v>7500.0000000000018</v>
      </c>
      <c r="Z38" s="91">
        <f t="shared" si="499"/>
        <v>7499.9999999999918</v>
      </c>
      <c r="AA38" s="91">
        <f t="shared" si="499"/>
        <v>7500.0000000000018</v>
      </c>
      <c r="AB38" s="91">
        <f t="shared" si="499"/>
        <v>7500.0000000000018</v>
      </c>
      <c r="AC38" s="91">
        <f t="shared" ref="AC38:AL43" si="500">AND($G38="S-Curve")*FM38+OR($G38="Straight-Line",$G38="Detail",$E$120=1)*AND(AC$22&gt;=$E38,AC$22&lt;=$F38)*$K38/($F38-$E38+1)+($G38="Schedule")*$K38*(IFERROR(AD$108/SUM($T$108:$EU$108),0))</f>
        <v>7499.9999999999918</v>
      </c>
      <c r="AD38" s="91">
        <f t="shared" si="500"/>
        <v>7500.0000000000018</v>
      </c>
      <c r="AE38" s="91">
        <f t="shared" si="500"/>
        <v>7499.9999999999918</v>
      </c>
      <c r="AF38" s="91">
        <f t="shared" si="500"/>
        <v>7500.0000000000109</v>
      </c>
      <c r="AG38" s="91">
        <f t="shared" si="500"/>
        <v>7499.9999999999918</v>
      </c>
      <c r="AH38" s="91">
        <f t="shared" si="500"/>
        <v>7499.9999999999918</v>
      </c>
      <c r="AI38" s="91">
        <f t="shared" si="500"/>
        <v>7500.0000000000109</v>
      </c>
      <c r="AJ38" s="91">
        <f t="shared" si="500"/>
        <v>7499.9999999999918</v>
      </c>
      <c r="AK38" s="91">
        <f t="shared" si="500"/>
        <v>7499.9999999999918</v>
      </c>
      <c r="AL38" s="91">
        <f t="shared" si="500"/>
        <v>7500.0000000000109</v>
      </c>
      <c r="AM38" s="91">
        <f t="shared" ref="AM38:AV43" si="501">AND($G38="S-Curve")*FW38+OR($G38="Straight-Line",$G38="Detail",$E$120=1)*AND(AM$22&gt;=$E38,AM$22&lt;=$F38)*$K38/($F38-$E38+1)+($G38="Schedule")*$K38*(IFERROR(AN$108/SUM($T$108:$EU$108),0))</f>
        <v>7499.9999999999918</v>
      </c>
      <c r="AN38" s="91">
        <f t="shared" si="501"/>
        <v>7499.9999999999918</v>
      </c>
      <c r="AO38" s="91">
        <f t="shared" si="501"/>
        <v>7500.0000000000109</v>
      </c>
      <c r="AP38" s="91">
        <f t="shared" si="501"/>
        <v>7499.9999999999918</v>
      </c>
      <c r="AQ38" s="91">
        <f t="shared" si="501"/>
        <v>0</v>
      </c>
      <c r="AR38" s="91">
        <f t="shared" si="501"/>
        <v>0</v>
      </c>
      <c r="AS38" s="91">
        <f t="shared" si="501"/>
        <v>0</v>
      </c>
      <c r="AT38" s="91">
        <f t="shared" si="501"/>
        <v>0</v>
      </c>
      <c r="AU38" s="91">
        <f t="shared" si="501"/>
        <v>0</v>
      </c>
      <c r="AV38" s="91">
        <f t="shared" si="501"/>
        <v>0</v>
      </c>
      <c r="AW38" s="91">
        <f t="shared" ref="AW38:BF43" si="502">AND($G38="S-Curve")*GG38+OR($G38="Straight-Line",$G38="Detail",$E$120=1)*AND(AW$22&gt;=$E38,AW$22&lt;=$F38)*$K38/($F38-$E38+1)+($G38="Schedule")*$K38*(IFERROR(AX$108/SUM($T$108:$EU$108),0))</f>
        <v>0</v>
      </c>
      <c r="AX38" s="91">
        <f t="shared" si="502"/>
        <v>0</v>
      </c>
      <c r="AY38" s="91">
        <f t="shared" si="502"/>
        <v>0</v>
      </c>
      <c r="AZ38" s="91">
        <f t="shared" si="502"/>
        <v>0</v>
      </c>
      <c r="BA38" s="91">
        <f t="shared" si="502"/>
        <v>0</v>
      </c>
      <c r="BB38" s="91">
        <f t="shared" si="502"/>
        <v>0</v>
      </c>
      <c r="BC38" s="91">
        <f t="shared" si="502"/>
        <v>0</v>
      </c>
      <c r="BD38" s="91">
        <f t="shared" si="502"/>
        <v>0</v>
      </c>
      <c r="BE38" s="91">
        <f t="shared" si="502"/>
        <v>0</v>
      </c>
      <c r="BF38" s="91">
        <f t="shared" si="502"/>
        <v>0</v>
      </c>
      <c r="BG38" s="91">
        <f t="shared" ref="BG38:BP43" si="503">AND($G38="S-Curve")*GQ38+OR($G38="Straight-Line",$G38="Detail",$E$120=1)*AND(BG$22&gt;=$E38,BG$22&lt;=$F38)*$K38/($F38-$E38+1)+($G38="Schedule")*$K38*(IFERROR(BH$108/SUM($T$108:$EU$108),0))</f>
        <v>0</v>
      </c>
      <c r="BH38" s="91">
        <f t="shared" si="503"/>
        <v>0</v>
      </c>
      <c r="BI38" s="91">
        <f t="shared" si="503"/>
        <v>0</v>
      </c>
      <c r="BJ38" s="91">
        <f t="shared" si="503"/>
        <v>0</v>
      </c>
      <c r="BK38" s="91">
        <f t="shared" si="503"/>
        <v>0</v>
      </c>
      <c r="BL38" s="91">
        <f t="shared" si="503"/>
        <v>0</v>
      </c>
      <c r="BM38" s="91">
        <f t="shared" si="503"/>
        <v>0</v>
      </c>
      <c r="BN38" s="91">
        <f t="shared" si="503"/>
        <v>0</v>
      </c>
      <c r="BO38" s="91">
        <f t="shared" si="503"/>
        <v>0</v>
      </c>
      <c r="BP38" s="91">
        <f t="shared" si="503"/>
        <v>0</v>
      </c>
      <c r="BQ38" s="91">
        <f t="shared" ref="BQ38:BZ43" si="504">AND($G38="S-Curve")*HA38+OR($G38="Straight-Line",$G38="Detail",$E$120=1)*AND(BQ$22&gt;=$E38,BQ$22&lt;=$F38)*$K38/($F38-$E38+1)+($G38="Schedule")*$K38*(IFERROR(BR$108/SUM($T$108:$EU$108),0))</f>
        <v>0</v>
      </c>
      <c r="BR38" s="91">
        <f t="shared" si="504"/>
        <v>0</v>
      </c>
      <c r="BS38" s="91">
        <f t="shared" si="504"/>
        <v>0</v>
      </c>
      <c r="BT38" s="91">
        <f t="shared" si="504"/>
        <v>0</v>
      </c>
      <c r="BU38" s="91">
        <f t="shared" si="504"/>
        <v>0</v>
      </c>
      <c r="BV38" s="91">
        <f t="shared" si="504"/>
        <v>0</v>
      </c>
      <c r="BW38" s="91">
        <f t="shared" si="504"/>
        <v>0</v>
      </c>
      <c r="BX38" s="91">
        <f t="shared" si="504"/>
        <v>0</v>
      </c>
      <c r="BY38" s="91">
        <f t="shared" si="504"/>
        <v>0</v>
      </c>
      <c r="BZ38" s="91">
        <f t="shared" si="504"/>
        <v>0</v>
      </c>
      <c r="CA38" s="91">
        <f t="shared" ref="CA38:CJ43" si="505">AND($G38="S-Curve")*HK38+OR($G38="Straight-Line",$G38="Detail",$E$120=1)*AND(CA$22&gt;=$E38,CA$22&lt;=$F38)*$K38/($F38-$E38+1)+($G38="Schedule")*$K38*(IFERROR(CB$108/SUM($T$108:$EU$108),0))</f>
        <v>0</v>
      </c>
      <c r="CB38" s="91">
        <f t="shared" si="505"/>
        <v>0</v>
      </c>
      <c r="CC38" s="91">
        <f t="shared" si="505"/>
        <v>0</v>
      </c>
      <c r="CD38" s="91">
        <f t="shared" si="505"/>
        <v>0</v>
      </c>
      <c r="CE38" s="91">
        <f t="shared" si="505"/>
        <v>0</v>
      </c>
      <c r="CF38" s="91">
        <f t="shared" si="505"/>
        <v>0</v>
      </c>
      <c r="CG38" s="91">
        <f t="shared" si="505"/>
        <v>0</v>
      </c>
      <c r="CH38" s="91">
        <f t="shared" si="505"/>
        <v>0</v>
      </c>
      <c r="CI38" s="91">
        <f t="shared" si="505"/>
        <v>0</v>
      </c>
      <c r="CJ38" s="91">
        <f t="shared" si="505"/>
        <v>0</v>
      </c>
      <c r="CK38" s="91">
        <f t="shared" ref="CK38:CT43" si="506">AND($G38="S-Curve")*HU38+OR($G38="Straight-Line",$G38="Detail",$E$120=1)*AND(CK$22&gt;=$E38,CK$22&lt;=$F38)*$K38/($F38-$E38+1)+($G38="Schedule")*$K38*(IFERROR(CL$108/SUM($T$108:$EU$108),0))</f>
        <v>0</v>
      </c>
      <c r="CL38" s="91">
        <f t="shared" si="506"/>
        <v>0</v>
      </c>
      <c r="CM38" s="91">
        <f t="shared" si="506"/>
        <v>0</v>
      </c>
      <c r="CN38" s="91">
        <f t="shared" si="506"/>
        <v>0</v>
      </c>
      <c r="CO38" s="91">
        <f t="shared" si="506"/>
        <v>0</v>
      </c>
      <c r="CP38" s="91">
        <f t="shared" si="506"/>
        <v>0</v>
      </c>
      <c r="CQ38" s="91">
        <f t="shared" si="506"/>
        <v>0</v>
      </c>
      <c r="CR38" s="91">
        <f t="shared" si="506"/>
        <v>0</v>
      </c>
      <c r="CS38" s="91">
        <f t="shared" si="506"/>
        <v>0</v>
      </c>
      <c r="CT38" s="91">
        <f t="shared" si="506"/>
        <v>0</v>
      </c>
      <c r="CU38" s="91">
        <f t="shared" ref="CU38:DD43" si="507">AND($G38="S-Curve")*IE38+OR($G38="Straight-Line",$G38="Detail",$E$120=1)*AND(CU$22&gt;=$E38,CU$22&lt;=$F38)*$K38/($F38-$E38+1)+($G38="Schedule")*$K38*(IFERROR(CV$108/SUM($T$108:$EU$108),0))</f>
        <v>0</v>
      </c>
      <c r="CV38" s="91">
        <f t="shared" si="507"/>
        <v>0</v>
      </c>
      <c r="CW38" s="91">
        <f t="shared" si="507"/>
        <v>0</v>
      </c>
      <c r="CX38" s="91">
        <f t="shared" si="507"/>
        <v>0</v>
      </c>
      <c r="CY38" s="91">
        <f t="shared" si="507"/>
        <v>0</v>
      </c>
      <c r="CZ38" s="91">
        <f t="shared" si="507"/>
        <v>0</v>
      </c>
      <c r="DA38" s="91">
        <f t="shared" si="507"/>
        <v>0</v>
      </c>
      <c r="DB38" s="91">
        <f t="shared" si="507"/>
        <v>0</v>
      </c>
      <c r="DC38" s="91">
        <f t="shared" si="507"/>
        <v>0</v>
      </c>
      <c r="DD38" s="91">
        <f t="shared" si="507"/>
        <v>0</v>
      </c>
      <c r="DE38" s="91">
        <f t="shared" ref="DE38:DN43" si="508">AND($G38="S-Curve")*IO38+OR($G38="Straight-Line",$G38="Detail",$E$120=1)*AND(DE$22&gt;=$E38,DE$22&lt;=$F38)*$K38/($F38-$E38+1)+($G38="Schedule")*$K38*(IFERROR(DF$108/SUM($T$108:$EU$108),0))</f>
        <v>0</v>
      </c>
      <c r="DF38" s="91">
        <f t="shared" si="508"/>
        <v>0</v>
      </c>
      <c r="DG38" s="91">
        <f t="shared" si="508"/>
        <v>0</v>
      </c>
      <c r="DH38" s="91">
        <f t="shared" si="508"/>
        <v>0</v>
      </c>
      <c r="DI38" s="91">
        <f t="shared" si="508"/>
        <v>0</v>
      </c>
      <c r="DJ38" s="91">
        <f t="shared" si="508"/>
        <v>0</v>
      </c>
      <c r="DK38" s="91">
        <f t="shared" si="508"/>
        <v>0</v>
      </c>
      <c r="DL38" s="91">
        <f t="shared" si="508"/>
        <v>0</v>
      </c>
      <c r="DM38" s="91">
        <f t="shared" si="508"/>
        <v>0</v>
      </c>
      <c r="DN38" s="91">
        <f t="shared" si="508"/>
        <v>0</v>
      </c>
      <c r="DO38" s="91">
        <f t="shared" ref="DO38:DX43" si="509">AND($G38="S-Curve")*IY38+OR($G38="Straight-Line",$G38="Detail",$E$120=1)*AND(DO$22&gt;=$E38,DO$22&lt;=$F38)*$K38/($F38-$E38+1)+($G38="Schedule")*$K38*(IFERROR(DP$108/SUM($T$108:$EU$108),0))</f>
        <v>0</v>
      </c>
      <c r="DP38" s="91">
        <f t="shared" si="509"/>
        <v>0</v>
      </c>
      <c r="DQ38" s="91">
        <f t="shared" si="509"/>
        <v>0</v>
      </c>
      <c r="DR38" s="91">
        <f t="shared" si="509"/>
        <v>0</v>
      </c>
      <c r="DS38" s="91">
        <f t="shared" si="509"/>
        <v>0</v>
      </c>
      <c r="DT38" s="91">
        <f t="shared" si="509"/>
        <v>0</v>
      </c>
      <c r="DU38" s="91">
        <f t="shared" si="509"/>
        <v>0</v>
      </c>
      <c r="DV38" s="91">
        <f t="shared" si="509"/>
        <v>0</v>
      </c>
      <c r="DW38" s="91">
        <f t="shared" si="509"/>
        <v>0</v>
      </c>
      <c r="DX38" s="91">
        <f t="shared" si="509"/>
        <v>0</v>
      </c>
      <c r="DY38" s="91">
        <f t="shared" ref="DY38:EH43" si="510">AND($G38="S-Curve")*JI38+OR($G38="Straight-Line",$G38="Detail",$E$120=1)*AND(DY$22&gt;=$E38,DY$22&lt;=$F38)*$K38/($F38-$E38+1)+($G38="Schedule")*$K38*(IFERROR(DZ$108/SUM($T$108:$EU$108),0))</f>
        <v>0</v>
      </c>
      <c r="DZ38" s="91">
        <f t="shared" si="510"/>
        <v>0</v>
      </c>
      <c r="EA38" s="91">
        <f t="shared" si="510"/>
        <v>0</v>
      </c>
      <c r="EB38" s="91">
        <f t="shared" si="510"/>
        <v>0</v>
      </c>
      <c r="EC38" s="91">
        <f t="shared" si="510"/>
        <v>0</v>
      </c>
      <c r="ED38" s="91">
        <f t="shared" si="510"/>
        <v>0</v>
      </c>
      <c r="EE38" s="91">
        <f t="shared" si="510"/>
        <v>0</v>
      </c>
      <c r="EF38" s="91">
        <f t="shared" si="510"/>
        <v>0</v>
      </c>
      <c r="EG38" s="91">
        <f t="shared" si="510"/>
        <v>0</v>
      </c>
      <c r="EH38" s="91">
        <f t="shared" si="510"/>
        <v>0</v>
      </c>
      <c r="EI38" s="91">
        <f t="shared" ref="EI38:ER43" si="511">AND($G38="S-Curve")*JS38+OR($G38="Straight-Line",$G38="Detail",$E$120=1)*AND(EI$22&gt;=$E38,EI$22&lt;=$F38)*$K38/($F38-$E38+1)+($G38="Schedule")*$K38*(IFERROR(EJ$108/SUM($T$108:$EU$108),0))</f>
        <v>0</v>
      </c>
      <c r="EJ38" s="91">
        <f t="shared" si="511"/>
        <v>0</v>
      </c>
      <c r="EK38" s="91">
        <f t="shared" si="511"/>
        <v>0</v>
      </c>
      <c r="EL38" s="91">
        <f t="shared" si="511"/>
        <v>0</v>
      </c>
      <c r="EM38" s="91">
        <f t="shared" si="511"/>
        <v>0</v>
      </c>
      <c r="EN38" s="91">
        <f t="shared" si="511"/>
        <v>0</v>
      </c>
      <c r="EO38" s="91">
        <f t="shared" si="511"/>
        <v>0</v>
      </c>
      <c r="EP38" s="91">
        <f t="shared" si="511"/>
        <v>0</v>
      </c>
      <c r="EQ38" s="91">
        <f t="shared" si="511"/>
        <v>0</v>
      </c>
      <c r="ER38" s="91">
        <f t="shared" si="511"/>
        <v>0</v>
      </c>
      <c r="ES38" s="91">
        <f t="shared" ref="ES38:EU43" si="512">AND($G38="S-Curve")*KC38+OR($G38="Straight-Line",$G38="Detail",$E$120=1)*AND(ES$22&gt;=$E38,ES$22&lt;=$F38)*$K38/($F38-$E38+1)+($G38="Schedule")*$K38*(IFERROR(ET$108/SUM($T$108:$EU$108),0))</f>
        <v>0</v>
      </c>
      <c r="ET38" s="91">
        <f t="shared" si="512"/>
        <v>0</v>
      </c>
      <c r="EU38" s="91">
        <f t="shared" si="512"/>
        <v>0</v>
      </c>
      <c r="EW38" s="207">
        <f>K38</f>
        <v>180000</v>
      </c>
      <c r="EX38" s="208">
        <f t="shared" ref="EX38:EY40" si="513">INDEX($S$23:$EU$23,1,E38+1)</f>
        <v>46081</v>
      </c>
      <c r="EY38" s="208">
        <f t="shared" si="513"/>
        <v>46599</v>
      </c>
      <c r="EZ38" s="209">
        <f>F38-E38+1</f>
        <v>18</v>
      </c>
      <c r="FA38" s="210">
        <f>EZ38/6</f>
        <v>3</v>
      </c>
      <c r="FC38" s="211">
        <f t="shared" ref="FC38:FL42" si="514">AND(FC$4&gt;=$EX38,FC$4&lt;=$EY38)*(_xlfn.NORM.DIST((YEAR(FC$4)-YEAR($EX38))*12+MONTH(FC$4)-MONTH($EX38)+1,$EZ38/2,$FA38,TRUE)-_xlfn.NORM.DIST((YEAR(FC$4)-YEAR($EX38))*12+MONTH(FC$4)-MONTH($EX38),$EZ38/2,$FA38,TRUE))/(1-2*_xlfn.NORM.DIST(0,$EZ38/2,$FA38,TRUE))*$EW38</f>
        <v>0</v>
      </c>
      <c r="FD38" s="211">
        <f t="shared" si="514"/>
        <v>447.69554313763774</v>
      </c>
      <c r="FE38" s="211">
        <f t="shared" si="514"/>
        <v>1080.2069895679497</v>
      </c>
      <c r="FF38" s="211">
        <f t="shared" si="514"/>
        <v>2334.5674535365674</v>
      </c>
      <c r="FG38" s="211">
        <f t="shared" si="514"/>
        <v>4519.4412280700717</v>
      </c>
      <c r="FH38" s="211">
        <f t="shared" si="514"/>
        <v>7836.9142116863895</v>
      </c>
      <c r="FI38" s="211">
        <f t="shared" si="514"/>
        <v>12172.790208088731</v>
      </c>
      <c r="FJ38" s="211">
        <f t="shared" si="514"/>
        <v>16936.435973952</v>
      </c>
      <c r="FK38" s="211">
        <f t="shared" si="514"/>
        <v>21107.771151730965</v>
      </c>
      <c r="FL38" s="211">
        <f t="shared" si="514"/>
        <v>23564.177240229688</v>
      </c>
      <c r="FM38" s="211">
        <f t="shared" ref="FM38:FV42" si="515">AND(FM$4&gt;=$EX38,FM$4&lt;=$EY38)*(_xlfn.NORM.DIST((YEAR(FM$4)-YEAR($EX38))*12+MONTH(FM$4)-MONTH($EX38)+1,$EZ38/2,$FA38,TRUE)-_xlfn.NORM.DIST((YEAR(FM$4)-YEAR($EX38))*12+MONTH(FM$4)-MONTH($EX38),$EZ38/2,$FA38,TRUE))/(1-2*_xlfn.NORM.DIST(0,$EZ38/2,$FA38,TRUE))*$EW38</f>
        <v>23564.177240229699</v>
      </c>
      <c r="FN38" s="211">
        <f t="shared" si="515"/>
        <v>21107.771151730954</v>
      </c>
      <c r="FO38" s="211">
        <f t="shared" si="515"/>
        <v>16936.435973952004</v>
      </c>
      <c r="FP38" s="211">
        <f t="shared" si="515"/>
        <v>12172.790208088725</v>
      </c>
      <c r="FQ38" s="211">
        <f t="shared" si="515"/>
        <v>7836.9142116863914</v>
      </c>
      <c r="FR38" s="211">
        <f t="shared" si="515"/>
        <v>4519.4412280700672</v>
      </c>
      <c r="FS38" s="211">
        <f t="shared" si="515"/>
        <v>2334.5674535365742</v>
      </c>
      <c r="FT38" s="211">
        <f t="shared" si="515"/>
        <v>1080.2069895679388</v>
      </c>
      <c r="FU38" s="211">
        <f t="shared" si="515"/>
        <v>447.69554313764303</v>
      </c>
      <c r="FV38" s="211">
        <f t="shared" si="515"/>
        <v>0</v>
      </c>
      <c r="FW38" s="211">
        <f t="shared" ref="FW38:GF42" si="516">AND(FW$4&gt;=$EX38,FW$4&lt;=$EY38)*(_xlfn.NORM.DIST((YEAR(FW$4)-YEAR($EX38))*12+MONTH(FW$4)-MONTH($EX38)+1,$EZ38/2,$FA38,TRUE)-_xlfn.NORM.DIST((YEAR(FW$4)-YEAR($EX38))*12+MONTH(FW$4)-MONTH($EX38),$EZ38/2,$FA38,TRUE))/(1-2*_xlfn.NORM.DIST(0,$EZ38/2,$FA38,TRUE))*$EW38</f>
        <v>0</v>
      </c>
      <c r="FX38" s="211">
        <f t="shared" si="516"/>
        <v>0</v>
      </c>
      <c r="FY38" s="211">
        <f t="shared" si="516"/>
        <v>0</v>
      </c>
      <c r="FZ38" s="211">
        <f t="shared" si="516"/>
        <v>0</v>
      </c>
      <c r="GA38" s="211">
        <f t="shared" si="516"/>
        <v>0</v>
      </c>
      <c r="GB38" s="211">
        <f t="shared" si="516"/>
        <v>0</v>
      </c>
      <c r="GC38" s="211">
        <f t="shared" si="516"/>
        <v>0</v>
      </c>
      <c r="GD38" s="211">
        <f t="shared" si="516"/>
        <v>0</v>
      </c>
      <c r="GE38" s="211">
        <f t="shared" si="516"/>
        <v>0</v>
      </c>
      <c r="GF38" s="211">
        <f t="shared" si="516"/>
        <v>0</v>
      </c>
      <c r="GG38" s="211">
        <f t="shared" ref="GG38:GP42" si="517">AND(GG$4&gt;=$EX38,GG$4&lt;=$EY38)*(_xlfn.NORM.DIST((YEAR(GG$4)-YEAR($EX38))*12+MONTH(GG$4)-MONTH($EX38)+1,$EZ38/2,$FA38,TRUE)-_xlfn.NORM.DIST((YEAR(GG$4)-YEAR($EX38))*12+MONTH(GG$4)-MONTH($EX38),$EZ38/2,$FA38,TRUE))/(1-2*_xlfn.NORM.DIST(0,$EZ38/2,$FA38,TRUE))*$EW38</f>
        <v>0</v>
      </c>
      <c r="GH38" s="211">
        <f t="shared" si="517"/>
        <v>0</v>
      </c>
      <c r="GI38" s="211">
        <f t="shared" si="517"/>
        <v>0</v>
      </c>
      <c r="GJ38" s="211">
        <f t="shared" si="517"/>
        <v>0</v>
      </c>
      <c r="GK38" s="211">
        <f t="shared" si="517"/>
        <v>0</v>
      </c>
      <c r="GL38" s="211">
        <f t="shared" si="517"/>
        <v>0</v>
      </c>
      <c r="GM38" s="211">
        <f t="shared" si="517"/>
        <v>0</v>
      </c>
      <c r="GN38" s="211">
        <f t="shared" si="517"/>
        <v>0</v>
      </c>
      <c r="GO38" s="211">
        <f t="shared" si="517"/>
        <v>0</v>
      </c>
      <c r="GP38" s="211">
        <f t="shared" si="517"/>
        <v>0</v>
      </c>
      <c r="GQ38" s="211">
        <f t="shared" ref="GQ38:GZ42" si="518">AND(GQ$4&gt;=$EX38,GQ$4&lt;=$EY38)*(_xlfn.NORM.DIST((YEAR(GQ$4)-YEAR($EX38))*12+MONTH(GQ$4)-MONTH($EX38)+1,$EZ38/2,$FA38,TRUE)-_xlfn.NORM.DIST((YEAR(GQ$4)-YEAR($EX38))*12+MONTH(GQ$4)-MONTH($EX38),$EZ38/2,$FA38,TRUE))/(1-2*_xlfn.NORM.DIST(0,$EZ38/2,$FA38,TRUE))*$EW38</f>
        <v>0</v>
      </c>
      <c r="GR38" s="211">
        <f t="shared" si="518"/>
        <v>0</v>
      </c>
      <c r="GS38" s="211">
        <f t="shared" si="518"/>
        <v>0</v>
      </c>
      <c r="GT38" s="211">
        <f t="shared" si="518"/>
        <v>0</v>
      </c>
      <c r="GU38" s="211">
        <f t="shared" si="518"/>
        <v>0</v>
      </c>
      <c r="GV38" s="211">
        <f t="shared" si="518"/>
        <v>0</v>
      </c>
      <c r="GW38" s="211">
        <f t="shared" si="518"/>
        <v>0</v>
      </c>
      <c r="GX38" s="211">
        <f t="shared" si="518"/>
        <v>0</v>
      </c>
      <c r="GY38" s="211">
        <f t="shared" si="518"/>
        <v>0</v>
      </c>
      <c r="GZ38" s="211">
        <f t="shared" si="518"/>
        <v>0</v>
      </c>
      <c r="HA38" s="211">
        <f t="shared" ref="HA38:HJ42" si="519">AND(HA$4&gt;=$EX38,HA$4&lt;=$EY38)*(_xlfn.NORM.DIST((YEAR(HA$4)-YEAR($EX38))*12+MONTH(HA$4)-MONTH($EX38)+1,$EZ38/2,$FA38,TRUE)-_xlfn.NORM.DIST((YEAR(HA$4)-YEAR($EX38))*12+MONTH(HA$4)-MONTH($EX38),$EZ38/2,$FA38,TRUE))/(1-2*_xlfn.NORM.DIST(0,$EZ38/2,$FA38,TRUE))*$EW38</f>
        <v>0</v>
      </c>
      <c r="HB38" s="211">
        <f t="shared" si="519"/>
        <v>0</v>
      </c>
      <c r="HC38" s="211">
        <f t="shared" si="519"/>
        <v>0</v>
      </c>
      <c r="HD38" s="211">
        <f t="shared" si="519"/>
        <v>0</v>
      </c>
      <c r="HE38" s="211">
        <f t="shared" si="519"/>
        <v>0</v>
      </c>
      <c r="HF38" s="211">
        <f t="shared" si="519"/>
        <v>0</v>
      </c>
      <c r="HG38" s="211">
        <f t="shared" si="519"/>
        <v>0</v>
      </c>
      <c r="HH38" s="211">
        <f t="shared" si="519"/>
        <v>0</v>
      </c>
      <c r="HI38" s="211">
        <f t="shared" si="519"/>
        <v>0</v>
      </c>
      <c r="HJ38" s="211">
        <f t="shared" si="519"/>
        <v>0</v>
      </c>
      <c r="HK38" s="211">
        <f t="shared" ref="HK38:HT42" si="520">AND(HK$4&gt;=$EX38,HK$4&lt;=$EY38)*(_xlfn.NORM.DIST((YEAR(HK$4)-YEAR($EX38))*12+MONTH(HK$4)-MONTH($EX38)+1,$EZ38/2,$FA38,TRUE)-_xlfn.NORM.DIST((YEAR(HK$4)-YEAR($EX38))*12+MONTH(HK$4)-MONTH($EX38),$EZ38/2,$FA38,TRUE))/(1-2*_xlfn.NORM.DIST(0,$EZ38/2,$FA38,TRUE))*$EW38</f>
        <v>0</v>
      </c>
      <c r="HL38" s="211">
        <f t="shared" si="520"/>
        <v>0</v>
      </c>
      <c r="HM38" s="211">
        <f t="shared" si="520"/>
        <v>0</v>
      </c>
      <c r="HN38" s="211">
        <f t="shared" si="520"/>
        <v>0</v>
      </c>
      <c r="HO38" s="211">
        <f t="shared" si="520"/>
        <v>0</v>
      </c>
      <c r="HP38" s="211">
        <f t="shared" si="520"/>
        <v>0</v>
      </c>
      <c r="HQ38" s="211">
        <f t="shared" si="520"/>
        <v>0</v>
      </c>
      <c r="HR38" s="211">
        <f t="shared" si="520"/>
        <v>0</v>
      </c>
      <c r="HS38" s="211">
        <f t="shared" si="520"/>
        <v>0</v>
      </c>
      <c r="HT38" s="211">
        <f t="shared" si="520"/>
        <v>0</v>
      </c>
      <c r="HU38" s="211">
        <f t="shared" ref="HU38:ID42" si="521">AND(HU$4&gt;=$EX38,HU$4&lt;=$EY38)*(_xlfn.NORM.DIST((YEAR(HU$4)-YEAR($EX38))*12+MONTH(HU$4)-MONTH($EX38)+1,$EZ38/2,$FA38,TRUE)-_xlfn.NORM.DIST((YEAR(HU$4)-YEAR($EX38))*12+MONTH(HU$4)-MONTH($EX38),$EZ38/2,$FA38,TRUE))/(1-2*_xlfn.NORM.DIST(0,$EZ38/2,$FA38,TRUE))*$EW38</f>
        <v>0</v>
      </c>
      <c r="HV38" s="211">
        <f t="shared" si="521"/>
        <v>0</v>
      </c>
      <c r="HW38" s="211">
        <f t="shared" si="521"/>
        <v>0</v>
      </c>
      <c r="HX38" s="211">
        <f t="shared" si="521"/>
        <v>0</v>
      </c>
      <c r="HY38" s="211">
        <f t="shared" si="521"/>
        <v>0</v>
      </c>
      <c r="HZ38" s="211">
        <f t="shared" si="521"/>
        <v>0</v>
      </c>
      <c r="IA38" s="211">
        <f t="shared" si="521"/>
        <v>0</v>
      </c>
      <c r="IB38" s="211">
        <f t="shared" si="521"/>
        <v>0</v>
      </c>
      <c r="IC38" s="211">
        <f t="shared" si="521"/>
        <v>0</v>
      </c>
      <c r="ID38" s="211">
        <f t="shared" si="521"/>
        <v>0</v>
      </c>
      <c r="IE38" s="211">
        <f t="shared" ref="IE38:IN42" si="522">AND(IE$4&gt;=$EX38,IE$4&lt;=$EY38)*(_xlfn.NORM.DIST((YEAR(IE$4)-YEAR($EX38))*12+MONTH(IE$4)-MONTH($EX38)+1,$EZ38/2,$FA38,TRUE)-_xlfn.NORM.DIST((YEAR(IE$4)-YEAR($EX38))*12+MONTH(IE$4)-MONTH($EX38),$EZ38/2,$FA38,TRUE))/(1-2*_xlfn.NORM.DIST(0,$EZ38/2,$FA38,TRUE))*$EW38</f>
        <v>0</v>
      </c>
      <c r="IF38" s="211">
        <f t="shared" si="522"/>
        <v>0</v>
      </c>
      <c r="IG38" s="211">
        <f t="shared" si="522"/>
        <v>0</v>
      </c>
      <c r="IH38" s="211">
        <f t="shared" si="522"/>
        <v>0</v>
      </c>
      <c r="II38" s="211">
        <f t="shared" si="522"/>
        <v>0</v>
      </c>
      <c r="IJ38" s="211">
        <f t="shared" si="522"/>
        <v>0</v>
      </c>
      <c r="IK38" s="211">
        <f t="shared" si="522"/>
        <v>0</v>
      </c>
      <c r="IL38" s="211">
        <f t="shared" si="522"/>
        <v>0</v>
      </c>
      <c r="IM38" s="211">
        <f t="shared" si="522"/>
        <v>0</v>
      </c>
      <c r="IN38" s="211">
        <f t="shared" si="522"/>
        <v>0</v>
      </c>
      <c r="IO38" s="211">
        <f t="shared" ref="IO38:IX42" si="523">AND(IO$4&gt;=$EX38,IO$4&lt;=$EY38)*(_xlfn.NORM.DIST((YEAR(IO$4)-YEAR($EX38))*12+MONTH(IO$4)-MONTH($EX38)+1,$EZ38/2,$FA38,TRUE)-_xlfn.NORM.DIST((YEAR(IO$4)-YEAR($EX38))*12+MONTH(IO$4)-MONTH($EX38),$EZ38/2,$FA38,TRUE))/(1-2*_xlfn.NORM.DIST(0,$EZ38/2,$FA38,TRUE))*$EW38</f>
        <v>0</v>
      </c>
      <c r="IP38" s="211">
        <f t="shared" si="523"/>
        <v>0</v>
      </c>
      <c r="IQ38" s="211">
        <f t="shared" si="523"/>
        <v>0</v>
      </c>
      <c r="IR38" s="211">
        <f t="shared" si="523"/>
        <v>0</v>
      </c>
      <c r="IS38" s="211">
        <f t="shared" si="523"/>
        <v>0</v>
      </c>
      <c r="IT38" s="211">
        <f t="shared" si="523"/>
        <v>0</v>
      </c>
      <c r="IU38" s="211">
        <f t="shared" si="523"/>
        <v>0</v>
      </c>
      <c r="IV38" s="211">
        <f t="shared" si="523"/>
        <v>0</v>
      </c>
      <c r="IW38" s="211">
        <f t="shared" si="523"/>
        <v>0</v>
      </c>
      <c r="IX38" s="211">
        <f t="shared" si="523"/>
        <v>0</v>
      </c>
      <c r="IY38" s="211">
        <f t="shared" ref="IY38:JH42" si="524">AND(IY$4&gt;=$EX38,IY$4&lt;=$EY38)*(_xlfn.NORM.DIST((YEAR(IY$4)-YEAR($EX38))*12+MONTH(IY$4)-MONTH($EX38)+1,$EZ38/2,$FA38,TRUE)-_xlfn.NORM.DIST((YEAR(IY$4)-YEAR($EX38))*12+MONTH(IY$4)-MONTH($EX38),$EZ38/2,$FA38,TRUE))/(1-2*_xlfn.NORM.DIST(0,$EZ38/2,$FA38,TRUE))*$EW38</f>
        <v>0</v>
      </c>
      <c r="IZ38" s="211">
        <f t="shared" si="524"/>
        <v>0</v>
      </c>
      <c r="JA38" s="211">
        <f t="shared" si="524"/>
        <v>0</v>
      </c>
      <c r="JB38" s="211">
        <f t="shared" si="524"/>
        <v>0</v>
      </c>
      <c r="JC38" s="211">
        <f t="shared" si="524"/>
        <v>0</v>
      </c>
      <c r="JD38" s="211">
        <f t="shared" si="524"/>
        <v>0</v>
      </c>
      <c r="JE38" s="211">
        <f t="shared" si="524"/>
        <v>0</v>
      </c>
      <c r="JF38" s="211">
        <f t="shared" si="524"/>
        <v>0</v>
      </c>
      <c r="JG38" s="211">
        <f t="shared" si="524"/>
        <v>0</v>
      </c>
      <c r="JH38" s="211">
        <f t="shared" si="524"/>
        <v>0</v>
      </c>
      <c r="JI38" s="211">
        <f t="shared" ref="JI38:JR42" si="525">AND(JI$4&gt;=$EX38,JI$4&lt;=$EY38)*(_xlfn.NORM.DIST((YEAR(JI$4)-YEAR($EX38))*12+MONTH(JI$4)-MONTH($EX38)+1,$EZ38/2,$FA38,TRUE)-_xlfn.NORM.DIST((YEAR(JI$4)-YEAR($EX38))*12+MONTH(JI$4)-MONTH($EX38),$EZ38/2,$FA38,TRUE))/(1-2*_xlfn.NORM.DIST(0,$EZ38/2,$FA38,TRUE))*$EW38</f>
        <v>0</v>
      </c>
      <c r="JJ38" s="211">
        <f t="shared" si="525"/>
        <v>0</v>
      </c>
      <c r="JK38" s="211">
        <f t="shared" si="525"/>
        <v>0</v>
      </c>
      <c r="JL38" s="211">
        <f t="shared" si="525"/>
        <v>0</v>
      </c>
      <c r="JM38" s="211">
        <f t="shared" si="525"/>
        <v>0</v>
      </c>
      <c r="JN38" s="211">
        <f t="shared" si="525"/>
        <v>0</v>
      </c>
      <c r="JO38" s="211">
        <f t="shared" si="525"/>
        <v>0</v>
      </c>
      <c r="JP38" s="211">
        <f t="shared" si="525"/>
        <v>0</v>
      </c>
      <c r="JQ38" s="211">
        <f t="shared" si="525"/>
        <v>0</v>
      </c>
      <c r="JR38" s="211">
        <f t="shared" si="525"/>
        <v>0</v>
      </c>
      <c r="JS38" s="211">
        <f t="shared" ref="JS38:KE42" si="526">AND(JS$4&gt;=$EX38,JS$4&lt;=$EY38)*(_xlfn.NORM.DIST((YEAR(JS$4)-YEAR($EX38))*12+MONTH(JS$4)-MONTH($EX38)+1,$EZ38/2,$FA38,TRUE)-_xlfn.NORM.DIST((YEAR(JS$4)-YEAR($EX38))*12+MONTH(JS$4)-MONTH($EX38),$EZ38/2,$FA38,TRUE))/(1-2*_xlfn.NORM.DIST(0,$EZ38/2,$FA38,TRUE))*$EW38</f>
        <v>0</v>
      </c>
      <c r="JT38" s="211">
        <f t="shared" si="526"/>
        <v>0</v>
      </c>
      <c r="JU38" s="211">
        <f t="shared" si="526"/>
        <v>0</v>
      </c>
      <c r="JV38" s="211">
        <f t="shared" si="526"/>
        <v>0</v>
      </c>
      <c r="JW38" s="211">
        <f t="shared" si="526"/>
        <v>0</v>
      </c>
      <c r="JX38" s="211">
        <f t="shared" si="526"/>
        <v>0</v>
      </c>
      <c r="JY38" s="211">
        <f t="shared" si="526"/>
        <v>0</v>
      </c>
      <c r="JZ38" s="211">
        <f t="shared" si="526"/>
        <v>0</v>
      </c>
      <c r="KA38" s="211">
        <f t="shared" si="526"/>
        <v>0</v>
      </c>
      <c r="KB38" s="211">
        <f t="shared" si="526"/>
        <v>0</v>
      </c>
      <c r="KC38" s="211">
        <f t="shared" si="526"/>
        <v>0</v>
      </c>
      <c r="KD38" s="211">
        <f t="shared" si="526"/>
        <v>0</v>
      </c>
      <c r="KE38" s="211">
        <f t="shared" si="526"/>
        <v>0</v>
      </c>
      <c r="KG38" s="207"/>
      <c r="KH38" s="208"/>
      <c r="KI38" s="208"/>
      <c r="KJ38" s="209"/>
      <c r="KK38" s="210"/>
      <c r="KM38" s="211"/>
      <c r="KN38" s="211"/>
      <c r="KO38" s="211"/>
      <c r="KP38" s="211"/>
      <c r="KQ38" s="211"/>
      <c r="KR38" s="211"/>
      <c r="KS38" s="211"/>
      <c r="KT38" s="211"/>
      <c r="KU38" s="211"/>
      <c r="KV38" s="211"/>
      <c r="KW38" s="211"/>
      <c r="KX38" s="211"/>
      <c r="KY38" s="211"/>
      <c r="KZ38" s="211"/>
      <c r="LA38" s="211"/>
      <c r="LB38" s="211"/>
      <c r="LC38" s="211"/>
      <c r="LD38" s="211"/>
      <c r="LE38" s="211"/>
      <c r="LF38" s="211"/>
      <c r="LG38" s="211"/>
      <c r="LH38" s="211"/>
      <c r="LI38" s="211"/>
      <c r="LJ38" s="211"/>
      <c r="LK38" s="211"/>
      <c r="LL38" s="211"/>
      <c r="LM38" s="211"/>
      <c r="LN38" s="211"/>
      <c r="LO38" s="211"/>
      <c r="LP38" s="211"/>
      <c r="LQ38" s="211"/>
      <c r="LR38" s="211"/>
      <c r="LS38" s="211"/>
      <c r="LT38" s="211"/>
      <c r="LU38" s="211"/>
      <c r="LV38" s="211"/>
      <c r="LW38" s="211"/>
      <c r="LX38" s="211"/>
      <c r="LY38" s="211"/>
      <c r="LZ38" s="211"/>
      <c r="MA38" s="211"/>
      <c r="MB38" s="211"/>
      <c r="MC38" s="211"/>
      <c r="MD38" s="211"/>
      <c r="ME38" s="211"/>
      <c r="MF38" s="211"/>
      <c r="MG38" s="211"/>
      <c r="MH38" s="211"/>
      <c r="MI38" s="211"/>
      <c r="MJ38" s="211"/>
      <c r="MK38" s="211"/>
      <c r="ML38" s="211"/>
      <c r="MM38" s="211"/>
      <c r="MN38" s="211"/>
      <c r="MO38" s="211"/>
      <c r="MP38" s="211"/>
      <c r="MQ38" s="211"/>
      <c r="MR38" s="211"/>
      <c r="MS38" s="211"/>
      <c r="MT38" s="211"/>
      <c r="MU38" s="211"/>
      <c r="MV38" s="211"/>
      <c r="MW38" s="211"/>
      <c r="MX38" s="211"/>
      <c r="MY38" s="211"/>
      <c r="MZ38" s="211"/>
      <c r="NA38" s="211"/>
      <c r="NB38" s="211"/>
      <c r="NC38" s="211"/>
      <c r="ND38" s="211"/>
      <c r="NE38" s="211"/>
      <c r="NF38" s="211"/>
      <c r="NG38" s="211"/>
      <c r="NH38" s="211"/>
      <c r="NI38" s="211"/>
      <c r="NJ38" s="211"/>
      <c r="NK38" s="211"/>
      <c r="NL38" s="211"/>
      <c r="NM38" s="211"/>
      <c r="NN38" s="211"/>
      <c r="NO38" s="211"/>
      <c r="NP38" s="211"/>
      <c r="NQ38" s="211"/>
      <c r="NR38" s="211"/>
      <c r="NS38" s="211"/>
      <c r="NT38" s="211"/>
      <c r="NU38" s="211"/>
      <c r="NV38" s="211"/>
      <c r="NW38" s="211"/>
      <c r="NX38" s="211"/>
      <c r="NY38" s="211"/>
      <c r="NZ38" s="211"/>
      <c r="OA38" s="211"/>
      <c r="OB38" s="211"/>
      <c r="OC38" s="211"/>
      <c r="OD38" s="211"/>
      <c r="OE38" s="211"/>
      <c r="OF38" s="211"/>
      <c r="OG38" s="211"/>
      <c r="OH38" s="211"/>
      <c r="OI38" s="211"/>
      <c r="OJ38" s="211"/>
      <c r="OK38" s="211"/>
      <c r="OL38" s="211"/>
      <c r="OM38" s="211"/>
      <c r="ON38" s="211"/>
      <c r="OO38" s="211"/>
      <c r="OP38" s="211"/>
      <c r="OQ38" s="211"/>
      <c r="OR38" s="211"/>
      <c r="OS38" s="211"/>
      <c r="OT38" s="211"/>
      <c r="OU38" s="211"/>
      <c r="OV38" s="211"/>
      <c r="OW38" s="211"/>
      <c r="OX38" s="211"/>
      <c r="OY38" s="211"/>
      <c r="OZ38" s="211"/>
      <c r="PA38" s="211"/>
      <c r="PB38" s="211"/>
      <c r="PC38" s="211"/>
      <c r="PD38" s="211"/>
      <c r="PE38" s="211"/>
      <c r="PF38" s="211"/>
      <c r="PG38" s="211"/>
      <c r="PH38" s="211"/>
      <c r="PI38" s="211"/>
      <c r="PJ38" s="211"/>
      <c r="PK38" s="211"/>
      <c r="PL38" s="211"/>
      <c r="PM38" s="211"/>
      <c r="PN38" s="211"/>
      <c r="PO38" s="211"/>
      <c r="PQ38" s="201"/>
      <c r="PR38" s="201"/>
      <c r="PS38" s="201"/>
      <c r="PT38" s="201"/>
      <c r="PU38" s="201"/>
      <c r="PV38" s="201"/>
      <c r="PW38" s="201"/>
      <c r="PX38" s="201"/>
      <c r="PY38" s="201"/>
      <c r="PZ38" s="201"/>
      <c r="QA38" s="201"/>
      <c r="QB38" s="201"/>
      <c r="QC38" s="201"/>
      <c r="QD38" s="201"/>
      <c r="QE38" s="201"/>
      <c r="QF38" s="201"/>
      <c r="QG38" s="201"/>
      <c r="QH38" s="201"/>
      <c r="QI38" s="201"/>
      <c r="QJ38" s="201"/>
      <c r="QK38" s="201"/>
      <c r="QL38" s="201"/>
      <c r="QM38" s="201"/>
      <c r="QN38" s="201"/>
      <c r="QO38" s="201"/>
      <c r="QP38" s="201"/>
      <c r="QQ38" s="201"/>
      <c r="QR38" s="201"/>
      <c r="QS38" s="201"/>
      <c r="QT38" s="201"/>
      <c r="QU38" s="201"/>
      <c r="QV38" s="201"/>
      <c r="QW38" s="201"/>
      <c r="QX38" s="201"/>
      <c r="QY38" s="201"/>
      <c r="QZ38" s="201"/>
      <c r="RA38" s="201"/>
      <c r="RB38" s="201"/>
      <c r="RC38" s="201"/>
      <c r="RD38" s="201"/>
      <c r="RE38" s="201"/>
      <c r="RF38" s="201"/>
      <c r="RG38" s="201"/>
      <c r="RH38" s="201"/>
      <c r="RI38" s="201"/>
      <c r="RJ38" s="201"/>
      <c r="RK38" s="201"/>
      <c r="RL38" s="201"/>
      <c r="RM38" s="201"/>
      <c r="RN38" s="201"/>
      <c r="RO38" s="201"/>
      <c r="RP38" s="201"/>
      <c r="RQ38" s="201"/>
      <c r="RR38" s="201"/>
      <c r="RS38" s="201"/>
      <c r="RT38" s="201"/>
      <c r="RU38" s="201"/>
      <c r="RV38" s="201"/>
      <c r="RW38" s="201"/>
      <c r="RX38" s="201"/>
      <c r="RY38" s="201"/>
      <c r="RZ38" s="201"/>
      <c r="SA38" s="201"/>
      <c r="SB38" s="201"/>
      <c r="SC38" s="201"/>
      <c r="SD38" s="201"/>
      <c r="SE38" s="201"/>
      <c r="SF38" s="201"/>
      <c r="SG38" s="201"/>
      <c r="SH38" s="201"/>
      <c r="SI38" s="201"/>
      <c r="SJ38" s="201"/>
      <c r="SK38" s="201"/>
      <c r="SL38" s="201"/>
      <c r="SM38" s="201"/>
      <c r="SN38" s="201"/>
      <c r="SO38" s="201"/>
      <c r="SP38" s="201"/>
      <c r="SQ38" s="201"/>
      <c r="SR38" s="201"/>
      <c r="SS38" s="201"/>
      <c r="ST38" s="201"/>
      <c r="SU38" s="201"/>
      <c r="SV38" s="201"/>
      <c r="SW38" s="201"/>
      <c r="SX38" s="201"/>
      <c r="SY38" s="201"/>
      <c r="SZ38" s="201"/>
      <c r="TA38" s="201"/>
      <c r="TB38" s="201"/>
      <c r="TC38" s="201"/>
      <c r="TD38" s="201"/>
      <c r="TE38" s="201"/>
      <c r="TF38" s="201"/>
      <c r="TG38" s="201"/>
      <c r="TH38" s="201"/>
      <c r="TI38" s="201"/>
      <c r="TJ38" s="201"/>
      <c r="TK38" s="201"/>
      <c r="TL38" s="201"/>
      <c r="TM38" s="201"/>
      <c r="TN38" s="201"/>
      <c r="TO38" s="201"/>
      <c r="TP38" s="201"/>
      <c r="TQ38" s="201"/>
      <c r="TR38" s="201"/>
      <c r="TS38" s="201"/>
      <c r="TT38" s="201"/>
      <c r="TU38" s="201"/>
      <c r="TV38" s="201"/>
      <c r="TW38" s="201"/>
      <c r="TX38" s="201"/>
      <c r="TY38" s="201"/>
      <c r="TZ38" s="201"/>
      <c r="UA38" s="201"/>
      <c r="UB38" s="201"/>
      <c r="UC38" s="201"/>
      <c r="UD38" s="201"/>
      <c r="UE38" s="201"/>
      <c r="UF38" s="201"/>
      <c r="UG38" s="201"/>
      <c r="UH38" s="201"/>
      <c r="UI38" s="201"/>
      <c r="UJ38" s="201"/>
      <c r="UK38" s="201"/>
      <c r="UL38" s="201"/>
      <c r="UM38" s="201"/>
      <c r="UN38" s="201"/>
      <c r="UO38" s="201"/>
      <c r="UP38" s="201"/>
      <c r="UQ38" s="201"/>
      <c r="UR38" s="201"/>
      <c r="US38" s="201"/>
      <c r="UT38" s="201"/>
      <c r="UU38" s="201"/>
    </row>
    <row r="39" spans="1:567" x14ac:dyDescent="0.25">
      <c r="B39" s="31" t="s">
        <v>39</v>
      </c>
      <c r="C39" s="26"/>
      <c r="D39" s="26"/>
      <c r="E39" s="32">
        <v>1</v>
      </c>
      <c r="F39" s="32">
        <v>18</v>
      </c>
      <c r="G39" s="19" t="s">
        <v>602</v>
      </c>
      <c r="H39" s="32"/>
      <c r="I39" s="33">
        <f t="shared" si="496"/>
        <v>0.26785714285714285</v>
      </c>
      <c r="J39" s="34">
        <f t="shared" si="497"/>
        <v>225</v>
      </c>
      <c r="K39" s="35">
        <f>+K35*0.015</f>
        <v>67500</v>
      </c>
      <c r="M39" s="3" t="s">
        <v>830</v>
      </c>
      <c r="R39" s="90" t="str">
        <f t="shared" si="498"/>
        <v>OK</v>
      </c>
      <c r="S39" s="91">
        <f t="shared" si="499"/>
        <v>2812.4999999999995</v>
      </c>
      <c r="T39" s="91">
        <f t="shared" si="499"/>
        <v>2812.4999999999995</v>
      </c>
      <c r="U39" s="91">
        <f t="shared" si="499"/>
        <v>2812.5</v>
      </c>
      <c r="V39" s="91">
        <f t="shared" si="499"/>
        <v>2812.4999999999986</v>
      </c>
      <c r="W39" s="91">
        <f t="shared" si="499"/>
        <v>2812.5000000000009</v>
      </c>
      <c r="X39" s="91">
        <f t="shared" si="499"/>
        <v>2812.4999999999986</v>
      </c>
      <c r="Y39" s="91">
        <f t="shared" si="499"/>
        <v>2812.5000000000009</v>
      </c>
      <c r="Z39" s="91">
        <f t="shared" si="499"/>
        <v>2812.4999999999968</v>
      </c>
      <c r="AA39" s="91">
        <f t="shared" si="499"/>
        <v>2812.5000000000009</v>
      </c>
      <c r="AB39" s="91">
        <f t="shared" si="499"/>
        <v>2812.5000000000009</v>
      </c>
      <c r="AC39" s="91">
        <f t="shared" si="500"/>
        <v>2812.4999999999968</v>
      </c>
      <c r="AD39" s="91">
        <f t="shared" si="500"/>
        <v>2812.5000000000009</v>
      </c>
      <c r="AE39" s="91">
        <f t="shared" si="500"/>
        <v>2812.4999999999968</v>
      </c>
      <c r="AF39" s="91">
        <f t="shared" si="500"/>
        <v>2812.5000000000041</v>
      </c>
      <c r="AG39" s="91">
        <f t="shared" si="500"/>
        <v>2812.4999999999968</v>
      </c>
      <c r="AH39" s="91">
        <f t="shared" si="500"/>
        <v>2812.4999999999968</v>
      </c>
      <c r="AI39" s="91">
        <f t="shared" si="500"/>
        <v>2812.5000000000041</v>
      </c>
      <c r="AJ39" s="91">
        <f t="shared" si="500"/>
        <v>2812.4999999999968</v>
      </c>
      <c r="AK39" s="91">
        <f t="shared" si="500"/>
        <v>2812.4999999999968</v>
      </c>
      <c r="AL39" s="91">
        <f t="shared" si="500"/>
        <v>2812.5000000000041</v>
      </c>
      <c r="AM39" s="91">
        <f t="shared" si="501"/>
        <v>2812.4999999999968</v>
      </c>
      <c r="AN39" s="91">
        <f t="shared" si="501"/>
        <v>2812.4999999999968</v>
      </c>
      <c r="AO39" s="91">
        <f t="shared" si="501"/>
        <v>2812.5000000000041</v>
      </c>
      <c r="AP39" s="91">
        <f t="shared" si="501"/>
        <v>2812.4999999999968</v>
      </c>
      <c r="AQ39" s="91">
        <f t="shared" si="501"/>
        <v>0</v>
      </c>
      <c r="AR39" s="91">
        <f t="shared" si="501"/>
        <v>0</v>
      </c>
      <c r="AS39" s="91">
        <f t="shared" si="501"/>
        <v>0</v>
      </c>
      <c r="AT39" s="91">
        <f t="shared" si="501"/>
        <v>0</v>
      </c>
      <c r="AU39" s="91">
        <f t="shared" si="501"/>
        <v>0</v>
      </c>
      <c r="AV39" s="91">
        <f t="shared" si="501"/>
        <v>0</v>
      </c>
      <c r="AW39" s="91">
        <f t="shared" si="502"/>
        <v>0</v>
      </c>
      <c r="AX39" s="91">
        <f t="shared" si="502"/>
        <v>0</v>
      </c>
      <c r="AY39" s="91">
        <f t="shared" si="502"/>
        <v>0</v>
      </c>
      <c r="AZ39" s="91">
        <f t="shared" si="502"/>
        <v>0</v>
      </c>
      <c r="BA39" s="91">
        <f t="shared" si="502"/>
        <v>0</v>
      </c>
      <c r="BB39" s="91">
        <f t="shared" si="502"/>
        <v>0</v>
      </c>
      <c r="BC39" s="91">
        <f t="shared" si="502"/>
        <v>0</v>
      </c>
      <c r="BD39" s="91">
        <f t="shared" si="502"/>
        <v>0</v>
      </c>
      <c r="BE39" s="91">
        <f t="shared" si="502"/>
        <v>0</v>
      </c>
      <c r="BF39" s="91">
        <f t="shared" si="502"/>
        <v>0</v>
      </c>
      <c r="BG39" s="91">
        <f t="shared" si="503"/>
        <v>0</v>
      </c>
      <c r="BH39" s="91">
        <f t="shared" si="503"/>
        <v>0</v>
      </c>
      <c r="BI39" s="91">
        <f t="shared" si="503"/>
        <v>0</v>
      </c>
      <c r="BJ39" s="91">
        <f t="shared" si="503"/>
        <v>0</v>
      </c>
      <c r="BK39" s="91">
        <f t="shared" si="503"/>
        <v>0</v>
      </c>
      <c r="BL39" s="91">
        <f t="shared" si="503"/>
        <v>0</v>
      </c>
      <c r="BM39" s="91">
        <f t="shared" si="503"/>
        <v>0</v>
      </c>
      <c r="BN39" s="91">
        <f t="shared" si="503"/>
        <v>0</v>
      </c>
      <c r="BO39" s="91">
        <f t="shared" si="503"/>
        <v>0</v>
      </c>
      <c r="BP39" s="91">
        <f t="shared" si="503"/>
        <v>0</v>
      </c>
      <c r="BQ39" s="91">
        <f t="shared" si="504"/>
        <v>0</v>
      </c>
      <c r="BR39" s="91">
        <f t="shared" si="504"/>
        <v>0</v>
      </c>
      <c r="BS39" s="91">
        <f t="shared" si="504"/>
        <v>0</v>
      </c>
      <c r="BT39" s="91">
        <f t="shared" si="504"/>
        <v>0</v>
      </c>
      <c r="BU39" s="91">
        <f t="shared" si="504"/>
        <v>0</v>
      </c>
      <c r="BV39" s="91">
        <f t="shared" si="504"/>
        <v>0</v>
      </c>
      <c r="BW39" s="91">
        <f t="shared" si="504"/>
        <v>0</v>
      </c>
      <c r="BX39" s="91">
        <f t="shared" si="504"/>
        <v>0</v>
      </c>
      <c r="BY39" s="91">
        <f t="shared" si="504"/>
        <v>0</v>
      </c>
      <c r="BZ39" s="91">
        <f t="shared" si="504"/>
        <v>0</v>
      </c>
      <c r="CA39" s="91">
        <f t="shared" si="505"/>
        <v>0</v>
      </c>
      <c r="CB39" s="91">
        <f t="shared" si="505"/>
        <v>0</v>
      </c>
      <c r="CC39" s="91">
        <f t="shared" si="505"/>
        <v>0</v>
      </c>
      <c r="CD39" s="91">
        <f t="shared" si="505"/>
        <v>0</v>
      </c>
      <c r="CE39" s="91">
        <f t="shared" si="505"/>
        <v>0</v>
      </c>
      <c r="CF39" s="91">
        <f t="shared" si="505"/>
        <v>0</v>
      </c>
      <c r="CG39" s="91">
        <f t="shared" si="505"/>
        <v>0</v>
      </c>
      <c r="CH39" s="91">
        <f t="shared" si="505"/>
        <v>0</v>
      </c>
      <c r="CI39" s="91">
        <f t="shared" si="505"/>
        <v>0</v>
      </c>
      <c r="CJ39" s="91">
        <f t="shared" si="505"/>
        <v>0</v>
      </c>
      <c r="CK39" s="91">
        <f t="shared" si="506"/>
        <v>0</v>
      </c>
      <c r="CL39" s="91">
        <f t="shared" si="506"/>
        <v>0</v>
      </c>
      <c r="CM39" s="91">
        <f t="shared" si="506"/>
        <v>0</v>
      </c>
      <c r="CN39" s="91">
        <f t="shared" si="506"/>
        <v>0</v>
      </c>
      <c r="CO39" s="91">
        <f t="shared" si="506"/>
        <v>0</v>
      </c>
      <c r="CP39" s="91">
        <f t="shared" si="506"/>
        <v>0</v>
      </c>
      <c r="CQ39" s="91">
        <f t="shared" si="506"/>
        <v>0</v>
      </c>
      <c r="CR39" s="91">
        <f t="shared" si="506"/>
        <v>0</v>
      </c>
      <c r="CS39" s="91">
        <f t="shared" si="506"/>
        <v>0</v>
      </c>
      <c r="CT39" s="91">
        <f t="shared" si="506"/>
        <v>0</v>
      </c>
      <c r="CU39" s="91">
        <f t="shared" si="507"/>
        <v>0</v>
      </c>
      <c r="CV39" s="91">
        <f t="shared" si="507"/>
        <v>0</v>
      </c>
      <c r="CW39" s="91">
        <f t="shared" si="507"/>
        <v>0</v>
      </c>
      <c r="CX39" s="91">
        <f t="shared" si="507"/>
        <v>0</v>
      </c>
      <c r="CY39" s="91">
        <f t="shared" si="507"/>
        <v>0</v>
      </c>
      <c r="CZ39" s="91">
        <f t="shared" si="507"/>
        <v>0</v>
      </c>
      <c r="DA39" s="91">
        <f t="shared" si="507"/>
        <v>0</v>
      </c>
      <c r="DB39" s="91">
        <f t="shared" si="507"/>
        <v>0</v>
      </c>
      <c r="DC39" s="91">
        <f t="shared" si="507"/>
        <v>0</v>
      </c>
      <c r="DD39" s="91">
        <f t="shared" si="507"/>
        <v>0</v>
      </c>
      <c r="DE39" s="91">
        <f t="shared" si="508"/>
        <v>0</v>
      </c>
      <c r="DF39" s="91">
        <f t="shared" si="508"/>
        <v>0</v>
      </c>
      <c r="DG39" s="91">
        <f t="shared" si="508"/>
        <v>0</v>
      </c>
      <c r="DH39" s="91">
        <f t="shared" si="508"/>
        <v>0</v>
      </c>
      <c r="DI39" s="91">
        <f t="shared" si="508"/>
        <v>0</v>
      </c>
      <c r="DJ39" s="91">
        <f t="shared" si="508"/>
        <v>0</v>
      </c>
      <c r="DK39" s="91">
        <f t="shared" si="508"/>
        <v>0</v>
      </c>
      <c r="DL39" s="91">
        <f t="shared" si="508"/>
        <v>0</v>
      </c>
      <c r="DM39" s="91">
        <f t="shared" si="508"/>
        <v>0</v>
      </c>
      <c r="DN39" s="91">
        <f t="shared" si="508"/>
        <v>0</v>
      </c>
      <c r="DO39" s="91">
        <f t="shared" si="509"/>
        <v>0</v>
      </c>
      <c r="DP39" s="91">
        <f t="shared" si="509"/>
        <v>0</v>
      </c>
      <c r="DQ39" s="91">
        <f t="shared" si="509"/>
        <v>0</v>
      </c>
      <c r="DR39" s="91">
        <f t="shared" si="509"/>
        <v>0</v>
      </c>
      <c r="DS39" s="91">
        <f t="shared" si="509"/>
        <v>0</v>
      </c>
      <c r="DT39" s="91">
        <f t="shared" si="509"/>
        <v>0</v>
      </c>
      <c r="DU39" s="91">
        <f t="shared" si="509"/>
        <v>0</v>
      </c>
      <c r="DV39" s="91">
        <f t="shared" si="509"/>
        <v>0</v>
      </c>
      <c r="DW39" s="91">
        <f t="shared" si="509"/>
        <v>0</v>
      </c>
      <c r="DX39" s="91">
        <f t="shared" si="509"/>
        <v>0</v>
      </c>
      <c r="DY39" s="91">
        <f t="shared" si="510"/>
        <v>0</v>
      </c>
      <c r="DZ39" s="91">
        <f t="shared" si="510"/>
        <v>0</v>
      </c>
      <c r="EA39" s="91">
        <f t="shared" si="510"/>
        <v>0</v>
      </c>
      <c r="EB39" s="91">
        <f t="shared" si="510"/>
        <v>0</v>
      </c>
      <c r="EC39" s="91">
        <f t="shared" si="510"/>
        <v>0</v>
      </c>
      <c r="ED39" s="91">
        <f t="shared" si="510"/>
        <v>0</v>
      </c>
      <c r="EE39" s="91">
        <f t="shared" si="510"/>
        <v>0</v>
      </c>
      <c r="EF39" s="91">
        <f t="shared" si="510"/>
        <v>0</v>
      </c>
      <c r="EG39" s="91">
        <f t="shared" si="510"/>
        <v>0</v>
      </c>
      <c r="EH39" s="91">
        <f t="shared" si="510"/>
        <v>0</v>
      </c>
      <c r="EI39" s="91">
        <f t="shared" si="511"/>
        <v>0</v>
      </c>
      <c r="EJ39" s="91">
        <f t="shared" si="511"/>
        <v>0</v>
      </c>
      <c r="EK39" s="91">
        <f t="shared" si="511"/>
        <v>0</v>
      </c>
      <c r="EL39" s="91">
        <f t="shared" si="511"/>
        <v>0</v>
      </c>
      <c r="EM39" s="91">
        <f t="shared" si="511"/>
        <v>0</v>
      </c>
      <c r="EN39" s="91">
        <f t="shared" si="511"/>
        <v>0</v>
      </c>
      <c r="EO39" s="91">
        <f t="shared" si="511"/>
        <v>0</v>
      </c>
      <c r="EP39" s="91">
        <f t="shared" si="511"/>
        <v>0</v>
      </c>
      <c r="EQ39" s="91">
        <f t="shared" si="511"/>
        <v>0</v>
      </c>
      <c r="ER39" s="91">
        <f t="shared" si="511"/>
        <v>0</v>
      </c>
      <c r="ES39" s="91">
        <f t="shared" si="512"/>
        <v>0</v>
      </c>
      <c r="ET39" s="91">
        <f t="shared" si="512"/>
        <v>0</v>
      </c>
      <c r="EU39" s="91">
        <f t="shared" si="512"/>
        <v>0</v>
      </c>
      <c r="EW39" s="207">
        <f>K39</f>
        <v>67500</v>
      </c>
      <c r="EX39" s="208">
        <f t="shared" si="513"/>
        <v>46081</v>
      </c>
      <c r="EY39" s="208">
        <f t="shared" si="513"/>
        <v>46599</v>
      </c>
      <c r="EZ39" s="209">
        <f>F39-E39+1</f>
        <v>18</v>
      </c>
      <c r="FA39" s="210">
        <f>EZ39/6</f>
        <v>3</v>
      </c>
      <c r="FC39" s="211">
        <f t="shared" si="514"/>
        <v>0</v>
      </c>
      <c r="FD39" s="211">
        <f t="shared" si="514"/>
        <v>167.88582867661415</v>
      </c>
      <c r="FE39" s="211">
        <f t="shared" si="514"/>
        <v>405.07762108798113</v>
      </c>
      <c r="FF39" s="211">
        <f t="shared" si="514"/>
        <v>875.46279507621273</v>
      </c>
      <c r="FG39" s="211">
        <f t="shared" si="514"/>
        <v>1694.7904605262768</v>
      </c>
      <c r="FH39" s="211">
        <f t="shared" si="514"/>
        <v>2938.8428293823963</v>
      </c>
      <c r="FI39" s="211">
        <f t="shared" si="514"/>
        <v>4564.7963280332742</v>
      </c>
      <c r="FJ39" s="211">
        <f t="shared" si="514"/>
        <v>6351.1634902320002</v>
      </c>
      <c r="FK39" s="211">
        <f t="shared" si="514"/>
        <v>7915.414181899112</v>
      </c>
      <c r="FL39" s="211">
        <f t="shared" si="514"/>
        <v>8836.5664650861327</v>
      </c>
      <c r="FM39" s="211">
        <f t="shared" si="515"/>
        <v>8836.5664650861363</v>
      </c>
      <c r="FN39" s="211">
        <f t="shared" si="515"/>
        <v>7915.4141818991084</v>
      </c>
      <c r="FO39" s="211">
        <f t="shared" si="515"/>
        <v>6351.163490232002</v>
      </c>
      <c r="FP39" s="211">
        <f t="shared" si="515"/>
        <v>4564.7963280332724</v>
      </c>
      <c r="FQ39" s="211">
        <f t="shared" si="515"/>
        <v>2938.8428293823968</v>
      </c>
      <c r="FR39" s="211">
        <f t="shared" si="515"/>
        <v>1694.7904605262752</v>
      </c>
      <c r="FS39" s="211">
        <f t="shared" si="515"/>
        <v>875.46279507621534</v>
      </c>
      <c r="FT39" s="211">
        <f t="shared" si="515"/>
        <v>405.07762108797704</v>
      </c>
      <c r="FU39" s="211">
        <f t="shared" si="515"/>
        <v>167.88582867661614</v>
      </c>
      <c r="FV39" s="211">
        <f t="shared" si="515"/>
        <v>0</v>
      </c>
      <c r="FW39" s="211">
        <f t="shared" si="516"/>
        <v>0</v>
      </c>
      <c r="FX39" s="211">
        <f t="shared" si="516"/>
        <v>0</v>
      </c>
      <c r="FY39" s="211">
        <f t="shared" si="516"/>
        <v>0</v>
      </c>
      <c r="FZ39" s="211">
        <f t="shared" si="516"/>
        <v>0</v>
      </c>
      <c r="GA39" s="211">
        <f t="shared" si="516"/>
        <v>0</v>
      </c>
      <c r="GB39" s="211">
        <f t="shared" si="516"/>
        <v>0</v>
      </c>
      <c r="GC39" s="211">
        <f t="shared" si="516"/>
        <v>0</v>
      </c>
      <c r="GD39" s="211">
        <f t="shared" si="516"/>
        <v>0</v>
      </c>
      <c r="GE39" s="211">
        <f t="shared" si="516"/>
        <v>0</v>
      </c>
      <c r="GF39" s="211">
        <f t="shared" si="516"/>
        <v>0</v>
      </c>
      <c r="GG39" s="211">
        <f t="shared" si="517"/>
        <v>0</v>
      </c>
      <c r="GH39" s="211">
        <f t="shared" si="517"/>
        <v>0</v>
      </c>
      <c r="GI39" s="211">
        <f t="shared" si="517"/>
        <v>0</v>
      </c>
      <c r="GJ39" s="211">
        <f t="shared" si="517"/>
        <v>0</v>
      </c>
      <c r="GK39" s="211">
        <f t="shared" si="517"/>
        <v>0</v>
      </c>
      <c r="GL39" s="211">
        <f t="shared" si="517"/>
        <v>0</v>
      </c>
      <c r="GM39" s="211">
        <f t="shared" si="517"/>
        <v>0</v>
      </c>
      <c r="GN39" s="211">
        <f t="shared" si="517"/>
        <v>0</v>
      </c>
      <c r="GO39" s="211">
        <f t="shared" si="517"/>
        <v>0</v>
      </c>
      <c r="GP39" s="211">
        <f t="shared" si="517"/>
        <v>0</v>
      </c>
      <c r="GQ39" s="211">
        <f t="shared" si="518"/>
        <v>0</v>
      </c>
      <c r="GR39" s="211">
        <f t="shared" si="518"/>
        <v>0</v>
      </c>
      <c r="GS39" s="211">
        <f t="shared" si="518"/>
        <v>0</v>
      </c>
      <c r="GT39" s="211">
        <f t="shared" si="518"/>
        <v>0</v>
      </c>
      <c r="GU39" s="211">
        <f t="shared" si="518"/>
        <v>0</v>
      </c>
      <c r="GV39" s="211">
        <f t="shared" si="518"/>
        <v>0</v>
      </c>
      <c r="GW39" s="211">
        <f t="shared" si="518"/>
        <v>0</v>
      </c>
      <c r="GX39" s="211">
        <f t="shared" si="518"/>
        <v>0</v>
      </c>
      <c r="GY39" s="211">
        <f t="shared" si="518"/>
        <v>0</v>
      </c>
      <c r="GZ39" s="211">
        <f t="shared" si="518"/>
        <v>0</v>
      </c>
      <c r="HA39" s="211">
        <f t="shared" si="519"/>
        <v>0</v>
      </c>
      <c r="HB39" s="211">
        <f t="shared" si="519"/>
        <v>0</v>
      </c>
      <c r="HC39" s="211">
        <f t="shared" si="519"/>
        <v>0</v>
      </c>
      <c r="HD39" s="211">
        <f t="shared" si="519"/>
        <v>0</v>
      </c>
      <c r="HE39" s="211">
        <f t="shared" si="519"/>
        <v>0</v>
      </c>
      <c r="HF39" s="211">
        <f t="shared" si="519"/>
        <v>0</v>
      </c>
      <c r="HG39" s="211">
        <f t="shared" si="519"/>
        <v>0</v>
      </c>
      <c r="HH39" s="211">
        <f t="shared" si="519"/>
        <v>0</v>
      </c>
      <c r="HI39" s="211">
        <f t="shared" si="519"/>
        <v>0</v>
      </c>
      <c r="HJ39" s="211">
        <f t="shared" si="519"/>
        <v>0</v>
      </c>
      <c r="HK39" s="211">
        <f t="shared" si="520"/>
        <v>0</v>
      </c>
      <c r="HL39" s="211">
        <f t="shared" si="520"/>
        <v>0</v>
      </c>
      <c r="HM39" s="211">
        <f t="shared" si="520"/>
        <v>0</v>
      </c>
      <c r="HN39" s="211">
        <f t="shared" si="520"/>
        <v>0</v>
      </c>
      <c r="HO39" s="211">
        <f t="shared" si="520"/>
        <v>0</v>
      </c>
      <c r="HP39" s="211">
        <f t="shared" si="520"/>
        <v>0</v>
      </c>
      <c r="HQ39" s="211">
        <f t="shared" si="520"/>
        <v>0</v>
      </c>
      <c r="HR39" s="211">
        <f t="shared" si="520"/>
        <v>0</v>
      </c>
      <c r="HS39" s="211">
        <f t="shared" si="520"/>
        <v>0</v>
      </c>
      <c r="HT39" s="211">
        <f t="shared" si="520"/>
        <v>0</v>
      </c>
      <c r="HU39" s="211">
        <f t="shared" si="521"/>
        <v>0</v>
      </c>
      <c r="HV39" s="211">
        <f t="shared" si="521"/>
        <v>0</v>
      </c>
      <c r="HW39" s="211">
        <f t="shared" si="521"/>
        <v>0</v>
      </c>
      <c r="HX39" s="211">
        <f t="shared" si="521"/>
        <v>0</v>
      </c>
      <c r="HY39" s="211">
        <f t="shared" si="521"/>
        <v>0</v>
      </c>
      <c r="HZ39" s="211">
        <f t="shared" si="521"/>
        <v>0</v>
      </c>
      <c r="IA39" s="211">
        <f t="shared" si="521"/>
        <v>0</v>
      </c>
      <c r="IB39" s="211">
        <f t="shared" si="521"/>
        <v>0</v>
      </c>
      <c r="IC39" s="211">
        <f t="shared" si="521"/>
        <v>0</v>
      </c>
      <c r="ID39" s="211">
        <f t="shared" si="521"/>
        <v>0</v>
      </c>
      <c r="IE39" s="211">
        <f t="shared" si="522"/>
        <v>0</v>
      </c>
      <c r="IF39" s="211">
        <f t="shared" si="522"/>
        <v>0</v>
      </c>
      <c r="IG39" s="211">
        <f t="shared" si="522"/>
        <v>0</v>
      </c>
      <c r="IH39" s="211">
        <f t="shared" si="522"/>
        <v>0</v>
      </c>
      <c r="II39" s="211">
        <f t="shared" si="522"/>
        <v>0</v>
      </c>
      <c r="IJ39" s="211">
        <f t="shared" si="522"/>
        <v>0</v>
      </c>
      <c r="IK39" s="211">
        <f t="shared" si="522"/>
        <v>0</v>
      </c>
      <c r="IL39" s="211">
        <f t="shared" si="522"/>
        <v>0</v>
      </c>
      <c r="IM39" s="211">
        <f t="shared" si="522"/>
        <v>0</v>
      </c>
      <c r="IN39" s="211">
        <f t="shared" si="522"/>
        <v>0</v>
      </c>
      <c r="IO39" s="211">
        <f t="shared" si="523"/>
        <v>0</v>
      </c>
      <c r="IP39" s="211">
        <f t="shared" si="523"/>
        <v>0</v>
      </c>
      <c r="IQ39" s="211">
        <f t="shared" si="523"/>
        <v>0</v>
      </c>
      <c r="IR39" s="211">
        <f t="shared" si="523"/>
        <v>0</v>
      </c>
      <c r="IS39" s="211">
        <f t="shared" si="523"/>
        <v>0</v>
      </c>
      <c r="IT39" s="211">
        <f t="shared" si="523"/>
        <v>0</v>
      </c>
      <c r="IU39" s="211">
        <f t="shared" si="523"/>
        <v>0</v>
      </c>
      <c r="IV39" s="211">
        <f t="shared" si="523"/>
        <v>0</v>
      </c>
      <c r="IW39" s="211">
        <f t="shared" si="523"/>
        <v>0</v>
      </c>
      <c r="IX39" s="211">
        <f t="shared" si="523"/>
        <v>0</v>
      </c>
      <c r="IY39" s="211">
        <f t="shared" si="524"/>
        <v>0</v>
      </c>
      <c r="IZ39" s="211">
        <f t="shared" si="524"/>
        <v>0</v>
      </c>
      <c r="JA39" s="211">
        <f t="shared" si="524"/>
        <v>0</v>
      </c>
      <c r="JB39" s="211">
        <f t="shared" si="524"/>
        <v>0</v>
      </c>
      <c r="JC39" s="211">
        <f t="shared" si="524"/>
        <v>0</v>
      </c>
      <c r="JD39" s="211">
        <f t="shared" si="524"/>
        <v>0</v>
      </c>
      <c r="JE39" s="211">
        <f t="shared" si="524"/>
        <v>0</v>
      </c>
      <c r="JF39" s="211">
        <f t="shared" si="524"/>
        <v>0</v>
      </c>
      <c r="JG39" s="211">
        <f t="shared" si="524"/>
        <v>0</v>
      </c>
      <c r="JH39" s="211">
        <f t="shared" si="524"/>
        <v>0</v>
      </c>
      <c r="JI39" s="211">
        <f t="shared" si="525"/>
        <v>0</v>
      </c>
      <c r="JJ39" s="211">
        <f t="shared" si="525"/>
        <v>0</v>
      </c>
      <c r="JK39" s="211">
        <f t="shared" si="525"/>
        <v>0</v>
      </c>
      <c r="JL39" s="211">
        <f t="shared" si="525"/>
        <v>0</v>
      </c>
      <c r="JM39" s="211">
        <f t="shared" si="525"/>
        <v>0</v>
      </c>
      <c r="JN39" s="211">
        <f t="shared" si="525"/>
        <v>0</v>
      </c>
      <c r="JO39" s="211">
        <f t="shared" si="525"/>
        <v>0</v>
      </c>
      <c r="JP39" s="211">
        <f t="shared" si="525"/>
        <v>0</v>
      </c>
      <c r="JQ39" s="211">
        <f t="shared" si="525"/>
        <v>0</v>
      </c>
      <c r="JR39" s="211">
        <f t="shared" si="525"/>
        <v>0</v>
      </c>
      <c r="JS39" s="211">
        <f t="shared" si="526"/>
        <v>0</v>
      </c>
      <c r="JT39" s="211">
        <f t="shared" si="526"/>
        <v>0</v>
      </c>
      <c r="JU39" s="211">
        <f t="shared" si="526"/>
        <v>0</v>
      </c>
      <c r="JV39" s="211">
        <f t="shared" si="526"/>
        <v>0</v>
      </c>
      <c r="JW39" s="211">
        <f t="shared" si="526"/>
        <v>0</v>
      </c>
      <c r="JX39" s="211">
        <f t="shared" si="526"/>
        <v>0</v>
      </c>
      <c r="JY39" s="211">
        <f t="shared" si="526"/>
        <v>0</v>
      </c>
      <c r="JZ39" s="211">
        <f t="shared" si="526"/>
        <v>0</v>
      </c>
      <c r="KA39" s="211">
        <f t="shared" si="526"/>
        <v>0</v>
      </c>
      <c r="KB39" s="211">
        <f t="shared" si="526"/>
        <v>0</v>
      </c>
      <c r="KC39" s="211">
        <f t="shared" si="526"/>
        <v>0</v>
      </c>
      <c r="KD39" s="211">
        <f t="shared" si="526"/>
        <v>0</v>
      </c>
      <c r="KE39" s="211">
        <f t="shared" si="526"/>
        <v>0</v>
      </c>
      <c r="KG39" s="207"/>
      <c r="KH39" s="208"/>
      <c r="KI39" s="208"/>
      <c r="KJ39" s="209"/>
      <c r="KK39" s="210"/>
      <c r="KM39" s="211"/>
      <c r="KN39" s="211"/>
      <c r="KO39" s="211"/>
      <c r="KP39" s="211"/>
      <c r="KQ39" s="211"/>
      <c r="KR39" s="211"/>
      <c r="KS39" s="211"/>
      <c r="KT39" s="211"/>
      <c r="KU39" s="211"/>
      <c r="KV39" s="211"/>
      <c r="KW39" s="211"/>
      <c r="KX39" s="211"/>
      <c r="KY39" s="211"/>
      <c r="KZ39" s="211"/>
      <c r="LA39" s="211"/>
      <c r="LB39" s="211"/>
      <c r="LC39" s="211"/>
      <c r="LD39" s="211"/>
      <c r="LE39" s="211"/>
      <c r="LF39" s="211"/>
      <c r="LG39" s="211"/>
      <c r="LH39" s="211"/>
      <c r="LI39" s="211"/>
      <c r="LJ39" s="211"/>
      <c r="LK39" s="211"/>
      <c r="LL39" s="211"/>
      <c r="LM39" s="211"/>
      <c r="LN39" s="211"/>
      <c r="LO39" s="211"/>
      <c r="LP39" s="211"/>
      <c r="LQ39" s="211"/>
      <c r="LR39" s="211"/>
      <c r="LS39" s="211"/>
      <c r="LT39" s="211"/>
      <c r="LU39" s="211"/>
      <c r="LV39" s="211"/>
      <c r="LW39" s="211"/>
      <c r="LX39" s="211"/>
      <c r="LY39" s="211"/>
      <c r="LZ39" s="211"/>
      <c r="MA39" s="211"/>
      <c r="MB39" s="211"/>
      <c r="MC39" s="211"/>
      <c r="MD39" s="211"/>
      <c r="ME39" s="211"/>
      <c r="MF39" s="211"/>
      <c r="MG39" s="211"/>
      <c r="MH39" s="211"/>
      <c r="MI39" s="211"/>
      <c r="MJ39" s="211"/>
      <c r="MK39" s="211"/>
      <c r="ML39" s="211"/>
      <c r="MM39" s="211"/>
      <c r="MN39" s="211"/>
      <c r="MO39" s="211"/>
      <c r="MP39" s="211"/>
      <c r="MQ39" s="211"/>
      <c r="MR39" s="211"/>
      <c r="MS39" s="211"/>
      <c r="MT39" s="211"/>
      <c r="MU39" s="211"/>
      <c r="MV39" s="211"/>
      <c r="MW39" s="211"/>
      <c r="MX39" s="211"/>
      <c r="MY39" s="211"/>
      <c r="MZ39" s="211"/>
      <c r="NA39" s="211"/>
      <c r="NB39" s="211"/>
      <c r="NC39" s="211"/>
      <c r="ND39" s="211"/>
      <c r="NE39" s="211"/>
      <c r="NF39" s="211"/>
      <c r="NG39" s="211"/>
      <c r="NH39" s="211"/>
      <c r="NI39" s="211"/>
      <c r="NJ39" s="211"/>
      <c r="NK39" s="211"/>
      <c r="NL39" s="211"/>
      <c r="NM39" s="211"/>
      <c r="NN39" s="211"/>
      <c r="NO39" s="211"/>
      <c r="NP39" s="211"/>
      <c r="NQ39" s="211"/>
      <c r="NR39" s="211"/>
      <c r="NS39" s="211"/>
      <c r="NT39" s="211"/>
      <c r="NU39" s="211"/>
      <c r="NV39" s="211"/>
      <c r="NW39" s="211"/>
      <c r="NX39" s="211"/>
      <c r="NY39" s="211"/>
      <c r="NZ39" s="211"/>
      <c r="OA39" s="211"/>
      <c r="OB39" s="211"/>
      <c r="OC39" s="211"/>
      <c r="OD39" s="211"/>
      <c r="OE39" s="211"/>
      <c r="OF39" s="211"/>
      <c r="OG39" s="211"/>
      <c r="OH39" s="211"/>
      <c r="OI39" s="211"/>
      <c r="OJ39" s="211"/>
      <c r="OK39" s="211"/>
      <c r="OL39" s="211"/>
      <c r="OM39" s="211"/>
      <c r="ON39" s="211"/>
      <c r="OO39" s="211"/>
      <c r="OP39" s="211"/>
      <c r="OQ39" s="211"/>
      <c r="OR39" s="211"/>
      <c r="OS39" s="211"/>
      <c r="OT39" s="211"/>
      <c r="OU39" s="211"/>
      <c r="OV39" s="211"/>
      <c r="OW39" s="211"/>
      <c r="OX39" s="211"/>
      <c r="OY39" s="211"/>
      <c r="OZ39" s="211"/>
      <c r="PA39" s="211"/>
      <c r="PB39" s="211"/>
      <c r="PC39" s="211"/>
      <c r="PD39" s="211"/>
      <c r="PE39" s="211"/>
      <c r="PF39" s="211"/>
      <c r="PG39" s="211"/>
      <c r="PH39" s="211"/>
      <c r="PI39" s="211"/>
      <c r="PJ39" s="211"/>
      <c r="PK39" s="211"/>
      <c r="PL39" s="211"/>
      <c r="PM39" s="211"/>
      <c r="PN39" s="211"/>
      <c r="PO39" s="211"/>
      <c r="PQ39" s="201"/>
      <c r="PR39" s="201"/>
      <c r="PS39" s="201"/>
      <c r="PT39" s="201"/>
      <c r="PU39" s="201"/>
      <c r="PV39" s="201"/>
      <c r="PW39" s="201"/>
      <c r="PX39" s="201"/>
      <c r="PY39" s="201"/>
      <c r="PZ39" s="201"/>
      <c r="QA39" s="201"/>
      <c r="QB39" s="201"/>
      <c r="QC39" s="201"/>
      <c r="QD39" s="201"/>
      <c r="QE39" s="201"/>
      <c r="QF39" s="201"/>
      <c r="QG39" s="201"/>
      <c r="QH39" s="201"/>
      <c r="QI39" s="201"/>
      <c r="QJ39" s="201"/>
      <c r="QK39" s="201"/>
      <c r="QL39" s="201"/>
      <c r="QM39" s="201"/>
      <c r="QN39" s="201"/>
      <c r="QO39" s="201"/>
      <c r="QP39" s="201"/>
      <c r="QQ39" s="201"/>
      <c r="QR39" s="201"/>
      <c r="QS39" s="201"/>
      <c r="QT39" s="201"/>
      <c r="QU39" s="201"/>
      <c r="QV39" s="201"/>
      <c r="QW39" s="201"/>
      <c r="QX39" s="201"/>
      <c r="QY39" s="201"/>
      <c r="QZ39" s="201"/>
      <c r="RA39" s="201"/>
      <c r="RB39" s="201"/>
      <c r="RC39" s="201"/>
      <c r="RD39" s="201"/>
      <c r="RE39" s="201"/>
      <c r="RF39" s="201"/>
      <c r="RG39" s="201"/>
      <c r="RH39" s="201"/>
      <c r="RI39" s="201"/>
      <c r="RJ39" s="201"/>
      <c r="RK39" s="201"/>
      <c r="RL39" s="201"/>
      <c r="RM39" s="201"/>
      <c r="RN39" s="201"/>
      <c r="RO39" s="201"/>
      <c r="RP39" s="201"/>
      <c r="RQ39" s="201"/>
      <c r="RR39" s="201"/>
      <c r="RS39" s="201"/>
      <c r="RT39" s="201"/>
      <c r="RU39" s="201"/>
      <c r="RV39" s="201"/>
      <c r="RW39" s="201"/>
      <c r="RX39" s="201"/>
      <c r="RY39" s="201"/>
      <c r="RZ39" s="201"/>
      <c r="SA39" s="201"/>
      <c r="SB39" s="201"/>
      <c r="SC39" s="201"/>
      <c r="SD39" s="201"/>
      <c r="SE39" s="201"/>
      <c r="SF39" s="201"/>
      <c r="SG39" s="201"/>
      <c r="SH39" s="201"/>
      <c r="SI39" s="201"/>
      <c r="SJ39" s="201"/>
      <c r="SK39" s="201"/>
      <c r="SL39" s="201"/>
      <c r="SM39" s="201"/>
      <c r="SN39" s="201"/>
      <c r="SO39" s="201"/>
      <c r="SP39" s="201"/>
      <c r="SQ39" s="201"/>
      <c r="SR39" s="201"/>
      <c r="SS39" s="201"/>
      <c r="ST39" s="201"/>
      <c r="SU39" s="201"/>
      <c r="SV39" s="201"/>
      <c r="SW39" s="201"/>
      <c r="SX39" s="201"/>
      <c r="SY39" s="201"/>
      <c r="SZ39" s="201"/>
      <c r="TA39" s="201"/>
      <c r="TB39" s="201"/>
      <c r="TC39" s="201"/>
      <c r="TD39" s="201"/>
      <c r="TE39" s="201"/>
      <c r="TF39" s="201"/>
      <c r="TG39" s="201"/>
      <c r="TH39" s="201"/>
      <c r="TI39" s="201"/>
      <c r="TJ39" s="201"/>
      <c r="TK39" s="201"/>
      <c r="TL39" s="201"/>
      <c r="TM39" s="201"/>
      <c r="TN39" s="201"/>
      <c r="TO39" s="201"/>
      <c r="TP39" s="201"/>
      <c r="TQ39" s="201"/>
      <c r="TR39" s="201"/>
      <c r="TS39" s="201"/>
      <c r="TT39" s="201"/>
      <c r="TU39" s="201"/>
      <c r="TV39" s="201"/>
      <c r="TW39" s="201"/>
      <c r="TX39" s="201"/>
      <c r="TY39" s="201"/>
      <c r="TZ39" s="201"/>
      <c r="UA39" s="201"/>
      <c r="UB39" s="201"/>
      <c r="UC39" s="201"/>
      <c r="UD39" s="201"/>
      <c r="UE39" s="201"/>
      <c r="UF39" s="201"/>
      <c r="UG39" s="201"/>
      <c r="UH39" s="201"/>
      <c r="UI39" s="201"/>
      <c r="UJ39" s="201"/>
      <c r="UK39" s="201"/>
      <c r="UL39" s="201"/>
      <c r="UM39" s="201"/>
      <c r="UN39" s="201"/>
      <c r="UO39" s="201"/>
      <c r="UP39" s="201"/>
      <c r="UQ39" s="201"/>
      <c r="UR39" s="201"/>
      <c r="US39" s="201"/>
      <c r="UT39" s="201"/>
      <c r="UU39" s="201"/>
    </row>
    <row r="40" spans="1:567" x14ac:dyDescent="0.25">
      <c r="B40" s="31" t="s">
        <v>58</v>
      </c>
      <c r="C40" s="26"/>
      <c r="D40" s="26"/>
      <c r="E40" s="32">
        <v>1</v>
      </c>
      <c r="F40" s="32">
        <v>18</v>
      </c>
      <c r="G40" s="19" t="s">
        <v>602</v>
      </c>
      <c r="H40" s="32"/>
      <c r="I40" s="33">
        <f t="shared" si="496"/>
        <v>0.29761904761904762</v>
      </c>
      <c r="J40" s="34">
        <f t="shared" si="497"/>
        <v>250</v>
      </c>
      <c r="K40" s="35">
        <f>+Units*250</f>
        <v>75000</v>
      </c>
      <c r="M40" s="3" t="s">
        <v>831</v>
      </c>
      <c r="R40" s="90" t="str">
        <f t="shared" si="498"/>
        <v>OK</v>
      </c>
      <c r="S40" s="91">
        <f t="shared" si="499"/>
        <v>3124.9999999999991</v>
      </c>
      <c r="T40" s="91">
        <f t="shared" si="499"/>
        <v>3124.9999999999991</v>
      </c>
      <c r="U40" s="91">
        <f t="shared" si="499"/>
        <v>3125</v>
      </c>
      <c r="V40" s="91">
        <f t="shared" si="499"/>
        <v>3124.9999999999982</v>
      </c>
      <c r="W40" s="91">
        <f t="shared" si="499"/>
        <v>3125.0000000000009</v>
      </c>
      <c r="X40" s="91">
        <f t="shared" si="499"/>
        <v>3124.9999999999982</v>
      </c>
      <c r="Y40" s="91">
        <f t="shared" si="499"/>
        <v>3125.0000000000009</v>
      </c>
      <c r="Z40" s="91">
        <f t="shared" si="499"/>
        <v>3124.9999999999968</v>
      </c>
      <c r="AA40" s="91">
        <f t="shared" si="499"/>
        <v>3125.0000000000009</v>
      </c>
      <c r="AB40" s="91">
        <f t="shared" si="499"/>
        <v>3125.0000000000009</v>
      </c>
      <c r="AC40" s="91">
        <f t="shared" si="500"/>
        <v>3124.9999999999968</v>
      </c>
      <c r="AD40" s="91">
        <f t="shared" si="500"/>
        <v>3125.0000000000009</v>
      </c>
      <c r="AE40" s="91">
        <f t="shared" si="500"/>
        <v>3124.9999999999968</v>
      </c>
      <c r="AF40" s="91">
        <f t="shared" si="500"/>
        <v>3125.0000000000045</v>
      </c>
      <c r="AG40" s="91">
        <f t="shared" si="500"/>
        <v>3124.9999999999968</v>
      </c>
      <c r="AH40" s="91">
        <f t="shared" si="500"/>
        <v>3124.9999999999968</v>
      </c>
      <c r="AI40" s="91">
        <f t="shared" si="500"/>
        <v>3125.0000000000045</v>
      </c>
      <c r="AJ40" s="91">
        <f t="shared" si="500"/>
        <v>3124.9999999999968</v>
      </c>
      <c r="AK40" s="91">
        <f t="shared" si="500"/>
        <v>3124.9999999999968</v>
      </c>
      <c r="AL40" s="91">
        <f t="shared" si="500"/>
        <v>3125.0000000000045</v>
      </c>
      <c r="AM40" s="91">
        <f t="shared" si="501"/>
        <v>3124.9999999999968</v>
      </c>
      <c r="AN40" s="91">
        <f t="shared" si="501"/>
        <v>3124.9999999999968</v>
      </c>
      <c r="AO40" s="91">
        <f t="shared" si="501"/>
        <v>3125.0000000000045</v>
      </c>
      <c r="AP40" s="91">
        <f t="shared" si="501"/>
        <v>3124.9999999999968</v>
      </c>
      <c r="AQ40" s="91">
        <f t="shared" si="501"/>
        <v>0</v>
      </c>
      <c r="AR40" s="91">
        <f t="shared" si="501"/>
        <v>0</v>
      </c>
      <c r="AS40" s="91">
        <f t="shared" si="501"/>
        <v>0</v>
      </c>
      <c r="AT40" s="91">
        <f t="shared" si="501"/>
        <v>0</v>
      </c>
      <c r="AU40" s="91">
        <f t="shared" si="501"/>
        <v>0</v>
      </c>
      <c r="AV40" s="91">
        <f t="shared" si="501"/>
        <v>0</v>
      </c>
      <c r="AW40" s="91">
        <f t="shared" si="502"/>
        <v>0</v>
      </c>
      <c r="AX40" s="91">
        <f t="shared" si="502"/>
        <v>0</v>
      </c>
      <c r="AY40" s="91">
        <f t="shared" si="502"/>
        <v>0</v>
      </c>
      <c r="AZ40" s="91">
        <f t="shared" si="502"/>
        <v>0</v>
      </c>
      <c r="BA40" s="91">
        <f t="shared" si="502"/>
        <v>0</v>
      </c>
      <c r="BB40" s="91">
        <f t="shared" si="502"/>
        <v>0</v>
      </c>
      <c r="BC40" s="91">
        <f t="shared" si="502"/>
        <v>0</v>
      </c>
      <c r="BD40" s="91">
        <f t="shared" si="502"/>
        <v>0</v>
      </c>
      <c r="BE40" s="91">
        <f t="shared" si="502"/>
        <v>0</v>
      </c>
      <c r="BF40" s="91">
        <f t="shared" si="502"/>
        <v>0</v>
      </c>
      <c r="BG40" s="91">
        <f t="shared" si="503"/>
        <v>0</v>
      </c>
      <c r="BH40" s="91">
        <f t="shared" si="503"/>
        <v>0</v>
      </c>
      <c r="BI40" s="91">
        <f t="shared" si="503"/>
        <v>0</v>
      </c>
      <c r="BJ40" s="91">
        <f t="shared" si="503"/>
        <v>0</v>
      </c>
      <c r="BK40" s="91">
        <f t="shared" si="503"/>
        <v>0</v>
      </c>
      <c r="BL40" s="91">
        <f t="shared" si="503"/>
        <v>0</v>
      </c>
      <c r="BM40" s="91">
        <f t="shared" si="503"/>
        <v>0</v>
      </c>
      <c r="BN40" s="91">
        <f t="shared" si="503"/>
        <v>0</v>
      </c>
      <c r="BO40" s="91">
        <f t="shared" si="503"/>
        <v>0</v>
      </c>
      <c r="BP40" s="91">
        <f t="shared" si="503"/>
        <v>0</v>
      </c>
      <c r="BQ40" s="91">
        <f t="shared" si="504"/>
        <v>0</v>
      </c>
      <c r="BR40" s="91">
        <f t="shared" si="504"/>
        <v>0</v>
      </c>
      <c r="BS40" s="91">
        <f t="shared" si="504"/>
        <v>0</v>
      </c>
      <c r="BT40" s="91">
        <f t="shared" si="504"/>
        <v>0</v>
      </c>
      <c r="BU40" s="91">
        <f t="shared" si="504"/>
        <v>0</v>
      </c>
      <c r="BV40" s="91">
        <f t="shared" si="504"/>
        <v>0</v>
      </c>
      <c r="BW40" s="91">
        <f t="shared" si="504"/>
        <v>0</v>
      </c>
      <c r="BX40" s="91">
        <f t="shared" si="504"/>
        <v>0</v>
      </c>
      <c r="BY40" s="91">
        <f t="shared" si="504"/>
        <v>0</v>
      </c>
      <c r="BZ40" s="91">
        <f t="shared" si="504"/>
        <v>0</v>
      </c>
      <c r="CA40" s="91">
        <f t="shared" si="505"/>
        <v>0</v>
      </c>
      <c r="CB40" s="91">
        <f t="shared" si="505"/>
        <v>0</v>
      </c>
      <c r="CC40" s="91">
        <f t="shared" si="505"/>
        <v>0</v>
      </c>
      <c r="CD40" s="91">
        <f t="shared" si="505"/>
        <v>0</v>
      </c>
      <c r="CE40" s="91">
        <f t="shared" si="505"/>
        <v>0</v>
      </c>
      <c r="CF40" s="91">
        <f t="shared" si="505"/>
        <v>0</v>
      </c>
      <c r="CG40" s="91">
        <f t="shared" si="505"/>
        <v>0</v>
      </c>
      <c r="CH40" s="91">
        <f t="shared" si="505"/>
        <v>0</v>
      </c>
      <c r="CI40" s="91">
        <f t="shared" si="505"/>
        <v>0</v>
      </c>
      <c r="CJ40" s="91">
        <f t="shared" si="505"/>
        <v>0</v>
      </c>
      <c r="CK40" s="91">
        <f t="shared" si="506"/>
        <v>0</v>
      </c>
      <c r="CL40" s="91">
        <f t="shared" si="506"/>
        <v>0</v>
      </c>
      <c r="CM40" s="91">
        <f t="shared" si="506"/>
        <v>0</v>
      </c>
      <c r="CN40" s="91">
        <f t="shared" si="506"/>
        <v>0</v>
      </c>
      <c r="CO40" s="91">
        <f t="shared" si="506"/>
        <v>0</v>
      </c>
      <c r="CP40" s="91">
        <f t="shared" si="506"/>
        <v>0</v>
      </c>
      <c r="CQ40" s="91">
        <f t="shared" si="506"/>
        <v>0</v>
      </c>
      <c r="CR40" s="91">
        <f t="shared" si="506"/>
        <v>0</v>
      </c>
      <c r="CS40" s="91">
        <f t="shared" si="506"/>
        <v>0</v>
      </c>
      <c r="CT40" s="91">
        <f t="shared" si="506"/>
        <v>0</v>
      </c>
      <c r="CU40" s="91">
        <f t="shared" si="507"/>
        <v>0</v>
      </c>
      <c r="CV40" s="91">
        <f t="shared" si="507"/>
        <v>0</v>
      </c>
      <c r="CW40" s="91">
        <f t="shared" si="507"/>
        <v>0</v>
      </c>
      <c r="CX40" s="91">
        <f t="shared" si="507"/>
        <v>0</v>
      </c>
      <c r="CY40" s="91">
        <f t="shared" si="507"/>
        <v>0</v>
      </c>
      <c r="CZ40" s="91">
        <f t="shared" si="507"/>
        <v>0</v>
      </c>
      <c r="DA40" s="91">
        <f t="shared" si="507"/>
        <v>0</v>
      </c>
      <c r="DB40" s="91">
        <f t="shared" si="507"/>
        <v>0</v>
      </c>
      <c r="DC40" s="91">
        <f t="shared" si="507"/>
        <v>0</v>
      </c>
      <c r="DD40" s="91">
        <f t="shared" si="507"/>
        <v>0</v>
      </c>
      <c r="DE40" s="91">
        <f t="shared" si="508"/>
        <v>0</v>
      </c>
      <c r="DF40" s="91">
        <f t="shared" si="508"/>
        <v>0</v>
      </c>
      <c r="DG40" s="91">
        <f t="shared" si="508"/>
        <v>0</v>
      </c>
      <c r="DH40" s="91">
        <f t="shared" si="508"/>
        <v>0</v>
      </c>
      <c r="DI40" s="91">
        <f t="shared" si="508"/>
        <v>0</v>
      </c>
      <c r="DJ40" s="91">
        <f t="shared" si="508"/>
        <v>0</v>
      </c>
      <c r="DK40" s="91">
        <f t="shared" si="508"/>
        <v>0</v>
      </c>
      <c r="DL40" s="91">
        <f t="shared" si="508"/>
        <v>0</v>
      </c>
      <c r="DM40" s="91">
        <f t="shared" si="508"/>
        <v>0</v>
      </c>
      <c r="DN40" s="91">
        <f t="shared" si="508"/>
        <v>0</v>
      </c>
      <c r="DO40" s="91">
        <f t="shared" si="509"/>
        <v>0</v>
      </c>
      <c r="DP40" s="91">
        <f t="shared" si="509"/>
        <v>0</v>
      </c>
      <c r="DQ40" s="91">
        <f t="shared" si="509"/>
        <v>0</v>
      </c>
      <c r="DR40" s="91">
        <f t="shared" si="509"/>
        <v>0</v>
      </c>
      <c r="DS40" s="91">
        <f t="shared" si="509"/>
        <v>0</v>
      </c>
      <c r="DT40" s="91">
        <f t="shared" si="509"/>
        <v>0</v>
      </c>
      <c r="DU40" s="91">
        <f t="shared" si="509"/>
        <v>0</v>
      </c>
      <c r="DV40" s="91">
        <f t="shared" si="509"/>
        <v>0</v>
      </c>
      <c r="DW40" s="91">
        <f t="shared" si="509"/>
        <v>0</v>
      </c>
      <c r="DX40" s="91">
        <f t="shared" si="509"/>
        <v>0</v>
      </c>
      <c r="DY40" s="91">
        <f t="shared" si="510"/>
        <v>0</v>
      </c>
      <c r="DZ40" s="91">
        <f t="shared" si="510"/>
        <v>0</v>
      </c>
      <c r="EA40" s="91">
        <f t="shared" si="510"/>
        <v>0</v>
      </c>
      <c r="EB40" s="91">
        <f t="shared" si="510"/>
        <v>0</v>
      </c>
      <c r="EC40" s="91">
        <f t="shared" si="510"/>
        <v>0</v>
      </c>
      <c r="ED40" s="91">
        <f t="shared" si="510"/>
        <v>0</v>
      </c>
      <c r="EE40" s="91">
        <f t="shared" si="510"/>
        <v>0</v>
      </c>
      <c r="EF40" s="91">
        <f t="shared" si="510"/>
        <v>0</v>
      </c>
      <c r="EG40" s="91">
        <f t="shared" si="510"/>
        <v>0</v>
      </c>
      <c r="EH40" s="91">
        <f t="shared" si="510"/>
        <v>0</v>
      </c>
      <c r="EI40" s="91">
        <f t="shared" si="511"/>
        <v>0</v>
      </c>
      <c r="EJ40" s="91">
        <f t="shared" si="511"/>
        <v>0</v>
      </c>
      <c r="EK40" s="91">
        <f t="shared" si="511"/>
        <v>0</v>
      </c>
      <c r="EL40" s="91">
        <f t="shared" si="511"/>
        <v>0</v>
      </c>
      <c r="EM40" s="91">
        <f t="shared" si="511"/>
        <v>0</v>
      </c>
      <c r="EN40" s="91">
        <f t="shared" si="511"/>
        <v>0</v>
      </c>
      <c r="EO40" s="91">
        <f t="shared" si="511"/>
        <v>0</v>
      </c>
      <c r="EP40" s="91">
        <f t="shared" si="511"/>
        <v>0</v>
      </c>
      <c r="EQ40" s="91">
        <f t="shared" si="511"/>
        <v>0</v>
      </c>
      <c r="ER40" s="91">
        <f t="shared" si="511"/>
        <v>0</v>
      </c>
      <c r="ES40" s="91">
        <f t="shared" si="512"/>
        <v>0</v>
      </c>
      <c r="ET40" s="91">
        <f t="shared" si="512"/>
        <v>0</v>
      </c>
      <c r="EU40" s="91">
        <f t="shared" si="512"/>
        <v>0</v>
      </c>
      <c r="EW40" s="207">
        <f>K40</f>
        <v>75000</v>
      </c>
      <c r="EX40" s="208">
        <f t="shared" si="513"/>
        <v>46081</v>
      </c>
      <c r="EY40" s="208">
        <f t="shared" si="513"/>
        <v>46599</v>
      </c>
      <c r="EZ40" s="209">
        <f>F40-E40+1</f>
        <v>18</v>
      </c>
      <c r="FA40" s="210">
        <f>EZ40/6</f>
        <v>3</v>
      </c>
      <c r="FC40" s="211">
        <f t="shared" si="514"/>
        <v>0</v>
      </c>
      <c r="FD40" s="211">
        <f t="shared" si="514"/>
        <v>186.53980964068239</v>
      </c>
      <c r="FE40" s="211">
        <f t="shared" si="514"/>
        <v>450.08624565331235</v>
      </c>
      <c r="FF40" s="211">
        <f t="shared" si="514"/>
        <v>972.73643897356976</v>
      </c>
      <c r="FG40" s="211">
        <f t="shared" si="514"/>
        <v>1883.1005116958631</v>
      </c>
      <c r="FH40" s="211">
        <f t="shared" si="514"/>
        <v>3265.3809215359956</v>
      </c>
      <c r="FI40" s="211">
        <f t="shared" si="514"/>
        <v>5071.9959200369713</v>
      </c>
      <c r="FJ40" s="211">
        <f t="shared" si="514"/>
        <v>7056.8483224800002</v>
      </c>
      <c r="FK40" s="211">
        <f t="shared" si="514"/>
        <v>8794.9046465545689</v>
      </c>
      <c r="FL40" s="211">
        <f t="shared" si="514"/>
        <v>9818.4071834290371</v>
      </c>
      <c r="FM40" s="211">
        <f t="shared" si="515"/>
        <v>9818.4071834290407</v>
      </c>
      <c r="FN40" s="211">
        <f t="shared" si="515"/>
        <v>8794.9046465545653</v>
      </c>
      <c r="FO40" s="211">
        <f t="shared" si="515"/>
        <v>7056.848322480002</v>
      </c>
      <c r="FP40" s="211">
        <f t="shared" si="515"/>
        <v>5071.9959200369694</v>
      </c>
      <c r="FQ40" s="211">
        <f t="shared" si="515"/>
        <v>3265.3809215359961</v>
      </c>
      <c r="FR40" s="211">
        <f t="shared" si="515"/>
        <v>1883.1005116958613</v>
      </c>
      <c r="FS40" s="211">
        <f t="shared" si="515"/>
        <v>972.7364389735726</v>
      </c>
      <c r="FT40" s="211">
        <f t="shared" si="515"/>
        <v>450.0862456533078</v>
      </c>
      <c r="FU40" s="211">
        <f t="shared" si="515"/>
        <v>186.53980964068458</v>
      </c>
      <c r="FV40" s="211">
        <f t="shared" si="515"/>
        <v>0</v>
      </c>
      <c r="FW40" s="211">
        <f t="shared" si="516"/>
        <v>0</v>
      </c>
      <c r="FX40" s="211">
        <f t="shared" si="516"/>
        <v>0</v>
      </c>
      <c r="FY40" s="211">
        <f t="shared" si="516"/>
        <v>0</v>
      </c>
      <c r="FZ40" s="211">
        <f t="shared" si="516"/>
        <v>0</v>
      </c>
      <c r="GA40" s="211">
        <f t="shared" si="516"/>
        <v>0</v>
      </c>
      <c r="GB40" s="211">
        <f t="shared" si="516"/>
        <v>0</v>
      </c>
      <c r="GC40" s="211">
        <f t="shared" si="516"/>
        <v>0</v>
      </c>
      <c r="GD40" s="211">
        <f t="shared" si="516"/>
        <v>0</v>
      </c>
      <c r="GE40" s="211">
        <f t="shared" si="516"/>
        <v>0</v>
      </c>
      <c r="GF40" s="211">
        <f t="shared" si="516"/>
        <v>0</v>
      </c>
      <c r="GG40" s="211">
        <f t="shared" si="517"/>
        <v>0</v>
      </c>
      <c r="GH40" s="211">
        <f t="shared" si="517"/>
        <v>0</v>
      </c>
      <c r="GI40" s="211">
        <f t="shared" si="517"/>
        <v>0</v>
      </c>
      <c r="GJ40" s="211">
        <f t="shared" si="517"/>
        <v>0</v>
      </c>
      <c r="GK40" s="211">
        <f t="shared" si="517"/>
        <v>0</v>
      </c>
      <c r="GL40" s="211">
        <f t="shared" si="517"/>
        <v>0</v>
      </c>
      <c r="GM40" s="211">
        <f t="shared" si="517"/>
        <v>0</v>
      </c>
      <c r="GN40" s="211">
        <f t="shared" si="517"/>
        <v>0</v>
      </c>
      <c r="GO40" s="211">
        <f t="shared" si="517"/>
        <v>0</v>
      </c>
      <c r="GP40" s="211">
        <f t="shared" si="517"/>
        <v>0</v>
      </c>
      <c r="GQ40" s="211">
        <f t="shared" si="518"/>
        <v>0</v>
      </c>
      <c r="GR40" s="211">
        <f t="shared" si="518"/>
        <v>0</v>
      </c>
      <c r="GS40" s="211">
        <f t="shared" si="518"/>
        <v>0</v>
      </c>
      <c r="GT40" s="211">
        <f t="shared" si="518"/>
        <v>0</v>
      </c>
      <c r="GU40" s="211">
        <f t="shared" si="518"/>
        <v>0</v>
      </c>
      <c r="GV40" s="211">
        <f t="shared" si="518"/>
        <v>0</v>
      </c>
      <c r="GW40" s="211">
        <f t="shared" si="518"/>
        <v>0</v>
      </c>
      <c r="GX40" s="211">
        <f t="shared" si="518"/>
        <v>0</v>
      </c>
      <c r="GY40" s="211">
        <f t="shared" si="518"/>
        <v>0</v>
      </c>
      <c r="GZ40" s="211">
        <f t="shared" si="518"/>
        <v>0</v>
      </c>
      <c r="HA40" s="211">
        <f t="shared" si="519"/>
        <v>0</v>
      </c>
      <c r="HB40" s="211">
        <f t="shared" si="519"/>
        <v>0</v>
      </c>
      <c r="HC40" s="211">
        <f t="shared" si="519"/>
        <v>0</v>
      </c>
      <c r="HD40" s="211">
        <f t="shared" si="519"/>
        <v>0</v>
      </c>
      <c r="HE40" s="211">
        <f t="shared" si="519"/>
        <v>0</v>
      </c>
      <c r="HF40" s="211">
        <f t="shared" si="519"/>
        <v>0</v>
      </c>
      <c r="HG40" s="211">
        <f t="shared" si="519"/>
        <v>0</v>
      </c>
      <c r="HH40" s="211">
        <f t="shared" si="519"/>
        <v>0</v>
      </c>
      <c r="HI40" s="211">
        <f t="shared" si="519"/>
        <v>0</v>
      </c>
      <c r="HJ40" s="211">
        <f t="shared" si="519"/>
        <v>0</v>
      </c>
      <c r="HK40" s="211">
        <f t="shared" si="520"/>
        <v>0</v>
      </c>
      <c r="HL40" s="211">
        <f t="shared" si="520"/>
        <v>0</v>
      </c>
      <c r="HM40" s="211">
        <f t="shared" si="520"/>
        <v>0</v>
      </c>
      <c r="HN40" s="211">
        <f t="shared" si="520"/>
        <v>0</v>
      </c>
      <c r="HO40" s="211">
        <f t="shared" si="520"/>
        <v>0</v>
      </c>
      <c r="HP40" s="211">
        <f t="shared" si="520"/>
        <v>0</v>
      </c>
      <c r="HQ40" s="211">
        <f t="shared" si="520"/>
        <v>0</v>
      </c>
      <c r="HR40" s="211">
        <f t="shared" si="520"/>
        <v>0</v>
      </c>
      <c r="HS40" s="211">
        <f t="shared" si="520"/>
        <v>0</v>
      </c>
      <c r="HT40" s="211">
        <f t="shared" si="520"/>
        <v>0</v>
      </c>
      <c r="HU40" s="211">
        <f t="shared" si="521"/>
        <v>0</v>
      </c>
      <c r="HV40" s="211">
        <f t="shared" si="521"/>
        <v>0</v>
      </c>
      <c r="HW40" s="211">
        <f t="shared" si="521"/>
        <v>0</v>
      </c>
      <c r="HX40" s="211">
        <f t="shared" si="521"/>
        <v>0</v>
      </c>
      <c r="HY40" s="211">
        <f t="shared" si="521"/>
        <v>0</v>
      </c>
      <c r="HZ40" s="211">
        <f t="shared" si="521"/>
        <v>0</v>
      </c>
      <c r="IA40" s="211">
        <f t="shared" si="521"/>
        <v>0</v>
      </c>
      <c r="IB40" s="211">
        <f t="shared" si="521"/>
        <v>0</v>
      </c>
      <c r="IC40" s="211">
        <f t="shared" si="521"/>
        <v>0</v>
      </c>
      <c r="ID40" s="211">
        <f t="shared" si="521"/>
        <v>0</v>
      </c>
      <c r="IE40" s="211">
        <f t="shared" si="522"/>
        <v>0</v>
      </c>
      <c r="IF40" s="211">
        <f t="shared" si="522"/>
        <v>0</v>
      </c>
      <c r="IG40" s="211">
        <f t="shared" si="522"/>
        <v>0</v>
      </c>
      <c r="IH40" s="211">
        <f t="shared" si="522"/>
        <v>0</v>
      </c>
      <c r="II40" s="211">
        <f t="shared" si="522"/>
        <v>0</v>
      </c>
      <c r="IJ40" s="211">
        <f t="shared" si="522"/>
        <v>0</v>
      </c>
      <c r="IK40" s="211">
        <f t="shared" si="522"/>
        <v>0</v>
      </c>
      <c r="IL40" s="211">
        <f t="shared" si="522"/>
        <v>0</v>
      </c>
      <c r="IM40" s="211">
        <f t="shared" si="522"/>
        <v>0</v>
      </c>
      <c r="IN40" s="211">
        <f t="shared" si="522"/>
        <v>0</v>
      </c>
      <c r="IO40" s="211">
        <f t="shared" si="523"/>
        <v>0</v>
      </c>
      <c r="IP40" s="211">
        <f t="shared" si="523"/>
        <v>0</v>
      </c>
      <c r="IQ40" s="211">
        <f t="shared" si="523"/>
        <v>0</v>
      </c>
      <c r="IR40" s="211">
        <f t="shared" si="523"/>
        <v>0</v>
      </c>
      <c r="IS40" s="211">
        <f t="shared" si="523"/>
        <v>0</v>
      </c>
      <c r="IT40" s="211">
        <f t="shared" si="523"/>
        <v>0</v>
      </c>
      <c r="IU40" s="211">
        <f t="shared" si="523"/>
        <v>0</v>
      </c>
      <c r="IV40" s="211">
        <f t="shared" si="523"/>
        <v>0</v>
      </c>
      <c r="IW40" s="211">
        <f t="shared" si="523"/>
        <v>0</v>
      </c>
      <c r="IX40" s="211">
        <f t="shared" si="523"/>
        <v>0</v>
      </c>
      <c r="IY40" s="211">
        <f t="shared" si="524"/>
        <v>0</v>
      </c>
      <c r="IZ40" s="211">
        <f t="shared" si="524"/>
        <v>0</v>
      </c>
      <c r="JA40" s="211">
        <f t="shared" si="524"/>
        <v>0</v>
      </c>
      <c r="JB40" s="211">
        <f t="shared" si="524"/>
        <v>0</v>
      </c>
      <c r="JC40" s="211">
        <f t="shared" si="524"/>
        <v>0</v>
      </c>
      <c r="JD40" s="211">
        <f t="shared" si="524"/>
        <v>0</v>
      </c>
      <c r="JE40" s="211">
        <f t="shared" si="524"/>
        <v>0</v>
      </c>
      <c r="JF40" s="211">
        <f t="shared" si="524"/>
        <v>0</v>
      </c>
      <c r="JG40" s="211">
        <f t="shared" si="524"/>
        <v>0</v>
      </c>
      <c r="JH40" s="211">
        <f t="shared" si="524"/>
        <v>0</v>
      </c>
      <c r="JI40" s="211">
        <f t="shared" si="525"/>
        <v>0</v>
      </c>
      <c r="JJ40" s="211">
        <f t="shared" si="525"/>
        <v>0</v>
      </c>
      <c r="JK40" s="211">
        <f t="shared" si="525"/>
        <v>0</v>
      </c>
      <c r="JL40" s="211">
        <f t="shared" si="525"/>
        <v>0</v>
      </c>
      <c r="JM40" s="211">
        <f t="shared" si="525"/>
        <v>0</v>
      </c>
      <c r="JN40" s="211">
        <f t="shared" si="525"/>
        <v>0</v>
      </c>
      <c r="JO40" s="211">
        <f t="shared" si="525"/>
        <v>0</v>
      </c>
      <c r="JP40" s="211">
        <f t="shared" si="525"/>
        <v>0</v>
      </c>
      <c r="JQ40" s="211">
        <f t="shared" si="525"/>
        <v>0</v>
      </c>
      <c r="JR40" s="211">
        <f t="shared" si="525"/>
        <v>0</v>
      </c>
      <c r="JS40" s="211">
        <f t="shared" si="526"/>
        <v>0</v>
      </c>
      <c r="JT40" s="211">
        <f t="shared" si="526"/>
        <v>0</v>
      </c>
      <c r="JU40" s="211">
        <f t="shared" si="526"/>
        <v>0</v>
      </c>
      <c r="JV40" s="211">
        <f t="shared" si="526"/>
        <v>0</v>
      </c>
      <c r="JW40" s="211">
        <f t="shared" si="526"/>
        <v>0</v>
      </c>
      <c r="JX40" s="211">
        <f t="shared" si="526"/>
        <v>0</v>
      </c>
      <c r="JY40" s="211">
        <f t="shared" si="526"/>
        <v>0</v>
      </c>
      <c r="JZ40" s="211">
        <f t="shared" si="526"/>
        <v>0</v>
      </c>
      <c r="KA40" s="211">
        <f t="shared" si="526"/>
        <v>0</v>
      </c>
      <c r="KB40" s="211">
        <f t="shared" si="526"/>
        <v>0</v>
      </c>
      <c r="KC40" s="211">
        <f t="shared" si="526"/>
        <v>0</v>
      </c>
      <c r="KD40" s="211">
        <f t="shared" si="526"/>
        <v>0</v>
      </c>
      <c r="KE40" s="211">
        <f t="shared" si="526"/>
        <v>0</v>
      </c>
      <c r="KG40" s="207"/>
      <c r="KH40" s="208"/>
      <c r="KI40" s="208"/>
      <c r="KJ40" s="209"/>
      <c r="KK40" s="210"/>
      <c r="KM40" s="211"/>
      <c r="KN40" s="211"/>
      <c r="KO40" s="211"/>
      <c r="KP40" s="211"/>
      <c r="KQ40" s="211"/>
      <c r="KR40" s="211"/>
      <c r="KS40" s="211"/>
      <c r="KT40" s="211"/>
      <c r="KU40" s="211"/>
      <c r="KV40" s="211"/>
      <c r="KW40" s="211"/>
      <c r="KX40" s="211"/>
      <c r="KY40" s="211"/>
      <c r="KZ40" s="211"/>
      <c r="LA40" s="211"/>
      <c r="LB40" s="211"/>
      <c r="LC40" s="211"/>
      <c r="LD40" s="211"/>
      <c r="LE40" s="211"/>
      <c r="LF40" s="211"/>
      <c r="LG40" s="211"/>
      <c r="LH40" s="211"/>
      <c r="LI40" s="211"/>
      <c r="LJ40" s="211"/>
      <c r="LK40" s="211"/>
      <c r="LL40" s="211"/>
      <c r="LM40" s="211"/>
      <c r="LN40" s="211"/>
      <c r="LO40" s="211"/>
      <c r="LP40" s="211"/>
      <c r="LQ40" s="211"/>
      <c r="LR40" s="211"/>
      <c r="LS40" s="211"/>
      <c r="LT40" s="211"/>
      <c r="LU40" s="211"/>
      <c r="LV40" s="211"/>
      <c r="LW40" s="211"/>
      <c r="LX40" s="211"/>
      <c r="LY40" s="211"/>
      <c r="LZ40" s="211"/>
      <c r="MA40" s="211"/>
      <c r="MB40" s="211"/>
      <c r="MC40" s="211"/>
      <c r="MD40" s="211"/>
      <c r="ME40" s="211"/>
      <c r="MF40" s="211"/>
      <c r="MG40" s="211"/>
      <c r="MH40" s="211"/>
      <c r="MI40" s="211"/>
      <c r="MJ40" s="211"/>
      <c r="MK40" s="211"/>
      <c r="ML40" s="211"/>
      <c r="MM40" s="211"/>
      <c r="MN40" s="211"/>
      <c r="MO40" s="211"/>
      <c r="MP40" s="211"/>
      <c r="MQ40" s="211"/>
      <c r="MR40" s="211"/>
      <c r="MS40" s="211"/>
      <c r="MT40" s="211"/>
      <c r="MU40" s="211"/>
      <c r="MV40" s="211"/>
      <c r="MW40" s="211"/>
      <c r="MX40" s="211"/>
      <c r="MY40" s="211"/>
      <c r="MZ40" s="211"/>
      <c r="NA40" s="211"/>
      <c r="NB40" s="211"/>
      <c r="NC40" s="211"/>
      <c r="ND40" s="211"/>
      <c r="NE40" s="211"/>
      <c r="NF40" s="211"/>
      <c r="NG40" s="211"/>
      <c r="NH40" s="211"/>
      <c r="NI40" s="211"/>
      <c r="NJ40" s="211"/>
      <c r="NK40" s="211"/>
      <c r="NL40" s="211"/>
      <c r="NM40" s="211"/>
      <c r="NN40" s="211"/>
      <c r="NO40" s="211"/>
      <c r="NP40" s="211"/>
      <c r="NQ40" s="211"/>
      <c r="NR40" s="211"/>
      <c r="NS40" s="211"/>
      <c r="NT40" s="211"/>
      <c r="NU40" s="211"/>
      <c r="NV40" s="211"/>
      <c r="NW40" s="211"/>
      <c r="NX40" s="211"/>
      <c r="NY40" s="211"/>
      <c r="NZ40" s="211"/>
      <c r="OA40" s="211"/>
      <c r="OB40" s="211"/>
      <c r="OC40" s="211"/>
      <c r="OD40" s="211"/>
      <c r="OE40" s="211"/>
      <c r="OF40" s="211"/>
      <c r="OG40" s="211"/>
      <c r="OH40" s="211"/>
      <c r="OI40" s="211"/>
      <c r="OJ40" s="211"/>
      <c r="OK40" s="211"/>
      <c r="OL40" s="211"/>
      <c r="OM40" s="211"/>
      <c r="ON40" s="211"/>
      <c r="OO40" s="211"/>
      <c r="OP40" s="211"/>
      <c r="OQ40" s="211"/>
      <c r="OR40" s="211"/>
      <c r="OS40" s="211"/>
      <c r="OT40" s="211"/>
      <c r="OU40" s="211"/>
      <c r="OV40" s="211"/>
      <c r="OW40" s="211"/>
      <c r="OX40" s="211"/>
      <c r="OY40" s="211"/>
      <c r="OZ40" s="211"/>
      <c r="PA40" s="211"/>
      <c r="PB40" s="211"/>
      <c r="PC40" s="211"/>
      <c r="PD40" s="211"/>
      <c r="PE40" s="211"/>
      <c r="PF40" s="211"/>
      <c r="PG40" s="211"/>
      <c r="PH40" s="211"/>
      <c r="PI40" s="211"/>
      <c r="PJ40" s="211"/>
      <c r="PK40" s="211"/>
      <c r="PL40" s="211"/>
      <c r="PM40" s="211"/>
      <c r="PN40" s="211"/>
      <c r="PO40" s="211"/>
      <c r="PQ40" s="201"/>
      <c r="PR40" s="201"/>
      <c r="PS40" s="201"/>
      <c r="PT40" s="201"/>
      <c r="PU40" s="201"/>
      <c r="PV40" s="201"/>
      <c r="PW40" s="201"/>
      <c r="PX40" s="201"/>
      <c r="PY40" s="201"/>
      <c r="PZ40" s="201"/>
      <c r="QA40" s="201"/>
      <c r="QB40" s="201"/>
      <c r="QC40" s="201"/>
      <c r="QD40" s="201"/>
      <c r="QE40" s="201"/>
      <c r="QF40" s="201"/>
      <c r="QG40" s="201"/>
      <c r="QH40" s="201"/>
      <c r="QI40" s="201"/>
      <c r="QJ40" s="201"/>
      <c r="QK40" s="201"/>
      <c r="QL40" s="201"/>
      <c r="QM40" s="201"/>
      <c r="QN40" s="201"/>
      <c r="QO40" s="201"/>
      <c r="QP40" s="201"/>
      <c r="QQ40" s="201"/>
      <c r="QR40" s="201"/>
      <c r="QS40" s="201"/>
      <c r="QT40" s="201"/>
      <c r="QU40" s="201"/>
      <c r="QV40" s="201"/>
      <c r="QW40" s="201"/>
      <c r="QX40" s="201"/>
      <c r="QY40" s="201"/>
      <c r="QZ40" s="201"/>
      <c r="RA40" s="201"/>
      <c r="RB40" s="201"/>
      <c r="RC40" s="201"/>
      <c r="RD40" s="201"/>
      <c r="RE40" s="201"/>
      <c r="RF40" s="201"/>
      <c r="RG40" s="201"/>
      <c r="RH40" s="201"/>
      <c r="RI40" s="201"/>
      <c r="RJ40" s="201"/>
      <c r="RK40" s="201"/>
      <c r="RL40" s="201"/>
      <c r="RM40" s="201"/>
      <c r="RN40" s="201"/>
      <c r="RO40" s="201"/>
      <c r="RP40" s="201"/>
      <c r="RQ40" s="201"/>
      <c r="RR40" s="201"/>
      <c r="RS40" s="201"/>
      <c r="RT40" s="201"/>
      <c r="RU40" s="201"/>
      <c r="RV40" s="201"/>
      <c r="RW40" s="201"/>
      <c r="RX40" s="201"/>
      <c r="RY40" s="201"/>
      <c r="RZ40" s="201"/>
      <c r="SA40" s="201"/>
      <c r="SB40" s="201"/>
      <c r="SC40" s="201"/>
      <c r="SD40" s="201"/>
      <c r="SE40" s="201"/>
      <c r="SF40" s="201"/>
      <c r="SG40" s="201"/>
      <c r="SH40" s="201"/>
      <c r="SI40" s="201"/>
      <c r="SJ40" s="201"/>
      <c r="SK40" s="201"/>
      <c r="SL40" s="201"/>
      <c r="SM40" s="201"/>
      <c r="SN40" s="201"/>
      <c r="SO40" s="201"/>
      <c r="SP40" s="201"/>
      <c r="SQ40" s="201"/>
      <c r="SR40" s="201"/>
      <c r="SS40" s="201"/>
      <c r="ST40" s="201"/>
      <c r="SU40" s="201"/>
      <c r="SV40" s="201"/>
      <c r="SW40" s="201"/>
      <c r="SX40" s="201"/>
      <c r="SY40" s="201"/>
      <c r="SZ40" s="201"/>
      <c r="TA40" s="201"/>
      <c r="TB40" s="201"/>
      <c r="TC40" s="201"/>
      <c r="TD40" s="201"/>
      <c r="TE40" s="201"/>
      <c r="TF40" s="201"/>
      <c r="TG40" s="201"/>
      <c r="TH40" s="201"/>
      <c r="TI40" s="201"/>
      <c r="TJ40" s="201"/>
      <c r="TK40" s="201"/>
      <c r="TL40" s="201"/>
      <c r="TM40" s="201"/>
      <c r="TN40" s="201"/>
      <c r="TO40" s="201"/>
      <c r="TP40" s="201"/>
      <c r="TQ40" s="201"/>
      <c r="TR40" s="201"/>
      <c r="TS40" s="201"/>
      <c r="TT40" s="201"/>
      <c r="TU40" s="201"/>
      <c r="TV40" s="201"/>
      <c r="TW40" s="201"/>
      <c r="TX40" s="201"/>
      <c r="TY40" s="201"/>
      <c r="TZ40" s="201"/>
      <c r="UA40" s="201"/>
      <c r="UB40" s="201"/>
      <c r="UC40" s="201"/>
      <c r="UD40" s="201"/>
      <c r="UE40" s="201"/>
      <c r="UF40" s="201"/>
      <c r="UG40" s="201"/>
      <c r="UH40" s="201"/>
      <c r="UI40" s="201"/>
      <c r="UJ40" s="201"/>
      <c r="UK40" s="201"/>
      <c r="UL40" s="201"/>
      <c r="UM40" s="201"/>
      <c r="UN40" s="201"/>
      <c r="UO40" s="201"/>
      <c r="UP40" s="201"/>
      <c r="UQ40" s="201"/>
      <c r="UR40" s="201"/>
      <c r="US40" s="201"/>
      <c r="UT40" s="201"/>
      <c r="UU40" s="201"/>
    </row>
    <row r="41" spans="1:567" x14ac:dyDescent="0.25">
      <c r="B41" s="31" t="s">
        <v>832</v>
      </c>
      <c r="C41" s="26"/>
      <c r="D41" s="26"/>
      <c r="E41" s="32">
        <v>1</v>
      </c>
      <c r="F41" s="32">
        <v>18</v>
      </c>
      <c r="G41" s="19" t="s">
        <v>602</v>
      </c>
      <c r="H41" s="32"/>
      <c r="I41" s="33">
        <f t="shared" si="496"/>
        <v>1.5079365079365079</v>
      </c>
      <c r="J41" s="34">
        <f t="shared" si="497"/>
        <v>1266.6666666666667</v>
      </c>
      <c r="K41" s="35">
        <v>380000</v>
      </c>
      <c r="M41" s="3" t="s">
        <v>833</v>
      </c>
      <c r="R41" s="90" t="str">
        <f t="shared" ref="R41" si="527">IF(ROUND(SUM(S41:EU41),0)=ROUND(K41,0),"OK","ERROR")</f>
        <v>OK</v>
      </c>
      <c r="S41" s="91">
        <f t="shared" si="499"/>
        <v>15833.33333333333</v>
      </c>
      <c r="T41" s="91">
        <f t="shared" si="499"/>
        <v>15833.33333333333</v>
      </c>
      <c r="U41" s="91">
        <f t="shared" si="499"/>
        <v>15833.333333333332</v>
      </c>
      <c r="V41" s="91">
        <f t="shared" si="499"/>
        <v>15833.333333333325</v>
      </c>
      <c r="W41" s="91">
        <f t="shared" si="499"/>
        <v>15833.333333333338</v>
      </c>
      <c r="X41" s="91">
        <f t="shared" si="499"/>
        <v>15833.333333333325</v>
      </c>
      <c r="Y41" s="91">
        <f t="shared" si="499"/>
        <v>15833.333333333338</v>
      </c>
      <c r="Z41" s="91">
        <f t="shared" si="499"/>
        <v>15833.333333333316</v>
      </c>
      <c r="AA41" s="91">
        <f t="shared" si="499"/>
        <v>15833.333333333338</v>
      </c>
      <c r="AB41" s="91">
        <f t="shared" si="499"/>
        <v>15833.333333333338</v>
      </c>
      <c r="AC41" s="91">
        <f t="shared" si="500"/>
        <v>15833.333333333316</v>
      </c>
      <c r="AD41" s="91">
        <f t="shared" si="500"/>
        <v>15833.333333333338</v>
      </c>
      <c r="AE41" s="91">
        <f t="shared" si="500"/>
        <v>15833.333333333316</v>
      </c>
      <c r="AF41" s="91">
        <f t="shared" si="500"/>
        <v>15833.333333333356</v>
      </c>
      <c r="AG41" s="91">
        <f t="shared" si="500"/>
        <v>15833.333333333316</v>
      </c>
      <c r="AH41" s="91">
        <f t="shared" si="500"/>
        <v>15833.333333333316</v>
      </c>
      <c r="AI41" s="91">
        <f t="shared" si="500"/>
        <v>15833.333333333356</v>
      </c>
      <c r="AJ41" s="91">
        <f t="shared" si="500"/>
        <v>15833.333333333316</v>
      </c>
      <c r="AK41" s="91">
        <f t="shared" si="500"/>
        <v>15833.333333333316</v>
      </c>
      <c r="AL41" s="91">
        <f t="shared" si="500"/>
        <v>15833.333333333356</v>
      </c>
      <c r="AM41" s="91">
        <f t="shared" si="501"/>
        <v>15833.333333333316</v>
      </c>
      <c r="AN41" s="91">
        <f t="shared" si="501"/>
        <v>15833.333333333316</v>
      </c>
      <c r="AO41" s="91">
        <f t="shared" si="501"/>
        <v>15833.333333333356</v>
      </c>
      <c r="AP41" s="91">
        <f t="shared" si="501"/>
        <v>15833.333333333316</v>
      </c>
      <c r="AQ41" s="91">
        <f t="shared" si="501"/>
        <v>0</v>
      </c>
      <c r="AR41" s="91">
        <f t="shared" si="501"/>
        <v>0</v>
      </c>
      <c r="AS41" s="91">
        <f t="shared" si="501"/>
        <v>0</v>
      </c>
      <c r="AT41" s="91">
        <f t="shared" si="501"/>
        <v>0</v>
      </c>
      <c r="AU41" s="91">
        <f t="shared" si="501"/>
        <v>0</v>
      </c>
      <c r="AV41" s="91">
        <f t="shared" si="501"/>
        <v>0</v>
      </c>
      <c r="AW41" s="91">
        <f t="shared" si="502"/>
        <v>0</v>
      </c>
      <c r="AX41" s="91">
        <f t="shared" si="502"/>
        <v>0</v>
      </c>
      <c r="AY41" s="91">
        <f t="shared" si="502"/>
        <v>0</v>
      </c>
      <c r="AZ41" s="91">
        <f t="shared" si="502"/>
        <v>0</v>
      </c>
      <c r="BA41" s="91">
        <f t="shared" si="502"/>
        <v>0</v>
      </c>
      <c r="BB41" s="91">
        <f t="shared" si="502"/>
        <v>0</v>
      </c>
      <c r="BC41" s="91">
        <f t="shared" si="502"/>
        <v>0</v>
      </c>
      <c r="BD41" s="91">
        <f t="shared" si="502"/>
        <v>0</v>
      </c>
      <c r="BE41" s="91">
        <f t="shared" si="502"/>
        <v>0</v>
      </c>
      <c r="BF41" s="91">
        <f t="shared" si="502"/>
        <v>0</v>
      </c>
      <c r="BG41" s="91">
        <f t="shared" si="503"/>
        <v>0</v>
      </c>
      <c r="BH41" s="91">
        <f t="shared" si="503"/>
        <v>0</v>
      </c>
      <c r="BI41" s="91">
        <f t="shared" si="503"/>
        <v>0</v>
      </c>
      <c r="BJ41" s="91">
        <f t="shared" si="503"/>
        <v>0</v>
      </c>
      <c r="BK41" s="91">
        <f t="shared" si="503"/>
        <v>0</v>
      </c>
      <c r="BL41" s="91">
        <f t="shared" si="503"/>
        <v>0</v>
      </c>
      <c r="BM41" s="91">
        <f t="shared" si="503"/>
        <v>0</v>
      </c>
      <c r="BN41" s="91">
        <f t="shared" si="503"/>
        <v>0</v>
      </c>
      <c r="BO41" s="91">
        <f t="shared" si="503"/>
        <v>0</v>
      </c>
      <c r="BP41" s="91">
        <f t="shared" si="503"/>
        <v>0</v>
      </c>
      <c r="BQ41" s="91">
        <f t="shared" si="504"/>
        <v>0</v>
      </c>
      <c r="BR41" s="91">
        <f t="shared" si="504"/>
        <v>0</v>
      </c>
      <c r="BS41" s="91">
        <f t="shared" si="504"/>
        <v>0</v>
      </c>
      <c r="BT41" s="91">
        <f t="shared" si="504"/>
        <v>0</v>
      </c>
      <c r="BU41" s="91">
        <f t="shared" si="504"/>
        <v>0</v>
      </c>
      <c r="BV41" s="91">
        <f t="shared" si="504"/>
        <v>0</v>
      </c>
      <c r="BW41" s="91">
        <f t="shared" si="504"/>
        <v>0</v>
      </c>
      <c r="BX41" s="91">
        <f t="shared" si="504"/>
        <v>0</v>
      </c>
      <c r="BY41" s="91">
        <f t="shared" si="504"/>
        <v>0</v>
      </c>
      <c r="BZ41" s="91">
        <f t="shared" si="504"/>
        <v>0</v>
      </c>
      <c r="CA41" s="91">
        <f t="shared" si="505"/>
        <v>0</v>
      </c>
      <c r="CB41" s="91">
        <f t="shared" si="505"/>
        <v>0</v>
      </c>
      <c r="CC41" s="91">
        <f t="shared" si="505"/>
        <v>0</v>
      </c>
      <c r="CD41" s="91">
        <f t="shared" si="505"/>
        <v>0</v>
      </c>
      <c r="CE41" s="91">
        <f t="shared" si="505"/>
        <v>0</v>
      </c>
      <c r="CF41" s="91">
        <f t="shared" si="505"/>
        <v>0</v>
      </c>
      <c r="CG41" s="91">
        <f t="shared" si="505"/>
        <v>0</v>
      </c>
      <c r="CH41" s="91">
        <f t="shared" si="505"/>
        <v>0</v>
      </c>
      <c r="CI41" s="91">
        <f t="shared" si="505"/>
        <v>0</v>
      </c>
      <c r="CJ41" s="91">
        <f t="shared" si="505"/>
        <v>0</v>
      </c>
      <c r="CK41" s="91">
        <f t="shared" si="506"/>
        <v>0</v>
      </c>
      <c r="CL41" s="91">
        <f t="shared" si="506"/>
        <v>0</v>
      </c>
      <c r="CM41" s="91">
        <f t="shared" si="506"/>
        <v>0</v>
      </c>
      <c r="CN41" s="91">
        <f t="shared" si="506"/>
        <v>0</v>
      </c>
      <c r="CO41" s="91">
        <f t="shared" si="506"/>
        <v>0</v>
      </c>
      <c r="CP41" s="91">
        <f t="shared" si="506"/>
        <v>0</v>
      </c>
      <c r="CQ41" s="91">
        <f t="shared" si="506"/>
        <v>0</v>
      </c>
      <c r="CR41" s="91">
        <f t="shared" si="506"/>
        <v>0</v>
      </c>
      <c r="CS41" s="91">
        <f t="shared" si="506"/>
        <v>0</v>
      </c>
      <c r="CT41" s="91">
        <f t="shared" si="506"/>
        <v>0</v>
      </c>
      <c r="CU41" s="91">
        <f t="shared" si="507"/>
        <v>0</v>
      </c>
      <c r="CV41" s="91">
        <f t="shared" si="507"/>
        <v>0</v>
      </c>
      <c r="CW41" s="91">
        <f t="shared" si="507"/>
        <v>0</v>
      </c>
      <c r="CX41" s="91">
        <f t="shared" si="507"/>
        <v>0</v>
      </c>
      <c r="CY41" s="91">
        <f t="shared" si="507"/>
        <v>0</v>
      </c>
      <c r="CZ41" s="91">
        <f t="shared" si="507"/>
        <v>0</v>
      </c>
      <c r="DA41" s="91">
        <f t="shared" si="507"/>
        <v>0</v>
      </c>
      <c r="DB41" s="91">
        <f t="shared" si="507"/>
        <v>0</v>
      </c>
      <c r="DC41" s="91">
        <f t="shared" si="507"/>
        <v>0</v>
      </c>
      <c r="DD41" s="91">
        <f t="shared" si="507"/>
        <v>0</v>
      </c>
      <c r="DE41" s="91">
        <f t="shared" si="508"/>
        <v>0</v>
      </c>
      <c r="DF41" s="91">
        <f t="shared" si="508"/>
        <v>0</v>
      </c>
      <c r="DG41" s="91">
        <f t="shared" si="508"/>
        <v>0</v>
      </c>
      <c r="DH41" s="91">
        <f t="shared" si="508"/>
        <v>0</v>
      </c>
      <c r="DI41" s="91">
        <f t="shared" si="508"/>
        <v>0</v>
      </c>
      <c r="DJ41" s="91">
        <f t="shared" si="508"/>
        <v>0</v>
      </c>
      <c r="DK41" s="91">
        <f t="shared" si="508"/>
        <v>0</v>
      </c>
      <c r="DL41" s="91">
        <f t="shared" si="508"/>
        <v>0</v>
      </c>
      <c r="DM41" s="91">
        <f t="shared" si="508"/>
        <v>0</v>
      </c>
      <c r="DN41" s="91">
        <f t="shared" si="508"/>
        <v>0</v>
      </c>
      <c r="DO41" s="91">
        <f t="shared" si="509"/>
        <v>0</v>
      </c>
      <c r="DP41" s="91">
        <f t="shared" si="509"/>
        <v>0</v>
      </c>
      <c r="DQ41" s="91">
        <f t="shared" si="509"/>
        <v>0</v>
      </c>
      <c r="DR41" s="91">
        <f t="shared" si="509"/>
        <v>0</v>
      </c>
      <c r="DS41" s="91">
        <f t="shared" si="509"/>
        <v>0</v>
      </c>
      <c r="DT41" s="91">
        <f t="shared" si="509"/>
        <v>0</v>
      </c>
      <c r="DU41" s="91">
        <f t="shared" si="509"/>
        <v>0</v>
      </c>
      <c r="DV41" s="91">
        <f t="shared" si="509"/>
        <v>0</v>
      </c>
      <c r="DW41" s="91">
        <f t="shared" si="509"/>
        <v>0</v>
      </c>
      <c r="DX41" s="91">
        <f t="shared" si="509"/>
        <v>0</v>
      </c>
      <c r="DY41" s="91">
        <f t="shared" si="510"/>
        <v>0</v>
      </c>
      <c r="DZ41" s="91">
        <f t="shared" si="510"/>
        <v>0</v>
      </c>
      <c r="EA41" s="91">
        <f t="shared" si="510"/>
        <v>0</v>
      </c>
      <c r="EB41" s="91">
        <f t="shared" si="510"/>
        <v>0</v>
      </c>
      <c r="EC41" s="91">
        <f t="shared" si="510"/>
        <v>0</v>
      </c>
      <c r="ED41" s="91">
        <f t="shared" si="510"/>
        <v>0</v>
      </c>
      <c r="EE41" s="91">
        <f t="shared" si="510"/>
        <v>0</v>
      </c>
      <c r="EF41" s="91">
        <f t="shared" si="510"/>
        <v>0</v>
      </c>
      <c r="EG41" s="91">
        <f t="shared" si="510"/>
        <v>0</v>
      </c>
      <c r="EH41" s="91">
        <f t="shared" si="510"/>
        <v>0</v>
      </c>
      <c r="EI41" s="91">
        <f t="shared" si="511"/>
        <v>0</v>
      </c>
      <c r="EJ41" s="91">
        <f t="shared" si="511"/>
        <v>0</v>
      </c>
      <c r="EK41" s="91">
        <f t="shared" si="511"/>
        <v>0</v>
      </c>
      <c r="EL41" s="91">
        <f t="shared" si="511"/>
        <v>0</v>
      </c>
      <c r="EM41" s="91">
        <f t="shared" si="511"/>
        <v>0</v>
      </c>
      <c r="EN41" s="91">
        <f t="shared" si="511"/>
        <v>0</v>
      </c>
      <c r="EO41" s="91">
        <f t="shared" si="511"/>
        <v>0</v>
      </c>
      <c r="EP41" s="91">
        <f t="shared" si="511"/>
        <v>0</v>
      </c>
      <c r="EQ41" s="91">
        <f t="shared" si="511"/>
        <v>0</v>
      </c>
      <c r="ER41" s="91">
        <f t="shared" si="511"/>
        <v>0</v>
      </c>
      <c r="ES41" s="91">
        <f t="shared" si="512"/>
        <v>0</v>
      </c>
      <c r="ET41" s="91">
        <f t="shared" si="512"/>
        <v>0</v>
      </c>
      <c r="EU41" s="91">
        <f t="shared" si="512"/>
        <v>0</v>
      </c>
      <c r="EW41" s="207">
        <f>K41</f>
        <v>380000</v>
      </c>
      <c r="EX41" s="208">
        <f t="shared" ref="EX41" si="528">INDEX($S$23:$EU$23,1,E41+1)</f>
        <v>46081</v>
      </c>
      <c r="EY41" s="208">
        <f t="shared" ref="EY41" si="529">INDEX($S$23:$EU$23,1,F41+1)</f>
        <v>46599</v>
      </c>
      <c r="EZ41" s="209">
        <f>F41-E41+1</f>
        <v>18</v>
      </c>
      <c r="FA41" s="210">
        <f>EZ41/6</f>
        <v>3</v>
      </c>
      <c r="FC41" s="211">
        <f t="shared" si="514"/>
        <v>0</v>
      </c>
      <c r="FD41" s="211">
        <f t="shared" si="514"/>
        <v>945.13503551279075</v>
      </c>
      <c r="FE41" s="211">
        <f t="shared" si="514"/>
        <v>2280.4369779767826</v>
      </c>
      <c r="FF41" s="211">
        <f t="shared" si="514"/>
        <v>4928.5312907994203</v>
      </c>
      <c r="FG41" s="211">
        <f t="shared" si="514"/>
        <v>9541.0425925923737</v>
      </c>
      <c r="FH41" s="211">
        <f t="shared" si="514"/>
        <v>16544.596669115712</v>
      </c>
      <c r="FI41" s="211">
        <f t="shared" si="514"/>
        <v>25698.112661520656</v>
      </c>
      <c r="FJ41" s="211">
        <f t="shared" si="514"/>
        <v>35754.698167231996</v>
      </c>
      <c r="FK41" s="211">
        <f t="shared" si="514"/>
        <v>44560.850209209821</v>
      </c>
      <c r="FL41" s="211">
        <f t="shared" si="514"/>
        <v>49746.596396040455</v>
      </c>
      <c r="FM41" s="211">
        <f t="shared" si="515"/>
        <v>49746.596396040477</v>
      </c>
      <c r="FN41" s="211">
        <f t="shared" si="515"/>
        <v>44560.850209209799</v>
      </c>
      <c r="FO41" s="211">
        <f t="shared" si="515"/>
        <v>35754.698167232011</v>
      </c>
      <c r="FP41" s="211">
        <f t="shared" si="515"/>
        <v>25698.112661520645</v>
      </c>
      <c r="FQ41" s="211">
        <f t="shared" si="515"/>
        <v>16544.596669115715</v>
      </c>
      <c r="FR41" s="211">
        <f t="shared" si="515"/>
        <v>9541.0425925923646</v>
      </c>
      <c r="FS41" s="211">
        <f t="shared" si="515"/>
        <v>4928.5312907994348</v>
      </c>
      <c r="FT41" s="211">
        <f t="shared" si="515"/>
        <v>2280.4369779767594</v>
      </c>
      <c r="FU41" s="211">
        <f t="shared" si="515"/>
        <v>945.13503551280189</v>
      </c>
      <c r="FV41" s="211">
        <f t="shared" si="515"/>
        <v>0</v>
      </c>
      <c r="FW41" s="211">
        <f t="shared" si="516"/>
        <v>0</v>
      </c>
      <c r="FX41" s="211">
        <f t="shared" si="516"/>
        <v>0</v>
      </c>
      <c r="FY41" s="211">
        <f t="shared" si="516"/>
        <v>0</v>
      </c>
      <c r="FZ41" s="211">
        <f t="shared" si="516"/>
        <v>0</v>
      </c>
      <c r="GA41" s="211">
        <f t="shared" si="516"/>
        <v>0</v>
      </c>
      <c r="GB41" s="211">
        <f t="shared" si="516"/>
        <v>0</v>
      </c>
      <c r="GC41" s="211">
        <f t="shared" si="516"/>
        <v>0</v>
      </c>
      <c r="GD41" s="211">
        <f t="shared" si="516"/>
        <v>0</v>
      </c>
      <c r="GE41" s="211">
        <f t="shared" si="516"/>
        <v>0</v>
      </c>
      <c r="GF41" s="211">
        <f t="shared" si="516"/>
        <v>0</v>
      </c>
      <c r="GG41" s="211">
        <f t="shared" si="517"/>
        <v>0</v>
      </c>
      <c r="GH41" s="211">
        <f t="shared" si="517"/>
        <v>0</v>
      </c>
      <c r="GI41" s="211">
        <f t="shared" si="517"/>
        <v>0</v>
      </c>
      <c r="GJ41" s="211">
        <f t="shared" si="517"/>
        <v>0</v>
      </c>
      <c r="GK41" s="211">
        <f t="shared" si="517"/>
        <v>0</v>
      </c>
      <c r="GL41" s="211">
        <f t="shared" si="517"/>
        <v>0</v>
      </c>
      <c r="GM41" s="211">
        <f t="shared" si="517"/>
        <v>0</v>
      </c>
      <c r="GN41" s="211">
        <f t="shared" si="517"/>
        <v>0</v>
      </c>
      <c r="GO41" s="211">
        <f t="shared" si="517"/>
        <v>0</v>
      </c>
      <c r="GP41" s="211">
        <f t="shared" si="517"/>
        <v>0</v>
      </c>
      <c r="GQ41" s="211">
        <f t="shared" si="518"/>
        <v>0</v>
      </c>
      <c r="GR41" s="211">
        <f t="shared" si="518"/>
        <v>0</v>
      </c>
      <c r="GS41" s="211">
        <f t="shared" si="518"/>
        <v>0</v>
      </c>
      <c r="GT41" s="211">
        <f t="shared" si="518"/>
        <v>0</v>
      </c>
      <c r="GU41" s="211">
        <f t="shared" si="518"/>
        <v>0</v>
      </c>
      <c r="GV41" s="211">
        <f t="shared" si="518"/>
        <v>0</v>
      </c>
      <c r="GW41" s="211">
        <f t="shared" si="518"/>
        <v>0</v>
      </c>
      <c r="GX41" s="211">
        <f t="shared" si="518"/>
        <v>0</v>
      </c>
      <c r="GY41" s="211">
        <f t="shared" si="518"/>
        <v>0</v>
      </c>
      <c r="GZ41" s="211">
        <f t="shared" si="518"/>
        <v>0</v>
      </c>
      <c r="HA41" s="211">
        <f t="shared" si="519"/>
        <v>0</v>
      </c>
      <c r="HB41" s="211">
        <f t="shared" si="519"/>
        <v>0</v>
      </c>
      <c r="HC41" s="211">
        <f t="shared" si="519"/>
        <v>0</v>
      </c>
      <c r="HD41" s="211">
        <f t="shared" si="519"/>
        <v>0</v>
      </c>
      <c r="HE41" s="211">
        <f t="shared" si="519"/>
        <v>0</v>
      </c>
      <c r="HF41" s="211">
        <f t="shared" si="519"/>
        <v>0</v>
      </c>
      <c r="HG41" s="211">
        <f t="shared" si="519"/>
        <v>0</v>
      </c>
      <c r="HH41" s="211">
        <f t="shared" si="519"/>
        <v>0</v>
      </c>
      <c r="HI41" s="211">
        <f t="shared" si="519"/>
        <v>0</v>
      </c>
      <c r="HJ41" s="211">
        <f t="shared" si="519"/>
        <v>0</v>
      </c>
      <c r="HK41" s="211">
        <f t="shared" si="520"/>
        <v>0</v>
      </c>
      <c r="HL41" s="211">
        <f t="shared" si="520"/>
        <v>0</v>
      </c>
      <c r="HM41" s="211">
        <f t="shared" si="520"/>
        <v>0</v>
      </c>
      <c r="HN41" s="211">
        <f t="shared" si="520"/>
        <v>0</v>
      </c>
      <c r="HO41" s="211">
        <f t="shared" si="520"/>
        <v>0</v>
      </c>
      <c r="HP41" s="211">
        <f t="shared" si="520"/>
        <v>0</v>
      </c>
      <c r="HQ41" s="211">
        <f t="shared" si="520"/>
        <v>0</v>
      </c>
      <c r="HR41" s="211">
        <f t="shared" si="520"/>
        <v>0</v>
      </c>
      <c r="HS41" s="211">
        <f t="shared" si="520"/>
        <v>0</v>
      </c>
      <c r="HT41" s="211">
        <f t="shared" si="520"/>
        <v>0</v>
      </c>
      <c r="HU41" s="211">
        <f t="shared" si="521"/>
        <v>0</v>
      </c>
      <c r="HV41" s="211">
        <f t="shared" si="521"/>
        <v>0</v>
      </c>
      <c r="HW41" s="211">
        <f t="shared" si="521"/>
        <v>0</v>
      </c>
      <c r="HX41" s="211">
        <f t="shared" si="521"/>
        <v>0</v>
      </c>
      <c r="HY41" s="211">
        <f t="shared" si="521"/>
        <v>0</v>
      </c>
      <c r="HZ41" s="211">
        <f t="shared" si="521"/>
        <v>0</v>
      </c>
      <c r="IA41" s="211">
        <f t="shared" si="521"/>
        <v>0</v>
      </c>
      <c r="IB41" s="211">
        <f t="shared" si="521"/>
        <v>0</v>
      </c>
      <c r="IC41" s="211">
        <f t="shared" si="521"/>
        <v>0</v>
      </c>
      <c r="ID41" s="211">
        <f t="shared" si="521"/>
        <v>0</v>
      </c>
      <c r="IE41" s="211">
        <f t="shared" si="522"/>
        <v>0</v>
      </c>
      <c r="IF41" s="211">
        <f t="shared" si="522"/>
        <v>0</v>
      </c>
      <c r="IG41" s="211">
        <f t="shared" si="522"/>
        <v>0</v>
      </c>
      <c r="IH41" s="211">
        <f t="shared" si="522"/>
        <v>0</v>
      </c>
      <c r="II41" s="211">
        <f t="shared" si="522"/>
        <v>0</v>
      </c>
      <c r="IJ41" s="211">
        <f t="shared" si="522"/>
        <v>0</v>
      </c>
      <c r="IK41" s="211">
        <f t="shared" si="522"/>
        <v>0</v>
      </c>
      <c r="IL41" s="211">
        <f t="shared" si="522"/>
        <v>0</v>
      </c>
      <c r="IM41" s="211">
        <f t="shared" si="522"/>
        <v>0</v>
      </c>
      <c r="IN41" s="211">
        <f t="shared" si="522"/>
        <v>0</v>
      </c>
      <c r="IO41" s="211">
        <f t="shared" si="523"/>
        <v>0</v>
      </c>
      <c r="IP41" s="211">
        <f t="shared" si="523"/>
        <v>0</v>
      </c>
      <c r="IQ41" s="211">
        <f t="shared" si="523"/>
        <v>0</v>
      </c>
      <c r="IR41" s="211">
        <f t="shared" si="523"/>
        <v>0</v>
      </c>
      <c r="IS41" s="211">
        <f t="shared" si="523"/>
        <v>0</v>
      </c>
      <c r="IT41" s="211">
        <f t="shared" si="523"/>
        <v>0</v>
      </c>
      <c r="IU41" s="211">
        <f t="shared" si="523"/>
        <v>0</v>
      </c>
      <c r="IV41" s="211">
        <f t="shared" si="523"/>
        <v>0</v>
      </c>
      <c r="IW41" s="211">
        <f t="shared" si="523"/>
        <v>0</v>
      </c>
      <c r="IX41" s="211">
        <f t="shared" si="523"/>
        <v>0</v>
      </c>
      <c r="IY41" s="211">
        <f t="shared" si="524"/>
        <v>0</v>
      </c>
      <c r="IZ41" s="211">
        <f t="shared" si="524"/>
        <v>0</v>
      </c>
      <c r="JA41" s="211">
        <f t="shared" si="524"/>
        <v>0</v>
      </c>
      <c r="JB41" s="211">
        <f t="shared" si="524"/>
        <v>0</v>
      </c>
      <c r="JC41" s="211">
        <f t="shared" si="524"/>
        <v>0</v>
      </c>
      <c r="JD41" s="211">
        <f t="shared" si="524"/>
        <v>0</v>
      </c>
      <c r="JE41" s="211">
        <f t="shared" si="524"/>
        <v>0</v>
      </c>
      <c r="JF41" s="211">
        <f t="shared" si="524"/>
        <v>0</v>
      </c>
      <c r="JG41" s="211">
        <f t="shared" si="524"/>
        <v>0</v>
      </c>
      <c r="JH41" s="211">
        <f t="shared" si="524"/>
        <v>0</v>
      </c>
      <c r="JI41" s="211">
        <f t="shared" si="525"/>
        <v>0</v>
      </c>
      <c r="JJ41" s="211">
        <f t="shared" si="525"/>
        <v>0</v>
      </c>
      <c r="JK41" s="211">
        <f t="shared" si="525"/>
        <v>0</v>
      </c>
      <c r="JL41" s="211">
        <f t="shared" si="525"/>
        <v>0</v>
      </c>
      <c r="JM41" s="211">
        <f t="shared" si="525"/>
        <v>0</v>
      </c>
      <c r="JN41" s="211">
        <f t="shared" si="525"/>
        <v>0</v>
      </c>
      <c r="JO41" s="211">
        <f t="shared" si="525"/>
        <v>0</v>
      </c>
      <c r="JP41" s="211">
        <f t="shared" si="525"/>
        <v>0</v>
      </c>
      <c r="JQ41" s="211">
        <f t="shared" si="525"/>
        <v>0</v>
      </c>
      <c r="JR41" s="211">
        <f t="shared" si="525"/>
        <v>0</v>
      </c>
      <c r="JS41" s="211">
        <f t="shared" si="526"/>
        <v>0</v>
      </c>
      <c r="JT41" s="211">
        <f t="shared" si="526"/>
        <v>0</v>
      </c>
      <c r="JU41" s="211">
        <f t="shared" si="526"/>
        <v>0</v>
      </c>
      <c r="JV41" s="211">
        <f t="shared" si="526"/>
        <v>0</v>
      </c>
      <c r="JW41" s="211">
        <f t="shared" si="526"/>
        <v>0</v>
      </c>
      <c r="JX41" s="211">
        <f t="shared" si="526"/>
        <v>0</v>
      </c>
      <c r="JY41" s="211">
        <f t="shared" si="526"/>
        <v>0</v>
      </c>
      <c r="JZ41" s="211">
        <f t="shared" si="526"/>
        <v>0</v>
      </c>
      <c r="KA41" s="211">
        <f t="shared" si="526"/>
        <v>0</v>
      </c>
      <c r="KB41" s="211">
        <f t="shared" si="526"/>
        <v>0</v>
      </c>
      <c r="KC41" s="211">
        <f t="shared" si="526"/>
        <v>0</v>
      </c>
      <c r="KD41" s="211">
        <f t="shared" si="526"/>
        <v>0</v>
      </c>
      <c r="KE41" s="211">
        <f t="shared" si="526"/>
        <v>0</v>
      </c>
      <c r="KG41" s="207"/>
      <c r="KH41" s="208"/>
      <c r="KI41" s="208"/>
      <c r="KJ41" s="209"/>
      <c r="KK41" s="210"/>
      <c r="KM41" s="211"/>
      <c r="KN41" s="211"/>
      <c r="KO41" s="211"/>
      <c r="KP41" s="211"/>
      <c r="KQ41" s="211"/>
      <c r="KR41" s="211"/>
      <c r="KS41" s="211"/>
      <c r="KT41" s="211"/>
      <c r="KU41" s="211"/>
      <c r="KV41" s="211"/>
      <c r="KW41" s="211"/>
      <c r="KX41" s="211"/>
      <c r="KY41" s="211"/>
      <c r="KZ41" s="211"/>
      <c r="LA41" s="211"/>
      <c r="LB41" s="211"/>
      <c r="LC41" s="211"/>
      <c r="LD41" s="211"/>
      <c r="LE41" s="211"/>
      <c r="LF41" s="211"/>
      <c r="LG41" s="211"/>
      <c r="LH41" s="211"/>
      <c r="LI41" s="211"/>
      <c r="LJ41" s="211"/>
      <c r="LK41" s="211"/>
      <c r="LL41" s="211"/>
      <c r="LM41" s="211"/>
      <c r="LN41" s="211"/>
      <c r="LO41" s="211"/>
      <c r="LP41" s="211"/>
      <c r="LQ41" s="211"/>
      <c r="LR41" s="211"/>
      <c r="LS41" s="211"/>
      <c r="LT41" s="211"/>
      <c r="LU41" s="211"/>
      <c r="LV41" s="211"/>
      <c r="LW41" s="211"/>
      <c r="LX41" s="211"/>
      <c r="LY41" s="211"/>
      <c r="LZ41" s="211"/>
      <c r="MA41" s="211"/>
      <c r="MB41" s="211"/>
      <c r="MC41" s="211"/>
      <c r="MD41" s="211"/>
      <c r="ME41" s="211"/>
      <c r="MF41" s="211"/>
      <c r="MG41" s="211"/>
      <c r="MH41" s="211"/>
      <c r="MI41" s="211"/>
      <c r="MJ41" s="211"/>
      <c r="MK41" s="211"/>
      <c r="ML41" s="211"/>
      <c r="MM41" s="211"/>
      <c r="MN41" s="211"/>
      <c r="MO41" s="211"/>
      <c r="MP41" s="211"/>
      <c r="MQ41" s="211"/>
      <c r="MR41" s="211"/>
      <c r="MS41" s="211"/>
      <c r="MT41" s="211"/>
      <c r="MU41" s="211"/>
      <c r="MV41" s="211"/>
      <c r="MW41" s="211"/>
      <c r="MX41" s="211"/>
      <c r="MY41" s="211"/>
      <c r="MZ41" s="211"/>
      <c r="NA41" s="211"/>
      <c r="NB41" s="211"/>
      <c r="NC41" s="211"/>
      <c r="ND41" s="211"/>
      <c r="NE41" s="211"/>
      <c r="NF41" s="211"/>
      <c r="NG41" s="211"/>
      <c r="NH41" s="211"/>
      <c r="NI41" s="211"/>
      <c r="NJ41" s="211"/>
      <c r="NK41" s="211"/>
      <c r="NL41" s="211"/>
      <c r="NM41" s="211"/>
      <c r="NN41" s="211"/>
      <c r="NO41" s="211"/>
      <c r="NP41" s="211"/>
      <c r="NQ41" s="211"/>
      <c r="NR41" s="211"/>
      <c r="NS41" s="211"/>
      <c r="NT41" s="211"/>
      <c r="NU41" s="211"/>
      <c r="NV41" s="211"/>
      <c r="NW41" s="211"/>
      <c r="NX41" s="211"/>
      <c r="NY41" s="211"/>
      <c r="NZ41" s="211"/>
      <c r="OA41" s="211"/>
      <c r="OB41" s="211"/>
      <c r="OC41" s="211"/>
      <c r="OD41" s="211"/>
      <c r="OE41" s="211"/>
      <c r="OF41" s="211"/>
      <c r="OG41" s="211"/>
      <c r="OH41" s="211"/>
      <c r="OI41" s="211"/>
      <c r="OJ41" s="211"/>
      <c r="OK41" s="211"/>
      <c r="OL41" s="211"/>
      <c r="OM41" s="211"/>
      <c r="ON41" s="211"/>
      <c r="OO41" s="211"/>
      <c r="OP41" s="211"/>
      <c r="OQ41" s="211"/>
      <c r="OR41" s="211"/>
      <c r="OS41" s="211"/>
      <c r="OT41" s="211"/>
      <c r="OU41" s="211"/>
      <c r="OV41" s="211"/>
      <c r="OW41" s="211"/>
      <c r="OX41" s="211"/>
      <c r="OY41" s="211"/>
      <c r="OZ41" s="211"/>
      <c r="PA41" s="211"/>
      <c r="PB41" s="211"/>
      <c r="PC41" s="211"/>
      <c r="PD41" s="211"/>
      <c r="PE41" s="211"/>
      <c r="PF41" s="211"/>
      <c r="PG41" s="211"/>
      <c r="PH41" s="211"/>
      <c r="PI41" s="211"/>
      <c r="PJ41" s="211"/>
      <c r="PK41" s="211"/>
      <c r="PL41" s="211"/>
      <c r="PM41" s="211"/>
      <c r="PN41" s="211"/>
      <c r="PO41" s="211"/>
      <c r="PQ41" s="201"/>
      <c r="PR41" s="201"/>
      <c r="PS41" s="201"/>
      <c r="PT41" s="201"/>
      <c r="PU41" s="201"/>
      <c r="PV41" s="201"/>
      <c r="PW41" s="201"/>
      <c r="PX41" s="201"/>
      <c r="PY41" s="201"/>
      <c r="PZ41" s="201"/>
      <c r="QA41" s="201"/>
      <c r="QB41" s="201"/>
      <c r="QC41" s="201"/>
      <c r="QD41" s="201"/>
      <c r="QE41" s="201"/>
      <c r="QF41" s="201"/>
      <c r="QG41" s="201"/>
      <c r="QH41" s="201"/>
      <c r="QI41" s="201"/>
      <c r="QJ41" s="201"/>
      <c r="QK41" s="201"/>
      <c r="QL41" s="201"/>
      <c r="QM41" s="201"/>
      <c r="QN41" s="201"/>
      <c r="QO41" s="201"/>
      <c r="QP41" s="201"/>
      <c r="QQ41" s="201"/>
      <c r="QR41" s="201"/>
      <c r="QS41" s="201"/>
      <c r="QT41" s="201"/>
      <c r="QU41" s="201"/>
      <c r="QV41" s="201"/>
      <c r="QW41" s="201"/>
      <c r="QX41" s="201"/>
      <c r="QY41" s="201"/>
      <c r="QZ41" s="201"/>
      <c r="RA41" s="201"/>
      <c r="RB41" s="201"/>
      <c r="RC41" s="201"/>
      <c r="RD41" s="201"/>
      <c r="RE41" s="201"/>
      <c r="RF41" s="201"/>
      <c r="RG41" s="201"/>
      <c r="RH41" s="201"/>
      <c r="RI41" s="201"/>
      <c r="RJ41" s="201"/>
      <c r="RK41" s="201"/>
      <c r="RL41" s="201"/>
      <c r="RM41" s="201"/>
      <c r="RN41" s="201"/>
      <c r="RO41" s="201"/>
      <c r="RP41" s="201"/>
      <c r="RQ41" s="201"/>
      <c r="RR41" s="201"/>
      <c r="RS41" s="201"/>
      <c r="RT41" s="201"/>
      <c r="RU41" s="201"/>
      <c r="RV41" s="201"/>
      <c r="RW41" s="201"/>
      <c r="RX41" s="201"/>
      <c r="RY41" s="201"/>
      <c r="RZ41" s="201"/>
      <c r="SA41" s="201"/>
      <c r="SB41" s="201"/>
      <c r="SC41" s="201"/>
      <c r="SD41" s="201"/>
      <c r="SE41" s="201"/>
      <c r="SF41" s="201"/>
      <c r="SG41" s="201"/>
      <c r="SH41" s="201"/>
      <c r="SI41" s="201"/>
      <c r="SJ41" s="201"/>
      <c r="SK41" s="201"/>
      <c r="SL41" s="201"/>
      <c r="SM41" s="201"/>
      <c r="SN41" s="201"/>
      <c r="SO41" s="201"/>
      <c r="SP41" s="201"/>
      <c r="SQ41" s="201"/>
      <c r="SR41" s="201"/>
      <c r="SS41" s="201"/>
      <c r="ST41" s="201"/>
      <c r="SU41" s="201"/>
      <c r="SV41" s="201"/>
      <c r="SW41" s="201"/>
      <c r="SX41" s="201"/>
      <c r="SY41" s="201"/>
      <c r="SZ41" s="201"/>
      <c r="TA41" s="201"/>
      <c r="TB41" s="201"/>
      <c r="TC41" s="201"/>
      <c r="TD41" s="201"/>
      <c r="TE41" s="201"/>
      <c r="TF41" s="201"/>
      <c r="TG41" s="201"/>
      <c r="TH41" s="201"/>
      <c r="TI41" s="201"/>
      <c r="TJ41" s="201"/>
      <c r="TK41" s="201"/>
      <c r="TL41" s="201"/>
      <c r="TM41" s="201"/>
      <c r="TN41" s="201"/>
      <c r="TO41" s="201"/>
      <c r="TP41" s="201"/>
      <c r="TQ41" s="201"/>
      <c r="TR41" s="201"/>
      <c r="TS41" s="201"/>
      <c r="TT41" s="201"/>
      <c r="TU41" s="201"/>
      <c r="TV41" s="201"/>
      <c r="TW41" s="201"/>
      <c r="TX41" s="201"/>
      <c r="TY41" s="201"/>
      <c r="TZ41" s="201"/>
      <c r="UA41" s="201"/>
      <c r="UB41" s="201"/>
      <c r="UC41" s="201"/>
      <c r="UD41" s="201"/>
      <c r="UE41" s="201"/>
      <c r="UF41" s="201"/>
      <c r="UG41" s="201"/>
      <c r="UH41" s="201"/>
      <c r="UI41" s="201"/>
      <c r="UJ41" s="201"/>
      <c r="UK41" s="201"/>
      <c r="UL41" s="201"/>
      <c r="UM41" s="201"/>
      <c r="UN41" s="201"/>
      <c r="UO41" s="201"/>
      <c r="UP41" s="201"/>
      <c r="UQ41" s="201"/>
      <c r="UR41" s="201"/>
      <c r="US41" s="201"/>
      <c r="UT41" s="201"/>
      <c r="UU41" s="201"/>
    </row>
    <row r="42" spans="1:567" x14ac:dyDescent="0.25">
      <c r="B42" s="31" t="s">
        <v>34</v>
      </c>
      <c r="C42" s="26"/>
      <c r="D42" s="26"/>
      <c r="E42" s="32">
        <v>0</v>
      </c>
      <c r="F42" s="32">
        <v>0</v>
      </c>
      <c r="G42" s="19" t="s">
        <v>602</v>
      </c>
      <c r="H42" s="32"/>
      <c r="I42" s="33">
        <f t="shared" si="496"/>
        <v>0</v>
      </c>
      <c r="J42" s="34">
        <f t="shared" si="497"/>
        <v>0</v>
      </c>
      <c r="K42" s="35">
        <v>0</v>
      </c>
      <c r="R42" s="90" t="str">
        <f t="shared" si="498"/>
        <v>OK</v>
      </c>
      <c r="S42" s="91">
        <f t="shared" si="499"/>
        <v>0</v>
      </c>
      <c r="T42" s="91">
        <f t="shared" si="499"/>
        <v>0</v>
      </c>
      <c r="U42" s="91">
        <f t="shared" si="499"/>
        <v>0</v>
      </c>
      <c r="V42" s="91">
        <f t="shared" si="499"/>
        <v>0</v>
      </c>
      <c r="W42" s="91">
        <f t="shared" si="499"/>
        <v>0</v>
      </c>
      <c r="X42" s="91">
        <f t="shared" si="499"/>
        <v>0</v>
      </c>
      <c r="Y42" s="91">
        <f t="shared" si="499"/>
        <v>0</v>
      </c>
      <c r="Z42" s="91">
        <f t="shared" si="499"/>
        <v>0</v>
      </c>
      <c r="AA42" s="91">
        <f t="shared" si="499"/>
        <v>0</v>
      </c>
      <c r="AB42" s="91">
        <f t="shared" si="499"/>
        <v>0</v>
      </c>
      <c r="AC42" s="91">
        <f t="shared" si="500"/>
        <v>0</v>
      </c>
      <c r="AD42" s="91">
        <f t="shared" si="500"/>
        <v>0</v>
      </c>
      <c r="AE42" s="91">
        <f t="shared" si="500"/>
        <v>0</v>
      </c>
      <c r="AF42" s="91">
        <f t="shared" si="500"/>
        <v>0</v>
      </c>
      <c r="AG42" s="91">
        <f t="shared" si="500"/>
        <v>0</v>
      </c>
      <c r="AH42" s="91">
        <f t="shared" si="500"/>
        <v>0</v>
      </c>
      <c r="AI42" s="91">
        <f t="shared" si="500"/>
        <v>0</v>
      </c>
      <c r="AJ42" s="91">
        <f t="shared" si="500"/>
        <v>0</v>
      </c>
      <c r="AK42" s="91">
        <f t="shared" si="500"/>
        <v>0</v>
      </c>
      <c r="AL42" s="91">
        <f t="shared" si="500"/>
        <v>0</v>
      </c>
      <c r="AM42" s="91">
        <f t="shared" si="501"/>
        <v>0</v>
      </c>
      <c r="AN42" s="91">
        <f t="shared" si="501"/>
        <v>0</v>
      </c>
      <c r="AO42" s="91">
        <f t="shared" si="501"/>
        <v>0</v>
      </c>
      <c r="AP42" s="91">
        <f t="shared" si="501"/>
        <v>0</v>
      </c>
      <c r="AQ42" s="91">
        <f t="shared" si="501"/>
        <v>0</v>
      </c>
      <c r="AR42" s="91">
        <f t="shared" si="501"/>
        <v>0</v>
      </c>
      <c r="AS42" s="91">
        <f t="shared" si="501"/>
        <v>0</v>
      </c>
      <c r="AT42" s="91">
        <f t="shared" si="501"/>
        <v>0</v>
      </c>
      <c r="AU42" s="91">
        <f t="shared" si="501"/>
        <v>0</v>
      </c>
      <c r="AV42" s="91">
        <f t="shared" si="501"/>
        <v>0</v>
      </c>
      <c r="AW42" s="91">
        <f t="shared" si="502"/>
        <v>0</v>
      </c>
      <c r="AX42" s="91">
        <f t="shared" si="502"/>
        <v>0</v>
      </c>
      <c r="AY42" s="91">
        <f t="shared" si="502"/>
        <v>0</v>
      </c>
      <c r="AZ42" s="91">
        <f t="shared" si="502"/>
        <v>0</v>
      </c>
      <c r="BA42" s="91">
        <f t="shared" si="502"/>
        <v>0</v>
      </c>
      <c r="BB42" s="91">
        <f t="shared" si="502"/>
        <v>0</v>
      </c>
      <c r="BC42" s="91">
        <f t="shared" si="502"/>
        <v>0</v>
      </c>
      <c r="BD42" s="91">
        <f t="shared" si="502"/>
        <v>0</v>
      </c>
      <c r="BE42" s="91">
        <f t="shared" si="502"/>
        <v>0</v>
      </c>
      <c r="BF42" s="91">
        <f t="shared" si="502"/>
        <v>0</v>
      </c>
      <c r="BG42" s="91">
        <f t="shared" si="503"/>
        <v>0</v>
      </c>
      <c r="BH42" s="91">
        <f t="shared" si="503"/>
        <v>0</v>
      </c>
      <c r="BI42" s="91">
        <f t="shared" si="503"/>
        <v>0</v>
      </c>
      <c r="BJ42" s="91">
        <f t="shared" si="503"/>
        <v>0</v>
      </c>
      <c r="BK42" s="91">
        <f t="shared" si="503"/>
        <v>0</v>
      </c>
      <c r="BL42" s="91">
        <f t="shared" si="503"/>
        <v>0</v>
      </c>
      <c r="BM42" s="91">
        <f t="shared" si="503"/>
        <v>0</v>
      </c>
      <c r="BN42" s="91">
        <f t="shared" si="503"/>
        <v>0</v>
      </c>
      <c r="BO42" s="91">
        <f t="shared" si="503"/>
        <v>0</v>
      </c>
      <c r="BP42" s="91">
        <f t="shared" si="503"/>
        <v>0</v>
      </c>
      <c r="BQ42" s="91">
        <f t="shared" si="504"/>
        <v>0</v>
      </c>
      <c r="BR42" s="91">
        <f t="shared" si="504"/>
        <v>0</v>
      </c>
      <c r="BS42" s="91">
        <f t="shared" si="504"/>
        <v>0</v>
      </c>
      <c r="BT42" s="91">
        <f t="shared" si="504"/>
        <v>0</v>
      </c>
      <c r="BU42" s="91">
        <f t="shared" si="504"/>
        <v>0</v>
      </c>
      <c r="BV42" s="91">
        <f t="shared" si="504"/>
        <v>0</v>
      </c>
      <c r="BW42" s="91">
        <f t="shared" si="504"/>
        <v>0</v>
      </c>
      <c r="BX42" s="91">
        <f t="shared" si="504"/>
        <v>0</v>
      </c>
      <c r="BY42" s="91">
        <f t="shared" si="504"/>
        <v>0</v>
      </c>
      <c r="BZ42" s="91">
        <f t="shared" si="504"/>
        <v>0</v>
      </c>
      <c r="CA42" s="91">
        <f t="shared" si="505"/>
        <v>0</v>
      </c>
      <c r="CB42" s="91">
        <f t="shared" si="505"/>
        <v>0</v>
      </c>
      <c r="CC42" s="91">
        <f t="shared" si="505"/>
        <v>0</v>
      </c>
      <c r="CD42" s="91">
        <f t="shared" si="505"/>
        <v>0</v>
      </c>
      <c r="CE42" s="91">
        <f t="shared" si="505"/>
        <v>0</v>
      </c>
      <c r="CF42" s="91">
        <f t="shared" si="505"/>
        <v>0</v>
      </c>
      <c r="CG42" s="91">
        <f t="shared" si="505"/>
        <v>0</v>
      </c>
      <c r="CH42" s="91">
        <f t="shared" si="505"/>
        <v>0</v>
      </c>
      <c r="CI42" s="91">
        <f t="shared" si="505"/>
        <v>0</v>
      </c>
      <c r="CJ42" s="91">
        <f t="shared" si="505"/>
        <v>0</v>
      </c>
      <c r="CK42" s="91">
        <f t="shared" si="506"/>
        <v>0</v>
      </c>
      <c r="CL42" s="91">
        <f t="shared" si="506"/>
        <v>0</v>
      </c>
      <c r="CM42" s="91">
        <f t="shared" si="506"/>
        <v>0</v>
      </c>
      <c r="CN42" s="91">
        <f t="shared" si="506"/>
        <v>0</v>
      </c>
      <c r="CO42" s="91">
        <f t="shared" si="506"/>
        <v>0</v>
      </c>
      <c r="CP42" s="91">
        <f t="shared" si="506"/>
        <v>0</v>
      </c>
      <c r="CQ42" s="91">
        <f t="shared" si="506"/>
        <v>0</v>
      </c>
      <c r="CR42" s="91">
        <f t="shared" si="506"/>
        <v>0</v>
      </c>
      <c r="CS42" s="91">
        <f t="shared" si="506"/>
        <v>0</v>
      </c>
      <c r="CT42" s="91">
        <f t="shared" si="506"/>
        <v>0</v>
      </c>
      <c r="CU42" s="91">
        <f t="shared" si="507"/>
        <v>0</v>
      </c>
      <c r="CV42" s="91">
        <f t="shared" si="507"/>
        <v>0</v>
      </c>
      <c r="CW42" s="91">
        <f t="shared" si="507"/>
        <v>0</v>
      </c>
      <c r="CX42" s="91">
        <f t="shared" si="507"/>
        <v>0</v>
      </c>
      <c r="CY42" s="91">
        <f t="shared" si="507"/>
        <v>0</v>
      </c>
      <c r="CZ42" s="91">
        <f t="shared" si="507"/>
        <v>0</v>
      </c>
      <c r="DA42" s="91">
        <f t="shared" si="507"/>
        <v>0</v>
      </c>
      <c r="DB42" s="91">
        <f t="shared" si="507"/>
        <v>0</v>
      </c>
      <c r="DC42" s="91">
        <f t="shared" si="507"/>
        <v>0</v>
      </c>
      <c r="DD42" s="91">
        <f t="shared" si="507"/>
        <v>0</v>
      </c>
      <c r="DE42" s="91">
        <f t="shared" si="508"/>
        <v>0</v>
      </c>
      <c r="DF42" s="91">
        <f t="shared" si="508"/>
        <v>0</v>
      </c>
      <c r="DG42" s="91">
        <f t="shared" si="508"/>
        <v>0</v>
      </c>
      <c r="DH42" s="91">
        <f t="shared" si="508"/>
        <v>0</v>
      </c>
      <c r="DI42" s="91">
        <f t="shared" si="508"/>
        <v>0</v>
      </c>
      <c r="DJ42" s="91">
        <f t="shared" si="508"/>
        <v>0</v>
      </c>
      <c r="DK42" s="91">
        <f t="shared" si="508"/>
        <v>0</v>
      </c>
      <c r="DL42" s="91">
        <f t="shared" si="508"/>
        <v>0</v>
      </c>
      <c r="DM42" s="91">
        <f t="shared" si="508"/>
        <v>0</v>
      </c>
      <c r="DN42" s="91">
        <f t="shared" si="508"/>
        <v>0</v>
      </c>
      <c r="DO42" s="91">
        <f t="shared" si="509"/>
        <v>0</v>
      </c>
      <c r="DP42" s="91">
        <f t="shared" si="509"/>
        <v>0</v>
      </c>
      <c r="DQ42" s="91">
        <f t="shared" si="509"/>
        <v>0</v>
      </c>
      <c r="DR42" s="91">
        <f t="shared" si="509"/>
        <v>0</v>
      </c>
      <c r="DS42" s="91">
        <f t="shared" si="509"/>
        <v>0</v>
      </c>
      <c r="DT42" s="91">
        <f t="shared" si="509"/>
        <v>0</v>
      </c>
      <c r="DU42" s="91">
        <f t="shared" si="509"/>
        <v>0</v>
      </c>
      <c r="DV42" s="91">
        <f t="shared" si="509"/>
        <v>0</v>
      </c>
      <c r="DW42" s="91">
        <f t="shared" si="509"/>
        <v>0</v>
      </c>
      <c r="DX42" s="91">
        <f t="shared" si="509"/>
        <v>0</v>
      </c>
      <c r="DY42" s="91">
        <f t="shared" si="510"/>
        <v>0</v>
      </c>
      <c r="DZ42" s="91">
        <f t="shared" si="510"/>
        <v>0</v>
      </c>
      <c r="EA42" s="91">
        <f t="shared" si="510"/>
        <v>0</v>
      </c>
      <c r="EB42" s="91">
        <f t="shared" si="510"/>
        <v>0</v>
      </c>
      <c r="EC42" s="91">
        <f t="shared" si="510"/>
        <v>0</v>
      </c>
      <c r="ED42" s="91">
        <f t="shared" si="510"/>
        <v>0</v>
      </c>
      <c r="EE42" s="91">
        <f t="shared" si="510"/>
        <v>0</v>
      </c>
      <c r="EF42" s="91">
        <f t="shared" si="510"/>
        <v>0</v>
      </c>
      <c r="EG42" s="91">
        <f t="shared" si="510"/>
        <v>0</v>
      </c>
      <c r="EH42" s="91">
        <f t="shared" si="510"/>
        <v>0</v>
      </c>
      <c r="EI42" s="91">
        <f t="shared" si="511"/>
        <v>0</v>
      </c>
      <c r="EJ42" s="91">
        <f t="shared" si="511"/>
        <v>0</v>
      </c>
      <c r="EK42" s="91">
        <f t="shared" si="511"/>
        <v>0</v>
      </c>
      <c r="EL42" s="91">
        <f t="shared" si="511"/>
        <v>0</v>
      </c>
      <c r="EM42" s="91">
        <f t="shared" si="511"/>
        <v>0</v>
      </c>
      <c r="EN42" s="91">
        <f t="shared" si="511"/>
        <v>0</v>
      </c>
      <c r="EO42" s="91">
        <f t="shared" si="511"/>
        <v>0</v>
      </c>
      <c r="EP42" s="91">
        <f t="shared" si="511"/>
        <v>0</v>
      </c>
      <c r="EQ42" s="91">
        <f t="shared" si="511"/>
        <v>0</v>
      </c>
      <c r="ER42" s="91">
        <f t="shared" si="511"/>
        <v>0</v>
      </c>
      <c r="ES42" s="91">
        <f t="shared" si="512"/>
        <v>0</v>
      </c>
      <c r="ET42" s="91">
        <f t="shared" si="512"/>
        <v>0</v>
      </c>
      <c r="EU42" s="91">
        <f t="shared" si="512"/>
        <v>0</v>
      </c>
      <c r="EW42" s="207">
        <f>K42</f>
        <v>0</v>
      </c>
      <c r="EX42" s="208">
        <f>INDEX($S$23:$EU$23,1,E42+1)</f>
        <v>46053</v>
      </c>
      <c r="EY42" s="208">
        <f>INDEX($S$23:$EU$23,1,F42+1)</f>
        <v>46053</v>
      </c>
      <c r="EZ42" s="209">
        <f>F42-E42+1</f>
        <v>1</v>
      </c>
      <c r="FA42" s="210">
        <f>EZ42/6</f>
        <v>0.16666666666666666</v>
      </c>
      <c r="FC42" s="211">
        <f t="shared" si="514"/>
        <v>0</v>
      </c>
      <c r="FD42" s="211">
        <f t="shared" si="514"/>
        <v>0</v>
      </c>
      <c r="FE42" s="211">
        <f t="shared" si="514"/>
        <v>0</v>
      </c>
      <c r="FF42" s="211">
        <f t="shared" si="514"/>
        <v>0</v>
      </c>
      <c r="FG42" s="211">
        <f t="shared" si="514"/>
        <v>0</v>
      </c>
      <c r="FH42" s="211">
        <f t="shared" si="514"/>
        <v>0</v>
      </c>
      <c r="FI42" s="211">
        <f t="shared" si="514"/>
        <v>0</v>
      </c>
      <c r="FJ42" s="211">
        <f t="shared" si="514"/>
        <v>0</v>
      </c>
      <c r="FK42" s="211">
        <f t="shared" si="514"/>
        <v>0</v>
      </c>
      <c r="FL42" s="211">
        <f t="shared" si="514"/>
        <v>0</v>
      </c>
      <c r="FM42" s="211">
        <f t="shared" si="515"/>
        <v>0</v>
      </c>
      <c r="FN42" s="211">
        <f t="shared" si="515"/>
        <v>0</v>
      </c>
      <c r="FO42" s="211">
        <f t="shared" si="515"/>
        <v>0</v>
      </c>
      <c r="FP42" s="211">
        <f t="shared" si="515"/>
        <v>0</v>
      </c>
      <c r="FQ42" s="211">
        <f t="shared" si="515"/>
        <v>0</v>
      </c>
      <c r="FR42" s="211">
        <f t="shared" si="515"/>
        <v>0</v>
      </c>
      <c r="FS42" s="211">
        <f t="shared" si="515"/>
        <v>0</v>
      </c>
      <c r="FT42" s="211">
        <f t="shared" si="515"/>
        <v>0</v>
      </c>
      <c r="FU42" s="211">
        <f t="shared" si="515"/>
        <v>0</v>
      </c>
      <c r="FV42" s="211">
        <f t="shared" si="515"/>
        <v>0</v>
      </c>
      <c r="FW42" s="211">
        <f t="shared" si="516"/>
        <v>0</v>
      </c>
      <c r="FX42" s="211">
        <f t="shared" si="516"/>
        <v>0</v>
      </c>
      <c r="FY42" s="211">
        <f t="shared" si="516"/>
        <v>0</v>
      </c>
      <c r="FZ42" s="211">
        <f t="shared" si="516"/>
        <v>0</v>
      </c>
      <c r="GA42" s="211">
        <f t="shared" si="516"/>
        <v>0</v>
      </c>
      <c r="GB42" s="211">
        <f t="shared" si="516"/>
        <v>0</v>
      </c>
      <c r="GC42" s="211">
        <f t="shared" si="516"/>
        <v>0</v>
      </c>
      <c r="GD42" s="211">
        <f t="shared" si="516"/>
        <v>0</v>
      </c>
      <c r="GE42" s="211">
        <f t="shared" si="516"/>
        <v>0</v>
      </c>
      <c r="GF42" s="211">
        <f t="shared" si="516"/>
        <v>0</v>
      </c>
      <c r="GG42" s="211">
        <f t="shared" si="517"/>
        <v>0</v>
      </c>
      <c r="GH42" s="211">
        <f t="shared" si="517"/>
        <v>0</v>
      </c>
      <c r="GI42" s="211">
        <f t="shared" si="517"/>
        <v>0</v>
      </c>
      <c r="GJ42" s="211">
        <f t="shared" si="517"/>
        <v>0</v>
      </c>
      <c r="GK42" s="211">
        <f t="shared" si="517"/>
        <v>0</v>
      </c>
      <c r="GL42" s="211">
        <f t="shared" si="517"/>
        <v>0</v>
      </c>
      <c r="GM42" s="211">
        <f t="shared" si="517"/>
        <v>0</v>
      </c>
      <c r="GN42" s="211">
        <f t="shared" si="517"/>
        <v>0</v>
      </c>
      <c r="GO42" s="211">
        <f t="shared" si="517"/>
        <v>0</v>
      </c>
      <c r="GP42" s="211">
        <f t="shared" si="517"/>
        <v>0</v>
      </c>
      <c r="GQ42" s="211">
        <f t="shared" si="518"/>
        <v>0</v>
      </c>
      <c r="GR42" s="211">
        <f t="shared" si="518"/>
        <v>0</v>
      </c>
      <c r="GS42" s="211">
        <f t="shared" si="518"/>
        <v>0</v>
      </c>
      <c r="GT42" s="211">
        <f t="shared" si="518"/>
        <v>0</v>
      </c>
      <c r="GU42" s="211">
        <f t="shared" si="518"/>
        <v>0</v>
      </c>
      <c r="GV42" s="211">
        <f t="shared" si="518"/>
        <v>0</v>
      </c>
      <c r="GW42" s="211">
        <f t="shared" si="518"/>
        <v>0</v>
      </c>
      <c r="GX42" s="211">
        <f t="shared" si="518"/>
        <v>0</v>
      </c>
      <c r="GY42" s="211">
        <f t="shared" si="518"/>
        <v>0</v>
      </c>
      <c r="GZ42" s="211">
        <f t="shared" si="518"/>
        <v>0</v>
      </c>
      <c r="HA42" s="211">
        <f t="shared" si="519"/>
        <v>0</v>
      </c>
      <c r="HB42" s="211">
        <f t="shared" si="519"/>
        <v>0</v>
      </c>
      <c r="HC42" s="211">
        <f t="shared" si="519"/>
        <v>0</v>
      </c>
      <c r="HD42" s="211">
        <f t="shared" si="519"/>
        <v>0</v>
      </c>
      <c r="HE42" s="211">
        <f t="shared" si="519"/>
        <v>0</v>
      </c>
      <c r="HF42" s="211">
        <f t="shared" si="519"/>
        <v>0</v>
      </c>
      <c r="HG42" s="211">
        <f t="shared" si="519"/>
        <v>0</v>
      </c>
      <c r="HH42" s="211">
        <f t="shared" si="519"/>
        <v>0</v>
      </c>
      <c r="HI42" s="211">
        <f t="shared" si="519"/>
        <v>0</v>
      </c>
      <c r="HJ42" s="211">
        <f t="shared" si="519"/>
        <v>0</v>
      </c>
      <c r="HK42" s="211">
        <f t="shared" si="520"/>
        <v>0</v>
      </c>
      <c r="HL42" s="211">
        <f t="shared" si="520"/>
        <v>0</v>
      </c>
      <c r="HM42" s="211">
        <f t="shared" si="520"/>
        <v>0</v>
      </c>
      <c r="HN42" s="211">
        <f t="shared" si="520"/>
        <v>0</v>
      </c>
      <c r="HO42" s="211">
        <f t="shared" si="520"/>
        <v>0</v>
      </c>
      <c r="HP42" s="211">
        <f t="shared" si="520"/>
        <v>0</v>
      </c>
      <c r="HQ42" s="211">
        <f t="shared" si="520"/>
        <v>0</v>
      </c>
      <c r="HR42" s="211">
        <f t="shared" si="520"/>
        <v>0</v>
      </c>
      <c r="HS42" s="211">
        <f t="shared" si="520"/>
        <v>0</v>
      </c>
      <c r="HT42" s="211">
        <f t="shared" si="520"/>
        <v>0</v>
      </c>
      <c r="HU42" s="211">
        <f t="shared" si="521"/>
        <v>0</v>
      </c>
      <c r="HV42" s="211">
        <f t="shared" si="521"/>
        <v>0</v>
      </c>
      <c r="HW42" s="211">
        <f t="shared" si="521"/>
        <v>0</v>
      </c>
      <c r="HX42" s="211">
        <f t="shared" si="521"/>
        <v>0</v>
      </c>
      <c r="HY42" s="211">
        <f t="shared" si="521"/>
        <v>0</v>
      </c>
      <c r="HZ42" s="211">
        <f t="shared" si="521"/>
        <v>0</v>
      </c>
      <c r="IA42" s="211">
        <f t="shared" si="521"/>
        <v>0</v>
      </c>
      <c r="IB42" s="211">
        <f t="shared" si="521"/>
        <v>0</v>
      </c>
      <c r="IC42" s="211">
        <f t="shared" si="521"/>
        <v>0</v>
      </c>
      <c r="ID42" s="211">
        <f t="shared" si="521"/>
        <v>0</v>
      </c>
      <c r="IE42" s="211">
        <f t="shared" si="522"/>
        <v>0</v>
      </c>
      <c r="IF42" s="211">
        <f t="shared" si="522"/>
        <v>0</v>
      </c>
      <c r="IG42" s="211">
        <f t="shared" si="522"/>
        <v>0</v>
      </c>
      <c r="IH42" s="211">
        <f t="shared" si="522"/>
        <v>0</v>
      </c>
      <c r="II42" s="211">
        <f t="shared" si="522"/>
        <v>0</v>
      </c>
      <c r="IJ42" s="211">
        <f t="shared" si="522"/>
        <v>0</v>
      </c>
      <c r="IK42" s="211">
        <f t="shared" si="522"/>
        <v>0</v>
      </c>
      <c r="IL42" s="211">
        <f t="shared" si="522"/>
        <v>0</v>
      </c>
      <c r="IM42" s="211">
        <f t="shared" si="522"/>
        <v>0</v>
      </c>
      <c r="IN42" s="211">
        <f t="shared" si="522"/>
        <v>0</v>
      </c>
      <c r="IO42" s="211">
        <f t="shared" si="523"/>
        <v>0</v>
      </c>
      <c r="IP42" s="211">
        <f t="shared" si="523"/>
        <v>0</v>
      </c>
      <c r="IQ42" s="211">
        <f t="shared" si="523"/>
        <v>0</v>
      </c>
      <c r="IR42" s="211">
        <f t="shared" si="523"/>
        <v>0</v>
      </c>
      <c r="IS42" s="211">
        <f t="shared" si="523"/>
        <v>0</v>
      </c>
      <c r="IT42" s="211">
        <f t="shared" si="523"/>
        <v>0</v>
      </c>
      <c r="IU42" s="211">
        <f t="shared" si="523"/>
        <v>0</v>
      </c>
      <c r="IV42" s="211">
        <f t="shared" si="523"/>
        <v>0</v>
      </c>
      <c r="IW42" s="211">
        <f t="shared" si="523"/>
        <v>0</v>
      </c>
      <c r="IX42" s="211">
        <f t="shared" si="523"/>
        <v>0</v>
      </c>
      <c r="IY42" s="211">
        <f t="shared" si="524"/>
        <v>0</v>
      </c>
      <c r="IZ42" s="211">
        <f t="shared" si="524"/>
        <v>0</v>
      </c>
      <c r="JA42" s="211">
        <f t="shared" si="524"/>
        <v>0</v>
      </c>
      <c r="JB42" s="211">
        <f t="shared" si="524"/>
        <v>0</v>
      </c>
      <c r="JC42" s="211">
        <f t="shared" si="524"/>
        <v>0</v>
      </c>
      <c r="JD42" s="211">
        <f t="shared" si="524"/>
        <v>0</v>
      </c>
      <c r="JE42" s="211">
        <f t="shared" si="524"/>
        <v>0</v>
      </c>
      <c r="JF42" s="211">
        <f t="shared" si="524"/>
        <v>0</v>
      </c>
      <c r="JG42" s="211">
        <f t="shared" si="524"/>
        <v>0</v>
      </c>
      <c r="JH42" s="211">
        <f t="shared" si="524"/>
        <v>0</v>
      </c>
      <c r="JI42" s="211">
        <f t="shared" si="525"/>
        <v>0</v>
      </c>
      <c r="JJ42" s="211">
        <f t="shared" si="525"/>
        <v>0</v>
      </c>
      <c r="JK42" s="211">
        <f t="shared" si="525"/>
        <v>0</v>
      </c>
      <c r="JL42" s="211">
        <f t="shared" si="525"/>
        <v>0</v>
      </c>
      <c r="JM42" s="211">
        <f t="shared" si="525"/>
        <v>0</v>
      </c>
      <c r="JN42" s="211">
        <f t="shared" si="525"/>
        <v>0</v>
      </c>
      <c r="JO42" s="211">
        <f t="shared" si="525"/>
        <v>0</v>
      </c>
      <c r="JP42" s="211">
        <f t="shared" si="525"/>
        <v>0</v>
      </c>
      <c r="JQ42" s="211">
        <f t="shared" si="525"/>
        <v>0</v>
      </c>
      <c r="JR42" s="211">
        <f t="shared" si="525"/>
        <v>0</v>
      </c>
      <c r="JS42" s="211">
        <f t="shared" si="526"/>
        <v>0</v>
      </c>
      <c r="JT42" s="211">
        <f t="shared" si="526"/>
        <v>0</v>
      </c>
      <c r="JU42" s="211">
        <f t="shared" si="526"/>
        <v>0</v>
      </c>
      <c r="JV42" s="211">
        <f t="shared" si="526"/>
        <v>0</v>
      </c>
      <c r="JW42" s="211">
        <f t="shared" si="526"/>
        <v>0</v>
      </c>
      <c r="JX42" s="211">
        <f t="shared" si="526"/>
        <v>0</v>
      </c>
      <c r="JY42" s="211">
        <f t="shared" si="526"/>
        <v>0</v>
      </c>
      <c r="JZ42" s="211">
        <f t="shared" si="526"/>
        <v>0</v>
      </c>
      <c r="KA42" s="211">
        <f t="shared" si="526"/>
        <v>0</v>
      </c>
      <c r="KB42" s="211">
        <f t="shared" si="526"/>
        <v>0</v>
      </c>
      <c r="KC42" s="211">
        <f t="shared" si="526"/>
        <v>0</v>
      </c>
      <c r="KD42" s="211">
        <f t="shared" si="526"/>
        <v>0</v>
      </c>
      <c r="KE42" s="211">
        <f t="shared" si="526"/>
        <v>0</v>
      </c>
      <c r="KG42" s="207"/>
      <c r="KH42" s="208"/>
      <c r="KI42" s="208"/>
      <c r="KJ42" s="209"/>
      <c r="KK42" s="210"/>
      <c r="KM42" s="211"/>
      <c r="KN42" s="211"/>
      <c r="KO42" s="211"/>
      <c r="KP42" s="211"/>
      <c r="KQ42" s="211"/>
      <c r="KR42" s="211"/>
      <c r="KS42" s="211"/>
      <c r="KT42" s="211"/>
      <c r="KU42" s="211"/>
      <c r="KV42" s="211"/>
      <c r="KW42" s="211"/>
      <c r="KX42" s="211"/>
      <c r="KY42" s="211"/>
      <c r="KZ42" s="211"/>
      <c r="LA42" s="211"/>
      <c r="LB42" s="211"/>
      <c r="LC42" s="211"/>
      <c r="LD42" s="211"/>
      <c r="LE42" s="211"/>
      <c r="LF42" s="211"/>
      <c r="LG42" s="211"/>
      <c r="LH42" s="211"/>
      <c r="LI42" s="211"/>
      <c r="LJ42" s="211"/>
      <c r="LK42" s="211"/>
      <c r="LL42" s="211"/>
      <c r="LM42" s="211"/>
      <c r="LN42" s="211"/>
      <c r="LO42" s="211"/>
      <c r="LP42" s="211"/>
      <c r="LQ42" s="211"/>
      <c r="LR42" s="211"/>
      <c r="LS42" s="211"/>
      <c r="LT42" s="211"/>
      <c r="LU42" s="211"/>
      <c r="LV42" s="211"/>
      <c r="LW42" s="211"/>
      <c r="LX42" s="211"/>
      <c r="LY42" s="211"/>
      <c r="LZ42" s="211"/>
      <c r="MA42" s="211"/>
      <c r="MB42" s="211"/>
      <c r="MC42" s="211"/>
      <c r="MD42" s="211"/>
      <c r="ME42" s="211"/>
      <c r="MF42" s="211"/>
      <c r="MG42" s="211"/>
      <c r="MH42" s="211"/>
      <c r="MI42" s="211"/>
      <c r="MJ42" s="211"/>
      <c r="MK42" s="211"/>
      <c r="ML42" s="211"/>
      <c r="MM42" s="211"/>
      <c r="MN42" s="211"/>
      <c r="MO42" s="211"/>
      <c r="MP42" s="211"/>
      <c r="MQ42" s="211"/>
      <c r="MR42" s="211"/>
      <c r="MS42" s="211"/>
      <c r="MT42" s="211"/>
      <c r="MU42" s="211"/>
      <c r="MV42" s="211"/>
      <c r="MW42" s="211"/>
      <c r="MX42" s="211"/>
      <c r="MY42" s="211"/>
      <c r="MZ42" s="211"/>
      <c r="NA42" s="211"/>
      <c r="NB42" s="211"/>
      <c r="NC42" s="211"/>
      <c r="ND42" s="211"/>
      <c r="NE42" s="211"/>
      <c r="NF42" s="211"/>
      <c r="NG42" s="211"/>
      <c r="NH42" s="211"/>
      <c r="NI42" s="211"/>
      <c r="NJ42" s="211"/>
      <c r="NK42" s="211"/>
      <c r="NL42" s="211"/>
      <c r="NM42" s="211"/>
      <c r="NN42" s="211"/>
      <c r="NO42" s="211"/>
      <c r="NP42" s="211"/>
      <c r="NQ42" s="211"/>
      <c r="NR42" s="211"/>
      <c r="NS42" s="211"/>
      <c r="NT42" s="211"/>
      <c r="NU42" s="211"/>
      <c r="NV42" s="211"/>
      <c r="NW42" s="211"/>
      <c r="NX42" s="211"/>
      <c r="NY42" s="211"/>
      <c r="NZ42" s="211"/>
      <c r="OA42" s="211"/>
      <c r="OB42" s="211"/>
      <c r="OC42" s="211"/>
      <c r="OD42" s="211"/>
      <c r="OE42" s="211"/>
      <c r="OF42" s="211"/>
      <c r="OG42" s="211"/>
      <c r="OH42" s="211"/>
      <c r="OI42" s="211"/>
      <c r="OJ42" s="211"/>
      <c r="OK42" s="211"/>
      <c r="OL42" s="211"/>
      <c r="OM42" s="211"/>
      <c r="ON42" s="211"/>
      <c r="OO42" s="211"/>
      <c r="OP42" s="211"/>
      <c r="OQ42" s="211"/>
      <c r="OR42" s="211"/>
      <c r="OS42" s="211"/>
      <c r="OT42" s="211"/>
      <c r="OU42" s="211"/>
      <c r="OV42" s="211"/>
      <c r="OW42" s="211"/>
      <c r="OX42" s="211"/>
      <c r="OY42" s="211"/>
      <c r="OZ42" s="211"/>
      <c r="PA42" s="211"/>
      <c r="PB42" s="211"/>
      <c r="PC42" s="211"/>
      <c r="PD42" s="211"/>
      <c r="PE42" s="211"/>
      <c r="PF42" s="211"/>
      <c r="PG42" s="211"/>
      <c r="PH42" s="211"/>
      <c r="PI42" s="211"/>
      <c r="PJ42" s="211"/>
      <c r="PK42" s="211"/>
      <c r="PL42" s="211"/>
      <c r="PM42" s="211"/>
      <c r="PN42" s="211"/>
      <c r="PO42" s="211"/>
      <c r="PQ42" s="201"/>
      <c r="PR42" s="201"/>
      <c r="PS42" s="201"/>
      <c r="PT42" s="201"/>
      <c r="PU42" s="201"/>
      <c r="PV42" s="201"/>
      <c r="PW42" s="201"/>
      <c r="PX42" s="201"/>
      <c r="PY42" s="201"/>
      <c r="PZ42" s="201"/>
      <c r="QA42" s="201"/>
      <c r="QB42" s="201"/>
      <c r="QC42" s="201"/>
      <c r="QD42" s="201"/>
      <c r="QE42" s="201"/>
      <c r="QF42" s="201"/>
      <c r="QG42" s="201"/>
      <c r="QH42" s="201"/>
      <c r="QI42" s="201"/>
      <c r="QJ42" s="201"/>
      <c r="QK42" s="201"/>
      <c r="QL42" s="201"/>
      <c r="QM42" s="201"/>
      <c r="QN42" s="201"/>
      <c r="QO42" s="201"/>
      <c r="QP42" s="201"/>
      <c r="QQ42" s="201"/>
      <c r="QR42" s="201"/>
      <c r="QS42" s="201"/>
      <c r="QT42" s="201"/>
      <c r="QU42" s="201"/>
      <c r="QV42" s="201"/>
      <c r="QW42" s="201"/>
      <c r="QX42" s="201"/>
      <c r="QY42" s="201"/>
      <c r="QZ42" s="201"/>
      <c r="RA42" s="201"/>
      <c r="RB42" s="201"/>
      <c r="RC42" s="201"/>
      <c r="RD42" s="201"/>
      <c r="RE42" s="201"/>
      <c r="RF42" s="201"/>
      <c r="RG42" s="201"/>
      <c r="RH42" s="201"/>
      <c r="RI42" s="201"/>
      <c r="RJ42" s="201"/>
      <c r="RK42" s="201"/>
      <c r="RL42" s="201"/>
      <c r="RM42" s="201"/>
      <c r="RN42" s="201"/>
      <c r="RO42" s="201"/>
      <c r="RP42" s="201"/>
      <c r="RQ42" s="201"/>
      <c r="RR42" s="201"/>
      <c r="RS42" s="201"/>
      <c r="RT42" s="201"/>
      <c r="RU42" s="201"/>
      <c r="RV42" s="201"/>
      <c r="RW42" s="201"/>
      <c r="RX42" s="201"/>
      <c r="RY42" s="201"/>
      <c r="RZ42" s="201"/>
      <c r="SA42" s="201"/>
      <c r="SB42" s="201"/>
      <c r="SC42" s="201"/>
      <c r="SD42" s="201"/>
      <c r="SE42" s="201"/>
      <c r="SF42" s="201"/>
      <c r="SG42" s="201"/>
      <c r="SH42" s="201"/>
      <c r="SI42" s="201"/>
      <c r="SJ42" s="201"/>
      <c r="SK42" s="201"/>
      <c r="SL42" s="201"/>
      <c r="SM42" s="201"/>
      <c r="SN42" s="201"/>
      <c r="SO42" s="201"/>
      <c r="SP42" s="201"/>
      <c r="SQ42" s="201"/>
      <c r="SR42" s="201"/>
      <c r="SS42" s="201"/>
      <c r="ST42" s="201"/>
      <c r="SU42" s="201"/>
      <c r="SV42" s="201"/>
      <c r="SW42" s="201"/>
      <c r="SX42" s="201"/>
      <c r="SY42" s="201"/>
      <c r="SZ42" s="201"/>
      <c r="TA42" s="201"/>
      <c r="TB42" s="201"/>
      <c r="TC42" s="201"/>
      <c r="TD42" s="201"/>
      <c r="TE42" s="201"/>
      <c r="TF42" s="201"/>
      <c r="TG42" s="201"/>
      <c r="TH42" s="201"/>
      <c r="TI42" s="201"/>
      <c r="TJ42" s="201"/>
      <c r="TK42" s="201"/>
      <c r="TL42" s="201"/>
      <c r="TM42" s="201"/>
      <c r="TN42" s="201"/>
      <c r="TO42" s="201"/>
      <c r="TP42" s="201"/>
      <c r="TQ42" s="201"/>
      <c r="TR42" s="201"/>
      <c r="TS42" s="201"/>
      <c r="TT42" s="201"/>
      <c r="TU42" s="201"/>
      <c r="TV42" s="201"/>
      <c r="TW42" s="201"/>
      <c r="TX42" s="201"/>
      <c r="TY42" s="201"/>
      <c r="TZ42" s="201"/>
      <c r="UA42" s="201"/>
      <c r="UB42" s="201"/>
      <c r="UC42" s="201"/>
      <c r="UD42" s="201"/>
      <c r="UE42" s="201"/>
      <c r="UF42" s="201"/>
      <c r="UG42" s="201"/>
      <c r="UH42" s="201"/>
      <c r="UI42" s="201"/>
      <c r="UJ42" s="201"/>
      <c r="UK42" s="201"/>
      <c r="UL42" s="201"/>
      <c r="UM42" s="201"/>
      <c r="UN42" s="201"/>
      <c r="UO42" s="201"/>
      <c r="UP42" s="201"/>
      <c r="UQ42" s="201"/>
      <c r="UR42" s="201"/>
      <c r="US42" s="201"/>
      <c r="UT42" s="201"/>
      <c r="UU42" s="201"/>
    </row>
    <row r="43" spans="1:567" ht="15" x14ac:dyDescent="0.35">
      <c r="B43" s="44" t="s">
        <v>662</v>
      </c>
      <c r="C43" s="45">
        <f>K43/SUM(K38:K42,K35,K28)</f>
        <v>2.2947144012350216E-3</v>
      </c>
      <c r="D43" s="45"/>
      <c r="E43" s="32">
        <v>1</v>
      </c>
      <c r="F43" s="32">
        <v>18</v>
      </c>
      <c r="G43" s="19" t="s">
        <v>602</v>
      </c>
      <c r="H43" s="32"/>
      <c r="I43" s="55">
        <f t="shared" si="496"/>
        <v>0.61934523809523812</v>
      </c>
      <c r="J43" s="36">
        <f t="shared" si="497"/>
        <v>520.25</v>
      </c>
      <c r="K43" s="37">
        <f>SUM(K38:K42,K35)*0.03</f>
        <v>156075</v>
      </c>
      <c r="M43" s="3" t="s">
        <v>834</v>
      </c>
      <c r="R43" s="90" t="str">
        <f t="shared" si="498"/>
        <v>OK</v>
      </c>
      <c r="S43" s="94">
        <f t="shared" si="499"/>
        <v>6503.1249999999982</v>
      </c>
      <c r="T43" s="94">
        <f t="shared" si="499"/>
        <v>6503.1249999999982</v>
      </c>
      <c r="U43" s="94">
        <f t="shared" si="499"/>
        <v>6503.125</v>
      </c>
      <c r="V43" s="94">
        <f t="shared" si="499"/>
        <v>6503.1249999999964</v>
      </c>
      <c r="W43" s="94">
        <f t="shared" si="499"/>
        <v>6503.1250000000018</v>
      </c>
      <c r="X43" s="94">
        <f t="shared" si="499"/>
        <v>6503.1249999999964</v>
      </c>
      <c r="Y43" s="94">
        <f t="shared" si="499"/>
        <v>6503.1250000000018</v>
      </c>
      <c r="Z43" s="94">
        <f t="shared" si="499"/>
        <v>6503.1249999999927</v>
      </c>
      <c r="AA43" s="94">
        <f t="shared" si="499"/>
        <v>6503.1250000000018</v>
      </c>
      <c r="AB43" s="94">
        <f t="shared" si="499"/>
        <v>6503.1250000000018</v>
      </c>
      <c r="AC43" s="94">
        <f t="shared" si="500"/>
        <v>6503.1249999999927</v>
      </c>
      <c r="AD43" s="94">
        <f t="shared" si="500"/>
        <v>6503.1250000000018</v>
      </c>
      <c r="AE43" s="94">
        <f t="shared" si="500"/>
        <v>6503.1249999999927</v>
      </c>
      <c r="AF43" s="94">
        <f t="shared" si="500"/>
        <v>6503.1250000000091</v>
      </c>
      <c r="AG43" s="94">
        <f t="shared" si="500"/>
        <v>6503.1249999999927</v>
      </c>
      <c r="AH43" s="94">
        <f t="shared" si="500"/>
        <v>6503.1249999999927</v>
      </c>
      <c r="AI43" s="94">
        <f t="shared" si="500"/>
        <v>6503.1250000000091</v>
      </c>
      <c r="AJ43" s="94">
        <f t="shared" si="500"/>
        <v>6503.1249999999927</v>
      </c>
      <c r="AK43" s="94">
        <f t="shared" si="500"/>
        <v>6503.1249999999927</v>
      </c>
      <c r="AL43" s="94">
        <f t="shared" si="500"/>
        <v>6503.1250000000091</v>
      </c>
      <c r="AM43" s="94">
        <f t="shared" si="501"/>
        <v>6503.1249999999927</v>
      </c>
      <c r="AN43" s="94">
        <f t="shared" si="501"/>
        <v>6503.1249999999927</v>
      </c>
      <c r="AO43" s="94">
        <f t="shared" si="501"/>
        <v>6503.1250000000091</v>
      </c>
      <c r="AP43" s="94">
        <f t="shared" si="501"/>
        <v>6503.1249999999927</v>
      </c>
      <c r="AQ43" s="94">
        <f t="shared" si="501"/>
        <v>0</v>
      </c>
      <c r="AR43" s="94">
        <f t="shared" si="501"/>
        <v>0</v>
      </c>
      <c r="AS43" s="94">
        <f t="shared" si="501"/>
        <v>0</v>
      </c>
      <c r="AT43" s="94">
        <f t="shared" si="501"/>
        <v>0</v>
      </c>
      <c r="AU43" s="94">
        <f t="shared" si="501"/>
        <v>0</v>
      </c>
      <c r="AV43" s="94">
        <f t="shared" si="501"/>
        <v>0</v>
      </c>
      <c r="AW43" s="94">
        <f t="shared" si="502"/>
        <v>0</v>
      </c>
      <c r="AX43" s="94">
        <f t="shared" si="502"/>
        <v>0</v>
      </c>
      <c r="AY43" s="94">
        <f t="shared" si="502"/>
        <v>0</v>
      </c>
      <c r="AZ43" s="94">
        <f t="shared" si="502"/>
        <v>0</v>
      </c>
      <c r="BA43" s="94">
        <f t="shared" si="502"/>
        <v>0</v>
      </c>
      <c r="BB43" s="94">
        <f t="shared" si="502"/>
        <v>0</v>
      </c>
      <c r="BC43" s="94">
        <f t="shared" si="502"/>
        <v>0</v>
      </c>
      <c r="BD43" s="94">
        <f t="shared" si="502"/>
        <v>0</v>
      </c>
      <c r="BE43" s="94">
        <f t="shared" si="502"/>
        <v>0</v>
      </c>
      <c r="BF43" s="94">
        <f t="shared" si="502"/>
        <v>0</v>
      </c>
      <c r="BG43" s="94">
        <f t="shared" si="503"/>
        <v>0</v>
      </c>
      <c r="BH43" s="94">
        <f t="shared" si="503"/>
        <v>0</v>
      </c>
      <c r="BI43" s="94">
        <f t="shared" si="503"/>
        <v>0</v>
      </c>
      <c r="BJ43" s="94">
        <f t="shared" si="503"/>
        <v>0</v>
      </c>
      <c r="BK43" s="94">
        <f t="shared" si="503"/>
        <v>0</v>
      </c>
      <c r="BL43" s="94">
        <f t="shared" si="503"/>
        <v>0</v>
      </c>
      <c r="BM43" s="94">
        <f t="shared" si="503"/>
        <v>0</v>
      </c>
      <c r="BN43" s="94">
        <f t="shared" si="503"/>
        <v>0</v>
      </c>
      <c r="BO43" s="94">
        <f t="shared" si="503"/>
        <v>0</v>
      </c>
      <c r="BP43" s="94">
        <f t="shared" si="503"/>
        <v>0</v>
      </c>
      <c r="BQ43" s="94">
        <f t="shared" si="504"/>
        <v>0</v>
      </c>
      <c r="BR43" s="94">
        <f t="shared" si="504"/>
        <v>0</v>
      </c>
      <c r="BS43" s="94">
        <f t="shared" si="504"/>
        <v>0</v>
      </c>
      <c r="BT43" s="94">
        <f t="shared" si="504"/>
        <v>0</v>
      </c>
      <c r="BU43" s="94">
        <f t="shared" si="504"/>
        <v>0</v>
      </c>
      <c r="BV43" s="94">
        <f t="shared" si="504"/>
        <v>0</v>
      </c>
      <c r="BW43" s="94">
        <f t="shared" si="504"/>
        <v>0</v>
      </c>
      <c r="BX43" s="94">
        <f t="shared" si="504"/>
        <v>0</v>
      </c>
      <c r="BY43" s="94">
        <f t="shared" si="504"/>
        <v>0</v>
      </c>
      <c r="BZ43" s="94">
        <f t="shared" si="504"/>
        <v>0</v>
      </c>
      <c r="CA43" s="94">
        <f t="shared" si="505"/>
        <v>0</v>
      </c>
      <c r="CB43" s="94">
        <f t="shared" si="505"/>
        <v>0</v>
      </c>
      <c r="CC43" s="94">
        <f t="shared" si="505"/>
        <v>0</v>
      </c>
      <c r="CD43" s="94">
        <f t="shared" si="505"/>
        <v>0</v>
      </c>
      <c r="CE43" s="94">
        <f t="shared" si="505"/>
        <v>0</v>
      </c>
      <c r="CF43" s="94">
        <f t="shared" si="505"/>
        <v>0</v>
      </c>
      <c r="CG43" s="94">
        <f t="shared" si="505"/>
        <v>0</v>
      </c>
      <c r="CH43" s="94">
        <f t="shared" si="505"/>
        <v>0</v>
      </c>
      <c r="CI43" s="94">
        <f t="shared" si="505"/>
        <v>0</v>
      </c>
      <c r="CJ43" s="94">
        <f t="shared" si="505"/>
        <v>0</v>
      </c>
      <c r="CK43" s="94">
        <f t="shared" si="506"/>
        <v>0</v>
      </c>
      <c r="CL43" s="94">
        <f t="shared" si="506"/>
        <v>0</v>
      </c>
      <c r="CM43" s="94">
        <f t="shared" si="506"/>
        <v>0</v>
      </c>
      <c r="CN43" s="94">
        <f t="shared" si="506"/>
        <v>0</v>
      </c>
      <c r="CO43" s="94">
        <f t="shared" si="506"/>
        <v>0</v>
      </c>
      <c r="CP43" s="94">
        <f t="shared" si="506"/>
        <v>0</v>
      </c>
      <c r="CQ43" s="94">
        <f t="shared" si="506"/>
        <v>0</v>
      </c>
      <c r="CR43" s="94">
        <f t="shared" si="506"/>
        <v>0</v>
      </c>
      <c r="CS43" s="94">
        <f t="shared" si="506"/>
        <v>0</v>
      </c>
      <c r="CT43" s="94">
        <f t="shared" si="506"/>
        <v>0</v>
      </c>
      <c r="CU43" s="94">
        <f t="shared" si="507"/>
        <v>0</v>
      </c>
      <c r="CV43" s="94">
        <f t="shared" si="507"/>
        <v>0</v>
      </c>
      <c r="CW43" s="94">
        <f t="shared" si="507"/>
        <v>0</v>
      </c>
      <c r="CX43" s="94">
        <f t="shared" si="507"/>
        <v>0</v>
      </c>
      <c r="CY43" s="94">
        <f t="shared" si="507"/>
        <v>0</v>
      </c>
      <c r="CZ43" s="94">
        <f t="shared" si="507"/>
        <v>0</v>
      </c>
      <c r="DA43" s="94">
        <f t="shared" si="507"/>
        <v>0</v>
      </c>
      <c r="DB43" s="94">
        <f t="shared" si="507"/>
        <v>0</v>
      </c>
      <c r="DC43" s="94">
        <f t="shared" si="507"/>
        <v>0</v>
      </c>
      <c r="DD43" s="94">
        <f t="shared" si="507"/>
        <v>0</v>
      </c>
      <c r="DE43" s="94">
        <f t="shared" si="508"/>
        <v>0</v>
      </c>
      <c r="DF43" s="94">
        <f t="shared" si="508"/>
        <v>0</v>
      </c>
      <c r="DG43" s="94">
        <f t="shared" si="508"/>
        <v>0</v>
      </c>
      <c r="DH43" s="94">
        <f t="shared" si="508"/>
        <v>0</v>
      </c>
      <c r="DI43" s="94">
        <f t="shared" si="508"/>
        <v>0</v>
      </c>
      <c r="DJ43" s="94">
        <f t="shared" si="508"/>
        <v>0</v>
      </c>
      <c r="DK43" s="94">
        <f t="shared" si="508"/>
        <v>0</v>
      </c>
      <c r="DL43" s="94">
        <f t="shared" si="508"/>
        <v>0</v>
      </c>
      <c r="DM43" s="94">
        <f t="shared" si="508"/>
        <v>0</v>
      </c>
      <c r="DN43" s="94">
        <f t="shared" si="508"/>
        <v>0</v>
      </c>
      <c r="DO43" s="94">
        <f t="shared" si="509"/>
        <v>0</v>
      </c>
      <c r="DP43" s="94">
        <f t="shared" si="509"/>
        <v>0</v>
      </c>
      <c r="DQ43" s="94">
        <f t="shared" si="509"/>
        <v>0</v>
      </c>
      <c r="DR43" s="94">
        <f t="shared" si="509"/>
        <v>0</v>
      </c>
      <c r="DS43" s="94">
        <f t="shared" si="509"/>
        <v>0</v>
      </c>
      <c r="DT43" s="94">
        <f t="shared" si="509"/>
        <v>0</v>
      </c>
      <c r="DU43" s="94">
        <f t="shared" si="509"/>
        <v>0</v>
      </c>
      <c r="DV43" s="94">
        <f t="shared" si="509"/>
        <v>0</v>
      </c>
      <c r="DW43" s="94">
        <f t="shared" si="509"/>
        <v>0</v>
      </c>
      <c r="DX43" s="94">
        <f t="shared" si="509"/>
        <v>0</v>
      </c>
      <c r="DY43" s="94">
        <f t="shared" si="510"/>
        <v>0</v>
      </c>
      <c r="DZ43" s="94">
        <f t="shared" si="510"/>
        <v>0</v>
      </c>
      <c r="EA43" s="94">
        <f t="shared" si="510"/>
        <v>0</v>
      </c>
      <c r="EB43" s="94">
        <f t="shared" si="510"/>
        <v>0</v>
      </c>
      <c r="EC43" s="94">
        <f t="shared" si="510"/>
        <v>0</v>
      </c>
      <c r="ED43" s="94">
        <f t="shared" si="510"/>
        <v>0</v>
      </c>
      <c r="EE43" s="94">
        <f t="shared" si="510"/>
        <v>0</v>
      </c>
      <c r="EF43" s="94">
        <f t="shared" si="510"/>
        <v>0</v>
      </c>
      <c r="EG43" s="94">
        <f t="shared" si="510"/>
        <v>0</v>
      </c>
      <c r="EH43" s="94">
        <f t="shared" si="510"/>
        <v>0</v>
      </c>
      <c r="EI43" s="94">
        <f t="shared" si="511"/>
        <v>0</v>
      </c>
      <c r="EJ43" s="94">
        <f t="shared" si="511"/>
        <v>0</v>
      </c>
      <c r="EK43" s="94">
        <f t="shared" si="511"/>
        <v>0</v>
      </c>
      <c r="EL43" s="94">
        <f t="shared" si="511"/>
        <v>0</v>
      </c>
      <c r="EM43" s="94">
        <f t="shared" si="511"/>
        <v>0</v>
      </c>
      <c r="EN43" s="94">
        <f t="shared" si="511"/>
        <v>0</v>
      </c>
      <c r="EO43" s="94">
        <f t="shared" si="511"/>
        <v>0</v>
      </c>
      <c r="EP43" s="94">
        <f t="shared" si="511"/>
        <v>0</v>
      </c>
      <c r="EQ43" s="94">
        <f t="shared" si="511"/>
        <v>0</v>
      </c>
      <c r="ER43" s="94">
        <f t="shared" si="511"/>
        <v>0</v>
      </c>
      <c r="ES43" s="94">
        <f t="shared" si="512"/>
        <v>0</v>
      </c>
      <c r="ET43" s="94">
        <f t="shared" si="512"/>
        <v>0</v>
      </c>
      <c r="EU43" s="94">
        <f t="shared" si="512"/>
        <v>0</v>
      </c>
      <c r="EY43" s="216" t="s">
        <v>446</v>
      </c>
      <c r="EZ43" s="199">
        <f>COUNTA($B$38:$B$42)</f>
        <v>5</v>
      </c>
      <c r="FC43" s="199"/>
      <c r="FD43" s="199"/>
      <c r="FE43" s="199"/>
      <c r="FF43" s="199"/>
      <c r="FG43" s="199"/>
      <c r="FH43" s="199"/>
      <c r="FI43" s="199"/>
      <c r="FJ43" s="199"/>
      <c r="FK43" s="199"/>
      <c r="FL43" s="199"/>
      <c r="FM43" s="199"/>
      <c r="FN43" s="199"/>
      <c r="FO43" s="199"/>
      <c r="FP43" s="199"/>
      <c r="FQ43" s="199"/>
      <c r="FR43" s="199"/>
      <c r="FS43" s="199"/>
      <c r="FT43" s="199"/>
      <c r="FU43" s="199"/>
      <c r="FV43" s="199"/>
      <c r="FW43" s="199"/>
      <c r="FX43" s="199"/>
      <c r="FY43" s="199"/>
      <c r="FZ43" s="199"/>
      <c r="GA43" s="199"/>
      <c r="GB43" s="199"/>
      <c r="GC43" s="199"/>
      <c r="GD43" s="199"/>
      <c r="GE43" s="199"/>
      <c r="GF43" s="199"/>
      <c r="GG43" s="199"/>
      <c r="GH43" s="199"/>
      <c r="GI43" s="199"/>
      <c r="GJ43" s="199"/>
      <c r="GK43" s="199"/>
      <c r="GL43" s="199"/>
      <c r="GM43" s="199"/>
      <c r="GN43" s="199"/>
      <c r="GO43" s="199"/>
      <c r="GP43" s="199"/>
      <c r="GQ43" s="199"/>
      <c r="GR43" s="199"/>
      <c r="GS43" s="199"/>
      <c r="GT43" s="199"/>
      <c r="GU43" s="199"/>
      <c r="GV43" s="199"/>
      <c r="GW43" s="199"/>
      <c r="GX43" s="199"/>
      <c r="GY43" s="199"/>
      <c r="GZ43" s="199"/>
      <c r="HA43" s="199"/>
      <c r="HB43" s="199"/>
      <c r="HC43" s="199"/>
      <c r="HD43" s="199"/>
      <c r="HE43" s="199"/>
      <c r="HF43" s="199"/>
      <c r="HG43" s="199"/>
      <c r="HH43" s="199"/>
      <c r="HI43" s="199"/>
      <c r="HJ43" s="199"/>
      <c r="HK43" s="199"/>
      <c r="HL43" s="199"/>
      <c r="HM43" s="199"/>
      <c r="HN43" s="199"/>
      <c r="HO43" s="199"/>
      <c r="HP43" s="199"/>
      <c r="HQ43" s="199"/>
      <c r="HR43" s="199"/>
      <c r="HS43" s="199"/>
      <c r="HT43" s="199"/>
      <c r="HU43" s="199"/>
      <c r="HV43" s="199"/>
      <c r="HW43" s="199"/>
      <c r="HX43" s="199"/>
      <c r="HY43" s="199"/>
      <c r="HZ43" s="199"/>
      <c r="IA43" s="199"/>
      <c r="IB43" s="199"/>
      <c r="IC43" s="199"/>
      <c r="ID43" s="199"/>
      <c r="IE43" s="199"/>
      <c r="IF43" s="199"/>
      <c r="IG43" s="199"/>
      <c r="IH43" s="199"/>
      <c r="II43" s="199"/>
      <c r="IJ43" s="199"/>
      <c r="IK43" s="199"/>
      <c r="IL43" s="199"/>
      <c r="IM43" s="199"/>
      <c r="IN43" s="199"/>
      <c r="IO43" s="199"/>
      <c r="IP43" s="199"/>
      <c r="IQ43" s="199"/>
      <c r="IR43" s="199"/>
      <c r="IS43" s="199"/>
      <c r="IT43" s="199"/>
      <c r="IU43" s="199"/>
      <c r="IV43" s="199"/>
      <c r="IW43" s="199"/>
      <c r="IX43" s="199"/>
      <c r="IY43" s="199"/>
      <c r="IZ43" s="199"/>
      <c r="JA43" s="199"/>
      <c r="JB43" s="199"/>
      <c r="JC43" s="199"/>
      <c r="JD43" s="199"/>
      <c r="JE43" s="199"/>
      <c r="JF43" s="199"/>
      <c r="JG43" s="199"/>
      <c r="JH43" s="199"/>
      <c r="JI43" s="199"/>
      <c r="JJ43" s="199"/>
      <c r="JK43" s="199"/>
      <c r="JL43" s="199"/>
      <c r="JM43" s="199"/>
      <c r="JN43" s="199"/>
      <c r="JO43" s="199"/>
      <c r="JP43" s="199"/>
      <c r="JQ43" s="199"/>
      <c r="JR43" s="199"/>
      <c r="JS43" s="199"/>
      <c r="JT43" s="199"/>
      <c r="JU43" s="199"/>
      <c r="JV43" s="199"/>
      <c r="JW43" s="199"/>
      <c r="JX43" s="199"/>
      <c r="JY43" s="199"/>
      <c r="JZ43" s="199"/>
      <c r="KA43" s="199"/>
      <c r="KB43" s="199"/>
      <c r="KC43" s="199"/>
      <c r="KD43" s="199"/>
      <c r="KE43" s="199"/>
      <c r="PQ43" s="201"/>
      <c r="PR43" s="201"/>
      <c r="PS43" s="201"/>
      <c r="PT43" s="201"/>
      <c r="PU43" s="201"/>
      <c r="PV43" s="201"/>
      <c r="PW43" s="201"/>
      <c r="PX43" s="201"/>
      <c r="PY43" s="201"/>
      <c r="PZ43" s="201"/>
      <c r="QA43" s="201"/>
      <c r="QB43" s="201"/>
      <c r="QC43" s="201"/>
      <c r="QD43" s="201"/>
      <c r="QE43" s="201"/>
      <c r="QF43" s="201"/>
      <c r="QG43" s="201"/>
      <c r="QH43" s="201"/>
      <c r="QI43" s="201"/>
      <c r="QJ43" s="201"/>
      <c r="QK43" s="201"/>
      <c r="QL43" s="201"/>
      <c r="QM43" s="201"/>
      <c r="QN43" s="201"/>
      <c r="QO43" s="201"/>
      <c r="QP43" s="201"/>
      <c r="QQ43" s="201"/>
      <c r="QR43" s="201"/>
      <c r="QS43" s="201"/>
      <c r="QT43" s="201"/>
      <c r="QU43" s="201"/>
      <c r="QV43" s="201"/>
      <c r="QW43" s="201"/>
      <c r="QX43" s="201"/>
      <c r="QY43" s="201"/>
      <c r="QZ43" s="201"/>
      <c r="RA43" s="201"/>
      <c r="RB43" s="201"/>
      <c r="RC43" s="201"/>
      <c r="RD43" s="201"/>
      <c r="RE43" s="201"/>
      <c r="RF43" s="201"/>
      <c r="RG43" s="201"/>
      <c r="RH43" s="201"/>
      <c r="RI43" s="201"/>
      <c r="RJ43" s="201"/>
      <c r="RK43" s="201"/>
      <c r="RL43" s="201"/>
      <c r="RM43" s="201"/>
      <c r="RN43" s="201"/>
      <c r="RO43" s="201"/>
      <c r="RP43" s="201"/>
      <c r="RQ43" s="201"/>
      <c r="RR43" s="201"/>
      <c r="RS43" s="201"/>
      <c r="RT43" s="201"/>
      <c r="RU43" s="201"/>
      <c r="RV43" s="201"/>
      <c r="RW43" s="201"/>
      <c r="RX43" s="201"/>
      <c r="RY43" s="201"/>
      <c r="RZ43" s="201"/>
      <c r="SA43" s="201"/>
      <c r="SB43" s="201"/>
      <c r="SC43" s="201"/>
      <c r="SD43" s="201"/>
      <c r="SE43" s="201"/>
      <c r="SF43" s="201"/>
      <c r="SG43" s="201"/>
      <c r="SH43" s="201"/>
      <c r="SI43" s="201"/>
      <c r="SJ43" s="201"/>
      <c r="SK43" s="201"/>
      <c r="SL43" s="201"/>
      <c r="SM43" s="201"/>
      <c r="SN43" s="201"/>
      <c r="SO43" s="201"/>
      <c r="SP43" s="201"/>
      <c r="SQ43" s="201"/>
      <c r="SR43" s="201"/>
      <c r="SS43" s="201"/>
      <c r="ST43" s="201"/>
      <c r="SU43" s="201"/>
      <c r="SV43" s="201"/>
      <c r="SW43" s="201"/>
      <c r="SX43" s="201"/>
      <c r="SY43" s="201"/>
      <c r="SZ43" s="201"/>
      <c r="TA43" s="201"/>
      <c r="TB43" s="201"/>
      <c r="TC43" s="201"/>
      <c r="TD43" s="201"/>
      <c r="TE43" s="201"/>
      <c r="TF43" s="201"/>
      <c r="TG43" s="201"/>
      <c r="TH43" s="201"/>
      <c r="TI43" s="201"/>
      <c r="TJ43" s="201"/>
      <c r="TK43" s="201"/>
      <c r="TL43" s="201"/>
      <c r="TM43" s="201"/>
      <c r="TN43" s="201"/>
      <c r="TO43" s="201"/>
      <c r="TP43" s="201"/>
      <c r="TQ43" s="201"/>
      <c r="TR43" s="201"/>
      <c r="TS43" s="201"/>
      <c r="TT43" s="201"/>
      <c r="TU43" s="201"/>
      <c r="TV43" s="201"/>
      <c r="TW43" s="201"/>
      <c r="TX43" s="201"/>
      <c r="TY43" s="201"/>
      <c r="TZ43" s="201"/>
      <c r="UA43" s="201"/>
      <c r="UB43" s="201"/>
      <c r="UC43" s="201"/>
      <c r="UD43" s="201"/>
      <c r="UE43" s="201"/>
      <c r="UF43" s="201"/>
      <c r="UG43" s="201"/>
      <c r="UH43" s="201"/>
      <c r="UI43" s="201"/>
      <c r="UJ43" s="201"/>
      <c r="UK43" s="201"/>
      <c r="UL43" s="201"/>
      <c r="UM43" s="201"/>
      <c r="UN43" s="201"/>
      <c r="UO43" s="201"/>
      <c r="UP43" s="201"/>
      <c r="UQ43" s="201"/>
      <c r="UR43" s="201"/>
      <c r="US43" s="201"/>
      <c r="UT43" s="201"/>
      <c r="UU43" s="201"/>
    </row>
    <row r="44" spans="1:567" x14ac:dyDescent="0.25">
      <c r="B44" s="38" t="s">
        <v>40</v>
      </c>
      <c r="C44" s="26"/>
      <c r="D44" s="26"/>
      <c r="E44" s="39">
        <f>MIN(E38:E43)</f>
        <v>0</v>
      </c>
      <c r="F44" s="39">
        <f>MAX(F38:F43)</f>
        <v>18</v>
      </c>
      <c r="G44" s="32"/>
      <c r="H44" s="32"/>
      <c r="I44" s="33">
        <f>SUM(I38:I43)</f>
        <v>3.4070436507936512</v>
      </c>
      <c r="J44" s="34">
        <f>SUM(J38:J43)</f>
        <v>2861.916666666667</v>
      </c>
      <c r="K44" s="40">
        <f>SUM(K38:K43)</f>
        <v>858575</v>
      </c>
      <c r="R44" s="90" t="str">
        <f>IF(ROUND(SUM(S44:EU44),0)=ROUND(K44,0),"Soft Costs - OK","ERROR")</f>
        <v>Soft Costs - OK</v>
      </c>
      <c r="S44" s="91">
        <f t="shared" ref="S44:AX44" si="530">SUM(S38:S43)</f>
        <v>35773.958333333328</v>
      </c>
      <c r="T44" s="91">
        <f t="shared" si="530"/>
        <v>35773.958333333328</v>
      </c>
      <c r="U44" s="91">
        <f t="shared" si="530"/>
        <v>35773.958333333328</v>
      </c>
      <c r="V44" s="91">
        <f t="shared" si="530"/>
        <v>35773.958333333314</v>
      </c>
      <c r="W44" s="91">
        <f t="shared" si="530"/>
        <v>35773.958333333343</v>
      </c>
      <c r="X44" s="91">
        <f t="shared" si="530"/>
        <v>35773.958333333314</v>
      </c>
      <c r="Y44" s="91">
        <f t="shared" si="530"/>
        <v>35773.958333333343</v>
      </c>
      <c r="Z44" s="91">
        <f t="shared" si="530"/>
        <v>35773.958333333292</v>
      </c>
      <c r="AA44" s="91">
        <f t="shared" si="530"/>
        <v>35773.958333333343</v>
      </c>
      <c r="AB44" s="91">
        <f t="shared" si="530"/>
        <v>35773.958333333343</v>
      </c>
      <c r="AC44" s="91">
        <f t="shared" si="530"/>
        <v>35773.958333333292</v>
      </c>
      <c r="AD44" s="91">
        <f t="shared" si="530"/>
        <v>35773.958333333343</v>
      </c>
      <c r="AE44" s="91">
        <f t="shared" si="530"/>
        <v>35773.958333333292</v>
      </c>
      <c r="AF44" s="91">
        <f t="shared" si="530"/>
        <v>35773.958333333379</v>
      </c>
      <c r="AG44" s="91">
        <f t="shared" si="530"/>
        <v>35773.958333333292</v>
      </c>
      <c r="AH44" s="91">
        <f t="shared" si="530"/>
        <v>35773.958333333292</v>
      </c>
      <c r="AI44" s="91">
        <f t="shared" si="530"/>
        <v>35773.958333333379</v>
      </c>
      <c r="AJ44" s="91">
        <f t="shared" si="530"/>
        <v>35773.958333333292</v>
      </c>
      <c r="AK44" s="91">
        <f t="shared" si="530"/>
        <v>35773.958333333292</v>
      </c>
      <c r="AL44" s="91">
        <f t="shared" si="530"/>
        <v>35773.958333333379</v>
      </c>
      <c r="AM44" s="91">
        <f t="shared" si="530"/>
        <v>35773.958333333292</v>
      </c>
      <c r="AN44" s="91">
        <f t="shared" si="530"/>
        <v>35773.958333333292</v>
      </c>
      <c r="AO44" s="91">
        <f t="shared" si="530"/>
        <v>35773.958333333379</v>
      </c>
      <c r="AP44" s="91">
        <f t="shared" si="530"/>
        <v>35773.958333333292</v>
      </c>
      <c r="AQ44" s="91">
        <f t="shared" si="530"/>
        <v>0</v>
      </c>
      <c r="AR44" s="91">
        <f t="shared" si="530"/>
        <v>0</v>
      </c>
      <c r="AS44" s="91">
        <f t="shared" si="530"/>
        <v>0</v>
      </c>
      <c r="AT44" s="91">
        <f t="shared" si="530"/>
        <v>0</v>
      </c>
      <c r="AU44" s="91">
        <f t="shared" si="530"/>
        <v>0</v>
      </c>
      <c r="AV44" s="91">
        <f t="shared" si="530"/>
        <v>0</v>
      </c>
      <c r="AW44" s="91">
        <f t="shared" si="530"/>
        <v>0</v>
      </c>
      <c r="AX44" s="91">
        <f t="shared" si="530"/>
        <v>0</v>
      </c>
      <c r="AY44" s="91">
        <f t="shared" ref="AY44:CD44" si="531">SUM(AY38:AY43)</f>
        <v>0</v>
      </c>
      <c r="AZ44" s="91">
        <f t="shared" si="531"/>
        <v>0</v>
      </c>
      <c r="BA44" s="91">
        <f t="shared" si="531"/>
        <v>0</v>
      </c>
      <c r="BB44" s="91">
        <f t="shared" si="531"/>
        <v>0</v>
      </c>
      <c r="BC44" s="91">
        <f t="shared" si="531"/>
        <v>0</v>
      </c>
      <c r="BD44" s="91">
        <f t="shared" si="531"/>
        <v>0</v>
      </c>
      <c r="BE44" s="91">
        <f t="shared" si="531"/>
        <v>0</v>
      </c>
      <c r="BF44" s="91">
        <f t="shared" si="531"/>
        <v>0</v>
      </c>
      <c r="BG44" s="91">
        <f t="shared" si="531"/>
        <v>0</v>
      </c>
      <c r="BH44" s="91">
        <f t="shared" si="531"/>
        <v>0</v>
      </c>
      <c r="BI44" s="91">
        <f t="shared" si="531"/>
        <v>0</v>
      </c>
      <c r="BJ44" s="91">
        <f t="shared" si="531"/>
        <v>0</v>
      </c>
      <c r="BK44" s="91">
        <f t="shared" si="531"/>
        <v>0</v>
      </c>
      <c r="BL44" s="91">
        <f t="shared" si="531"/>
        <v>0</v>
      </c>
      <c r="BM44" s="91">
        <f t="shared" si="531"/>
        <v>0</v>
      </c>
      <c r="BN44" s="91">
        <f t="shared" si="531"/>
        <v>0</v>
      </c>
      <c r="BO44" s="91">
        <f t="shared" si="531"/>
        <v>0</v>
      </c>
      <c r="BP44" s="91">
        <f t="shared" si="531"/>
        <v>0</v>
      </c>
      <c r="BQ44" s="91">
        <f t="shared" si="531"/>
        <v>0</v>
      </c>
      <c r="BR44" s="91">
        <f t="shared" si="531"/>
        <v>0</v>
      </c>
      <c r="BS44" s="91">
        <f t="shared" si="531"/>
        <v>0</v>
      </c>
      <c r="BT44" s="91">
        <f t="shared" si="531"/>
        <v>0</v>
      </c>
      <c r="BU44" s="91">
        <f t="shared" si="531"/>
        <v>0</v>
      </c>
      <c r="BV44" s="91">
        <f t="shared" si="531"/>
        <v>0</v>
      </c>
      <c r="BW44" s="91">
        <f t="shared" si="531"/>
        <v>0</v>
      </c>
      <c r="BX44" s="91">
        <f t="shared" si="531"/>
        <v>0</v>
      </c>
      <c r="BY44" s="91">
        <f t="shared" si="531"/>
        <v>0</v>
      </c>
      <c r="BZ44" s="91">
        <f t="shared" si="531"/>
        <v>0</v>
      </c>
      <c r="CA44" s="91">
        <f t="shared" si="531"/>
        <v>0</v>
      </c>
      <c r="CB44" s="91">
        <f t="shared" si="531"/>
        <v>0</v>
      </c>
      <c r="CC44" s="91">
        <f t="shared" si="531"/>
        <v>0</v>
      </c>
      <c r="CD44" s="91">
        <f t="shared" si="531"/>
        <v>0</v>
      </c>
      <c r="CE44" s="91">
        <f t="shared" ref="CE44:DJ44" si="532">SUM(CE38:CE43)</f>
        <v>0</v>
      </c>
      <c r="CF44" s="91">
        <f t="shared" si="532"/>
        <v>0</v>
      </c>
      <c r="CG44" s="91">
        <f t="shared" si="532"/>
        <v>0</v>
      </c>
      <c r="CH44" s="91">
        <f t="shared" si="532"/>
        <v>0</v>
      </c>
      <c r="CI44" s="91">
        <f t="shared" si="532"/>
        <v>0</v>
      </c>
      <c r="CJ44" s="91">
        <f t="shared" si="532"/>
        <v>0</v>
      </c>
      <c r="CK44" s="91">
        <f t="shared" si="532"/>
        <v>0</v>
      </c>
      <c r="CL44" s="91">
        <f t="shared" si="532"/>
        <v>0</v>
      </c>
      <c r="CM44" s="91">
        <f t="shared" si="532"/>
        <v>0</v>
      </c>
      <c r="CN44" s="91">
        <f t="shared" si="532"/>
        <v>0</v>
      </c>
      <c r="CO44" s="91">
        <f t="shared" si="532"/>
        <v>0</v>
      </c>
      <c r="CP44" s="91">
        <f t="shared" si="532"/>
        <v>0</v>
      </c>
      <c r="CQ44" s="91">
        <f t="shared" si="532"/>
        <v>0</v>
      </c>
      <c r="CR44" s="91">
        <f t="shared" si="532"/>
        <v>0</v>
      </c>
      <c r="CS44" s="91">
        <f t="shared" si="532"/>
        <v>0</v>
      </c>
      <c r="CT44" s="91">
        <f t="shared" si="532"/>
        <v>0</v>
      </c>
      <c r="CU44" s="91">
        <f t="shared" si="532"/>
        <v>0</v>
      </c>
      <c r="CV44" s="91">
        <f t="shared" si="532"/>
        <v>0</v>
      </c>
      <c r="CW44" s="91">
        <f t="shared" si="532"/>
        <v>0</v>
      </c>
      <c r="CX44" s="91">
        <f t="shared" si="532"/>
        <v>0</v>
      </c>
      <c r="CY44" s="91">
        <f t="shared" si="532"/>
        <v>0</v>
      </c>
      <c r="CZ44" s="91">
        <f t="shared" si="532"/>
        <v>0</v>
      </c>
      <c r="DA44" s="91">
        <f t="shared" si="532"/>
        <v>0</v>
      </c>
      <c r="DB44" s="91">
        <f t="shared" si="532"/>
        <v>0</v>
      </c>
      <c r="DC44" s="91">
        <f t="shared" si="532"/>
        <v>0</v>
      </c>
      <c r="DD44" s="91">
        <f t="shared" si="532"/>
        <v>0</v>
      </c>
      <c r="DE44" s="91">
        <f t="shared" si="532"/>
        <v>0</v>
      </c>
      <c r="DF44" s="91">
        <f t="shared" si="532"/>
        <v>0</v>
      </c>
      <c r="DG44" s="91">
        <f t="shared" si="532"/>
        <v>0</v>
      </c>
      <c r="DH44" s="91">
        <f t="shared" si="532"/>
        <v>0</v>
      </c>
      <c r="DI44" s="91">
        <f t="shared" si="532"/>
        <v>0</v>
      </c>
      <c r="DJ44" s="91">
        <f t="shared" si="532"/>
        <v>0</v>
      </c>
      <c r="DK44" s="91">
        <f t="shared" ref="DK44:EP44" si="533">SUM(DK38:DK43)</f>
        <v>0</v>
      </c>
      <c r="DL44" s="91">
        <f t="shared" si="533"/>
        <v>0</v>
      </c>
      <c r="DM44" s="91">
        <f t="shared" si="533"/>
        <v>0</v>
      </c>
      <c r="DN44" s="91">
        <f t="shared" si="533"/>
        <v>0</v>
      </c>
      <c r="DO44" s="91">
        <f t="shared" si="533"/>
        <v>0</v>
      </c>
      <c r="DP44" s="91">
        <f t="shared" si="533"/>
        <v>0</v>
      </c>
      <c r="DQ44" s="91">
        <f t="shared" si="533"/>
        <v>0</v>
      </c>
      <c r="DR44" s="91">
        <f t="shared" si="533"/>
        <v>0</v>
      </c>
      <c r="DS44" s="91">
        <f t="shared" si="533"/>
        <v>0</v>
      </c>
      <c r="DT44" s="91">
        <f t="shared" si="533"/>
        <v>0</v>
      </c>
      <c r="DU44" s="91">
        <f t="shared" si="533"/>
        <v>0</v>
      </c>
      <c r="DV44" s="91">
        <f t="shared" si="533"/>
        <v>0</v>
      </c>
      <c r="DW44" s="91">
        <f t="shared" si="533"/>
        <v>0</v>
      </c>
      <c r="DX44" s="91">
        <f t="shared" si="533"/>
        <v>0</v>
      </c>
      <c r="DY44" s="91">
        <f t="shared" si="533"/>
        <v>0</v>
      </c>
      <c r="DZ44" s="91">
        <f t="shared" si="533"/>
        <v>0</v>
      </c>
      <c r="EA44" s="91">
        <f t="shared" si="533"/>
        <v>0</v>
      </c>
      <c r="EB44" s="91">
        <f t="shared" si="533"/>
        <v>0</v>
      </c>
      <c r="EC44" s="91">
        <f t="shared" si="533"/>
        <v>0</v>
      </c>
      <c r="ED44" s="91">
        <f t="shared" si="533"/>
        <v>0</v>
      </c>
      <c r="EE44" s="91">
        <f t="shared" si="533"/>
        <v>0</v>
      </c>
      <c r="EF44" s="91">
        <f t="shared" si="533"/>
        <v>0</v>
      </c>
      <c r="EG44" s="91">
        <f t="shared" si="533"/>
        <v>0</v>
      </c>
      <c r="EH44" s="91">
        <f t="shared" si="533"/>
        <v>0</v>
      </c>
      <c r="EI44" s="91">
        <f t="shared" si="533"/>
        <v>0</v>
      </c>
      <c r="EJ44" s="91">
        <f t="shared" si="533"/>
        <v>0</v>
      </c>
      <c r="EK44" s="91">
        <f t="shared" si="533"/>
        <v>0</v>
      </c>
      <c r="EL44" s="91">
        <f t="shared" si="533"/>
        <v>0</v>
      </c>
      <c r="EM44" s="91">
        <f t="shared" si="533"/>
        <v>0</v>
      </c>
      <c r="EN44" s="91">
        <f t="shared" si="533"/>
        <v>0</v>
      </c>
      <c r="EO44" s="91">
        <f t="shared" si="533"/>
        <v>0</v>
      </c>
      <c r="EP44" s="91">
        <f t="shared" si="533"/>
        <v>0</v>
      </c>
      <c r="EQ44" s="91">
        <f t="shared" ref="EQ44:EU44" si="534">SUM(EQ38:EQ43)</f>
        <v>0</v>
      </c>
      <c r="ER44" s="91">
        <f t="shared" si="534"/>
        <v>0</v>
      </c>
      <c r="ES44" s="91">
        <f t="shared" si="534"/>
        <v>0</v>
      </c>
      <c r="ET44" s="91">
        <f t="shared" si="534"/>
        <v>0</v>
      </c>
      <c r="EU44" s="91">
        <f t="shared" si="534"/>
        <v>0</v>
      </c>
      <c r="FC44" s="199"/>
      <c r="FD44" s="199"/>
      <c r="FE44" s="199"/>
      <c r="FF44" s="199"/>
      <c r="FG44" s="199"/>
      <c r="FH44" s="199"/>
      <c r="FI44" s="199"/>
      <c r="FJ44" s="199"/>
      <c r="FK44" s="199"/>
      <c r="FL44" s="199"/>
      <c r="FM44" s="199"/>
      <c r="FN44" s="199"/>
      <c r="FO44" s="199"/>
      <c r="FP44" s="199"/>
      <c r="FQ44" s="199"/>
      <c r="FR44" s="199"/>
      <c r="FS44" s="199"/>
      <c r="FT44" s="199"/>
      <c r="FU44" s="199"/>
      <c r="FV44" s="199"/>
      <c r="FW44" s="199"/>
      <c r="FX44" s="199"/>
      <c r="FY44" s="199"/>
      <c r="FZ44" s="199"/>
      <c r="GA44" s="199"/>
      <c r="GB44" s="199"/>
      <c r="GC44" s="199"/>
      <c r="GD44" s="199"/>
      <c r="GE44" s="199"/>
      <c r="GF44" s="199"/>
      <c r="GG44" s="199"/>
      <c r="GH44" s="199"/>
      <c r="GI44" s="199"/>
      <c r="GJ44" s="199"/>
      <c r="GK44" s="199"/>
      <c r="GL44" s="199"/>
      <c r="GM44" s="199"/>
      <c r="GN44" s="199"/>
      <c r="GO44" s="199"/>
      <c r="GP44" s="199"/>
      <c r="GQ44" s="199"/>
      <c r="GR44" s="199"/>
      <c r="GS44" s="199"/>
      <c r="GT44" s="199"/>
      <c r="GU44" s="199"/>
      <c r="GV44" s="199"/>
      <c r="GW44" s="199"/>
      <c r="GX44" s="199"/>
      <c r="GY44" s="199"/>
      <c r="GZ44" s="199"/>
      <c r="HA44" s="199"/>
      <c r="HB44" s="199"/>
      <c r="HC44" s="199"/>
      <c r="HD44" s="199"/>
      <c r="HE44" s="199"/>
      <c r="HF44" s="199"/>
      <c r="HG44" s="199"/>
      <c r="HH44" s="199"/>
      <c r="HI44" s="199"/>
      <c r="HJ44" s="199"/>
      <c r="HK44" s="199"/>
      <c r="HL44" s="199"/>
      <c r="HM44" s="199"/>
      <c r="HN44" s="199"/>
      <c r="HO44" s="199"/>
      <c r="HP44" s="199"/>
      <c r="HQ44" s="199"/>
      <c r="HR44" s="199"/>
      <c r="HS44" s="199"/>
      <c r="HT44" s="199"/>
      <c r="HU44" s="199"/>
      <c r="HV44" s="199"/>
      <c r="HW44" s="199"/>
      <c r="HX44" s="199"/>
      <c r="HY44" s="199"/>
      <c r="HZ44" s="199"/>
      <c r="IA44" s="199"/>
      <c r="IB44" s="199"/>
      <c r="IC44" s="199"/>
      <c r="ID44" s="199"/>
      <c r="IE44" s="199"/>
      <c r="IF44" s="199"/>
      <c r="IG44" s="199"/>
      <c r="IH44" s="199"/>
      <c r="II44" s="199"/>
      <c r="IJ44" s="199"/>
      <c r="IK44" s="199"/>
      <c r="IL44" s="199"/>
      <c r="IM44" s="199"/>
      <c r="IN44" s="199"/>
      <c r="IO44" s="199"/>
      <c r="IP44" s="199"/>
      <c r="IQ44" s="199"/>
      <c r="IR44" s="199"/>
      <c r="IS44" s="199"/>
      <c r="IT44" s="199"/>
      <c r="IU44" s="199"/>
      <c r="IV44" s="199"/>
      <c r="IW44" s="199"/>
      <c r="IX44" s="199"/>
      <c r="IY44" s="199"/>
      <c r="IZ44" s="199"/>
      <c r="JA44" s="199"/>
      <c r="JB44" s="199"/>
      <c r="JC44" s="199"/>
      <c r="JD44" s="199"/>
      <c r="JE44" s="199"/>
      <c r="JF44" s="199"/>
      <c r="JG44" s="199"/>
      <c r="JH44" s="199"/>
      <c r="JI44" s="199"/>
      <c r="JJ44" s="199"/>
      <c r="JK44" s="199"/>
      <c r="JL44" s="199"/>
      <c r="JM44" s="199"/>
      <c r="JN44" s="199"/>
      <c r="JO44" s="199"/>
      <c r="JP44" s="199"/>
      <c r="JQ44" s="199"/>
      <c r="JR44" s="199"/>
      <c r="JS44" s="199"/>
      <c r="JT44" s="199"/>
      <c r="JU44" s="199"/>
      <c r="JV44" s="199"/>
      <c r="JW44" s="199"/>
      <c r="JX44" s="199"/>
      <c r="JY44" s="199"/>
      <c r="JZ44" s="199"/>
      <c r="KA44" s="199"/>
      <c r="KB44" s="199"/>
      <c r="KC44" s="199"/>
      <c r="KD44" s="199"/>
      <c r="KE44" s="199"/>
      <c r="PQ44" s="201"/>
      <c r="PR44" s="201"/>
      <c r="PS44" s="201"/>
      <c r="PT44" s="201"/>
      <c r="PU44" s="201"/>
      <c r="PV44" s="201"/>
      <c r="PW44" s="201"/>
      <c r="PX44" s="201"/>
      <c r="PY44" s="201"/>
      <c r="PZ44" s="201"/>
      <c r="QA44" s="201"/>
      <c r="QB44" s="201"/>
      <c r="QC44" s="201"/>
      <c r="QD44" s="201"/>
      <c r="QE44" s="201"/>
      <c r="QF44" s="201"/>
      <c r="QG44" s="201"/>
      <c r="QH44" s="201"/>
      <c r="QI44" s="201"/>
      <c r="QJ44" s="201"/>
      <c r="QK44" s="201"/>
      <c r="QL44" s="201"/>
      <c r="QM44" s="201"/>
      <c r="QN44" s="201"/>
      <c r="QO44" s="201"/>
      <c r="QP44" s="201"/>
      <c r="QQ44" s="201"/>
      <c r="QR44" s="201"/>
      <c r="QS44" s="201"/>
      <c r="QT44" s="201"/>
      <c r="QU44" s="201"/>
      <c r="QV44" s="201"/>
      <c r="QW44" s="201"/>
      <c r="QX44" s="201"/>
      <c r="QY44" s="201"/>
      <c r="QZ44" s="201"/>
      <c r="RA44" s="201"/>
      <c r="RB44" s="201"/>
      <c r="RC44" s="201"/>
      <c r="RD44" s="201"/>
      <c r="RE44" s="201"/>
      <c r="RF44" s="201"/>
      <c r="RG44" s="201"/>
      <c r="RH44" s="201"/>
      <c r="RI44" s="201"/>
      <c r="RJ44" s="201"/>
      <c r="RK44" s="201"/>
      <c r="RL44" s="201"/>
      <c r="RM44" s="201"/>
      <c r="RN44" s="201"/>
      <c r="RO44" s="201"/>
      <c r="RP44" s="201"/>
      <c r="RQ44" s="201"/>
      <c r="RR44" s="201"/>
      <c r="RS44" s="201"/>
      <c r="RT44" s="201"/>
      <c r="RU44" s="201"/>
      <c r="RV44" s="201"/>
      <c r="RW44" s="201"/>
      <c r="RX44" s="201"/>
      <c r="RY44" s="201"/>
      <c r="RZ44" s="201"/>
      <c r="SA44" s="201"/>
      <c r="SB44" s="201"/>
      <c r="SC44" s="201"/>
      <c r="SD44" s="201"/>
      <c r="SE44" s="201"/>
      <c r="SF44" s="201"/>
      <c r="SG44" s="201"/>
      <c r="SH44" s="201"/>
      <c r="SI44" s="201"/>
      <c r="SJ44" s="201"/>
      <c r="SK44" s="201"/>
      <c r="SL44" s="201"/>
      <c r="SM44" s="201"/>
      <c r="SN44" s="201"/>
      <c r="SO44" s="201"/>
      <c r="SP44" s="201"/>
      <c r="SQ44" s="201"/>
      <c r="SR44" s="201"/>
      <c r="SS44" s="201"/>
      <c r="ST44" s="201"/>
      <c r="SU44" s="201"/>
      <c r="SV44" s="201"/>
      <c r="SW44" s="201"/>
      <c r="SX44" s="201"/>
      <c r="SY44" s="201"/>
      <c r="SZ44" s="201"/>
      <c r="TA44" s="201"/>
      <c r="TB44" s="201"/>
      <c r="TC44" s="201"/>
      <c r="TD44" s="201"/>
      <c r="TE44" s="201"/>
      <c r="TF44" s="201"/>
      <c r="TG44" s="201"/>
      <c r="TH44" s="201"/>
      <c r="TI44" s="201"/>
      <c r="TJ44" s="201"/>
      <c r="TK44" s="201"/>
      <c r="TL44" s="201"/>
      <c r="TM44" s="201"/>
      <c r="TN44" s="201"/>
      <c r="TO44" s="201"/>
      <c r="TP44" s="201"/>
      <c r="TQ44" s="201"/>
      <c r="TR44" s="201"/>
      <c r="TS44" s="201"/>
      <c r="TT44" s="201"/>
      <c r="TU44" s="201"/>
      <c r="TV44" s="201"/>
      <c r="TW44" s="201"/>
      <c r="TX44" s="201"/>
      <c r="TY44" s="201"/>
      <c r="TZ44" s="201"/>
      <c r="UA44" s="201"/>
      <c r="UB44" s="201"/>
      <c r="UC44" s="201"/>
      <c r="UD44" s="201"/>
      <c r="UE44" s="201"/>
      <c r="UF44" s="201"/>
      <c r="UG44" s="201"/>
      <c r="UH44" s="201"/>
      <c r="UI44" s="201"/>
      <c r="UJ44" s="201"/>
      <c r="UK44" s="201"/>
      <c r="UL44" s="201"/>
      <c r="UM44" s="201"/>
      <c r="UN44" s="201"/>
      <c r="UO44" s="201"/>
      <c r="UP44" s="201"/>
      <c r="UQ44" s="201"/>
      <c r="UR44" s="201"/>
      <c r="US44" s="201"/>
      <c r="UT44" s="201"/>
      <c r="UU44" s="201"/>
    </row>
    <row r="45" spans="1:567" ht="5.0999999999999996" customHeight="1" x14ac:dyDescent="0.25">
      <c r="B45" s="41"/>
      <c r="C45" s="26"/>
      <c r="D45" s="26"/>
      <c r="E45" s="32"/>
      <c r="F45" s="26"/>
      <c r="G45" s="32"/>
      <c r="H45" s="32"/>
      <c r="I45" s="46"/>
      <c r="J45" s="43"/>
      <c r="K45" s="43"/>
      <c r="FC45" s="199"/>
      <c r="FD45" s="199"/>
      <c r="FE45" s="199"/>
      <c r="FF45" s="199"/>
      <c r="FG45" s="199"/>
      <c r="FH45" s="199"/>
      <c r="FI45" s="199"/>
      <c r="FJ45" s="199"/>
      <c r="FK45" s="199"/>
      <c r="FL45" s="199"/>
      <c r="FM45" s="199"/>
      <c r="FN45" s="199"/>
      <c r="FO45" s="199"/>
      <c r="FP45" s="199"/>
      <c r="FQ45" s="199"/>
      <c r="FR45" s="199"/>
      <c r="FS45" s="199"/>
      <c r="FT45" s="199"/>
      <c r="FU45" s="199"/>
      <c r="FV45" s="199"/>
      <c r="FW45" s="199"/>
      <c r="FX45" s="199"/>
      <c r="FY45" s="199"/>
      <c r="FZ45" s="199"/>
      <c r="GA45" s="199"/>
      <c r="GB45" s="199"/>
      <c r="GC45" s="199"/>
      <c r="GD45" s="199"/>
      <c r="GE45" s="199"/>
      <c r="GF45" s="199"/>
      <c r="GG45" s="199"/>
      <c r="GH45" s="199"/>
      <c r="GI45" s="199"/>
      <c r="GJ45" s="199"/>
      <c r="GK45" s="199"/>
      <c r="GL45" s="199"/>
      <c r="GM45" s="199"/>
      <c r="GN45" s="199"/>
      <c r="GO45" s="199"/>
      <c r="GP45" s="199"/>
      <c r="GQ45" s="199"/>
      <c r="GR45" s="199"/>
      <c r="GS45" s="199"/>
      <c r="GT45" s="199"/>
      <c r="GU45" s="199"/>
      <c r="GV45" s="199"/>
      <c r="GW45" s="199"/>
      <c r="GX45" s="199"/>
      <c r="GY45" s="199"/>
      <c r="GZ45" s="199"/>
      <c r="HA45" s="199"/>
      <c r="HB45" s="199"/>
      <c r="HC45" s="199"/>
      <c r="HD45" s="199"/>
      <c r="HE45" s="199"/>
      <c r="HF45" s="199"/>
      <c r="HG45" s="199"/>
      <c r="HH45" s="199"/>
      <c r="HI45" s="199"/>
      <c r="HJ45" s="199"/>
      <c r="HK45" s="199"/>
      <c r="HL45" s="199"/>
      <c r="HM45" s="199"/>
      <c r="HN45" s="199"/>
      <c r="HO45" s="199"/>
      <c r="HP45" s="199"/>
      <c r="HQ45" s="199"/>
      <c r="HR45" s="199"/>
      <c r="HS45" s="199"/>
      <c r="HT45" s="199"/>
      <c r="HU45" s="199"/>
      <c r="HV45" s="199"/>
      <c r="HW45" s="199"/>
      <c r="HX45" s="199"/>
      <c r="HY45" s="199"/>
      <c r="HZ45" s="199"/>
      <c r="IA45" s="199"/>
      <c r="IB45" s="199"/>
      <c r="IC45" s="199"/>
      <c r="ID45" s="199"/>
      <c r="IE45" s="199"/>
      <c r="IF45" s="199"/>
      <c r="IG45" s="199"/>
      <c r="IH45" s="199"/>
      <c r="II45" s="199"/>
      <c r="IJ45" s="199"/>
      <c r="IK45" s="199"/>
      <c r="IL45" s="199"/>
      <c r="IM45" s="199"/>
      <c r="IN45" s="199"/>
      <c r="IO45" s="199"/>
      <c r="IP45" s="199"/>
      <c r="IQ45" s="199"/>
      <c r="IR45" s="199"/>
      <c r="IS45" s="199"/>
      <c r="IT45" s="199"/>
      <c r="IU45" s="199"/>
      <c r="IV45" s="199"/>
      <c r="IW45" s="199"/>
      <c r="IX45" s="199"/>
      <c r="IY45" s="199"/>
      <c r="IZ45" s="199"/>
      <c r="JA45" s="199"/>
      <c r="JB45" s="199"/>
      <c r="JC45" s="199"/>
      <c r="JD45" s="199"/>
      <c r="JE45" s="199"/>
      <c r="JF45" s="199"/>
      <c r="JG45" s="199"/>
      <c r="JH45" s="199"/>
      <c r="JI45" s="199"/>
      <c r="JJ45" s="199"/>
      <c r="JK45" s="199"/>
      <c r="JL45" s="199"/>
      <c r="JM45" s="199"/>
      <c r="JN45" s="199"/>
      <c r="JO45" s="199"/>
      <c r="JP45" s="199"/>
      <c r="JQ45" s="199"/>
      <c r="JR45" s="199"/>
      <c r="JS45" s="199"/>
      <c r="JT45" s="199"/>
      <c r="JU45" s="199"/>
      <c r="JV45" s="199"/>
      <c r="JW45" s="199"/>
      <c r="JX45" s="199"/>
      <c r="JY45" s="199"/>
      <c r="JZ45" s="199"/>
      <c r="KA45" s="199"/>
      <c r="KB45" s="199"/>
      <c r="KC45" s="199"/>
      <c r="KD45" s="199"/>
      <c r="KE45" s="199"/>
      <c r="PQ45" s="201"/>
      <c r="PR45" s="201"/>
      <c r="PS45" s="201"/>
      <c r="PT45" s="201"/>
      <c r="PU45" s="201"/>
      <c r="PV45" s="201"/>
      <c r="PW45" s="201"/>
      <c r="PX45" s="201"/>
      <c r="PY45" s="201"/>
      <c r="PZ45" s="201"/>
      <c r="QA45" s="201"/>
      <c r="QB45" s="201"/>
      <c r="QC45" s="201"/>
      <c r="QD45" s="201"/>
      <c r="QE45" s="201"/>
      <c r="QF45" s="201"/>
      <c r="QG45" s="201"/>
      <c r="QH45" s="201"/>
      <c r="QI45" s="201"/>
      <c r="QJ45" s="201"/>
      <c r="QK45" s="201"/>
      <c r="QL45" s="201"/>
      <c r="QM45" s="201"/>
      <c r="QN45" s="201"/>
      <c r="QO45" s="201"/>
      <c r="QP45" s="201"/>
      <c r="QQ45" s="201"/>
      <c r="QR45" s="201"/>
      <c r="QS45" s="201"/>
      <c r="QT45" s="201"/>
      <c r="QU45" s="201"/>
      <c r="QV45" s="201"/>
      <c r="QW45" s="201"/>
      <c r="QX45" s="201"/>
      <c r="QY45" s="201"/>
      <c r="QZ45" s="201"/>
      <c r="RA45" s="201"/>
      <c r="RB45" s="201"/>
      <c r="RC45" s="201"/>
      <c r="RD45" s="201"/>
      <c r="RE45" s="201"/>
      <c r="RF45" s="201"/>
      <c r="RG45" s="201"/>
      <c r="RH45" s="201"/>
      <c r="RI45" s="201"/>
      <c r="RJ45" s="201"/>
      <c r="RK45" s="201"/>
      <c r="RL45" s="201"/>
      <c r="RM45" s="201"/>
      <c r="RN45" s="201"/>
      <c r="RO45" s="201"/>
      <c r="RP45" s="201"/>
      <c r="RQ45" s="201"/>
      <c r="RR45" s="201"/>
      <c r="RS45" s="201"/>
      <c r="RT45" s="201"/>
      <c r="RU45" s="201"/>
      <c r="RV45" s="201"/>
      <c r="RW45" s="201"/>
      <c r="RX45" s="201"/>
      <c r="RY45" s="201"/>
      <c r="RZ45" s="201"/>
      <c r="SA45" s="201"/>
      <c r="SB45" s="201"/>
      <c r="SC45" s="201"/>
      <c r="SD45" s="201"/>
      <c r="SE45" s="201"/>
      <c r="SF45" s="201"/>
      <c r="SG45" s="201"/>
      <c r="SH45" s="201"/>
      <c r="SI45" s="201"/>
      <c r="SJ45" s="201"/>
      <c r="SK45" s="201"/>
      <c r="SL45" s="201"/>
      <c r="SM45" s="201"/>
      <c r="SN45" s="201"/>
      <c r="SO45" s="201"/>
      <c r="SP45" s="201"/>
      <c r="SQ45" s="201"/>
      <c r="SR45" s="201"/>
      <c r="SS45" s="201"/>
      <c r="ST45" s="201"/>
      <c r="SU45" s="201"/>
      <c r="SV45" s="201"/>
      <c r="SW45" s="201"/>
      <c r="SX45" s="201"/>
      <c r="SY45" s="201"/>
      <c r="SZ45" s="201"/>
      <c r="TA45" s="201"/>
      <c r="TB45" s="201"/>
      <c r="TC45" s="201"/>
      <c r="TD45" s="201"/>
      <c r="TE45" s="201"/>
      <c r="TF45" s="201"/>
      <c r="TG45" s="201"/>
      <c r="TH45" s="201"/>
      <c r="TI45" s="201"/>
      <c r="TJ45" s="201"/>
      <c r="TK45" s="201"/>
      <c r="TL45" s="201"/>
      <c r="TM45" s="201"/>
      <c r="TN45" s="201"/>
      <c r="TO45" s="201"/>
      <c r="TP45" s="201"/>
      <c r="TQ45" s="201"/>
      <c r="TR45" s="201"/>
      <c r="TS45" s="201"/>
      <c r="TT45" s="201"/>
      <c r="TU45" s="201"/>
      <c r="TV45" s="201"/>
      <c r="TW45" s="201"/>
      <c r="TX45" s="201"/>
      <c r="TY45" s="201"/>
      <c r="TZ45" s="201"/>
      <c r="UA45" s="201"/>
      <c r="UB45" s="201"/>
      <c r="UC45" s="201"/>
      <c r="UD45" s="201"/>
      <c r="UE45" s="201"/>
      <c r="UF45" s="201"/>
      <c r="UG45" s="201"/>
      <c r="UH45" s="201"/>
      <c r="UI45" s="201"/>
      <c r="UJ45" s="201"/>
      <c r="UK45" s="201"/>
      <c r="UL45" s="201"/>
      <c r="UM45" s="201"/>
      <c r="UN45" s="201"/>
      <c r="UO45" s="201"/>
      <c r="UP45" s="201"/>
      <c r="UQ45" s="201"/>
      <c r="UR45" s="201"/>
      <c r="US45" s="201"/>
      <c r="UT45" s="201"/>
      <c r="UU45" s="201"/>
    </row>
    <row r="46" spans="1:567" s="187" customFormat="1" x14ac:dyDescent="0.25">
      <c r="A46" s="182"/>
      <c r="B46" s="47" t="s">
        <v>230</v>
      </c>
      <c r="C46" s="48"/>
      <c r="D46" s="48"/>
      <c r="E46" s="49">
        <f>MIN(E44,E35,E28)</f>
        <v>0</v>
      </c>
      <c r="F46" s="49">
        <f>MAX(F44,F35,F28)</f>
        <v>18</v>
      </c>
      <c r="G46" s="568" t="s">
        <v>686</v>
      </c>
      <c r="H46" s="568" t="s">
        <v>687</v>
      </c>
      <c r="I46" s="50">
        <f>+I44+I35+I28</f>
        <v>270.52013888888888</v>
      </c>
      <c r="J46" s="51">
        <f>+J44+J35+J28</f>
        <v>227236.91666666666</v>
      </c>
      <c r="K46" s="51">
        <f>+K44+K35+K28</f>
        <v>68171075</v>
      </c>
      <c r="L46" s="184"/>
      <c r="M46" s="418"/>
      <c r="N46" s="418"/>
      <c r="O46" s="418"/>
      <c r="P46" s="418"/>
      <c r="Q46" s="418"/>
      <c r="R46" s="90" t="str">
        <f t="shared" ref="R46:R48" si="535">IF(ROUND(SUM(S46:EU46),0)=ROUND(K46,0),"OK","ERROR")</f>
        <v>OK</v>
      </c>
      <c r="S46" s="185">
        <f t="shared" ref="S46:AX46" si="536">+S44+S35+S28</f>
        <v>63035773.958333336</v>
      </c>
      <c r="T46" s="185">
        <f t="shared" si="536"/>
        <v>223273.95833333331</v>
      </c>
      <c r="U46" s="185">
        <f t="shared" si="536"/>
        <v>223273.95833333331</v>
      </c>
      <c r="V46" s="185">
        <f t="shared" si="536"/>
        <v>223273.9583333332</v>
      </c>
      <c r="W46" s="185">
        <f t="shared" si="536"/>
        <v>223273.9583333334</v>
      </c>
      <c r="X46" s="185">
        <f t="shared" si="536"/>
        <v>223273.9583333332</v>
      </c>
      <c r="Y46" s="185">
        <f t="shared" si="536"/>
        <v>223273.9583333334</v>
      </c>
      <c r="Z46" s="185">
        <f t="shared" si="536"/>
        <v>223273.95833333308</v>
      </c>
      <c r="AA46" s="185">
        <f t="shared" si="536"/>
        <v>223273.9583333334</v>
      </c>
      <c r="AB46" s="185">
        <f t="shared" si="536"/>
        <v>223273.9583333334</v>
      </c>
      <c r="AC46" s="185">
        <f t="shared" si="536"/>
        <v>223273.95833333308</v>
      </c>
      <c r="AD46" s="185">
        <f t="shared" si="536"/>
        <v>223273.9583333334</v>
      </c>
      <c r="AE46" s="185">
        <f t="shared" si="536"/>
        <v>223273.95833333308</v>
      </c>
      <c r="AF46" s="185">
        <f t="shared" si="536"/>
        <v>223273.95833333363</v>
      </c>
      <c r="AG46" s="185">
        <f t="shared" si="536"/>
        <v>223273.95833333308</v>
      </c>
      <c r="AH46" s="185">
        <f t="shared" si="536"/>
        <v>223273.95833333308</v>
      </c>
      <c r="AI46" s="185">
        <f t="shared" si="536"/>
        <v>223273.95833333363</v>
      </c>
      <c r="AJ46" s="185">
        <f t="shared" si="536"/>
        <v>223273.95833333308</v>
      </c>
      <c r="AK46" s="185">
        <f t="shared" si="536"/>
        <v>223273.95833333308</v>
      </c>
      <c r="AL46" s="185">
        <f t="shared" si="536"/>
        <v>223273.95833333363</v>
      </c>
      <c r="AM46" s="185">
        <f t="shared" si="536"/>
        <v>223273.95833333308</v>
      </c>
      <c r="AN46" s="185">
        <f t="shared" si="536"/>
        <v>223273.95833333308</v>
      </c>
      <c r="AO46" s="185">
        <f t="shared" si="536"/>
        <v>223273.95833333363</v>
      </c>
      <c r="AP46" s="185">
        <f t="shared" si="536"/>
        <v>223273.95833333308</v>
      </c>
      <c r="AQ46" s="185">
        <f t="shared" si="536"/>
        <v>0</v>
      </c>
      <c r="AR46" s="185">
        <f t="shared" si="536"/>
        <v>0</v>
      </c>
      <c r="AS46" s="185">
        <f t="shared" si="536"/>
        <v>0</v>
      </c>
      <c r="AT46" s="185">
        <f t="shared" si="536"/>
        <v>0</v>
      </c>
      <c r="AU46" s="185">
        <f t="shared" si="536"/>
        <v>0</v>
      </c>
      <c r="AV46" s="185">
        <f t="shared" si="536"/>
        <v>0</v>
      </c>
      <c r="AW46" s="185">
        <f t="shared" si="536"/>
        <v>0</v>
      </c>
      <c r="AX46" s="185">
        <f t="shared" si="536"/>
        <v>0</v>
      </c>
      <c r="AY46" s="185">
        <f t="shared" ref="AY46:CD46" si="537">+AY44+AY35+AY28</f>
        <v>0</v>
      </c>
      <c r="AZ46" s="185">
        <f t="shared" si="537"/>
        <v>0</v>
      </c>
      <c r="BA46" s="185">
        <f t="shared" si="537"/>
        <v>0</v>
      </c>
      <c r="BB46" s="185">
        <f t="shared" si="537"/>
        <v>0</v>
      </c>
      <c r="BC46" s="185">
        <f t="shared" si="537"/>
        <v>0</v>
      </c>
      <c r="BD46" s="185">
        <f t="shared" si="537"/>
        <v>0</v>
      </c>
      <c r="BE46" s="185">
        <f t="shared" si="537"/>
        <v>0</v>
      </c>
      <c r="BF46" s="185">
        <f t="shared" si="537"/>
        <v>0</v>
      </c>
      <c r="BG46" s="185">
        <f t="shared" si="537"/>
        <v>0</v>
      </c>
      <c r="BH46" s="185">
        <f t="shared" si="537"/>
        <v>0</v>
      </c>
      <c r="BI46" s="185">
        <f t="shared" si="537"/>
        <v>0</v>
      </c>
      <c r="BJ46" s="185">
        <f t="shared" si="537"/>
        <v>0</v>
      </c>
      <c r="BK46" s="185">
        <f t="shared" si="537"/>
        <v>0</v>
      </c>
      <c r="BL46" s="185">
        <f t="shared" si="537"/>
        <v>0</v>
      </c>
      <c r="BM46" s="185">
        <f t="shared" si="537"/>
        <v>0</v>
      </c>
      <c r="BN46" s="185">
        <f t="shared" si="537"/>
        <v>0</v>
      </c>
      <c r="BO46" s="185">
        <f t="shared" si="537"/>
        <v>0</v>
      </c>
      <c r="BP46" s="185">
        <f t="shared" si="537"/>
        <v>0</v>
      </c>
      <c r="BQ46" s="185">
        <f t="shared" si="537"/>
        <v>0</v>
      </c>
      <c r="BR46" s="185">
        <f t="shared" si="537"/>
        <v>0</v>
      </c>
      <c r="BS46" s="185">
        <f t="shared" si="537"/>
        <v>0</v>
      </c>
      <c r="BT46" s="185">
        <f t="shared" si="537"/>
        <v>0</v>
      </c>
      <c r="BU46" s="185">
        <f t="shared" si="537"/>
        <v>0</v>
      </c>
      <c r="BV46" s="185">
        <f t="shared" si="537"/>
        <v>0</v>
      </c>
      <c r="BW46" s="185">
        <f t="shared" si="537"/>
        <v>0</v>
      </c>
      <c r="BX46" s="185">
        <f t="shared" si="537"/>
        <v>0</v>
      </c>
      <c r="BY46" s="185">
        <f t="shared" si="537"/>
        <v>0</v>
      </c>
      <c r="BZ46" s="185">
        <f t="shared" si="537"/>
        <v>0</v>
      </c>
      <c r="CA46" s="185">
        <f t="shared" si="537"/>
        <v>0</v>
      </c>
      <c r="CB46" s="185">
        <f t="shared" si="537"/>
        <v>0</v>
      </c>
      <c r="CC46" s="185">
        <f t="shared" si="537"/>
        <v>0</v>
      </c>
      <c r="CD46" s="185">
        <f t="shared" si="537"/>
        <v>0</v>
      </c>
      <c r="CE46" s="185">
        <f t="shared" ref="CE46:DJ46" si="538">+CE44+CE35+CE28</f>
        <v>0</v>
      </c>
      <c r="CF46" s="185">
        <f t="shared" si="538"/>
        <v>0</v>
      </c>
      <c r="CG46" s="185">
        <f t="shared" si="538"/>
        <v>0</v>
      </c>
      <c r="CH46" s="185">
        <f t="shared" si="538"/>
        <v>0</v>
      </c>
      <c r="CI46" s="185">
        <f t="shared" si="538"/>
        <v>0</v>
      </c>
      <c r="CJ46" s="185">
        <f t="shared" si="538"/>
        <v>0</v>
      </c>
      <c r="CK46" s="185">
        <f t="shared" si="538"/>
        <v>0</v>
      </c>
      <c r="CL46" s="185">
        <f t="shared" si="538"/>
        <v>0</v>
      </c>
      <c r="CM46" s="185">
        <f t="shared" si="538"/>
        <v>0</v>
      </c>
      <c r="CN46" s="185">
        <f t="shared" si="538"/>
        <v>0</v>
      </c>
      <c r="CO46" s="185">
        <f t="shared" si="538"/>
        <v>0</v>
      </c>
      <c r="CP46" s="185">
        <f t="shared" si="538"/>
        <v>0</v>
      </c>
      <c r="CQ46" s="185">
        <f t="shared" si="538"/>
        <v>0</v>
      </c>
      <c r="CR46" s="185">
        <f t="shared" si="538"/>
        <v>0</v>
      </c>
      <c r="CS46" s="185">
        <f t="shared" si="538"/>
        <v>0</v>
      </c>
      <c r="CT46" s="185">
        <f t="shared" si="538"/>
        <v>0</v>
      </c>
      <c r="CU46" s="185">
        <f t="shared" si="538"/>
        <v>0</v>
      </c>
      <c r="CV46" s="185">
        <f t="shared" si="538"/>
        <v>0</v>
      </c>
      <c r="CW46" s="185">
        <f t="shared" si="538"/>
        <v>0</v>
      </c>
      <c r="CX46" s="185">
        <f t="shared" si="538"/>
        <v>0</v>
      </c>
      <c r="CY46" s="185">
        <f t="shared" si="538"/>
        <v>0</v>
      </c>
      <c r="CZ46" s="185">
        <f t="shared" si="538"/>
        <v>0</v>
      </c>
      <c r="DA46" s="185">
        <f t="shared" si="538"/>
        <v>0</v>
      </c>
      <c r="DB46" s="185">
        <f t="shared" si="538"/>
        <v>0</v>
      </c>
      <c r="DC46" s="185">
        <f t="shared" si="538"/>
        <v>0</v>
      </c>
      <c r="DD46" s="185">
        <f t="shared" si="538"/>
        <v>0</v>
      </c>
      <c r="DE46" s="185">
        <f t="shared" si="538"/>
        <v>0</v>
      </c>
      <c r="DF46" s="185">
        <f t="shared" si="538"/>
        <v>0</v>
      </c>
      <c r="DG46" s="185">
        <f t="shared" si="538"/>
        <v>0</v>
      </c>
      <c r="DH46" s="185">
        <f t="shared" si="538"/>
        <v>0</v>
      </c>
      <c r="DI46" s="185">
        <f t="shared" si="538"/>
        <v>0</v>
      </c>
      <c r="DJ46" s="185">
        <f t="shared" si="538"/>
        <v>0</v>
      </c>
      <c r="DK46" s="185">
        <f t="shared" ref="DK46:EU46" si="539">+DK44+DK35+DK28</f>
        <v>0</v>
      </c>
      <c r="DL46" s="185">
        <f t="shared" si="539"/>
        <v>0</v>
      </c>
      <c r="DM46" s="185">
        <f t="shared" si="539"/>
        <v>0</v>
      </c>
      <c r="DN46" s="185">
        <f t="shared" si="539"/>
        <v>0</v>
      </c>
      <c r="DO46" s="185">
        <f t="shared" si="539"/>
        <v>0</v>
      </c>
      <c r="DP46" s="185">
        <f t="shared" si="539"/>
        <v>0</v>
      </c>
      <c r="DQ46" s="185">
        <f t="shared" si="539"/>
        <v>0</v>
      </c>
      <c r="DR46" s="185">
        <f t="shared" si="539"/>
        <v>0</v>
      </c>
      <c r="DS46" s="185">
        <f t="shared" si="539"/>
        <v>0</v>
      </c>
      <c r="DT46" s="185">
        <f t="shared" si="539"/>
        <v>0</v>
      </c>
      <c r="DU46" s="185">
        <f t="shared" si="539"/>
        <v>0</v>
      </c>
      <c r="DV46" s="185">
        <f t="shared" si="539"/>
        <v>0</v>
      </c>
      <c r="DW46" s="185">
        <f t="shared" si="539"/>
        <v>0</v>
      </c>
      <c r="DX46" s="185">
        <f t="shared" si="539"/>
        <v>0</v>
      </c>
      <c r="DY46" s="185">
        <f t="shared" si="539"/>
        <v>0</v>
      </c>
      <c r="DZ46" s="185">
        <f t="shared" si="539"/>
        <v>0</v>
      </c>
      <c r="EA46" s="185">
        <f t="shared" si="539"/>
        <v>0</v>
      </c>
      <c r="EB46" s="185">
        <f t="shared" si="539"/>
        <v>0</v>
      </c>
      <c r="EC46" s="185">
        <f t="shared" si="539"/>
        <v>0</v>
      </c>
      <c r="ED46" s="185">
        <f t="shared" si="539"/>
        <v>0</v>
      </c>
      <c r="EE46" s="185">
        <f t="shared" si="539"/>
        <v>0</v>
      </c>
      <c r="EF46" s="185">
        <f t="shared" si="539"/>
        <v>0</v>
      </c>
      <c r="EG46" s="185">
        <f t="shared" si="539"/>
        <v>0</v>
      </c>
      <c r="EH46" s="185">
        <f t="shared" si="539"/>
        <v>0</v>
      </c>
      <c r="EI46" s="185">
        <f t="shared" si="539"/>
        <v>0</v>
      </c>
      <c r="EJ46" s="185">
        <f t="shared" si="539"/>
        <v>0</v>
      </c>
      <c r="EK46" s="185">
        <f t="shared" si="539"/>
        <v>0</v>
      </c>
      <c r="EL46" s="185">
        <f t="shared" si="539"/>
        <v>0</v>
      </c>
      <c r="EM46" s="185">
        <f t="shared" si="539"/>
        <v>0</v>
      </c>
      <c r="EN46" s="185">
        <f t="shared" si="539"/>
        <v>0</v>
      </c>
      <c r="EO46" s="185">
        <f t="shared" si="539"/>
        <v>0</v>
      </c>
      <c r="EP46" s="185">
        <f t="shared" si="539"/>
        <v>0</v>
      </c>
      <c r="EQ46" s="185">
        <f t="shared" si="539"/>
        <v>0</v>
      </c>
      <c r="ER46" s="185">
        <f t="shared" si="539"/>
        <v>0</v>
      </c>
      <c r="ES46" s="185">
        <f t="shared" si="539"/>
        <v>0</v>
      </c>
      <c r="ET46" s="185">
        <f t="shared" si="539"/>
        <v>0</v>
      </c>
      <c r="EU46" s="185">
        <f t="shared" si="539"/>
        <v>0</v>
      </c>
      <c r="EV46" s="186"/>
      <c r="EW46" s="212"/>
      <c r="EX46" s="212"/>
      <c r="EY46" s="212"/>
      <c r="EZ46" s="212"/>
      <c r="FA46" s="212"/>
      <c r="FB46" s="212"/>
      <c r="FC46" s="212"/>
      <c r="FD46" s="212"/>
      <c r="FE46" s="212"/>
      <c r="FF46" s="212"/>
      <c r="FG46" s="212"/>
      <c r="FH46" s="212"/>
      <c r="FI46" s="212"/>
      <c r="FJ46" s="212"/>
      <c r="FK46" s="212"/>
      <c r="FL46" s="212"/>
      <c r="FM46" s="212"/>
      <c r="FN46" s="212"/>
      <c r="FO46" s="212"/>
      <c r="FP46" s="212"/>
      <c r="FQ46" s="212"/>
      <c r="FR46" s="212"/>
      <c r="FS46" s="212"/>
      <c r="FT46" s="212"/>
      <c r="FU46" s="212"/>
      <c r="FV46" s="212"/>
      <c r="FW46" s="212"/>
      <c r="FX46" s="212"/>
      <c r="FY46" s="212"/>
      <c r="FZ46" s="212"/>
      <c r="GA46" s="212"/>
      <c r="GB46" s="212"/>
      <c r="GC46" s="212"/>
      <c r="GD46" s="212"/>
      <c r="GE46" s="212"/>
      <c r="GF46" s="212"/>
      <c r="GG46" s="212"/>
      <c r="GH46" s="212"/>
      <c r="GI46" s="212"/>
      <c r="GJ46" s="212"/>
      <c r="GK46" s="212"/>
      <c r="GL46" s="212"/>
      <c r="GM46" s="212"/>
      <c r="GN46" s="212"/>
      <c r="GO46" s="212"/>
      <c r="GP46" s="212"/>
      <c r="GQ46" s="212"/>
      <c r="GR46" s="212"/>
      <c r="GS46" s="212"/>
      <c r="GT46" s="212"/>
      <c r="GU46" s="212"/>
      <c r="GV46" s="212"/>
      <c r="GW46" s="212"/>
      <c r="GX46" s="212"/>
      <c r="GY46" s="212"/>
      <c r="GZ46" s="212"/>
      <c r="HA46" s="212"/>
      <c r="HB46" s="212"/>
      <c r="HC46" s="212"/>
      <c r="HD46" s="212"/>
      <c r="HE46" s="212"/>
      <c r="HF46" s="212"/>
      <c r="HG46" s="212"/>
      <c r="HH46" s="212"/>
      <c r="HI46" s="212"/>
      <c r="HJ46" s="212"/>
      <c r="HK46" s="212"/>
      <c r="HL46" s="212"/>
      <c r="HM46" s="212"/>
      <c r="HN46" s="212"/>
      <c r="HO46" s="212"/>
      <c r="HP46" s="212"/>
      <c r="HQ46" s="212"/>
      <c r="HR46" s="212"/>
      <c r="HS46" s="212"/>
      <c r="HT46" s="212"/>
      <c r="HU46" s="212"/>
      <c r="HV46" s="212"/>
      <c r="HW46" s="212"/>
      <c r="HX46" s="212"/>
      <c r="HY46" s="212"/>
      <c r="HZ46" s="212"/>
      <c r="IA46" s="212"/>
      <c r="IB46" s="212"/>
      <c r="IC46" s="212"/>
      <c r="ID46" s="212"/>
      <c r="IE46" s="212"/>
      <c r="IF46" s="212"/>
      <c r="IG46" s="212"/>
      <c r="IH46" s="212"/>
      <c r="II46" s="212"/>
      <c r="IJ46" s="212"/>
      <c r="IK46" s="212"/>
      <c r="IL46" s="212"/>
      <c r="IM46" s="212"/>
      <c r="IN46" s="212"/>
      <c r="IO46" s="212"/>
      <c r="IP46" s="212"/>
      <c r="IQ46" s="212"/>
      <c r="IR46" s="212"/>
      <c r="IS46" s="212"/>
      <c r="IT46" s="212"/>
      <c r="IU46" s="212"/>
      <c r="IV46" s="212"/>
      <c r="IW46" s="212"/>
      <c r="IX46" s="212"/>
      <c r="IY46" s="212"/>
      <c r="IZ46" s="212"/>
      <c r="JA46" s="212"/>
      <c r="JB46" s="212"/>
      <c r="JC46" s="212"/>
      <c r="JD46" s="212"/>
      <c r="JE46" s="212"/>
      <c r="JF46" s="212"/>
      <c r="JG46" s="212"/>
      <c r="JH46" s="212"/>
      <c r="JI46" s="212"/>
      <c r="JJ46" s="212"/>
      <c r="JK46" s="212"/>
      <c r="JL46" s="212"/>
      <c r="JM46" s="212"/>
      <c r="JN46" s="212"/>
      <c r="JO46" s="212"/>
      <c r="JP46" s="212"/>
      <c r="JQ46" s="212"/>
      <c r="JR46" s="212"/>
      <c r="JS46" s="212"/>
      <c r="JT46" s="212"/>
      <c r="JU46" s="212"/>
      <c r="JV46" s="212"/>
      <c r="JW46" s="212"/>
      <c r="JX46" s="212"/>
      <c r="JY46" s="212"/>
      <c r="JZ46" s="212"/>
      <c r="KA46" s="212"/>
      <c r="KB46" s="212"/>
      <c r="KC46" s="212"/>
      <c r="KD46" s="212"/>
      <c r="KE46" s="212"/>
      <c r="KF46" s="213"/>
      <c r="KG46" s="212"/>
      <c r="KH46" s="212"/>
      <c r="KI46" s="212"/>
      <c r="KJ46" s="212"/>
      <c r="KK46" s="212"/>
      <c r="KL46" s="212"/>
      <c r="KM46" s="212"/>
      <c r="KN46" s="212"/>
      <c r="KO46" s="212"/>
      <c r="KP46" s="212"/>
      <c r="KQ46" s="212"/>
      <c r="KR46" s="212"/>
      <c r="KS46" s="212"/>
      <c r="KT46" s="212"/>
      <c r="KU46" s="212"/>
      <c r="KV46" s="212"/>
      <c r="KW46" s="212"/>
      <c r="KX46" s="212"/>
      <c r="KY46" s="212"/>
      <c r="KZ46" s="212"/>
      <c r="LA46" s="212"/>
      <c r="LB46" s="212"/>
      <c r="LC46" s="212"/>
      <c r="LD46" s="212"/>
      <c r="LE46" s="212"/>
      <c r="LF46" s="212"/>
      <c r="LG46" s="212"/>
      <c r="LH46" s="212"/>
      <c r="LI46" s="212"/>
      <c r="LJ46" s="212"/>
      <c r="LK46" s="212"/>
      <c r="LL46" s="212"/>
      <c r="LM46" s="212"/>
      <c r="LN46" s="212"/>
      <c r="LO46" s="212"/>
      <c r="LP46" s="212"/>
      <c r="LQ46" s="212"/>
      <c r="LR46" s="212"/>
      <c r="LS46" s="212"/>
      <c r="LT46" s="212"/>
      <c r="LU46" s="212"/>
      <c r="LV46" s="212"/>
      <c r="LW46" s="212"/>
      <c r="LX46" s="212"/>
      <c r="LY46" s="212"/>
      <c r="LZ46" s="212"/>
      <c r="MA46" s="212"/>
      <c r="MB46" s="212"/>
      <c r="MC46" s="212"/>
      <c r="MD46" s="212"/>
      <c r="ME46" s="212"/>
      <c r="MF46" s="212"/>
      <c r="MG46" s="212"/>
      <c r="MH46" s="212"/>
      <c r="MI46" s="212"/>
      <c r="MJ46" s="212"/>
      <c r="MK46" s="212"/>
      <c r="ML46" s="212"/>
      <c r="MM46" s="212"/>
      <c r="MN46" s="212"/>
      <c r="MO46" s="212"/>
      <c r="MP46" s="212"/>
      <c r="MQ46" s="212"/>
      <c r="MR46" s="212"/>
      <c r="MS46" s="212"/>
      <c r="MT46" s="212"/>
      <c r="MU46" s="212"/>
      <c r="MV46" s="212"/>
      <c r="MW46" s="212"/>
      <c r="MX46" s="212"/>
      <c r="MY46" s="212"/>
      <c r="MZ46" s="212"/>
      <c r="NA46" s="212"/>
      <c r="NB46" s="212"/>
      <c r="NC46" s="212"/>
      <c r="ND46" s="212"/>
      <c r="NE46" s="212"/>
      <c r="NF46" s="212"/>
      <c r="NG46" s="212"/>
      <c r="NH46" s="212"/>
      <c r="NI46" s="212"/>
      <c r="NJ46" s="212"/>
      <c r="NK46" s="212"/>
      <c r="NL46" s="212"/>
      <c r="NM46" s="212"/>
      <c r="NN46" s="212"/>
      <c r="NO46" s="212"/>
      <c r="NP46" s="212"/>
      <c r="NQ46" s="212"/>
      <c r="NR46" s="212"/>
      <c r="NS46" s="212"/>
      <c r="NT46" s="212"/>
      <c r="NU46" s="212"/>
      <c r="NV46" s="212"/>
      <c r="NW46" s="212"/>
      <c r="NX46" s="212"/>
      <c r="NY46" s="212"/>
      <c r="NZ46" s="212"/>
      <c r="OA46" s="212"/>
      <c r="OB46" s="212"/>
      <c r="OC46" s="212"/>
      <c r="OD46" s="212"/>
      <c r="OE46" s="212"/>
      <c r="OF46" s="212"/>
      <c r="OG46" s="212"/>
      <c r="OH46" s="212"/>
      <c r="OI46" s="212"/>
      <c r="OJ46" s="212"/>
      <c r="OK46" s="212"/>
      <c r="OL46" s="212"/>
      <c r="OM46" s="212"/>
      <c r="ON46" s="212"/>
      <c r="OO46" s="212"/>
      <c r="OP46" s="212"/>
      <c r="OQ46" s="212"/>
      <c r="OR46" s="212"/>
      <c r="OS46" s="212"/>
      <c r="OT46" s="212"/>
      <c r="OU46" s="212"/>
      <c r="OV46" s="212"/>
      <c r="OW46" s="212"/>
      <c r="OX46" s="212"/>
      <c r="OY46" s="212"/>
      <c r="OZ46" s="212"/>
      <c r="PA46" s="212"/>
      <c r="PB46" s="212"/>
      <c r="PC46" s="212"/>
      <c r="PD46" s="212"/>
      <c r="PE46" s="212"/>
      <c r="PF46" s="212"/>
      <c r="PG46" s="212"/>
      <c r="PH46" s="212"/>
      <c r="PI46" s="212"/>
      <c r="PJ46" s="212"/>
      <c r="PK46" s="212"/>
      <c r="PL46" s="212"/>
      <c r="PM46" s="212"/>
      <c r="PN46" s="212"/>
      <c r="PO46" s="212"/>
      <c r="PP46" s="214"/>
      <c r="PQ46" s="214"/>
      <c r="PR46" s="214"/>
      <c r="PS46" s="214"/>
      <c r="PT46" s="214"/>
      <c r="PU46" s="214"/>
      <c r="PV46" s="214"/>
      <c r="PW46" s="214"/>
      <c r="PX46" s="214"/>
      <c r="PY46" s="214"/>
      <c r="PZ46" s="214"/>
      <c r="QA46" s="214"/>
      <c r="QB46" s="214"/>
      <c r="QC46" s="214"/>
      <c r="QD46" s="214"/>
      <c r="QE46" s="214"/>
      <c r="QF46" s="214"/>
      <c r="QG46" s="214"/>
      <c r="QH46" s="214"/>
      <c r="QI46" s="214"/>
      <c r="QJ46" s="214"/>
      <c r="QK46" s="214"/>
      <c r="QL46" s="214"/>
      <c r="QM46" s="214"/>
      <c r="QN46" s="214"/>
      <c r="QO46" s="214"/>
      <c r="QP46" s="214"/>
      <c r="QQ46" s="214"/>
      <c r="QR46" s="214"/>
      <c r="QS46" s="214"/>
      <c r="QT46" s="214"/>
      <c r="QU46" s="214"/>
      <c r="QV46" s="214"/>
      <c r="QW46" s="214"/>
      <c r="QX46" s="214"/>
      <c r="QY46" s="214"/>
      <c r="QZ46" s="214"/>
      <c r="RA46" s="214"/>
      <c r="RB46" s="214"/>
      <c r="RC46" s="214"/>
      <c r="RD46" s="214"/>
      <c r="RE46" s="214"/>
      <c r="RF46" s="214"/>
      <c r="RG46" s="214"/>
      <c r="RH46" s="214"/>
      <c r="RI46" s="214"/>
      <c r="RJ46" s="214"/>
      <c r="RK46" s="214"/>
      <c r="RL46" s="214"/>
      <c r="RM46" s="214"/>
      <c r="RN46" s="214"/>
      <c r="RO46" s="214"/>
      <c r="RP46" s="214"/>
      <c r="RQ46" s="214"/>
      <c r="RR46" s="214"/>
      <c r="RS46" s="214"/>
      <c r="RT46" s="214"/>
      <c r="RU46" s="214"/>
      <c r="RV46" s="214"/>
      <c r="RW46" s="214"/>
      <c r="RX46" s="214"/>
      <c r="RY46" s="214"/>
      <c r="RZ46" s="214"/>
      <c r="SA46" s="214"/>
      <c r="SB46" s="214"/>
      <c r="SC46" s="214"/>
      <c r="SD46" s="214"/>
      <c r="SE46" s="214"/>
      <c r="SF46" s="214"/>
      <c r="SG46" s="214"/>
      <c r="SH46" s="214"/>
      <c r="SI46" s="214"/>
      <c r="SJ46" s="214"/>
      <c r="SK46" s="214"/>
      <c r="SL46" s="214"/>
      <c r="SM46" s="214"/>
      <c r="SN46" s="214"/>
      <c r="SO46" s="214"/>
      <c r="SP46" s="214"/>
      <c r="SQ46" s="214"/>
      <c r="SR46" s="214"/>
      <c r="SS46" s="214"/>
      <c r="ST46" s="214"/>
      <c r="SU46" s="214"/>
      <c r="SV46" s="214"/>
      <c r="SW46" s="214"/>
      <c r="SX46" s="214"/>
      <c r="SY46" s="214"/>
      <c r="SZ46" s="214"/>
      <c r="TA46" s="214"/>
      <c r="TB46" s="214"/>
      <c r="TC46" s="214"/>
      <c r="TD46" s="214"/>
      <c r="TE46" s="214"/>
      <c r="TF46" s="214"/>
      <c r="TG46" s="214"/>
      <c r="TH46" s="214"/>
      <c r="TI46" s="214"/>
      <c r="TJ46" s="214"/>
      <c r="TK46" s="214"/>
      <c r="TL46" s="214"/>
      <c r="TM46" s="214"/>
      <c r="TN46" s="214"/>
      <c r="TO46" s="214"/>
      <c r="TP46" s="214"/>
      <c r="TQ46" s="214"/>
      <c r="TR46" s="214"/>
      <c r="TS46" s="214"/>
      <c r="TT46" s="214"/>
      <c r="TU46" s="214"/>
      <c r="TV46" s="214"/>
      <c r="TW46" s="214"/>
      <c r="TX46" s="214"/>
      <c r="TY46" s="214"/>
      <c r="TZ46" s="214"/>
      <c r="UA46" s="214"/>
      <c r="UB46" s="214"/>
      <c r="UC46" s="214"/>
      <c r="UD46" s="214"/>
      <c r="UE46" s="214"/>
      <c r="UF46" s="214"/>
      <c r="UG46" s="214"/>
      <c r="UH46" s="214"/>
      <c r="UI46" s="214"/>
      <c r="UJ46" s="214"/>
      <c r="UK46" s="214"/>
      <c r="UL46" s="214"/>
      <c r="UM46" s="214"/>
      <c r="UN46" s="214"/>
      <c r="UO46" s="214"/>
      <c r="UP46" s="214"/>
      <c r="UQ46" s="214"/>
      <c r="UR46" s="214"/>
      <c r="US46" s="214"/>
      <c r="UT46" s="214"/>
      <c r="UU46" s="214"/>
    </row>
    <row r="47" spans="1:567" s="187" customFormat="1" x14ac:dyDescent="0.25">
      <c r="A47" s="182"/>
      <c r="B47" s="44" t="s">
        <v>685</v>
      </c>
      <c r="C47" s="48"/>
      <c r="D47" s="19" t="s">
        <v>32</v>
      </c>
      <c r="E47" s="570">
        <f>-E48</f>
        <v>0</v>
      </c>
      <c r="F47" s="570">
        <f>F48</f>
        <v>0</v>
      </c>
      <c r="G47" s="32">
        <f>Analysis_Period</f>
        <v>36</v>
      </c>
      <c r="H47" s="569">
        <v>1</v>
      </c>
      <c r="I47" s="33">
        <f>K47/Units_SF</f>
        <v>2.9017857142857144</v>
      </c>
      <c r="J47" s="34">
        <f>K47/Units</f>
        <v>2437.5</v>
      </c>
      <c r="K47" s="35">
        <f>SUM(T144:AE145,T150:AE150)</f>
        <v>731250</v>
      </c>
      <c r="L47" s="184"/>
      <c r="M47" s="418" t="s">
        <v>835</v>
      </c>
      <c r="N47" s="418"/>
      <c r="O47" s="418"/>
      <c r="P47" s="418"/>
      <c r="Q47" s="418"/>
      <c r="R47" s="90" t="str">
        <f t="shared" si="535"/>
        <v>OK</v>
      </c>
      <c r="S47" s="91">
        <f>AND(S$22&gt;=$E47,S$22&lt;=$F47)*$K47/($F47-$E47+1)</f>
        <v>731250</v>
      </c>
      <c r="T47" s="91">
        <f t="shared" ref="T47:CE47" si="540">AND(T$22&gt;=$E47,T$22&lt;=$F47)*$K47/($F47-$E47+1)</f>
        <v>0</v>
      </c>
      <c r="U47" s="91">
        <f t="shared" si="540"/>
        <v>0</v>
      </c>
      <c r="V47" s="91">
        <f t="shared" si="540"/>
        <v>0</v>
      </c>
      <c r="W47" s="91">
        <f t="shared" si="540"/>
        <v>0</v>
      </c>
      <c r="X47" s="91">
        <f t="shared" si="540"/>
        <v>0</v>
      </c>
      <c r="Y47" s="91">
        <f t="shared" si="540"/>
        <v>0</v>
      </c>
      <c r="Z47" s="91">
        <f t="shared" si="540"/>
        <v>0</v>
      </c>
      <c r="AA47" s="91">
        <f t="shared" si="540"/>
        <v>0</v>
      </c>
      <c r="AB47" s="91">
        <f t="shared" si="540"/>
        <v>0</v>
      </c>
      <c r="AC47" s="91">
        <f t="shared" si="540"/>
        <v>0</v>
      </c>
      <c r="AD47" s="91">
        <f t="shared" si="540"/>
        <v>0</v>
      </c>
      <c r="AE47" s="91">
        <f t="shared" si="540"/>
        <v>0</v>
      </c>
      <c r="AF47" s="91">
        <f t="shared" si="540"/>
        <v>0</v>
      </c>
      <c r="AG47" s="91">
        <f t="shared" si="540"/>
        <v>0</v>
      </c>
      <c r="AH47" s="91">
        <f t="shared" si="540"/>
        <v>0</v>
      </c>
      <c r="AI47" s="91">
        <f t="shared" si="540"/>
        <v>0</v>
      </c>
      <c r="AJ47" s="91">
        <f t="shared" si="540"/>
        <v>0</v>
      </c>
      <c r="AK47" s="91">
        <f t="shared" si="540"/>
        <v>0</v>
      </c>
      <c r="AL47" s="91">
        <f t="shared" si="540"/>
        <v>0</v>
      </c>
      <c r="AM47" s="91">
        <f t="shared" si="540"/>
        <v>0</v>
      </c>
      <c r="AN47" s="91">
        <f t="shared" si="540"/>
        <v>0</v>
      </c>
      <c r="AO47" s="91">
        <f t="shared" si="540"/>
        <v>0</v>
      </c>
      <c r="AP47" s="91">
        <f t="shared" si="540"/>
        <v>0</v>
      </c>
      <c r="AQ47" s="91">
        <f t="shared" si="540"/>
        <v>0</v>
      </c>
      <c r="AR47" s="91">
        <f t="shared" si="540"/>
        <v>0</v>
      </c>
      <c r="AS47" s="91">
        <f t="shared" si="540"/>
        <v>0</v>
      </c>
      <c r="AT47" s="91">
        <f t="shared" si="540"/>
        <v>0</v>
      </c>
      <c r="AU47" s="91">
        <f t="shared" si="540"/>
        <v>0</v>
      </c>
      <c r="AV47" s="91">
        <f t="shared" si="540"/>
        <v>0</v>
      </c>
      <c r="AW47" s="91">
        <f t="shared" si="540"/>
        <v>0</v>
      </c>
      <c r="AX47" s="91">
        <f t="shared" si="540"/>
        <v>0</v>
      </c>
      <c r="AY47" s="91">
        <f t="shared" si="540"/>
        <v>0</v>
      </c>
      <c r="AZ47" s="91">
        <f t="shared" si="540"/>
        <v>0</v>
      </c>
      <c r="BA47" s="91">
        <f t="shared" si="540"/>
        <v>0</v>
      </c>
      <c r="BB47" s="91">
        <f t="shared" si="540"/>
        <v>0</v>
      </c>
      <c r="BC47" s="91">
        <f t="shared" si="540"/>
        <v>0</v>
      </c>
      <c r="BD47" s="91">
        <f t="shared" si="540"/>
        <v>0</v>
      </c>
      <c r="BE47" s="91">
        <f t="shared" si="540"/>
        <v>0</v>
      </c>
      <c r="BF47" s="91">
        <f t="shared" si="540"/>
        <v>0</v>
      </c>
      <c r="BG47" s="91">
        <f t="shared" si="540"/>
        <v>0</v>
      </c>
      <c r="BH47" s="91">
        <f t="shared" si="540"/>
        <v>0</v>
      </c>
      <c r="BI47" s="91">
        <f t="shared" si="540"/>
        <v>0</v>
      </c>
      <c r="BJ47" s="91">
        <f t="shared" si="540"/>
        <v>0</v>
      </c>
      <c r="BK47" s="91">
        <f t="shared" si="540"/>
        <v>0</v>
      </c>
      <c r="BL47" s="91">
        <f t="shared" si="540"/>
        <v>0</v>
      </c>
      <c r="BM47" s="91">
        <f t="shared" si="540"/>
        <v>0</v>
      </c>
      <c r="BN47" s="91">
        <f t="shared" si="540"/>
        <v>0</v>
      </c>
      <c r="BO47" s="91">
        <f t="shared" si="540"/>
        <v>0</v>
      </c>
      <c r="BP47" s="91">
        <f t="shared" si="540"/>
        <v>0</v>
      </c>
      <c r="BQ47" s="91">
        <f t="shared" si="540"/>
        <v>0</v>
      </c>
      <c r="BR47" s="91">
        <f t="shared" si="540"/>
        <v>0</v>
      </c>
      <c r="BS47" s="91">
        <f t="shared" si="540"/>
        <v>0</v>
      </c>
      <c r="BT47" s="91">
        <f t="shared" si="540"/>
        <v>0</v>
      </c>
      <c r="BU47" s="91">
        <f t="shared" si="540"/>
        <v>0</v>
      </c>
      <c r="BV47" s="91">
        <f t="shared" si="540"/>
        <v>0</v>
      </c>
      <c r="BW47" s="91">
        <f t="shared" si="540"/>
        <v>0</v>
      </c>
      <c r="BX47" s="91">
        <f t="shared" si="540"/>
        <v>0</v>
      </c>
      <c r="BY47" s="91">
        <f t="shared" si="540"/>
        <v>0</v>
      </c>
      <c r="BZ47" s="91">
        <f t="shared" si="540"/>
        <v>0</v>
      </c>
      <c r="CA47" s="91">
        <f t="shared" si="540"/>
        <v>0</v>
      </c>
      <c r="CB47" s="91">
        <f t="shared" si="540"/>
        <v>0</v>
      </c>
      <c r="CC47" s="91">
        <f t="shared" si="540"/>
        <v>0</v>
      </c>
      <c r="CD47" s="91">
        <f t="shared" si="540"/>
        <v>0</v>
      </c>
      <c r="CE47" s="91">
        <f t="shared" si="540"/>
        <v>0</v>
      </c>
      <c r="CF47" s="91">
        <f t="shared" ref="CF47:EQ47" si="541">AND(CF$22&gt;=$E47,CF$22&lt;=$F47)*$K47/($F47-$E47+1)</f>
        <v>0</v>
      </c>
      <c r="CG47" s="91">
        <f t="shared" si="541"/>
        <v>0</v>
      </c>
      <c r="CH47" s="91">
        <f t="shared" si="541"/>
        <v>0</v>
      </c>
      <c r="CI47" s="91">
        <f t="shared" si="541"/>
        <v>0</v>
      </c>
      <c r="CJ47" s="91">
        <f t="shared" si="541"/>
        <v>0</v>
      </c>
      <c r="CK47" s="91">
        <f t="shared" si="541"/>
        <v>0</v>
      </c>
      <c r="CL47" s="91">
        <f t="shared" si="541"/>
        <v>0</v>
      </c>
      <c r="CM47" s="91">
        <f t="shared" si="541"/>
        <v>0</v>
      </c>
      <c r="CN47" s="91">
        <f t="shared" si="541"/>
        <v>0</v>
      </c>
      <c r="CO47" s="91">
        <f t="shared" si="541"/>
        <v>0</v>
      </c>
      <c r="CP47" s="91">
        <f t="shared" si="541"/>
        <v>0</v>
      </c>
      <c r="CQ47" s="91">
        <f t="shared" si="541"/>
        <v>0</v>
      </c>
      <c r="CR47" s="91">
        <f t="shared" si="541"/>
        <v>0</v>
      </c>
      <c r="CS47" s="91">
        <f t="shared" si="541"/>
        <v>0</v>
      </c>
      <c r="CT47" s="91">
        <f t="shared" si="541"/>
        <v>0</v>
      </c>
      <c r="CU47" s="91">
        <f t="shared" si="541"/>
        <v>0</v>
      </c>
      <c r="CV47" s="91">
        <f t="shared" si="541"/>
        <v>0</v>
      </c>
      <c r="CW47" s="91">
        <f t="shared" si="541"/>
        <v>0</v>
      </c>
      <c r="CX47" s="91">
        <f t="shared" si="541"/>
        <v>0</v>
      </c>
      <c r="CY47" s="91">
        <f t="shared" si="541"/>
        <v>0</v>
      </c>
      <c r="CZ47" s="91">
        <f t="shared" si="541"/>
        <v>0</v>
      </c>
      <c r="DA47" s="91">
        <f t="shared" si="541"/>
        <v>0</v>
      </c>
      <c r="DB47" s="91">
        <f t="shared" si="541"/>
        <v>0</v>
      </c>
      <c r="DC47" s="91">
        <f t="shared" si="541"/>
        <v>0</v>
      </c>
      <c r="DD47" s="91">
        <f t="shared" si="541"/>
        <v>0</v>
      </c>
      <c r="DE47" s="91">
        <f t="shared" si="541"/>
        <v>0</v>
      </c>
      <c r="DF47" s="91">
        <f t="shared" si="541"/>
        <v>0</v>
      </c>
      <c r="DG47" s="91">
        <f t="shared" si="541"/>
        <v>0</v>
      </c>
      <c r="DH47" s="91">
        <f t="shared" si="541"/>
        <v>0</v>
      </c>
      <c r="DI47" s="91">
        <f t="shared" si="541"/>
        <v>0</v>
      </c>
      <c r="DJ47" s="91">
        <f t="shared" si="541"/>
        <v>0</v>
      </c>
      <c r="DK47" s="91">
        <f t="shared" si="541"/>
        <v>0</v>
      </c>
      <c r="DL47" s="91">
        <f t="shared" si="541"/>
        <v>0</v>
      </c>
      <c r="DM47" s="91">
        <f t="shared" si="541"/>
        <v>0</v>
      </c>
      <c r="DN47" s="91">
        <f t="shared" si="541"/>
        <v>0</v>
      </c>
      <c r="DO47" s="91">
        <f t="shared" si="541"/>
        <v>0</v>
      </c>
      <c r="DP47" s="91">
        <f t="shared" si="541"/>
        <v>0</v>
      </c>
      <c r="DQ47" s="91">
        <f t="shared" si="541"/>
        <v>0</v>
      </c>
      <c r="DR47" s="91">
        <f t="shared" si="541"/>
        <v>0</v>
      </c>
      <c r="DS47" s="91">
        <f t="shared" si="541"/>
        <v>0</v>
      </c>
      <c r="DT47" s="91">
        <f t="shared" si="541"/>
        <v>0</v>
      </c>
      <c r="DU47" s="91">
        <f t="shared" si="541"/>
        <v>0</v>
      </c>
      <c r="DV47" s="91">
        <f t="shared" si="541"/>
        <v>0</v>
      </c>
      <c r="DW47" s="91">
        <f t="shared" si="541"/>
        <v>0</v>
      </c>
      <c r="DX47" s="91">
        <f t="shared" si="541"/>
        <v>0</v>
      </c>
      <c r="DY47" s="91">
        <f t="shared" si="541"/>
        <v>0</v>
      </c>
      <c r="DZ47" s="91">
        <f t="shared" si="541"/>
        <v>0</v>
      </c>
      <c r="EA47" s="91">
        <f t="shared" si="541"/>
        <v>0</v>
      </c>
      <c r="EB47" s="91">
        <f t="shared" si="541"/>
        <v>0</v>
      </c>
      <c r="EC47" s="91">
        <f t="shared" si="541"/>
        <v>0</v>
      </c>
      <c r="ED47" s="91">
        <f t="shared" si="541"/>
        <v>0</v>
      </c>
      <c r="EE47" s="91">
        <f t="shared" si="541"/>
        <v>0</v>
      </c>
      <c r="EF47" s="91">
        <f t="shared" si="541"/>
        <v>0</v>
      </c>
      <c r="EG47" s="91">
        <f t="shared" si="541"/>
        <v>0</v>
      </c>
      <c r="EH47" s="91">
        <f t="shared" si="541"/>
        <v>0</v>
      </c>
      <c r="EI47" s="91">
        <f t="shared" si="541"/>
        <v>0</v>
      </c>
      <c r="EJ47" s="91">
        <f t="shared" si="541"/>
        <v>0</v>
      </c>
      <c r="EK47" s="91">
        <f t="shared" si="541"/>
        <v>0</v>
      </c>
      <c r="EL47" s="91">
        <f t="shared" si="541"/>
        <v>0</v>
      </c>
      <c r="EM47" s="91">
        <f t="shared" si="541"/>
        <v>0</v>
      </c>
      <c r="EN47" s="91">
        <f t="shared" si="541"/>
        <v>0</v>
      </c>
      <c r="EO47" s="91">
        <f t="shared" si="541"/>
        <v>0</v>
      </c>
      <c r="EP47" s="91">
        <f t="shared" si="541"/>
        <v>0</v>
      </c>
      <c r="EQ47" s="91">
        <f t="shared" si="541"/>
        <v>0</v>
      </c>
      <c r="ER47" s="91">
        <f t="shared" ref="ER47:EU47" si="542">AND(ER$22&gt;=$E47,ER$22&lt;=$F47)*$K47/($F47-$E47+1)</f>
        <v>0</v>
      </c>
      <c r="ES47" s="91">
        <f t="shared" si="542"/>
        <v>0</v>
      </c>
      <c r="ET47" s="91">
        <f t="shared" si="542"/>
        <v>0</v>
      </c>
      <c r="EU47" s="91">
        <f t="shared" si="542"/>
        <v>0</v>
      </c>
      <c r="EV47" s="186"/>
      <c r="EW47" s="212"/>
      <c r="EX47" s="212"/>
      <c r="EY47" s="212"/>
      <c r="EZ47" s="212"/>
      <c r="FA47" s="212"/>
      <c r="FB47" s="212"/>
      <c r="FC47" s="212"/>
      <c r="FD47" s="212"/>
      <c r="FE47" s="212"/>
      <c r="FF47" s="212"/>
      <c r="FG47" s="212"/>
      <c r="FH47" s="212"/>
      <c r="FI47" s="212"/>
      <c r="FJ47" s="212"/>
      <c r="FK47" s="212"/>
      <c r="FL47" s="212"/>
      <c r="FM47" s="212"/>
      <c r="FN47" s="212"/>
      <c r="FO47" s="212"/>
      <c r="FP47" s="212"/>
      <c r="FQ47" s="212"/>
      <c r="FR47" s="212"/>
      <c r="FS47" s="212"/>
      <c r="FT47" s="212"/>
      <c r="FU47" s="212"/>
      <c r="FV47" s="212"/>
      <c r="FW47" s="212"/>
      <c r="FX47" s="212"/>
      <c r="FY47" s="212"/>
      <c r="FZ47" s="212"/>
      <c r="GA47" s="212"/>
      <c r="GB47" s="212"/>
      <c r="GC47" s="212"/>
      <c r="GD47" s="212"/>
      <c r="GE47" s="212"/>
      <c r="GF47" s="212"/>
      <c r="GG47" s="212"/>
      <c r="GH47" s="212"/>
      <c r="GI47" s="212"/>
      <c r="GJ47" s="212"/>
      <c r="GK47" s="212"/>
      <c r="GL47" s="212"/>
      <c r="GM47" s="212"/>
      <c r="GN47" s="212"/>
      <c r="GO47" s="212"/>
      <c r="GP47" s="212"/>
      <c r="GQ47" s="212"/>
      <c r="GR47" s="212"/>
      <c r="GS47" s="212"/>
      <c r="GT47" s="212"/>
      <c r="GU47" s="212"/>
      <c r="GV47" s="212"/>
      <c r="GW47" s="212"/>
      <c r="GX47" s="212"/>
      <c r="GY47" s="212"/>
      <c r="GZ47" s="212"/>
      <c r="HA47" s="212"/>
      <c r="HB47" s="212"/>
      <c r="HC47" s="212"/>
      <c r="HD47" s="212"/>
      <c r="HE47" s="212"/>
      <c r="HF47" s="212"/>
      <c r="HG47" s="212"/>
      <c r="HH47" s="212"/>
      <c r="HI47" s="212"/>
      <c r="HJ47" s="212"/>
      <c r="HK47" s="212"/>
      <c r="HL47" s="212"/>
      <c r="HM47" s="212"/>
      <c r="HN47" s="212"/>
      <c r="HO47" s="212"/>
      <c r="HP47" s="212"/>
      <c r="HQ47" s="212"/>
      <c r="HR47" s="212"/>
      <c r="HS47" s="212"/>
      <c r="HT47" s="212"/>
      <c r="HU47" s="212"/>
      <c r="HV47" s="212"/>
      <c r="HW47" s="212"/>
      <c r="HX47" s="212"/>
      <c r="HY47" s="212"/>
      <c r="HZ47" s="212"/>
      <c r="IA47" s="212"/>
      <c r="IB47" s="212"/>
      <c r="IC47" s="212"/>
      <c r="ID47" s="212"/>
      <c r="IE47" s="212"/>
      <c r="IF47" s="212"/>
      <c r="IG47" s="212"/>
      <c r="IH47" s="212"/>
      <c r="II47" s="212"/>
      <c r="IJ47" s="212"/>
      <c r="IK47" s="212"/>
      <c r="IL47" s="212"/>
      <c r="IM47" s="212"/>
      <c r="IN47" s="212"/>
      <c r="IO47" s="212"/>
      <c r="IP47" s="212"/>
      <c r="IQ47" s="212"/>
      <c r="IR47" s="212"/>
      <c r="IS47" s="212"/>
      <c r="IT47" s="212"/>
      <c r="IU47" s="212"/>
      <c r="IV47" s="212"/>
      <c r="IW47" s="212"/>
      <c r="IX47" s="212"/>
      <c r="IY47" s="212"/>
      <c r="IZ47" s="212"/>
      <c r="JA47" s="212"/>
      <c r="JB47" s="212"/>
      <c r="JC47" s="212"/>
      <c r="JD47" s="212"/>
      <c r="JE47" s="212"/>
      <c r="JF47" s="212"/>
      <c r="JG47" s="212"/>
      <c r="JH47" s="212"/>
      <c r="JI47" s="212"/>
      <c r="JJ47" s="212"/>
      <c r="JK47" s="212"/>
      <c r="JL47" s="212"/>
      <c r="JM47" s="212"/>
      <c r="JN47" s="212"/>
      <c r="JO47" s="212"/>
      <c r="JP47" s="212"/>
      <c r="JQ47" s="212"/>
      <c r="JR47" s="212"/>
      <c r="JS47" s="212"/>
      <c r="JT47" s="212"/>
      <c r="JU47" s="212"/>
      <c r="JV47" s="212"/>
      <c r="JW47" s="212"/>
      <c r="JX47" s="212"/>
      <c r="JY47" s="212"/>
      <c r="JZ47" s="212"/>
      <c r="KA47" s="212"/>
      <c r="KB47" s="212"/>
      <c r="KC47" s="212"/>
      <c r="KD47" s="212"/>
      <c r="KE47" s="212"/>
      <c r="KF47" s="213"/>
      <c r="KG47" s="212"/>
      <c r="KH47" s="212"/>
      <c r="KI47" s="212"/>
      <c r="KJ47" s="212"/>
      <c r="KK47" s="212"/>
      <c r="KL47" s="212"/>
      <c r="KM47" s="212"/>
      <c r="KN47" s="212"/>
      <c r="KO47" s="212"/>
      <c r="KP47" s="212"/>
      <c r="KQ47" s="212"/>
      <c r="KR47" s="212"/>
      <c r="KS47" s="212"/>
      <c r="KT47" s="212"/>
      <c r="KU47" s="212"/>
      <c r="KV47" s="212"/>
      <c r="KW47" s="212"/>
      <c r="KX47" s="212"/>
      <c r="KY47" s="212"/>
      <c r="KZ47" s="212"/>
      <c r="LA47" s="212"/>
      <c r="LB47" s="212"/>
      <c r="LC47" s="212"/>
      <c r="LD47" s="212"/>
      <c r="LE47" s="212"/>
      <c r="LF47" s="212"/>
      <c r="LG47" s="212"/>
      <c r="LH47" s="212"/>
      <c r="LI47" s="212"/>
      <c r="LJ47" s="212"/>
      <c r="LK47" s="212"/>
      <c r="LL47" s="212"/>
      <c r="LM47" s="212"/>
      <c r="LN47" s="212"/>
      <c r="LO47" s="212"/>
      <c r="LP47" s="212"/>
      <c r="LQ47" s="212"/>
      <c r="LR47" s="212"/>
      <c r="LS47" s="212"/>
      <c r="LT47" s="212"/>
      <c r="LU47" s="212"/>
      <c r="LV47" s="212"/>
      <c r="LW47" s="212"/>
      <c r="LX47" s="212"/>
      <c r="LY47" s="212"/>
      <c r="LZ47" s="212"/>
      <c r="MA47" s="212"/>
      <c r="MB47" s="212"/>
      <c r="MC47" s="212"/>
      <c r="MD47" s="212"/>
      <c r="ME47" s="212"/>
      <c r="MF47" s="212"/>
      <c r="MG47" s="212"/>
      <c r="MH47" s="212"/>
      <c r="MI47" s="212"/>
      <c r="MJ47" s="212"/>
      <c r="MK47" s="212"/>
      <c r="ML47" s="212"/>
      <c r="MM47" s="212"/>
      <c r="MN47" s="212"/>
      <c r="MO47" s="212"/>
      <c r="MP47" s="212"/>
      <c r="MQ47" s="212"/>
      <c r="MR47" s="212"/>
      <c r="MS47" s="212"/>
      <c r="MT47" s="212"/>
      <c r="MU47" s="212"/>
      <c r="MV47" s="212"/>
      <c r="MW47" s="212"/>
      <c r="MX47" s="212"/>
      <c r="MY47" s="212"/>
      <c r="MZ47" s="212"/>
      <c r="NA47" s="212"/>
      <c r="NB47" s="212"/>
      <c r="NC47" s="212"/>
      <c r="ND47" s="212"/>
      <c r="NE47" s="212"/>
      <c r="NF47" s="212"/>
      <c r="NG47" s="212"/>
      <c r="NH47" s="212"/>
      <c r="NI47" s="212"/>
      <c r="NJ47" s="212"/>
      <c r="NK47" s="212"/>
      <c r="NL47" s="212"/>
      <c r="NM47" s="212"/>
      <c r="NN47" s="212"/>
      <c r="NO47" s="212"/>
      <c r="NP47" s="212"/>
      <c r="NQ47" s="212"/>
      <c r="NR47" s="212"/>
      <c r="NS47" s="212"/>
      <c r="NT47" s="212"/>
      <c r="NU47" s="212"/>
      <c r="NV47" s="212"/>
      <c r="NW47" s="212"/>
      <c r="NX47" s="212"/>
      <c r="NY47" s="212"/>
      <c r="NZ47" s="212"/>
      <c r="OA47" s="212"/>
      <c r="OB47" s="212"/>
      <c r="OC47" s="212"/>
      <c r="OD47" s="212"/>
      <c r="OE47" s="212"/>
      <c r="OF47" s="212"/>
      <c r="OG47" s="212"/>
      <c r="OH47" s="212"/>
      <c r="OI47" s="212"/>
      <c r="OJ47" s="212"/>
      <c r="OK47" s="212"/>
      <c r="OL47" s="212"/>
      <c r="OM47" s="212"/>
      <c r="ON47" s="212"/>
      <c r="OO47" s="212"/>
      <c r="OP47" s="212"/>
      <c r="OQ47" s="212"/>
      <c r="OR47" s="212"/>
      <c r="OS47" s="212"/>
      <c r="OT47" s="212"/>
      <c r="OU47" s="212"/>
      <c r="OV47" s="212"/>
      <c r="OW47" s="212"/>
      <c r="OX47" s="212"/>
      <c r="OY47" s="212"/>
      <c r="OZ47" s="212"/>
      <c r="PA47" s="212"/>
      <c r="PB47" s="212"/>
      <c r="PC47" s="212"/>
      <c r="PD47" s="212"/>
      <c r="PE47" s="212"/>
      <c r="PF47" s="212"/>
      <c r="PG47" s="212"/>
      <c r="PH47" s="212"/>
      <c r="PI47" s="212"/>
      <c r="PJ47" s="212"/>
      <c r="PK47" s="212"/>
      <c r="PL47" s="212"/>
      <c r="PM47" s="212"/>
      <c r="PN47" s="212"/>
      <c r="PO47" s="212"/>
      <c r="PP47" s="214"/>
      <c r="PQ47" s="214"/>
      <c r="PR47" s="214"/>
      <c r="PS47" s="214"/>
      <c r="PT47" s="214"/>
      <c r="PU47" s="214"/>
      <c r="PV47" s="214"/>
      <c r="PW47" s="214"/>
      <c r="PX47" s="214"/>
      <c r="PY47" s="214"/>
      <c r="PZ47" s="214"/>
      <c r="QA47" s="214"/>
      <c r="QB47" s="214"/>
      <c r="QC47" s="214"/>
      <c r="QD47" s="214"/>
      <c r="QE47" s="214"/>
      <c r="QF47" s="214"/>
      <c r="QG47" s="214"/>
      <c r="QH47" s="214"/>
      <c r="QI47" s="214"/>
      <c r="QJ47" s="214"/>
      <c r="QK47" s="214"/>
      <c r="QL47" s="214"/>
      <c r="QM47" s="214"/>
      <c r="QN47" s="214"/>
      <c r="QO47" s="214"/>
      <c r="QP47" s="214"/>
      <c r="QQ47" s="214"/>
      <c r="QR47" s="214"/>
      <c r="QS47" s="214"/>
      <c r="QT47" s="214"/>
      <c r="QU47" s="214"/>
      <c r="QV47" s="214"/>
      <c r="QW47" s="214"/>
      <c r="QX47" s="214"/>
      <c r="QY47" s="214"/>
      <c r="QZ47" s="214"/>
      <c r="RA47" s="214"/>
      <c r="RB47" s="214"/>
      <c r="RC47" s="214"/>
      <c r="RD47" s="214"/>
      <c r="RE47" s="214"/>
      <c r="RF47" s="214"/>
      <c r="RG47" s="214"/>
      <c r="RH47" s="214"/>
      <c r="RI47" s="214"/>
      <c r="RJ47" s="214"/>
      <c r="RK47" s="214"/>
      <c r="RL47" s="214"/>
      <c r="RM47" s="214"/>
      <c r="RN47" s="214"/>
      <c r="RO47" s="214"/>
      <c r="RP47" s="214"/>
      <c r="RQ47" s="214"/>
      <c r="RR47" s="214"/>
      <c r="RS47" s="214"/>
      <c r="RT47" s="214"/>
      <c r="RU47" s="214"/>
      <c r="RV47" s="214"/>
      <c r="RW47" s="214"/>
      <c r="RX47" s="214"/>
      <c r="RY47" s="214"/>
      <c r="RZ47" s="214"/>
      <c r="SA47" s="214"/>
      <c r="SB47" s="214"/>
      <c r="SC47" s="214"/>
      <c r="SD47" s="214"/>
      <c r="SE47" s="214"/>
      <c r="SF47" s="214"/>
      <c r="SG47" s="214"/>
      <c r="SH47" s="214"/>
      <c r="SI47" s="214"/>
      <c r="SJ47" s="214"/>
      <c r="SK47" s="214"/>
      <c r="SL47" s="214"/>
      <c r="SM47" s="214"/>
      <c r="SN47" s="214"/>
      <c r="SO47" s="214"/>
      <c r="SP47" s="214"/>
      <c r="SQ47" s="214"/>
      <c r="SR47" s="214"/>
      <c r="SS47" s="214"/>
      <c r="ST47" s="214"/>
      <c r="SU47" s="214"/>
      <c r="SV47" s="214"/>
      <c r="SW47" s="214"/>
      <c r="SX47" s="214"/>
      <c r="SY47" s="214"/>
      <c r="SZ47" s="214"/>
      <c r="TA47" s="214"/>
      <c r="TB47" s="214"/>
      <c r="TC47" s="214"/>
      <c r="TD47" s="214"/>
      <c r="TE47" s="214"/>
      <c r="TF47" s="214"/>
      <c r="TG47" s="214"/>
      <c r="TH47" s="214"/>
      <c r="TI47" s="214"/>
      <c r="TJ47" s="214"/>
      <c r="TK47" s="214"/>
      <c r="TL47" s="214"/>
      <c r="TM47" s="214"/>
      <c r="TN47" s="214"/>
      <c r="TO47" s="214"/>
      <c r="TP47" s="214"/>
      <c r="TQ47" s="214"/>
      <c r="TR47" s="214"/>
      <c r="TS47" s="214"/>
      <c r="TT47" s="214"/>
      <c r="TU47" s="214"/>
      <c r="TV47" s="214"/>
      <c r="TW47" s="214"/>
      <c r="TX47" s="214"/>
      <c r="TY47" s="214"/>
      <c r="TZ47" s="214"/>
      <c r="UA47" s="214"/>
      <c r="UB47" s="214"/>
      <c r="UC47" s="214"/>
      <c r="UD47" s="214"/>
      <c r="UE47" s="214"/>
      <c r="UF47" s="214"/>
      <c r="UG47" s="214"/>
      <c r="UH47" s="214"/>
      <c r="UI47" s="214"/>
      <c r="UJ47" s="214"/>
      <c r="UK47" s="214"/>
      <c r="UL47" s="214"/>
      <c r="UM47" s="214"/>
      <c r="UN47" s="214"/>
      <c r="UO47" s="214"/>
      <c r="UP47" s="214"/>
      <c r="UQ47" s="214"/>
      <c r="UR47" s="214"/>
      <c r="US47" s="214"/>
      <c r="UT47" s="214"/>
      <c r="UU47" s="214"/>
    </row>
    <row r="48" spans="1:567" ht="15.6" x14ac:dyDescent="0.4">
      <c r="B48" s="44" t="s">
        <v>232</v>
      </c>
      <c r="C48" s="26"/>
      <c r="D48" s="19" t="s">
        <v>32</v>
      </c>
      <c r="E48" s="32">
        <v>0</v>
      </c>
      <c r="F48" s="32">
        <v>0</v>
      </c>
      <c r="G48" s="32"/>
      <c r="H48" s="32"/>
      <c r="I48" s="79">
        <f>K48/Units_SF</f>
        <v>0.8928571428571429</v>
      </c>
      <c r="J48" s="80">
        <f>K48/Units</f>
        <v>750</v>
      </c>
      <c r="K48" s="188">
        <v>225000</v>
      </c>
      <c r="M48" s="3" t="s">
        <v>836</v>
      </c>
      <c r="R48" s="90" t="str">
        <f t="shared" si="535"/>
        <v>OK</v>
      </c>
      <c r="S48" s="94">
        <f t="shared" ref="S48:AX48" si="543">AND($D48="S-Curve")*FC48+($D48&lt;&gt;"S-Curve")*AND(S$22&gt;=$E48,S$22&lt;=$F48)*$K48/($F48-$E48+1)</f>
        <v>225000</v>
      </c>
      <c r="T48" s="94">
        <f t="shared" si="543"/>
        <v>0</v>
      </c>
      <c r="U48" s="94">
        <f t="shared" si="543"/>
        <v>0</v>
      </c>
      <c r="V48" s="94">
        <f t="shared" si="543"/>
        <v>0</v>
      </c>
      <c r="W48" s="94">
        <f t="shared" si="543"/>
        <v>0</v>
      </c>
      <c r="X48" s="94">
        <f t="shared" si="543"/>
        <v>0</v>
      </c>
      <c r="Y48" s="94">
        <f t="shared" si="543"/>
        <v>0</v>
      </c>
      <c r="Z48" s="94">
        <f t="shared" si="543"/>
        <v>0</v>
      </c>
      <c r="AA48" s="94">
        <f t="shared" si="543"/>
        <v>0</v>
      </c>
      <c r="AB48" s="94">
        <f t="shared" si="543"/>
        <v>0</v>
      </c>
      <c r="AC48" s="94">
        <f t="shared" si="543"/>
        <v>0</v>
      </c>
      <c r="AD48" s="94">
        <f t="shared" si="543"/>
        <v>0</v>
      </c>
      <c r="AE48" s="94">
        <f t="shared" si="543"/>
        <v>0</v>
      </c>
      <c r="AF48" s="94">
        <f t="shared" si="543"/>
        <v>0</v>
      </c>
      <c r="AG48" s="94">
        <f t="shared" si="543"/>
        <v>0</v>
      </c>
      <c r="AH48" s="94">
        <f t="shared" si="543"/>
        <v>0</v>
      </c>
      <c r="AI48" s="94">
        <f t="shared" si="543"/>
        <v>0</v>
      </c>
      <c r="AJ48" s="94">
        <f t="shared" si="543"/>
        <v>0</v>
      </c>
      <c r="AK48" s="94">
        <f t="shared" si="543"/>
        <v>0</v>
      </c>
      <c r="AL48" s="94">
        <f t="shared" si="543"/>
        <v>0</v>
      </c>
      <c r="AM48" s="94">
        <f t="shared" si="543"/>
        <v>0</v>
      </c>
      <c r="AN48" s="94">
        <f t="shared" si="543"/>
        <v>0</v>
      </c>
      <c r="AO48" s="94">
        <f t="shared" si="543"/>
        <v>0</v>
      </c>
      <c r="AP48" s="94">
        <f t="shared" si="543"/>
        <v>0</v>
      </c>
      <c r="AQ48" s="94">
        <f t="shared" si="543"/>
        <v>0</v>
      </c>
      <c r="AR48" s="94">
        <f t="shared" si="543"/>
        <v>0</v>
      </c>
      <c r="AS48" s="94">
        <f t="shared" si="543"/>
        <v>0</v>
      </c>
      <c r="AT48" s="94">
        <f t="shared" si="543"/>
        <v>0</v>
      </c>
      <c r="AU48" s="94">
        <f t="shared" si="543"/>
        <v>0</v>
      </c>
      <c r="AV48" s="94">
        <f t="shared" si="543"/>
        <v>0</v>
      </c>
      <c r="AW48" s="94">
        <f t="shared" si="543"/>
        <v>0</v>
      </c>
      <c r="AX48" s="94">
        <f t="shared" si="543"/>
        <v>0</v>
      </c>
      <c r="AY48" s="94">
        <f t="shared" ref="AY48:CD48" si="544">AND($D48="S-Curve")*GI48+($D48&lt;&gt;"S-Curve")*AND(AY$22&gt;=$E48,AY$22&lt;=$F48)*$K48/($F48-$E48+1)</f>
        <v>0</v>
      </c>
      <c r="AZ48" s="94">
        <f t="shared" si="544"/>
        <v>0</v>
      </c>
      <c r="BA48" s="94">
        <f t="shared" si="544"/>
        <v>0</v>
      </c>
      <c r="BB48" s="94">
        <f t="shared" si="544"/>
        <v>0</v>
      </c>
      <c r="BC48" s="94">
        <f t="shared" si="544"/>
        <v>0</v>
      </c>
      <c r="BD48" s="94">
        <f t="shared" si="544"/>
        <v>0</v>
      </c>
      <c r="BE48" s="94">
        <f t="shared" si="544"/>
        <v>0</v>
      </c>
      <c r="BF48" s="94">
        <f t="shared" si="544"/>
        <v>0</v>
      </c>
      <c r="BG48" s="94">
        <f t="shared" si="544"/>
        <v>0</v>
      </c>
      <c r="BH48" s="94">
        <f t="shared" si="544"/>
        <v>0</v>
      </c>
      <c r="BI48" s="94">
        <f t="shared" si="544"/>
        <v>0</v>
      </c>
      <c r="BJ48" s="94">
        <f t="shared" si="544"/>
        <v>0</v>
      </c>
      <c r="BK48" s="94">
        <f t="shared" si="544"/>
        <v>0</v>
      </c>
      <c r="BL48" s="94">
        <f t="shared" si="544"/>
        <v>0</v>
      </c>
      <c r="BM48" s="94">
        <f t="shared" si="544"/>
        <v>0</v>
      </c>
      <c r="BN48" s="94">
        <f t="shared" si="544"/>
        <v>0</v>
      </c>
      <c r="BO48" s="94">
        <f t="shared" si="544"/>
        <v>0</v>
      </c>
      <c r="BP48" s="94">
        <f t="shared" si="544"/>
        <v>0</v>
      </c>
      <c r="BQ48" s="94">
        <f t="shared" si="544"/>
        <v>0</v>
      </c>
      <c r="BR48" s="94">
        <f t="shared" si="544"/>
        <v>0</v>
      </c>
      <c r="BS48" s="94">
        <f t="shared" si="544"/>
        <v>0</v>
      </c>
      <c r="BT48" s="94">
        <f t="shared" si="544"/>
        <v>0</v>
      </c>
      <c r="BU48" s="94">
        <f t="shared" si="544"/>
        <v>0</v>
      </c>
      <c r="BV48" s="94">
        <f t="shared" si="544"/>
        <v>0</v>
      </c>
      <c r="BW48" s="94">
        <f t="shared" si="544"/>
        <v>0</v>
      </c>
      <c r="BX48" s="94">
        <f t="shared" si="544"/>
        <v>0</v>
      </c>
      <c r="BY48" s="94">
        <f t="shared" si="544"/>
        <v>0</v>
      </c>
      <c r="BZ48" s="94">
        <f t="shared" si="544"/>
        <v>0</v>
      </c>
      <c r="CA48" s="94">
        <f t="shared" si="544"/>
        <v>0</v>
      </c>
      <c r="CB48" s="94">
        <f t="shared" si="544"/>
        <v>0</v>
      </c>
      <c r="CC48" s="94">
        <f t="shared" si="544"/>
        <v>0</v>
      </c>
      <c r="CD48" s="94">
        <f t="shared" si="544"/>
        <v>0</v>
      </c>
      <c r="CE48" s="94">
        <f t="shared" ref="CE48:DJ48" si="545">AND($D48="S-Curve")*HO48+($D48&lt;&gt;"S-Curve")*AND(CE$22&gt;=$E48,CE$22&lt;=$F48)*$K48/($F48-$E48+1)</f>
        <v>0</v>
      </c>
      <c r="CF48" s="94">
        <f t="shared" si="545"/>
        <v>0</v>
      </c>
      <c r="CG48" s="94">
        <f t="shared" si="545"/>
        <v>0</v>
      </c>
      <c r="CH48" s="94">
        <f t="shared" si="545"/>
        <v>0</v>
      </c>
      <c r="CI48" s="94">
        <f t="shared" si="545"/>
        <v>0</v>
      </c>
      <c r="CJ48" s="94">
        <f t="shared" si="545"/>
        <v>0</v>
      </c>
      <c r="CK48" s="94">
        <f t="shared" si="545"/>
        <v>0</v>
      </c>
      <c r="CL48" s="94">
        <f t="shared" si="545"/>
        <v>0</v>
      </c>
      <c r="CM48" s="94">
        <f t="shared" si="545"/>
        <v>0</v>
      </c>
      <c r="CN48" s="94">
        <f t="shared" si="545"/>
        <v>0</v>
      </c>
      <c r="CO48" s="94">
        <f t="shared" si="545"/>
        <v>0</v>
      </c>
      <c r="CP48" s="94">
        <f t="shared" si="545"/>
        <v>0</v>
      </c>
      <c r="CQ48" s="94">
        <f t="shared" si="545"/>
        <v>0</v>
      </c>
      <c r="CR48" s="94">
        <f t="shared" si="545"/>
        <v>0</v>
      </c>
      <c r="CS48" s="94">
        <f t="shared" si="545"/>
        <v>0</v>
      </c>
      <c r="CT48" s="94">
        <f t="shared" si="545"/>
        <v>0</v>
      </c>
      <c r="CU48" s="94">
        <f t="shared" si="545"/>
        <v>0</v>
      </c>
      <c r="CV48" s="94">
        <f t="shared" si="545"/>
        <v>0</v>
      </c>
      <c r="CW48" s="94">
        <f t="shared" si="545"/>
        <v>0</v>
      </c>
      <c r="CX48" s="94">
        <f t="shared" si="545"/>
        <v>0</v>
      </c>
      <c r="CY48" s="94">
        <f t="shared" si="545"/>
        <v>0</v>
      </c>
      <c r="CZ48" s="94">
        <f t="shared" si="545"/>
        <v>0</v>
      </c>
      <c r="DA48" s="94">
        <f t="shared" si="545"/>
        <v>0</v>
      </c>
      <c r="DB48" s="94">
        <f t="shared" si="545"/>
        <v>0</v>
      </c>
      <c r="DC48" s="94">
        <f t="shared" si="545"/>
        <v>0</v>
      </c>
      <c r="DD48" s="94">
        <f t="shared" si="545"/>
        <v>0</v>
      </c>
      <c r="DE48" s="94">
        <f t="shared" si="545"/>
        <v>0</v>
      </c>
      <c r="DF48" s="94">
        <f t="shared" si="545"/>
        <v>0</v>
      </c>
      <c r="DG48" s="94">
        <f t="shared" si="545"/>
        <v>0</v>
      </c>
      <c r="DH48" s="94">
        <f t="shared" si="545"/>
        <v>0</v>
      </c>
      <c r="DI48" s="94">
        <f t="shared" si="545"/>
        <v>0</v>
      </c>
      <c r="DJ48" s="94">
        <f t="shared" si="545"/>
        <v>0</v>
      </c>
      <c r="DK48" s="94">
        <f t="shared" ref="DK48:EP48" si="546">AND($D48="S-Curve")*IU48+($D48&lt;&gt;"S-Curve")*AND(DK$22&gt;=$E48,DK$22&lt;=$F48)*$K48/($F48-$E48+1)</f>
        <v>0</v>
      </c>
      <c r="DL48" s="94">
        <f t="shared" si="546"/>
        <v>0</v>
      </c>
      <c r="DM48" s="94">
        <f t="shared" si="546"/>
        <v>0</v>
      </c>
      <c r="DN48" s="94">
        <f t="shared" si="546"/>
        <v>0</v>
      </c>
      <c r="DO48" s="94">
        <f t="shared" si="546"/>
        <v>0</v>
      </c>
      <c r="DP48" s="94">
        <f t="shared" si="546"/>
        <v>0</v>
      </c>
      <c r="DQ48" s="94">
        <f t="shared" si="546"/>
        <v>0</v>
      </c>
      <c r="DR48" s="94">
        <f t="shared" si="546"/>
        <v>0</v>
      </c>
      <c r="DS48" s="94">
        <f t="shared" si="546"/>
        <v>0</v>
      </c>
      <c r="DT48" s="94">
        <f t="shared" si="546"/>
        <v>0</v>
      </c>
      <c r="DU48" s="94">
        <f t="shared" si="546"/>
        <v>0</v>
      </c>
      <c r="DV48" s="94">
        <f t="shared" si="546"/>
        <v>0</v>
      </c>
      <c r="DW48" s="94">
        <f t="shared" si="546"/>
        <v>0</v>
      </c>
      <c r="DX48" s="94">
        <f t="shared" si="546"/>
        <v>0</v>
      </c>
      <c r="DY48" s="94">
        <f t="shared" si="546"/>
        <v>0</v>
      </c>
      <c r="DZ48" s="94">
        <f t="shared" si="546"/>
        <v>0</v>
      </c>
      <c r="EA48" s="94">
        <f t="shared" si="546"/>
        <v>0</v>
      </c>
      <c r="EB48" s="94">
        <f t="shared" si="546"/>
        <v>0</v>
      </c>
      <c r="EC48" s="94">
        <f t="shared" si="546"/>
        <v>0</v>
      </c>
      <c r="ED48" s="94">
        <f t="shared" si="546"/>
        <v>0</v>
      </c>
      <c r="EE48" s="94">
        <f t="shared" si="546"/>
        <v>0</v>
      </c>
      <c r="EF48" s="94">
        <f t="shared" si="546"/>
        <v>0</v>
      </c>
      <c r="EG48" s="94">
        <f t="shared" si="546"/>
        <v>0</v>
      </c>
      <c r="EH48" s="94">
        <f t="shared" si="546"/>
        <v>0</v>
      </c>
      <c r="EI48" s="94">
        <f t="shared" si="546"/>
        <v>0</v>
      </c>
      <c r="EJ48" s="94">
        <f t="shared" si="546"/>
        <v>0</v>
      </c>
      <c r="EK48" s="94">
        <f t="shared" si="546"/>
        <v>0</v>
      </c>
      <c r="EL48" s="94">
        <f t="shared" si="546"/>
        <v>0</v>
      </c>
      <c r="EM48" s="94">
        <f t="shared" si="546"/>
        <v>0</v>
      </c>
      <c r="EN48" s="94">
        <f t="shared" si="546"/>
        <v>0</v>
      </c>
      <c r="EO48" s="94">
        <f t="shared" si="546"/>
        <v>0</v>
      </c>
      <c r="EP48" s="94">
        <f t="shared" si="546"/>
        <v>0</v>
      </c>
      <c r="EQ48" s="94">
        <f t="shared" ref="EQ48:EU48" si="547">AND($D48="S-Curve")*KA48+($D48&lt;&gt;"S-Curve")*AND(EQ$22&gt;=$E48,EQ$22&lt;=$F48)*$K48/($F48-$E48+1)</f>
        <v>0</v>
      </c>
      <c r="ER48" s="94">
        <f t="shared" si="547"/>
        <v>0</v>
      </c>
      <c r="ES48" s="94">
        <f t="shared" si="547"/>
        <v>0</v>
      </c>
      <c r="ET48" s="94">
        <f t="shared" si="547"/>
        <v>0</v>
      </c>
      <c r="EU48" s="94">
        <f t="shared" si="547"/>
        <v>0</v>
      </c>
      <c r="EW48" s="207">
        <f>K48</f>
        <v>225000</v>
      </c>
      <c r="EX48" s="208">
        <f t="shared" ref="EX48" si="548">INDEX($S$23:$EU$23,1,E48+1)</f>
        <v>46053</v>
      </c>
      <c r="EY48" s="208">
        <f t="shared" ref="EY48" si="549">INDEX($S$23:$EU$23,1,F48+1)</f>
        <v>46053</v>
      </c>
      <c r="EZ48" s="209">
        <f>F48-E48+1</f>
        <v>1</v>
      </c>
      <c r="FA48" s="210">
        <f>EZ48/6</f>
        <v>0.16666666666666666</v>
      </c>
      <c r="FC48" s="211">
        <f t="shared" ref="FC48:HN48" si="550">AND(FC$4&gt;=$EX48,FC$4&lt;=$EY48)*(_xlfn.NORM.DIST((YEAR(FC$4)-YEAR($EX48))*12+MONTH(FC$4)-MONTH($EX48)+1,$EZ48/2,$FA48,TRUE)-_xlfn.NORM.DIST((YEAR(FC$4)-YEAR($EX48))*12+MONTH(FC$4)-MONTH($EX48),$EZ48/2,$FA48,TRUE))/(1-2*_xlfn.NORM.DIST(0,$EZ48/2,$FA48,TRUE))*$EW48</f>
        <v>225000</v>
      </c>
      <c r="FD48" s="211">
        <f t="shared" si="550"/>
        <v>0</v>
      </c>
      <c r="FE48" s="211">
        <f t="shared" si="550"/>
        <v>0</v>
      </c>
      <c r="FF48" s="211">
        <f t="shared" si="550"/>
        <v>0</v>
      </c>
      <c r="FG48" s="211">
        <f t="shared" si="550"/>
        <v>0</v>
      </c>
      <c r="FH48" s="211">
        <f t="shared" si="550"/>
        <v>0</v>
      </c>
      <c r="FI48" s="211">
        <f t="shared" si="550"/>
        <v>0</v>
      </c>
      <c r="FJ48" s="211">
        <f t="shared" si="550"/>
        <v>0</v>
      </c>
      <c r="FK48" s="211">
        <f t="shared" si="550"/>
        <v>0</v>
      </c>
      <c r="FL48" s="211">
        <f t="shared" si="550"/>
        <v>0</v>
      </c>
      <c r="FM48" s="211">
        <f t="shared" si="550"/>
        <v>0</v>
      </c>
      <c r="FN48" s="211">
        <f t="shared" si="550"/>
        <v>0</v>
      </c>
      <c r="FO48" s="211">
        <f t="shared" si="550"/>
        <v>0</v>
      </c>
      <c r="FP48" s="211">
        <f t="shared" si="550"/>
        <v>0</v>
      </c>
      <c r="FQ48" s="211">
        <f t="shared" si="550"/>
        <v>0</v>
      </c>
      <c r="FR48" s="211">
        <f t="shared" si="550"/>
        <v>0</v>
      </c>
      <c r="FS48" s="211">
        <f t="shared" si="550"/>
        <v>0</v>
      </c>
      <c r="FT48" s="211">
        <f t="shared" si="550"/>
        <v>0</v>
      </c>
      <c r="FU48" s="211">
        <f t="shared" si="550"/>
        <v>0</v>
      </c>
      <c r="FV48" s="211">
        <f t="shared" si="550"/>
        <v>0</v>
      </c>
      <c r="FW48" s="211">
        <f t="shared" si="550"/>
        <v>0</v>
      </c>
      <c r="FX48" s="211">
        <f t="shared" si="550"/>
        <v>0</v>
      </c>
      <c r="FY48" s="211">
        <f t="shared" si="550"/>
        <v>0</v>
      </c>
      <c r="FZ48" s="211">
        <f t="shared" si="550"/>
        <v>0</v>
      </c>
      <c r="GA48" s="211">
        <f t="shared" si="550"/>
        <v>0</v>
      </c>
      <c r="GB48" s="211">
        <f t="shared" si="550"/>
        <v>0</v>
      </c>
      <c r="GC48" s="211">
        <f t="shared" si="550"/>
        <v>0</v>
      </c>
      <c r="GD48" s="211">
        <f t="shared" si="550"/>
        <v>0</v>
      </c>
      <c r="GE48" s="211">
        <f t="shared" si="550"/>
        <v>0</v>
      </c>
      <c r="GF48" s="211">
        <f t="shared" si="550"/>
        <v>0</v>
      </c>
      <c r="GG48" s="211">
        <f t="shared" si="550"/>
        <v>0</v>
      </c>
      <c r="GH48" s="211">
        <f t="shared" si="550"/>
        <v>0</v>
      </c>
      <c r="GI48" s="211">
        <f t="shared" si="550"/>
        <v>0</v>
      </c>
      <c r="GJ48" s="211">
        <f t="shared" si="550"/>
        <v>0</v>
      </c>
      <c r="GK48" s="211">
        <f t="shared" si="550"/>
        <v>0</v>
      </c>
      <c r="GL48" s="211">
        <f t="shared" si="550"/>
        <v>0</v>
      </c>
      <c r="GM48" s="211">
        <f t="shared" si="550"/>
        <v>0</v>
      </c>
      <c r="GN48" s="211">
        <f t="shared" si="550"/>
        <v>0</v>
      </c>
      <c r="GO48" s="211">
        <f t="shared" si="550"/>
        <v>0</v>
      </c>
      <c r="GP48" s="211">
        <f t="shared" si="550"/>
        <v>0</v>
      </c>
      <c r="GQ48" s="211">
        <f t="shared" si="550"/>
        <v>0</v>
      </c>
      <c r="GR48" s="211">
        <f t="shared" si="550"/>
        <v>0</v>
      </c>
      <c r="GS48" s="211">
        <f t="shared" si="550"/>
        <v>0</v>
      </c>
      <c r="GT48" s="211">
        <f t="shared" si="550"/>
        <v>0</v>
      </c>
      <c r="GU48" s="211">
        <f t="shared" si="550"/>
        <v>0</v>
      </c>
      <c r="GV48" s="211">
        <f t="shared" si="550"/>
        <v>0</v>
      </c>
      <c r="GW48" s="211">
        <f t="shared" si="550"/>
        <v>0</v>
      </c>
      <c r="GX48" s="211">
        <f t="shared" si="550"/>
        <v>0</v>
      </c>
      <c r="GY48" s="211">
        <f t="shared" si="550"/>
        <v>0</v>
      </c>
      <c r="GZ48" s="211">
        <f t="shared" si="550"/>
        <v>0</v>
      </c>
      <c r="HA48" s="211">
        <f t="shared" si="550"/>
        <v>0</v>
      </c>
      <c r="HB48" s="211">
        <f t="shared" si="550"/>
        <v>0</v>
      </c>
      <c r="HC48" s="211">
        <f t="shared" si="550"/>
        <v>0</v>
      </c>
      <c r="HD48" s="211">
        <f t="shared" si="550"/>
        <v>0</v>
      </c>
      <c r="HE48" s="211">
        <f t="shared" si="550"/>
        <v>0</v>
      </c>
      <c r="HF48" s="211">
        <f t="shared" si="550"/>
        <v>0</v>
      </c>
      <c r="HG48" s="211">
        <f t="shared" si="550"/>
        <v>0</v>
      </c>
      <c r="HH48" s="211">
        <f t="shared" si="550"/>
        <v>0</v>
      </c>
      <c r="HI48" s="211">
        <f t="shared" si="550"/>
        <v>0</v>
      </c>
      <c r="HJ48" s="211">
        <f t="shared" si="550"/>
        <v>0</v>
      </c>
      <c r="HK48" s="211">
        <f t="shared" si="550"/>
        <v>0</v>
      </c>
      <c r="HL48" s="211">
        <f t="shared" si="550"/>
        <v>0</v>
      </c>
      <c r="HM48" s="211">
        <f t="shared" si="550"/>
        <v>0</v>
      </c>
      <c r="HN48" s="211">
        <f t="shared" si="550"/>
        <v>0</v>
      </c>
      <c r="HO48" s="211">
        <f t="shared" ref="HO48:JZ48" si="551">AND(HO$4&gt;=$EX48,HO$4&lt;=$EY48)*(_xlfn.NORM.DIST((YEAR(HO$4)-YEAR($EX48))*12+MONTH(HO$4)-MONTH($EX48)+1,$EZ48/2,$FA48,TRUE)-_xlfn.NORM.DIST((YEAR(HO$4)-YEAR($EX48))*12+MONTH(HO$4)-MONTH($EX48),$EZ48/2,$FA48,TRUE))/(1-2*_xlfn.NORM.DIST(0,$EZ48/2,$FA48,TRUE))*$EW48</f>
        <v>0</v>
      </c>
      <c r="HP48" s="211">
        <f t="shared" si="551"/>
        <v>0</v>
      </c>
      <c r="HQ48" s="211">
        <f t="shared" si="551"/>
        <v>0</v>
      </c>
      <c r="HR48" s="211">
        <f t="shared" si="551"/>
        <v>0</v>
      </c>
      <c r="HS48" s="211">
        <f t="shared" si="551"/>
        <v>0</v>
      </c>
      <c r="HT48" s="211">
        <f t="shared" si="551"/>
        <v>0</v>
      </c>
      <c r="HU48" s="211">
        <f t="shared" si="551"/>
        <v>0</v>
      </c>
      <c r="HV48" s="211">
        <f t="shared" si="551"/>
        <v>0</v>
      </c>
      <c r="HW48" s="211">
        <f t="shared" si="551"/>
        <v>0</v>
      </c>
      <c r="HX48" s="211">
        <f t="shared" si="551"/>
        <v>0</v>
      </c>
      <c r="HY48" s="211">
        <f t="shared" si="551"/>
        <v>0</v>
      </c>
      <c r="HZ48" s="211">
        <f t="shared" si="551"/>
        <v>0</v>
      </c>
      <c r="IA48" s="211">
        <f t="shared" si="551"/>
        <v>0</v>
      </c>
      <c r="IB48" s="211">
        <f t="shared" si="551"/>
        <v>0</v>
      </c>
      <c r="IC48" s="211">
        <f t="shared" si="551"/>
        <v>0</v>
      </c>
      <c r="ID48" s="211">
        <f t="shared" si="551"/>
        <v>0</v>
      </c>
      <c r="IE48" s="211">
        <f t="shared" si="551"/>
        <v>0</v>
      </c>
      <c r="IF48" s="211">
        <f t="shared" si="551"/>
        <v>0</v>
      </c>
      <c r="IG48" s="211">
        <f t="shared" si="551"/>
        <v>0</v>
      </c>
      <c r="IH48" s="211">
        <f t="shared" si="551"/>
        <v>0</v>
      </c>
      <c r="II48" s="211">
        <f t="shared" si="551"/>
        <v>0</v>
      </c>
      <c r="IJ48" s="211">
        <f t="shared" si="551"/>
        <v>0</v>
      </c>
      <c r="IK48" s="211">
        <f t="shared" si="551"/>
        <v>0</v>
      </c>
      <c r="IL48" s="211">
        <f t="shared" si="551"/>
        <v>0</v>
      </c>
      <c r="IM48" s="211">
        <f t="shared" si="551"/>
        <v>0</v>
      </c>
      <c r="IN48" s="211">
        <f t="shared" si="551"/>
        <v>0</v>
      </c>
      <c r="IO48" s="211">
        <f t="shared" si="551"/>
        <v>0</v>
      </c>
      <c r="IP48" s="211">
        <f t="shared" si="551"/>
        <v>0</v>
      </c>
      <c r="IQ48" s="211">
        <f t="shared" si="551"/>
        <v>0</v>
      </c>
      <c r="IR48" s="211">
        <f t="shared" si="551"/>
        <v>0</v>
      </c>
      <c r="IS48" s="211">
        <f t="shared" si="551"/>
        <v>0</v>
      </c>
      <c r="IT48" s="211">
        <f t="shared" si="551"/>
        <v>0</v>
      </c>
      <c r="IU48" s="211">
        <f t="shared" si="551"/>
        <v>0</v>
      </c>
      <c r="IV48" s="211">
        <f t="shared" si="551"/>
        <v>0</v>
      </c>
      <c r="IW48" s="211">
        <f t="shared" si="551"/>
        <v>0</v>
      </c>
      <c r="IX48" s="211">
        <f t="shared" si="551"/>
        <v>0</v>
      </c>
      <c r="IY48" s="211">
        <f t="shared" si="551"/>
        <v>0</v>
      </c>
      <c r="IZ48" s="211">
        <f t="shared" si="551"/>
        <v>0</v>
      </c>
      <c r="JA48" s="211">
        <f t="shared" si="551"/>
        <v>0</v>
      </c>
      <c r="JB48" s="211">
        <f t="shared" si="551"/>
        <v>0</v>
      </c>
      <c r="JC48" s="211">
        <f t="shared" si="551"/>
        <v>0</v>
      </c>
      <c r="JD48" s="211">
        <f t="shared" si="551"/>
        <v>0</v>
      </c>
      <c r="JE48" s="211">
        <f t="shared" si="551"/>
        <v>0</v>
      </c>
      <c r="JF48" s="211">
        <f t="shared" si="551"/>
        <v>0</v>
      </c>
      <c r="JG48" s="211">
        <f t="shared" si="551"/>
        <v>0</v>
      </c>
      <c r="JH48" s="211">
        <f t="shared" si="551"/>
        <v>0</v>
      </c>
      <c r="JI48" s="211">
        <f t="shared" si="551"/>
        <v>0</v>
      </c>
      <c r="JJ48" s="211">
        <f t="shared" si="551"/>
        <v>0</v>
      </c>
      <c r="JK48" s="211">
        <f t="shared" si="551"/>
        <v>0</v>
      </c>
      <c r="JL48" s="211">
        <f t="shared" si="551"/>
        <v>0</v>
      </c>
      <c r="JM48" s="211">
        <f t="shared" si="551"/>
        <v>0</v>
      </c>
      <c r="JN48" s="211">
        <f t="shared" si="551"/>
        <v>0</v>
      </c>
      <c r="JO48" s="211">
        <f t="shared" si="551"/>
        <v>0</v>
      </c>
      <c r="JP48" s="211">
        <f t="shared" si="551"/>
        <v>0</v>
      </c>
      <c r="JQ48" s="211">
        <f t="shared" si="551"/>
        <v>0</v>
      </c>
      <c r="JR48" s="211">
        <f t="shared" si="551"/>
        <v>0</v>
      </c>
      <c r="JS48" s="211">
        <f t="shared" si="551"/>
        <v>0</v>
      </c>
      <c r="JT48" s="211">
        <f t="shared" si="551"/>
        <v>0</v>
      </c>
      <c r="JU48" s="211">
        <f t="shared" si="551"/>
        <v>0</v>
      </c>
      <c r="JV48" s="211">
        <f t="shared" si="551"/>
        <v>0</v>
      </c>
      <c r="JW48" s="211">
        <f t="shared" si="551"/>
        <v>0</v>
      </c>
      <c r="JX48" s="211">
        <f t="shared" si="551"/>
        <v>0</v>
      </c>
      <c r="JY48" s="211">
        <f t="shared" si="551"/>
        <v>0</v>
      </c>
      <c r="JZ48" s="211">
        <f t="shared" si="551"/>
        <v>0</v>
      </c>
      <c r="KA48" s="211">
        <f t="shared" ref="KA48:KE48" si="552">AND(KA$4&gt;=$EX48,KA$4&lt;=$EY48)*(_xlfn.NORM.DIST((YEAR(KA$4)-YEAR($EX48))*12+MONTH(KA$4)-MONTH($EX48)+1,$EZ48/2,$FA48,TRUE)-_xlfn.NORM.DIST((YEAR(KA$4)-YEAR($EX48))*12+MONTH(KA$4)-MONTH($EX48),$EZ48/2,$FA48,TRUE))/(1-2*_xlfn.NORM.DIST(0,$EZ48/2,$FA48,TRUE))*$EW48</f>
        <v>0</v>
      </c>
      <c r="KB48" s="211">
        <f t="shared" si="552"/>
        <v>0</v>
      </c>
      <c r="KC48" s="211">
        <f t="shared" si="552"/>
        <v>0</v>
      </c>
      <c r="KD48" s="211">
        <f t="shared" si="552"/>
        <v>0</v>
      </c>
      <c r="KE48" s="211">
        <f t="shared" si="552"/>
        <v>0</v>
      </c>
      <c r="KG48" s="207"/>
      <c r="KH48" s="208"/>
      <c r="KI48" s="208"/>
      <c r="KJ48" s="209"/>
      <c r="KK48" s="210"/>
      <c r="KM48" s="211"/>
      <c r="KN48" s="211"/>
      <c r="KO48" s="211"/>
      <c r="KP48" s="211"/>
      <c r="KQ48" s="211"/>
      <c r="KR48" s="211"/>
      <c r="KS48" s="211"/>
      <c r="KT48" s="211"/>
      <c r="KU48" s="211"/>
      <c r="KV48" s="211"/>
      <c r="KW48" s="211"/>
      <c r="KX48" s="211"/>
      <c r="KY48" s="211"/>
      <c r="KZ48" s="211"/>
      <c r="LA48" s="211"/>
      <c r="LB48" s="211"/>
      <c r="LC48" s="211"/>
      <c r="LD48" s="211"/>
      <c r="LE48" s="211"/>
      <c r="LF48" s="211"/>
      <c r="LG48" s="211"/>
      <c r="LH48" s="211"/>
      <c r="LI48" s="211"/>
      <c r="LJ48" s="211"/>
      <c r="LK48" s="211"/>
      <c r="LL48" s="211"/>
      <c r="LM48" s="211"/>
      <c r="LN48" s="211"/>
      <c r="LO48" s="211"/>
      <c r="LP48" s="211"/>
      <c r="LQ48" s="211"/>
      <c r="LR48" s="211"/>
      <c r="LS48" s="211"/>
      <c r="LT48" s="211"/>
      <c r="LU48" s="211"/>
      <c r="LV48" s="211"/>
      <c r="LW48" s="211"/>
      <c r="LX48" s="211"/>
      <c r="LY48" s="211"/>
      <c r="LZ48" s="211"/>
      <c r="MA48" s="211"/>
      <c r="MB48" s="211"/>
      <c r="MC48" s="211"/>
      <c r="MD48" s="211"/>
      <c r="ME48" s="211"/>
      <c r="MF48" s="211"/>
      <c r="MG48" s="211"/>
      <c r="MH48" s="211"/>
      <c r="MI48" s="211"/>
      <c r="MJ48" s="211"/>
      <c r="MK48" s="211"/>
      <c r="ML48" s="211"/>
      <c r="MM48" s="211"/>
      <c r="MN48" s="211"/>
      <c r="MO48" s="211"/>
      <c r="MP48" s="211"/>
      <c r="MQ48" s="211"/>
      <c r="MR48" s="211"/>
      <c r="MS48" s="211"/>
      <c r="MT48" s="211"/>
      <c r="MU48" s="211"/>
      <c r="MV48" s="211"/>
      <c r="MW48" s="211"/>
      <c r="MX48" s="211"/>
      <c r="MY48" s="211"/>
      <c r="MZ48" s="211"/>
      <c r="NA48" s="211"/>
      <c r="NB48" s="211"/>
      <c r="NC48" s="211"/>
      <c r="ND48" s="211"/>
      <c r="NE48" s="211"/>
      <c r="NF48" s="211"/>
      <c r="NG48" s="211"/>
      <c r="NH48" s="211"/>
      <c r="NI48" s="211"/>
      <c r="NJ48" s="211"/>
      <c r="NK48" s="211"/>
      <c r="NL48" s="211"/>
      <c r="NM48" s="211"/>
      <c r="NN48" s="211"/>
      <c r="NO48" s="211"/>
      <c r="NP48" s="211"/>
      <c r="NQ48" s="211"/>
      <c r="NR48" s="211"/>
      <c r="NS48" s="211"/>
      <c r="NT48" s="211"/>
      <c r="NU48" s="211"/>
      <c r="NV48" s="211"/>
      <c r="NW48" s="211"/>
      <c r="NX48" s="211"/>
      <c r="NY48" s="211"/>
      <c r="NZ48" s="211"/>
      <c r="OA48" s="211"/>
      <c r="OB48" s="211"/>
      <c r="OC48" s="211"/>
      <c r="OD48" s="211"/>
      <c r="OE48" s="211"/>
      <c r="OF48" s="211"/>
      <c r="OG48" s="211"/>
      <c r="OH48" s="211"/>
      <c r="OI48" s="211"/>
      <c r="OJ48" s="211"/>
      <c r="OK48" s="211"/>
      <c r="OL48" s="211"/>
      <c r="OM48" s="211"/>
      <c r="ON48" s="211"/>
      <c r="OO48" s="211"/>
      <c r="OP48" s="211"/>
      <c r="OQ48" s="211"/>
      <c r="OR48" s="211"/>
      <c r="OS48" s="211"/>
      <c r="OT48" s="211"/>
      <c r="OU48" s="211"/>
      <c r="OV48" s="211"/>
      <c r="OW48" s="211"/>
      <c r="OX48" s="211"/>
      <c r="OY48" s="211"/>
      <c r="OZ48" s="211"/>
      <c r="PA48" s="211"/>
      <c r="PB48" s="211"/>
      <c r="PC48" s="211"/>
      <c r="PD48" s="211"/>
      <c r="PE48" s="211"/>
      <c r="PF48" s="211"/>
      <c r="PG48" s="211"/>
      <c r="PH48" s="211"/>
      <c r="PI48" s="211"/>
      <c r="PJ48" s="211"/>
      <c r="PK48" s="211"/>
      <c r="PL48" s="211"/>
      <c r="PM48" s="211"/>
      <c r="PN48" s="211"/>
      <c r="PO48" s="211"/>
      <c r="PQ48" s="201"/>
      <c r="PR48" s="201"/>
      <c r="PS48" s="201"/>
      <c r="PT48" s="201"/>
      <c r="PU48" s="201"/>
      <c r="PV48" s="201"/>
      <c r="PW48" s="201"/>
      <c r="PX48" s="201"/>
      <c r="PY48" s="201"/>
      <c r="PZ48" s="201"/>
      <c r="QA48" s="201"/>
      <c r="QB48" s="201"/>
      <c r="QC48" s="201"/>
      <c r="QD48" s="201"/>
      <c r="QE48" s="201"/>
      <c r="QF48" s="201"/>
      <c r="QG48" s="201"/>
      <c r="QH48" s="201"/>
      <c r="QI48" s="201"/>
      <c r="QJ48" s="201"/>
      <c r="QK48" s="201"/>
      <c r="QL48" s="201"/>
      <c r="QM48" s="201"/>
      <c r="QN48" s="201"/>
      <c r="QO48" s="201"/>
      <c r="QP48" s="201"/>
      <c r="QQ48" s="201"/>
      <c r="QR48" s="201"/>
      <c r="QS48" s="201"/>
      <c r="QT48" s="201"/>
      <c r="QU48" s="201"/>
      <c r="QV48" s="201"/>
      <c r="QW48" s="201"/>
      <c r="QX48" s="201"/>
      <c r="QY48" s="201"/>
      <c r="QZ48" s="201"/>
      <c r="RA48" s="201"/>
      <c r="RB48" s="201"/>
      <c r="RC48" s="201"/>
      <c r="RD48" s="201"/>
      <c r="RE48" s="201"/>
      <c r="RF48" s="201"/>
      <c r="RG48" s="201"/>
      <c r="RH48" s="201"/>
      <c r="RI48" s="201"/>
      <c r="RJ48" s="201"/>
      <c r="RK48" s="201"/>
      <c r="RL48" s="201"/>
      <c r="RM48" s="201"/>
      <c r="RN48" s="201"/>
      <c r="RO48" s="201"/>
      <c r="RP48" s="201"/>
      <c r="RQ48" s="201"/>
      <c r="RR48" s="201"/>
      <c r="RS48" s="201"/>
      <c r="RT48" s="201"/>
      <c r="RU48" s="201"/>
      <c r="RV48" s="201"/>
      <c r="RW48" s="201"/>
      <c r="RX48" s="201"/>
      <c r="RY48" s="201"/>
      <c r="RZ48" s="201"/>
      <c r="SA48" s="201"/>
      <c r="SB48" s="201"/>
      <c r="SC48" s="201"/>
      <c r="SD48" s="201"/>
      <c r="SE48" s="201"/>
      <c r="SF48" s="201"/>
      <c r="SG48" s="201"/>
      <c r="SH48" s="201"/>
      <c r="SI48" s="201"/>
      <c r="SJ48" s="201"/>
      <c r="SK48" s="201"/>
      <c r="SL48" s="201"/>
      <c r="SM48" s="201"/>
      <c r="SN48" s="201"/>
      <c r="SO48" s="201"/>
      <c r="SP48" s="201"/>
      <c r="SQ48" s="201"/>
      <c r="SR48" s="201"/>
      <c r="SS48" s="201"/>
      <c r="ST48" s="201"/>
      <c r="SU48" s="201"/>
      <c r="SV48" s="201"/>
      <c r="SW48" s="201"/>
      <c r="SX48" s="201"/>
      <c r="SY48" s="201"/>
      <c r="SZ48" s="201"/>
      <c r="TA48" s="201"/>
      <c r="TB48" s="201"/>
      <c r="TC48" s="201"/>
      <c r="TD48" s="201"/>
      <c r="TE48" s="201"/>
      <c r="TF48" s="201"/>
      <c r="TG48" s="201"/>
      <c r="TH48" s="201"/>
      <c r="TI48" s="201"/>
      <c r="TJ48" s="201"/>
      <c r="TK48" s="201"/>
      <c r="TL48" s="201"/>
      <c r="TM48" s="201"/>
      <c r="TN48" s="201"/>
      <c r="TO48" s="201"/>
      <c r="TP48" s="201"/>
      <c r="TQ48" s="201"/>
      <c r="TR48" s="201"/>
      <c r="TS48" s="201"/>
      <c r="TT48" s="201"/>
      <c r="TU48" s="201"/>
      <c r="TV48" s="201"/>
      <c r="TW48" s="201"/>
      <c r="TX48" s="201"/>
      <c r="TY48" s="201"/>
      <c r="TZ48" s="201"/>
      <c r="UA48" s="201"/>
      <c r="UB48" s="201"/>
      <c r="UC48" s="201"/>
      <c r="UD48" s="201"/>
      <c r="UE48" s="201"/>
      <c r="UF48" s="201"/>
      <c r="UG48" s="201"/>
      <c r="UH48" s="201"/>
      <c r="UI48" s="201"/>
      <c r="UJ48" s="201"/>
      <c r="UK48" s="201"/>
      <c r="UL48" s="201"/>
      <c r="UM48" s="201"/>
      <c r="UN48" s="201"/>
      <c r="UO48" s="201"/>
      <c r="UP48" s="201"/>
      <c r="UQ48" s="201"/>
      <c r="UR48" s="201"/>
      <c r="US48" s="201"/>
      <c r="UT48" s="201"/>
      <c r="UU48" s="201"/>
    </row>
    <row r="49" spans="2:567" x14ac:dyDescent="0.25">
      <c r="B49" s="47" t="s">
        <v>231</v>
      </c>
      <c r="C49" s="48"/>
      <c r="D49" s="48"/>
      <c r="E49" s="49">
        <f>MIN(E44,E35,E28)</f>
        <v>0</v>
      </c>
      <c r="F49" s="49">
        <f>MAX(F44,F35,F28)</f>
        <v>18</v>
      </c>
      <c r="G49" s="32"/>
      <c r="H49" s="49"/>
      <c r="I49" s="50">
        <f>+I46+I48</f>
        <v>271.41299603174605</v>
      </c>
      <c r="J49" s="51">
        <f>+J46+J48</f>
        <v>227986.91666666666</v>
      </c>
      <c r="K49" s="51">
        <f>SUM(K46:K48)</f>
        <v>69127325</v>
      </c>
      <c r="L49" s="9"/>
      <c r="R49" s="90" t="str">
        <f>IF(ROUND(SUM(S49:EU49),0)=ROUND(K49,0),"Total Costs - OK","ERROR")</f>
        <v>Total Costs - OK</v>
      </c>
      <c r="S49" s="95">
        <f t="shared" ref="S49:CD49" si="553">SUM(S46:S48)</f>
        <v>63992023.958333336</v>
      </c>
      <c r="T49" s="95">
        <f t="shared" si="553"/>
        <v>223273.95833333331</v>
      </c>
      <c r="U49" s="95">
        <f t="shared" si="553"/>
        <v>223273.95833333331</v>
      </c>
      <c r="V49" s="95">
        <f t="shared" si="553"/>
        <v>223273.9583333332</v>
      </c>
      <c r="W49" s="95">
        <f t="shared" si="553"/>
        <v>223273.9583333334</v>
      </c>
      <c r="X49" s="95">
        <f t="shared" si="553"/>
        <v>223273.9583333332</v>
      </c>
      <c r="Y49" s="95">
        <f t="shared" si="553"/>
        <v>223273.9583333334</v>
      </c>
      <c r="Z49" s="95">
        <f t="shared" si="553"/>
        <v>223273.95833333308</v>
      </c>
      <c r="AA49" s="95">
        <f t="shared" si="553"/>
        <v>223273.9583333334</v>
      </c>
      <c r="AB49" s="95">
        <f t="shared" si="553"/>
        <v>223273.9583333334</v>
      </c>
      <c r="AC49" s="95">
        <f t="shared" si="553"/>
        <v>223273.95833333308</v>
      </c>
      <c r="AD49" s="95">
        <f t="shared" si="553"/>
        <v>223273.9583333334</v>
      </c>
      <c r="AE49" s="95">
        <f t="shared" si="553"/>
        <v>223273.95833333308</v>
      </c>
      <c r="AF49" s="95">
        <f t="shared" si="553"/>
        <v>223273.95833333363</v>
      </c>
      <c r="AG49" s="95">
        <f t="shared" si="553"/>
        <v>223273.95833333308</v>
      </c>
      <c r="AH49" s="95">
        <f t="shared" si="553"/>
        <v>223273.95833333308</v>
      </c>
      <c r="AI49" s="95">
        <f t="shared" si="553"/>
        <v>223273.95833333363</v>
      </c>
      <c r="AJ49" s="95">
        <f t="shared" si="553"/>
        <v>223273.95833333308</v>
      </c>
      <c r="AK49" s="95">
        <f t="shared" si="553"/>
        <v>223273.95833333308</v>
      </c>
      <c r="AL49" s="95">
        <f t="shared" si="553"/>
        <v>223273.95833333363</v>
      </c>
      <c r="AM49" s="95">
        <f t="shared" si="553"/>
        <v>223273.95833333308</v>
      </c>
      <c r="AN49" s="95">
        <f t="shared" si="553"/>
        <v>223273.95833333308</v>
      </c>
      <c r="AO49" s="95">
        <f t="shared" si="553"/>
        <v>223273.95833333363</v>
      </c>
      <c r="AP49" s="95">
        <f t="shared" si="553"/>
        <v>223273.95833333308</v>
      </c>
      <c r="AQ49" s="95">
        <f t="shared" si="553"/>
        <v>0</v>
      </c>
      <c r="AR49" s="95">
        <f t="shared" si="553"/>
        <v>0</v>
      </c>
      <c r="AS49" s="95">
        <f t="shared" si="553"/>
        <v>0</v>
      </c>
      <c r="AT49" s="95">
        <f t="shared" si="553"/>
        <v>0</v>
      </c>
      <c r="AU49" s="95">
        <f t="shared" si="553"/>
        <v>0</v>
      </c>
      <c r="AV49" s="95">
        <f t="shared" si="553"/>
        <v>0</v>
      </c>
      <c r="AW49" s="95">
        <f t="shared" si="553"/>
        <v>0</v>
      </c>
      <c r="AX49" s="95">
        <f t="shared" si="553"/>
        <v>0</v>
      </c>
      <c r="AY49" s="95">
        <f t="shared" si="553"/>
        <v>0</v>
      </c>
      <c r="AZ49" s="95">
        <f t="shared" si="553"/>
        <v>0</v>
      </c>
      <c r="BA49" s="95">
        <f t="shared" si="553"/>
        <v>0</v>
      </c>
      <c r="BB49" s="95">
        <f t="shared" si="553"/>
        <v>0</v>
      </c>
      <c r="BC49" s="95">
        <f t="shared" si="553"/>
        <v>0</v>
      </c>
      <c r="BD49" s="95">
        <f t="shared" si="553"/>
        <v>0</v>
      </c>
      <c r="BE49" s="95">
        <f t="shared" si="553"/>
        <v>0</v>
      </c>
      <c r="BF49" s="95">
        <f t="shared" si="553"/>
        <v>0</v>
      </c>
      <c r="BG49" s="95">
        <f t="shared" si="553"/>
        <v>0</v>
      </c>
      <c r="BH49" s="95">
        <f t="shared" si="553"/>
        <v>0</v>
      </c>
      <c r="BI49" s="95">
        <f t="shared" si="553"/>
        <v>0</v>
      </c>
      <c r="BJ49" s="95">
        <f t="shared" si="553"/>
        <v>0</v>
      </c>
      <c r="BK49" s="95">
        <f t="shared" si="553"/>
        <v>0</v>
      </c>
      <c r="BL49" s="95">
        <f t="shared" si="553"/>
        <v>0</v>
      </c>
      <c r="BM49" s="95">
        <f t="shared" si="553"/>
        <v>0</v>
      </c>
      <c r="BN49" s="95">
        <f t="shared" si="553"/>
        <v>0</v>
      </c>
      <c r="BO49" s="95">
        <f t="shared" si="553"/>
        <v>0</v>
      </c>
      <c r="BP49" s="95">
        <f t="shared" si="553"/>
        <v>0</v>
      </c>
      <c r="BQ49" s="95">
        <f t="shared" si="553"/>
        <v>0</v>
      </c>
      <c r="BR49" s="95">
        <f t="shared" si="553"/>
        <v>0</v>
      </c>
      <c r="BS49" s="95">
        <f t="shared" si="553"/>
        <v>0</v>
      </c>
      <c r="BT49" s="95">
        <f t="shared" si="553"/>
        <v>0</v>
      </c>
      <c r="BU49" s="95">
        <f t="shared" si="553"/>
        <v>0</v>
      </c>
      <c r="BV49" s="95">
        <f t="shared" si="553"/>
        <v>0</v>
      </c>
      <c r="BW49" s="95">
        <f t="shared" si="553"/>
        <v>0</v>
      </c>
      <c r="BX49" s="95">
        <f t="shared" si="553"/>
        <v>0</v>
      </c>
      <c r="BY49" s="95">
        <f t="shared" si="553"/>
        <v>0</v>
      </c>
      <c r="BZ49" s="95">
        <f t="shared" si="553"/>
        <v>0</v>
      </c>
      <c r="CA49" s="95">
        <f t="shared" si="553"/>
        <v>0</v>
      </c>
      <c r="CB49" s="95">
        <f t="shared" si="553"/>
        <v>0</v>
      </c>
      <c r="CC49" s="95">
        <f t="shared" si="553"/>
        <v>0</v>
      </c>
      <c r="CD49" s="95">
        <f t="shared" si="553"/>
        <v>0</v>
      </c>
      <c r="CE49" s="95">
        <f t="shared" ref="CE49:EP49" si="554">SUM(CE46:CE48)</f>
        <v>0</v>
      </c>
      <c r="CF49" s="95">
        <f t="shared" si="554"/>
        <v>0</v>
      </c>
      <c r="CG49" s="95">
        <f t="shared" si="554"/>
        <v>0</v>
      </c>
      <c r="CH49" s="95">
        <f t="shared" si="554"/>
        <v>0</v>
      </c>
      <c r="CI49" s="95">
        <f t="shared" si="554"/>
        <v>0</v>
      </c>
      <c r="CJ49" s="95">
        <f t="shared" si="554"/>
        <v>0</v>
      </c>
      <c r="CK49" s="95">
        <f t="shared" si="554"/>
        <v>0</v>
      </c>
      <c r="CL49" s="95">
        <f t="shared" si="554"/>
        <v>0</v>
      </c>
      <c r="CM49" s="95">
        <f t="shared" si="554"/>
        <v>0</v>
      </c>
      <c r="CN49" s="95">
        <f t="shared" si="554"/>
        <v>0</v>
      </c>
      <c r="CO49" s="95">
        <f t="shared" si="554"/>
        <v>0</v>
      </c>
      <c r="CP49" s="95">
        <f t="shared" si="554"/>
        <v>0</v>
      </c>
      <c r="CQ49" s="95">
        <f t="shared" si="554"/>
        <v>0</v>
      </c>
      <c r="CR49" s="95">
        <f t="shared" si="554"/>
        <v>0</v>
      </c>
      <c r="CS49" s="95">
        <f t="shared" si="554"/>
        <v>0</v>
      </c>
      <c r="CT49" s="95">
        <f t="shared" si="554"/>
        <v>0</v>
      </c>
      <c r="CU49" s="95">
        <f t="shared" si="554"/>
        <v>0</v>
      </c>
      <c r="CV49" s="95">
        <f t="shared" si="554"/>
        <v>0</v>
      </c>
      <c r="CW49" s="95">
        <f t="shared" si="554"/>
        <v>0</v>
      </c>
      <c r="CX49" s="95">
        <f t="shared" si="554"/>
        <v>0</v>
      </c>
      <c r="CY49" s="95">
        <f t="shared" si="554"/>
        <v>0</v>
      </c>
      <c r="CZ49" s="95">
        <f t="shared" si="554"/>
        <v>0</v>
      </c>
      <c r="DA49" s="95">
        <f t="shared" si="554"/>
        <v>0</v>
      </c>
      <c r="DB49" s="95">
        <f t="shared" si="554"/>
        <v>0</v>
      </c>
      <c r="DC49" s="95">
        <f t="shared" si="554"/>
        <v>0</v>
      </c>
      <c r="DD49" s="95">
        <f t="shared" si="554"/>
        <v>0</v>
      </c>
      <c r="DE49" s="95">
        <f t="shared" si="554"/>
        <v>0</v>
      </c>
      <c r="DF49" s="95">
        <f t="shared" si="554"/>
        <v>0</v>
      </c>
      <c r="DG49" s="95">
        <f t="shared" si="554"/>
        <v>0</v>
      </c>
      <c r="DH49" s="95">
        <f t="shared" si="554"/>
        <v>0</v>
      </c>
      <c r="DI49" s="95">
        <f t="shared" si="554"/>
        <v>0</v>
      </c>
      <c r="DJ49" s="95">
        <f t="shared" si="554"/>
        <v>0</v>
      </c>
      <c r="DK49" s="95">
        <f t="shared" si="554"/>
        <v>0</v>
      </c>
      <c r="DL49" s="95">
        <f t="shared" si="554"/>
        <v>0</v>
      </c>
      <c r="DM49" s="95">
        <f t="shared" si="554"/>
        <v>0</v>
      </c>
      <c r="DN49" s="95">
        <f t="shared" si="554"/>
        <v>0</v>
      </c>
      <c r="DO49" s="95">
        <f t="shared" si="554"/>
        <v>0</v>
      </c>
      <c r="DP49" s="95">
        <f t="shared" si="554"/>
        <v>0</v>
      </c>
      <c r="DQ49" s="95">
        <f t="shared" si="554"/>
        <v>0</v>
      </c>
      <c r="DR49" s="95">
        <f t="shared" si="554"/>
        <v>0</v>
      </c>
      <c r="DS49" s="95">
        <f t="shared" si="554"/>
        <v>0</v>
      </c>
      <c r="DT49" s="95">
        <f t="shared" si="554"/>
        <v>0</v>
      </c>
      <c r="DU49" s="95">
        <f t="shared" si="554"/>
        <v>0</v>
      </c>
      <c r="DV49" s="95">
        <f t="shared" si="554"/>
        <v>0</v>
      </c>
      <c r="DW49" s="95">
        <f t="shared" si="554"/>
        <v>0</v>
      </c>
      <c r="DX49" s="95">
        <f t="shared" si="554"/>
        <v>0</v>
      </c>
      <c r="DY49" s="95">
        <f t="shared" si="554"/>
        <v>0</v>
      </c>
      <c r="DZ49" s="95">
        <f t="shared" si="554"/>
        <v>0</v>
      </c>
      <c r="EA49" s="95">
        <f t="shared" si="554"/>
        <v>0</v>
      </c>
      <c r="EB49" s="95">
        <f t="shared" si="554"/>
        <v>0</v>
      </c>
      <c r="EC49" s="95">
        <f t="shared" si="554"/>
        <v>0</v>
      </c>
      <c r="ED49" s="95">
        <f t="shared" si="554"/>
        <v>0</v>
      </c>
      <c r="EE49" s="95">
        <f t="shared" si="554"/>
        <v>0</v>
      </c>
      <c r="EF49" s="95">
        <f t="shared" si="554"/>
        <v>0</v>
      </c>
      <c r="EG49" s="95">
        <f t="shared" si="554"/>
        <v>0</v>
      </c>
      <c r="EH49" s="95">
        <f t="shared" si="554"/>
        <v>0</v>
      </c>
      <c r="EI49" s="95">
        <f t="shared" si="554"/>
        <v>0</v>
      </c>
      <c r="EJ49" s="95">
        <f t="shared" si="554"/>
        <v>0</v>
      </c>
      <c r="EK49" s="95">
        <f t="shared" si="554"/>
        <v>0</v>
      </c>
      <c r="EL49" s="95">
        <f t="shared" si="554"/>
        <v>0</v>
      </c>
      <c r="EM49" s="95">
        <f t="shared" si="554"/>
        <v>0</v>
      </c>
      <c r="EN49" s="95">
        <f t="shared" si="554"/>
        <v>0</v>
      </c>
      <c r="EO49" s="95">
        <f t="shared" si="554"/>
        <v>0</v>
      </c>
      <c r="EP49" s="95">
        <f t="shared" si="554"/>
        <v>0</v>
      </c>
      <c r="EQ49" s="95">
        <f t="shared" ref="EQ49:EU49" si="555">SUM(EQ46:EQ48)</f>
        <v>0</v>
      </c>
      <c r="ER49" s="95">
        <f t="shared" si="555"/>
        <v>0</v>
      </c>
      <c r="ES49" s="95">
        <f t="shared" si="555"/>
        <v>0</v>
      </c>
      <c r="ET49" s="95">
        <f t="shared" si="555"/>
        <v>0</v>
      </c>
      <c r="EU49" s="95">
        <f t="shared" si="555"/>
        <v>0</v>
      </c>
      <c r="FC49" s="199"/>
      <c r="FD49" s="199"/>
      <c r="FE49" s="199"/>
      <c r="FF49" s="199"/>
      <c r="FG49" s="199"/>
      <c r="FH49" s="199"/>
      <c r="FI49" s="199"/>
      <c r="FJ49" s="199"/>
      <c r="FK49" s="199"/>
      <c r="FL49" s="199"/>
      <c r="FM49" s="199"/>
      <c r="FN49" s="199"/>
      <c r="FO49" s="199"/>
      <c r="FP49" s="199"/>
      <c r="FQ49" s="199"/>
      <c r="FR49" s="199"/>
      <c r="FS49" s="199"/>
      <c r="FT49" s="199"/>
      <c r="FU49" s="199"/>
      <c r="FV49" s="199"/>
      <c r="FW49" s="199"/>
      <c r="FX49" s="199"/>
      <c r="FY49" s="199"/>
      <c r="FZ49" s="199"/>
      <c r="GA49" s="199"/>
      <c r="GB49" s="199"/>
      <c r="GC49" s="199"/>
      <c r="GD49" s="199"/>
      <c r="GE49" s="199"/>
      <c r="GF49" s="199"/>
      <c r="GG49" s="199"/>
      <c r="GH49" s="199"/>
      <c r="GI49" s="199"/>
      <c r="GJ49" s="199"/>
      <c r="GK49" s="199"/>
      <c r="GL49" s="199"/>
      <c r="GM49" s="199"/>
      <c r="GN49" s="199"/>
      <c r="GO49" s="199"/>
      <c r="GP49" s="199"/>
      <c r="GQ49" s="199"/>
      <c r="GR49" s="199"/>
      <c r="GS49" s="199"/>
      <c r="GT49" s="199"/>
      <c r="GU49" s="199"/>
      <c r="GV49" s="199"/>
      <c r="GW49" s="199"/>
      <c r="GX49" s="199"/>
      <c r="GY49" s="199"/>
      <c r="GZ49" s="199"/>
      <c r="HA49" s="199"/>
      <c r="HB49" s="199"/>
      <c r="HC49" s="199"/>
      <c r="HD49" s="199"/>
      <c r="HE49" s="199"/>
      <c r="HF49" s="199"/>
      <c r="HG49" s="199"/>
      <c r="HH49" s="199"/>
      <c r="HI49" s="199"/>
      <c r="HJ49" s="199"/>
      <c r="HK49" s="199"/>
      <c r="HL49" s="199"/>
      <c r="HM49" s="199"/>
      <c r="HN49" s="199"/>
      <c r="HO49" s="199"/>
      <c r="HP49" s="199"/>
      <c r="HQ49" s="199"/>
      <c r="HR49" s="199"/>
      <c r="HS49" s="199"/>
      <c r="HT49" s="199"/>
      <c r="HU49" s="199"/>
      <c r="HV49" s="199"/>
      <c r="HW49" s="199"/>
      <c r="HX49" s="199"/>
      <c r="HY49" s="199"/>
      <c r="HZ49" s="199"/>
      <c r="IA49" s="199"/>
      <c r="IB49" s="199"/>
      <c r="IC49" s="199"/>
      <c r="ID49" s="199"/>
      <c r="IE49" s="199"/>
      <c r="IF49" s="199"/>
      <c r="IG49" s="199"/>
      <c r="IH49" s="199"/>
      <c r="II49" s="199"/>
      <c r="IJ49" s="199"/>
      <c r="IK49" s="199"/>
      <c r="IL49" s="199"/>
      <c r="IM49" s="199"/>
      <c r="IN49" s="199"/>
      <c r="IO49" s="199"/>
      <c r="IP49" s="199"/>
      <c r="IQ49" s="199"/>
      <c r="IR49" s="199"/>
      <c r="IS49" s="199"/>
      <c r="IT49" s="199"/>
      <c r="IU49" s="199"/>
      <c r="IV49" s="199"/>
      <c r="IW49" s="199"/>
      <c r="IX49" s="199"/>
      <c r="IY49" s="199"/>
      <c r="IZ49" s="199"/>
      <c r="JA49" s="199"/>
      <c r="JB49" s="199"/>
      <c r="JC49" s="199"/>
      <c r="JD49" s="199"/>
      <c r="JE49" s="199"/>
      <c r="JF49" s="199"/>
      <c r="JG49" s="199"/>
      <c r="JH49" s="199"/>
      <c r="JI49" s="199"/>
      <c r="JJ49" s="199"/>
      <c r="JK49" s="199"/>
      <c r="JL49" s="199"/>
      <c r="JM49" s="199"/>
      <c r="JN49" s="199"/>
      <c r="JO49" s="199"/>
      <c r="JP49" s="199"/>
      <c r="JQ49" s="199"/>
      <c r="JR49" s="199"/>
      <c r="JS49" s="199"/>
      <c r="JT49" s="199"/>
      <c r="JU49" s="199"/>
      <c r="JV49" s="199"/>
      <c r="JW49" s="199"/>
      <c r="JX49" s="199"/>
      <c r="JY49" s="199"/>
      <c r="JZ49" s="199"/>
      <c r="KA49" s="199"/>
      <c r="KB49" s="199"/>
      <c r="KC49" s="199"/>
      <c r="KD49" s="199"/>
      <c r="KE49" s="199"/>
      <c r="PQ49" s="201"/>
      <c r="PR49" s="201"/>
      <c r="PS49" s="201"/>
      <c r="PT49" s="201"/>
      <c r="PU49" s="201"/>
      <c r="PV49" s="201"/>
      <c r="PW49" s="201"/>
      <c r="PX49" s="201"/>
      <c r="PY49" s="201"/>
      <c r="PZ49" s="201"/>
      <c r="QA49" s="201"/>
      <c r="QB49" s="201"/>
      <c r="QC49" s="201"/>
      <c r="QD49" s="201"/>
      <c r="QE49" s="201"/>
      <c r="QF49" s="201"/>
      <c r="QG49" s="201"/>
      <c r="QH49" s="201"/>
      <c r="QI49" s="201"/>
      <c r="QJ49" s="201"/>
      <c r="QK49" s="201"/>
      <c r="QL49" s="201"/>
      <c r="QM49" s="201"/>
      <c r="QN49" s="201"/>
      <c r="QO49" s="201"/>
      <c r="QP49" s="201"/>
      <c r="QQ49" s="201"/>
      <c r="QR49" s="201"/>
      <c r="QS49" s="201"/>
      <c r="QT49" s="201"/>
      <c r="QU49" s="201"/>
      <c r="QV49" s="201"/>
      <c r="QW49" s="201"/>
      <c r="QX49" s="201"/>
      <c r="QY49" s="201"/>
      <c r="QZ49" s="201"/>
      <c r="RA49" s="201"/>
      <c r="RB49" s="201"/>
      <c r="RC49" s="201"/>
      <c r="RD49" s="201"/>
      <c r="RE49" s="201"/>
      <c r="RF49" s="201"/>
      <c r="RG49" s="201"/>
      <c r="RH49" s="201"/>
      <c r="RI49" s="201"/>
      <c r="RJ49" s="201"/>
      <c r="RK49" s="201"/>
      <c r="RL49" s="201"/>
      <c r="RM49" s="201"/>
      <c r="RN49" s="201"/>
      <c r="RO49" s="201"/>
      <c r="RP49" s="201"/>
      <c r="RQ49" s="201"/>
      <c r="RR49" s="201"/>
      <c r="RS49" s="201"/>
      <c r="RT49" s="201"/>
      <c r="RU49" s="201"/>
      <c r="RV49" s="201"/>
      <c r="RW49" s="201"/>
      <c r="RX49" s="201"/>
      <c r="RY49" s="201"/>
      <c r="RZ49" s="201"/>
      <c r="SA49" s="201"/>
      <c r="SB49" s="201"/>
      <c r="SC49" s="201"/>
      <c r="SD49" s="201"/>
      <c r="SE49" s="201"/>
      <c r="SF49" s="201"/>
      <c r="SG49" s="201"/>
      <c r="SH49" s="201"/>
      <c r="SI49" s="201"/>
      <c r="SJ49" s="201"/>
      <c r="SK49" s="201"/>
      <c r="SL49" s="201"/>
      <c r="SM49" s="201"/>
      <c r="SN49" s="201"/>
      <c r="SO49" s="201"/>
      <c r="SP49" s="201"/>
      <c r="SQ49" s="201"/>
      <c r="SR49" s="201"/>
      <c r="SS49" s="201"/>
      <c r="ST49" s="201"/>
      <c r="SU49" s="201"/>
      <c r="SV49" s="201"/>
      <c r="SW49" s="201"/>
      <c r="SX49" s="201"/>
      <c r="SY49" s="201"/>
      <c r="SZ49" s="201"/>
      <c r="TA49" s="201"/>
      <c r="TB49" s="201"/>
      <c r="TC49" s="201"/>
      <c r="TD49" s="201"/>
      <c r="TE49" s="201"/>
      <c r="TF49" s="201"/>
      <c r="TG49" s="201"/>
      <c r="TH49" s="201"/>
      <c r="TI49" s="201"/>
      <c r="TJ49" s="201"/>
      <c r="TK49" s="201"/>
      <c r="TL49" s="201"/>
      <c r="TM49" s="201"/>
      <c r="TN49" s="201"/>
      <c r="TO49" s="201"/>
      <c r="TP49" s="201"/>
      <c r="TQ49" s="201"/>
      <c r="TR49" s="201"/>
      <c r="TS49" s="201"/>
      <c r="TT49" s="201"/>
      <c r="TU49" s="201"/>
      <c r="TV49" s="201"/>
      <c r="TW49" s="201"/>
      <c r="TX49" s="201"/>
      <c r="TY49" s="201"/>
      <c r="TZ49" s="201"/>
      <c r="UA49" s="201"/>
      <c r="UB49" s="201"/>
      <c r="UC49" s="201"/>
      <c r="UD49" s="201"/>
      <c r="UE49" s="201"/>
      <c r="UF49" s="201"/>
      <c r="UG49" s="201"/>
      <c r="UH49" s="201"/>
      <c r="UI49" s="201"/>
      <c r="UJ49" s="201"/>
      <c r="UK49" s="201"/>
      <c r="UL49" s="201"/>
      <c r="UM49" s="201"/>
      <c r="UN49" s="201"/>
      <c r="UO49" s="201"/>
      <c r="UP49" s="201"/>
      <c r="UQ49" s="201"/>
      <c r="UR49" s="201"/>
      <c r="US49" s="201"/>
      <c r="UT49" s="201"/>
      <c r="UU49" s="201"/>
    </row>
    <row r="50" spans="2:567" ht="5.0999999999999996" customHeight="1" x14ac:dyDescent="0.25">
      <c r="B50" s="16"/>
      <c r="C50" s="17"/>
      <c r="D50" s="17"/>
      <c r="E50" s="17"/>
      <c r="F50" s="17"/>
      <c r="G50" s="17"/>
      <c r="H50" s="17"/>
      <c r="I50" s="17"/>
      <c r="J50" s="191"/>
      <c r="K50" s="191"/>
      <c r="L50" s="17"/>
      <c r="M50" s="596"/>
      <c r="N50" s="596"/>
      <c r="O50" s="596"/>
      <c r="P50" s="596"/>
      <c r="Q50" s="596"/>
      <c r="R50" s="261"/>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62"/>
      <c r="DT50" s="262"/>
      <c r="DU50" s="262"/>
      <c r="DV50" s="262"/>
      <c r="DW50" s="262"/>
      <c r="DX50" s="262"/>
      <c r="DY50" s="262"/>
      <c r="DZ50" s="262"/>
      <c r="EA50" s="262"/>
      <c r="EB50" s="262"/>
      <c r="EC50" s="262"/>
      <c r="ED50" s="262"/>
      <c r="EE50" s="262"/>
      <c r="EF50" s="262"/>
      <c r="EG50" s="262"/>
      <c r="EH50" s="262"/>
      <c r="EI50" s="262"/>
      <c r="EJ50" s="262"/>
      <c r="EK50" s="262"/>
      <c r="EL50" s="262"/>
      <c r="EM50" s="262"/>
      <c r="EN50" s="262"/>
      <c r="EO50" s="262"/>
      <c r="EP50" s="262"/>
      <c r="EQ50" s="262"/>
      <c r="ER50" s="262"/>
      <c r="ES50" s="262"/>
      <c r="ET50" s="262"/>
      <c r="EU50" s="262"/>
      <c r="FC50" s="199"/>
      <c r="FD50" s="199"/>
      <c r="FE50" s="199"/>
      <c r="FF50" s="199"/>
      <c r="FG50" s="199"/>
      <c r="FH50" s="199"/>
      <c r="FI50" s="199"/>
      <c r="FJ50" s="199"/>
      <c r="FK50" s="199"/>
      <c r="FL50" s="199"/>
      <c r="FM50" s="199"/>
      <c r="FN50" s="199"/>
      <c r="FO50" s="199"/>
      <c r="FP50" s="199"/>
      <c r="FQ50" s="199"/>
      <c r="FR50" s="199"/>
      <c r="FS50" s="199"/>
      <c r="FT50" s="199"/>
      <c r="FU50" s="199"/>
      <c r="FV50" s="199"/>
      <c r="FW50" s="199"/>
      <c r="FX50" s="199"/>
      <c r="FY50" s="199"/>
      <c r="FZ50" s="199"/>
      <c r="GA50" s="199"/>
      <c r="GB50" s="199"/>
      <c r="GC50" s="199"/>
      <c r="GD50" s="199"/>
      <c r="GE50" s="199"/>
      <c r="GF50" s="199"/>
      <c r="GG50" s="199"/>
      <c r="GH50" s="199"/>
      <c r="GI50" s="199"/>
      <c r="GJ50" s="199"/>
      <c r="GK50" s="199"/>
      <c r="GL50" s="199"/>
      <c r="GM50" s="199"/>
      <c r="GN50" s="199"/>
      <c r="GO50" s="199"/>
      <c r="GP50" s="199"/>
      <c r="GQ50" s="199"/>
      <c r="GR50" s="199"/>
      <c r="GS50" s="199"/>
      <c r="GT50" s="199"/>
      <c r="GU50" s="199"/>
      <c r="GV50" s="199"/>
      <c r="GW50" s="199"/>
      <c r="GX50" s="199"/>
      <c r="GY50" s="199"/>
      <c r="GZ50" s="199"/>
      <c r="HA50" s="199"/>
      <c r="HB50" s="199"/>
      <c r="HC50" s="199"/>
      <c r="HD50" s="199"/>
      <c r="HE50" s="199"/>
      <c r="HF50" s="199"/>
      <c r="HG50" s="199"/>
      <c r="HH50" s="199"/>
      <c r="HI50" s="199"/>
      <c r="HJ50" s="199"/>
      <c r="HK50" s="199"/>
      <c r="HL50" s="199"/>
      <c r="HM50" s="199"/>
      <c r="HN50" s="199"/>
      <c r="HO50" s="199"/>
      <c r="HP50" s="199"/>
      <c r="HQ50" s="199"/>
      <c r="HR50" s="199"/>
      <c r="HS50" s="199"/>
      <c r="HT50" s="199"/>
      <c r="HU50" s="199"/>
      <c r="HV50" s="199"/>
      <c r="HW50" s="199"/>
      <c r="HX50" s="199"/>
      <c r="HY50" s="199"/>
      <c r="HZ50" s="199"/>
      <c r="IA50" s="199"/>
      <c r="IB50" s="199"/>
      <c r="IC50" s="199"/>
      <c r="ID50" s="199"/>
      <c r="IE50" s="199"/>
      <c r="IF50" s="199"/>
      <c r="IG50" s="199"/>
      <c r="IH50" s="199"/>
      <c r="II50" s="199"/>
      <c r="IJ50" s="199"/>
      <c r="IK50" s="199"/>
      <c r="IL50" s="199"/>
      <c r="IM50" s="199"/>
      <c r="IN50" s="199"/>
      <c r="IO50" s="199"/>
      <c r="IP50" s="199"/>
      <c r="IQ50" s="199"/>
      <c r="IR50" s="199"/>
      <c r="IS50" s="199"/>
      <c r="IT50" s="199"/>
      <c r="IU50" s="199"/>
      <c r="IV50" s="199"/>
      <c r="IW50" s="199"/>
      <c r="IX50" s="199"/>
      <c r="IY50" s="199"/>
      <c r="IZ50" s="199"/>
      <c r="JA50" s="199"/>
      <c r="JB50" s="199"/>
      <c r="JC50" s="199"/>
      <c r="JD50" s="199"/>
      <c r="JE50" s="199"/>
      <c r="JF50" s="199"/>
      <c r="JG50" s="199"/>
      <c r="JH50" s="199"/>
      <c r="JI50" s="199"/>
      <c r="JJ50" s="199"/>
      <c r="JK50" s="199"/>
      <c r="JL50" s="199"/>
      <c r="JM50" s="199"/>
      <c r="JN50" s="199"/>
      <c r="JO50" s="199"/>
      <c r="JP50" s="199"/>
      <c r="JQ50" s="199"/>
      <c r="JR50" s="199"/>
      <c r="JS50" s="199"/>
      <c r="JT50" s="199"/>
      <c r="JU50" s="199"/>
      <c r="JV50" s="199"/>
      <c r="JW50" s="199"/>
      <c r="JX50" s="199"/>
      <c r="JY50" s="199"/>
      <c r="JZ50" s="199"/>
      <c r="KA50" s="199"/>
      <c r="KB50" s="199"/>
      <c r="KC50" s="199"/>
      <c r="KD50" s="199"/>
      <c r="KE50" s="199"/>
      <c r="PQ50" s="201"/>
      <c r="PR50" s="201"/>
      <c r="PS50" s="201"/>
      <c r="PT50" s="201"/>
      <c r="PU50" s="201"/>
      <c r="PV50" s="201"/>
      <c r="PW50" s="201"/>
      <c r="PX50" s="201"/>
      <c r="PY50" s="201"/>
      <c r="PZ50" s="201"/>
      <c r="QA50" s="201"/>
      <c r="QB50" s="201"/>
      <c r="QC50" s="201"/>
      <c r="QD50" s="201"/>
      <c r="QE50" s="201"/>
      <c r="QF50" s="201"/>
      <c r="QG50" s="201"/>
      <c r="QH50" s="201"/>
      <c r="QI50" s="201"/>
      <c r="QJ50" s="201"/>
      <c r="QK50" s="201"/>
      <c r="QL50" s="201"/>
      <c r="QM50" s="201"/>
      <c r="QN50" s="201"/>
      <c r="QO50" s="201"/>
      <c r="QP50" s="201"/>
      <c r="QQ50" s="201"/>
      <c r="QR50" s="201"/>
      <c r="QS50" s="201"/>
      <c r="QT50" s="201"/>
      <c r="QU50" s="201"/>
      <c r="QV50" s="201"/>
      <c r="QW50" s="201"/>
      <c r="QX50" s="201"/>
      <c r="QY50" s="201"/>
      <c r="QZ50" s="201"/>
      <c r="RA50" s="201"/>
      <c r="RB50" s="201"/>
      <c r="RC50" s="201"/>
      <c r="RD50" s="201"/>
      <c r="RE50" s="201"/>
      <c r="RF50" s="201"/>
      <c r="RG50" s="201"/>
      <c r="RH50" s="201"/>
      <c r="RI50" s="201"/>
      <c r="RJ50" s="201"/>
      <c r="RK50" s="201"/>
      <c r="RL50" s="201"/>
      <c r="RM50" s="201"/>
      <c r="RN50" s="201"/>
      <c r="RO50" s="201"/>
      <c r="RP50" s="201"/>
      <c r="RQ50" s="201"/>
      <c r="RR50" s="201"/>
      <c r="RS50" s="201"/>
      <c r="RT50" s="201"/>
      <c r="RU50" s="201"/>
      <c r="RV50" s="201"/>
      <c r="RW50" s="201"/>
      <c r="RX50" s="201"/>
      <c r="RY50" s="201"/>
      <c r="RZ50" s="201"/>
      <c r="SA50" s="201"/>
      <c r="SB50" s="201"/>
      <c r="SC50" s="201"/>
      <c r="SD50" s="201"/>
      <c r="SE50" s="201"/>
      <c r="SF50" s="201"/>
      <c r="SG50" s="201"/>
      <c r="SH50" s="201"/>
      <c r="SI50" s="201"/>
      <c r="SJ50" s="201"/>
      <c r="SK50" s="201"/>
      <c r="SL50" s="201"/>
      <c r="SM50" s="201"/>
      <c r="SN50" s="201"/>
      <c r="SO50" s="201"/>
      <c r="SP50" s="201"/>
      <c r="SQ50" s="201"/>
      <c r="SR50" s="201"/>
      <c r="SS50" s="201"/>
      <c r="ST50" s="201"/>
      <c r="SU50" s="201"/>
      <c r="SV50" s="201"/>
      <c r="SW50" s="201"/>
      <c r="SX50" s="201"/>
      <c r="SY50" s="201"/>
      <c r="SZ50" s="201"/>
      <c r="TA50" s="201"/>
      <c r="TB50" s="201"/>
      <c r="TC50" s="201"/>
      <c r="TD50" s="201"/>
      <c r="TE50" s="201"/>
      <c r="TF50" s="201"/>
      <c r="TG50" s="201"/>
      <c r="TH50" s="201"/>
      <c r="TI50" s="201"/>
      <c r="TJ50" s="201"/>
      <c r="TK50" s="201"/>
      <c r="TL50" s="201"/>
      <c r="TM50" s="201"/>
      <c r="TN50" s="201"/>
      <c r="TO50" s="201"/>
      <c r="TP50" s="201"/>
      <c r="TQ50" s="201"/>
      <c r="TR50" s="201"/>
      <c r="TS50" s="201"/>
      <c r="TT50" s="201"/>
      <c r="TU50" s="201"/>
      <c r="TV50" s="201"/>
      <c r="TW50" s="201"/>
      <c r="TX50" s="201"/>
      <c r="TY50" s="201"/>
      <c r="TZ50" s="201"/>
      <c r="UA50" s="201"/>
      <c r="UB50" s="201"/>
      <c r="UC50" s="201"/>
      <c r="UD50" s="201"/>
      <c r="UE50" s="201"/>
      <c r="UF50" s="201"/>
      <c r="UG50" s="201"/>
      <c r="UH50" s="201"/>
      <c r="UI50" s="201"/>
      <c r="UJ50" s="201"/>
      <c r="UK50" s="201"/>
      <c r="UL50" s="201"/>
      <c r="UM50" s="201"/>
      <c r="UN50" s="201"/>
      <c r="UO50" s="201"/>
      <c r="UP50" s="201"/>
      <c r="UQ50" s="201"/>
      <c r="UR50" s="201"/>
      <c r="US50" s="201"/>
      <c r="UT50" s="201"/>
      <c r="UU50" s="201"/>
    </row>
    <row r="51" spans="2:567" x14ac:dyDescent="0.25">
      <c r="B51" s="16" t="s">
        <v>47</v>
      </c>
      <c r="C51" s="17"/>
      <c r="D51" s="17"/>
      <c r="E51" s="17"/>
      <c r="F51" s="17"/>
      <c r="G51" s="17"/>
      <c r="H51" s="17"/>
      <c r="I51" s="17"/>
      <c r="J51" s="191"/>
      <c r="K51" s="191"/>
      <c r="L51" s="17"/>
      <c r="M51" s="596"/>
      <c r="N51" s="596"/>
      <c r="O51" s="596"/>
      <c r="P51" s="596"/>
      <c r="Q51" s="596"/>
      <c r="R51" s="261"/>
      <c r="S51" s="262"/>
      <c r="T51" s="262"/>
      <c r="U51" s="262"/>
      <c r="V51" s="262"/>
      <c r="W51" s="262"/>
      <c r="X51" s="262"/>
      <c r="Y51" s="262"/>
      <c r="Z51" s="262"/>
      <c r="AA51" s="262"/>
      <c r="AB51" s="262"/>
      <c r="AC51" s="262"/>
      <c r="AD51" s="262"/>
      <c r="AE51" s="262"/>
      <c r="AF51" s="262"/>
      <c r="AG51" s="262"/>
      <c r="AH51" s="262"/>
      <c r="AI51" s="262"/>
      <c r="AJ51" s="262"/>
      <c r="AK51" s="262"/>
      <c r="AL51" s="262"/>
      <c r="AM51" s="262"/>
      <c r="AN51" s="262"/>
      <c r="AO51" s="262"/>
      <c r="AP51" s="262"/>
      <c r="AQ51" s="262"/>
      <c r="AR51" s="262"/>
      <c r="AS51" s="262"/>
      <c r="AT51" s="262"/>
      <c r="AU51" s="262"/>
      <c r="AV51" s="262"/>
      <c r="AW51" s="262"/>
      <c r="AX51" s="262"/>
      <c r="AY51" s="262"/>
      <c r="AZ51" s="262"/>
      <c r="BA51" s="262"/>
      <c r="BB51" s="262"/>
      <c r="BC51" s="262"/>
      <c r="BD51" s="262"/>
      <c r="BE51" s="262"/>
      <c r="BF51" s="262"/>
      <c r="BG51" s="262"/>
      <c r="BH51" s="262"/>
      <c r="BI51" s="262"/>
      <c r="BJ51" s="262"/>
      <c r="BK51" s="262"/>
      <c r="BL51" s="262"/>
      <c r="BM51" s="262"/>
      <c r="BN51" s="262"/>
      <c r="BO51" s="262"/>
      <c r="BP51" s="262"/>
      <c r="BQ51" s="262"/>
      <c r="BR51" s="262"/>
      <c r="BS51" s="262"/>
      <c r="BT51" s="262"/>
      <c r="BU51" s="262"/>
      <c r="BV51" s="262"/>
      <c r="BW51" s="262"/>
      <c r="BX51" s="262"/>
      <c r="BY51" s="262"/>
      <c r="BZ51" s="262"/>
      <c r="CA51" s="262"/>
      <c r="CB51" s="262"/>
      <c r="CC51" s="262"/>
      <c r="CD51" s="262"/>
      <c r="CE51" s="262"/>
      <c r="CF51" s="262"/>
      <c r="CG51" s="262"/>
      <c r="CH51" s="262"/>
      <c r="CI51" s="262"/>
      <c r="CJ51" s="262"/>
      <c r="CK51" s="262"/>
      <c r="CL51" s="262"/>
      <c r="CM51" s="262"/>
      <c r="CN51" s="262"/>
      <c r="CO51" s="262"/>
      <c r="CP51" s="262"/>
      <c r="CQ51" s="262"/>
      <c r="CR51" s="262"/>
      <c r="CS51" s="262"/>
      <c r="CT51" s="262"/>
      <c r="CU51" s="262"/>
      <c r="CV51" s="262"/>
      <c r="CW51" s="262"/>
      <c r="CX51" s="262"/>
      <c r="CY51" s="262"/>
      <c r="CZ51" s="262"/>
      <c r="DA51" s="262"/>
      <c r="DB51" s="262"/>
      <c r="DC51" s="262"/>
      <c r="DD51" s="262"/>
      <c r="DE51" s="262"/>
      <c r="DF51" s="262"/>
      <c r="DG51" s="262"/>
      <c r="DH51" s="262"/>
      <c r="DI51" s="262"/>
      <c r="DJ51" s="262"/>
      <c r="DK51" s="262"/>
      <c r="DL51" s="262"/>
      <c r="DM51" s="262"/>
      <c r="DN51" s="262"/>
      <c r="DO51" s="262"/>
      <c r="DP51" s="262"/>
      <c r="DQ51" s="262"/>
      <c r="DR51" s="262"/>
      <c r="DS51" s="262"/>
      <c r="DT51" s="262"/>
      <c r="DU51" s="262"/>
      <c r="DV51" s="262"/>
      <c r="DW51" s="262"/>
      <c r="DX51" s="262"/>
      <c r="DY51" s="262"/>
      <c r="DZ51" s="262"/>
      <c r="EA51" s="262"/>
      <c r="EB51" s="262"/>
      <c r="EC51" s="262"/>
      <c r="ED51" s="262"/>
      <c r="EE51" s="262"/>
      <c r="EF51" s="262"/>
      <c r="EG51" s="262"/>
      <c r="EH51" s="262"/>
      <c r="EI51" s="262"/>
      <c r="EJ51" s="262"/>
      <c r="EK51" s="262"/>
      <c r="EL51" s="262"/>
      <c r="EM51" s="262"/>
      <c r="EN51" s="262"/>
      <c r="EO51" s="262"/>
      <c r="EP51" s="262"/>
      <c r="EQ51" s="262"/>
      <c r="ER51" s="262"/>
      <c r="ES51" s="262"/>
      <c r="ET51" s="262"/>
      <c r="EU51" s="262"/>
      <c r="FC51" s="199"/>
      <c r="FD51" s="199"/>
      <c r="FE51" s="199"/>
      <c r="FF51" s="199"/>
      <c r="FG51" s="199"/>
      <c r="FH51" s="199"/>
      <c r="FI51" s="199"/>
      <c r="FJ51" s="199"/>
      <c r="FK51" s="199"/>
      <c r="FL51" s="199"/>
      <c r="FM51" s="199"/>
      <c r="FN51" s="199"/>
      <c r="FO51" s="199"/>
      <c r="FP51" s="199"/>
      <c r="FQ51" s="199"/>
      <c r="FR51" s="199"/>
      <c r="FS51" s="199"/>
      <c r="FT51" s="199"/>
      <c r="FU51" s="199"/>
      <c r="FV51" s="199"/>
      <c r="FW51" s="199"/>
      <c r="FX51" s="199"/>
      <c r="FY51" s="199"/>
      <c r="FZ51" s="199"/>
      <c r="GA51" s="199"/>
      <c r="GB51" s="199"/>
      <c r="GC51" s="199"/>
      <c r="GD51" s="199"/>
      <c r="GE51" s="199"/>
      <c r="GF51" s="199"/>
      <c r="GG51" s="199"/>
      <c r="GH51" s="199"/>
      <c r="GI51" s="199"/>
      <c r="GJ51" s="199"/>
      <c r="GK51" s="199"/>
      <c r="GL51" s="199"/>
      <c r="GM51" s="199"/>
      <c r="GN51" s="199"/>
      <c r="GO51" s="199"/>
      <c r="GP51" s="199"/>
      <c r="GQ51" s="199"/>
      <c r="GR51" s="199"/>
      <c r="GS51" s="199"/>
      <c r="GT51" s="199"/>
      <c r="GU51" s="199"/>
      <c r="GV51" s="199"/>
      <c r="GW51" s="199"/>
      <c r="GX51" s="199"/>
      <c r="GY51" s="199"/>
      <c r="GZ51" s="199"/>
      <c r="HA51" s="199"/>
      <c r="HB51" s="199"/>
      <c r="HC51" s="199"/>
      <c r="HD51" s="199"/>
      <c r="HE51" s="199"/>
      <c r="HF51" s="199"/>
      <c r="HG51" s="199"/>
      <c r="HH51" s="199"/>
      <c r="HI51" s="199"/>
      <c r="HJ51" s="199"/>
      <c r="HK51" s="199"/>
      <c r="HL51" s="199"/>
      <c r="HM51" s="199"/>
      <c r="HN51" s="199"/>
      <c r="HO51" s="199"/>
      <c r="HP51" s="199"/>
      <c r="HQ51" s="199"/>
      <c r="HR51" s="199"/>
      <c r="HS51" s="199"/>
      <c r="HT51" s="199"/>
      <c r="HU51" s="199"/>
      <c r="HV51" s="199"/>
      <c r="HW51" s="199"/>
      <c r="HX51" s="199"/>
      <c r="HY51" s="199"/>
      <c r="HZ51" s="199"/>
      <c r="IA51" s="199"/>
      <c r="IB51" s="199"/>
      <c r="IC51" s="199"/>
      <c r="ID51" s="199"/>
      <c r="IE51" s="199"/>
      <c r="IF51" s="199"/>
      <c r="IG51" s="199"/>
      <c r="IH51" s="199"/>
      <c r="II51" s="199"/>
      <c r="IJ51" s="199"/>
      <c r="IK51" s="199"/>
      <c r="IL51" s="199"/>
      <c r="IM51" s="199"/>
      <c r="IN51" s="199"/>
      <c r="IO51" s="199"/>
      <c r="IP51" s="199"/>
      <c r="IQ51" s="199"/>
      <c r="IR51" s="199"/>
      <c r="IS51" s="199"/>
      <c r="IT51" s="199"/>
      <c r="IU51" s="199"/>
      <c r="IV51" s="199"/>
      <c r="IW51" s="199"/>
      <c r="IX51" s="199"/>
      <c r="IY51" s="199"/>
      <c r="IZ51" s="199"/>
      <c r="JA51" s="199"/>
      <c r="JB51" s="199"/>
      <c r="JC51" s="199"/>
      <c r="JD51" s="199"/>
      <c r="JE51" s="199"/>
      <c r="JF51" s="199"/>
      <c r="JG51" s="199"/>
      <c r="JH51" s="199"/>
      <c r="JI51" s="199"/>
      <c r="JJ51" s="199"/>
      <c r="JK51" s="199"/>
      <c r="JL51" s="199"/>
      <c r="JM51" s="199"/>
      <c r="JN51" s="199"/>
      <c r="JO51" s="199"/>
      <c r="JP51" s="199"/>
      <c r="JQ51" s="199"/>
      <c r="JR51" s="199"/>
      <c r="JS51" s="199"/>
      <c r="JT51" s="199"/>
      <c r="JU51" s="199"/>
      <c r="JV51" s="199"/>
      <c r="JW51" s="199"/>
      <c r="JX51" s="199"/>
      <c r="JY51" s="199"/>
      <c r="JZ51" s="199"/>
      <c r="KA51" s="199"/>
      <c r="KB51" s="199"/>
      <c r="KC51" s="199"/>
      <c r="KD51" s="199"/>
      <c r="KE51" s="199"/>
      <c r="PQ51" s="201"/>
      <c r="PR51" s="201"/>
      <c r="PS51" s="201"/>
      <c r="PT51" s="201"/>
      <c r="PU51" s="201"/>
      <c r="PV51" s="201"/>
      <c r="PW51" s="201"/>
      <c r="PX51" s="201"/>
      <c r="PY51" s="201"/>
      <c r="PZ51" s="201"/>
      <c r="QA51" s="201"/>
      <c r="QB51" s="201"/>
      <c r="QC51" s="201"/>
      <c r="QD51" s="201"/>
      <c r="QE51" s="201"/>
      <c r="QF51" s="201"/>
      <c r="QG51" s="201"/>
      <c r="QH51" s="201"/>
      <c r="QI51" s="201"/>
      <c r="QJ51" s="201"/>
      <c r="QK51" s="201"/>
      <c r="QL51" s="201"/>
      <c r="QM51" s="201"/>
      <c r="QN51" s="201"/>
      <c r="QO51" s="201"/>
      <c r="QP51" s="201"/>
      <c r="QQ51" s="201"/>
      <c r="QR51" s="201"/>
      <c r="QS51" s="201"/>
      <c r="QT51" s="201"/>
      <c r="QU51" s="201"/>
      <c r="QV51" s="201"/>
      <c r="QW51" s="201"/>
      <c r="QX51" s="201"/>
      <c r="QY51" s="201"/>
      <c r="QZ51" s="201"/>
      <c r="RA51" s="201"/>
      <c r="RB51" s="201"/>
      <c r="RC51" s="201"/>
      <c r="RD51" s="201"/>
      <c r="RE51" s="201"/>
      <c r="RF51" s="201"/>
      <c r="RG51" s="201"/>
      <c r="RH51" s="201"/>
      <c r="RI51" s="201"/>
      <c r="RJ51" s="201"/>
      <c r="RK51" s="201"/>
      <c r="RL51" s="201"/>
      <c r="RM51" s="201"/>
      <c r="RN51" s="201"/>
      <c r="RO51" s="201"/>
      <c r="RP51" s="201"/>
      <c r="RQ51" s="201"/>
      <c r="RR51" s="201"/>
      <c r="RS51" s="201"/>
      <c r="RT51" s="201"/>
      <c r="RU51" s="201"/>
      <c r="RV51" s="201"/>
      <c r="RW51" s="201"/>
      <c r="RX51" s="201"/>
      <c r="RY51" s="201"/>
      <c r="RZ51" s="201"/>
      <c r="SA51" s="201"/>
      <c r="SB51" s="201"/>
      <c r="SC51" s="201"/>
      <c r="SD51" s="201"/>
      <c r="SE51" s="201"/>
      <c r="SF51" s="201"/>
      <c r="SG51" s="201"/>
      <c r="SH51" s="201"/>
      <c r="SI51" s="201"/>
      <c r="SJ51" s="201"/>
      <c r="SK51" s="201"/>
      <c r="SL51" s="201"/>
      <c r="SM51" s="201"/>
      <c r="SN51" s="201"/>
      <c r="SO51" s="201"/>
      <c r="SP51" s="201"/>
      <c r="SQ51" s="201"/>
      <c r="SR51" s="201"/>
      <c r="SS51" s="201"/>
      <c r="ST51" s="201"/>
      <c r="SU51" s="201"/>
      <c r="SV51" s="201"/>
      <c r="SW51" s="201"/>
      <c r="SX51" s="201"/>
      <c r="SY51" s="201"/>
      <c r="SZ51" s="201"/>
      <c r="TA51" s="201"/>
      <c r="TB51" s="201"/>
      <c r="TC51" s="201"/>
      <c r="TD51" s="201"/>
      <c r="TE51" s="201"/>
      <c r="TF51" s="201"/>
      <c r="TG51" s="201"/>
      <c r="TH51" s="201"/>
      <c r="TI51" s="201"/>
      <c r="TJ51" s="201"/>
      <c r="TK51" s="201"/>
      <c r="TL51" s="201"/>
      <c r="TM51" s="201"/>
      <c r="TN51" s="201"/>
      <c r="TO51" s="201"/>
      <c r="TP51" s="201"/>
      <c r="TQ51" s="201"/>
      <c r="TR51" s="201"/>
      <c r="TS51" s="201"/>
      <c r="TT51" s="201"/>
      <c r="TU51" s="201"/>
      <c r="TV51" s="201"/>
      <c r="TW51" s="201"/>
      <c r="TX51" s="201"/>
      <c r="TY51" s="201"/>
      <c r="TZ51" s="201"/>
      <c r="UA51" s="201"/>
      <c r="UB51" s="201"/>
      <c r="UC51" s="201"/>
      <c r="UD51" s="201"/>
      <c r="UE51" s="201"/>
      <c r="UF51" s="201"/>
      <c r="UG51" s="201"/>
      <c r="UH51" s="201"/>
      <c r="UI51" s="201"/>
      <c r="UJ51" s="201"/>
      <c r="UK51" s="201"/>
      <c r="UL51" s="201"/>
      <c r="UM51" s="201"/>
      <c r="UN51" s="201"/>
      <c r="UO51" s="201"/>
      <c r="UP51" s="201"/>
      <c r="UQ51" s="201"/>
      <c r="UR51" s="201"/>
      <c r="US51" s="201"/>
      <c r="UT51" s="201"/>
      <c r="UU51" s="201"/>
    </row>
    <row r="52" spans="2:567" x14ac:dyDescent="0.25">
      <c r="B52" s="28" t="s">
        <v>27</v>
      </c>
      <c r="C52" s="52"/>
      <c r="D52" s="52"/>
      <c r="E52" s="52"/>
      <c r="F52" s="52"/>
      <c r="G52" s="52"/>
      <c r="H52" s="45"/>
      <c r="I52" s="53" t="str">
        <f>I22</f>
        <v>/NRA</v>
      </c>
      <c r="J52" s="30" t="str">
        <f>J22</f>
        <v>/ UNIT</v>
      </c>
      <c r="K52" s="29" t="s">
        <v>31</v>
      </c>
      <c r="FC52" s="199"/>
      <c r="FD52" s="199"/>
      <c r="FE52" s="199"/>
      <c r="FF52" s="199"/>
      <c r="FG52" s="199"/>
      <c r="FH52" s="199"/>
      <c r="FI52" s="199"/>
      <c r="FJ52" s="199"/>
      <c r="FK52" s="199"/>
      <c r="FL52" s="199"/>
      <c r="FM52" s="199"/>
      <c r="FN52" s="199"/>
      <c r="FO52" s="199"/>
      <c r="FP52" s="199"/>
      <c r="FQ52" s="199"/>
      <c r="FR52" s="199"/>
      <c r="FS52" s="199"/>
      <c r="FT52" s="199"/>
      <c r="FU52" s="199"/>
      <c r="FV52" s="199"/>
      <c r="FW52" s="199"/>
      <c r="FX52" s="199"/>
      <c r="FY52" s="199"/>
      <c r="FZ52" s="199"/>
      <c r="GA52" s="199"/>
      <c r="GB52" s="199"/>
      <c r="GC52" s="199"/>
      <c r="GD52" s="199"/>
      <c r="GE52" s="199"/>
      <c r="GF52" s="199"/>
      <c r="GG52" s="199"/>
      <c r="GH52" s="199"/>
      <c r="GI52" s="199"/>
      <c r="GJ52" s="199"/>
      <c r="GK52" s="199"/>
      <c r="GL52" s="199"/>
      <c r="GM52" s="199"/>
      <c r="GN52" s="199"/>
      <c r="GO52" s="199"/>
      <c r="GP52" s="199"/>
      <c r="GQ52" s="199"/>
      <c r="GR52" s="199"/>
      <c r="GS52" s="199"/>
      <c r="GT52" s="199"/>
      <c r="GU52" s="199"/>
      <c r="GV52" s="199"/>
      <c r="GW52" s="199"/>
      <c r="GX52" s="199"/>
      <c r="GY52" s="199"/>
      <c r="GZ52" s="199"/>
      <c r="HA52" s="199"/>
      <c r="HB52" s="199"/>
      <c r="HC52" s="199"/>
      <c r="HD52" s="199"/>
      <c r="HE52" s="199"/>
      <c r="HF52" s="199"/>
      <c r="HG52" s="199"/>
      <c r="HH52" s="199"/>
      <c r="HI52" s="199"/>
      <c r="HJ52" s="199"/>
      <c r="HK52" s="199"/>
      <c r="HL52" s="199"/>
      <c r="HM52" s="199"/>
      <c r="HN52" s="199"/>
      <c r="HO52" s="199"/>
      <c r="HP52" s="199"/>
      <c r="HQ52" s="199"/>
      <c r="HR52" s="199"/>
      <c r="HS52" s="199"/>
      <c r="HT52" s="199"/>
      <c r="HU52" s="199"/>
      <c r="HV52" s="199"/>
      <c r="HW52" s="199"/>
      <c r="HX52" s="199"/>
      <c r="HY52" s="199"/>
      <c r="HZ52" s="199"/>
      <c r="IA52" s="199"/>
      <c r="IB52" s="199"/>
      <c r="IC52" s="199"/>
      <c r="ID52" s="199"/>
      <c r="IE52" s="199"/>
      <c r="IF52" s="199"/>
      <c r="IG52" s="199"/>
      <c r="IH52" s="199"/>
      <c r="II52" s="199"/>
      <c r="IJ52" s="199"/>
      <c r="IK52" s="199"/>
      <c r="IL52" s="199"/>
      <c r="IM52" s="199"/>
      <c r="IN52" s="199"/>
      <c r="IO52" s="199"/>
      <c r="IP52" s="199"/>
      <c r="IQ52" s="199"/>
      <c r="IR52" s="199"/>
      <c r="IS52" s="199"/>
      <c r="IT52" s="199"/>
      <c r="IU52" s="199"/>
      <c r="IV52" s="199"/>
      <c r="IW52" s="199"/>
      <c r="IX52" s="199"/>
      <c r="IY52" s="199"/>
      <c r="IZ52" s="199"/>
      <c r="JA52" s="199"/>
      <c r="JB52" s="199"/>
      <c r="JC52" s="199"/>
      <c r="JD52" s="199"/>
      <c r="JE52" s="199"/>
      <c r="JF52" s="199"/>
      <c r="JG52" s="199"/>
      <c r="JH52" s="199"/>
      <c r="JI52" s="199"/>
      <c r="JJ52" s="199"/>
      <c r="JK52" s="199"/>
      <c r="JL52" s="199"/>
      <c r="JM52" s="199"/>
      <c r="JN52" s="199"/>
      <c r="JO52" s="199"/>
      <c r="JP52" s="199"/>
      <c r="JQ52" s="199"/>
      <c r="JR52" s="199"/>
      <c r="JS52" s="199"/>
      <c r="JT52" s="199"/>
      <c r="JU52" s="199"/>
      <c r="JV52" s="199"/>
      <c r="JW52" s="199"/>
      <c r="JX52" s="199"/>
      <c r="JY52" s="199"/>
      <c r="JZ52" s="199"/>
      <c r="KA52" s="199"/>
      <c r="KB52" s="199"/>
      <c r="KC52" s="199"/>
      <c r="KD52" s="199"/>
      <c r="KE52" s="199"/>
      <c r="PQ52" s="201"/>
      <c r="PR52" s="201"/>
      <c r="PS52" s="201"/>
      <c r="PT52" s="201"/>
      <c r="PU52" s="201"/>
      <c r="PV52" s="201"/>
      <c r="PW52" s="201"/>
      <c r="PX52" s="201"/>
      <c r="PY52" s="201"/>
      <c r="PZ52" s="201"/>
      <c r="QA52" s="201"/>
      <c r="QB52" s="201"/>
      <c r="QC52" s="201"/>
      <c r="QD52" s="201"/>
      <c r="QE52" s="201"/>
      <c r="QF52" s="201"/>
      <c r="QG52" s="201"/>
      <c r="QH52" s="201"/>
      <c r="QI52" s="201"/>
      <c r="QJ52" s="201"/>
      <c r="QK52" s="201"/>
      <c r="QL52" s="201"/>
      <c r="QM52" s="201"/>
      <c r="QN52" s="201"/>
      <c r="QO52" s="201"/>
      <c r="QP52" s="201"/>
      <c r="QQ52" s="201"/>
      <c r="QR52" s="201"/>
      <c r="QS52" s="201"/>
      <c r="QT52" s="201"/>
      <c r="QU52" s="201"/>
      <c r="QV52" s="201"/>
      <c r="QW52" s="201"/>
      <c r="QX52" s="201"/>
      <c r="QY52" s="201"/>
      <c r="QZ52" s="201"/>
      <c r="RA52" s="201"/>
      <c r="RB52" s="201"/>
      <c r="RC52" s="201"/>
      <c r="RD52" s="201"/>
      <c r="RE52" s="201"/>
      <c r="RF52" s="201"/>
      <c r="RG52" s="201"/>
      <c r="RH52" s="201"/>
      <c r="RI52" s="201"/>
      <c r="RJ52" s="201"/>
      <c r="RK52" s="201"/>
      <c r="RL52" s="201"/>
      <c r="RM52" s="201"/>
      <c r="RN52" s="201"/>
      <c r="RO52" s="201"/>
      <c r="RP52" s="201"/>
      <c r="RQ52" s="201"/>
      <c r="RR52" s="201"/>
      <c r="RS52" s="201"/>
      <c r="RT52" s="201"/>
      <c r="RU52" s="201"/>
      <c r="RV52" s="201"/>
      <c r="RW52" s="201"/>
      <c r="RX52" s="201"/>
      <c r="RY52" s="201"/>
      <c r="RZ52" s="201"/>
      <c r="SA52" s="201"/>
      <c r="SB52" s="201"/>
      <c r="SC52" s="201"/>
      <c r="SD52" s="201"/>
      <c r="SE52" s="201"/>
      <c r="SF52" s="201"/>
      <c r="SG52" s="201"/>
      <c r="SH52" s="201"/>
      <c r="SI52" s="201"/>
      <c r="SJ52" s="201"/>
      <c r="SK52" s="201"/>
      <c r="SL52" s="201"/>
      <c r="SM52" s="201"/>
      <c r="SN52" s="201"/>
      <c r="SO52" s="201"/>
      <c r="SP52" s="201"/>
      <c r="SQ52" s="201"/>
      <c r="SR52" s="201"/>
      <c r="SS52" s="201"/>
      <c r="ST52" s="201"/>
      <c r="SU52" s="201"/>
      <c r="SV52" s="201"/>
      <c r="SW52" s="201"/>
      <c r="SX52" s="201"/>
      <c r="SY52" s="201"/>
      <c r="SZ52" s="201"/>
      <c r="TA52" s="201"/>
      <c r="TB52" s="201"/>
      <c r="TC52" s="201"/>
      <c r="TD52" s="201"/>
      <c r="TE52" s="201"/>
      <c r="TF52" s="201"/>
      <c r="TG52" s="201"/>
      <c r="TH52" s="201"/>
      <c r="TI52" s="201"/>
      <c r="TJ52" s="201"/>
      <c r="TK52" s="201"/>
      <c r="TL52" s="201"/>
      <c r="TM52" s="201"/>
      <c r="TN52" s="201"/>
      <c r="TO52" s="201"/>
      <c r="TP52" s="201"/>
      <c r="TQ52" s="201"/>
      <c r="TR52" s="201"/>
      <c r="TS52" s="201"/>
      <c r="TT52" s="201"/>
      <c r="TU52" s="201"/>
      <c r="TV52" s="201"/>
      <c r="TW52" s="201"/>
      <c r="TX52" s="201"/>
      <c r="TY52" s="201"/>
      <c r="TZ52" s="201"/>
      <c r="UA52" s="201"/>
      <c r="UB52" s="201"/>
      <c r="UC52" s="201"/>
      <c r="UD52" s="201"/>
      <c r="UE52" s="201"/>
      <c r="UF52" s="201"/>
      <c r="UG52" s="201"/>
      <c r="UH52" s="201"/>
      <c r="UI52" s="201"/>
      <c r="UJ52" s="201"/>
      <c r="UK52" s="201"/>
      <c r="UL52" s="201"/>
      <c r="UM52" s="201"/>
      <c r="UN52" s="201"/>
      <c r="UO52" s="201"/>
      <c r="UP52" s="201"/>
      <c r="UQ52" s="201"/>
      <c r="UR52" s="201"/>
      <c r="US52" s="201"/>
      <c r="UT52" s="201"/>
      <c r="UU52" s="201"/>
    </row>
    <row r="53" spans="2:567" x14ac:dyDescent="0.25">
      <c r="B53" s="54" t="s">
        <v>49</v>
      </c>
      <c r="C53" s="52"/>
      <c r="D53" s="52"/>
      <c r="E53" s="52"/>
      <c r="F53" s="52"/>
      <c r="G53" s="52"/>
      <c r="H53" s="45"/>
      <c r="I53" s="33">
        <f>K53/Units_SF</f>
        <v>249.25595238095238</v>
      </c>
      <c r="J53" s="34">
        <f>K53/Units</f>
        <v>209375</v>
      </c>
      <c r="K53" s="34">
        <f>K28</f>
        <v>62812500</v>
      </c>
      <c r="FC53" s="199"/>
      <c r="FD53" s="199"/>
      <c r="FE53" s="199"/>
      <c r="FF53" s="199"/>
      <c r="FG53" s="199"/>
      <c r="FH53" s="199"/>
      <c r="FI53" s="199"/>
      <c r="FJ53" s="199"/>
      <c r="FK53" s="199"/>
      <c r="FL53" s="199"/>
      <c r="FM53" s="199"/>
      <c r="FN53" s="199"/>
      <c r="FO53" s="199"/>
      <c r="FP53" s="199"/>
      <c r="FQ53" s="199"/>
      <c r="FR53" s="199"/>
      <c r="FS53" s="199"/>
      <c r="FT53" s="199"/>
      <c r="FU53" s="199"/>
      <c r="FV53" s="199"/>
      <c r="FW53" s="199"/>
      <c r="FX53" s="199"/>
      <c r="FY53" s="199"/>
      <c r="FZ53" s="199"/>
      <c r="GA53" s="199"/>
      <c r="GB53" s="199"/>
      <c r="GC53" s="199"/>
      <c r="GD53" s="199"/>
      <c r="GE53" s="199"/>
      <c r="GF53" s="199"/>
      <c r="GG53" s="199"/>
      <c r="GH53" s="199"/>
      <c r="GI53" s="199"/>
      <c r="GJ53" s="199"/>
      <c r="GK53" s="199"/>
      <c r="GL53" s="199"/>
      <c r="GM53" s="199"/>
      <c r="GN53" s="199"/>
      <c r="GO53" s="199"/>
      <c r="GP53" s="199"/>
      <c r="GQ53" s="199"/>
      <c r="GR53" s="199"/>
      <c r="GS53" s="199"/>
      <c r="GT53" s="199"/>
      <c r="GU53" s="199"/>
      <c r="GV53" s="199"/>
      <c r="GW53" s="199"/>
      <c r="GX53" s="199"/>
      <c r="GY53" s="199"/>
      <c r="GZ53" s="199"/>
      <c r="HA53" s="199"/>
      <c r="HB53" s="199"/>
      <c r="HC53" s="199"/>
      <c r="HD53" s="199"/>
      <c r="HE53" s="199"/>
      <c r="HF53" s="199"/>
      <c r="HG53" s="199"/>
      <c r="HH53" s="199"/>
      <c r="HI53" s="199"/>
      <c r="HJ53" s="199"/>
      <c r="HK53" s="199"/>
      <c r="HL53" s="199"/>
      <c r="HM53" s="199"/>
      <c r="HN53" s="199"/>
      <c r="HO53" s="199"/>
      <c r="HP53" s="199"/>
      <c r="HQ53" s="199"/>
      <c r="HR53" s="199"/>
      <c r="HS53" s="199"/>
      <c r="HT53" s="199"/>
      <c r="HU53" s="199"/>
      <c r="HV53" s="199"/>
      <c r="HW53" s="199"/>
      <c r="HX53" s="199"/>
      <c r="HY53" s="199"/>
      <c r="HZ53" s="199"/>
      <c r="IA53" s="199"/>
      <c r="IB53" s="199"/>
      <c r="IC53" s="199"/>
      <c r="ID53" s="199"/>
      <c r="IE53" s="199"/>
      <c r="IF53" s="199"/>
      <c r="IG53" s="199"/>
      <c r="IH53" s="199"/>
      <c r="II53" s="199"/>
      <c r="IJ53" s="199"/>
      <c r="IK53" s="199"/>
      <c r="IL53" s="199"/>
      <c r="IM53" s="199"/>
      <c r="IN53" s="199"/>
      <c r="IO53" s="199"/>
      <c r="IP53" s="199"/>
      <c r="IQ53" s="199"/>
      <c r="IR53" s="199"/>
      <c r="IS53" s="199"/>
      <c r="IT53" s="199"/>
      <c r="IU53" s="199"/>
      <c r="IV53" s="199"/>
      <c r="IW53" s="199"/>
      <c r="IX53" s="199"/>
      <c r="IY53" s="199"/>
      <c r="IZ53" s="199"/>
      <c r="JA53" s="199"/>
      <c r="JB53" s="199"/>
      <c r="JC53" s="199"/>
      <c r="JD53" s="199"/>
      <c r="JE53" s="199"/>
      <c r="JF53" s="199"/>
      <c r="JG53" s="199"/>
      <c r="JH53" s="199"/>
      <c r="JI53" s="199"/>
      <c r="JJ53" s="199"/>
      <c r="JK53" s="199"/>
      <c r="JL53" s="199"/>
      <c r="JM53" s="199"/>
      <c r="JN53" s="199"/>
      <c r="JO53" s="199"/>
      <c r="JP53" s="199"/>
      <c r="JQ53" s="199"/>
      <c r="JR53" s="199"/>
      <c r="JS53" s="199"/>
      <c r="JT53" s="199"/>
      <c r="JU53" s="199"/>
      <c r="JV53" s="199"/>
      <c r="JW53" s="199"/>
      <c r="JX53" s="199"/>
      <c r="JY53" s="199"/>
      <c r="JZ53" s="199"/>
      <c r="KA53" s="199"/>
      <c r="KB53" s="199"/>
      <c r="KC53" s="199"/>
      <c r="KD53" s="199"/>
      <c r="KE53" s="199"/>
      <c r="PQ53" s="201"/>
      <c r="PR53" s="201"/>
      <c r="PS53" s="201"/>
      <c r="PT53" s="201"/>
      <c r="PU53" s="201"/>
      <c r="PV53" s="201"/>
      <c r="PW53" s="201"/>
      <c r="PX53" s="201"/>
      <c r="PY53" s="201"/>
      <c r="PZ53" s="201"/>
      <c r="QA53" s="201"/>
      <c r="QB53" s="201"/>
      <c r="QC53" s="201"/>
      <c r="QD53" s="201"/>
      <c r="QE53" s="201"/>
      <c r="QF53" s="201"/>
      <c r="QG53" s="201"/>
      <c r="QH53" s="201"/>
      <c r="QI53" s="201"/>
      <c r="QJ53" s="201"/>
      <c r="QK53" s="201"/>
      <c r="QL53" s="201"/>
      <c r="QM53" s="201"/>
      <c r="QN53" s="201"/>
      <c r="QO53" s="201"/>
      <c r="QP53" s="201"/>
      <c r="QQ53" s="201"/>
      <c r="QR53" s="201"/>
      <c r="QS53" s="201"/>
      <c r="QT53" s="201"/>
      <c r="QU53" s="201"/>
      <c r="QV53" s="201"/>
      <c r="QW53" s="201"/>
      <c r="QX53" s="201"/>
      <c r="QY53" s="201"/>
      <c r="QZ53" s="201"/>
      <c r="RA53" s="201"/>
      <c r="RB53" s="201"/>
      <c r="RC53" s="201"/>
      <c r="RD53" s="201"/>
      <c r="RE53" s="201"/>
      <c r="RF53" s="201"/>
      <c r="RG53" s="201"/>
      <c r="RH53" s="201"/>
      <c r="RI53" s="201"/>
      <c r="RJ53" s="201"/>
      <c r="RK53" s="201"/>
      <c r="RL53" s="201"/>
      <c r="RM53" s="201"/>
      <c r="RN53" s="201"/>
      <c r="RO53" s="201"/>
      <c r="RP53" s="201"/>
      <c r="RQ53" s="201"/>
      <c r="RR53" s="201"/>
      <c r="RS53" s="201"/>
      <c r="RT53" s="201"/>
      <c r="RU53" s="201"/>
      <c r="RV53" s="201"/>
      <c r="RW53" s="201"/>
      <c r="RX53" s="201"/>
      <c r="RY53" s="201"/>
      <c r="RZ53" s="201"/>
      <c r="SA53" s="201"/>
      <c r="SB53" s="201"/>
      <c r="SC53" s="201"/>
      <c r="SD53" s="201"/>
      <c r="SE53" s="201"/>
      <c r="SF53" s="201"/>
      <c r="SG53" s="201"/>
      <c r="SH53" s="201"/>
      <c r="SI53" s="201"/>
      <c r="SJ53" s="201"/>
      <c r="SK53" s="201"/>
      <c r="SL53" s="201"/>
      <c r="SM53" s="201"/>
      <c r="SN53" s="201"/>
      <c r="SO53" s="201"/>
      <c r="SP53" s="201"/>
      <c r="SQ53" s="201"/>
      <c r="SR53" s="201"/>
      <c r="SS53" s="201"/>
      <c r="ST53" s="201"/>
      <c r="SU53" s="201"/>
      <c r="SV53" s="201"/>
      <c r="SW53" s="201"/>
      <c r="SX53" s="201"/>
      <c r="SY53" s="201"/>
      <c r="SZ53" s="201"/>
      <c r="TA53" s="201"/>
      <c r="TB53" s="201"/>
      <c r="TC53" s="201"/>
      <c r="TD53" s="201"/>
      <c r="TE53" s="201"/>
      <c r="TF53" s="201"/>
      <c r="TG53" s="201"/>
      <c r="TH53" s="201"/>
      <c r="TI53" s="201"/>
      <c r="TJ53" s="201"/>
      <c r="TK53" s="201"/>
      <c r="TL53" s="201"/>
      <c r="TM53" s="201"/>
      <c r="TN53" s="201"/>
      <c r="TO53" s="201"/>
      <c r="TP53" s="201"/>
      <c r="TQ53" s="201"/>
      <c r="TR53" s="201"/>
      <c r="TS53" s="201"/>
      <c r="TT53" s="201"/>
      <c r="TU53" s="201"/>
      <c r="TV53" s="201"/>
      <c r="TW53" s="201"/>
      <c r="TX53" s="201"/>
      <c r="TY53" s="201"/>
      <c r="TZ53" s="201"/>
      <c r="UA53" s="201"/>
      <c r="UB53" s="201"/>
      <c r="UC53" s="201"/>
      <c r="UD53" s="201"/>
      <c r="UE53" s="201"/>
      <c r="UF53" s="201"/>
      <c r="UG53" s="201"/>
      <c r="UH53" s="201"/>
      <c r="UI53" s="201"/>
      <c r="UJ53" s="201"/>
      <c r="UK53" s="201"/>
      <c r="UL53" s="201"/>
      <c r="UM53" s="201"/>
      <c r="UN53" s="201"/>
      <c r="UO53" s="201"/>
      <c r="UP53" s="201"/>
      <c r="UQ53" s="201"/>
      <c r="UR53" s="201"/>
      <c r="US53" s="201"/>
      <c r="UT53" s="201"/>
      <c r="UU53" s="201"/>
    </row>
    <row r="54" spans="2:567" x14ac:dyDescent="0.25">
      <c r="B54" s="44" t="s">
        <v>35</v>
      </c>
      <c r="C54" s="52"/>
      <c r="D54" s="52"/>
      <c r="E54" s="52"/>
      <c r="F54" s="52"/>
      <c r="G54" s="52"/>
      <c r="H54" s="45"/>
      <c r="I54" s="33">
        <f>K54/Units_SF</f>
        <v>17.857142857142858</v>
      </c>
      <c r="J54" s="34">
        <f>K54/Units</f>
        <v>15000</v>
      </c>
      <c r="K54" s="34">
        <f>+K35</f>
        <v>4500000</v>
      </c>
      <c r="FC54" s="199"/>
      <c r="FD54" s="199"/>
      <c r="FE54" s="199"/>
      <c r="FF54" s="199"/>
      <c r="FG54" s="199"/>
      <c r="FH54" s="199"/>
      <c r="FI54" s="199"/>
      <c r="FJ54" s="199"/>
      <c r="FK54" s="199"/>
      <c r="FL54" s="199"/>
      <c r="FM54" s="199"/>
      <c r="FN54" s="199"/>
      <c r="FO54" s="199"/>
      <c r="FP54" s="199"/>
      <c r="FQ54" s="199"/>
      <c r="FR54" s="199"/>
      <c r="FS54" s="199"/>
      <c r="FT54" s="199"/>
      <c r="FU54" s="199"/>
      <c r="FV54" s="199"/>
      <c r="FW54" s="199"/>
      <c r="FX54" s="199"/>
      <c r="FY54" s="199"/>
      <c r="FZ54" s="199"/>
      <c r="GA54" s="199"/>
      <c r="GB54" s="199"/>
      <c r="GC54" s="199"/>
      <c r="GD54" s="199"/>
      <c r="GE54" s="199"/>
      <c r="GF54" s="199"/>
      <c r="GG54" s="199"/>
      <c r="GH54" s="199"/>
      <c r="GI54" s="199"/>
      <c r="GJ54" s="199"/>
      <c r="GK54" s="199"/>
      <c r="GL54" s="199"/>
      <c r="GM54" s="199"/>
      <c r="GN54" s="199"/>
      <c r="GO54" s="199"/>
      <c r="GP54" s="199"/>
      <c r="GQ54" s="199"/>
      <c r="GR54" s="199"/>
      <c r="GS54" s="199"/>
      <c r="GT54" s="199"/>
      <c r="GU54" s="199"/>
      <c r="GV54" s="199"/>
      <c r="GW54" s="199"/>
      <c r="GX54" s="199"/>
      <c r="GY54" s="199"/>
      <c r="GZ54" s="199"/>
      <c r="HA54" s="199"/>
      <c r="HB54" s="199"/>
      <c r="HC54" s="199"/>
      <c r="HD54" s="199"/>
      <c r="HE54" s="199"/>
      <c r="HF54" s="199"/>
      <c r="HG54" s="199"/>
      <c r="HH54" s="199"/>
      <c r="HI54" s="199"/>
      <c r="HJ54" s="199"/>
      <c r="HK54" s="199"/>
      <c r="HL54" s="199"/>
      <c r="HM54" s="199"/>
      <c r="HN54" s="199"/>
      <c r="HO54" s="199"/>
      <c r="HP54" s="199"/>
      <c r="HQ54" s="199"/>
      <c r="HR54" s="199"/>
      <c r="HS54" s="199"/>
      <c r="HT54" s="199"/>
      <c r="HU54" s="199"/>
      <c r="HV54" s="199"/>
      <c r="HW54" s="199"/>
      <c r="HX54" s="199"/>
      <c r="HY54" s="199"/>
      <c r="HZ54" s="199"/>
      <c r="IA54" s="199"/>
      <c r="IB54" s="199"/>
      <c r="IC54" s="199"/>
      <c r="ID54" s="199"/>
      <c r="IE54" s="199"/>
      <c r="IF54" s="199"/>
      <c r="IG54" s="199"/>
      <c r="IH54" s="199"/>
      <c r="II54" s="199"/>
      <c r="IJ54" s="199"/>
      <c r="IK54" s="199"/>
      <c r="IL54" s="199"/>
      <c r="IM54" s="199"/>
      <c r="IN54" s="199"/>
      <c r="IO54" s="199"/>
      <c r="IP54" s="199"/>
      <c r="IQ54" s="199"/>
      <c r="IR54" s="199"/>
      <c r="IS54" s="199"/>
      <c r="IT54" s="199"/>
      <c r="IU54" s="199"/>
      <c r="IV54" s="199"/>
      <c r="IW54" s="199"/>
      <c r="IX54" s="199"/>
      <c r="IY54" s="199"/>
      <c r="IZ54" s="199"/>
      <c r="JA54" s="199"/>
      <c r="JB54" s="199"/>
      <c r="JC54" s="199"/>
      <c r="JD54" s="199"/>
      <c r="JE54" s="199"/>
      <c r="JF54" s="199"/>
      <c r="JG54" s="199"/>
      <c r="JH54" s="199"/>
      <c r="JI54" s="199"/>
      <c r="JJ54" s="199"/>
      <c r="JK54" s="199"/>
      <c r="JL54" s="199"/>
      <c r="JM54" s="199"/>
      <c r="JN54" s="199"/>
      <c r="JO54" s="199"/>
      <c r="JP54" s="199"/>
      <c r="JQ54" s="199"/>
      <c r="JR54" s="199"/>
      <c r="JS54" s="199"/>
      <c r="JT54" s="199"/>
      <c r="JU54" s="199"/>
      <c r="JV54" s="199"/>
      <c r="JW54" s="199"/>
      <c r="JX54" s="199"/>
      <c r="JY54" s="199"/>
      <c r="JZ54" s="199"/>
      <c r="KA54" s="199"/>
      <c r="KB54" s="199"/>
      <c r="KC54" s="199"/>
      <c r="KD54" s="199"/>
      <c r="KE54" s="199"/>
      <c r="PQ54" s="201"/>
      <c r="PR54" s="201"/>
      <c r="PS54" s="201"/>
      <c r="PT54" s="201"/>
      <c r="PU54" s="201"/>
      <c r="PV54" s="201"/>
      <c r="PW54" s="201"/>
      <c r="PX54" s="201"/>
      <c r="PY54" s="201"/>
      <c r="PZ54" s="201"/>
      <c r="QA54" s="201"/>
      <c r="QB54" s="201"/>
      <c r="QC54" s="201"/>
      <c r="QD54" s="201"/>
      <c r="QE54" s="201"/>
      <c r="QF54" s="201"/>
      <c r="QG54" s="201"/>
      <c r="QH54" s="201"/>
      <c r="QI54" s="201"/>
      <c r="QJ54" s="201"/>
      <c r="QK54" s="201"/>
      <c r="QL54" s="201"/>
      <c r="QM54" s="201"/>
      <c r="QN54" s="201"/>
      <c r="QO54" s="201"/>
      <c r="QP54" s="201"/>
      <c r="QQ54" s="201"/>
      <c r="QR54" s="201"/>
      <c r="QS54" s="201"/>
      <c r="QT54" s="201"/>
      <c r="QU54" s="201"/>
      <c r="QV54" s="201"/>
      <c r="QW54" s="201"/>
      <c r="QX54" s="201"/>
      <c r="QY54" s="201"/>
      <c r="QZ54" s="201"/>
      <c r="RA54" s="201"/>
      <c r="RB54" s="201"/>
      <c r="RC54" s="201"/>
      <c r="RD54" s="201"/>
      <c r="RE54" s="201"/>
      <c r="RF54" s="201"/>
      <c r="RG54" s="201"/>
      <c r="RH54" s="201"/>
      <c r="RI54" s="201"/>
      <c r="RJ54" s="201"/>
      <c r="RK54" s="201"/>
      <c r="RL54" s="201"/>
      <c r="RM54" s="201"/>
      <c r="RN54" s="201"/>
      <c r="RO54" s="201"/>
      <c r="RP54" s="201"/>
      <c r="RQ54" s="201"/>
      <c r="RR54" s="201"/>
      <c r="RS54" s="201"/>
      <c r="RT54" s="201"/>
      <c r="RU54" s="201"/>
      <c r="RV54" s="201"/>
      <c r="RW54" s="201"/>
      <c r="RX54" s="201"/>
      <c r="RY54" s="201"/>
      <c r="RZ54" s="201"/>
      <c r="SA54" s="201"/>
      <c r="SB54" s="201"/>
      <c r="SC54" s="201"/>
      <c r="SD54" s="201"/>
      <c r="SE54" s="201"/>
      <c r="SF54" s="201"/>
      <c r="SG54" s="201"/>
      <c r="SH54" s="201"/>
      <c r="SI54" s="201"/>
      <c r="SJ54" s="201"/>
      <c r="SK54" s="201"/>
      <c r="SL54" s="201"/>
      <c r="SM54" s="201"/>
      <c r="SN54" s="201"/>
      <c r="SO54" s="201"/>
      <c r="SP54" s="201"/>
      <c r="SQ54" s="201"/>
      <c r="SR54" s="201"/>
      <c r="SS54" s="201"/>
      <c r="ST54" s="201"/>
      <c r="SU54" s="201"/>
      <c r="SV54" s="201"/>
      <c r="SW54" s="201"/>
      <c r="SX54" s="201"/>
      <c r="SY54" s="201"/>
      <c r="SZ54" s="201"/>
      <c r="TA54" s="201"/>
      <c r="TB54" s="201"/>
      <c r="TC54" s="201"/>
      <c r="TD54" s="201"/>
      <c r="TE54" s="201"/>
      <c r="TF54" s="201"/>
      <c r="TG54" s="201"/>
      <c r="TH54" s="201"/>
      <c r="TI54" s="201"/>
      <c r="TJ54" s="201"/>
      <c r="TK54" s="201"/>
      <c r="TL54" s="201"/>
      <c r="TM54" s="201"/>
      <c r="TN54" s="201"/>
      <c r="TO54" s="201"/>
      <c r="TP54" s="201"/>
      <c r="TQ54" s="201"/>
      <c r="TR54" s="201"/>
      <c r="TS54" s="201"/>
      <c r="TT54" s="201"/>
      <c r="TU54" s="201"/>
      <c r="TV54" s="201"/>
      <c r="TW54" s="201"/>
      <c r="TX54" s="201"/>
      <c r="TY54" s="201"/>
      <c r="TZ54" s="201"/>
      <c r="UA54" s="201"/>
      <c r="UB54" s="201"/>
      <c r="UC54" s="201"/>
      <c r="UD54" s="201"/>
      <c r="UE54" s="201"/>
      <c r="UF54" s="201"/>
      <c r="UG54" s="201"/>
      <c r="UH54" s="201"/>
      <c r="UI54" s="201"/>
      <c r="UJ54" s="201"/>
      <c r="UK54" s="201"/>
      <c r="UL54" s="201"/>
      <c r="UM54" s="201"/>
      <c r="UN54" s="201"/>
      <c r="UO54" s="201"/>
      <c r="UP54" s="201"/>
      <c r="UQ54" s="201"/>
      <c r="UR54" s="201"/>
      <c r="US54" s="201"/>
      <c r="UT54" s="201"/>
      <c r="UU54" s="201"/>
    </row>
    <row r="55" spans="2:567" x14ac:dyDescent="0.25">
      <c r="B55" s="54" t="s">
        <v>37</v>
      </c>
      <c r="C55" s="52"/>
      <c r="D55" s="52"/>
      <c r="E55" s="52"/>
      <c r="F55" s="52"/>
      <c r="G55" s="52"/>
      <c r="H55" s="45"/>
      <c r="I55" s="33">
        <f>K55/Units_SF</f>
        <v>3.4070436507936508</v>
      </c>
      <c r="J55" s="34">
        <f>K55/Units</f>
        <v>2861.9166666666665</v>
      </c>
      <c r="K55" s="34">
        <f>+K44</f>
        <v>858575</v>
      </c>
      <c r="FC55" s="199"/>
      <c r="FD55" s="199"/>
      <c r="FE55" s="199"/>
      <c r="FF55" s="199"/>
      <c r="FG55" s="199"/>
      <c r="FH55" s="199"/>
      <c r="FI55" s="199"/>
      <c r="FJ55" s="199"/>
      <c r="FK55" s="199"/>
      <c r="FL55" s="199"/>
      <c r="FM55" s="199"/>
      <c r="FN55" s="199"/>
      <c r="FO55" s="199"/>
      <c r="FP55" s="199"/>
      <c r="FQ55" s="199"/>
      <c r="FR55" s="199"/>
      <c r="FS55" s="199"/>
      <c r="FT55" s="199"/>
      <c r="FU55" s="199"/>
      <c r="FV55" s="199"/>
      <c r="FW55" s="199"/>
      <c r="FX55" s="199"/>
      <c r="FY55" s="199"/>
      <c r="FZ55" s="199"/>
      <c r="GA55" s="199"/>
      <c r="GB55" s="199"/>
      <c r="GC55" s="199"/>
      <c r="GD55" s="199"/>
      <c r="GE55" s="199"/>
      <c r="GF55" s="199"/>
      <c r="GG55" s="199"/>
      <c r="GH55" s="199"/>
      <c r="GI55" s="199"/>
      <c r="GJ55" s="199"/>
      <c r="GK55" s="199"/>
      <c r="GL55" s="199"/>
      <c r="GM55" s="199"/>
      <c r="GN55" s="199"/>
      <c r="GO55" s="199"/>
      <c r="GP55" s="199"/>
      <c r="GQ55" s="199"/>
      <c r="GR55" s="199"/>
      <c r="GS55" s="199"/>
      <c r="GT55" s="199"/>
      <c r="GU55" s="199"/>
      <c r="GV55" s="199"/>
      <c r="GW55" s="199"/>
      <c r="GX55" s="199"/>
      <c r="GY55" s="199"/>
      <c r="GZ55" s="199"/>
      <c r="HA55" s="199"/>
      <c r="HB55" s="199"/>
      <c r="HC55" s="199"/>
      <c r="HD55" s="199"/>
      <c r="HE55" s="199"/>
      <c r="HF55" s="199"/>
      <c r="HG55" s="199"/>
      <c r="HH55" s="199"/>
      <c r="HI55" s="199"/>
      <c r="HJ55" s="199"/>
      <c r="HK55" s="199"/>
      <c r="HL55" s="199"/>
      <c r="HM55" s="199"/>
      <c r="HN55" s="199"/>
      <c r="HO55" s="199"/>
      <c r="HP55" s="199"/>
      <c r="HQ55" s="199"/>
      <c r="HR55" s="199"/>
      <c r="HS55" s="199"/>
      <c r="HT55" s="199"/>
      <c r="HU55" s="199"/>
      <c r="HV55" s="199"/>
      <c r="HW55" s="199"/>
      <c r="HX55" s="199"/>
      <c r="HY55" s="199"/>
      <c r="HZ55" s="199"/>
      <c r="IA55" s="199"/>
      <c r="IB55" s="199"/>
      <c r="IC55" s="199"/>
      <c r="ID55" s="199"/>
      <c r="IE55" s="199"/>
      <c r="IF55" s="199"/>
      <c r="IG55" s="199"/>
      <c r="IH55" s="199"/>
      <c r="II55" s="199"/>
      <c r="IJ55" s="199"/>
      <c r="IK55" s="199"/>
      <c r="IL55" s="199"/>
      <c r="IM55" s="199"/>
      <c r="IN55" s="199"/>
      <c r="IO55" s="199"/>
      <c r="IP55" s="199"/>
      <c r="IQ55" s="199"/>
      <c r="IR55" s="199"/>
      <c r="IS55" s="199"/>
      <c r="IT55" s="199"/>
      <c r="IU55" s="199"/>
      <c r="IV55" s="199"/>
      <c r="IW55" s="199"/>
      <c r="IX55" s="199"/>
      <c r="IY55" s="199"/>
      <c r="IZ55" s="199"/>
      <c r="JA55" s="199"/>
      <c r="JB55" s="199"/>
      <c r="JC55" s="199"/>
      <c r="JD55" s="199"/>
      <c r="JE55" s="199"/>
      <c r="JF55" s="199"/>
      <c r="JG55" s="199"/>
      <c r="JH55" s="199"/>
      <c r="JI55" s="199"/>
      <c r="JJ55" s="199"/>
      <c r="JK55" s="199"/>
      <c r="JL55" s="199"/>
      <c r="JM55" s="199"/>
      <c r="JN55" s="199"/>
      <c r="JO55" s="199"/>
      <c r="JP55" s="199"/>
      <c r="JQ55" s="199"/>
      <c r="JR55" s="199"/>
      <c r="JS55" s="199"/>
      <c r="JT55" s="199"/>
      <c r="JU55" s="199"/>
      <c r="JV55" s="199"/>
      <c r="JW55" s="199"/>
      <c r="JX55" s="199"/>
      <c r="JY55" s="199"/>
      <c r="JZ55" s="199"/>
      <c r="KA55" s="199"/>
      <c r="KB55" s="199"/>
      <c r="KC55" s="199"/>
      <c r="KD55" s="199"/>
      <c r="KE55" s="199"/>
      <c r="PQ55" s="201"/>
      <c r="PR55" s="201"/>
      <c r="PS55" s="201"/>
      <c r="PT55" s="201"/>
      <c r="PU55" s="201"/>
      <c r="PV55" s="201"/>
      <c r="PW55" s="201"/>
      <c r="PX55" s="201"/>
      <c r="PY55" s="201"/>
      <c r="PZ55" s="201"/>
      <c r="QA55" s="201"/>
      <c r="QB55" s="201"/>
      <c r="QC55" s="201"/>
      <c r="QD55" s="201"/>
      <c r="QE55" s="201"/>
      <c r="QF55" s="201"/>
      <c r="QG55" s="201"/>
      <c r="QH55" s="201"/>
      <c r="QI55" s="201"/>
      <c r="QJ55" s="201"/>
      <c r="QK55" s="201"/>
      <c r="QL55" s="201"/>
      <c r="QM55" s="201"/>
      <c r="QN55" s="201"/>
      <c r="QO55" s="201"/>
      <c r="QP55" s="201"/>
      <c r="QQ55" s="201"/>
      <c r="QR55" s="201"/>
      <c r="QS55" s="201"/>
      <c r="QT55" s="201"/>
      <c r="QU55" s="201"/>
      <c r="QV55" s="201"/>
      <c r="QW55" s="201"/>
      <c r="QX55" s="201"/>
      <c r="QY55" s="201"/>
      <c r="QZ55" s="201"/>
      <c r="RA55" s="201"/>
      <c r="RB55" s="201"/>
      <c r="RC55" s="201"/>
      <c r="RD55" s="201"/>
      <c r="RE55" s="201"/>
      <c r="RF55" s="201"/>
      <c r="RG55" s="201"/>
      <c r="RH55" s="201"/>
      <c r="RI55" s="201"/>
      <c r="RJ55" s="201"/>
      <c r="RK55" s="201"/>
      <c r="RL55" s="201"/>
      <c r="RM55" s="201"/>
      <c r="RN55" s="201"/>
      <c r="RO55" s="201"/>
      <c r="RP55" s="201"/>
      <c r="RQ55" s="201"/>
      <c r="RR55" s="201"/>
      <c r="RS55" s="201"/>
      <c r="RT55" s="201"/>
      <c r="RU55" s="201"/>
      <c r="RV55" s="201"/>
      <c r="RW55" s="201"/>
      <c r="RX55" s="201"/>
      <c r="RY55" s="201"/>
      <c r="RZ55" s="201"/>
      <c r="SA55" s="201"/>
      <c r="SB55" s="201"/>
      <c r="SC55" s="201"/>
      <c r="SD55" s="201"/>
      <c r="SE55" s="201"/>
      <c r="SF55" s="201"/>
      <c r="SG55" s="201"/>
      <c r="SH55" s="201"/>
      <c r="SI55" s="201"/>
      <c r="SJ55" s="201"/>
      <c r="SK55" s="201"/>
      <c r="SL55" s="201"/>
      <c r="SM55" s="201"/>
      <c r="SN55" s="201"/>
      <c r="SO55" s="201"/>
      <c r="SP55" s="201"/>
      <c r="SQ55" s="201"/>
      <c r="SR55" s="201"/>
      <c r="SS55" s="201"/>
      <c r="ST55" s="201"/>
      <c r="SU55" s="201"/>
      <c r="SV55" s="201"/>
      <c r="SW55" s="201"/>
      <c r="SX55" s="201"/>
      <c r="SY55" s="201"/>
      <c r="SZ55" s="201"/>
      <c r="TA55" s="201"/>
      <c r="TB55" s="201"/>
      <c r="TC55" s="201"/>
      <c r="TD55" s="201"/>
      <c r="TE55" s="201"/>
      <c r="TF55" s="201"/>
      <c r="TG55" s="201"/>
      <c r="TH55" s="201"/>
      <c r="TI55" s="201"/>
      <c r="TJ55" s="201"/>
      <c r="TK55" s="201"/>
      <c r="TL55" s="201"/>
      <c r="TM55" s="201"/>
      <c r="TN55" s="201"/>
      <c r="TO55" s="201"/>
      <c r="TP55" s="201"/>
      <c r="TQ55" s="201"/>
      <c r="TR55" s="201"/>
      <c r="TS55" s="201"/>
      <c r="TT55" s="201"/>
      <c r="TU55" s="201"/>
      <c r="TV55" s="201"/>
      <c r="TW55" s="201"/>
      <c r="TX55" s="201"/>
      <c r="TY55" s="201"/>
      <c r="TZ55" s="201"/>
      <c r="UA55" s="201"/>
      <c r="UB55" s="201"/>
      <c r="UC55" s="201"/>
      <c r="UD55" s="201"/>
      <c r="UE55" s="201"/>
      <c r="UF55" s="201"/>
      <c r="UG55" s="201"/>
      <c r="UH55" s="201"/>
      <c r="UI55" s="201"/>
      <c r="UJ55" s="201"/>
      <c r="UK55" s="201"/>
      <c r="UL55" s="201"/>
      <c r="UM55" s="201"/>
      <c r="UN55" s="201"/>
      <c r="UO55" s="201"/>
      <c r="UP55" s="201"/>
      <c r="UQ55" s="201"/>
      <c r="UR55" s="201"/>
      <c r="US55" s="201"/>
      <c r="UT55" s="201"/>
      <c r="UU55" s="201"/>
    </row>
    <row r="56" spans="2:567" x14ac:dyDescent="0.25">
      <c r="B56" s="54" t="s">
        <v>688</v>
      </c>
      <c r="C56" s="52"/>
      <c r="D56" s="52"/>
      <c r="E56" s="52"/>
      <c r="F56" s="52"/>
      <c r="G56" s="52"/>
      <c r="H56" s="45"/>
      <c r="I56" s="33">
        <f>K56/Units_SF</f>
        <v>2.9017857142857144</v>
      </c>
      <c r="J56" s="34">
        <f>K56/Units</f>
        <v>2437.5</v>
      </c>
      <c r="K56" s="34">
        <f>K47</f>
        <v>731250</v>
      </c>
      <c r="FC56" s="199"/>
      <c r="FD56" s="199"/>
      <c r="FE56" s="199"/>
      <c r="FF56" s="199"/>
      <c r="FG56" s="199"/>
      <c r="FH56" s="199"/>
      <c r="FI56" s="199"/>
      <c r="FJ56" s="199"/>
      <c r="FK56" s="199"/>
      <c r="FL56" s="199"/>
      <c r="FM56" s="199"/>
      <c r="FN56" s="199"/>
      <c r="FO56" s="199"/>
      <c r="FP56" s="199"/>
      <c r="FQ56" s="199"/>
      <c r="FR56" s="199"/>
      <c r="FS56" s="199"/>
      <c r="FT56" s="199"/>
      <c r="FU56" s="199"/>
      <c r="FV56" s="199"/>
      <c r="FW56" s="199"/>
      <c r="FX56" s="199"/>
      <c r="FY56" s="199"/>
      <c r="FZ56" s="199"/>
      <c r="GA56" s="199"/>
      <c r="GB56" s="199"/>
      <c r="GC56" s="199"/>
      <c r="GD56" s="199"/>
      <c r="GE56" s="199"/>
      <c r="GF56" s="199"/>
      <c r="GG56" s="199"/>
      <c r="GH56" s="199"/>
      <c r="GI56" s="199"/>
      <c r="GJ56" s="199"/>
      <c r="GK56" s="199"/>
      <c r="GL56" s="199"/>
      <c r="GM56" s="199"/>
      <c r="GN56" s="199"/>
      <c r="GO56" s="199"/>
      <c r="GP56" s="199"/>
      <c r="GQ56" s="199"/>
      <c r="GR56" s="199"/>
      <c r="GS56" s="199"/>
      <c r="GT56" s="199"/>
      <c r="GU56" s="199"/>
      <c r="GV56" s="199"/>
      <c r="GW56" s="199"/>
      <c r="GX56" s="199"/>
      <c r="GY56" s="199"/>
      <c r="GZ56" s="199"/>
      <c r="HA56" s="199"/>
      <c r="HB56" s="199"/>
      <c r="HC56" s="199"/>
      <c r="HD56" s="199"/>
      <c r="HE56" s="199"/>
      <c r="HF56" s="199"/>
      <c r="HG56" s="199"/>
      <c r="HH56" s="199"/>
      <c r="HI56" s="199"/>
      <c r="HJ56" s="199"/>
      <c r="HK56" s="199"/>
      <c r="HL56" s="199"/>
      <c r="HM56" s="199"/>
      <c r="HN56" s="199"/>
      <c r="HO56" s="199"/>
      <c r="HP56" s="199"/>
      <c r="HQ56" s="199"/>
      <c r="HR56" s="199"/>
      <c r="HS56" s="199"/>
      <c r="HT56" s="199"/>
      <c r="HU56" s="199"/>
      <c r="HV56" s="199"/>
      <c r="HW56" s="199"/>
      <c r="HX56" s="199"/>
      <c r="HY56" s="199"/>
      <c r="HZ56" s="199"/>
      <c r="IA56" s="199"/>
      <c r="IB56" s="199"/>
      <c r="IC56" s="199"/>
      <c r="ID56" s="199"/>
      <c r="IE56" s="199"/>
      <c r="IF56" s="199"/>
      <c r="IG56" s="199"/>
      <c r="IH56" s="199"/>
      <c r="II56" s="199"/>
      <c r="IJ56" s="199"/>
      <c r="IK56" s="199"/>
      <c r="IL56" s="199"/>
      <c r="IM56" s="199"/>
      <c r="IN56" s="199"/>
      <c r="IO56" s="199"/>
      <c r="IP56" s="199"/>
      <c r="IQ56" s="199"/>
      <c r="IR56" s="199"/>
      <c r="IS56" s="199"/>
      <c r="IT56" s="199"/>
      <c r="IU56" s="199"/>
      <c r="IV56" s="199"/>
      <c r="IW56" s="199"/>
      <c r="IX56" s="199"/>
      <c r="IY56" s="199"/>
      <c r="IZ56" s="199"/>
      <c r="JA56" s="199"/>
      <c r="JB56" s="199"/>
      <c r="JC56" s="199"/>
      <c r="JD56" s="199"/>
      <c r="JE56" s="199"/>
      <c r="JF56" s="199"/>
      <c r="JG56" s="199"/>
      <c r="JH56" s="199"/>
      <c r="JI56" s="199"/>
      <c r="JJ56" s="199"/>
      <c r="JK56" s="199"/>
      <c r="JL56" s="199"/>
      <c r="JM56" s="199"/>
      <c r="JN56" s="199"/>
      <c r="JO56" s="199"/>
      <c r="JP56" s="199"/>
      <c r="JQ56" s="199"/>
      <c r="JR56" s="199"/>
      <c r="JS56" s="199"/>
      <c r="JT56" s="199"/>
      <c r="JU56" s="199"/>
      <c r="JV56" s="199"/>
      <c r="JW56" s="199"/>
      <c r="JX56" s="199"/>
      <c r="JY56" s="199"/>
      <c r="JZ56" s="199"/>
      <c r="KA56" s="199"/>
      <c r="KB56" s="199"/>
      <c r="KC56" s="199"/>
      <c r="KD56" s="199"/>
      <c r="KE56" s="199"/>
      <c r="PQ56" s="201"/>
      <c r="PR56" s="201"/>
      <c r="PS56" s="201"/>
      <c r="PT56" s="201"/>
      <c r="PU56" s="201"/>
      <c r="PV56" s="201"/>
      <c r="PW56" s="201"/>
      <c r="PX56" s="201"/>
      <c r="PY56" s="201"/>
      <c r="PZ56" s="201"/>
      <c r="QA56" s="201"/>
      <c r="QB56" s="201"/>
      <c r="QC56" s="201"/>
      <c r="QD56" s="201"/>
      <c r="QE56" s="201"/>
      <c r="QF56" s="201"/>
      <c r="QG56" s="201"/>
      <c r="QH56" s="201"/>
      <c r="QI56" s="201"/>
      <c r="QJ56" s="201"/>
      <c r="QK56" s="201"/>
      <c r="QL56" s="201"/>
      <c r="QM56" s="201"/>
      <c r="QN56" s="201"/>
      <c r="QO56" s="201"/>
      <c r="QP56" s="201"/>
      <c r="QQ56" s="201"/>
      <c r="QR56" s="201"/>
      <c r="QS56" s="201"/>
      <c r="QT56" s="201"/>
      <c r="QU56" s="201"/>
      <c r="QV56" s="201"/>
      <c r="QW56" s="201"/>
      <c r="QX56" s="201"/>
      <c r="QY56" s="201"/>
      <c r="QZ56" s="201"/>
      <c r="RA56" s="201"/>
      <c r="RB56" s="201"/>
      <c r="RC56" s="201"/>
      <c r="RD56" s="201"/>
      <c r="RE56" s="201"/>
      <c r="RF56" s="201"/>
      <c r="RG56" s="201"/>
      <c r="RH56" s="201"/>
      <c r="RI56" s="201"/>
      <c r="RJ56" s="201"/>
      <c r="RK56" s="201"/>
      <c r="RL56" s="201"/>
      <c r="RM56" s="201"/>
      <c r="RN56" s="201"/>
      <c r="RO56" s="201"/>
      <c r="RP56" s="201"/>
      <c r="RQ56" s="201"/>
      <c r="RR56" s="201"/>
      <c r="RS56" s="201"/>
      <c r="RT56" s="201"/>
      <c r="RU56" s="201"/>
      <c r="RV56" s="201"/>
      <c r="RW56" s="201"/>
      <c r="RX56" s="201"/>
      <c r="RY56" s="201"/>
      <c r="RZ56" s="201"/>
      <c r="SA56" s="201"/>
      <c r="SB56" s="201"/>
      <c r="SC56" s="201"/>
      <c r="SD56" s="201"/>
      <c r="SE56" s="201"/>
      <c r="SF56" s="201"/>
      <c r="SG56" s="201"/>
      <c r="SH56" s="201"/>
      <c r="SI56" s="201"/>
      <c r="SJ56" s="201"/>
      <c r="SK56" s="201"/>
      <c r="SL56" s="201"/>
      <c r="SM56" s="201"/>
      <c r="SN56" s="201"/>
      <c r="SO56" s="201"/>
      <c r="SP56" s="201"/>
      <c r="SQ56" s="201"/>
      <c r="SR56" s="201"/>
      <c r="SS56" s="201"/>
      <c r="ST56" s="201"/>
      <c r="SU56" s="201"/>
      <c r="SV56" s="201"/>
      <c r="SW56" s="201"/>
      <c r="SX56" s="201"/>
      <c r="SY56" s="201"/>
      <c r="SZ56" s="201"/>
      <c r="TA56" s="201"/>
      <c r="TB56" s="201"/>
      <c r="TC56" s="201"/>
      <c r="TD56" s="201"/>
      <c r="TE56" s="201"/>
      <c r="TF56" s="201"/>
      <c r="TG56" s="201"/>
      <c r="TH56" s="201"/>
      <c r="TI56" s="201"/>
      <c r="TJ56" s="201"/>
      <c r="TK56" s="201"/>
      <c r="TL56" s="201"/>
      <c r="TM56" s="201"/>
      <c r="TN56" s="201"/>
      <c r="TO56" s="201"/>
      <c r="TP56" s="201"/>
      <c r="TQ56" s="201"/>
      <c r="TR56" s="201"/>
      <c r="TS56" s="201"/>
      <c r="TT56" s="201"/>
      <c r="TU56" s="201"/>
      <c r="TV56" s="201"/>
      <c r="TW56" s="201"/>
      <c r="TX56" s="201"/>
      <c r="TY56" s="201"/>
      <c r="TZ56" s="201"/>
      <c r="UA56" s="201"/>
      <c r="UB56" s="201"/>
      <c r="UC56" s="201"/>
      <c r="UD56" s="201"/>
      <c r="UE56" s="201"/>
      <c r="UF56" s="201"/>
      <c r="UG56" s="201"/>
      <c r="UH56" s="201"/>
      <c r="UI56" s="201"/>
      <c r="UJ56" s="201"/>
      <c r="UK56" s="201"/>
      <c r="UL56" s="201"/>
      <c r="UM56" s="201"/>
      <c r="UN56" s="201"/>
      <c r="UO56" s="201"/>
      <c r="UP56" s="201"/>
      <c r="UQ56" s="201"/>
      <c r="UR56" s="201"/>
      <c r="US56" s="201"/>
      <c r="UT56" s="201"/>
      <c r="UU56" s="201"/>
    </row>
    <row r="57" spans="2:567" ht="15.6" x14ac:dyDescent="0.4">
      <c r="B57" s="54" t="str">
        <f>B48</f>
        <v>Financing Costs</v>
      </c>
      <c r="C57" s="52"/>
      <c r="D57" s="52"/>
      <c r="E57" s="52"/>
      <c r="F57" s="52"/>
      <c r="G57" s="52"/>
      <c r="H57" s="45"/>
      <c r="I57" s="79">
        <f>K57/Units_SF</f>
        <v>0.8928571428571429</v>
      </c>
      <c r="J57" s="80">
        <f>K57/Units</f>
        <v>750</v>
      </c>
      <c r="K57" s="80">
        <f>K48</f>
        <v>225000</v>
      </c>
      <c r="FC57" s="199"/>
      <c r="FD57" s="199"/>
      <c r="FE57" s="199"/>
      <c r="FF57" s="199"/>
      <c r="FG57" s="199"/>
      <c r="FH57" s="199"/>
      <c r="FI57" s="199"/>
      <c r="FJ57" s="199"/>
      <c r="FK57" s="199"/>
      <c r="FL57" s="199"/>
      <c r="FM57" s="199"/>
      <c r="FN57" s="199"/>
      <c r="FO57" s="199"/>
      <c r="FP57" s="199"/>
      <c r="FQ57" s="199"/>
      <c r="FR57" s="199"/>
      <c r="FS57" s="199"/>
      <c r="FT57" s="199"/>
      <c r="FU57" s="199"/>
      <c r="FV57" s="199"/>
      <c r="FW57" s="199"/>
      <c r="FX57" s="199"/>
      <c r="FY57" s="199"/>
      <c r="FZ57" s="199"/>
      <c r="GA57" s="199"/>
      <c r="GB57" s="199"/>
      <c r="GC57" s="199"/>
      <c r="GD57" s="199"/>
      <c r="GE57" s="199"/>
      <c r="GF57" s="199"/>
      <c r="GG57" s="199"/>
      <c r="GH57" s="199"/>
      <c r="GI57" s="199"/>
      <c r="GJ57" s="199"/>
      <c r="GK57" s="199"/>
      <c r="GL57" s="199"/>
      <c r="GM57" s="199"/>
      <c r="GN57" s="199"/>
      <c r="GO57" s="199"/>
      <c r="GP57" s="199"/>
      <c r="GQ57" s="199"/>
      <c r="GR57" s="199"/>
      <c r="GS57" s="199"/>
      <c r="GT57" s="199"/>
      <c r="GU57" s="199"/>
      <c r="GV57" s="199"/>
      <c r="GW57" s="199"/>
      <c r="GX57" s="199"/>
      <c r="GY57" s="199"/>
      <c r="GZ57" s="199"/>
      <c r="HA57" s="199"/>
      <c r="HB57" s="199"/>
      <c r="HC57" s="199"/>
      <c r="HD57" s="199"/>
      <c r="HE57" s="199"/>
      <c r="HF57" s="199"/>
      <c r="HG57" s="199"/>
      <c r="HH57" s="199"/>
      <c r="HI57" s="199"/>
      <c r="HJ57" s="199"/>
      <c r="HK57" s="199"/>
      <c r="HL57" s="199"/>
      <c r="HM57" s="199"/>
      <c r="HN57" s="199"/>
      <c r="HO57" s="199"/>
      <c r="HP57" s="199"/>
      <c r="HQ57" s="199"/>
      <c r="HR57" s="199"/>
      <c r="HS57" s="199"/>
      <c r="HT57" s="199"/>
      <c r="HU57" s="199"/>
      <c r="HV57" s="199"/>
      <c r="HW57" s="199"/>
      <c r="HX57" s="199"/>
      <c r="HY57" s="199"/>
      <c r="HZ57" s="199"/>
      <c r="IA57" s="199"/>
      <c r="IB57" s="199"/>
      <c r="IC57" s="199"/>
      <c r="ID57" s="199"/>
      <c r="IE57" s="199"/>
      <c r="IF57" s="199"/>
      <c r="IG57" s="199"/>
      <c r="IH57" s="199"/>
      <c r="II57" s="199"/>
      <c r="IJ57" s="199"/>
      <c r="IK57" s="199"/>
      <c r="IL57" s="199"/>
      <c r="IM57" s="199"/>
      <c r="IN57" s="199"/>
      <c r="IO57" s="199"/>
      <c r="IP57" s="199"/>
      <c r="IQ57" s="199"/>
      <c r="IR57" s="199"/>
      <c r="IS57" s="199"/>
      <c r="IT57" s="199"/>
      <c r="IU57" s="199"/>
      <c r="IV57" s="199"/>
      <c r="IW57" s="199"/>
      <c r="IX57" s="199"/>
      <c r="IY57" s="199"/>
      <c r="IZ57" s="199"/>
      <c r="JA57" s="199"/>
      <c r="JB57" s="199"/>
      <c r="JC57" s="199"/>
      <c r="JD57" s="199"/>
      <c r="JE57" s="199"/>
      <c r="JF57" s="199"/>
      <c r="JG57" s="199"/>
      <c r="JH57" s="199"/>
      <c r="JI57" s="199"/>
      <c r="JJ57" s="199"/>
      <c r="JK57" s="199"/>
      <c r="JL57" s="199"/>
      <c r="JM57" s="199"/>
      <c r="JN57" s="199"/>
      <c r="JO57" s="199"/>
      <c r="JP57" s="199"/>
      <c r="JQ57" s="199"/>
      <c r="JR57" s="199"/>
      <c r="JS57" s="199"/>
      <c r="JT57" s="199"/>
      <c r="JU57" s="199"/>
      <c r="JV57" s="199"/>
      <c r="JW57" s="199"/>
      <c r="JX57" s="199"/>
      <c r="JY57" s="199"/>
      <c r="JZ57" s="199"/>
      <c r="KA57" s="199"/>
      <c r="KB57" s="199"/>
      <c r="KC57" s="199"/>
      <c r="KD57" s="199"/>
      <c r="KE57" s="199"/>
      <c r="PQ57" s="201"/>
      <c r="PR57" s="201"/>
      <c r="PS57" s="201"/>
      <c r="PT57" s="201"/>
      <c r="PU57" s="201"/>
      <c r="PV57" s="201"/>
      <c r="PW57" s="201"/>
      <c r="PX57" s="201"/>
      <c r="PY57" s="201"/>
      <c r="PZ57" s="201"/>
      <c r="QA57" s="201"/>
      <c r="QB57" s="201"/>
      <c r="QC57" s="201"/>
      <c r="QD57" s="201"/>
      <c r="QE57" s="201"/>
      <c r="QF57" s="201"/>
      <c r="QG57" s="201"/>
      <c r="QH57" s="201"/>
      <c r="QI57" s="201"/>
      <c r="QJ57" s="201"/>
      <c r="QK57" s="201"/>
      <c r="QL57" s="201"/>
      <c r="QM57" s="201"/>
      <c r="QN57" s="201"/>
      <c r="QO57" s="201"/>
      <c r="QP57" s="201"/>
      <c r="QQ57" s="201"/>
      <c r="QR57" s="201"/>
      <c r="QS57" s="201"/>
      <c r="QT57" s="201"/>
      <c r="QU57" s="201"/>
      <c r="QV57" s="201"/>
      <c r="QW57" s="201"/>
      <c r="QX57" s="201"/>
      <c r="QY57" s="201"/>
      <c r="QZ57" s="201"/>
      <c r="RA57" s="201"/>
      <c r="RB57" s="201"/>
      <c r="RC57" s="201"/>
      <c r="RD57" s="201"/>
      <c r="RE57" s="201"/>
      <c r="RF57" s="201"/>
      <c r="RG57" s="201"/>
      <c r="RH57" s="201"/>
      <c r="RI57" s="201"/>
      <c r="RJ57" s="201"/>
      <c r="RK57" s="201"/>
      <c r="RL57" s="201"/>
      <c r="RM57" s="201"/>
      <c r="RN57" s="201"/>
      <c r="RO57" s="201"/>
      <c r="RP57" s="201"/>
      <c r="RQ57" s="201"/>
      <c r="RR57" s="201"/>
      <c r="RS57" s="201"/>
      <c r="RT57" s="201"/>
      <c r="RU57" s="201"/>
      <c r="RV57" s="201"/>
      <c r="RW57" s="201"/>
      <c r="RX57" s="201"/>
      <c r="RY57" s="201"/>
      <c r="RZ57" s="201"/>
      <c r="SA57" s="201"/>
      <c r="SB57" s="201"/>
      <c r="SC57" s="201"/>
      <c r="SD57" s="201"/>
      <c r="SE57" s="201"/>
      <c r="SF57" s="201"/>
      <c r="SG57" s="201"/>
      <c r="SH57" s="201"/>
      <c r="SI57" s="201"/>
      <c r="SJ57" s="201"/>
      <c r="SK57" s="201"/>
      <c r="SL57" s="201"/>
      <c r="SM57" s="201"/>
      <c r="SN57" s="201"/>
      <c r="SO57" s="201"/>
      <c r="SP57" s="201"/>
      <c r="SQ57" s="201"/>
      <c r="SR57" s="201"/>
      <c r="SS57" s="201"/>
      <c r="ST57" s="201"/>
      <c r="SU57" s="201"/>
      <c r="SV57" s="201"/>
      <c r="SW57" s="201"/>
      <c r="SX57" s="201"/>
      <c r="SY57" s="201"/>
      <c r="SZ57" s="201"/>
      <c r="TA57" s="201"/>
      <c r="TB57" s="201"/>
      <c r="TC57" s="201"/>
      <c r="TD57" s="201"/>
      <c r="TE57" s="201"/>
      <c r="TF57" s="201"/>
      <c r="TG57" s="201"/>
      <c r="TH57" s="201"/>
      <c r="TI57" s="201"/>
      <c r="TJ57" s="201"/>
      <c r="TK57" s="201"/>
      <c r="TL57" s="201"/>
      <c r="TM57" s="201"/>
      <c r="TN57" s="201"/>
      <c r="TO57" s="201"/>
      <c r="TP57" s="201"/>
      <c r="TQ57" s="201"/>
      <c r="TR57" s="201"/>
      <c r="TS57" s="201"/>
      <c r="TT57" s="201"/>
      <c r="TU57" s="201"/>
      <c r="TV57" s="201"/>
      <c r="TW57" s="201"/>
      <c r="TX57" s="201"/>
      <c r="TY57" s="201"/>
      <c r="TZ57" s="201"/>
      <c r="UA57" s="201"/>
      <c r="UB57" s="201"/>
      <c r="UC57" s="201"/>
      <c r="UD57" s="201"/>
      <c r="UE57" s="201"/>
      <c r="UF57" s="201"/>
      <c r="UG57" s="201"/>
      <c r="UH57" s="201"/>
      <c r="UI57" s="201"/>
      <c r="UJ57" s="201"/>
      <c r="UK57" s="201"/>
      <c r="UL57" s="201"/>
      <c r="UM57" s="201"/>
      <c r="UN57" s="201"/>
      <c r="UO57" s="201"/>
      <c r="UP57" s="201"/>
      <c r="UQ57" s="201"/>
      <c r="UR57" s="201"/>
      <c r="US57" s="201"/>
      <c r="UT57" s="201"/>
      <c r="UU57" s="201"/>
    </row>
    <row r="58" spans="2:567" x14ac:dyDescent="0.25">
      <c r="B58" s="18" t="str">
        <f ca="1">IF(E64=K64,"Total Uses","Total Uses (before Operating Shortfall)")</f>
        <v>Total Uses (before Operating Shortfall)</v>
      </c>
      <c r="C58" s="52"/>
      <c r="D58" s="52"/>
      <c r="E58" s="52"/>
      <c r="F58" s="52"/>
      <c r="G58" s="52"/>
      <c r="H58" s="45"/>
      <c r="I58" s="33">
        <f>SUM(I53:I57)</f>
        <v>274.31478174603177</v>
      </c>
      <c r="J58" s="34">
        <f>SUM(J53:J57)</f>
        <v>230424.41666666666</v>
      </c>
      <c r="K58" s="34">
        <f>SUM(K53:K57)</f>
        <v>69127325</v>
      </c>
      <c r="FA58" s="215" t="s">
        <v>82</v>
      </c>
      <c r="FB58" s="216" t="s">
        <v>83</v>
      </c>
      <c r="FC58" s="199"/>
      <c r="FD58" s="199"/>
      <c r="FE58" s="199"/>
      <c r="FF58" s="199"/>
      <c r="FG58" s="199"/>
      <c r="FH58" s="199"/>
      <c r="FI58" s="199"/>
      <c r="FJ58" s="199"/>
      <c r="FK58" s="199"/>
      <c r="FL58" s="199"/>
      <c r="FM58" s="199"/>
      <c r="FN58" s="199"/>
      <c r="FO58" s="199"/>
      <c r="FP58" s="199"/>
      <c r="FQ58" s="199"/>
      <c r="FR58" s="199"/>
      <c r="FS58" s="199"/>
      <c r="FT58" s="199"/>
      <c r="FU58" s="199"/>
      <c r="FV58" s="199"/>
      <c r="FW58" s="199"/>
      <c r="FX58" s="199"/>
      <c r="FY58" s="199"/>
      <c r="FZ58" s="199"/>
      <c r="GA58" s="199"/>
      <c r="GB58" s="199"/>
      <c r="GC58" s="199"/>
      <c r="GD58" s="199"/>
      <c r="GE58" s="199"/>
      <c r="GF58" s="199"/>
      <c r="GG58" s="199"/>
      <c r="GH58" s="199"/>
      <c r="GI58" s="199"/>
      <c r="GJ58" s="199"/>
      <c r="GK58" s="199"/>
      <c r="GL58" s="199"/>
      <c r="GM58" s="199"/>
      <c r="GN58" s="199"/>
      <c r="GO58" s="199"/>
      <c r="GP58" s="199"/>
      <c r="GQ58" s="199"/>
      <c r="GR58" s="199"/>
      <c r="GS58" s="199"/>
      <c r="GT58" s="199"/>
      <c r="GU58" s="199"/>
      <c r="GV58" s="199"/>
      <c r="GW58" s="199"/>
      <c r="GX58" s="199"/>
      <c r="GY58" s="199"/>
      <c r="GZ58" s="199"/>
      <c r="HA58" s="199"/>
      <c r="HB58" s="199"/>
      <c r="HC58" s="199"/>
      <c r="HD58" s="199"/>
      <c r="HE58" s="199"/>
      <c r="HF58" s="199"/>
      <c r="HG58" s="199"/>
      <c r="HH58" s="199"/>
      <c r="HI58" s="199"/>
      <c r="HJ58" s="199"/>
      <c r="HK58" s="199"/>
      <c r="HL58" s="199"/>
      <c r="HM58" s="199"/>
      <c r="HN58" s="199"/>
      <c r="HO58" s="199"/>
      <c r="HP58" s="199"/>
      <c r="HQ58" s="199"/>
      <c r="HR58" s="199"/>
      <c r="HS58" s="199"/>
      <c r="HT58" s="199"/>
      <c r="HU58" s="199"/>
      <c r="HV58" s="199"/>
      <c r="HW58" s="199"/>
      <c r="HX58" s="199"/>
      <c r="HY58" s="199"/>
      <c r="HZ58" s="199"/>
      <c r="IA58" s="199"/>
      <c r="IB58" s="199"/>
      <c r="IC58" s="199"/>
      <c r="ID58" s="199"/>
      <c r="IE58" s="199"/>
      <c r="IF58" s="199"/>
      <c r="IG58" s="199"/>
      <c r="IH58" s="199"/>
      <c r="II58" s="199"/>
      <c r="IJ58" s="199"/>
      <c r="IK58" s="199"/>
      <c r="IL58" s="199"/>
      <c r="IM58" s="199"/>
      <c r="IN58" s="199"/>
      <c r="IO58" s="199"/>
      <c r="IP58" s="199"/>
      <c r="IQ58" s="199"/>
      <c r="IR58" s="199"/>
      <c r="IS58" s="199"/>
      <c r="IT58" s="199"/>
      <c r="IU58" s="199"/>
      <c r="IV58" s="199"/>
      <c r="IW58" s="199"/>
      <c r="IX58" s="199"/>
      <c r="IY58" s="199"/>
      <c r="IZ58" s="199"/>
      <c r="JA58" s="199"/>
      <c r="JB58" s="199"/>
      <c r="JC58" s="199"/>
      <c r="JD58" s="199"/>
      <c r="JE58" s="199"/>
      <c r="JF58" s="199"/>
      <c r="JG58" s="199"/>
      <c r="JH58" s="199"/>
      <c r="JI58" s="199"/>
      <c r="JJ58" s="199"/>
      <c r="JK58" s="199"/>
      <c r="JL58" s="199"/>
      <c r="JM58" s="199"/>
      <c r="JN58" s="199"/>
      <c r="JO58" s="199"/>
      <c r="JP58" s="199"/>
      <c r="JQ58" s="199"/>
      <c r="JR58" s="199"/>
      <c r="JS58" s="199"/>
      <c r="JT58" s="199"/>
      <c r="JU58" s="199"/>
      <c r="JV58" s="199"/>
      <c r="JW58" s="199"/>
      <c r="JX58" s="199"/>
      <c r="JY58" s="199"/>
      <c r="JZ58" s="199"/>
      <c r="KA58" s="199"/>
      <c r="KB58" s="199"/>
      <c r="KC58" s="199"/>
      <c r="KD58" s="199"/>
      <c r="KE58" s="199"/>
      <c r="KK58" s="215"/>
      <c r="KL58" s="216"/>
      <c r="PQ58" s="201"/>
      <c r="PR58" s="201"/>
      <c r="PS58" s="201"/>
      <c r="PT58" s="201"/>
      <c r="PU58" s="201"/>
      <c r="PV58" s="201"/>
      <c r="PW58" s="201"/>
      <c r="PX58" s="201"/>
      <c r="PY58" s="201"/>
      <c r="PZ58" s="201"/>
      <c r="QA58" s="201"/>
      <c r="QB58" s="201"/>
      <c r="QC58" s="201"/>
      <c r="QD58" s="201"/>
      <c r="QE58" s="201"/>
      <c r="QF58" s="201"/>
      <c r="QG58" s="201"/>
      <c r="QH58" s="201"/>
      <c r="QI58" s="201"/>
      <c r="QJ58" s="201"/>
      <c r="QK58" s="201"/>
      <c r="QL58" s="201"/>
      <c r="QM58" s="201"/>
      <c r="QN58" s="201"/>
      <c r="QO58" s="201"/>
      <c r="QP58" s="201"/>
      <c r="QQ58" s="201"/>
      <c r="QR58" s="201"/>
      <c r="QS58" s="201"/>
      <c r="QT58" s="201"/>
      <c r="QU58" s="201"/>
      <c r="QV58" s="201"/>
      <c r="QW58" s="201"/>
      <c r="QX58" s="201"/>
      <c r="QY58" s="201"/>
      <c r="QZ58" s="201"/>
      <c r="RA58" s="201"/>
      <c r="RB58" s="201"/>
      <c r="RC58" s="201"/>
      <c r="RD58" s="201"/>
      <c r="RE58" s="201"/>
      <c r="RF58" s="201"/>
      <c r="RG58" s="201"/>
      <c r="RH58" s="201"/>
      <c r="RI58" s="201"/>
      <c r="RJ58" s="201"/>
      <c r="RK58" s="201"/>
      <c r="RL58" s="201"/>
      <c r="RM58" s="201"/>
      <c r="RN58" s="201"/>
      <c r="RO58" s="201"/>
      <c r="RP58" s="201"/>
      <c r="RQ58" s="201"/>
      <c r="RR58" s="201"/>
      <c r="RS58" s="201"/>
      <c r="RT58" s="201"/>
      <c r="RU58" s="201"/>
      <c r="RV58" s="201"/>
      <c r="RW58" s="201"/>
      <c r="RX58" s="201"/>
      <c r="RY58" s="201"/>
      <c r="RZ58" s="201"/>
      <c r="SA58" s="201"/>
      <c r="SB58" s="201"/>
      <c r="SC58" s="201"/>
      <c r="SD58" s="201"/>
      <c r="SE58" s="201"/>
      <c r="SF58" s="201"/>
      <c r="SG58" s="201"/>
      <c r="SH58" s="201"/>
      <c r="SI58" s="201"/>
      <c r="SJ58" s="201"/>
      <c r="SK58" s="201"/>
      <c r="SL58" s="201"/>
      <c r="SM58" s="201"/>
      <c r="SN58" s="201"/>
      <c r="SO58" s="201"/>
      <c r="SP58" s="201"/>
      <c r="SQ58" s="201"/>
      <c r="SR58" s="201"/>
      <c r="SS58" s="201"/>
      <c r="ST58" s="201"/>
      <c r="SU58" s="201"/>
      <c r="SV58" s="201"/>
      <c r="SW58" s="201"/>
      <c r="SX58" s="201"/>
      <c r="SY58" s="201"/>
      <c r="SZ58" s="201"/>
      <c r="TA58" s="201"/>
      <c r="TB58" s="201"/>
      <c r="TC58" s="201"/>
      <c r="TD58" s="201"/>
      <c r="TE58" s="201"/>
      <c r="TF58" s="201"/>
      <c r="TG58" s="201"/>
      <c r="TH58" s="201"/>
      <c r="TI58" s="201"/>
      <c r="TJ58" s="201"/>
      <c r="TK58" s="201"/>
      <c r="TL58" s="201"/>
      <c r="TM58" s="201"/>
      <c r="TN58" s="201"/>
      <c r="TO58" s="201"/>
      <c r="TP58" s="201"/>
      <c r="TQ58" s="201"/>
      <c r="TR58" s="201"/>
      <c r="TS58" s="201"/>
      <c r="TT58" s="201"/>
      <c r="TU58" s="201"/>
      <c r="TV58" s="201"/>
      <c r="TW58" s="201"/>
      <c r="TX58" s="201"/>
      <c r="TY58" s="201"/>
      <c r="TZ58" s="201"/>
      <c r="UA58" s="201"/>
      <c r="UB58" s="201"/>
      <c r="UC58" s="201"/>
      <c r="UD58" s="201"/>
      <c r="UE58" s="201"/>
      <c r="UF58" s="201"/>
      <c r="UG58" s="201"/>
      <c r="UH58" s="201"/>
      <c r="UI58" s="201"/>
      <c r="UJ58" s="201"/>
      <c r="UK58" s="201"/>
      <c r="UL58" s="201"/>
      <c r="UM58" s="201"/>
      <c r="UN58" s="201"/>
      <c r="UO58" s="201"/>
      <c r="UP58" s="201"/>
      <c r="UQ58" s="201"/>
      <c r="UR58" s="201"/>
      <c r="US58" s="201"/>
      <c r="UT58" s="201"/>
      <c r="UU58" s="201"/>
    </row>
    <row r="59" spans="2:567" ht="5.0999999999999996" customHeight="1" x14ac:dyDescent="0.25">
      <c r="B59" s="18"/>
      <c r="C59" s="52"/>
      <c r="D59" s="52"/>
      <c r="E59" s="52"/>
      <c r="F59" s="52"/>
      <c r="G59" s="52"/>
      <c r="H59" s="45"/>
      <c r="I59" s="33"/>
      <c r="J59" s="34"/>
      <c r="K59" s="34"/>
      <c r="EW59" s="199" t="s">
        <v>44</v>
      </c>
      <c r="FB59" s="203"/>
      <c r="FC59" s="204">
        <v>0</v>
      </c>
      <c r="FD59" s="204">
        <f>+FC59+1</f>
        <v>1</v>
      </c>
      <c r="FE59" s="204">
        <f t="shared" ref="FE59:HP59" si="556">+FD59+1</f>
        <v>2</v>
      </c>
      <c r="FF59" s="204">
        <f t="shared" si="556"/>
        <v>3</v>
      </c>
      <c r="FG59" s="204">
        <f t="shared" si="556"/>
        <v>4</v>
      </c>
      <c r="FH59" s="204">
        <f t="shared" si="556"/>
        <v>5</v>
      </c>
      <c r="FI59" s="204">
        <f t="shared" si="556"/>
        <v>6</v>
      </c>
      <c r="FJ59" s="204">
        <f t="shared" si="556"/>
        <v>7</v>
      </c>
      <c r="FK59" s="204">
        <f t="shared" si="556"/>
        <v>8</v>
      </c>
      <c r="FL59" s="204">
        <f t="shared" si="556"/>
        <v>9</v>
      </c>
      <c r="FM59" s="204">
        <f t="shared" si="556"/>
        <v>10</v>
      </c>
      <c r="FN59" s="204">
        <f t="shared" si="556"/>
        <v>11</v>
      </c>
      <c r="FO59" s="204">
        <f t="shared" si="556"/>
        <v>12</v>
      </c>
      <c r="FP59" s="204">
        <f t="shared" si="556"/>
        <v>13</v>
      </c>
      <c r="FQ59" s="204">
        <f t="shared" si="556"/>
        <v>14</v>
      </c>
      <c r="FR59" s="204">
        <f t="shared" si="556"/>
        <v>15</v>
      </c>
      <c r="FS59" s="204">
        <f t="shared" si="556"/>
        <v>16</v>
      </c>
      <c r="FT59" s="204">
        <f t="shared" si="556"/>
        <v>17</v>
      </c>
      <c r="FU59" s="204">
        <f t="shared" si="556"/>
        <v>18</v>
      </c>
      <c r="FV59" s="204">
        <f t="shared" si="556"/>
        <v>19</v>
      </c>
      <c r="FW59" s="204">
        <f t="shared" si="556"/>
        <v>20</v>
      </c>
      <c r="FX59" s="204">
        <f t="shared" si="556"/>
        <v>21</v>
      </c>
      <c r="FY59" s="204">
        <f t="shared" si="556"/>
        <v>22</v>
      </c>
      <c r="FZ59" s="204">
        <f t="shared" si="556"/>
        <v>23</v>
      </c>
      <c r="GA59" s="204">
        <f t="shared" si="556"/>
        <v>24</v>
      </c>
      <c r="GB59" s="204">
        <f t="shared" si="556"/>
        <v>25</v>
      </c>
      <c r="GC59" s="204">
        <f t="shared" si="556"/>
        <v>26</v>
      </c>
      <c r="GD59" s="204">
        <f t="shared" si="556"/>
        <v>27</v>
      </c>
      <c r="GE59" s="204">
        <f t="shared" si="556"/>
        <v>28</v>
      </c>
      <c r="GF59" s="204">
        <f t="shared" si="556"/>
        <v>29</v>
      </c>
      <c r="GG59" s="204">
        <f t="shared" si="556"/>
        <v>30</v>
      </c>
      <c r="GH59" s="204">
        <f t="shared" si="556"/>
        <v>31</v>
      </c>
      <c r="GI59" s="204">
        <f t="shared" si="556"/>
        <v>32</v>
      </c>
      <c r="GJ59" s="204">
        <f t="shared" si="556"/>
        <v>33</v>
      </c>
      <c r="GK59" s="204">
        <f t="shared" si="556"/>
        <v>34</v>
      </c>
      <c r="GL59" s="204">
        <f t="shared" si="556"/>
        <v>35</v>
      </c>
      <c r="GM59" s="204">
        <f t="shared" si="556"/>
        <v>36</v>
      </c>
      <c r="GN59" s="204">
        <f t="shared" si="556"/>
        <v>37</v>
      </c>
      <c r="GO59" s="204">
        <f t="shared" si="556"/>
        <v>38</v>
      </c>
      <c r="GP59" s="204">
        <f t="shared" si="556"/>
        <v>39</v>
      </c>
      <c r="GQ59" s="204">
        <f t="shared" si="556"/>
        <v>40</v>
      </c>
      <c r="GR59" s="204">
        <f t="shared" si="556"/>
        <v>41</v>
      </c>
      <c r="GS59" s="204">
        <f t="shared" si="556"/>
        <v>42</v>
      </c>
      <c r="GT59" s="204">
        <f t="shared" si="556"/>
        <v>43</v>
      </c>
      <c r="GU59" s="204">
        <f t="shared" si="556"/>
        <v>44</v>
      </c>
      <c r="GV59" s="204">
        <f t="shared" si="556"/>
        <v>45</v>
      </c>
      <c r="GW59" s="204">
        <f t="shared" si="556"/>
        <v>46</v>
      </c>
      <c r="GX59" s="204">
        <f t="shared" si="556"/>
        <v>47</v>
      </c>
      <c r="GY59" s="204">
        <f t="shared" si="556"/>
        <v>48</v>
      </c>
      <c r="GZ59" s="204">
        <f t="shared" si="556"/>
        <v>49</v>
      </c>
      <c r="HA59" s="204">
        <f t="shared" si="556"/>
        <v>50</v>
      </c>
      <c r="HB59" s="204">
        <f t="shared" si="556"/>
        <v>51</v>
      </c>
      <c r="HC59" s="204">
        <f t="shared" si="556"/>
        <v>52</v>
      </c>
      <c r="HD59" s="204">
        <f t="shared" si="556"/>
        <v>53</v>
      </c>
      <c r="HE59" s="204">
        <f t="shared" si="556"/>
        <v>54</v>
      </c>
      <c r="HF59" s="204">
        <f t="shared" si="556"/>
        <v>55</v>
      </c>
      <c r="HG59" s="204">
        <f t="shared" si="556"/>
        <v>56</v>
      </c>
      <c r="HH59" s="204">
        <f t="shared" si="556"/>
        <v>57</v>
      </c>
      <c r="HI59" s="204">
        <f t="shared" si="556"/>
        <v>58</v>
      </c>
      <c r="HJ59" s="204">
        <f t="shared" si="556"/>
        <v>59</v>
      </c>
      <c r="HK59" s="204">
        <f t="shared" si="556"/>
        <v>60</v>
      </c>
      <c r="HL59" s="204">
        <f t="shared" si="556"/>
        <v>61</v>
      </c>
      <c r="HM59" s="204">
        <f t="shared" si="556"/>
        <v>62</v>
      </c>
      <c r="HN59" s="204">
        <f t="shared" si="556"/>
        <v>63</v>
      </c>
      <c r="HO59" s="204">
        <f t="shared" si="556"/>
        <v>64</v>
      </c>
      <c r="HP59" s="204">
        <f t="shared" si="556"/>
        <v>65</v>
      </c>
      <c r="HQ59" s="204">
        <f t="shared" ref="HQ59:KB59" si="557">+HP59+1</f>
        <v>66</v>
      </c>
      <c r="HR59" s="204">
        <f t="shared" si="557"/>
        <v>67</v>
      </c>
      <c r="HS59" s="204">
        <f t="shared" si="557"/>
        <v>68</v>
      </c>
      <c r="HT59" s="204">
        <f t="shared" si="557"/>
        <v>69</v>
      </c>
      <c r="HU59" s="204">
        <f t="shared" si="557"/>
        <v>70</v>
      </c>
      <c r="HV59" s="204">
        <f t="shared" si="557"/>
        <v>71</v>
      </c>
      <c r="HW59" s="204">
        <f t="shared" si="557"/>
        <v>72</v>
      </c>
      <c r="HX59" s="204">
        <f t="shared" si="557"/>
        <v>73</v>
      </c>
      <c r="HY59" s="204">
        <f t="shared" si="557"/>
        <v>74</v>
      </c>
      <c r="HZ59" s="204">
        <f t="shared" si="557"/>
        <v>75</v>
      </c>
      <c r="IA59" s="204">
        <f t="shared" si="557"/>
        <v>76</v>
      </c>
      <c r="IB59" s="204">
        <f t="shared" si="557"/>
        <v>77</v>
      </c>
      <c r="IC59" s="204">
        <f t="shared" si="557"/>
        <v>78</v>
      </c>
      <c r="ID59" s="204">
        <f t="shared" si="557"/>
        <v>79</v>
      </c>
      <c r="IE59" s="204">
        <f t="shared" si="557"/>
        <v>80</v>
      </c>
      <c r="IF59" s="204">
        <f t="shared" si="557"/>
        <v>81</v>
      </c>
      <c r="IG59" s="204">
        <f t="shared" si="557"/>
        <v>82</v>
      </c>
      <c r="IH59" s="204">
        <f t="shared" si="557"/>
        <v>83</v>
      </c>
      <c r="II59" s="204">
        <f t="shared" si="557"/>
        <v>84</v>
      </c>
      <c r="IJ59" s="204">
        <f t="shared" si="557"/>
        <v>85</v>
      </c>
      <c r="IK59" s="204">
        <f t="shared" si="557"/>
        <v>86</v>
      </c>
      <c r="IL59" s="204">
        <f t="shared" si="557"/>
        <v>87</v>
      </c>
      <c r="IM59" s="204">
        <f t="shared" si="557"/>
        <v>88</v>
      </c>
      <c r="IN59" s="204">
        <f t="shared" si="557"/>
        <v>89</v>
      </c>
      <c r="IO59" s="204">
        <f t="shared" si="557"/>
        <v>90</v>
      </c>
      <c r="IP59" s="204">
        <f t="shared" si="557"/>
        <v>91</v>
      </c>
      <c r="IQ59" s="204">
        <f t="shared" si="557"/>
        <v>92</v>
      </c>
      <c r="IR59" s="204">
        <f t="shared" si="557"/>
        <v>93</v>
      </c>
      <c r="IS59" s="204">
        <f t="shared" si="557"/>
        <v>94</v>
      </c>
      <c r="IT59" s="204">
        <f t="shared" si="557"/>
        <v>95</v>
      </c>
      <c r="IU59" s="204">
        <f t="shared" si="557"/>
        <v>96</v>
      </c>
      <c r="IV59" s="204">
        <f t="shared" si="557"/>
        <v>97</v>
      </c>
      <c r="IW59" s="204">
        <f t="shared" si="557"/>
        <v>98</v>
      </c>
      <c r="IX59" s="204">
        <f t="shared" si="557"/>
        <v>99</v>
      </c>
      <c r="IY59" s="204">
        <f t="shared" si="557"/>
        <v>100</v>
      </c>
      <c r="IZ59" s="204">
        <f t="shared" si="557"/>
        <v>101</v>
      </c>
      <c r="JA59" s="204">
        <f t="shared" si="557"/>
        <v>102</v>
      </c>
      <c r="JB59" s="204">
        <f t="shared" si="557"/>
        <v>103</v>
      </c>
      <c r="JC59" s="204">
        <f t="shared" si="557"/>
        <v>104</v>
      </c>
      <c r="JD59" s="204">
        <f t="shared" si="557"/>
        <v>105</v>
      </c>
      <c r="JE59" s="204">
        <f t="shared" si="557"/>
        <v>106</v>
      </c>
      <c r="JF59" s="204">
        <f t="shared" si="557"/>
        <v>107</v>
      </c>
      <c r="JG59" s="204">
        <f t="shared" si="557"/>
        <v>108</v>
      </c>
      <c r="JH59" s="204">
        <f t="shared" si="557"/>
        <v>109</v>
      </c>
      <c r="JI59" s="204">
        <f t="shared" si="557"/>
        <v>110</v>
      </c>
      <c r="JJ59" s="204">
        <f t="shared" si="557"/>
        <v>111</v>
      </c>
      <c r="JK59" s="204">
        <f t="shared" si="557"/>
        <v>112</v>
      </c>
      <c r="JL59" s="204">
        <f t="shared" si="557"/>
        <v>113</v>
      </c>
      <c r="JM59" s="204">
        <f t="shared" si="557"/>
        <v>114</v>
      </c>
      <c r="JN59" s="204">
        <f t="shared" si="557"/>
        <v>115</v>
      </c>
      <c r="JO59" s="204">
        <f t="shared" si="557"/>
        <v>116</v>
      </c>
      <c r="JP59" s="204">
        <f t="shared" si="557"/>
        <v>117</v>
      </c>
      <c r="JQ59" s="204">
        <f t="shared" si="557"/>
        <v>118</v>
      </c>
      <c r="JR59" s="204">
        <f t="shared" si="557"/>
        <v>119</v>
      </c>
      <c r="JS59" s="204">
        <f t="shared" si="557"/>
        <v>120</v>
      </c>
      <c r="JT59" s="204">
        <f t="shared" si="557"/>
        <v>121</v>
      </c>
      <c r="JU59" s="204">
        <f t="shared" si="557"/>
        <v>122</v>
      </c>
      <c r="JV59" s="204">
        <f t="shared" si="557"/>
        <v>123</v>
      </c>
      <c r="JW59" s="204">
        <f t="shared" si="557"/>
        <v>124</v>
      </c>
      <c r="JX59" s="204">
        <f t="shared" si="557"/>
        <v>125</v>
      </c>
      <c r="JY59" s="204">
        <f t="shared" si="557"/>
        <v>126</v>
      </c>
      <c r="JZ59" s="204">
        <f t="shared" si="557"/>
        <v>127</v>
      </c>
      <c r="KA59" s="204">
        <f t="shared" si="557"/>
        <v>128</v>
      </c>
      <c r="KB59" s="204">
        <f t="shared" si="557"/>
        <v>129</v>
      </c>
      <c r="KC59" s="204">
        <f t="shared" ref="KC59:KE59" si="558">+KB59+1</f>
        <v>130</v>
      </c>
      <c r="KD59" s="204">
        <f t="shared" si="558"/>
        <v>131</v>
      </c>
      <c r="KE59" s="204">
        <f t="shared" si="558"/>
        <v>132</v>
      </c>
      <c r="KF59" s="205"/>
      <c r="KL59" s="203"/>
      <c r="KM59" s="204"/>
      <c r="KN59" s="204"/>
      <c r="KO59" s="204"/>
      <c r="KP59" s="204"/>
      <c r="KQ59" s="204"/>
      <c r="KR59" s="204"/>
      <c r="KS59" s="204"/>
      <c r="KT59" s="204"/>
      <c r="KU59" s="204"/>
      <c r="KV59" s="204"/>
      <c r="KW59" s="204"/>
      <c r="KX59" s="204"/>
      <c r="KY59" s="204"/>
      <c r="KZ59" s="204"/>
      <c r="LA59" s="204"/>
      <c r="LB59" s="204"/>
      <c r="LC59" s="204"/>
      <c r="LD59" s="204"/>
      <c r="LE59" s="204"/>
      <c r="LF59" s="204"/>
      <c r="LG59" s="204"/>
      <c r="LH59" s="204"/>
      <c r="LI59" s="204"/>
      <c r="LJ59" s="204"/>
      <c r="LK59" s="204"/>
      <c r="LL59" s="204"/>
      <c r="LM59" s="204"/>
      <c r="LN59" s="204"/>
      <c r="LO59" s="204"/>
      <c r="LP59" s="204"/>
      <c r="LQ59" s="204"/>
      <c r="LR59" s="204"/>
      <c r="LS59" s="204"/>
      <c r="LT59" s="204"/>
      <c r="LU59" s="204"/>
      <c r="LV59" s="204"/>
      <c r="LW59" s="204"/>
      <c r="LX59" s="204"/>
      <c r="LY59" s="204"/>
      <c r="LZ59" s="204"/>
      <c r="MA59" s="204"/>
      <c r="MB59" s="204"/>
      <c r="MC59" s="204"/>
      <c r="MD59" s="204"/>
      <c r="ME59" s="204"/>
      <c r="MF59" s="204"/>
      <c r="MG59" s="204"/>
      <c r="MH59" s="204"/>
      <c r="MI59" s="204"/>
      <c r="MJ59" s="204"/>
      <c r="MK59" s="204"/>
      <c r="ML59" s="204"/>
      <c r="MM59" s="204"/>
      <c r="MN59" s="204"/>
      <c r="MO59" s="204"/>
      <c r="MP59" s="204"/>
      <c r="MQ59" s="204"/>
      <c r="MR59" s="204"/>
      <c r="MS59" s="204"/>
      <c r="MT59" s="204"/>
      <c r="MU59" s="204"/>
      <c r="MV59" s="204"/>
      <c r="MW59" s="204"/>
      <c r="MX59" s="204"/>
      <c r="MY59" s="204"/>
      <c r="MZ59" s="204"/>
      <c r="NA59" s="204"/>
      <c r="NB59" s="204"/>
      <c r="NC59" s="204"/>
      <c r="ND59" s="204"/>
      <c r="NE59" s="204"/>
      <c r="NF59" s="204"/>
      <c r="NG59" s="204"/>
      <c r="NH59" s="204"/>
      <c r="NI59" s="204"/>
      <c r="NJ59" s="204"/>
      <c r="NK59" s="204"/>
      <c r="NL59" s="204"/>
      <c r="NM59" s="204"/>
      <c r="NN59" s="204"/>
      <c r="NO59" s="204"/>
      <c r="NP59" s="204"/>
      <c r="NQ59" s="204"/>
      <c r="NR59" s="204"/>
      <c r="NS59" s="204"/>
      <c r="NT59" s="204"/>
      <c r="NU59" s="204"/>
      <c r="NV59" s="204"/>
      <c r="NW59" s="204"/>
      <c r="NX59" s="204"/>
      <c r="NY59" s="204"/>
      <c r="NZ59" s="204"/>
      <c r="OA59" s="204"/>
      <c r="OB59" s="204"/>
      <c r="OC59" s="204"/>
      <c r="OD59" s="204"/>
      <c r="OE59" s="204"/>
      <c r="OF59" s="204"/>
      <c r="OG59" s="204"/>
      <c r="OH59" s="204"/>
      <c r="OI59" s="204"/>
      <c r="OJ59" s="204"/>
      <c r="OK59" s="204"/>
      <c r="OL59" s="204"/>
      <c r="OM59" s="204"/>
      <c r="ON59" s="204"/>
      <c r="OO59" s="204"/>
      <c r="OP59" s="204"/>
      <c r="OQ59" s="204"/>
      <c r="OR59" s="204"/>
      <c r="OS59" s="204"/>
      <c r="OT59" s="204"/>
      <c r="OU59" s="204"/>
      <c r="OV59" s="204"/>
      <c r="OW59" s="204"/>
      <c r="OX59" s="204"/>
      <c r="OY59" s="204"/>
      <c r="OZ59" s="204"/>
      <c r="PA59" s="204"/>
      <c r="PB59" s="204"/>
      <c r="PC59" s="204"/>
      <c r="PD59" s="204"/>
      <c r="PE59" s="204"/>
      <c r="PF59" s="204"/>
      <c r="PG59" s="204"/>
      <c r="PH59" s="204"/>
      <c r="PI59" s="204"/>
      <c r="PJ59" s="204"/>
      <c r="PK59" s="204"/>
      <c r="PL59" s="204"/>
      <c r="PM59" s="204"/>
      <c r="PN59" s="204"/>
      <c r="PO59" s="204"/>
      <c r="PQ59" s="201"/>
      <c r="PR59" s="201"/>
      <c r="PS59" s="201"/>
      <c r="PT59" s="201"/>
      <c r="PU59" s="201"/>
      <c r="PV59" s="201"/>
      <c r="PW59" s="201"/>
      <c r="PX59" s="201"/>
      <c r="PY59" s="201"/>
      <c r="PZ59" s="201"/>
      <c r="QA59" s="201"/>
      <c r="QB59" s="201"/>
      <c r="QC59" s="201"/>
      <c r="QD59" s="201"/>
      <c r="QE59" s="201"/>
      <c r="QF59" s="201"/>
      <c r="QG59" s="201"/>
      <c r="QH59" s="201"/>
      <c r="QI59" s="201"/>
      <c r="QJ59" s="201"/>
      <c r="QK59" s="201"/>
      <c r="QL59" s="201"/>
      <c r="QM59" s="201"/>
      <c r="QN59" s="201"/>
      <c r="QO59" s="201"/>
      <c r="QP59" s="201"/>
      <c r="QQ59" s="201"/>
      <c r="QR59" s="201"/>
      <c r="QS59" s="201"/>
      <c r="QT59" s="201"/>
      <c r="QU59" s="201"/>
      <c r="QV59" s="201"/>
      <c r="QW59" s="201"/>
      <c r="QX59" s="201"/>
      <c r="QY59" s="201"/>
      <c r="QZ59" s="201"/>
      <c r="RA59" s="201"/>
      <c r="RB59" s="201"/>
      <c r="RC59" s="201"/>
      <c r="RD59" s="201"/>
      <c r="RE59" s="201"/>
      <c r="RF59" s="201"/>
      <c r="RG59" s="201"/>
      <c r="RH59" s="201"/>
      <c r="RI59" s="201"/>
      <c r="RJ59" s="201"/>
      <c r="RK59" s="201"/>
      <c r="RL59" s="201"/>
      <c r="RM59" s="201"/>
      <c r="RN59" s="201"/>
      <c r="RO59" s="201"/>
      <c r="RP59" s="201"/>
      <c r="RQ59" s="201"/>
      <c r="RR59" s="201"/>
      <c r="RS59" s="201"/>
      <c r="RT59" s="201"/>
      <c r="RU59" s="201"/>
      <c r="RV59" s="201"/>
      <c r="RW59" s="201"/>
      <c r="RX59" s="201"/>
      <c r="RY59" s="201"/>
      <c r="RZ59" s="201"/>
      <c r="SA59" s="201"/>
      <c r="SB59" s="201"/>
      <c r="SC59" s="201"/>
      <c r="SD59" s="201"/>
      <c r="SE59" s="201"/>
      <c r="SF59" s="201"/>
      <c r="SG59" s="201"/>
      <c r="SH59" s="201"/>
      <c r="SI59" s="201"/>
      <c r="SJ59" s="201"/>
      <c r="SK59" s="201"/>
      <c r="SL59" s="201"/>
      <c r="SM59" s="201"/>
      <c r="SN59" s="201"/>
      <c r="SO59" s="201"/>
      <c r="SP59" s="201"/>
      <c r="SQ59" s="201"/>
      <c r="SR59" s="201"/>
      <c r="SS59" s="201"/>
      <c r="ST59" s="201"/>
      <c r="SU59" s="201"/>
      <c r="SV59" s="201"/>
      <c r="SW59" s="201"/>
      <c r="SX59" s="201"/>
      <c r="SY59" s="201"/>
      <c r="SZ59" s="201"/>
      <c r="TA59" s="201"/>
      <c r="TB59" s="201"/>
      <c r="TC59" s="201"/>
      <c r="TD59" s="201"/>
      <c r="TE59" s="201"/>
      <c r="TF59" s="201"/>
      <c r="TG59" s="201"/>
      <c r="TH59" s="201"/>
      <c r="TI59" s="201"/>
      <c r="TJ59" s="201"/>
      <c r="TK59" s="201"/>
      <c r="TL59" s="201"/>
      <c r="TM59" s="201"/>
      <c r="TN59" s="201"/>
      <c r="TO59" s="201"/>
      <c r="TP59" s="201"/>
      <c r="TQ59" s="201"/>
      <c r="TR59" s="201"/>
      <c r="TS59" s="201"/>
      <c r="TT59" s="201"/>
      <c r="TU59" s="201"/>
      <c r="TV59" s="201"/>
      <c r="TW59" s="201"/>
      <c r="TX59" s="201"/>
      <c r="TY59" s="201"/>
      <c r="TZ59" s="201"/>
      <c r="UA59" s="201"/>
      <c r="UB59" s="201"/>
      <c r="UC59" s="201"/>
      <c r="UD59" s="201"/>
      <c r="UE59" s="201"/>
      <c r="UF59" s="201"/>
      <c r="UG59" s="201"/>
      <c r="UH59" s="201"/>
      <c r="UI59" s="201"/>
      <c r="UJ59" s="201"/>
      <c r="UK59" s="201"/>
      <c r="UL59" s="201"/>
      <c r="UM59" s="201"/>
      <c r="UN59" s="201"/>
      <c r="UO59" s="201"/>
      <c r="UP59" s="201"/>
      <c r="UQ59" s="201"/>
      <c r="UR59" s="201"/>
      <c r="US59" s="201"/>
      <c r="UT59" s="201"/>
      <c r="UU59" s="201"/>
    </row>
    <row r="60" spans="2:567" x14ac:dyDescent="0.25">
      <c r="B60" s="28" t="s">
        <v>50</v>
      </c>
      <c r="C60" s="18"/>
      <c r="D60" s="18"/>
      <c r="E60" s="18"/>
      <c r="F60" s="18"/>
      <c r="G60" s="18"/>
      <c r="H60" s="18"/>
      <c r="I60" s="18"/>
      <c r="J60" s="26"/>
      <c r="K60" s="26"/>
      <c r="R60" s="89"/>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7"/>
      <c r="DV60" s="87"/>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W60" s="216"/>
      <c r="EX60" s="203" t="s">
        <v>81</v>
      </c>
      <c r="EY60" s="203" t="s">
        <v>75</v>
      </c>
      <c r="EZ60" s="203" t="s">
        <v>88</v>
      </c>
      <c r="FA60" s="216" t="s">
        <v>81</v>
      </c>
      <c r="FB60" s="216" t="s">
        <v>75</v>
      </c>
      <c r="FC60" s="207">
        <f t="shared" ref="FC60:GH60" si="559">S49</f>
        <v>63992023.958333336</v>
      </c>
      <c r="FD60" s="207">
        <f t="shared" si="559"/>
        <v>223273.95833333331</v>
      </c>
      <c r="FE60" s="207">
        <f t="shared" si="559"/>
        <v>223273.95833333331</v>
      </c>
      <c r="FF60" s="207">
        <f t="shared" si="559"/>
        <v>223273.9583333332</v>
      </c>
      <c r="FG60" s="207">
        <f t="shared" si="559"/>
        <v>223273.9583333334</v>
      </c>
      <c r="FH60" s="207">
        <f t="shared" si="559"/>
        <v>223273.9583333332</v>
      </c>
      <c r="FI60" s="207">
        <f t="shared" si="559"/>
        <v>223273.9583333334</v>
      </c>
      <c r="FJ60" s="207">
        <f t="shared" si="559"/>
        <v>223273.95833333308</v>
      </c>
      <c r="FK60" s="207">
        <f t="shared" si="559"/>
        <v>223273.9583333334</v>
      </c>
      <c r="FL60" s="207">
        <f t="shared" si="559"/>
        <v>223273.9583333334</v>
      </c>
      <c r="FM60" s="207">
        <f t="shared" si="559"/>
        <v>223273.95833333308</v>
      </c>
      <c r="FN60" s="207">
        <f t="shared" si="559"/>
        <v>223273.9583333334</v>
      </c>
      <c r="FO60" s="207">
        <f t="shared" si="559"/>
        <v>223273.95833333308</v>
      </c>
      <c r="FP60" s="207">
        <f t="shared" si="559"/>
        <v>223273.95833333363</v>
      </c>
      <c r="FQ60" s="207">
        <f t="shared" si="559"/>
        <v>223273.95833333308</v>
      </c>
      <c r="FR60" s="207">
        <f t="shared" si="559"/>
        <v>223273.95833333308</v>
      </c>
      <c r="FS60" s="207">
        <f t="shared" si="559"/>
        <v>223273.95833333363</v>
      </c>
      <c r="FT60" s="207">
        <f t="shared" si="559"/>
        <v>223273.95833333308</v>
      </c>
      <c r="FU60" s="207">
        <f t="shared" si="559"/>
        <v>223273.95833333308</v>
      </c>
      <c r="FV60" s="207">
        <f t="shared" si="559"/>
        <v>223273.95833333363</v>
      </c>
      <c r="FW60" s="207">
        <f t="shared" si="559"/>
        <v>223273.95833333308</v>
      </c>
      <c r="FX60" s="207">
        <f t="shared" si="559"/>
        <v>223273.95833333308</v>
      </c>
      <c r="FY60" s="207">
        <f t="shared" si="559"/>
        <v>223273.95833333363</v>
      </c>
      <c r="FZ60" s="207">
        <f t="shared" si="559"/>
        <v>223273.95833333308</v>
      </c>
      <c r="GA60" s="207">
        <f t="shared" si="559"/>
        <v>0</v>
      </c>
      <c r="GB60" s="207">
        <f t="shared" si="559"/>
        <v>0</v>
      </c>
      <c r="GC60" s="207">
        <f t="shared" si="559"/>
        <v>0</v>
      </c>
      <c r="GD60" s="207">
        <f t="shared" si="559"/>
        <v>0</v>
      </c>
      <c r="GE60" s="207">
        <f t="shared" si="559"/>
        <v>0</v>
      </c>
      <c r="GF60" s="207">
        <f t="shared" si="559"/>
        <v>0</v>
      </c>
      <c r="GG60" s="207">
        <f t="shared" si="559"/>
        <v>0</v>
      </c>
      <c r="GH60" s="207">
        <f t="shared" si="559"/>
        <v>0</v>
      </c>
      <c r="GI60" s="207">
        <f t="shared" ref="GI60:HN60" si="560">AY49</f>
        <v>0</v>
      </c>
      <c r="GJ60" s="207">
        <f t="shared" si="560"/>
        <v>0</v>
      </c>
      <c r="GK60" s="207">
        <f t="shared" si="560"/>
        <v>0</v>
      </c>
      <c r="GL60" s="207">
        <f t="shared" si="560"/>
        <v>0</v>
      </c>
      <c r="GM60" s="207">
        <f t="shared" si="560"/>
        <v>0</v>
      </c>
      <c r="GN60" s="207">
        <f t="shared" si="560"/>
        <v>0</v>
      </c>
      <c r="GO60" s="207">
        <f t="shared" si="560"/>
        <v>0</v>
      </c>
      <c r="GP60" s="207">
        <f t="shared" si="560"/>
        <v>0</v>
      </c>
      <c r="GQ60" s="207">
        <f t="shared" si="560"/>
        <v>0</v>
      </c>
      <c r="GR60" s="207">
        <f t="shared" si="560"/>
        <v>0</v>
      </c>
      <c r="GS60" s="207">
        <f t="shared" si="560"/>
        <v>0</v>
      </c>
      <c r="GT60" s="207">
        <f t="shared" si="560"/>
        <v>0</v>
      </c>
      <c r="GU60" s="207">
        <f t="shared" si="560"/>
        <v>0</v>
      </c>
      <c r="GV60" s="207">
        <f t="shared" si="560"/>
        <v>0</v>
      </c>
      <c r="GW60" s="207">
        <f t="shared" si="560"/>
        <v>0</v>
      </c>
      <c r="GX60" s="207">
        <f t="shared" si="560"/>
        <v>0</v>
      </c>
      <c r="GY60" s="207">
        <f t="shared" si="560"/>
        <v>0</v>
      </c>
      <c r="GZ60" s="207">
        <f t="shared" si="560"/>
        <v>0</v>
      </c>
      <c r="HA60" s="207">
        <f t="shared" si="560"/>
        <v>0</v>
      </c>
      <c r="HB60" s="207">
        <f t="shared" si="560"/>
        <v>0</v>
      </c>
      <c r="HC60" s="207">
        <f t="shared" si="560"/>
        <v>0</v>
      </c>
      <c r="HD60" s="207">
        <f t="shared" si="560"/>
        <v>0</v>
      </c>
      <c r="HE60" s="207">
        <f t="shared" si="560"/>
        <v>0</v>
      </c>
      <c r="HF60" s="207">
        <f t="shared" si="560"/>
        <v>0</v>
      </c>
      <c r="HG60" s="207">
        <f t="shared" si="560"/>
        <v>0</v>
      </c>
      <c r="HH60" s="207">
        <f t="shared" si="560"/>
        <v>0</v>
      </c>
      <c r="HI60" s="207">
        <f t="shared" si="560"/>
        <v>0</v>
      </c>
      <c r="HJ60" s="207">
        <f t="shared" si="560"/>
        <v>0</v>
      </c>
      <c r="HK60" s="207">
        <f t="shared" si="560"/>
        <v>0</v>
      </c>
      <c r="HL60" s="207">
        <f t="shared" si="560"/>
        <v>0</v>
      </c>
      <c r="HM60" s="207">
        <f t="shared" si="560"/>
        <v>0</v>
      </c>
      <c r="HN60" s="207">
        <f t="shared" si="560"/>
        <v>0</v>
      </c>
      <c r="HO60" s="207">
        <f t="shared" ref="HO60:IT60" si="561">CE49</f>
        <v>0</v>
      </c>
      <c r="HP60" s="207">
        <f t="shared" si="561"/>
        <v>0</v>
      </c>
      <c r="HQ60" s="207">
        <f t="shared" si="561"/>
        <v>0</v>
      </c>
      <c r="HR60" s="207">
        <f t="shared" si="561"/>
        <v>0</v>
      </c>
      <c r="HS60" s="207">
        <f t="shared" si="561"/>
        <v>0</v>
      </c>
      <c r="HT60" s="207">
        <f t="shared" si="561"/>
        <v>0</v>
      </c>
      <c r="HU60" s="207">
        <f t="shared" si="561"/>
        <v>0</v>
      </c>
      <c r="HV60" s="207">
        <f t="shared" si="561"/>
        <v>0</v>
      </c>
      <c r="HW60" s="207">
        <f t="shared" si="561"/>
        <v>0</v>
      </c>
      <c r="HX60" s="207">
        <f t="shared" si="561"/>
        <v>0</v>
      </c>
      <c r="HY60" s="207">
        <f t="shared" si="561"/>
        <v>0</v>
      </c>
      <c r="HZ60" s="207">
        <f t="shared" si="561"/>
        <v>0</v>
      </c>
      <c r="IA60" s="207">
        <f t="shared" si="561"/>
        <v>0</v>
      </c>
      <c r="IB60" s="207">
        <f t="shared" si="561"/>
        <v>0</v>
      </c>
      <c r="IC60" s="207">
        <f t="shared" si="561"/>
        <v>0</v>
      </c>
      <c r="ID60" s="207">
        <f t="shared" si="561"/>
        <v>0</v>
      </c>
      <c r="IE60" s="207">
        <f t="shared" si="561"/>
        <v>0</v>
      </c>
      <c r="IF60" s="207">
        <f t="shared" si="561"/>
        <v>0</v>
      </c>
      <c r="IG60" s="207">
        <f t="shared" si="561"/>
        <v>0</v>
      </c>
      <c r="IH60" s="207">
        <f t="shared" si="561"/>
        <v>0</v>
      </c>
      <c r="II60" s="207">
        <f t="shared" si="561"/>
        <v>0</v>
      </c>
      <c r="IJ60" s="207">
        <f t="shared" si="561"/>
        <v>0</v>
      </c>
      <c r="IK60" s="207">
        <f t="shared" si="561"/>
        <v>0</v>
      </c>
      <c r="IL60" s="207">
        <f t="shared" si="561"/>
        <v>0</v>
      </c>
      <c r="IM60" s="207">
        <f t="shared" si="561"/>
        <v>0</v>
      </c>
      <c r="IN60" s="207">
        <f t="shared" si="561"/>
        <v>0</v>
      </c>
      <c r="IO60" s="207">
        <f t="shared" si="561"/>
        <v>0</v>
      </c>
      <c r="IP60" s="207">
        <f t="shared" si="561"/>
        <v>0</v>
      </c>
      <c r="IQ60" s="207">
        <f t="shared" si="561"/>
        <v>0</v>
      </c>
      <c r="IR60" s="207">
        <f t="shared" si="561"/>
        <v>0</v>
      </c>
      <c r="IS60" s="207">
        <f t="shared" si="561"/>
        <v>0</v>
      </c>
      <c r="IT60" s="207">
        <f t="shared" si="561"/>
        <v>0</v>
      </c>
      <c r="IU60" s="207">
        <f t="shared" ref="IU60:JZ60" si="562">DK49</f>
        <v>0</v>
      </c>
      <c r="IV60" s="207">
        <f t="shared" si="562"/>
        <v>0</v>
      </c>
      <c r="IW60" s="207">
        <f t="shared" si="562"/>
        <v>0</v>
      </c>
      <c r="IX60" s="207">
        <f t="shared" si="562"/>
        <v>0</v>
      </c>
      <c r="IY60" s="207">
        <f t="shared" si="562"/>
        <v>0</v>
      </c>
      <c r="IZ60" s="207">
        <f t="shared" si="562"/>
        <v>0</v>
      </c>
      <c r="JA60" s="207">
        <f t="shared" si="562"/>
        <v>0</v>
      </c>
      <c r="JB60" s="207">
        <f t="shared" si="562"/>
        <v>0</v>
      </c>
      <c r="JC60" s="207">
        <f t="shared" si="562"/>
        <v>0</v>
      </c>
      <c r="JD60" s="207">
        <f t="shared" si="562"/>
        <v>0</v>
      </c>
      <c r="JE60" s="207">
        <f t="shared" si="562"/>
        <v>0</v>
      </c>
      <c r="JF60" s="207">
        <f t="shared" si="562"/>
        <v>0</v>
      </c>
      <c r="JG60" s="207">
        <f t="shared" si="562"/>
        <v>0</v>
      </c>
      <c r="JH60" s="207">
        <f t="shared" si="562"/>
        <v>0</v>
      </c>
      <c r="JI60" s="207">
        <f t="shared" si="562"/>
        <v>0</v>
      </c>
      <c r="JJ60" s="207">
        <f t="shared" si="562"/>
        <v>0</v>
      </c>
      <c r="JK60" s="207">
        <f t="shared" si="562"/>
        <v>0</v>
      </c>
      <c r="JL60" s="207">
        <f t="shared" si="562"/>
        <v>0</v>
      </c>
      <c r="JM60" s="207">
        <f t="shared" si="562"/>
        <v>0</v>
      </c>
      <c r="JN60" s="207">
        <f t="shared" si="562"/>
        <v>0</v>
      </c>
      <c r="JO60" s="207">
        <f t="shared" si="562"/>
        <v>0</v>
      </c>
      <c r="JP60" s="207">
        <f t="shared" si="562"/>
        <v>0</v>
      </c>
      <c r="JQ60" s="207">
        <f t="shared" si="562"/>
        <v>0</v>
      </c>
      <c r="JR60" s="207">
        <f t="shared" si="562"/>
        <v>0</v>
      </c>
      <c r="JS60" s="207">
        <f t="shared" si="562"/>
        <v>0</v>
      </c>
      <c r="JT60" s="207">
        <f t="shared" si="562"/>
        <v>0</v>
      </c>
      <c r="JU60" s="207">
        <f t="shared" si="562"/>
        <v>0</v>
      </c>
      <c r="JV60" s="207">
        <f t="shared" si="562"/>
        <v>0</v>
      </c>
      <c r="JW60" s="207">
        <f t="shared" si="562"/>
        <v>0</v>
      </c>
      <c r="JX60" s="207">
        <f t="shared" si="562"/>
        <v>0</v>
      </c>
      <c r="JY60" s="207">
        <f t="shared" si="562"/>
        <v>0</v>
      </c>
      <c r="JZ60" s="207">
        <f t="shared" si="562"/>
        <v>0</v>
      </c>
      <c r="KA60" s="207">
        <f t="shared" ref="KA60:KE60" si="563">EQ49</f>
        <v>0</v>
      </c>
      <c r="KB60" s="207">
        <f t="shared" si="563"/>
        <v>0</v>
      </c>
      <c r="KC60" s="207">
        <f t="shared" si="563"/>
        <v>0</v>
      </c>
      <c r="KD60" s="207">
        <f t="shared" si="563"/>
        <v>0</v>
      </c>
      <c r="KE60" s="207">
        <f t="shared" si="563"/>
        <v>0</v>
      </c>
      <c r="KG60" s="216"/>
      <c r="KH60" s="203"/>
      <c r="KI60" s="203"/>
      <c r="KJ60" s="203"/>
      <c r="KK60" s="216"/>
      <c r="KL60" s="216"/>
      <c r="KM60" s="207"/>
      <c r="KN60" s="207"/>
      <c r="KO60" s="207"/>
      <c r="KP60" s="207"/>
      <c r="KQ60" s="207"/>
      <c r="KR60" s="207"/>
      <c r="KS60" s="207"/>
      <c r="KT60" s="207"/>
      <c r="KU60" s="207"/>
      <c r="KV60" s="207"/>
      <c r="KW60" s="207"/>
      <c r="KX60" s="207"/>
      <c r="KY60" s="207"/>
      <c r="KZ60" s="207"/>
      <c r="LA60" s="207"/>
      <c r="LB60" s="207"/>
      <c r="LC60" s="207"/>
      <c r="LD60" s="207"/>
      <c r="LE60" s="207"/>
      <c r="LF60" s="207"/>
      <c r="LG60" s="207"/>
      <c r="LH60" s="207"/>
      <c r="LI60" s="207"/>
      <c r="LJ60" s="207"/>
      <c r="LK60" s="207"/>
      <c r="LL60" s="207"/>
      <c r="LM60" s="207"/>
      <c r="LN60" s="207"/>
      <c r="LO60" s="207"/>
      <c r="LP60" s="207"/>
      <c r="LQ60" s="207"/>
      <c r="LR60" s="207"/>
      <c r="LS60" s="207"/>
      <c r="LT60" s="207"/>
      <c r="LU60" s="207"/>
      <c r="LV60" s="207"/>
      <c r="LW60" s="207"/>
      <c r="LX60" s="207"/>
      <c r="LY60" s="207"/>
      <c r="LZ60" s="207"/>
      <c r="MA60" s="207"/>
      <c r="MB60" s="207"/>
      <c r="MC60" s="207"/>
      <c r="MD60" s="207"/>
      <c r="ME60" s="207"/>
      <c r="MF60" s="207"/>
      <c r="MG60" s="207"/>
      <c r="MH60" s="207"/>
      <c r="MI60" s="207"/>
      <c r="MJ60" s="207"/>
      <c r="MK60" s="207"/>
      <c r="ML60" s="207"/>
      <c r="MM60" s="207"/>
      <c r="MN60" s="207"/>
      <c r="MO60" s="207"/>
      <c r="MP60" s="207"/>
      <c r="MQ60" s="207"/>
      <c r="MR60" s="207"/>
      <c r="MS60" s="207"/>
      <c r="MT60" s="207"/>
      <c r="MU60" s="207"/>
      <c r="MV60" s="207"/>
      <c r="MW60" s="207"/>
      <c r="MX60" s="207"/>
      <c r="MY60" s="207"/>
      <c r="MZ60" s="207"/>
      <c r="NA60" s="207"/>
      <c r="NB60" s="207"/>
      <c r="NC60" s="207"/>
      <c r="ND60" s="207"/>
      <c r="NE60" s="207"/>
      <c r="NF60" s="207"/>
      <c r="NG60" s="207"/>
      <c r="NH60" s="207"/>
      <c r="NI60" s="207"/>
      <c r="NJ60" s="207"/>
      <c r="NK60" s="207"/>
      <c r="NL60" s="207"/>
      <c r="NM60" s="207"/>
      <c r="NN60" s="207"/>
      <c r="NO60" s="207"/>
      <c r="NP60" s="207"/>
      <c r="NQ60" s="207"/>
      <c r="NR60" s="207"/>
      <c r="NS60" s="207"/>
      <c r="NT60" s="207"/>
      <c r="NU60" s="207"/>
      <c r="NV60" s="207"/>
      <c r="NW60" s="207"/>
      <c r="NX60" s="207"/>
      <c r="NY60" s="207"/>
      <c r="NZ60" s="207"/>
      <c r="OA60" s="207"/>
      <c r="OB60" s="207"/>
      <c r="OC60" s="207"/>
      <c r="OD60" s="207"/>
      <c r="OE60" s="207"/>
      <c r="OF60" s="207"/>
      <c r="OG60" s="207"/>
      <c r="OH60" s="207"/>
      <c r="OI60" s="207"/>
      <c r="OJ60" s="207"/>
      <c r="OK60" s="207"/>
      <c r="OL60" s="207"/>
      <c r="OM60" s="207"/>
      <c r="ON60" s="207"/>
      <c r="OO60" s="207"/>
      <c r="OP60" s="207"/>
      <c r="OQ60" s="207"/>
      <c r="OR60" s="207"/>
      <c r="OS60" s="207"/>
      <c r="OT60" s="207"/>
      <c r="OU60" s="207"/>
      <c r="OV60" s="207"/>
      <c r="OW60" s="207"/>
      <c r="OX60" s="207"/>
      <c r="OY60" s="207"/>
      <c r="OZ60" s="207"/>
      <c r="PA60" s="207"/>
      <c r="PB60" s="207"/>
      <c r="PC60" s="207"/>
      <c r="PD60" s="207"/>
      <c r="PE60" s="207"/>
      <c r="PF60" s="207"/>
      <c r="PG60" s="207"/>
      <c r="PH60" s="207"/>
      <c r="PI60" s="207"/>
      <c r="PJ60" s="207"/>
      <c r="PK60" s="207"/>
      <c r="PL60" s="207"/>
      <c r="PM60" s="207"/>
      <c r="PN60" s="207"/>
      <c r="PO60" s="207"/>
      <c r="PQ60" s="201"/>
      <c r="PR60" s="201"/>
      <c r="PS60" s="201"/>
      <c r="PT60" s="201"/>
      <c r="PU60" s="201"/>
      <c r="PV60" s="201"/>
      <c r="PW60" s="201"/>
      <c r="PX60" s="201"/>
      <c r="PY60" s="201"/>
      <c r="PZ60" s="201"/>
      <c r="QA60" s="201"/>
      <c r="QB60" s="201"/>
      <c r="QC60" s="201"/>
      <c r="QD60" s="201"/>
      <c r="QE60" s="201"/>
      <c r="QF60" s="201"/>
      <c r="QG60" s="201"/>
      <c r="QH60" s="201"/>
      <c r="QI60" s="201"/>
      <c r="QJ60" s="201"/>
      <c r="QK60" s="201"/>
      <c r="QL60" s="201"/>
      <c r="QM60" s="201"/>
      <c r="QN60" s="201"/>
      <c r="QO60" s="201"/>
      <c r="QP60" s="201"/>
      <c r="QQ60" s="201"/>
      <c r="QR60" s="201"/>
      <c r="QS60" s="201"/>
      <c r="QT60" s="201"/>
      <c r="QU60" s="201"/>
      <c r="QV60" s="201"/>
      <c r="QW60" s="201"/>
      <c r="QX60" s="201"/>
      <c r="QY60" s="201"/>
      <c r="QZ60" s="201"/>
      <c r="RA60" s="201"/>
      <c r="RB60" s="201"/>
      <c r="RC60" s="201"/>
      <c r="RD60" s="201"/>
      <c r="RE60" s="201"/>
      <c r="RF60" s="201"/>
      <c r="RG60" s="201"/>
      <c r="RH60" s="201"/>
      <c r="RI60" s="201"/>
      <c r="RJ60" s="201"/>
      <c r="RK60" s="201"/>
      <c r="RL60" s="201"/>
      <c r="RM60" s="201"/>
      <c r="RN60" s="201"/>
      <c r="RO60" s="201"/>
      <c r="RP60" s="201"/>
      <c r="RQ60" s="201"/>
      <c r="RR60" s="201"/>
      <c r="RS60" s="201"/>
      <c r="RT60" s="201"/>
      <c r="RU60" s="201"/>
      <c r="RV60" s="201"/>
      <c r="RW60" s="201"/>
      <c r="RX60" s="201"/>
      <c r="RY60" s="201"/>
      <c r="RZ60" s="201"/>
      <c r="SA60" s="201"/>
      <c r="SB60" s="201"/>
      <c r="SC60" s="201"/>
      <c r="SD60" s="201"/>
      <c r="SE60" s="201"/>
      <c r="SF60" s="201"/>
      <c r="SG60" s="201"/>
      <c r="SH60" s="201"/>
      <c r="SI60" s="201"/>
      <c r="SJ60" s="201"/>
      <c r="SK60" s="201"/>
      <c r="SL60" s="201"/>
      <c r="SM60" s="201"/>
      <c r="SN60" s="201"/>
      <c r="SO60" s="201"/>
      <c r="SP60" s="201"/>
      <c r="SQ60" s="201"/>
      <c r="SR60" s="201"/>
      <c r="SS60" s="201"/>
      <c r="ST60" s="201"/>
      <c r="SU60" s="201"/>
      <c r="SV60" s="201"/>
      <c r="SW60" s="201"/>
      <c r="SX60" s="201"/>
      <c r="SY60" s="201"/>
      <c r="SZ60" s="201"/>
      <c r="TA60" s="201"/>
      <c r="TB60" s="201"/>
      <c r="TC60" s="201"/>
      <c r="TD60" s="201"/>
      <c r="TE60" s="201"/>
      <c r="TF60" s="201"/>
      <c r="TG60" s="201"/>
      <c r="TH60" s="201"/>
      <c r="TI60" s="201"/>
      <c r="TJ60" s="201"/>
      <c r="TK60" s="201"/>
      <c r="TL60" s="201"/>
      <c r="TM60" s="201"/>
      <c r="TN60" s="201"/>
      <c r="TO60" s="201"/>
      <c r="TP60" s="201"/>
      <c r="TQ60" s="201"/>
      <c r="TR60" s="201"/>
      <c r="TS60" s="201"/>
      <c r="TT60" s="201"/>
      <c r="TU60" s="201"/>
      <c r="TV60" s="201"/>
      <c r="TW60" s="201"/>
      <c r="TX60" s="201"/>
      <c r="TY60" s="201"/>
      <c r="TZ60" s="201"/>
      <c r="UA60" s="201"/>
      <c r="UB60" s="201"/>
      <c r="UC60" s="201"/>
      <c r="UD60" s="201"/>
      <c r="UE60" s="201"/>
      <c r="UF60" s="201"/>
      <c r="UG60" s="201"/>
      <c r="UH60" s="201"/>
      <c r="UI60" s="201"/>
      <c r="UJ60" s="201"/>
      <c r="UK60" s="201"/>
      <c r="UL60" s="201"/>
      <c r="UM60" s="201"/>
      <c r="UN60" s="201"/>
      <c r="UO60" s="201"/>
      <c r="UP60" s="201"/>
      <c r="UQ60" s="201"/>
      <c r="UR60" s="201"/>
      <c r="US60" s="201"/>
      <c r="UT60" s="201"/>
      <c r="UU60" s="201"/>
    </row>
    <row r="61" spans="2:567" x14ac:dyDescent="0.25">
      <c r="B61" s="18" t="s">
        <v>54</v>
      </c>
      <c r="C61" s="59"/>
      <c r="D61" s="59" t="s">
        <v>101</v>
      </c>
      <c r="E61" s="561" t="s">
        <v>661</v>
      </c>
      <c r="F61" s="18"/>
      <c r="G61" s="18"/>
      <c r="H61" s="59" t="s">
        <v>89</v>
      </c>
      <c r="I61" s="53" t="str">
        <f>I52</f>
        <v>/NRA</v>
      </c>
      <c r="J61" s="30" t="str">
        <f>J52</f>
        <v>/ UNIT</v>
      </c>
      <c r="K61" s="29" t="s">
        <v>31</v>
      </c>
      <c r="R61" s="89" t="s">
        <v>80</v>
      </c>
      <c r="S61" s="87">
        <v>0</v>
      </c>
      <c r="T61" s="87">
        <f>S61+1</f>
        <v>1</v>
      </c>
      <c r="U61" s="87">
        <f t="shared" ref="U61" si="564">T61+1</f>
        <v>2</v>
      </c>
      <c r="V61" s="87">
        <f t="shared" ref="V61" si="565">U61+1</f>
        <v>3</v>
      </c>
      <c r="W61" s="87">
        <f t="shared" ref="W61" si="566">V61+1</f>
        <v>4</v>
      </c>
      <c r="X61" s="87">
        <f t="shared" ref="X61" si="567">W61+1</f>
        <v>5</v>
      </c>
      <c r="Y61" s="87">
        <f t="shared" ref="Y61" si="568">X61+1</f>
        <v>6</v>
      </c>
      <c r="Z61" s="87">
        <f t="shared" ref="Z61" si="569">Y61+1</f>
        <v>7</v>
      </c>
      <c r="AA61" s="87">
        <f t="shared" ref="AA61" si="570">Z61+1</f>
        <v>8</v>
      </c>
      <c r="AB61" s="87">
        <f t="shared" ref="AB61" si="571">AA61+1</f>
        <v>9</v>
      </c>
      <c r="AC61" s="87">
        <f t="shared" ref="AC61" si="572">AB61+1</f>
        <v>10</v>
      </c>
      <c r="AD61" s="87">
        <f t="shared" ref="AD61" si="573">AC61+1</f>
        <v>11</v>
      </c>
      <c r="AE61" s="87">
        <f t="shared" ref="AE61" si="574">AD61+1</f>
        <v>12</v>
      </c>
      <c r="AF61" s="87">
        <f t="shared" ref="AF61" si="575">AE61+1</f>
        <v>13</v>
      </c>
      <c r="AG61" s="87">
        <f t="shared" ref="AG61" si="576">AF61+1</f>
        <v>14</v>
      </c>
      <c r="AH61" s="87">
        <f t="shared" ref="AH61" si="577">AG61+1</f>
        <v>15</v>
      </c>
      <c r="AI61" s="87">
        <f t="shared" ref="AI61" si="578">AH61+1</f>
        <v>16</v>
      </c>
      <c r="AJ61" s="87">
        <f t="shared" ref="AJ61" si="579">AI61+1</f>
        <v>17</v>
      </c>
      <c r="AK61" s="87">
        <f t="shared" ref="AK61" si="580">AJ61+1</f>
        <v>18</v>
      </c>
      <c r="AL61" s="87">
        <f t="shared" ref="AL61" si="581">AK61+1</f>
        <v>19</v>
      </c>
      <c r="AM61" s="87">
        <f t="shared" ref="AM61" si="582">AL61+1</f>
        <v>20</v>
      </c>
      <c r="AN61" s="87">
        <f t="shared" ref="AN61" si="583">AM61+1</f>
        <v>21</v>
      </c>
      <c r="AO61" s="87">
        <f t="shared" ref="AO61" si="584">AN61+1</f>
        <v>22</v>
      </c>
      <c r="AP61" s="87">
        <f t="shared" ref="AP61" si="585">AO61+1</f>
        <v>23</v>
      </c>
      <c r="AQ61" s="87">
        <f t="shared" ref="AQ61" si="586">AP61+1</f>
        <v>24</v>
      </c>
      <c r="AR61" s="87">
        <f t="shared" ref="AR61" si="587">AQ61+1</f>
        <v>25</v>
      </c>
      <c r="AS61" s="87">
        <f t="shared" ref="AS61" si="588">AR61+1</f>
        <v>26</v>
      </c>
      <c r="AT61" s="87">
        <f t="shared" ref="AT61" si="589">AS61+1</f>
        <v>27</v>
      </c>
      <c r="AU61" s="87">
        <f t="shared" ref="AU61" si="590">AT61+1</f>
        <v>28</v>
      </c>
      <c r="AV61" s="87">
        <f t="shared" ref="AV61" si="591">AU61+1</f>
        <v>29</v>
      </c>
      <c r="AW61" s="87">
        <f t="shared" ref="AW61" si="592">AV61+1</f>
        <v>30</v>
      </c>
      <c r="AX61" s="87">
        <f t="shared" ref="AX61" si="593">AW61+1</f>
        <v>31</v>
      </c>
      <c r="AY61" s="87">
        <f t="shared" ref="AY61" si="594">AX61+1</f>
        <v>32</v>
      </c>
      <c r="AZ61" s="87">
        <f t="shared" ref="AZ61" si="595">AY61+1</f>
        <v>33</v>
      </c>
      <c r="BA61" s="87">
        <f t="shared" ref="BA61" si="596">AZ61+1</f>
        <v>34</v>
      </c>
      <c r="BB61" s="87">
        <f t="shared" ref="BB61" si="597">BA61+1</f>
        <v>35</v>
      </c>
      <c r="BC61" s="87">
        <f t="shared" ref="BC61" si="598">BB61+1</f>
        <v>36</v>
      </c>
      <c r="BD61" s="87">
        <f t="shared" ref="BD61" si="599">BC61+1</f>
        <v>37</v>
      </c>
      <c r="BE61" s="87">
        <f t="shared" ref="BE61" si="600">BD61+1</f>
        <v>38</v>
      </c>
      <c r="BF61" s="87">
        <f t="shared" ref="BF61" si="601">BE61+1</f>
        <v>39</v>
      </c>
      <c r="BG61" s="87">
        <f t="shared" ref="BG61" si="602">BF61+1</f>
        <v>40</v>
      </c>
      <c r="BH61" s="87">
        <f t="shared" ref="BH61" si="603">BG61+1</f>
        <v>41</v>
      </c>
      <c r="BI61" s="87">
        <f t="shared" ref="BI61" si="604">BH61+1</f>
        <v>42</v>
      </c>
      <c r="BJ61" s="87">
        <f t="shared" ref="BJ61" si="605">BI61+1</f>
        <v>43</v>
      </c>
      <c r="BK61" s="87">
        <f t="shared" ref="BK61" si="606">BJ61+1</f>
        <v>44</v>
      </c>
      <c r="BL61" s="87">
        <f t="shared" ref="BL61" si="607">BK61+1</f>
        <v>45</v>
      </c>
      <c r="BM61" s="87">
        <f t="shared" ref="BM61" si="608">BL61+1</f>
        <v>46</v>
      </c>
      <c r="BN61" s="87">
        <f t="shared" ref="BN61" si="609">BM61+1</f>
        <v>47</v>
      </c>
      <c r="BO61" s="87">
        <f t="shared" ref="BO61" si="610">BN61+1</f>
        <v>48</v>
      </c>
      <c r="BP61" s="87">
        <f t="shared" ref="BP61" si="611">BO61+1</f>
        <v>49</v>
      </c>
      <c r="BQ61" s="87">
        <f t="shared" ref="BQ61" si="612">BP61+1</f>
        <v>50</v>
      </c>
      <c r="BR61" s="87">
        <f t="shared" ref="BR61" si="613">BQ61+1</f>
        <v>51</v>
      </c>
      <c r="BS61" s="87">
        <f t="shared" ref="BS61" si="614">BR61+1</f>
        <v>52</v>
      </c>
      <c r="BT61" s="87">
        <f t="shared" ref="BT61" si="615">BS61+1</f>
        <v>53</v>
      </c>
      <c r="BU61" s="87">
        <f t="shared" ref="BU61" si="616">BT61+1</f>
        <v>54</v>
      </c>
      <c r="BV61" s="87">
        <f t="shared" ref="BV61" si="617">BU61+1</f>
        <v>55</v>
      </c>
      <c r="BW61" s="87">
        <f t="shared" ref="BW61" si="618">BV61+1</f>
        <v>56</v>
      </c>
      <c r="BX61" s="87">
        <f t="shared" ref="BX61" si="619">BW61+1</f>
        <v>57</v>
      </c>
      <c r="BY61" s="87">
        <f t="shared" ref="BY61" si="620">BX61+1</f>
        <v>58</v>
      </c>
      <c r="BZ61" s="87">
        <f t="shared" ref="BZ61" si="621">BY61+1</f>
        <v>59</v>
      </c>
      <c r="CA61" s="87">
        <f t="shared" ref="CA61" si="622">BZ61+1</f>
        <v>60</v>
      </c>
      <c r="CB61" s="87">
        <f t="shared" ref="CB61" si="623">CA61+1</f>
        <v>61</v>
      </c>
      <c r="CC61" s="87">
        <f t="shared" ref="CC61" si="624">CB61+1</f>
        <v>62</v>
      </c>
      <c r="CD61" s="87">
        <f t="shared" ref="CD61" si="625">CC61+1</f>
        <v>63</v>
      </c>
      <c r="CE61" s="87">
        <f t="shared" ref="CE61" si="626">CD61+1</f>
        <v>64</v>
      </c>
      <c r="CF61" s="87">
        <f t="shared" ref="CF61" si="627">CE61+1</f>
        <v>65</v>
      </c>
      <c r="CG61" s="87">
        <f t="shared" ref="CG61" si="628">CF61+1</f>
        <v>66</v>
      </c>
      <c r="CH61" s="87">
        <f t="shared" ref="CH61" si="629">CG61+1</f>
        <v>67</v>
      </c>
      <c r="CI61" s="87">
        <f t="shared" ref="CI61" si="630">CH61+1</f>
        <v>68</v>
      </c>
      <c r="CJ61" s="87">
        <f t="shared" ref="CJ61" si="631">CI61+1</f>
        <v>69</v>
      </c>
      <c r="CK61" s="87">
        <f t="shared" ref="CK61" si="632">CJ61+1</f>
        <v>70</v>
      </c>
      <c r="CL61" s="87">
        <f t="shared" ref="CL61" si="633">CK61+1</f>
        <v>71</v>
      </c>
      <c r="CM61" s="87">
        <f t="shared" ref="CM61" si="634">CL61+1</f>
        <v>72</v>
      </c>
      <c r="CN61" s="87">
        <f t="shared" ref="CN61" si="635">CM61+1</f>
        <v>73</v>
      </c>
      <c r="CO61" s="87">
        <f t="shared" ref="CO61" si="636">CN61+1</f>
        <v>74</v>
      </c>
      <c r="CP61" s="87">
        <f t="shared" ref="CP61" si="637">CO61+1</f>
        <v>75</v>
      </c>
      <c r="CQ61" s="87">
        <f t="shared" ref="CQ61" si="638">CP61+1</f>
        <v>76</v>
      </c>
      <c r="CR61" s="87">
        <f t="shared" ref="CR61" si="639">CQ61+1</f>
        <v>77</v>
      </c>
      <c r="CS61" s="87">
        <f t="shared" ref="CS61" si="640">CR61+1</f>
        <v>78</v>
      </c>
      <c r="CT61" s="87">
        <f t="shared" ref="CT61" si="641">CS61+1</f>
        <v>79</v>
      </c>
      <c r="CU61" s="87">
        <f t="shared" ref="CU61" si="642">CT61+1</f>
        <v>80</v>
      </c>
      <c r="CV61" s="87">
        <f t="shared" ref="CV61" si="643">CU61+1</f>
        <v>81</v>
      </c>
      <c r="CW61" s="87">
        <f t="shared" ref="CW61" si="644">CV61+1</f>
        <v>82</v>
      </c>
      <c r="CX61" s="87">
        <f t="shared" ref="CX61" si="645">CW61+1</f>
        <v>83</v>
      </c>
      <c r="CY61" s="87">
        <f t="shared" ref="CY61" si="646">CX61+1</f>
        <v>84</v>
      </c>
      <c r="CZ61" s="87">
        <f t="shared" ref="CZ61" si="647">CY61+1</f>
        <v>85</v>
      </c>
      <c r="DA61" s="87">
        <f t="shared" ref="DA61" si="648">CZ61+1</f>
        <v>86</v>
      </c>
      <c r="DB61" s="87">
        <f t="shared" ref="DB61" si="649">DA61+1</f>
        <v>87</v>
      </c>
      <c r="DC61" s="87">
        <f t="shared" ref="DC61" si="650">DB61+1</f>
        <v>88</v>
      </c>
      <c r="DD61" s="87">
        <f t="shared" ref="DD61" si="651">DC61+1</f>
        <v>89</v>
      </c>
      <c r="DE61" s="87">
        <f t="shared" ref="DE61" si="652">DD61+1</f>
        <v>90</v>
      </c>
      <c r="DF61" s="87">
        <f t="shared" ref="DF61" si="653">DE61+1</f>
        <v>91</v>
      </c>
      <c r="DG61" s="87">
        <f t="shared" ref="DG61" si="654">DF61+1</f>
        <v>92</v>
      </c>
      <c r="DH61" s="87">
        <f t="shared" ref="DH61" si="655">DG61+1</f>
        <v>93</v>
      </c>
      <c r="DI61" s="87">
        <f t="shared" ref="DI61" si="656">DH61+1</f>
        <v>94</v>
      </c>
      <c r="DJ61" s="87">
        <f t="shared" ref="DJ61" si="657">DI61+1</f>
        <v>95</v>
      </c>
      <c r="DK61" s="87">
        <f t="shared" ref="DK61" si="658">DJ61+1</f>
        <v>96</v>
      </c>
      <c r="DL61" s="87">
        <f t="shared" ref="DL61" si="659">DK61+1</f>
        <v>97</v>
      </c>
      <c r="DM61" s="87">
        <f t="shared" ref="DM61" si="660">DL61+1</f>
        <v>98</v>
      </c>
      <c r="DN61" s="87">
        <f t="shared" ref="DN61" si="661">DM61+1</f>
        <v>99</v>
      </c>
      <c r="DO61" s="87">
        <f t="shared" ref="DO61" si="662">DN61+1</f>
        <v>100</v>
      </c>
      <c r="DP61" s="87">
        <f t="shared" ref="DP61" si="663">DO61+1</f>
        <v>101</v>
      </c>
      <c r="DQ61" s="87">
        <f t="shared" ref="DQ61" si="664">DP61+1</f>
        <v>102</v>
      </c>
      <c r="DR61" s="87">
        <f t="shared" ref="DR61" si="665">DQ61+1</f>
        <v>103</v>
      </c>
      <c r="DS61" s="87">
        <f t="shared" ref="DS61" si="666">DR61+1</f>
        <v>104</v>
      </c>
      <c r="DT61" s="87">
        <f t="shared" ref="DT61" si="667">DS61+1</f>
        <v>105</v>
      </c>
      <c r="DU61" s="87">
        <f t="shared" ref="DU61" si="668">DT61+1</f>
        <v>106</v>
      </c>
      <c r="DV61" s="87">
        <f t="shared" ref="DV61" si="669">DU61+1</f>
        <v>107</v>
      </c>
      <c r="DW61" s="87">
        <f t="shared" ref="DW61" si="670">DV61+1</f>
        <v>108</v>
      </c>
      <c r="DX61" s="87">
        <f t="shared" ref="DX61" si="671">DW61+1</f>
        <v>109</v>
      </c>
      <c r="DY61" s="87">
        <f t="shared" ref="DY61" si="672">DX61+1</f>
        <v>110</v>
      </c>
      <c r="DZ61" s="87">
        <f t="shared" ref="DZ61" si="673">DY61+1</f>
        <v>111</v>
      </c>
      <c r="EA61" s="87">
        <f t="shared" ref="EA61" si="674">DZ61+1</f>
        <v>112</v>
      </c>
      <c r="EB61" s="87">
        <f t="shared" ref="EB61" si="675">EA61+1</f>
        <v>113</v>
      </c>
      <c r="EC61" s="87">
        <f t="shared" ref="EC61" si="676">EB61+1</f>
        <v>114</v>
      </c>
      <c r="ED61" s="87">
        <f t="shared" ref="ED61" si="677">EC61+1</f>
        <v>115</v>
      </c>
      <c r="EE61" s="87">
        <f t="shared" ref="EE61" si="678">ED61+1</f>
        <v>116</v>
      </c>
      <c r="EF61" s="87">
        <f t="shared" ref="EF61" si="679">EE61+1</f>
        <v>117</v>
      </c>
      <c r="EG61" s="87">
        <f t="shared" ref="EG61" si="680">EF61+1</f>
        <v>118</v>
      </c>
      <c r="EH61" s="87">
        <f t="shared" ref="EH61" si="681">EG61+1</f>
        <v>119</v>
      </c>
      <c r="EI61" s="87">
        <f t="shared" ref="EI61" si="682">EH61+1</f>
        <v>120</v>
      </c>
      <c r="EJ61" s="87">
        <f t="shared" ref="EJ61" si="683">EI61+1</f>
        <v>121</v>
      </c>
      <c r="EK61" s="87">
        <f t="shared" ref="EK61" si="684">EJ61+1</f>
        <v>122</v>
      </c>
      <c r="EL61" s="87">
        <f t="shared" ref="EL61" si="685">EK61+1</f>
        <v>123</v>
      </c>
      <c r="EM61" s="87">
        <f t="shared" ref="EM61" si="686">EL61+1</f>
        <v>124</v>
      </c>
      <c r="EN61" s="87">
        <f t="shared" ref="EN61" si="687">EM61+1</f>
        <v>125</v>
      </c>
      <c r="EO61" s="87">
        <f t="shared" ref="EO61" si="688">EN61+1</f>
        <v>126</v>
      </c>
      <c r="EP61" s="87">
        <f t="shared" ref="EP61" si="689">EO61+1</f>
        <v>127</v>
      </c>
      <c r="EQ61" s="87">
        <f t="shared" ref="EQ61" si="690">EP61+1</f>
        <v>128</v>
      </c>
      <c r="ER61" s="87">
        <f t="shared" ref="ER61" si="691">EQ61+1</f>
        <v>129</v>
      </c>
      <c r="ES61" s="87">
        <f>ER61+1</f>
        <v>130</v>
      </c>
      <c r="ET61" s="87">
        <f>ES61+1</f>
        <v>131</v>
      </c>
      <c r="EU61" s="87">
        <f>ET61+1</f>
        <v>132</v>
      </c>
      <c r="EW61" s="199" t="s">
        <v>51</v>
      </c>
      <c r="EX61" s="209">
        <f>D62</f>
        <v>1</v>
      </c>
      <c r="EY61" s="207">
        <f>(K58-EY63-EY64)*H62</f>
        <v>1382546.5</v>
      </c>
      <c r="EZ61" s="217">
        <f>IFERROR(EY61/SUMIF($EX$61:$EX$64,EX61,$EY$61:$EY$64),0)</f>
        <v>1</v>
      </c>
      <c r="FA61" s="199">
        <v>1</v>
      </c>
      <c r="FB61" s="209">
        <f>SUMIF($EX$61:$EX$64,FA61,$EY$61:$EY$64)</f>
        <v>1382546.5</v>
      </c>
      <c r="FC61" s="209">
        <f>+FB61-FC67</f>
        <v>0</v>
      </c>
      <c r="FD61" s="209">
        <f>+FC61-FD67</f>
        <v>0</v>
      </c>
      <c r="FE61" s="209">
        <f t="shared" ref="FE61:HP61" si="692">+FD61-FE67</f>
        <v>0</v>
      </c>
      <c r="FF61" s="209">
        <f t="shared" si="692"/>
        <v>0</v>
      </c>
      <c r="FG61" s="209">
        <f t="shared" si="692"/>
        <v>0</v>
      </c>
      <c r="FH61" s="209">
        <f t="shared" si="692"/>
        <v>0</v>
      </c>
      <c r="FI61" s="209">
        <f t="shared" si="692"/>
        <v>0</v>
      </c>
      <c r="FJ61" s="209">
        <f t="shared" si="692"/>
        <v>0</v>
      </c>
      <c r="FK61" s="209">
        <f t="shared" si="692"/>
        <v>0</v>
      </c>
      <c r="FL61" s="209">
        <f t="shared" si="692"/>
        <v>0</v>
      </c>
      <c r="FM61" s="209">
        <f t="shared" si="692"/>
        <v>0</v>
      </c>
      <c r="FN61" s="209">
        <f t="shared" si="692"/>
        <v>0</v>
      </c>
      <c r="FO61" s="209">
        <f t="shared" si="692"/>
        <v>0</v>
      </c>
      <c r="FP61" s="209">
        <f t="shared" si="692"/>
        <v>0</v>
      </c>
      <c r="FQ61" s="209">
        <f t="shared" si="692"/>
        <v>0</v>
      </c>
      <c r="FR61" s="209">
        <f t="shared" si="692"/>
        <v>0</v>
      </c>
      <c r="FS61" s="209">
        <f t="shared" si="692"/>
        <v>0</v>
      </c>
      <c r="FT61" s="209">
        <f t="shared" si="692"/>
        <v>0</v>
      </c>
      <c r="FU61" s="209">
        <f t="shared" si="692"/>
        <v>0</v>
      </c>
      <c r="FV61" s="209">
        <f t="shared" si="692"/>
        <v>0</v>
      </c>
      <c r="FW61" s="209">
        <f t="shared" si="692"/>
        <v>0</v>
      </c>
      <c r="FX61" s="209">
        <f t="shared" si="692"/>
        <v>0</v>
      </c>
      <c r="FY61" s="209">
        <f t="shared" si="692"/>
        <v>0</v>
      </c>
      <c r="FZ61" s="209">
        <f t="shared" si="692"/>
        <v>0</v>
      </c>
      <c r="GA61" s="209">
        <f t="shared" si="692"/>
        <v>0</v>
      </c>
      <c r="GB61" s="209">
        <f t="shared" si="692"/>
        <v>0</v>
      </c>
      <c r="GC61" s="209">
        <f t="shared" si="692"/>
        <v>0</v>
      </c>
      <c r="GD61" s="209">
        <f t="shared" si="692"/>
        <v>0</v>
      </c>
      <c r="GE61" s="209">
        <f t="shared" si="692"/>
        <v>0</v>
      </c>
      <c r="GF61" s="209">
        <f t="shared" si="692"/>
        <v>0</v>
      </c>
      <c r="GG61" s="209">
        <f t="shared" si="692"/>
        <v>0</v>
      </c>
      <c r="GH61" s="209">
        <f t="shared" si="692"/>
        <v>0</v>
      </c>
      <c r="GI61" s="209">
        <f t="shared" si="692"/>
        <v>0</v>
      </c>
      <c r="GJ61" s="209">
        <f t="shared" si="692"/>
        <v>0</v>
      </c>
      <c r="GK61" s="209">
        <f t="shared" si="692"/>
        <v>0</v>
      </c>
      <c r="GL61" s="209">
        <f t="shared" si="692"/>
        <v>0</v>
      </c>
      <c r="GM61" s="209">
        <f t="shared" si="692"/>
        <v>0</v>
      </c>
      <c r="GN61" s="209">
        <f t="shared" si="692"/>
        <v>0</v>
      </c>
      <c r="GO61" s="209">
        <f t="shared" si="692"/>
        <v>0</v>
      </c>
      <c r="GP61" s="209">
        <f t="shared" si="692"/>
        <v>0</v>
      </c>
      <c r="GQ61" s="209">
        <f t="shared" si="692"/>
        <v>0</v>
      </c>
      <c r="GR61" s="209">
        <f t="shared" si="692"/>
        <v>0</v>
      </c>
      <c r="GS61" s="209">
        <f t="shared" si="692"/>
        <v>0</v>
      </c>
      <c r="GT61" s="209">
        <f t="shared" si="692"/>
        <v>0</v>
      </c>
      <c r="GU61" s="209">
        <f t="shared" si="692"/>
        <v>0</v>
      </c>
      <c r="GV61" s="209">
        <f t="shared" si="692"/>
        <v>0</v>
      </c>
      <c r="GW61" s="209">
        <f t="shared" si="692"/>
        <v>0</v>
      </c>
      <c r="GX61" s="209">
        <f t="shared" si="692"/>
        <v>0</v>
      </c>
      <c r="GY61" s="209">
        <f t="shared" si="692"/>
        <v>0</v>
      </c>
      <c r="GZ61" s="209">
        <f t="shared" si="692"/>
        <v>0</v>
      </c>
      <c r="HA61" s="209">
        <f t="shared" si="692"/>
        <v>0</v>
      </c>
      <c r="HB61" s="209">
        <f t="shared" si="692"/>
        <v>0</v>
      </c>
      <c r="HC61" s="209">
        <f t="shared" si="692"/>
        <v>0</v>
      </c>
      <c r="HD61" s="209">
        <f t="shared" si="692"/>
        <v>0</v>
      </c>
      <c r="HE61" s="209">
        <f t="shared" si="692"/>
        <v>0</v>
      </c>
      <c r="HF61" s="209">
        <f t="shared" si="692"/>
        <v>0</v>
      </c>
      <c r="HG61" s="209">
        <f t="shared" si="692"/>
        <v>0</v>
      </c>
      <c r="HH61" s="209">
        <f t="shared" si="692"/>
        <v>0</v>
      </c>
      <c r="HI61" s="209">
        <f t="shared" si="692"/>
        <v>0</v>
      </c>
      <c r="HJ61" s="209">
        <f t="shared" si="692"/>
        <v>0</v>
      </c>
      <c r="HK61" s="209">
        <f t="shared" si="692"/>
        <v>0</v>
      </c>
      <c r="HL61" s="209">
        <f t="shared" si="692"/>
        <v>0</v>
      </c>
      <c r="HM61" s="209">
        <f t="shared" si="692"/>
        <v>0</v>
      </c>
      <c r="HN61" s="209">
        <f t="shared" si="692"/>
        <v>0</v>
      </c>
      <c r="HO61" s="209">
        <f t="shared" si="692"/>
        <v>0</v>
      </c>
      <c r="HP61" s="209">
        <f t="shared" si="692"/>
        <v>0</v>
      </c>
      <c r="HQ61" s="209">
        <f t="shared" ref="HQ61:KB61" si="693">+HP61-HQ67</f>
        <v>0</v>
      </c>
      <c r="HR61" s="209">
        <f t="shared" si="693"/>
        <v>0</v>
      </c>
      <c r="HS61" s="209">
        <f t="shared" si="693"/>
        <v>0</v>
      </c>
      <c r="HT61" s="209">
        <f t="shared" si="693"/>
        <v>0</v>
      </c>
      <c r="HU61" s="209">
        <f t="shared" si="693"/>
        <v>0</v>
      </c>
      <c r="HV61" s="209">
        <f t="shared" si="693"/>
        <v>0</v>
      </c>
      <c r="HW61" s="209">
        <f t="shared" si="693"/>
        <v>0</v>
      </c>
      <c r="HX61" s="209">
        <f t="shared" si="693"/>
        <v>0</v>
      </c>
      <c r="HY61" s="209">
        <f t="shared" si="693"/>
        <v>0</v>
      </c>
      <c r="HZ61" s="209">
        <f t="shared" si="693"/>
        <v>0</v>
      </c>
      <c r="IA61" s="209">
        <f t="shared" si="693"/>
        <v>0</v>
      </c>
      <c r="IB61" s="209">
        <f t="shared" si="693"/>
        <v>0</v>
      </c>
      <c r="IC61" s="209">
        <f t="shared" si="693"/>
        <v>0</v>
      </c>
      <c r="ID61" s="209">
        <f t="shared" si="693"/>
        <v>0</v>
      </c>
      <c r="IE61" s="209">
        <f t="shared" si="693"/>
        <v>0</v>
      </c>
      <c r="IF61" s="209">
        <f t="shared" si="693"/>
        <v>0</v>
      </c>
      <c r="IG61" s="209">
        <f t="shared" si="693"/>
        <v>0</v>
      </c>
      <c r="IH61" s="209">
        <f t="shared" si="693"/>
        <v>0</v>
      </c>
      <c r="II61" s="209">
        <f t="shared" si="693"/>
        <v>0</v>
      </c>
      <c r="IJ61" s="209">
        <f t="shared" si="693"/>
        <v>0</v>
      </c>
      <c r="IK61" s="209">
        <f t="shared" si="693"/>
        <v>0</v>
      </c>
      <c r="IL61" s="209">
        <f t="shared" si="693"/>
        <v>0</v>
      </c>
      <c r="IM61" s="209">
        <f t="shared" si="693"/>
        <v>0</v>
      </c>
      <c r="IN61" s="209">
        <f t="shared" si="693"/>
        <v>0</v>
      </c>
      <c r="IO61" s="209">
        <f t="shared" si="693"/>
        <v>0</v>
      </c>
      <c r="IP61" s="209">
        <f t="shared" si="693"/>
        <v>0</v>
      </c>
      <c r="IQ61" s="209">
        <f t="shared" si="693"/>
        <v>0</v>
      </c>
      <c r="IR61" s="209">
        <f t="shared" si="693"/>
        <v>0</v>
      </c>
      <c r="IS61" s="209">
        <f t="shared" si="693"/>
        <v>0</v>
      </c>
      <c r="IT61" s="209">
        <f t="shared" si="693"/>
        <v>0</v>
      </c>
      <c r="IU61" s="209">
        <f t="shared" si="693"/>
        <v>0</v>
      </c>
      <c r="IV61" s="209">
        <f t="shared" si="693"/>
        <v>0</v>
      </c>
      <c r="IW61" s="209">
        <f t="shared" si="693"/>
        <v>0</v>
      </c>
      <c r="IX61" s="209">
        <f t="shared" si="693"/>
        <v>0</v>
      </c>
      <c r="IY61" s="209">
        <f t="shared" si="693"/>
        <v>0</v>
      </c>
      <c r="IZ61" s="209">
        <f t="shared" si="693"/>
        <v>0</v>
      </c>
      <c r="JA61" s="209">
        <f t="shared" si="693"/>
        <v>0</v>
      </c>
      <c r="JB61" s="209">
        <f t="shared" si="693"/>
        <v>0</v>
      </c>
      <c r="JC61" s="209">
        <f t="shared" si="693"/>
        <v>0</v>
      </c>
      <c r="JD61" s="209">
        <f t="shared" si="693"/>
        <v>0</v>
      </c>
      <c r="JE61" s="209">
        <f t="shared" si="693"/>
        <v>0</v>
      </c>
      <c r="JF61" s="209">
        <f t="shared" si="693"/>
        <v>0</v>
      </c>
      <c r="JG61" s="209">
        <f t="shared" si="693"/>
        <v>0</v>
      </c>
      <c r="JH61" s="209">
        <f t="shared" si="693"/>
        <v>0</v>
      </c>
      <c r="JI61" s="209">
        <f t="shared" si="693"/>
        <v>0</v>
      </c>
      <c r="JJ61" s="209">
        <f t="shared" si="693"/>
        <v>0</v>
      </c>
      <c r="JK61" s="209">
        <f t="shared" si="693"/>
        <v>0</v>
      </c>
      <c r="JL61" s="209">
        <f t="shared" si="693"/>
        <v>0</v>
      </c>
      <c r="JM61" s="209">
        <f t="shared" si="693"/>
        <v>0</v>
      </c>
      <c r="JN61" s="209">
        <f t="shared" si="693"/>
        <v>0</v>
      </c>
      <c r="JO61" s="209">
        <f t="shared" si="693"/>
        <v>0</v>
      </c>
      <c r="JP61" s="209">
        <f t="shared" si="693"/>
        <v>0</v>
      </c>
      <c r="JQ61" s="209">
        <f t="shared" si="693"/>
        <v>0</v>
      </c>
      <c r="JR61" s="209">
        <f t="shared" si="693"/>
        <v>0</v>
      </c>
      <c r="JS61" s="209">
        <f t="shared" si="693"/>
        <v>0</v>
      </c>
      <c r="JT61" s="209">
        <f t="shared" si="693"/>
        <v>0</v>
      </c>
      <c r="JU61" s="209">
        <f t="shared" si="693"/>
        <v>0</v>
      </c>
      <c r="JV61" s="209">
        <f t="shared" si="693"/>
        <v>0</v>
      </c>
      <c r="JW61" s="209">
        <f t="shared" si="693"/>
        <v>0</v>
      </c>
      <c r="JX61" s="209">
        <f t="shared" si="693"/>
        <v>0</v>
      </c>
      <c r="JY61" s="209">
        <f t="shared" si="693"/>
        <v>0</v>
      </c>
      <c r="JZ61" s="209">
        <f t="shared" si="693"/>
        <v>0</v>
      </c>
      <c r="KA61" s="209">
        <f t="shared" si="693"/>
        <v>0</v>
      </c>
      <c r="KB61" s="209">
        <f t="shared" si="693"/>
        <v>0</v>
      </c>
      <c r="KC61" s="209">
        <f t="shared" ref="KC61:KE61" si="694">+KB61-KC67</f>
        <v>0</v>
      </c>
      <c r="KD61" s="209">
        <f t="shared" si="694"/>
        <v>0</v>
      </c>
      <c r="KE61" s="209">
        <f t="shared" si="694"/>
        <v>0</v>
      </c>
      <c r="KH61" s="209"/>
      <c r="KI61" s="207"/>
      <c r="KJ61" s="217"/>
      <c r="KL61" s="209"/>
      <c r="KM61" s="209"/>
      <c r="KN61" s="209"/>
      <c r="KO61" s="209"/>
      <c r="KP61" s="209"/>
      <c r="KQ61" s="209"/>
      <c r="KR61" s="209"/>
      <c r="KS61" s="209"/>
      <c r="KT61" s="209"/>
      <c r="KU61" s="209"/>
      <c r="KV61" s="209"/>
      <c r="KW61" s="209"/>
      <c r="KX61" s="209"/>
      <c r="KY61" s="209"/>
      <c r="KZ61" s="209"/>
      <c r="LA61" s="209"/>
      <c r="LB61" s="209"/>
      <c r="LC61" s="209"/>
      <c r="LD61" s="209"/>
      <c r="LE61" s="209"/>
      <c r="LF61" s="209"/>
      <c r="LG61" s="209"/>
      <c r="LH61" s="209"/>
      <c r="LI61" s="209"/>
      <c r="LJ61" s="209"/>
      <c r="LK61" s="209"/>
      <c r="LL61" s="209"/>
      <c r="LM61" s="209"/>
      <c r="LN61" s="209"/>
      <c r="LO61" s="209"/>
      <c r="LP61" s="209"/>
      <c r="LQ61" s="209"/>
      <c r="LR61" s="209"/>
      <c r="LS61" s="209"/>
      <c r="LT61" s="209"/>
      <c r="LU61" s="209"/>
      <c r="LV61" s="209"/>
      <c r="LW61" s="209"/>
      <c r="LX61" s="209"/>
      <c r="LY61" s="209"/>
      <c r="LZ61" s="209"/>
      <c r="MA61" s="209"/>
      <c r="MB61" s="209"/>
      <c r="MC61" s="209"/>
      <c r="MD61" s="209"/>
      <c r="ME61" s="209"/>
      <c r="MF61" s="209"/>
      <c r="MG61" s="209"/>
      <c r="MH61" s="209"/>
      <c r="MI61" s="209"/>
      <c r="MJ61" s="209"/>
      <c r="MK61" s="209"/>
      <c r="ML61" s="209"/>
      <c r="MM61" s="209"/>
      <c r="MN61" s="209"/>
      <c r="MO61" s="209"/>
      <c r="MP61" s="209"/>
      <c r="MQ61" s="209"/>
      <c r="MR61" s="209"/>
      <c r="MS61" s="209"/>
      <c r="MT61" s="209"/>
      <c r="MU61" s="209"/>
      <c r="MV61" s="209"/>
      <c r="MW61" s="209"/>
      <c r="MX61" s="209"/>
      <c r="MY61" s="209"/>
      <c r="MZ61" s="209"/>
      <c r="NA61" s="209"/>
      <c r="NB61" s="209"/>
      <c r="NC61" s="209"/>
      <c r="ND61" s="209"/>
      <c r="NE61" s="209"/>
      <c r="NF61" s="209"/>
      <c r="NG61" s="209"/>
      <c r="NH61" s="209"/>
      <c r="NI61" s="209"/>
      <c r="NJ61" s="209"/>
      <c r="NK61" s="209"/>
      <c r="NL61" s="209"/>
      <c r="NM61" s="209"/>
      <c r="NN61" s="209"/>
      <c r="NO61" s="209"/>
      <c r="NP61" s="209"/>
      <c r="NQ61" s="209"/>
      <c r="NR61" s="209"/>
      <c r="NS61" s="209"/>
      <c r="NT61" s="209"/>
      <c r="NU61" s="209"/>
      <c r="NV61" s="209"/>
      <c r="NW61" s="209"/>
      <c r="NX61" s="209"/>
      <c r="NY61" s="209"/>
      <c r="NZ61" s="209"/>
      <c r="OA61" s="209"/>
      <c r="OB61" s="209"/>
      <c r="OC61" s="209"/>
      <c r="OD61" s="209"/>
      <c r="OE61" s="209"/>
      <c r="OF61" s="209"/>
      <c r="OG61" s="209"/>
      <c r="OH61" s="209"/>
      <c r="OI61" s="209"/>
      <c r="OJ61" s="209"/>
      <c r="OK61" s="209"/>
      <c r="OL61" s="209"/>
      <c r="OM61" s="209"/>
      <c r="ON61" s="209"/>
      <c r="OO61" s="209"/>
      <c r="OP61" s="209"/>
      <c r="OQ61" s="209"/>
      <c r="OR61" s="209"/>
      <c r="OS61" s="209"/>
      <c r="OT61" s="209"/>
      <c r="OU61" s="209"/>
      <c r="OV61" s="209"/>
      <c r="OW61" s="209"/>
      <c r="OX61" s="209"/>
      <c r="OY61" s="209"/>
      <c r="OZ61" s="209"/>
      <c r="PA61" s="209"/>
      <c r="PB61" s="209"/>
      <c r="PC61" s="209"/>
      <c r="PD61" s="209"/>
      <c r="PE61" s="209"/>
      <c r="PF61" s="209"/>
      <c r="PG61" s="209"/>
      <c r="PH61" s="209"/>
      <c r="PI61" s="209"/>
      <c r="PJ61" s="209"/>
      <c r="PK61" s="209"/>
      <c r="PL61" s="209"/>
      <c r="PM61" s="209"/>
      <c r="PN61" s="209"/>
      <c r="PO61" s="209"/>
      <c r="PQ61" s="201"/>
      <c r="PR61" s="201"/>
      <c r="PS61" s="201"/>
      <c r="PT61" s="201"/>
      <c r="PU61" s="201"/>
      <c r="PV61" s="201"/>
      <c r="PW61" s="201"/>
      <c r="PX61" s="201"/>
      <c r="PY61" s="201"/>
      <c r="PZ61" s="201"/>
      <c r="QA61" s="201"/>
      <c r="QB61" s="201"/>
      <c r="QC61" s="201"/>
      <c r="QD61" s="201"/>
      <c r="QE61" s="201"/>
      <c r="QF61" s="201"/>
      <c r="QG61" s="201"/>
      <c r="QH61" s="201"/>
      <c r="QI61" s="201"/>
      <c r="QJ61" s="201"/>
      <c r="QK61" s="201"/>
      <c r="QL61" s="201"/>
      <c r="QM61" s="201"/>
      <c r="QN61" s="201"/>
      <c r="QO61" s="201"/>
      <c r="QP61" s="201"/>
      <c r="QQ61" s="201"/>
      <c r="QR61" s="201"/>
      <c r="QS61" s="201"/>
      <c r="QT61" s="201"/>
      <c r="QU61" s="201"/>
      <c r="QV61" s="201"/>
      <c r="QW61" s="201"/>
      <c r="QX61" s="201"/>
      <c r="QY61" s="201"/>
      <c r="QZ61" s="201"/>
      <c r="RA61" s="201"/>
      <c r="RB61" s="201"/>
      <c r="RC61" s="201"/>
      <c r="RD61" s="201"/>
      <c r="RE61" s="201"/>
      <c r="RF61" s="201"/>
      <c r="RG61" s="201"/>
      <c r="RH61" s="201"/>
      <c r="RI61" s="201"/>
      <c r="RJ61" s="201"/>
      <c r="RK61" s="201"/>
      <c r="RL61" s="201"/>
      <c r="RM61" s="201"/>
      <c r="RN61" s="201"/>
      <c r="RO61" s="201"/>
      <c r="RP61" s="201"/>
      <c r="RQ61" s="201"/>
      <c r="RR61" s="201"/>
      <c r="RS61" s="201"/>
      <c r="RT61" s="201"/>
      <c r="RU61" s="201"/>
      <c r="RV61" s="201"/>
      <c r="RW61" s="201"/>
      <c r="RX61" s="201"/>
      <c r="RY61" s="201"/>
      <c r="RZ61" s="201"/>
      <c r="SA61" s="201"/>
      <c r="SB61" s="201"/>
      <c r="SC61" s="201"/>
      <c r="SD61" s="201"/>
      <c r="SE61" s="201"/>
      <c r="SF61" s="201"/>
      <c r="SG61" s="201"/>
      <c r="SH61" s="201"/>
      <c r="SI61" s="201"/>
      <c r="SJ61" s="201"/>
      <c r="SK61" s="201"/>
      <c r="SL61" s="201"/>
      <c r="SM61" s="201"/>
      <c r="SN61" s="201"/>
      <c r="SO61" s="201"/>
      <c r="SP61" s="201"/>
      <c r="SQ61" s="201"/>
      <c r="SR61" s="201"/>
      <c r="SS61" s="201"/>
      <c r="ST61" s="201"/>
      <c r="SU61" s="201"/>
      <c r="SV61" s="201"/>
      <c r="SW61" s="201"/>
      <c r="SX61" s="201"/>
      <c r="SY61" s="201"/>
      <c r="SZ61" s="201"/>
      <c r="TA61" s="201"/>
      <c r="TB61" s="201"/>
      <c r="TC61" s="201"/>
      <c r="TD61" s="201"/>
      <c r="TE61" s="201"/>
      <c r="TF61" s="201"/>
      <c r="TG61" s="201"/>
      <c r="TH61" s="201"/>
      <c r="TI61" s="201"/>
      <c r="TJ61" s="201"/>
      <c r="TK61" s="201"/>
      <c r="TL61" s="201"/>
      <c r="TM61" s="201"/>
      <c r="TN61" s="201"/>
      <c r="TO61" s="201"/>
      <c r="TP61" s="201"/>
      <c r="TQ61" s="201"/>
      <c r="TR61" s="201"/>
      <c r="TS61" s="201"/>
      <c r="TT61" s="201"/>
      <c r="TU61" s="201"/>
      <c r="TV61" s="201"/>
      <c r="TW61" s="201"/>
      <c r="TX61" s="201"/>
      <c r="TY61" s="201"/>
      <c r="TZ61" s="201"/>
      <c r="UA61" s="201"/>
      <c r="UB61" s="201"/>
      <c r="UC61" s="201"/>
      <c r="UD61" s="201"/>
      <c r="UE61" s="201"/>
      <c r="UF61" s="201"/>
      <c r="UG61" s="201"/>
      <c r="UH61" s="201"/>
      <c r="UI61" s="201"/>
      <c r="UJ61" s="201"/>
      <c r="UK61" s="201"/>
      <c r="UL61" s="201"/>
      <c r="UM61" s="201"/>
      <c r="UN61" s="201"/>
      <c r="UO61" s="201"/>
      <c r="UP61" s="201"/>
      <c r="UQ61" s="201"/>
      <c r="UR61" s="201"/>
      <c r="US61" s="201"/>
      <c r="UT61" s="201"/>
      <c r="UU61" s="201"/>
    </row>
    <row r="62" spans="2:567" x14ac:dyDescent="0.25">
      <c r="B62" s="54" t="s">
        <v>51</v>
      </c>
      <c r="C62" s="60"/>
      <c r="D62" s="60">
        <v>1</v>
      </c>
      <c r="E62" s="562">
        <f ca="1">K237</f>
        <v>1413952.75</v>
      </c>
      <c r="F62" s="390" t="b">
        <f>G62=1</f>
        <v>0</v>
      </c>
      <c r="G62" s="390" t="b">
        <f>H62=1</f>
        <v>0</v>
      </c>
      <c r="H62" s="61">
        <v>0.05</v>
      </c>
      <c r="I62" s="33">
        <f>K62/Units_SF</f>
        <v>5.4862956349206353</v>
      </c>
      <c r="J62" s="34">
        <f>K62/Units</f>
        <v>4608.4883333333337</v>
      </c>
      <c r="K62" s="34">
        <f>($K$58-$K$69)*H62</f>
        <v>1382546.5</v>
      </c>
      <c r="R62" s="90" t="str">
        <f t="shared" ref="R62:R64" si="695">IF(ROUND(SUM(S62:EU62),0)=ROUND(K62,0),"OK","ERROR")</f>
        <v>OK</v>
      </c>
      <c r="S62" s="92">
        <f t="shared" ref="S62:AX62" si="696">INDEX(FC$67:FC$70,$D62)*$EZ$61</f>
        <v>1382546.5</v>
      </c>
      <c r="T62" s="92">
        <f t="shared" si="696"/>
        <v>0</v>
      </c>
      <c r="U62" s="92">
        <f t="shared" si="696"/>
        <v>0</v>
      </c>
      <c r="V62" s="92">
        <f t="shared" si="696"/>
        <v>0</v>
      </c>
      <c r="W62" s="92">
        <f t="shared" si="696"/>
        <v>0</v>
      </c>
      <c r="X62" s="92">
        <f t="shared" si="696"/>
        <v>0</v>
      </c>
      <c r="Y62" s="92">
        <f t="shared" si="696"/>
        <v>0</v>
      </c>
      <c r="Z62" s="92">
        <f t="shared" si="696"/>
        <v>0</v>
      </c>
      <c r="AA62" s="92">
        <f t="shared" si="696"/>
        <v>0</v>
      </c>
      <c r="AB62" s="92">
        <f t="shared" si="696"/>
        <v>0</v>
      </c>
      <c r="AC62" s="92">
        <f t="shared" si="696"/>
        <v>0</v>
      </c>
      <c r="AD62" s="92">
        <f t="shared" si="696"/>
        <v>0</v>
      </c>
      <c r="AE62" s="92">
        <f t="shared" si="696"/>
        <v>0</v>
      </c>
      <c r="AF62" s="92">
        <f t="shared" si="696"/>
        <v>0</v>
      </c>
      <c r="AG62" s="92">
        <f t="shared" si="696"/>
        <v>0</v>
      </c>
      <c r="AH62" s="92">
        <f t="shared" si="696"/>
        <v>0</v>
      </c>
      <c r="AI62" s="92">
        <f t="shared" si="696"/>
        <v>0</v>
      </c>
      <c r="AJ62" s="92">
        <f t="shared" si="696"/>
        <v>0</v>
      </c>
      <c r="AK62" s="92">
        <f t="shared" si="696"/>
        <v>0</v>
      </c>
      <c r="AL62" s="92">
        <f t="shared" si="696"/>
        <v>0</v>
      </c>
      <c r="AM62" s="92">
        <f t="shared" si="696"/>
        <v>0</v>
      </c>
      <c r="AN62" s="92">
        <f t="shared" si="696"/>
        <v>0</v>
      </c>
      <c r="AO62" s="92">
        <f t="shared" si="696"/>
        <v>0</v>
      </c>
      <c r="AP62" s="92">
        <f t="shared" si="696"/>
        <v>0</v>
      </c>
      <c r="AQ62" s="92">
        <f t="shared" si="696"/>
        <v>0</v>
      </c>
      <c r="AR62" s="92">
        <f t="shared" si="696"/>
        <v>0</v>
      </c>
      <c r="AS62" s="92">
        <f t="shared" si="696"/>
        <v>0</v>
      </c>
      <c r="AT62" s="92">
        <f t="shared" si="696"/>
        <v>0</v>
      </c>
      <c r="AU62" s="92">
        <f t="shared" si="696"/>
        <v>0</v>
      </c>
      <c r="AV62" s="92">
        <f t="shared" si="696"/>
        <v>0</v>
      </c>
      <c r="AW62" s="92">
        <f t="shared" si="696"/>
        <v>0</v>
      </c>
      <c r="AX62" s="92">
        <f t="shared" si="696"/>
        <v>0</v>
      </c>
      <c r="AY62" s="92">
        <f t="shared" ref="AY62:CD62" si="697">INDEX(GI$67:GI$70,$D62)*$EZ$61</f>
        <v>0</v>
      </c>
      <c r="AZ62" s="92">
        <f t="shared" si="697"/>
        <v>0</v>
      </c>
      <c r="BA62" s="92">
        <f t="shared" si="697"/>
        <v>0</v>
      </c>
      <c r="BB62" s="92">
        <f t="shared" si="697"/>
        <v>0</v>
      </c>
      <c r="BC62" s="92">
        <f t="shared" si="697"/>
        <v>0</v>
      </c>
      <c r="BD62" s="92">
        <f t="shared" si="697"/>
        <v>0</v>
      </c>
      <c r="BE62" s="92">
        <f t="shared" si="697"/>
        <v>0</v>
      </c>
      <c r="BF62" s="92">
        <f t="shared" si="697"/>
        <v>0</v>
      </c>
      <c r="BG62" s="92">
        <f t="shared" si="697"/>
        <v>0</v>
      </c>
      <c r="BH62" s="92">
        <f t="shared" si="697"/>
        <v>0</v>
      </c>
      <c r="BI62" s="92">
        <f t="shared" si="697"/>
        <v>0</v>
      </c>
      <c r="BJ62" s="92">
        <f t="shared" si="697"/>
        <v>0</v>
      </c>
      <c r="BK62" s="92">
        <f t="shared" si="697"/>
        <v>0</v>
      </c>
      <c r="BL62" s="92">
        <f t="shared" si="697"/>
        <v>0</v>
      </c>
      <c r="BM62" s="92">
        <f t="shared" si="697"/>
        <v>0</v>
      </c>
      <c r="BN62" s="92">
        <f t="shared" si="697"/>
        <v>0</v>
      </c>
      <c r="BO62" s="92">
        <f t="shared" si="697"/>
        <v>0</v>
      </c>
      <c r="BP62" s="92">
        <f t="shared" si="697"/>
        <v>0</v>
      </c>
      <c r="BQ62" s="92">
        <f t="shared" si="697"/>
        <v>0</v>
      </c>
      <c r="BR62" s="92">
        <f t="shared" si="697"/>
        <v>0</v>
      </c>
      <c r="BS62" s="92">
        <f t="shared" si="697"/>
        <v>0</v>
      </c>
      <c r="BT62" s="92">
        <f t="shared" si="697"/>
        <v>0</v>
      </c>
      <c r="BU62" s="92">
        <f t="shared" si="697"/>
        <v>0</v>
      </c>
      <c r="BV62" s="92">
        <f t="shared" si="697"/>
        <v>0</v>
      </c>
      <c r="BW62" s="92">
        <f t="shared" si="697"/>
        <v>0</v>
      </c>
      <c r="BX62" s="92">
        <f t="shared" si="697"/>
        <v>0</v>
      </c>
      <c r="BY62" s="92">
        <f t="shared" si="697"/>
        <v>0</v>
      </c>
      <c r="BZ62" s="92">
        <f t="shared" si="697"/>
        <v>0</v>
      </c>
      <c r="CA62" s="92">
        <f t="shared" si="697"/>
        <v>0</v>
      </c>
      <c r="CB62" s="92">
        <f t="shared" si="697"/>
        <v>0</v>
      </c>
      <c r="CC62" s="92">
        <f t="shared" si="697"/>
        <v>0</v>
      </c>
      <c r="CD62" s="92">
        <f t="shared" si="697"/>
        <v>0</v>
      </c>
      <c r="CE62" s="92">
        <f t="shared" ref="CE62:DJ62" si="698">INDEX(HO$67:HO$70,$D62)*$EZ$61</f>
        <v>0</v>
      </c>
      <c r="CF62" s="92">
        <f t="shared" si="698"/>
        <v>0</v>
      </c>
      <c r="CG62" s="92">
        <f t="shared" si="698"/>
        <v>0</v>
      </c>
      <c r="CH62" s="92">
        <f t="shared" si="698"/>
        <v>0</v>
      </c>
      <c r="CI62" s="92">
        <f t="shared" si="698"/>
        <v>0</v>
      </c>
      <c r="CJ62" s="92">
        <f t="shared" si="698"/>
        <v>0</v>
      </c>
      <c r="CK62" s="92">
        <f t="shared" si="698"/>
        <v>0</v>
      </c>
      <c r="CL62" s="92">
        <f t="shared" si="698"/>
        <v>0</v>
      </c>
      <c r="CM62" s="92">
        <f t="shared" si="698"/>
        <v>0</v>
      </c>
      <c r="CN62" s="92">
        <f t="shared" si="698"/>
        <v>0</v>
      </c>
      <c r="CO62" s="92">
        <f t="shared" si="698"/>
        <v>0</v>
      </c>
      <c r="CP62" s="92">
        <f t="shared" si="698"/>
        <v>0</v>
      </c>
      <c r="CQ62" s="92">
        <f t="shared" si="698"/>
        <v>0</v>
      </c>
      <c r="CR62" s="92">
        <f t="shared" si="698"/>
        <v>0</v>
      </c>
      <c r="CS62" s="92">
        <f t="shared" si="698"/>
        <v>0</v>
      </c>
      <c r="CT62" s="92">
        <f t="shared" si="698"/>
        <v>0</v>
      </c>
      <c r="CU62" s="92">
        <f t="shared" si="698"/>
        <v>0</v>
      </c>
      <c r="CV62" s="92">
        <f t="shared" si="698"/>
        <v>0</v>
      </c>
      <c r="CW62" s="92">
        <f t="shared" si="698"/>
        <v>0</v>
      </c>
      <c r="CX62" s="92">
        <f t="shared" si="698"/>
        <v>0</v>
      </c>
      <c r="CY62" s="92">
        <f t="shared" si="698"/>
        <v>0</v>
      </c>
      <c r="CZ62" s="92">
        <f t="shared" si="698"/>
        <v>0</v>
      </c>
      <c r="DA62" s="92">
        <f t="shared" si="698"/>
        <v>0</v>
      </c>
      <c r="DB62" s="92">
        <f t="shared" si="698"/>
        <v>0</v>
      </c>
      <c r="DC62" s="92">
        <f t="shared" si="698"/>
        <v>0</v>
      </c>
      <c r="DD62" s="92">
        <f t="shared" si="698"/>
        <v>0</v>
      </c>
      <c r="DE62" s="92">
        <f t="shared" si="698"/>
        <v>0</v>
      </c>
      <c r="DF62" s="92">
        <f t="shared" si="698"/>
        <v>0</v>
      </c>
      <c r="DG62" s="92">
        <f t="shared" si="698"/>
        <v>0</v>
      </c>
      <c r="DH62" s="92">
        <f t="shared" si="698"/>
        <v>0</v>
      </c>
      <c r="DI62" s="92">
        <f t="shared" si="698"/>
        <v>0</v>
      </c>
      <c r="DJ62" s="92">
        <f t="shared" si="698"/>
        <v>0</v>
      </c>
      <c r="DK62" s="92">
        <f t="shared" ref="DK62:EP62" si="699">INDEX(IU$67:IU$70,$D62)*$EZ$61</f>
        <v>0</v>
      </c>
      <c r="DL62" s="92">
        <f t="shared" si="699"/>
        <v>0</v>
      </c>
      <c r="DM62" s="92">
        <f t="shared" si="699"/>
        <v>0</v>
      </c>
      <c r="DN62" s="92">
        <f t="shared" si="699"/>
        <v>0</v>
      </c>
      <c r="DO62" s="92">
        <f t="shared" si="699"/>
        <v>0</v>
      </c>
      <c r="DP62" s="92">
        <f t="shared" si="699"/>
        <v>0</v>
      </c>
      <c r="DQ62" s="92">
        <f t="shared" si="699"/>
        <v>0</v>
      </c>
      <c r="DR62" s="92">
        <f t="shared" si="699"/>
        <v>0</v>
      </c>
      <c r="DS62" s="92">
        <f t="shared" si="699"/>
        <v>0</v>
      </c>
      <c r="DT62" s="92">
        <f t="shared" si="699"/>
        <v>0</v>
      </c>
      <c r="DU62" s="92">
        <f t="shared" si="699"/>
        <v>0</v>
      </c>
      <c r="DV62" s="92">
        <f t="shared" si="699"/>
        <v>0</v>
      </c>
      <c r="DW62" s="92">
        <f t="shared" si="699"/>
        <v>0</v>
      </c>
      <c r="DX62" s="92">
        <f t="shared" si="699"/>
        <v>0</v>
      </c>
      <c r="DY62" s="92">
        <f t="shared" si="699"/>
        <v>0</v>
      </c>
      <c r="DZ62" s="92">
        <f t="shared" si="699"/>
        <v>0</v>
      </c>
      <c r="EA62" s="92">
        <f t="shared" si="699"/>
        <v>0</v>
      </c>
      <c r="EB62" s="92">
        <f t="shared" si="699"/>
        <v>0</v>
      </c>
      <c r="EC62" s="92">
        <f t="shared" si="699"/>
        <v>0</v>
      </c>
      <c r="ED62" s="92">
        <f t="shared" si="699"/>
        <v>0</v>
      </c>
      <c r="EE62" s="92">
        <f t="shared" si="699"/>
        <v>0</v>
      </c>
      <c r="EF62" s="92">
        <f t="shared" si="699"/>
        <v>0</v>
      </c>
      <c r="EG62" s="92">
        <f t="shared" si="699"/>
        <v>0</v>
      </c>
      <c r="EH62" s="92">
        <f t="shared" si="699"/>
        <v>0</v>
      </c>
      <c r="EI62" s="92">
        <f t="shared" si="699"/>
        <v>0</v>
      </c>
      <c r="EJ62" s="92">
        <f t="shared" si="699"/>
        <v>0</v>
      </c>
      <c r="EK62" s="92">
        <f t="shared" si="699"/>
        <v>0</v>
      </c>
      <c r="EL62" s="92">
        <f t="shared" si="699"/>
        <v>0</v>
      </c>
      <c r="EM62" s="92">
        <f t="shared" si="699"/>
        <v>0</v>
      </c>
      <c r="EN62" s="92">
        <f t="shared" si="699"/>
        <v>0</v>
      </c>
      <c r="EO62" s="92">
        <f t="shared" si="699"/>
        <v>0</v>
      </c>
      <c r="EP62" s="92">
        <f t="shared" si="699"/>
        <v>0</v>
      </c>
      <c r="EQ62" s="92">
        <f t="shared" ref="EQ62:EU62" si="700">INDEX(KA$67:KA$70,$D62)*$EZ$61</f>
        <v>0</v>
      </c>
      <c r="ER62" s="92">
        <f t="shared" si="700"/>
        <v>0</v>
      </c>
      <c r="ES62" s="92">
        <f t="shared" si="700"/>
        <v>0</v>
      </c>
      <c r="ET62" s="92">
        <f t="shared" si="700"/>
        <v>0</v>
      </c>
      <c r="EU62" s="92">
        <f t="shared" si="700"/>
        <v>0</v>
      </c>
      <c r="EW62" s="199" t="s">
        <v>52</v>
      </c>
      <c r="EX62" s="209">
        <f>+D63</f>
        <v>2</v>
      </c>
      <c r="EY62" s="207">
        <f>(K58-EY63-EY64)*H63</f>
        <v>26268383.5</v>
      </c>
      <c r="EZ62" s="217">
        <f t="shared" ref="EZ62:EZ64" si="701">IFERROR(EY62/SUMIF($EX$61:$EX$64,EX62,$EY$61:$EY$64),0)</f>
        <v>1</v>
      </c>
      <c r="FA62" s="199">
        <v>2</v>
      </c>
      <c r="FB62" s="209">
        <f t="shared" ref="FB62:FB64" si="702">SUMIF($EX$61:$EX$64,FA62,$EY$61:$EY$64)</f>
        <v>26268383.5</v>
      </c>
      <c r="FC62" s="209">
        <f>+FB62-FC68</f>
        <v>0</v>
      </c>
      <c r="FD62" s="209">
        <f t="shared" ref="FD62:HO62" si="703">+FC62-FD68</f>
        <v>0</v>
      </c>
      <c r="FE62" s="209">
        <f t="shared" si="703"/>
        <v>0</v>
      </c>
      <c r="FF62" s="209">
        <f t="shared" si="703"/>
        <v>0</v>
      </c>
      <c r="FG62" s="209">
        <f t="shared" si="703"/>
        <v>0</v>
      </c>
      <c r="FH62" s="209">
        <f t="shared" si="703"/>
        <v>0</v>
      </c>
      <c r="FI62" s="209">
        <f t="shared" si="703"/>
        <v>0</v>
      </c>
      <c r="FJ62" s="209">
        <f t="shared" si="703"/>
        <v>0</v>
      </c>
      <c r="FK62" s="209">
        <f t="shared" si="703"/>
        <v>0</v>
      </c>
      <c r="FL62" s="209">
        <f t="shared" si="703"/>
        <v>0</v>
      </c>
      <c r="FM62" s="209">
        <f t="shared" si="703"/>
        <v>0</v>
      </c>
      <c r="FN62" s="209">
        <f t="shared" si="703"/>
        <v>0</v>
      </c>
      <c r="FO62" s="209">
        <f t="shared" si="703"/>
        <v>0</v>
      </c>
      <c r="FP62" s="209">
        <f t="shared" si="703"/>
        <v>0</v>
      </c>
      <c r="FQ62" s="209">
        <f t="shared" si="703"/>
        <v>0</v>
      </c>
      <c r="FR62" s="209">
        <f t="shared" si="703"/>
        <v>0</v>
      </c>
      <c r="FS62" s="209">
        <f t="shared" si="703"/>
        <v>0</v>
      </c>
      <c r="FT62" s="209">
        <f t="shared" si="703"/>
        <v>0</v>
      </c>
      <c r="FU62" s="209">
        <f t="shared" si="703"/>
        <v>0</v>
      </c>
      <c r="FV62" s="209">
        <f t="shared" si="703"/>
        <v>0</v>
      </c>
      <c r="FW62" s="209">
        <f t="shared" si="703"/>
        <v>0</v>
      </c>
      <c r="FX62" s="209">
        <f t="shared" si="703"/>
        <v>0</v>
      </c>
      <c r="FY62" s="209">
        <f t="shared" si="703"/>
        <v>0</v>
      </c>
      <c r="FZ62" s="209">
        <f t="shared" si="703"/>
        <v>0</v>
      </c>
      <c r="GA62" s="209">
        <f t="shared" si="703"/>
        <v>0</v>
      </c>
      <c r="GB62" s="209">
        <f t="shared" si="703"/>
        <v>0</v>
      </c>
      <c r="GC62" s="209">
        <f t="shared" si="703"/>
        <v>0</v>
      </c>
      <c r="GD62" s="209">
        <f t="shared" si="703"/>
        <v>0</v>
      </c>
      <c r="GE62" s="209">
        <f t="shared" si="703"/>
        <v>0</v>
      </c>
      <c r="GF62" s="209">
        <f t="shared" si="703"/>
        <v>0</v>
      </c>
      <c r="GG62" s="209">
        <f t="shared" si="703"/>
        <v>0</v>
      </c>
      <c r="GH62" s="209">
        <f t="shared" si="703"/>
        <v>0</v>
      </c>
      <c r="GI62" s="209">
        <f t="shared" si="703"/>
        <v>0</v>
      </c>
      <c r="GJ62" s="209">
        <f t="shared" si="703"/>
        <v>0</v>
      </c>
      <c r="GK62" s="209">
        <f t="shared" si="703"/>
        <v>0</v>
      </c>
      <c r="GL62" s="209">
        <f t="shared" si="703"/>
        <v>0</v>
      </c>
      <c r="GM62" s="209">
        <f t="shared" si="703"/>
        <v>0</v>
      </c>
      <c r="GN62" s="209">
        <f t="shared" si="703"/>
        <v>0</v>
      </c>
      <c r="GO62" s="209">
        <f t="shared" si="703"/>
        <v>0</v>
      </c>
      <c r="GP62" s="209">
        <f t="shared" si="703"/>
        <v>0</v>
      </c>
      <c r="GQ62" s="209">
        <f t="shared" si="703"/>
        <v>0</v>
      </c>
      <c r="GR62" s="209">
        <f t="shared" si="703"/>
        <v>0</v>
      </c>
      <c r="GS62" s="209">
        <f t="shared" si="703"/>
        <v>0</v>
      </c>
      <c r="GT62" s="209">
        <f t="shared" si="703"/>
        <v>0</v>
      </c>
      <c r="GU62" s="209">
        <f t="shared" si="703"/>
        <v>0</v>
      </c>
      <c r="GV62" s="209">
        <f t="shared" si="703"/>
        <v>0</v>
      </c>
      <c r="GW62" s="209">
        <f t="shared" si="703"/>
        <v>0</v>
      </c>
      <c r="GX62" s="209">
        <f t="shared" si="703"/>
        <v>0</v>
      </c>
      <c r="GY62" s="209">
        <f t="shared" si="703"/>
        <v>0</v>
      </c>
      <c r="GZ62" s="209">
        <f t="shared" si="703"/>
        <v>0</v>
      </c>
      <c r="HA62" s="209">
        <f t="shared" si="703"/>
        <v>0</v>
      </c>
      <c r="HB62" s="209">
        <f t="shared" si="703"/>
        <v>0</v>
      </c>
      <c r="HC62" s="209">
        <f t="shared" si="703"/>
        <v>0</v>
      </c>
      <c r="HD62" s="209">
        <f t="shared" si="703"/>
        <v>0</v>
      </c>
      <c r="HE62" s="209">
        <f t="shared" si="703"/>
        <v>0</v>
      </c>
      <c r="HF62" s="209">
        <f t="shared" si="703"/>
        <v>0</v>
      </c>
      <c r="HG62" s="209">
        <f t="shared" si="703"/>
        <v>0</v>
      </c>
      <c r="HH62" s="209">
        <f t="shared" si="703"/>
        <v>0</v>
      </c>
      <c r="HI62" s="209">
        <f t="shared" si="703"/>
        <v>0</v>
      </c>
      <c r="HJ62" s="209">
        <f t="shared" si="703"/>
        <v>0</v>
      </c>
      <c r="HK62" s="209">
        <f t="shared" si="703"/>
        <v>0</v>
      </c>
      <c r="HL62" s="209">
        <f t="shared" si="703"/>
        <v>0</v>
      </c>
      <c r="HM62" s="209">
        <f t="shared" si="703"/>
        <v>0</v>
      </c>
      <c r="HN62" s="209">
        <f t="shared" si="703"/>
        <v>0</v>
      </c>
      <c r="HO62" s="209">
        <f t="shared" si="703"/>
        <v>0</v>
      </c>
      <c r="HP62" s="209">
        <f t="shared" ref="HP62:KA62" si="704">+HO62-HP68</f>
        <v>0</v>
      </c>
      <c r="HQ62" s="209">
        <f t="shared" si="704"/>
        <v>0</v>
      </c>
      <c r="HR62" s="209">
        <f t="shared" si="704"/>
        <v>0</v>
      </c>
      <c r="HS62" s="209">
        <f t="shared" si="704"/>
        <v>0</v>
      </c>
      <c r="HT62" s="209">
        <f t="shared" si="704"/>
        <v>0</v>
      </c>
      <c r="HU62" s="209">
        <f t="shared" si="704"/>
        <v>0</v>
      </c>
      <c r="HV62" s="209">
        <f t="shared" si="704"/>
        <v>0</v>
      </c>
      <c r="HW62" s="209">
        <f t="shared" si="704"/>
        <v>0</v>
      </c>
      <c r="HX62" s="209">
        <f t="shared" si="704"/>
        <v>0</v>
      </c>
      <c r="HY62" s="209">
        <f t="shared" si="704"/>
        <v>0</v>
      </c>
      <c r="HZ62" s="209">
        <f t="shared" si="704"/>
        <v>0</v>
      </c>
      <c r="IA62" s="209">
        <f t="shared" si="704"/>
        <v>0</v>
      </c>
      <c r="IB62" s="209">
        <f t="shared" si="704"/>
        <v>0</v>
      </c>
      <c r="IC62" s="209">
        <f t="shared" si="704"/>
        <v>0</v>
      </c>
      <c r="ID62" s="209">
        <f t="shared" si="704"/>
        <v>0</v>
      </c>
      <c r="IE62" s="209">
        <f t="shared" si="704"/>
        <v>0</v>
      </c>
      <c r="IF62" s="209">
        <f t="shared" si="704"/>
        <v>0</v>
      </c>
      <c r="IG62" s="209">
        <f t="shared" si="704"/>
        <v>0</v>
      </c>
      <c r="IH62" s="209">
        <f t="shared" si="704"/>
        <v>0</v>
      </c>
      <c r="II62" s="209">
        <f t="shared" si="704"/>
        <v>0</v>
      </c>
      <c r="IJ62" s="209">
        <f t="shared" si="704"/>
        <v>0</v>
      </c>
      <c r="IK62" s="209">
        <f t="shared" si="704"/>
        <v>0</v>
      </c>
      <c r="IL62" s="209">
        <f t="shared" si="704"/>
        <v>0</v>
      </c>
      <c r="IM62" s="209">
        <f t="shared" si="704"/>
        <v>0</v>
      </c>
      <c r="IN62" s="209">
        <f t="shared" si="704"/>
        <v>0</v>
      </c>
      <c r="IO62" s="209">
        <f t="shared" si="704"/>
        <v>0</v>
      </c>
      <c r="IP62" s="209">
        <f t="shared" si="704"/>
        <v>0</v>
      </c>
      <c r="IQ62" s="209">
        <f t="shared" si="704"/>
        <v>0</v>
      </c>
      <c r="IR62" s="209">
        <f t="shared" si="704"/>
        <v>0</v>
      </c>
      <c r="IS62" s="209">
        <f t="shared" si="704"/>
        <v>0</v>
      </c>
      <c r="IT62" s="209">
        <f t="shared" si="704"/>
        <v>0</v>
      </c>
      <c r="IU62" s="209">
        <f t="shared" si="704"/>
        <v>0</v>
      </c>
      <c r="IV62" s="209">
        <f t="shared" si="704"/>
        <v>0</v>
      </c>
      <c r="IW62" s="209">
        <f t="shared" si="704"/>
        <v>0</v>
      </c>
      <c r="IX62" s="209">
        <f t="shared" si="704"/>
        <v>0</v>
      </c>
      <c r="IY62" s="209">
        <f t="shared" si="704"/>
        <v>0</v>
      </c>
      <c r="IZ62" s="209">
        <f t="shared" si="704"/>
        <v>0</v>
      </c>
      <c r="JA62" s="209">
        <f t="shared" si="704"/>
        <v>0</v>
      </c>
      <c r="JB62" s="209">
        <f t="shared" si="704"/>
        <v>0</v>
      </c>
      <c r="JC62" s="209">
        <f t="shared" si="704"/>
        <v>0</v>
      </c>
      <c r="JD62" s="209">
        <f t="shared" si="704"/>
        <v>0</v>
      </c>
      <c r="JE62" s="209">
        <f t="shared" si="704"/>
        <v>0</v>
      </c>
      <c r="JF62" s="209">
        <f t="shared" si="704"/>
        <v>0</v>
      </c>
      <c r="JG62" s="209">
        <f t="shared" si="704"/>
        <v>0</v>
      </c>
      <c r="JH62" s="209">
        <f t="shared" si="704"/>
        <v>0</v>
      </c>
      <c r="JI62" s="209">
        <f t="shared" si="704"/>
        <v>0</v>
      </c>
      <c r="JJ62" s="209">
        <f t="shared" si="704"/>
        <v>0</v>
      </c>
      <c r="JK62" s="209">
        <f t="shared" si="704"/>
        <v>0</v>
      </c>
      <c r="JL62" s="209">
        <f t="shared" si="704"/>
        <v>0</v>
      </c>
      <c r="JM62" s="209">
        <f t="shared" si="704"/>
        <v>0</v>
      </c>
      <c r="JN62" s="209">
        <f t="shared" si="704"/>
        <v>0</v>
      </c>
      <c r="JO62" s="209">
        <f t="shared" si="704"/>
        <v>0</v>
      </c>
      <c r="JP62" s="209">
        <f t="shared" si="704"/>
        <v>0</v>
      </c>
      <c r="JQ62" s="209">
        <f t="shared" si="704"/>
        <v>0</v>
      </c>
      <c r="JR62" s="209">
        <f t="shared" si="704"/>
        <v>0</v>
      </c>
      <c r="JS62" s="209">
        <f t="shared" si="704"/>
        <v>0</v>
      </c>
      <c r="JT62" s="209">
        <f t="shared" si="704"/>
        <v>0</v>
      </c>
      <c r="JU62" s="209">
        <f t="shared" si="704"/>
        <v>0</v>
      </c>
      <c r="JV62" s="209">
        <f t="shared" si="704"/>
        <v>0</v>
      </c>
      <c r="JW62" s="209">
        <f t="shared" si="704"/>
        <v>0</v>
      </c>
      <c r="JX62" s="209">
        <f t="shared" si="704"/>
        <v>0</v>
      </c>
      <c r="JY62" s="209">
        <f t="shared" si="704"/>
        <v>0</v>
      </c>
      <c r="JZ62" s="209">
        <f t="shared" si="704"/>
        <v>0</v>
      </c>
      <c r="KA62" s="209">
        <f t="shared" si="704"/>
        <v>0</v>
      </c>
      <c r="KB62" s="209">
        <f t="shared" ref="KB62:KE62" si="705">+KA62-KB68</f>
        <v>0</v>
      </c>
      <c r="KC62" s="209">
        <f t="shared" si="705"/>
        <v>0</v>
      </c>
      <c r="KD62" s="209">
        <f t="shared" si="705"/>
        <v>0</v>
      </c>
      <c r="KE62" s="209">
        <f t="shared" si="705"/>
        <v>0</v>
      </c>
      <c r="KH62" s="209"/>
      <c r="KI62" s="207"/>
      <c r="KJ62" s="217"/>
      <c r="KL62" s="209"/>
      <c r="KM62" s="209"/>
      <c r="KN62" s="209"/>
      <c r="KO62" s="209"/>
      <c r="KP62" s="209"/>
      <c r="KQ62" s="209"/>
      <c r="KR62" s="209"/>
      <c r="KS62" s="209"/>
      <c r="KT62" s="209"/>
      <c r="KU62" s="209"/>
      <c r="KV62" s="209"/>
      <c r="KW62" s="209"/>
      <c r="KX62" s="209"/>
      <c r="KY62" s="209"/>
      <c r="KZ62" s="209"/>
      <c r="LA62" s="209"/>
      <c r="LB62" s="209"/>
      <c r="LC62" s="209"/>
      <c r="LD62" s="209"/>
      <c r="LE62" s="209"/>
      <c r="LF62" s="209"/>
      <c r="LG62" s="209"/>
      <c r="LH62" s="209"/>
      <c r="LI62" s="209"/>
      <c r="LJ62" s="209"/>
      <c r="LK62" s="209"/>
      <c r="LL62" s="209"/>
      <c r="LM62" s="209"/>
      <c r="LN62" s="209"/>
      <c r="LO62" s="209"/>
      <c r="LP62" s="209"/>
      <c r="LQ62" s="209"/>
      <c r="LR62" s="209"/>
      <c r="LS62" s="209"/>
      <c r="LT62" s="209"/>
      <c r="LU62" s="209"/>
      <c r="LV62" s="209"/>
      <c r="LW62" s="209"/>
      <c r="LX62" s="209"/>
      <c r="LY62" s="209"/>
      <c r="LZ62" s="209"/>
      <c r="MA62" s="209"/>
      <c r="MB62" s="209"/>
      <c r="MC62" s="209"/>
      <c r="MD62" s="209"/>
      <c r="ME62" s="209"/>
      <c r="MF62" s="209"/>
      <c r="MG62" s="209"/>
      <c r="MH62" s="209"/>
      <c r="MI62" s="209"/>
      <c r="MJ62" s="209"/>
      <c r="MK62" s="209"/>
      <c r="ML62" s="209"/>
      <c r="MM62" s="209"/>
      <c r="MN62" s="209"/>
      <c r="MO62" s="209"/>
      <c r="MP62" s="209"/>
      <c r="MQ62" s="209"/>
      <c r="MR62" s="209"/>
      <c r="MS62" s="209"/>
      <c r="MT62" s="209"/>
      <c r="MU62" s="209"/>
      <c r="MV62" s="209"/>
      <c r="MW62" s="209"/>
      <c r="MX62" s="209"/>
      <c r="MY62" s="209"/>
      <c r="MZ62" s="209"/>
      <c r="NA62" s="209"/>
      <c r="NB62" s="209"/>
      <c r="NC62" s="209"/>
      <c r="ND62" s="209"/>
      <c r="NE62" s="209"/>
      <c r="NF62" s="209"/>
      <c r="NG62" s="209"/>
      <c r="NH62" s="209"/>
      <c r="NI62" s="209"/>
      <c r="NJ62" s="209"/>
      <c r="NK62" s="209"/>
      <c r="NL62" s="209"/>
      <c r="NM62" s="209"/>
      <c r="NN62" s="209"/>
      <c r="NO62" s="209"/>
      <c r="NP62" s="209"/>
      <c r="NQ62" s="209"/>
      <c r="NR62" s="209"/>
      <c r="NS62" s="209"/>
      <c r="NT62" s="209"/>
      <c r="NU62" s="209"/>
      <c r="NV62" s="209"/>
      <c r="NW62" s="209"/>
      <c r="NX62" s="209"/>
      <c r="NY62" s="209"/>
      <c r="NZ62" s="209"/>
      <c r="OA62" s="209"/>
      <c r="OB62" s="209"/>
      <c r="OC62" s="209"/>
      <c r="OD62" s="209"/>
      <c r="OE62" s="209"/>
      <c r="OF62" s="209"/>
      <c r="OG62" s="209"/>
      <c r="OH62" s="209"/>
      <c r="OI62" s="209"/>
      <c r="OJ62" s="209"/>
      <c r="OK62" s="209"/>
      <c r="OL62" s="209"/>
      <c r="OM62" s="209"/>
      <c r="ON62" s="209"/>
      <c r="OO62" s="209"/>
      <c r="OP62" s="209"/>
      <c r="OQ62" s="209"/>
      <c r="OR62" s="209"/>
      <c r="OS62" s="209"/>
      <c r="OT62" s="209"/>
      <c r="OU62" s="209"/>
      <c r="OV62" s="209"/>
      <c r="OW62" s="209"/>
      <c r="OX62" s="209"/>
      <c r="OY62" s="209"/>
      <c r="OZ62" s="209"/>
      <c r="PA62" s="209"/>
      <c r="PB62" s="209"/>
      <c r="PC62" s="209"/>
      <c r="PD62" s="209"/>
      <c r="PE62" s="209"/>
      <c r="PF62" s="209"/>
      <c r="PG62" s="209"/>
      <c r="PH62" s="209"/>
      <c r="PI62" s="209"/>
      <c r="PJ62" s="209"/>
      <c r="PK62" s="209"/>
      <c r="PL62" s="209"/>
      <c r="PM62" s="209"/>
      <c r="PN62" s="209"/>
      <c r="PO62" s="209"/>
      <c r="PQ62" s="201"/>
      <c r="PR62" s="201"/>
      <c r="PS62" s="201"/>
      <c r="PT62" s="201"/>
      <c r="PU62" s="201"/>
      <c r="PV62" s="201"/>
      <c r="PW62" s="201"/>
      <c r="PX62" s="201"/>
      <c r="PY62" s="201"/>
      <c r="PZ62" s="201"/>
      <c r="QA62" s="201"/>
      <c r="QB62" s="201"/>
      <c r="QC62" s="201"/>
      <c r="QD62" s="201"/>
      <c r="QE62" s="201"/>
      <c r="QF62" s="201"/>
      <c r="QG62" s="201"/>
      <c r="QH62" s="201"/>
      <c r="QI62" s="201"/>
      <c r="QJ62" s="201"/>
      <c r="QK62" s="201"/>
      <c r="QL62" s="201"/>
      <c r="QM62" s="201"/>
      <c r="QN62" s="201"/>
      <c r="QO62" s="201"/>
      <c r="QP62" s="201"/>
      <c r="QQ62" s="201"/>
      <c r="QR62" s="201"/>
      <c r="QS62" s="201"/>
      <c r="QT62" s="201"/>
      <c r="QU62" s="201"/>
      <c r="QV62" s="201"/>
      <c r="QW62" s="201"/>
      <c r="QX62" s="201"/>
      <c r="QY62" s="201"/>
      <c r="QZ62" s="201"/>
      <c r="RA62" s="201"/>
      <c r="RB62" s="201"/>
      <c r="RC62" s="201"/>
      <c r="RD62" s="201"/>
      <c r="RE62" s="201"/>
      <c r="RF62" s="201"/>
      <c r="RG62" s="201"/>
      <c r="RH62" s="201"/>
      <c r="RI62" s="201"/>
      <c r="RJ62" s="201"/>
      <c r="RK62" s="201"/>
      <c r="RL62" s="201"/>
      <c r="RM62" s="201"/>
      <c r="RN62" s="201"/>
      <c r="RO62" s="201"/>
      <c r="RP62" s="201"/>
      <c r="RQ62" s="201"/>
      <c r="RR62" s="201"/>
      <c r="RS62" s="201"/>
      <c r="RT62" s="201"/>
      <c r="RU62" s="201"/>
      <c r="RV62" s="201"/>
      <c r="RW62" s="201"/>
      <c r="RX62" s="201"/>
      <c r="RY62" s="201"/>
      <c r="RZ62" s="201"/>
      <c r="SA62" s="201"/>
      <c r="SB62" s="201"/>
      <c r="SC62" s="201"/>
      <c r="SD62" s="201"/>
      <c r="SE62" s="201"/>
      <c r="SF62" s="201"/>
      <c r="SG62" s="201"/>
      <c r="SH62" s="201"/>
      <c r="SI62" s="201"/>
      <c r="SJ62" s="201"/>
      <c r="SK62" s="201"/>
      <c r="SL62" s="201"/>
      <c r="SM62" s="201"/>
      <c r="SN62" s="201"/>
      <c r="SO62" s="201"/>
      <c r="SP62" s="201"/>
      <c r="SQ62" s="201"/>
      <c r="SR62" s="201"/>
      <c r="SS62" s="201"/>
      <c r="ST62" s="201"/>
      <c r="SU62" s="201"/>
      <c r="SV62" s="201"/>
      <c r="SW62" s="201"/>
      <c r="SX62" s="201"/>
      <c r="SY62" s="201"/>
      <c r="SZ62" s="201"/>
      <c r="TA62" s="201"/>
      <c r="TB62" s="201"/>
      <c r="TC62" s="201"/>
      <c r="TD62" s="201"/>
      <c r="TE62" s="201"/>
      <c r="TF62" s="201"/>
      <c r="TG62" s="201"/>
      <c r="TH62" s="201"/>
      <c r="TI62" s="201"/>
      <c r="TJ62" s="201"/>
      <c r="TK62" s="201"/>
      <c r="TL62" s="201"/>
      <c r="TM62" s="201"/>
      <c r="TN62" s="201"/>
      <c r="TO62" s="201"/>
      <c r="TP62" s="201"/>
      <c r="TQ62" s="201"/>
      <c r="TR62" s="201"/>
      <c r="TS62" s="201"/>
      <c r="TT62" s="201"/>
      <c r="TU62" s="201"/>
      <c r="TV62" s="201"/>
      <c r="TW62" s="201"/>
      <c r="TX62" s="201"/>
      <c r="TY62" s="201"/>
      <c r="TZ62" s="201"/>
      <c r="UA62" s="201"/>
      <c r="UB62" s="201"/>
      <c r="UC62" s="201"/>
      <c r="UD62" s="201"/>
      <c r="UE62" s="201"/>
      <c r="UF62" s="201"/>
      <c r="UG62" s="201"/>
      <c r="UH62" s="201"/>
      <c r="UI62" s="201"/>
      <c r="UJ62" s="201"/>
      <c r="UK62" s="201"/>
      <c r="UL62" s="201"/>
      <c r="UM62" s="201"/>
      <c r="UN62" s="201"/>
      <c r="UO62" s="201"/>
      <c r="UP62" s="201"/>
      <c r="UQ62" s="201"/>
      <c r="UR62" s="201"/>
      <c r="US62" s="201"/>
      <c r="UT62" s="201"/>
      <c r="UU62" s="201"/>
    </row>
    <row r="63" spans="2:567" ht="15" x14ac:dyDescent="0.35">
      <c r="B63" s="54" t="s">
        <v>52</v>
      </c>
      <c r="C63" s="60"/>
      <c r="D63" s="60">
        <v>2</v>
      </c>
      <c r="E63" s="563">
        <f ca="1">K238</f>
        <v>26865102.25</v>
      </c>
      <c r="F63" s="564"/>
      <c r="G63" s="564"/>
      <c r="H63" s="62">
        <f>1-H62</f>
        <v>0.95</v>
      </c>
      <c r="I63" s="55">
        <f>K63/Units_SF</f>
        <v>104.23961706349206</v>
      </c>
      <c r="J63" s="36">
        <f>K63/Units</f>
        <v>87561.278333333335</v>
      </c>
      <c r="K63" s="36">
        <f>($K$58-$K$69)*H63</f>
        <v>26268383.5</v>
      </c>
      <c r="R63" s="90" t="str">
        <f t="shared" si="695"/>
        <v>OK</v>
      </c>
      <c r="S63" s="96">
        <f t="shared" ref="S63:AX63" si="706">INDEX(FC$67:FC$70,$D63)*$EZ$62</f>
        <v>26268383.5</v>
      </c>
      <c r="T63" s="96">
        <f t="shared" si="706"/>
        <v>0</v>
      </c>
      <c r="U63" s="96">
        <f t="shared" si="706"/>
        <v>0</v>
      </c>
      <c r="V63" s="96">
        <f t="shared" si="706"/>
        <v>0</v>
      </c>
      <c r="W63" s="96">
        <f t="shared" si="706"/>
        <v>0</v>
      </c>
      <c r="X63" s="96">
        <f t="shared" si="706"/>
        <v>0</v>
      </c>
      <c r="Y63" s="96">
        <f t="shared" si="706"/>
        <v>0</v>
      </c>
      <c r="Z63" s="96">
        <f t="shared" si="706"/>
        <v>0</v>
      </c>
      <c r="AA63" s="96">
        <f t="shared" si="706"/>
        <v>0</v>
      </c>
      <c r="AB63" s="96">
        <f t="shared" si="706"/>
        <v>0</v>
      </c>
      <c r="AC63" s="96">
        <f t="shared" si="706"/>
        <v>0</v>
      </c>
      <c r="AD63" s="96">
        <f t="shared" si="706"/>
        <v>0</v>
      </c>
      <c r="AE63" s="96">
        <f t="shared" si="706"/>
        <v>0</v>
      </c>
      <c r="AF63" s="96">
        <f t="shared" si="706"/>
        <v>0</v>
      </c>
      <c r="AG63" s="96">
        <f t="shared" si="706"/>
        <v>0</v>
      </c>
      <c r="AH63" s="96">
        <f t="shared" si="706"/>
        <v>0</v>
      </c>
      <c r="AI63" s="96">
        <f t="shared" si="706"/>
        <v>0</v>
      </c>
      <c r="AJ63" s="96">
        <f t="shared" si="706"/>
        <v>0</v>
      </c>
      <c r="AK63" s="96">
        <f t="shared" si="706"/>
        <v>0</v>
      </c>
      <c r="AL63" s="96">
        <f t="shared" si="706"/>
        <v>0</v>
      </c>
      <c r="AM63" s="96">
        <f t="shared" si="706"/>
        <v>0</v>
      </c>
      <c r="AN63" s="96">
        <f t="shared" si="706"/>
        <v>0</v>
      </c>
      <c r="AO63" s="96">
        <f t="shared" si="706"/>
        <v>0</v>
      </c>
      <c r="AP63" s="96">
        <f t="shared" si="706"/>
        <v>0</v>
      </c>
      <c r="AQ63" s="96">
        <f t="shared" si="706"/>
        <v>0</v>
      </c>
      <c r="AR63" s="96">
        <f t="shared" si="706"/>
        <v>0</v>
      </c>
      <c r="AS63" s="96">
        <f t="shared" si="706"/>
        <v>0</v>
      </c>
      <c r="AT63" s="96">
        <f t="shared" si="706"/>
        <v>0</v>
      </c>
      <c r="AU63" s="96">
        <f t="shared" si="706"/>
        <v>0</v>
      </c>
      <c r="AV63" s="96">
        <f t="shared" si="706"/>
        <v>0</v>
      </c>
      <c r="AW63" s="96">
        <f t="shared" si="706"/>
        <v>0</v>
      </c>
      <c r="AX63" s="96">
        <f t="shared" si="706"/>
        <v>0</v>
      </c>
      <c r="AY63" s="96">
        <f t="shared" ref="AY63:CD63" si="707">INDEX(GI$67:GI$70,$D63)*$EZ$62</f>
        <v>0</v>
      </c>
      <c r="AZ63" s="96">
        <f t="shared" si="707"/>
        <v>0</v>
      </c>
      <c r="BA63" s="96">
        <f t="shared" si="707"/>
        <v>0</v>
      </c>
      <c r="BB63" s="96">
        <f t="shared" si="707"/>
        <v>0</v>
      </c>
      <c r="BC63" s="96">
        <f t="shared" si="707"/>
        <v>0</v>
      </c>
      <c r="BD63" s="96">
        <f t="shared" si="707"/>
        <v>0</v>
      </c>
      <c r="BE63" s="96">
        <f t="shared" si="707"/>
        <v>0</v>
      </c>
      <c r="BF63" s="96">
        <f t="shared" si="707"/>
        <v>0</v>
      </c>
      <c r="BG63" s="96">
        <f t="shared" si="707"/>
        <v>0</v>
      </c>
      <c r="BH63" s="96">
        <f t="shared" si="707"/>
        <v>0</v>
      </c>
      <c r="BI63" s="96">
        <f t="shared" si="707"/>
        <v>0</v>
      </c>
      <c r="BJ63" s="96">
        <f t="shared" si="707"/>
        <v>0</v>
      </c>
      <c r="BK63" s="96">
        <f t="shared" si="707"/>
        <v>0</v>
      </c>
      <c r="BL63" s="96">
        <f t="shared" si="707"/>
        <v>0</v>
      </c>
      <c r="BM63" s="96">
        <f t="shared" si="707"/>
        <v>0</v>
      </c>
      <c r="BN63" s="96">
        <f t="shared" si="707"/>
        <v>0</v>
      </c>
      <c r="BO63" s="96">
        <f t="shared" si="707"/>
        <v>0</v>
      </c>
      <c r="BP63" s="96">
        <f t="shared" si="707"/>
        <v>0</v>
      </c>
      <c r="BQ63" s="96">
        <f t="shared" si="707"/>
        <v>0</v>
      </c>
      <c r="BR63" s="96">
        <f t="shared" si="707"/>
        <v>0</v>
      </c>
      <c r="BS63" s="96">
        <f t="shared" si="707"/>
        <v>0</v>
      </c>
      <c r="BT63" s="96">
        <f t="shared" si="707"/>
        <v>0</v>
      </c>
      <c r="BU63" s="96">
        <f t="shared" si="707"/>
        <v>0</v>
      </c>
      <c r="BV63" s="96">
        <f t="shared" si="707"/>
        <v>0</v>
      </c>
      <c r="BW63" s="96">
        <f t="shared" si="707"/>
        <v>0</v>
      </c>
      <c r="BX63" s="96">
        <f t="shared" si="707"/>
        <v>0</v>
      </c>
      <c r="BY63" s="96">
        <f t="shared" si="707"/>
        <v>0</v>
      </c>
      <c r="BZ63" s="96">
        <f t="shared" si="707"/>
        <v>0</v>
      </c>
      <c r="CA63" s="96">
        <f t="shared" si="707"/>
        <v>0</v>
      </c>
      <c r="CB63" s="96">
        <f t="shared" si="707"/>
        <v>0</v>
      </c>
      <c r="CC63" s="96">
        <f t="shared" si="707"/>
        <v>0</v>
      </c>
      <c r="CD63" s="96">
        <f t="shared" si="707"/>
        <v>0</v>
      </c>
      <c r="CE63" s="96">
        <f t="shared" ref="CE63:DJ63" si="708">INDEX(HO$67:HO$70,$D63)*$EZ$62</f>
        <v>0</v>
      </c>
      <c r="CF63" s="96">
        <f t="shared" si="708"/>
        <v>0</v>
      </c>
      <c r="CG63" s="96">
        <f t="shared" si="708"/>
        <v>0</v>
      </c>
      <c r="CH63" s="96">
        <f t="shared" si="708"/>
        <v>0</v>
      </c>
      <c r="CI63" s="96">
        <f t="shared" si="708"/>
        <v>0</v>
      </c>
      <c r="CJ63" s="96">
        <f t="shared" si="708"/>
        <v>0</v>
      </c>
      <c r="CK63" s="96">
        <f t="shared" si="708"/>
        <v>0</v>
      </c>
      <c r="CL63" s="96">
        <f t="shared" si="708"/>
        <v>0</v>
      </c>
      <c r="CM63" s="96">
        <f t="shared" si="708"/>
        <v>0</v>
      </c>
      <c r="CN63" s="96">
        <f t="shared" si="708"/>
        <v>0</v>
      </c>
      <c r="CO63" s="96">
        <f t="shared" si="708"/>
        <v>0</v>
      </c>
      <c r="CP63" s="96">
        <f t="shared" si="708"/>
        <v>0</v>
      </c>
      <c r="CQ63" s="96">
        <f t="shared" si="708"/>
        <v>0</v>
      </c>
      <c r="CR63" s="96">
        <f t="shared" si="708"/>
        <v>0</v>
      </c>
      <c r="CS63" s="96">
        <f t="shared" si="708"/>
        <v>0</v>
      </c>
      <c r="CT63" s="96">
        <f t="shared" si="708"/>
        <v>0</v>
      </c>
      <c r="CU63" s="96">
        <f t="shared" si="708"/>
        <v>0</v>
      </c>
      <c r="CV63" s="96">
        <f t="shared" si="708"/>
        <v>0</v>
      </c>
      <c r="CW63" s="96">
        <f t="shared" si="708"/>
        <v>0</v>
      </c>
      <c r="CX63" s="96">
        <f t="shared" si="708"/>
        <v>0</v>
      </c>
      <c r="CY63" s="96">
        <f t="shared" si="708"/>
        <v>0</v>
      </c>
      <c r="CZ63" s="96">
        <f t="shared" si="708"/>
        <v>0</v>
      </c>
      <c r="DA63" s="96">
        <f t="shared" si="708"/>
        <v>0</v>
      </c>
      <c r="DB63" s="96">
        <f t="shared" si="708"/>
        <v>0</v>
      </c>
      <c r="DC63" s="96">
        <f t="shared" si="708"/>
        <v>0</v>
      </c>
      <c r="DD63" s="96">
        <f t="shared" si="708"/>
        <v>0</v>
      </c>
      <c r="DE63" s="96">
        <f t="shared" si="708"/>
        <v>0</v>
      </c>
      <c r="DF63" s="96">
        <f t="shared" si="708"/>
        <v>0</v>
      </c>
      <c r="DG63" s="96">
        <f t="shared" si="708"/>
        <v>0</v>
      </c>
      <c r="DH63" s="96">
        <f t="shared" si="708"/>
        <v>0</v>
      </c>
      <c r="DI63" s="96">
        <f t="shared" si="708"/>
        <v>0</v>
      </c>
      <c r="DJ63" s="96">
        <f t="shared" si="708"/>
        <v>0</v>
      </c>
      <c r="DK63" s="96">
        <f t="shared" ref="DK63:EP63" si="709">INDEX(IU$67:IU$70,$D63)*$EZ$62</f>
        <v>0</v>
      </c>
      <c r="DL63" s="96">
        <f t="shared" si="709"/>
        <v>0</v>
      </c>
      <c r="DM63" s="96">
        <f t="shared" si="709"/>
        <v>0</v>
      </c>
      <c r="DN63" s="96">
        <f t="shared" si="709"/>
        <v>0</v>
      </c>
      <c r="DO63" s="96">
        <f t="shared" si="709"/>
        <v>0</v>
      </c>
      <c r="DP63" s="96">
        <f t="shared" si="709"/>
        <v>0</v>
      </c>
      <c r="DQ63" s="96">
        <f t="shared" si="709"/>
        <v>0</v>
      </c>
      <c r="DR63" s="96">
        <f t="shared" si="709"/>
        <v>0</v>
      </c>
      <c r="DS63" s="96">
        <f t="shared" si="709"/>
        <v>0</v>
      </c>
      <c r="DT63" s="96">
        <f t="shared" si="709"/>
        <v>0</v>
      </c>
      <c r="DU63" s="96">
        <f t="shared" si="709"/>
        <v>0</v>
      </c>
      <c r="DV63" s="96">
        <f t="shared" si="709"/>
        <v>0</v>
      </c>
      <c r="DW63" s="96">
        <f t="shared" si="709"/>
        <v>0</v>
      </c>
      <c r="DX63" s="96">
        <f t="shared" si="709"/>
        <v>0</v>
      </c>
      <c r="DY63" s="96">
        <f t="shared" si="709"/>
        <v>0</v>
      </c>
      <c r="DZ63" s="96">
        <f t="shared" si="709"/>
        <v>0</v>
      </c>
      <c r="EA63" s="96">
        <f t="shared" si="709"/>
        <v>0</v>
      </c>
      <c r="EB63" s="96">
        <f t="shared" si="709"/>
        <v>0</v>
      </c>
      <c r="EC63" s="96">
        <f t="shared" si="709"/>
        <v>0</v>
      </c>
      <c r="ED63" s="96">
        <f t="shared" si="709"/>
        <v>0</v>
      </c>
      <c r="EE63" s="96">
        <f t="shared" si="709"/>
        <v>0</v>
      </c>
      <c r="EF63" s="96">
        <f t="shared" si="709"/>
        <v>0</v>
      </c>
      <c r="EG63" s="96">
        <f t="shared" si="709"/>
        <v>0</v>
      </c>
      <c r="EH63" s="96">
        <f t="shared" si="709"/>
        <v>0</v>
      </c>
      <c r="EI63" s="96">
        <f t="shared" si="709"/>
        <v>0</v>
      </c>
      <c r="EJ63" s="96">
        <f t="shared" si="709"/>
        <v>0</v>
      </c>
      <c r="EK63" s="96">
        <f t="shared" si="709"/>
        <v>0</v>
      </c>
      <c r="EL63" s="96">
        <f t="shared" si="709"/>
        <v>0</v>
      </c>
      <c r="EM63" s="96">
        <f t="shared" si="709"/>
        <v>0</v>
      </c>
      <c r="EN63" s="96">
        <f t="shared" si="709"/>
        <v>0</v>
      </c>
      <c r="EO63" s="96">
        <f t="shared" si="709"/>
        <v>0</v>
      </c>
      <c r="EP63" s="96">
        <f t="shared" si="709"/>
        <v>0</v>
      </c>
      <c r="EQ63" s="96">
        <f t="shared" ref="EQ63:EU63" si="710">INDEX(KA$67:KA$70,$D63)*$EZ$62</f>
        <v>0</v>
      </c>
      <c r="ER63" s="96">
        <f t="shared" si="710"/>
        <v>0</v>
      </c>
      <c r="ES63" s="96">
        <f t="shared" si="710"/>
        <v>0</v>
      </c>
      <c r="ET63" s="96">
        <f t="shared" si="710"/>
        <v>0</v>
      </c>
      <c r="EU63" s="96">
        <f t="shared" si="710"/>
        <v>0</v>
      </c>
      <c r="EW63" s="199" t="s">
        <v>55</v>
      </c>
      <c r="EX63" s="209">
        <f>+D67</f>
        <v>3</v>
      </c>
      <c r="EY63" s="207">
        <f>K67</f>
        <v>41476395</v>
      </c>
      <c r="EZ63" s="217">
        <f t="shared" si="701"/>
        <v>1</v>
      </c>
      <c r="FA63" s="199">
        <v>3</v>
      </c>
      <c r="FB63" s="209">
        <f t="shared" si="702"/>
        <v>41476395</v>
      </c>
      <c r="FC63" s="209">
        <f>+FB63-FC69</f>
        <v>5135301.0416666642</v>
      </c>
      <c r="FD63" s="209">
        <f t="shared" ref="FD63:HO63" si="711">+FC63-FD69</f>
        <v>4912027.0833333312</v>
      </c>
      <c r="FE63" s="209">
        <f t="shared" si="711"/>
        <v>4688753.1249999981</v>
      </c>
      <c r="FF63" s="209">
        <f t="shared" si="711"/>
        <v>4465479.1666666651</v>
      </c>
      <c r="FG63" s="209">
        <f t="shared" si="711"/>
        <v>4242205.2083333321</v>
      </c>
      <c r="FH63" s="209">
        <f t="shared" si="711"/>
        <v>4018931.2499999991</v>
      </c>
      <c r="FI63" s="209">
        <f t="shared" si="711"/>
        <v>3795657.2916666656</v>
      </c>
      <c r="FJ63" s="209">
        <f t="shared" si="711"/>
        <v>3572383.3333333326</v>
      </c>
      <c r="FK63" s="209">
        <f t="shared" si="711"/>
        <v>3349109.3749999991</v>
      </c>
      <c r="FL63" s="209">
        <f t="shared" si="711"/>
        <v>3125835.4166666656</v>
      </c>
      <c r="FM63" s="209">
        <f t="shared" si="711"/>
        <v>2902561.4583333326</v>
      </c>
      <c r="FN63" s="209">
        <f t="shared" si="711"/>
        <v>2679287.4999999991</v>
      </c>
      <c r="FO63" s="209">
        <f t="shared" si="711"/>
        <v>2456013.541666666</v>
      </c>
      <c r="FP63" s="209">
        <f t="shared" si="711"/>
        <v>2232739.5833333326</v>
      </c>
      <c r="FQ63" s="209">
        <f t="shared" si="711"/>
        <v>2009465.6249999995</v>
      </c>
      <c r="FR63" s="209">
        <f t="shared" si="711"/>
        <v>1786191.6666666665</v>
      </c>
      <c r="FS63" s="209">
        <f t="shared" si="711"/>
        <v>1562917.7083333328</v>
      </c>
      <c r="FT63" s="209">
        <f t="shared" si="711"/>
        <v>1339643.7499999998</v>
      </c>
      <c r="FU63" s="209">
        <f t="shared" si="711"/>
        <v>1116369.7916666667</v>
      </c>
      <c r="FV63" s="209">
        <f t="shared" si="711"/>
        <v>893095.83333333314</v>
      </c>
      <c r="FW63" s="209">
        <f t="shared" si="711"/>
        <v>669821.875</v>
      </c>
      <c r="FX63" s="209">
        <f t="shared" si="711"/>
        <v>446547.91666666692</v>
      </c>
      <c r="FY63" s="209">
        <f t="shared" si="711"/>
        <v>223273.95833333328</v>
      </c>
      <c r="FZ63" s="209">
        <f t="shared" si="711"/>
        <v>0</v>
      </c>
      <c r="GA63" s="209">
        <f t="shared" si="711"/>
        <v>0</v>
      </c>
      <c r="GB63" s="209">
        <f t="shared" si="711"/>
        <v>0</v>
      </c>
      <c r="GC63" s="209">
        <f t="shared" si="711"/>
        <v>0</v>
      </c>
      <c r="GD63" s="209">
        <f t="shared" si="711"/>
        <v>0</v>
      </c>
      <c r="GE63" s="209">
        <f t="shared" si="711"/>
        <v>0</v>
      </c>
      <c r="GF63" s="209">
        <f t="shared" si="711"/>
        <v>0</v>
      </c>
      <c r="GG63" s="209">
        <f t="shared" si="711"/>
        <v>0</v>
      </c>
      <c r="GH63" s="209">
        <f t="shared" si="711"/>
        <v>0</v>
      </c>
      <c r="GI63" s="209">
        <f t="shared" si="711"/>
        <v>0</v>
      </c>
      <c r="GJ63" s="209">
        <f t="shared" si="711"/>
        <v>0</v>
      </c>
      <c r="GK63" s="209">
        <f t="shared" si="711"/>
        <v>0</v>
      </c>
      <c r="GL63" s="209">
        <f t="shared" si="711"/>
        <v>0</v>
      </c>
      <c r="GM63" s="209">
        <f t="shared" si="711"/>
        <v>0</v>
      </c>
      <c r="GN63" s="209">
        <f t="shared" si="711"/>
        <v>0</v>
      </c>
      <c r="GO63" s="209">
        <f t="shared" si="711"/>
        <v>0</v>
      </c>
      <c r="GP63" s="209">
        <f t="shared" si="711"/>
        <v>0</v>
      </c>
      <c r="GQ63" s="209">
        <f t="shared" si="711"/>
        <v>0</v>
      </c>
      <c r="GR63" s="209">
        <f t="shared" si="711"/>
        <v>0</v>
      </c>
      <c r="GS63" s="209">
        <f t="shared" si="711"/>
        <v>0</v>
      </c>
      <c r="GT63" s="209">
        <f t="shared" si="711"/>
        <v>0</v>
      </c>
      <c r="GU63" s="209">
        <f t="shared" si="711"/>
        <v>0</v>
      </c>
      <c r="GV63" s="209">
        <f t="shared" si="711"/>
        <v>0</v>
      </c>
      <c r="GW63" s="209">
        <f t="shared" si="711"/>
        <v>0</v>
      </c>
      <c r="GX63" s="209">
        <f t="shared" si="711"/>
        <v>0</v>
      </c>
      <c r="GY63" s="209">
        <f t="shared" si="711"/>
        <v>0</v>
      </c>
      <c r="GZ63" s="209">
        <f t="shared" si="711"/>
        <v>0</v>
      </c>
      <c r="HA63" s="209">
        <f t="shared" si="711"/>
        <v>0</v>
      </c>
      <c r="HB63" s="209">
        <f t="shared" si="711"/>
        <v>0</v>
      </c>
      <c r="HC63" s="209">
        <f t="shared" si="711"/>
        <v>0</v>
      </c>
      <c r="HD63" s="209">
        <f t="shared" si="711"/>
        <v>0</v>
      </c>
      <c r="HE63" s="209">
        <f t="shared" si="711"/>
        <v>0</v>
      </c>
      <c r="HF63" s="209">
        <f t="shared" si="711"/>
        <v>0</v>
      </c>
      <c r="HG63" s="209">
        <f t="shared" si="711"/>
        <v>0</v>
      </c>
      <c r="HH63" s="209">
        <f t="shared" si="711"/>
        <v>0</v>
      </c>
      <c r="HI63" s="209">
        <f t="shared" si="711"/>
        <v>0</v>
      </c>
      <c r="HJ63" s="209">
        <f t="shared" si="711"/>
        <v>0</v>
      </c>
      <c r="HK63" s="209">
        <f t="shared" si="711"/>
        <v>0</v>
      </c>
      <c r="HL63" s="209">
        <f t="shared" si="711"/>
        <v>0</v>
      </c>
      <c r="HM63" s="209">
        <f t="shared" si="711"/>
        <v>0</v>
      </c>
      <c r="HN63" s="209">
        <f t="shared" si="711"/>
        <v>0</v>
      </c>
      <c r="HO63" s="209">
        <f t="shared" si="711"/>
        <v>0</v>
      </c>
      <c r="HP63" s="209">
        <f t="shared" ref="HP63:KA63" si="712">+HO63-HP69</f>
        <v>0</v>
      </c>
      <c r="HQ63" s="209">
        <f t="shared" si="712"/>
        <v>0</v>
      </c>
      <c r="HR63" s="209">
        <f t="shared" si="712"/>
        <v>0</v>
      </c>
      <c r="HS63" s="209">
        <f t="shared" si="712"/>
        <v>0</v>
      </c>
      <c r="HT63" s="209">
        <f t="shared" si="712"/>
        <v>0</v>
      </c>
      <c r="HU63" s="209">
        <f t="shared" si="712"/>
        <v>0</v>
      </c>
      <c r="HV63" s="209">
        <f t="shared" si="712"/>
        <v>0</v>
      </c>
      <c r="HW63" s="209">
        <f t="shared" si="712"/>
        <v>0</v>
      </c>
      <c r="HX63" s="209">
        <f t="shared" si="712"/>
        <v>0</v>
      </c>
      <c r="HY63" s="209">
        <f t="shared" si="712"/>
        <v>0</v>
      </c>
      <c r="HZ63" s="209">
        <f t="shared" si="712"/>
        <v>0</v>
      </c>
      <c r="IA63" s="209">
        <f t="shared" si="712"/>
        <v>0</v>
      </c>
      <c r="IB63" s="209">
        <f t="shared" si="712"/>
        <v>0</v>
      </c>
      <c r="IC63" s="209">
        <f t="shared" si="712"/>
        <v>0</v>
      </c>
      <c r="ID63" s="209">
        <f t="shared" si="712"/>
        <v>0</v>
      </c>
      <c r="IE63" s="209">
        <f t="shared" si="712"/>
        <v>0</v>
      </c>
      <c r="IF63" s="209">
        <f t="shared" si="712"/>
        <v>0</v>
      </c>
      <c r="IG63" s="209">
        <f t="shared" si="712"/>
        <v>0</v>
      </c>
      <c r="IH63" s="209">
        <f t="shared" si="712"/>
        <v>0</v>
      </c>
      <c r="II63" s="209">
        <f t="shared" si="712"/>
        <v>0</v>
      </c>
      <c r="IJ63" s="209">
        <f t="shared" si="712"/>
        <v>0</v>
      </c>
      <c r="IK63" s="209">
        <f t="shared" si="712"/>
        <v>0</v>
      </c>
      <c r="IL63" s="209">
        <f t="shared" si="712"/>
        <v>0</v>
      </c>
      <c r="IM63" s="209">
        <f t="shared" si="712"/>
        <v>0</v>
      </c>
      <c r="IN63" s="209">
        <f t="shared" si="712"/>
        <v>0</v>
      </c>
      <c r="IO63" s="209">
        <f t="shared" si="712"/>
        <v>0</v>
      </c>
      <c r="IP63" s="209">
        <f t="shared" si="712"/>
        <v>0</v>
      </c>
      <c r="IQ63" s="209">
        <f t="shared" si="712"/>
        <v>0</v>
      </c>
      <c r="IR63" s="209">
        <f t="shared" si="712"/>
        <v>0</v>
      </c>
      <c r="IS63" s="209">
        <f t="shared" si="712"/>
        <v>0</v>
      </c>
      <c r="IT63" s="209">
        <f t="shared" si="712"/>
        <v>0</v>
      </c>
      <c r="IU63" s="209">
        <f t="shared" si="712"/>
        <v>0</v>
      </c>
      <c r="IV63" s="209">
        <f t="shared" si="712"/>
        <v>0</v>
      </c>
      <c r="IW63" s="209">
        <f t="shared" si="712"/>
        <v>0</v>
      </c>
      <c r="IX63" s="209">
        <f t="shared" si="712"/>
        <v>0</v>
      </c>
      <c r="IY63" s="209">
        <f t="shared" si="712"/>
        <v>0</v>
      </c>
      <c r="IZ63" s="209">
        <f t="shared" si="712"/>
        <v>0</v>
      </c>
      <c r="JA63" s="209">
        <f t="shared" si="712"/>
        <v>0</v>
      </c>
      <c r="JB63" s="209">
        <f t="shared" si="712"/>
        <v>0</v>
      </c>
      <c r="JC63" s="209">
        <f t="shared" si="712"/>
        <v>0</v>
      </c>
      <c r="JD63" s="209">
        <f t="shared" si="712"/>
        <v>0</v>
      </c>
      <c r="JE63" s="209">
        <f t="shared" si="712"/>
        <v>0</v>
      </c>
      <c r="JF63" s="209">
        <f t="shared" si="712"/>
        <v>0</v>
      </c>
      <c r="JG63" s="209">
        <f t="shared" si="712"/>
        <v>0</v>
      </c>
      <c r="JH63" s="209">
        <f t="shared" si="712"/>
        <v>0</v>
      </c>
      <c r="JI63" s="209">
        <f t="shared" si="712"/>
        <v>0</v>
      </c>
      <c r="JJ63" s="209">
        <f t="shared" si="712"/>
        <v>0</v>
      </c>
      <c r="JK63" s="209">
        <f t="shared" si="712"/>
        <v>0</v>
      </c>
      <c r="JL63" s="209">
        <f t="shared" si="712"/>
        <v>0</v>
      </c>
      <c r="JM63" s="209">
        <f t="shared" si="712"/>
        <v>0</v>
      </c>
      <c r="JN63" s="209">
        <f t="shared" si="712"/>
        <v>0</v>
      </c>
      <c r="JO63" s="209">
        <f t="shared" si="712"/>
        <v>0</v>
      </c>
      <c r="JP63" s="209">
        <f t="shared" si="712"/>
        <v>0</v>
      </c>
      <c r="JQ63" s="209">
        <f t="shared" si="712"/>
        <v>0</v>
      </c>
      <c r="JR63" s="209">
        <f t="shared" si="712"/>
        <v>0</v>
      </c>
      <c r="JS63" s="209">
        <f t="shared" si="712"/>
        <v>0</v>
      </c>
      <c r="JT63" s="209">
        <f t="shared" si="712"/>
        <v>0</v>
      </c>
      <c r="JU63" s="209">
        <f t="shared" si="712"/>
        <v>0</v>
      </c>
      <c r="JV63" s="209">
        <f t="shared" si="712"/>
        <v>0</v>
      </c>
      <c r="JW63" s="209">
        <f t="shared" si="712"/>
        <v>0</v>
      </c>
      <c r="JX63" s="209">
        <f t="shared" si="712"/>
        <v>0</v>
      </c>
      <c r="JY63" s="209">
        <f t="shared" si="712"/>
        <v>0</v>
      </c>
      <c r="JZ63" s="209">
        <f t="shared" si="712"/>
        <v>0</v>
      </c>
      <c r="KA63" s="209">
        <f t="shared" si="712"/>
        <v>0</v>
      </c>
      <c r="KB63" s="209">
        <f t="shared" ref="KB63:KE63" si="713">+KA63-KB69</f>
        <v>0</v>
      </c>
      <c r="KC63" s="209">
        <f t="shared" si="713"/>
        <v>0</v>
      </c>
      <c r="KD63" s="209">
        <f t="shared" si="713"/>
        <v>0</v>
      </c>
      <c r="KE63" s="209">
        <f t="shared" si="713"/>
        <v>0</v>
      </c>
      <c r="KH63" s="209"/>
      <c r="KI63" s="207"/>
      <c r="KJ63" s="217"/>
      <c r="KL63" s="209"/>
      <c r="KM63" s="209"/>
      <c r="KN63" s="209"/>
      <c r="KO63" s="209"/>
      <c r="KP63" s="209"/>
      <c r="KQ63" s="209"/>
      <c r="KR63" s="209"/>
      <c r="KS63" s="209"/>
      <c r="KT63" s="209"/>
      <c r="KU63" s="209"/>
      <c r="KV63" s="209"/>
      <c r="KW63" s="209"/>
      <c r="KX63" s="209"/>
      <c r="KY63" s="209"/>
      <c r="KZ63" s="209"/>
      <c r="LA63" s="209"/>
      <c r="LB63" s="209"/>
      <c r="LC63" s="209"/>
      <c r="LD63" s="209"/>
      <c r="LE63" s="209"/>
      <c r="LF63" s="209"/>
      <c r="LG63" s="209"/>
      <c r="LH63" s="209"/>
      <c r="LI63" s="209"/>
      <c r="LJ63" s="209"/>
      <c r="LK63" s="209"/>
      <c r="LL63" s="209"/>
      <c r="LM63" s="209"/>
      <c r="LN63" s="209"/>
      <c r="LO63" s="209"/>
      <c r="LP63" s="209"/>
      <c r="LQ63" s="209"/>
      <c r="LR63" s="209"/>
      <c r="LS63" s="209"/>
      <c r="LT63" s="209"/>
      <c r="LU63" s="209"/>
      <c r="LV63" s="209"/>
      <c r="LW63" s="209"/>
      <c r="LX63" s="209"/>
      <c r="LY63" s="209"/>
      <c r="LZ63" s="209"/>
      <c r="MA63" s="209"/>
      <c r="MB63" s="209"/>
      <c r="MC63" s="209"/>
      <c r="MD63" s="209"/>
      <c r="ME63" s="209"/>
      <c r="MF63" s="209"/>
      <c r="MG63" s="209"/>
      <c r="MH63" s="209"/>
      <c r="MI63" s="209"/>
      <c r="MJ63" s="209"/>
      <c r="MK63" s="209"/>
      <c r="ML63" s="209"/>
      <c r="MM63" s="209"/>
      <c r="MN63" s="209"/>
      <c r="MO63" s="209"/>
      <c r="MP63" s="209"/>
      <c r="MQ63" s="209"/>
      <c r="MR63" s="209"/>
      <c r="MS63" s="209"/>
      <c r="MT63" s="209"/>
      <c r="MU63" s="209"/>
      <c r="MV63" s="209"/>
      <c r="MW63" s="209"/>
      <c r="MX63" s="209"/>
      <c r="MY63" s="209"/>
      <c r="MZ63" s="209"/>
      <c r="NA63" s="209"/>
      <c r="NB63" s="209"/>
      <c r="NC63" s="209"/>
      <c r="ND63" s="209"/>
      <c r="NE63" s="209"/>
      <c r="NF63" s="209"/>
      <c r="NG63" s="209"/>
      <c r="NH63" s="209"/>
      <c r="NI63" s="209"/>
      <c r="NJ63" s="209"/>
      <c r="NK63" s="209"/>
      <c r="NL63" s="209"/>
      <c r="NM63" s="209"/>
      <c r="NN63" s="209"/>
      <c r="NO63" s="209"/>
      <c r="NP63" s="209"/>
      <c r="NQ63" s="209"/>
      <c r="NR63" s="209"/>
      <c r="NS63" s="209"/>
      <c r="NT63" s="209"/>
      <c r="NU63" s="209"/>
      <c r="NV63" s="209"/>
      <c r="NW63" s="209"/>
      <c r="NX63" s="209"/>
      <c r="NY63" s="209"/>
      <c r="NZ63" s="209"/>
      <c r="OA63" s="209"/>
      <c r="OB63" s="209"/>
      <c r="OC63" s="209"/>
      <c r="OD63" s="209"/>
      <c r="OE63" s="209"/>
      <c r="OF63" s="209"/>
      <c r="OG63" s="209"/>
      <c r="OH63" s="209"/>
      <c r="OI63" s="209"/>
      <c r="OJ63" s="209"/>
      <c r="OK63" s="209"/>
      <c r="OL63" s="209"/>
      <c r="OM63" s="209"/>
      <c r="ON63" s="209"/>
      <c r="OO63" s="209"/>
      <c r="OP63" s="209"/>
      <c r="OQ63" s="209"/>
      <c r="OR63" s="209"/>
      <c r="OS63" s="209"/>
      <c r="OT63" s="209"/>
      <c r="OU63" s="209"/>
      <c r="OV63" s="209"/>
      <c r="OW63" s="209"/>
      <c r="OX63" s="209"/>
      <c r="OY63" s="209"/>
      <c r="OZ63" s="209"/>
      <c r="PA63" s="209"/>
      <c r="PB63" s="209"/>
      <c r="PC63" s="209"/>
      <c r="PD63" s="209"/>
      <c r="PE63" s="209"/>
      <c r="PF63" s="209"/>
      <c r="PG63" s="209"/>
      <c r="PH63" s="209"/>
      <c r="PI63" s="209"/>
      <c r="PJ63" s="209"/>
      <c r="PK63" s="209"/>
      <c r="PL63" s="209"/>
      <c r="PM63" s="209"/>
      <c r="PN63" s="209"/>
      <c r="PO63" s="209"/>
      <c r="PQ63" s="201"/>
      <c r="PR63" s="201"/>
      <c r="PS63" s="201"/>
      <c r="PT63" s="201"/>
      <c r="PU63" s="201"/>
      <c r="PV63" s="201"/>
      <c r="PW63" s="201"/>
      <c r="PX63" s="201"/>
      <c r="PY63" s="201"/>
      <c r="PZ63" s="201"/>
      <c r="QA63" s="201"/>
      <c r="QB63" s="201"/>
      <c r="QC63" s="201"/>
      <c r="QD63" s="201"/>
      <c r="QE63" s="201"/>
      <c r="QF63" s="201"/>
      <c r="QG63" s="201"/>
      <c r="QH63" s="201"/>
      <c r="QI63" s="201"/>
      <c r="QJ63" s="201"/>
      <c r="QK63" s="201"/>
      <c r="QL63" s="201"/>
      <c r="QM63" s="201"/>
      <c r="QN63" s="201"/>
      <c r="QO63" s="201"/>
      <c r="QP63" s="201"/>
      <c r="QQ63" s="201"/>
      <c r="QR63" s="201"/>
      <c r="QS63" s="201"/>
      <c r="QT63" s="201"/>
      <c r="QU63" s="201"/>
      <c r="QV63" s="201"/>
      <c r="QW63" s="201"/>
      <c r="QX63" s="201"/>
      <c r="QY63" s="201"/>
      <c r="QZ63" s="201"/>
      <c r="RA63" s="201"/>
      <c r="RB63" s="201"/>
      <c r="RC63" s="201"/>
      <c r="RD63" s="201"/>
      <c r="RE63" s="201"/>
      <c r="RF63" s="201"/>
      <c r="RG63" s="201"/>
      <c r="RH63" s="201"/>
      <c r="RI63" s="201"/>
      <c r="RJ63" s="201"/>
      <c r="RK63" s="201"/>
      <c r="RL63" s="201"/>
      <c r="RM63" s="201"/>
      <c r="RN63" s="201"/>
      <c r="RO63" s="201"/>
      <c r="RP63" s="201"/>
      <c r="RQ63" s="201"/>
      <c r="RR63" s="201"/>
      <c r="RS63" s="201"/>
      <c r="RT63" s="201"/>
      <c r="RU63" s="201"/>
      <c r="RV63" s="201"/>
      <c r="RW63" s="201"/>
      <c r="RX63" s="201"/>
      <c r="RY63" s="201"/>
      <c r="RZ63" s="201"/>
      <c r="SA63" s="201"/>
      <c r="SB63" s="201"/>
      <c r="SC63" s="201"/>
      <c r="SD63" s="201"/>
      <c r="SE63" s="201"/>
      <c r="SF63" s="201"/>
      <c r="SG63" s="201"/>
      <c r="SH63" s="201"/>
      <c r="SI63" s="201"/>
      <c r="SJ63" s="201"/>
      <c r="SK63" s="201"/>
      <c r="SL63" s="201"/>
      <c r="SM63" s="201"/>
      <c r="SN63" s="201"/>
      <c r="SO63" s="201"/>
      <c r="SP63" s="201"/>
      <c r="SQ63" s="201"/>
      <c r="SR63" s="201"/>
      <c r="SS63" s="201"/>
      <c r="ST63" s="201"/>
      <c r="SU63" s="201"/>
      <c r="SV63" s="201"/>
      <c r="SW63" s="201"/>
      <c r="SX63" s="201"/>
      <c r="SY63" s="201"/>
      <c r="SZ63" s="201"/>
      <c r="TA63" s="201"/>
      <c r="TB63" s="201"/>
      <c r="TC63" s="201"/>
      <c r="TD63" s="201"/>
      <c r="TE63" s="201"/>
      <c r="TF63" s="201"/>
      <c r="TG63" s="201"/>
      <c r="TH63" s="201"/>
      <c r="TI63" s="201"/>
      <c r="TJ63" s="201"/>
      <c r="TK63" s="201"/>
      <c r="TL63" s="201"/>
      <c r="TM63" s="201"/>
      <c r="TN63" s="201"/>
      <c r="TO63" s="201"/>
      <c r="TP63" s="201"/>
      <c r="TQ63" s="201"/>
      <c r="TR63" s="201"/>
      <c r="TS63" s="201"/>
      <c r="TT63" s="201"/>
      <c r="TU63" s="201"/>
      <c r="TV63" s="201"/>
      <c r="TW63" s="201"/>
      <c r="TX63" s="201"/>
      <c r="TY63" s="201"/>
      <c r="TZ63" s="201"/>
      <c r="UA63" s="201"/>
      <c r="UB63" s="201"/>
      <c r="UC63" s="201"/>
      <c r="UD63" s="201"/>
      <c r="UE63" s="201"/>
      <c r="UF63" s="201"/>
      <c r="UG63" s="201"/>
      <c r="UH63" s="201"/>
      <c r="UI63" s="201"/>
      <c r="UJ63" s="201"/>
      <c r="UK63" s="201"/>
      <c r="UL63" s="201"/>
      <c r="UM63" s="201"/>
      <c r="UN63" s="201"/>
      <c r="UO63" s="201"/>
      <c r="UP63" s="201"/>
      <c r="UQ63" s="201"/>
      <c r="UR63" s="201"/>
      <c r="US63" s="201"/>
      <c r="UT63" s="201"/>
      <c r="UU63" s="201"/>
    </row>
    <row r="64" spans="2:567" x14ac:dyDescent="0.25">
      <c r="B64" s="18" t="s">
        <v>744</v>
      </c>
      <c r="C64" s="63"/>
      <c r="D64" s="63"/>
      <c r="E64" s="562">
        <f ca="1">SUM(E62:E63)</f>
        <v>28279055</v>
      </c>
      <c r="F64" s="565" t="s">
        <v>665</v>
      </c>
      <c r="G64" s="564"/>
      <c r="H64" s="64">
        <f>SUM(H62:H63)</f>
        <v>1</v>
      </c>
      <c r="I64" s="33">
        <f>SUM(I62:I63)</f>
        <v>109.7259126984127</v>
      </c>
      <c r="J64" s="34">
        <f>SUM(J62:J63)</f>
        <v>92169.766666666663</v>
      </c>
      <c r="K64" s="34">
        <f>SUM(K62:K63)</f>
        <v>27650930</v>
      </c>
      <c r="R64" s="90" t="str">
        <f t="shared" si="695"/>
        <v>OK</v>
      </c>
      <c r="S64" s="92">
        <f>SUM(S62:S63)</f>
        <v>27650930</v>
      </c>
      <c r="T64" s="92">
        <f t="shared" ref="T64:CE64" si="714">SUM(T62:T63)</f>
        <v>0</v>
      </c>
      <c r="U64" s="92">
        <f t="shared" si="714"/>
        <v>0</v>
      </c>
      <c r="V64" s="92">
        <f t="shared" si="714"/>
        <v>0</v>
      </c>
      <c r="W64" s="92">
        <f t="shared" si="714"/>
        <v>0</v>
      </c>
      <c r="X64" s="92">
        <f t="shared" si="714"/>
        <v>0</v>
      </c>
      <c r="Y64" s="92">
        <f t="shared" si="714"/>
        <v>0</v>
      </c>
      <c r="Z64" s="92">
        <f t="shared" si="714"/>
        <v>0</v>
      </c>
      <c r="AA64" s="92">
        <f t="shared" si="714"/>
        <v>0</v>
      </c>
      <c r="AB64" s="92">
        <f t="shared" si="714"/>
        <v>0</v>
      </c>
      <c r="AC64" s="92">
        <f t="shared" si="714"/>
        <v>0</v>
      </c>
      <c r="AD64" s="92">
        <f t="shared" si="714"/>
        <v>0</v>
      </c>
      <c r="AE64" s="92">
        <f t="shared" si="714"/>
        <v>0</v>
      </c>
      <c r="AF64" s="92">
        <f t="shared" si="714"/>
        <v>0</v>
      </c>
      <c r="AG64" s="92">
        <f t="shared" si="714"/>
        <v>0</v>
      </c>
      <c r="AH64" s="92">
        <f t="shared" si="714"/>
        <v>0</v>
      </c>
      <c r="AI64" s="92">
        <f t="shared" si="714"/>
        <v>0</v>
      </c>
      <c r="AJ64" s="92">
        <f t="shared" si="714"/>
        <v>0</v>
      </c>
      <c r="AK64" s="92">
        <f t="shared" si="714"/>
        <v>0</v>
      </c>
      <c r="AL64" s="92">
        <f t="shared" si="714"/>
        <v>0</v>
      </c>
      <c r="AM64" s="92">
        <f t="shared" si="714"/>
        <v>0</v>
      </c>
      <c r="AN64" s="92">
        <f t="shared" si="714"/>
        <v>0</v>
      </c>
      <c r="AO64" s="92">
        <f t="shared" si="714"/>
        <v>0</v>
      </c>
      <c r="AP64" s="92">
        <f t="shared" si="714"/>
        <v>0</v>
      </c>
      <c r="AQ64" s="92">
        <f t="shared" si="714"/>
        <v>0</v>
      </c>
      <c r="AR64" s="92">
        <f t="shared" si="714"/>
        <v>0</v>
      </c>
      <c r="AS64" s="92">
        <f t="shared" si="714"/>
        <v>0</v>
      </c>
      <c r="AT64" s="92">
        <f t="shared" si="714"/>
        <v>0</v>
      </c>
      <c r="AU64" s="92">
        <f t="shared" si="714"/>
        <v>0</v>
      </c>
      <c r="AV64" s="92">
        <f t="shared" si="714"/>
        <v>0</v>
      </c>
      <c r="AW64" s="92">
        <f t="shared" si="714"/>
        <v>0</v>
      </c>
      <c r="AX64" s="92">
        <f t="shared" si="714"/>
        <v>0</v>
      </c>
      <c r="AY64" s="92">
        <f t="shared" si="714"/>
        <v>0</v>
      </c>
      <c r="AZ64" s="92">
        <f t="shared" si="714"/>
        <v>0</v>
      </c>
      <c r="BA64" s="92">
        <f t="shared" si="714"/>
        <v>0</v>
      </c>
      <c r="BB64" s="92">
        <f t="shared" si="714"/>
        <v>0</v>
      </c>
      <c r="BC64" s="92">
        <f t="shared" si="714"/>
        <v>0</v>
      </c>
      <c r="BD64" s="92">
        <f t="shared" si="714"/>
        <v>0</v>
      </c>
      <c r="BE64" s="92">
        <f t="shared" si="714"/>
        <v>0</v>
      </c>
      <c r="BF64" s="92">
        <f t="shared" si="714"/>
        <v>0</v>
      </c>
      <c r="BG64" s="92">
        <f t="shared" si="714"/>
        <v>0</v>
      </c>
      <c r="BH64" s="92">
        <f t="shared" si="714"/>
        <v>0</v>
      </c>
      <c r="BI64" s="92">
        <f t="shared" si="714"/>
        <v>0</v>
      </c>
      <c r="BJ64" s="92">
        <f t="shared" si="714"/>
        <v>0</v>
      </c>
      <c r="BK64" s="92">
        <f t="shared" si="714"/>
        <v>0</v>
      </c>
      <c r="BL64" s="92">
        <f t="shared" si="714"/>
        <v>0</v>
      </c>
      <c r="BM64" s="92">
        <f t="shared" si="714"/>
        <v>0</v>
      </c>
      <c r="BN64" s="92">
        <f t="shared" si="714"/>
        <v>0</v>
      </c>
      <c r="BO64" s="92">
        <f t="shared" si="714"/>
        <v>0</v>
      </c>
      <c r="BP64" s="92">
        <f t="shared" si="714"/>
        <v>0</v>
      </c>
      <c r="BQ64" s="92">
        <f t="shared" si="714"/>
        <v>0</v>
      </c>
      <c r="BR64" s="92">
        <f t="shared" si="714"/>
        <v>0</v>
      </c>
      <c r="BS64" s="92">
        <f t="shared" si="714"/>
        <v>0</v>
      </c>
      <c r="BT64" s="92">
        <f t="shared" si="714"/>
        <v>0</v>
      </c>
      <c r="BU64" s="92">
        <f t="shared" si="714"/>
        <v>0</v>
      </c>
      <c r="BV64" s="92">
        <f t="shared" si="714"/>
        <v>0</v>
      </c>
      <c r="BW64" s="92">
        <f t="shared" si="714"/>
        <v>0</v>
      </c>
      <c r="BX64" s="92">
        <f t="shared" si="714"/>
        <v>0</v>
      </c>
      <c r="BY64" s="92">
        <f t="shared" si="714"/>
        <v>0</v>
      </c>
      <c r="BZ64" s="92">
        <f t="shared" si="714"/>
        <v>0</v>
      </c>
      <c r="CA64" s="92">
        <f t="shared" si="714"/>
        <v>0</v>
      </c>
      <c r="CB64" s="92">
        <f t="shared" si="714"/>
        <v>0</v>
      </c>
      <c r="CC64" s="92">
        <f t="shared" si="714"/>
        <v>0</v>
      </c>
      <c r="CD64" s="92">
        <f t="shared" si="714"/>
        <v>0</v>
      </c>
      <c r="CE64" s="92">
        <f t="shared" si="714"/>
        <v>0</v>
      </c>
      <c r="CF64" s="92">
        <f t="shared" ref="CF64:EQ64" si="715">SUM(CF62:CF63)</f>
        <v>0</v>
      </c>
      <c r="CG64" s="92">
        <f t="shared" si="715"/>
        <v>0</v>
      </c>
      <c r="CH64" s="92">
        <f t="shared" si="715"/>
        <v>0</v>
      </c>
      <c r="CI64" s="92">
        <f t="shared" si="715"/>
        <v>0</v>
      </c>
      <c r="CJ64" s="92">
        <f t="shared" si="715"/>
        <v>0</v>
      </c>
      <c r="CK64" s="92">
        <f t="shared" si="715"/>
        <v>0</v>
      </c>
      <c r="CL64" s="92">
        <f t="shared" si="715"/>
        <v>0</v>
      </c>
      <c r="CM64" s="92">
        <f t="shared" si="715"/>
        <v>0</v>
      </c>
      <c r="CN64" s="92">
        <f t="shared" si="715"/>
        <v>0</v>
      </c>
      <c r="CO64" s="92">
        <f t="shared" si="715"/>
        <v>0</v>
      </c>
      <c r="CP64" s="92">
        <f t="shared" si="715"/>
        <v>0</v>
      </c>
      <c r="CQ64" s="92">
        <f t="shared" si="715"/>
        <v>0</v>
      </c>
      <c r="CR64" s="92">
        <f t="shared" si="715"/>
        <v>0</v>
      </c>
      <c r="CS64" s="92">
        <f t="shared" si="715"/>
        <v>0</v>
      </c>
      <c r="CT64" s="92">
        <f t="shared" si="715"/>
        <v>0</v>
      </c>
      <c r="CU64" s="92">
        <f t="shared" si="715"/>
        <v>0</v>
      </c>
      <c r="CV64" s="92">
        <f t="shared" si="715"/>
        <v>0</v>
      </c>
      <c r="CW64" s="92">
        <f t="shared" si="715"/>
        <v>0</v>
      </c>
      <c r="CX64" s="92">
        <f t="shared" si="715"/>
        <v>0</v>
      </c>
      <c r="CY64" s="92">
        <f t="shared" si="715"/>
        <v>0</v>
      </c>
      <c r="CZ64" s="92">
        <f t="shared" si="715"/>
        <v>0</v>
      </c>
      <c r="DA64" s="92">
        <f t="shared" si="715"/>
        <v>0</v>
      </c>
      <c r="DB64" s="92">
        <f t="shared" si="715"/>
        <v>0</v>
      </c>
      <c r="DC64" s="92">
        <f t="shared" si="715"/>
        <v>0</v>
      </c>
      <c r="DD64" s="92">
        <f t="shared" si="715"/>
        <v>0</v>
      </c>
      <c r="DE64" s="92">
        <f t="shared" si="715"/>
        <v>0</v>
      </c>
      <c r="DF64" s="92">
        <f t="shared" si="715"/>
        <v>0</v>
      </c>
      <c r="DG64" s="92">
        <f t="shared" si="715"/>
        <v>0</v>
      </c>
      <c r="DH64" s="92">
        <f t="shared" si="715"/>
        <v>0</v>
      </c>
      <c r="DI64" s="92">
        <f t="shared" si="715"/>
        <v>0</v>
      </c>
      <c r="DJ64" s="92">
        <f t="shared" si="715"/>
        <v>0</v>
      </c>
      <c r="DK64" s="92">
        <f t="shared" si="715"/>
        <v>0</v>
      </c>
      <c r="DL64" s="92">
        <f t="shared" si="715"/>
        <v>0</v>
      </c>
      <c r="DM64" s="92">
        <f t="shared" si="715"/>
        <v>0</v>
      </c>
      <c r="DN64" s="92">
        <f t="shared" si="715"/>
        <v>0</v>
      </c>
      <c r="DO64" s="92">
        <f t="shared" si="715"/>
        <v>0</v>
      </c>
      <c r="DP64" s="92">
        <f t="shared" si="715"/>
        <v>0</v>
      </c>
      <c r="DQ64" s="92">
        <f t="shared" si="715"/>
        <v>0</v>
      </c>
      <c r="DR64" s="92">
        <f t="shared" si="715"/>
        <v>0</v>
      </c>
      <c r="DS64" s="92">
        <f t="shared" si="715"/>
        <v>0</v>
      </c>
      <c r="DT64" s="92">
        <f t="shared" si="715"/>
        <v>0</v>
      </c>
      <c r="DU64" s="92">
        <f t="shared" si="715"/>
        <v>0</v>
      </c>
      <c r="DV64" s="92">
        <f t="shared" si="715"/>
        <v>0</v>
      </c>
      <c r="DW64" s="92">
        <f t="shared" si="715"/>
        <v>0</v>
      </c>
      <c r="DX64" s="92">
        <f t="shared" si="715"/>
        <v>0</v>
      </c>
      <c r="DY64" s="92">
        <f t="shared" si="715"/>
        <v>0</v>
      </c>
      <c r="DZ64" s="92">
        <f t="shared" si="715"/>
        <v>0</v>
      </c>
      <c r="EA64" s="92">
        <f t="shared" si="715"/>
        <v>0</v>
      </c>
      <c r="EB64" s="92">
        <f t="shared" si="715"/>
        <v>0</v>
      </c>
      <c r="EC64" s="92">
        <f t="shared" si="715"/>
        <v>0</v>
      </c>
      <c r="ED64" s="92">
        <f t="shared" si="715"/>
        <v>0</v>
      </c>
      <c r="EE64" s="92">
        <f t="shared" si="715"/>
        <v>0</v>
      </c>
      <c r="EF64" s="92">
        <f t="shared" si="715"/>
        <v>0</v>
      </c>
      <c r="EG64" s="92">
        <f t="shared" si="715"/>
        <v>0</v>
      </c>
      <c r="EH64" s="92">
        <f t="shared" si="715"/>
        <v>0</v>
      </c>
      <c r="EI64" s="92">
        <f t="shared" si="715"/>
        <v>0</v>
      </c>
      <c r="EJ64" s="92">
        <f t="shared" si="715"/>
        <v>0</v>
      </c>
      <c r="EK64" s="92">
        <f t="shared" si="715"/>
        <v>0</v>
      </c>
      <c r="EL64" s="92">
        <f t="shared" si="715"/>
        <v>0</v>
      </c>
      <c r="EM64" s="92">
        <f t="shared" si="715"/>
        <v>0</v>
      </c>
      <c r="EN64" s="92">
        <f t="shared" si="715"/>
        <v>0</v>
      </c>
      <c r="EO64" s="92">
        <f t="shared" si="715"/>
        <v>0</v>
      </c>
      <c r="EP64" s="92">
        <f t="shared" si="715"/>
        <v>0</v>
      </c>
      <c r="EQ64" s="92">
        <f t="shared" si="715"/>
        <v>0</v>
      </c>
      <c r="ER64" s="92">
        <f t="shared" ref="ER64:EU64" si="716">SUM(ER62:ER63)</f>
        <v>0</v>
      </c>
      <c r="ES64" s="92">
        <f t="shared" si="716"/>
        <v>0</v>
      </c>
      <c r="ET64" s="92">
        <f t="shared" si="716"/>
        <v>0</v>
      </c>
      <c r="EU64" s="92">
        <f t="shared" si="716"/>
        <v>0</v>
      </c>
      <c r="EW64" s="199" t="s">
        <v>87</v>
      </c>
      <c r="EX64" s="209">
        <f>+D68</f>
        <v>4</v>
      </c>
      <c r="EY64" s="207">
        <f>K68</f>
        <v>0</v>
      </c>
      <c r="EZ64" s="217">
        <f t="shared" si="701"/>
        <v>0</v>
      </c>
      <c r="FA64" s="199">
        <v>4</v>
      </c>
      <c r="FB64" s="209">
        <f t="shared" si="702"/>
        <v>0</v>
      </c>
      <c r="FC64" s="199"/>
      <c r="FD64" s="199"/>
      <c r="FE64" s="199"/>
      <c r="FF64" s="199"/>
      <c r="FG64" s="199"/>
      <c r="FH64" s="199"/>
      <c r="FI64" s="199"/>
      <c r="FJ64" s="199"/>
      <c r="FK64" s="199"/>
      <c r="FL64" s="199"/>
      <c r="FM64" s="199"/>
      <c r="FN64" s="199"/>
      <c r="FO64" s="199"/>
      <c r="FP64" s="199"/>
      <c r="FQ64" s="199"/>
      <c r="FR64" s="199"/>
      <c r="FS64" s="199"/>
      <c r="FT64" s="199"/>
      <c r="FU64" s="199"/>
      <c r="FV64" s="199"/>
      <c r="FW64" s="199"/>
      <c r="FX64" s="199"/>
      <c r="FY64" s="199"/>
      <c r="FZ64" s="199"/>
      <c r="GA64" s="199"/>
      <c r="GB64" s="199"/>
      <c r="GC64" s="199"/>
      <c r="GD64" s="199"/>
      <c r="GE64" s="199"/>
      <c r="GF64" s="199"/>
      <c r="GG64" s="199"/>
      <c r="GH64" s="199"/>
      <c r="GI64" s="199"/>
      <c r="GJ64" s="199"/>
      <c r="GK64" s="199"/>
      <c r="GL64" s="199"/>
      <c r="GM64" s="199"/>
      <c r="GN64" s="199"/>
      <c r="GO64" s="199"/>
      <c r="GP64" s="199"/>
      <c r="GQ64" s="199"/>
      <c r="GR64" s="199"/>
      <c r="GS64" s="199"/>
      <c r="GT64" s="199"/>
      <c r="GU64" s="199"/>
      <c r="GV64" s="199"/>
      <c r="GW64" s="199"/>
      <c r="GX64" s="199"/>
      <c r="GY64" s="199"/>
      <c r="GZ64" s="199"/>
      <c r="HA64" s="199"/>
      <c r="HB64" s="199"/>
      <c r="HC64" s="199"/>
      <c r="HD64" s="199"/>
      <c r="HE64" s="199"/>
      <c r="HF64" s="199"/>
      <c r="HG64" s="199"/>
      <c r="HH64" s="199"/>
      <c r="HI64" s="199"/>
      <c r="HJ64" s="199"/>
      <c r="HK64" s="199"/>
      <c r="HL64" s="199"/>
      <c r="HM64" s="199"/>
      <c r="HN64" s="199"/>
      <c r="HO64" s="199"/>
      <c r="HP64" s="199"/>
      <c r="HQ64" s="199"/>
      <c r="HR64" s="199"/>
      <c r="HS64" s="199"/>
      <c r="HT64" s="199"/>
      <c r="HU64" s="199"/>
      <c r="HV64" s="199"/>
      <c r="HW64" s="199"/>
      <c r="HX64" s="199"/>
      <c r="HY64" s="199"/>
      <c r="HZ64" s="199"/>
      <c r="IA64" s="199"/>
      <c r="IB64" s="199"/>
      <c r="IC64" s="199"/>
      <c r="ID64" s="199"/>
      <c r="IE64" s="199"/>
      <c r="IF64" s="199"/>
      <c r="IG64" s="199"/>
      <c r="IH64" s="199"/>
      <c r="II64" s="199"/>
      <c r="IJ64" s="199"/>
      <c r="IK64" s="199"/>
      <c r="IL64" s="199"/>
      <c r="IM64" s="199"/>
      <c r="IN64" s="199"/>
      <c r="IO64" s="199"/>
      <c r="IP64" s="199"/>
      <c r="IQ64" s="199"/>
      <c r="IR64" s="199"/>
      <c r="IS64" s="199"/>
      <c r="IT64" s="199"/>
      <c r="IU64" s="199"/>
      <c r="IV64" s="199"/>
      <c r="IW64" s="199"/>
      <c r="IX64" s="199"/>
      <c r="IY64" s="199"/>
      <c r="IZ64" s="199"/>
      <c r="JA64" s="199"/>
      <c r="JB64" s="199"/>
      <c r="JC64" s="199"/>
      <c r="JD64" s="199"/>
      <c r="JE64" s="199"/>
      <c r="JF64" s="199"/>
      <c r="JG64" s="199"/>
      <c r="JH64" s="199"/>
      <c r="JI64" s="199"/>
      <c r="JJ64" s="199"/>
      <c r="JK64" s="199"/>
      <c r="JL64" s="199"/>
      <c r="JM64" s="199"/>
      <c r="JN64" s="199"/>
      <c r="JO64" s="199"/>
      <c r="JP64" s="199"/>
      <c r="JQ64" s="199"/>
      <c r="JR64" s="199"/>
      <c r="JS64" s="199"/>
      <c r="JT64" s="199"/>
      <c r="JU64" s="199"/>
      <c r="JV64" s="199"/>
      <c r="JW64" s="199"/>
      <c r="JX64" s="199"/>
      <c r="JY64" s="199"/>
      <c r="JZ64" s="199"/>
      <c r="KA64" s="199"/>
      <c r="KB64" s="199"/>
      <c r="KC64" s="199"/>
      <c r="KD64" s="199"/>
      <c r="KE64" s="199"/>
      <c r="KH64" s="209"/>
      <c r="KI64" s="207"/>
      <c r="KJ64" s="217"/>
      <c r="KL64" s="209"/>
      <c r="PQ64" s="201"/>
      <c r="PR64" s="201"/>
      <c r="PS64" s="201"/>
      <c r="PT64" s="201"/>
      <c r="PU64" s="201"/>
      <c r="PV64" s="201"/>
      <c r="PW64" s="201"/>
      <c r="PX64" s="201"/>
      <c r="PY64" s="201"/>
      <c r="PZ64" s="201"/>
      <c r="QA64" s="201"/>
      <c r="QB64" s="201"/>
      <c r="QC64" s="201"/>
      <c r="QD64" s="201"/>
      <c r="QE64" s="201"/>
      <c r="QF64" s="201"/>
      <c r="QG64" s="201"/>
      <c r="QH64" s="201"/>
      <c r="QI64" s="201"/>
      <c r="QJ64" s="201"/>
      <c r="QK64" s="201"/>
      <c r="QL64" s="201"/>
      <c r="QM64" s="201"/>
      <c r="QN64" s="201"/>
      <c r="QO64" s="201"/>
      <c r="QP64" s="201"/>
      <c r="QQ64" s="201"/>
      <c r="QR64" s="201"/>
      <c r="QS64" s="201"/>
      <c r="QT64" s="201"/>
      <c r="QU64" s="201"/>
      <c r="QV64" s="201"/>
      <c r="QW64" s="201"/>
      <c r="QX64" s="201"/>
      <c r="QY64" s="201"/>
      <c r="QZ64" s="201"/>
      <c r="RA64" s="201"/>
      <c r="RB64" s="201"/>
      <c r="RC64" s="201"/>
      <c r="RD64" s="201"/>
      <c r="RE64" s="201"/>
      <c r="RF64" s="201"/>
      <c r="RG64" s="201"/>
      <c r="RH64" s="201"/>
      <c r="RI64" s="201"/>
      <c r="RJ64" s="201"/>
      <c r="RK64" s="201"/>
      <c r="RL64" s="201"/>
      <c r="RM64" s="201"/>
      <c r="RN64" s="201"/>
      <c r="RO64" s="201"/>
      <c r="RP64" s="201"/>
      <c r="RQ64" s="201"/>
      <c r="RR64" s="201"/>
      <c r="RS64" s="201"/>
      <c r="RT64" s="201"/>
      <c r="RU64" s="201"/>
      <c r="RV64" s="201"/>
      <c r="RW64" s="201"/>
      <c r="RX64" s="201"/>
      <c r="RY64" s="201"/>
      <c r="RZ64" s="201"/>
      <c r="SA64" s="201"/>
      <c r="SB64" s="201"/>
      <c r="SC64" s="201"/>
      <c r="SD64" s="201"/>
      <c r="SE64" s="201"/>
      <c r="SF64" s="201"/>
      <c r="SG64" s="201"/>
      <c r="SH64" s="201"/>
      <c r="SI64" s="201"/>
      <c r="SJ64" s="201"/>
      <c r="SK64" s="201"/>
      <c r="SL64" s="201"/>
      <c r="SM64" s="201"/>
      <c r="SN64" s="201"/>
      <c r="SO64" s="201"/>
      <c r="SP64" s="201"/>
      <c r="SQ64" s="201"/>
      <c r="SR64" s="201"/>
      <c r="SS64" s="201"/>
      <c r="ST64" s="201"/>
      <c r="SU64" s="201"/>
      <c r="SV64" s="201"/>
      <c r="SW64" s="201"/>
      <c r="SX64" s="201"/>
      <c r="SY64" s="201"/>
      <c r="SZ64" s="201"/>
      <c r="TA64" s="201"/>
      <c r="TB64" s="201"/>
      <c r="TC64" s="201"/>
      <c r="TD64" s="201"/>
      <c r="TE64" s="201"/>
      <c r="TF64" s="201"/>
      <c r="TG64" s="201"/>
      <c r="TH64" s="201"/>
      <c r="TI64" s="201"/>
      <c r="TJ64" s="201"/>
      <c r="TK64" s="201"/>
      <c r="TL64" s="201"/>
      <c r="TM64" s="201"/>
      <c r="TN64" s="201"/>
      <c r="TO64" s="201"/>
      <c r="TP64" s="201"/>
      <c r="TQ64" s="201"/>
      <c r="TR64" s="201"/>
      <c r="TS64" s="201"/>
      <c r="TT64" s="201"/>
      <c r="TU64" s="201"/>
      <c r="TV64" s="201"/>
      <c r="TW64" s="201"/>
      <c r="TX64" s="201"/>
      <c r="TY64" s="201"/>
      <c r="TZ64" s="201"/>
      <c r="UA64" s="201"/>
      <c r="UB64" s="201"/>
      <c r="UC64" s="201"/>
      <c r="UD64" s="201"/>
      <c r="UE64" s="201"/>
      <c r="UF64" s="201"/>
      <c r="UG64" s="201"/>
      <c r="UH64" s="201"/>
      <c r="UI64" s="201"/>
      <c r="UJ64" s="201"/>
      <c r="UK64" s="201"/>
      <c r="UL64" s="201"/>
      <c r="UM64" s="201"/>
      <c r="UN64" s="201"/>
      <c r="UO64" s="201"/>
      <c r="UP64" s="201"/>
      <c r="UQ64" s="201"/>
      <c r="UR64" s="201"/>
      <c r="US64" s="201"/>
      <c r="UT64" s="201"/>
      <c r="UU64" s="201"/>
    </row>
    <row r="65" spans="2:567" ht="5.0999999999999996" customHeight="1" x14ac:dyDescent="0.25">
      <c r="B65" s="18"/>
      <c r="C65" s="63"/>
      <c r="D65" s="63"/>
      <c r="E65" s="63"/>
      <c r="F65" s="18"/>
      <c r="G65" s="18"/>
      <c r="H65" s="18"/>
      <c r="I65" s="18"/>
      <c r="J65" s="26"/>
      <c r="K65" s="26"/>
      <c r="FA65" s="215" t="s">
        <v>84</v>
      </c>
      <c r="FC65" s="199"/>
      <c r="FD65" s="199"/>
      <c r="FE65" s="199"/>
      <c r="FF65" s="199"/>
      <c r="FG65" s="199"/>
      <c r="FH65" s="199"/>
      <c r="FI65" s="199"/>
      <c r="FJ65" s="199"/>
      <c r="FK65" s="199"/>
      <c r="FL65" s="199"/>
      <c r="FM65" s="199"/>
      <c r="FN65" s="199"/>
      <c r="FO65" s="199"/>
      <c r="FP65" s="199"/>
      <c r="FQ65" s="199"/>
      <c r="FR65" s="199"/>
      <c r="FS65" s="199"/>
      <c r="FT65" s="199"/>
      <c r="FU65" s="199"/>
      <c r="FV65" s="199"/>
      <c r="FW65" s="199"/>
      <c r="FX65" s="199"/>
      <c r="FY65" s="199"/>
      <c r="FZ65" s="199"/>
      <c r="GA65" s="199"/>
      <c r="GB65" s="199"/>
      <c r="GC65" s="199"/>
      <c r="GD65" s="199"/>
      <c r="GE65" s="199"/>
      <c r="GF65" s="199"/>
      <c r="GG65" s="199"/>
      <c r="GH65" s="199"/>
      <c r="GI65" s="199"/>
      <c r="GJ65" s="199"/>
      <c r="GK65" s="199"/>
      <c r="GL65" s="199"/>
      <c r="GM65" s="199"/>
      <c r="GN65" s="199"/>
      <c r="GO65" s="199"/>
      <c r="GP65" s="199"/>
      <c r="GQ65" s="199"/>
      <c r="GR65" s="199"/>
      <c r="GS65" s="199"/>
      <c r="GT65" s="199"/>
      <c r="GU65" s="199"/>
      <c r="GV65" s="199"/>
      <c r="GW65" s="199"/>
      <c r="GX65" s="199"/>
      <c r="GY65" s="199"/>
      <c r="GZ65" s="199"/>
      <c r="HA65" s="199"/>
      <c r="HB65" s="199"/>
      <c r="HC65" s="199"/>
      <c r="HD65" s="199"/>
      <c r="HE65" s="199"/>
      <c r="HF65" s="199"/>
      <c r="HG65" s="199"/>
      <c r="HH65" s="199"/>
      <c r="HI65" s="199"/>
      <c r="HJ65" s="199"/>
      <c r="HK65" s="199"/>
      <c r="HL65" s="199"/>
      <c r="HM65" s="199"/>
      <c r="HN65" s="199"/>
      <c r="HO65" s="199"/>
      <c r="HP65" s="199"/>
      <c r="HQ65" s="199"/>
      <c r="HR65" s="199"/>
      <c r="HS65" s="199"/>
      <c r="HT65" s="199"/>
      <c r="HU65" s="199"/>
      <c r="HV65" s="199"/>
      <c r="HW65" s="199"/>
      <c r="HX65" s="199"/>
      <c r="HY65" s="199"/>
      <c r="HZ65" s="199"/>
      <c r="IA65" s="199"/>
      <c r="IB65" s="199"/>
      <c r="IC65" s="199"/>
      <c r="ID65" s="199"/>
      <c r="IE65" s="199"/>
      <c r="IF65" s="199"/>
      <c r="IG65" s="199"/>
      <c r="IH65" s="199"/>
      <c r="II65" s="199"/>
      <c r="IJ65" s="199"/>
      <c r="IK65" s="199"/>
      <c r="IL65" s="199"/>
      <c r="IM65" s="199"/>
      <c r="IN65" s="199"/>
      <c r="IO65" s="199"/>
      <c r="IP65" s="199"/>
      <c r="IQ65" s="199"/>
      <c r="IR65" s="199"/>
      <c r="IS65" s="199"/>
      <c r="IT65" s="199"/>
      <c r="IU65" s="199"/>
      <c r="IV65" s="199"/>
      <c r="IW65" s="199"/>
      <c r="IX65" s="199"/>
      <c r="IY65" s="199"/>
      <c r="IZ65" s="199"/>
      <c r="JA65" s="199"/>
      <c r="JB65" s="199"/>
      <c r="JC65" s="199"/>
      <c r="JD65" s="199"/>
      <c r="JE65" s="199"/>
      <c r="JF65" s="199"/>
      <c r="JG65" s="199"/>
      <c r="JH65" s="199"/>
      <c r="JI65" s="199"/>
      <c r="JJ65" s="199"/>
      <c r="JK65" s="199"/>
      <c r="JL65" s="199"/>
      <c r="JM65" s="199"/>
      <c r="JN65" s="199"/>
      <c r="JO65" s="199"/>
      <c r="JP65" s="199"/>
      <c r="JQ65" s="199"/>
      <c r="JR65" s="199"/>
      <c r="JS65" s="199"/>
      <c r="JT65" s="199"/>
      <c r="JU65" s="199"/>
      <c r="JV65" s="199"/>
      <c r="JW65" s="199"/>
      <c r="JX65" s="199"/>
      <c r="JY65" s="199"/>
      <c r="JZ65" s="199"/>
      <c r="KA65" s="199"/>
      <c r="KB65" s="199"/>
      <c r="KC65" s="199"/>
      <c r="KD65" s="199"/>
      <c r="KE65" s="199"/>
      <c r="KK65" s="215"/>
      <c r="PQ65" s="201"/>
      <c r="PR65" s="201"/>
      <c r="PS65" s="201"/>
      <c r="PT65" s="201"/>
      <c r="PU65" s="201"/>
      <c r="PV65" s="201"/>
      <c r="PW65" s="201"/>
      <c r="PX65" s="201"/>
      <c r="PY65" s="201"/>
      <c r="PZ65" s="201"/>
      <c r="QA65" s="201"/>
      <c r="QB65" s="201"/>
      <c r="QC65" s="201"/>
      <c r="QD65" s="201"/>
      <c r="QE65" s="201"/>
      <c r="QF65" s="201"/>
      <c r="QG65" s="201"/>
      <c r="QH65" s="201"/>
      <c r="QI65" s="201"/>
      <c r="QJ65" s="201"/>
      <c r="QK65" s="201"/>
      <c r="QL65" s="201"/>
      <c r="QM65" s="201"/>
      <c r="QN65" s="201"/>
      <c r="QO65" s="201"/>
      <c r="QP65" s="201"/>
      <c r="QQ65" s="201"/>
      <c r="QR65" s="201"/>
      <c r="QS65" s="201"/>
      <c r="QT65" s="201"/>
      <c r="QU65" s="201"/>
      <c r="QV65" s="201"/>
      <c r="QW65" s="201"/>
      <c r="QX65" s="201"/>
      <c r="QY65" s="201"/>
      <c r="QZ65" s="201"/>
      <c r="RA65" s="201"/>
      <c r="RB65" s="201"/>
      <c r="RC65" s="201"/>
      <c r="RD65" s="201"/>
      <c r="RE65" s="201"/>
      <c r="RF65" s="201"/>
      <c r="RG65" s="201"/>
      <c r="RH65" s="201"/>
      <c r="RI65" s="201"/>
      <c r="RJ65" s="201"/>
      <c r="RK65" s="201"/>
      <c r="RL65" s="201"/>
      <c r="RM65" s="201"/>
      <c r="RN65" s="201"/>
      <c r="RO65" s="201"/>
      <c r="RP65" s="201"/>
      <c r="RQ65" s="201"/>
      <c r="RR65" s="201"/>
      <c r="RS65" s="201"/>
      <c r="RT65" s="201"/>
      <c r="RU65" s="201"/>
      <c r="RV65" s="201"/>
      <c r="RW65" s="201"/>
      <c r="RX65" s="201"/>
      <c r="RY65" s="201"/>
      <c r="RZ65" s="201"/>
      <c r="SA65" s="201"/>
      <c r="SB65" s="201"/>
      <c r="SC65" s="201"/>
      <c r="SD65" s="201"/>
      <c r="SE65" s="201"/>
      <c r="SF65" s="201"/>
      <c r="SG65" s="201"/>
      <c r="SH65" s="201"/>
      <c r="SI65" s="201"/>
      <c r="SJ65" s="201"/>
      <c r="SK65" s="201"/>
      <c r="SL65" s="201"/>
      <c r="SM65" s="201"/>
      <c r="SN65" s="201"/>
      <c r="SO65" s="201"/>
      <c r="SP65" s="201"/>
      <c r="SQ65" s="201"/>
      <c r="SR65" s="201"/>
      <c r="SS65" s="201"/>
      <c r="ST65" s="201"/>
      <c r="SU65" s="201"/>
      <c r="SV65" s="201"/>
      <c r="SW65" s="201"/>
      <c r="SX65" s="201"/>
      <c r="SY65" s="201"/>
      <c r="SZ65" s="201"/>
      <c r="TA65" s="201"/>
      <c r="TB65" s="201"/>
      <c r="TC65" s="201"/>
      <c r="TD65" s="201"/>
      <c r="TE65" s="201"/>
      <c r="TF65" s="201"/>
      <c r="TG65" s="201"/>
      <c r="TH65" s="201"/>
      <c r="TI65" s="201"/>
      <c r="TJ65" s="201"/>
      <c r="TK65" s="201"/>
      <c r="TL65" s="201"/>
      <c r="TM65" s="201"/>
      <c r="TN65" s="201"/>
      <c r="TO65" s="201"/>
      <c r="TP65" s="201"/>
      <c r="TQ65" s="201"/>
      <c r="TR65" s="201"/>
      <c r="TS65" s="201"/>
      <c r="TT65" s="201"/>
      <c r="TU65" s="201"/>
      <c r="TV65" s="201"/>
      <c r="TW65" s="201"/>
      <c r="TX65" s="201"/>
      <c r="TY65" s="201"/>
      <c r="TZ65" s="201"/>
      <c r="UA65" s="201"/>
      <c r="UB65" s="201"/>
      <c r="UC65" s="201"/>
      <c r="UD65" s="201"/>
      <c r="UE65" s="201"/>
      <c r="UF65" s="201"/>
      <c r="UG65" s="201"/>
      <c r="UH65" s="201"/>
      <c r="UI65" s="201"/>
      <c r="UJ65" s="201"/>
      <c r="UK65" s="201"/>
      <c r="UL65" s="201"/>
      <c r="UM65" s="201"/>
      <c r="UN65" s="201"/>
      <c r="UO65" s="201"/>
      <c r="UP65" s="201"/>
      <c r="UQ65" s="201"/>
      <c r="UR65" s="201"/>
      <c r="US65" s="201"/>
      <c r="UT65" s="201"/>
      <c r="UU65" s="201"/>
    </row>
    <row r="66" spans="2:567" x14ac:dyDescent="0.25">
      <c r="B66" s="18" t="s">
        <v>116</v>
      </c>
      <c r="C66" s="59"/>
      <c r="D66" s="59" t="s">
        <v>101</v>
      </c>
      <c r="E66" s="59" t="s">
        <v>639</v>
      </c>
      <c r="F66" s="18"/>
      <c r="G66" s="59" t="s">
        <v>109</v>
      </c>
      <c r="H66" s="65" t="s">
        <v>45</v>
      </c>
      <c r="I66" s="53" t="str">
        <f>I61</f>
        <v>/NRA</v>
      </c>
      <c r="J66" s="30" t="str">
        <f>J61</f>
        <v>/ UNIT</v>
      </c>
      <c r="K66" s="29" t="s">
        <v>31</v>
      </c>
      <c r="FA66" s="216" t="s">
        <v>81</v>
      </c>
      <c r="FC66" s="204">
        <v>0</v>
      </c>
      <c r="FD66" s="204">
        <f>+FC66+1</f>
        <v>1</v>
      </c>
      <c r="FE66" s="204">
        <f t="shared" ref="FE66:HP66" si="717">+FD66+1</f>
        <v>2</v>
      </c>
      <c r="FF66" s="204">
        <f t="shared" si="717"/>
        <v>3</v>
      </c>
      <c r="FG66" s="204">
        <f t="shared" si="717"/>
        <v>4</v>
      </c>
      <c r="FH66" s="204">
        <f t="shared" si="717"/>
        <v>5</v>
      </c>
      <c r="FI66" s="204">
        <f t="shared" si="717"/>
        <v>6</v>
      </c>
      <c r="FJ66" s="204">
        <f t="shared" si="717"/>
        <v>7</v>
      </c>
      <c r="FK66" s="204">
        <f t="shared" si="717"/>
        <v>8</v>
      </c>
      <c r="FL66" s="204">
        <f t="shared" si="717"/>
        <v>9</v>
      </c>
      <c r="FM66" s="204">
        <f t="shared" si="717"/>
        <v>10</v>
      </c>
      <c r="FN66" s="204">
        <f t="shared" si="717"/>
        <v>11</v>
      </c>
      <c r="FO66" s="204">
        <f t="shared" si="717"/>
        <v>12</v>
      </c>
      <c r="FP66" s="204">
        <f t="shared" si="717"/>
        <v>13</v>
      </c>
      <c r="FQ66" s="204">
        <f t="shared" si="717"/>
        <v>14</v>
      </c>
      <c r="FR66" s="204">
        <f t="shared" si="717"/>
        <v>15</v>
      </c>
      <c r="FS66" s="204">
        <f t="shared" si="717"/>
        <v>16</v>
      </c>
      <c r="FT66" s="204">
        <f t="shared" si="717"/>
        <v>17</v>
      </c>
      <c r="FU66" s="204">
        <f t="shared" si="717"/>
        <v>18</v>
      </c>
      <c r="FV66" s="204">
        <f t="shared" si="717"/>
        <v>19</v>
      </c>
      <c r="FW66" s="204">
        <f t="shared" si="717"/>
        <v>20</v>
      </c>
      <c r="FX66" s="204">
        <f t="shared" si="717"/>
        <v>21</v>
      </c>
      <c r="FY66" s="204">
        <f t="shared" si="717"/>
        <v>22</v>
      </c>
      <c r="FZ66" s="204">
        <f t="shared" si="717"/>
        <v>23</v>
      </c>
      <c r="GA66" s="204">
        <f t="shared" si="717"/>
        <v>24</v>
      </c>
      <c r="GB66" s="204">
        <f t="shared" si="717"/>
        <v>25</v>
      </c>
      <c r="GC66" s="204">
        <f t="shared" si="717"/>
        <v>26</v>
      </c>
      <c r="GD66" s="204">
        <f t="shared" si="717"/>
        <v>27</v>
      </c>
      <c r="GE66" s="204">
        <f t="shared" si="717"/>
        <v>28</v>
      </c>
      <c r="GF66" s="204">
        <f t="shared" si="717"/>
        <v>29</v>
      </c>
      <c r="GG66" s="204">
        <f t="shared" si="717"/>
        <v>30</v>
      </c>
      <c r="GH66" s="204">
        <f t="shared" si="717"/>
        <v>31</v>
      </c>
      <c r="GI66" s="204">
        <f t="shared" si="717"/>
        <v>32</v>
      </c>
      <c r="GJ66" s="204">
        <f t="shared" si="717"/>
        <v>33</v>
      </c>
      <c r="GK66" s="204">
        <f t="shared" si="717"/>
        <v>34</v>
      </c>
      <c r="GL66" s="204">
        <f t="shared" si="717"/>
        <v>35</v>
      </c>
      <c r="GM66" s="204">
        <f t="shared" si="717"/>
        <v>36</v>
      </c>
      <c r="GN66" s="204">
        <f t="shared" si="717"/>
        <v>37</v>
      </c>
      <c r="GO66" s="204">
        <f t="shared" si="717"/>
        <v>38</v>
      </c>
      <c r="GP66" s="204">
        <f t="shared" si="717"/>
        <v>39</v>
      </c>
      <c r="GQ66" s="204">
        <f t="shared" si="717"/>
        <v>40</v>
      </c>
      <c r="GR66" s="204">
        <f t="shared" si="717"/>
        <v>41</v>
      </c>
      <c r="GS66" s="204">
        <f t="shared" si="717"/>
        <v>42</v>
      </c>
      <c r="GT66" s="204">
        <f t="shared" si="717"/>
        <v>43</v>
      </c>
      <c r="GU66" s="204">
        <f t="shared" si="717"/>
        <v>44</v>
      </c>
      <c r="GV66" s="204">
        <f t="shared" si="717"/>
        <v>45</v>
      </c>
      <c r="GW66" s="204">
        <f t="shared" si="717"/>
        <v>46</v>
      </c>
      <c r="GX66" s="204">
        <f t="shared" si="717"/>
        <v>47</v>
      </c>
      <c r="GY66" s="204">
        <f t="shared" si="717"/>
        <v>48</v>
      </c>
      <c r="GZ66" s="204">
        <f t="shared" si="717"/>
        <v>49</v>
      </c>
      <c r="HA66" s="204">
        <f t="shared" si="717"/>
        <v>50</v>
      </c>
      <c r="HB66" s="204">
        <f t="shared" si="717"/>
        <v>51</v>
      </c>
      <c r="HC66" s="204">
        <f t="shared" si="717"/>
        <v>52</v>
      </c>
      <c r="HD66" s="204">
        <f t="shared" si="717"/>
        <v>53</v>
      </c>
      <c r="HE66" s="204">
        <f t="shared" si="717"/>
        <v>54</v>
      </c>
      <c r="HF66" s="204">
        <f t="shared" si="717"/>
        <v>55</v>
      </c>
      <c r="HG66" s="204">
        <f t="shared" si="717"/>
        <v>56</v>
      </c>
      <c r="HH66" s="204">
        <f t="shared" si="717"/>
        <v>57</v>
      </c>
      <c r="HI66" s="204">
        <f t="shared" si="717"/>
        <v>58</v>
      </c>
      <c r="HJ66" s="204">
        <f t="shared" si="717"/>
        <v>59</v>
      </c>
      <c r="HK66" s="204">
        <f t="shared" si="717"/>
        <v>60</v>
      </c>
      <c r="HL66" s="204">
        <f t="shared" si="717"/>
        <v>61</v>
      </c>
      <c r="HM66" s="204">
        <f t="shared" si="717"/>
        <v>62</v>
      </c>
      <c r="HN66" s="204">
        <f t="shared" si="717"/>
        <v>63</v>
      </c>
      <c r="HO66" s="204">
        <f t="shared" si="717"/>
        <v>64</v>
      </c>
      <c r="HP66" s="204">
        <f t="shared" si="717"/>
        <v>65</v>
      </c>
      <c r="HQ66" s="204">
        <f t="shared" ref="HQ66:KB66" si="718">+HP66+1</f>
        <v>66</v>
      </c>
      <c r="HR66" s="204">
        <f t="shared" si="718"/>
        <v>67</v>
      </c>
      <c r="HS66" s="204">
        <f t="shared" si="718"/>
        <v>68</v>
      </c>
      <c r="HT66" s="204">
        <f t="shared" si="718"/>
        <v>69</v>
      </c>
      <c r="HU66" s="204">
        <f t="shared" si="718"/>
        <v>70</v>
      </c>
      <c r="HV66" s="204">
        <f t="shared" si="718"/>
        <v>71</v>
      </c>
      <c r="HW66" s="204">
        <f t="shared" si="718"/>
        <v>72</v>
      </c>
      <c r="HX66" s="204">
        <f t="shared" si="718"/>
        <v>73</v>
      </c>
      <c r="HY66" s="204">
        <f t="shared" si="718"/>
        <v>74</v>
      </c>
      <c r="HZ66" s="204">
        <f t="shared" si="718"/>
        <v>75</v>
      </c>
      <c r="IA66" s="204">
        <f t="shared" si="718"/>
        <v>76</v>
      </c>
      <c r="IB66" s="204">
        <f t="shared" si="718"/>
        <v>77</v>
      </c>
      <c r="IC66" s="204">
        <f t="shared" si="718"/>
        <v>78</v>
      </c>
      <c r="ID66" s="204">
        <f t="shared" si="718"/>
        <v>79</v>
      </c>
      <c r="IE66" s="204">
        <f t="shared" si="718"/>
        <v>80</v>
      </c>
      <c r="IF66" s="204">
        <f t="shared" si="718"/>
        <v>81</v>
      </c>
      <c r="IG66" s="204">
        <f t="shared" si="718"/>
        <v>82</v>
      </c>
      <c r="IH66" s="204">
        <f t="shared" si="718"/>
        <v>83</v>
      </c>
      <c r="II66" s="204">
        <f t="shared" si="718"/>
        <v>84</v>
      </c>
      <c r="IJ66" s="204">
        <f t="shared" si="718"/>
        <v>85</v>
      </c>
      <c r="IK66" s="204">
        <f t="shared" si="718"/>
        <v>86</v>
      </c>
      <c r="IL66" s="204">
        <f t="shared" si="718"/>
        <v>87</v>
      </c>
      <c r="IM66" s="204">
        <f t="shared" si="718"/>
        <v>88</v>
      </c>
      <c r="IN66" s="204">
        <f t="shared" si="718"/>
        <v>89</v>
      </c>
      <c r="IO66" s="204">
        <f t="shared" si="718"/>
        <v>90</v>
      </c>
      <c r="IP66" s="204">
        <f t="shared" si="718"/>
        <v>91</v>
      </c>
      <c r="IQ66" s="204">
        <f t="shared" si="718"/>
        <v>92</v>
      </c>
      <c r="IR66" s="204">
        <f t="shared" si="718"/>
        <v>93</v>
      </c>
      <c r="IS66" s="204">
        <f t="shared" si="718"/>
        <v>94</v>
      </c>
      <c r="IT66" s="204">
        <f t="shared" si="718"/>
        <v>95</v>
      </c>
      <c r="IU66" s="204">
        <f t="shared" si="718"/>
        <v>96</v>
      </c>
      <c r="IV66" s="204">
        <f t="shared" si="718"/>
        <v>97</v>
      </c>
      <c r="IW66" s="204">
        <f t="shared" si="718"/>
        <v>98</v>
      </c>
      <c r="IX66" s="204">
        <f t="shared" si="718"/>
        <v>99</v>
      </c>
      <c r="IY66" s="204">
        <f t="shared" si="718"/>
        <v>100</v>
      </c>
      <c r="IZ66" s="204">
        <f t="shared" si="718"/>
        <v>101</v>
      </c>
      <c r="JA66" s="204">
        <f t="shared" si="718"/>
        <v>102</v>
      </c>
      <c r="JB66" s="204">
        <f t="shared" si="718"/>
        <v>103</v>
      </c>
      <c r="JC66" s="204">
        <f t="shared" si="718"/>
        <v>104</v>
      </c>
      <c r="JD66" s="204">
        <f t="shared" si="718"/>
        <v>105</v>
      </c>
      <c r="JE66" s="204">
        <f t="shared" si="718"/>
        <v>106</v>
      </c>
      <c r="JF66" s="204">
        <f t="shared" si="718"/>
        <v>107</v>
      </c>
      <c r="JG66" s="204">
        <f t="shared" si="718"/>
        <v>108</v>
      </c>
      <c r="JH66" s="204">
        <f t="shared" si="718"/>
        <v>109</v>
      </c>
      <c r="JI66" s="204">
        <f t="shared" si="718"/>
        <v>110</v>
      </c>
      <c r="JJ66" s="204">
        <f t="shared" si="718"/>
        <v>111</v>
      </c>
      <c r="JK66" s="204">
        <f t="shared" si="718"/>
        <v>112</v>
      </c>
      <c r="JL66" s="204">
        <f t="shared" si="718"/>
        <v>113</v>
      </c>
      <c r="JM66" s="204">
        <f t="shared" si="718"/>
        <v>114</v>
      </c>
      <c r="JN66" s="204">
        <f t="shared" si="718"/>
        <v>115</v>
      </c>
      <c r="JO66" s="204">
        <f t="shared" si="718"/>
        <v>116</v>
      </c>
      <c r="JP66" s="204">
        <f t="shared" si="718"/>
        <v>117</v>
      </c>
      <c r="JQ66" s="204">
        <f t="shared" si="718"/>
        <v>118</v>
      </c>
      <c r="JR66" s="204">
        <f t="shared" si="718"/>
        <v>119</v>
      </c>
      <c r="JS66" s="204">
        <f t="shared" si="718"/>
        <v>120</v>
      </c>
      <c r="JT66" s="204">
        <f t="shared" si="718"/>
        <v>121</v>
      </c>
      <c r="JU66" s="204">
        <f t="shared" si="718"/>
        <v>122</v>
      </c>
      <c r="JV66" s="204">
        <f t="shared" si="718"/>
        <v>123</v>
      </c>
      <c r="JW66" s="204">
        <f t="shared" si="718"/>
        <v>124</v>
      </c>
      <c r="JX66" s="204">
        <f t="shared" si="718"/>
        <v>125</v>
      </c>
      <c r="JY66" s="204">
        <f t="shared" si="718"/>
        <v>126</v>
      </c>
      <c r="JZ66" s="204">
        <f t="shared" si="718"/>
        <v>127</v>
      </c>
      <c r="KA66" s="204">
        <f t="shared" si="718"/>
        <v>128</v>
      </c>
      <c r="KB66" s="204">
        <f t="shared" si="718"/>
        <v>129</v>
      </c>
      <c r="KC66" s="204">
        <f t="shared" ref="KC66:KE66" si="719">+KB66+1</f>
        <v>130</v>
      </c>
      <c r="KD66" s="204">
        <f t="shared" si="719"/>
        <v>131</v>
      </c>
      <c r="KE66" s="204">
        <f t="shared" si="719"/>
        <v>132</v>
      </c>
      <c r="KF66" s="205"/>
      <c r="KK66" s="216"/>
      <c r="KM66" s="204"/>
      <c r="KN66" s="204"/>
      <c r="KO66" s="204"/>
      <c r="KP66" s="204"/>
      <c r="KQ66" s="204"/>
      <c r="KR66" s="204"/>
      <c r="KS66" s="204"/>
      <c r="KT66" s="204"/>
      <c r="KU66" s="204"/>
      <c r="KV66" s="204"/>
      <c r="KW66" s="204"/>
      <c r="KX66" s="204"/>
      <c r="KY66" s="204"/>
      <c r="KZ66" s="204"/>
      <c r="LA66" s="204"/>
      <c r="LB66" s="204"/>
      <c r="LC66" s="204"/>
      <c r="LD66" s="204"/>
      <c r="LE66" s="204"/>
      <c r="LF66" s="204"/>
      <c r="LG66" s="204"/>
      <c r="LH66" s="204"/>
      <c r="LI66" s="204"/>
      <c r="LJ66" s="204"/>
      <c r="LK66" s="204"/>
      <c r="LL66" s="204"/>
      <c r="LM66" s="204"/>
      <c r="LN66" s="204"/>
      <c r="LO66" s="204"/>
      <c r="LP66" s="204"/>
      <c r="LQ66" s="204"/>
      <c r="LR66" s="204"/>
      <c r="LS66" s="204"/>
      <c r="LT66" s="204"/>
      <c r="LU66" s="204"/>
      <c r="LV66" s="204"/>
      <c r="LW66" s="204"/>
      <c r="LX66" s="204"/>
      <c r="LY66" s="204"/>
      <c r="LZ66" s="204"/>
      <c r="MA66" s="204"/>
      <c r="MB66" s="204"/>
      <c r="MC66" s="204"/>
      <c r="MD66" s="204"/>
      <c r="ME66" s="204"/>
      <c r="MF66" s="204"/>
      <c r="MG66" s="204"/>
      <c r="MH66" s="204"/>
      <c r="MI66" s="204"/>
      <c r="MJ66" s="204"/>
      <c r="MK66" s="204"/>
      <c r="ML66" s="204"/>
      <c r="MM66" s="204"/>
      <c r="MN66" s="204"/>
      <c r="MO66" s="204"/>
      <c r="MP66" s="204"/>
      <c r="MQ66" s="204"/>
      <c r="MR66" s="204"/>
      <c r="MS66" s="204"/>
      <c r="MT66" s="204"/>
      <c r="MU66" s="204"/>
      <c r="MV66" s="204"/>
      <c r="MW66" s="204"/>
      <c r="MX66" s="204"/>
      <c r="MY66" s="204"/>
      <c r="MZ66" s="204"/>
      <c r="NA66" s="204"/>
      <c r="NB66" s="204"/>
      <c r="NC66" s="204"/>
      <c r="ND66" s="204"/>
      <c r="NE66" s="204"/>
      <c r="NF66" s="204"/>
      <c r="NG66" s="204"/>
      <c r="NH66" s="204"/>
      <c r="NI66" s="204"/>
      <c r="NJ66" s="204"/>
      <c r="NK66" s="204"/>
      <c r="NL66" s="204"/>
      <c r="NM66" s="204"/>
      <c r="NN66" s="204"/>
      <c r="NO66" s="204"/>
      <c r="NP66" s="204"/>
      <c r="NQ66" s="204"/>
      <c r="NR66" s="204"/>
      <c r="NS66" s="204"/>
      <c r="NT66" s="204"/>
      <c r="NU66" s="204"/>
      <c r="NV66" s="204"/>
      <c r="NW66" s="204"/>
      <c r="NX66" s="204"/>
      <c r="NY66" s="204"/>
      <c r="NZ66" s="204"/>
      <c r="OA66" s="204"/>
      <c r="OB66" s="204"/>
      <c r="OC66" s="204"/>
      <c r="OD66" s="204"/>
      <c r="OE66" s="204"/>
      <c r="OF66" s="204"/>
      <c r="OG66" s="204"/>
      <c r="OH66" s="204"/>
      <c r="OI66" s="204"/>
      <c r="OJ66" s="204"/>
      <c r="OK66" s="204"/>
      <c r="OL66" s="204"/>
      <c r="OM66" s="204"/>
      <c r="ON66" s="204"/>
      <c r="OO66" s="204"/>
      <c r="OP66" s="204"/>
      <c r="OQ66" s="204"/>
      <c r="OR66" s="204"/>
      <c r="OS66" s="204"/>
      <c r="OT66" s="204"/>
      <c r="OU66" s="204"/>
      <c r="OV66" s="204"/>
      <c r="OW66" s="204"/>
      <c r="OX66" s="204"/>
      <c r="OY66" s="204"/>
      <c r="OZ66" s="204"/>
      <c r="PA66" s="204"/>
      <c r="PB66" s="204"/>
      <c r="PC66" s="204"/>
      <c r="PD66" s="204"/>
      <c r="PE66" s="204"/>
      <c r="PF66" s="204"/>
      <c r="PG66" s="204"/>
      <c r="PH66" s="204"/>
      <c r="PI66" s="204"/>
      <c r="PJ66" s="204"/>
      <c r="PK66" s="204"/>
      <c r="PL66" s="204"/>
      <c r="PM66" s="204"/>
      <c r="PN66" s="204"/>
      <c r="PO66" s="204"/>
      <c r="PQ66" s="201"/>
      <c r="PR66" s="201"/>
      <c r="PS66" s="201"/>
      <c r="PT66" s="201"/>
      <c r="PU66" s="201"/>
      <c r="PV66" s="201"/>
      <c r="PW66" s="201"/>
      <c r="PX66" s="201"/>
      <c r="PY66" s="201"/>
      <c r="PZ66" s="201"/>
      <c r="QA66" s="201"/>
      <c r="QB66" s="201"/>
      <c r="QC66" s="201"/>
      <c r="QD66" s="201"/>
      <c r="QE66" s="201"/>
      <c r="QF66" s="201"/>
      <c r="QG66" s="201"/>
      <c r="QH66" s="201"/>
      <c r="QI66" s="201"/>
      <c r="QJ66" s="201"/>
      <c r="QK66" s="201"/>
      <c r="QL66" s="201"/>
      <c r="QM66" s="201"/>
      <c r="QN66" s="201"/>
      <c r="QO66" s="201"/>
      <c r="QP66" s="201"/>
      <c r="QQ66" s="201"/>
      <c r="QR66" s="201"/>
      <c r="QS66" s="201"/>
      <c r="QT66" s="201"/>
      <c r="QU66" s="201"/>
      <c r="QV66" s="201"/>
      <c r="QW66" s="201"/>
      <c r="QX66" s="201"/>
      <c r="QY66" s="201"/>
      <c r="QZ66" s="201"/>
      <c r="RA66" s="201"/>
      <c r="RB66" s="201"/>
      <c r="RC66" s="201"/>
      <c r="RD66" s="201"/>
      <c r="RE66" s="201"/>
      <c r="RF66" s="201"/>
      <c r="RG66" s="201"/>
      <c r="RH66" s="201"/>
      <c r="RI66" s="201"/>
      <c r="RJ66" s="201"/>
      <c r="RK66" s="201"/>
      <c r="RL66" s="201"/>
      <c r="RM66" s="201"/>
      <c r="RN66" s="201"/>
      <c r="RO66" s="201"/>
      <c r="RP66" s="201"/>
      <c r="RQ66" s="201"/>
      <c r="RR66" s="201"/>
      <c r="RS66" s="201"/>
      <c r="RT66" s="201"/>
      <c r="RU66" s="201"/>
      <c r="RV66" s="201"/>
      <c r="RW66" s="201"/>
      <c r="RX66" s="201"/>
      <c r="RY66" s="201"/>
      <c r="RZ66" s="201"/>
      <c r="SA66" s="201"/>
      <c r="SB66" s="201"/>
      <c r="SC66" s="201"/>
      <c r="SD66" s="201"/>
      <c r="SE66" s="201"/>
      <c r="SF66" s="201"/>
      <c r="SG66" s="201"/>
      <c r="SH66" s="201"/>
      <c r="SI66" s="201"/>
      <c r="SJ66" s="201"/>
      <c r="SK66" s="201"/>
      <c r="SL66" s="201"/>
      <c r="SM66" s="201"/>
      <c r="SN66" s="201"/>
      <c r="SO66" s="201"/>
      <c r="SP66" s="201"/>
      <c r="SQ66" s="201"/>
      <c r="SR66" s="201"/>
      <c r="SS66" s="201"/>
      <c r="ST66" s="201"/>
      <c r="SU66" s="201"/>
      <c r="SV66" s="201"/>
      <c r="SW66" s="201"/>
      <c r="SX66" s="201"/>
      <c r="SY66" s="201"/>
      <c r="SZ66" s="201"/>
      <c r="TA66" s="201"/>
      <c r="TB66" s="201"/>
      <c r="TC66" s="201"/>
      <c r="TD66" s="201"/>
      <c r="TE66" s="201"/>
      <c r="TF66" s="201"/>
      <c r="TG66" s="201"/>
      <c r="TH66" s="201"/>
      <c r="TI66" s="201"/>
      <c r="TJ66" s="201"/>
      <c r="TK66" s="201"/>
      <c r="TL66" s="201"/>
      <c r="TM66" s="201"/>
      <c r="TN66" s="201"/>
      <c r="TO66" s="201"/>
      <c r="TP66" s="201"/>
      <c r="TQ66" s="201"/>
      <c r="TR66" s="201"/>
      <c r="TS66" s="201"/>
      <c r="TT66" s="201"/>
      <c r="TU66" s="201"/>
      <c r="TV66" s="201"/>
      <c r="TW66" s="201"/>
      <c r="TX66" s="201"/>
      <c r="TY66" s="201"/>
      <c r="TZ66" s="201"/>
      <c r="UA66" s="201"/>
      <c r="UB66" s="201"/>
      <c r="UC66" s="201"/>
      <c r="UD66" s="201"/>
      <c r="UE66" s="201"/>
      <c r="UF66" s="201"/>
      <c r="UG66" s="201"/>
      <c r="UH66" s="201"/>
      <c r="UI66" s="201"/>
      <c r="UJ66" s="201"/>
      <c r="UK66" s="201"/>
      <c r="UL66" s="201"/>
      <c r="UM66" s="201"/>
      <c r="UN66" s="201"/>
      <c r="UO66" s="201"/>
      <c r="UP66" s="201"/>
      <c r="UQ66" s="201"/>
      <c r="UR66" s="201"/>
      <c r="US66" s="201"/>
      <c r="UT66" s="201"/>
      <c r="UU66" s="201"/>
    </row>
    <row r="67" spans="2:567" x14ac:dyDescent="0.25">
      <c r="B67" s="31" t="s">
        <v>95</v>
      </c>
      <c r="C67" s="43"/>
      <c r="D67" s="43">
        <v>3</v>
      </c>
      <c r="E67" s="553">
        <v>0</v>
      </c>
      <c r="F67" s="18"/>
      <c r="G67" s="100">
        <f>+K67/$K$24</f>
        <v>0.66362231999999999</v>
      </c>
      <c r="H67" s="68">
        <v>0.6</v>
      </c>
      <c r="I67" s="33">
        <f>K67/Units_SF</f>
        <v>164.58886904761906</v>
      </c>
      <c r="J67" s="34">
        <f>K67/Units</f>
        <v>138254.65</v>
      </c>
      <c r="K67" s="34">
        <f>H67*$K$58</f>
        <v>41476395</v>
      </c>
      <c r="M67" s="3" t="s">
        <v>837</v>
      </c>
      <c r="R67" s="90" t="str">
        <f t="shared" ref="R67:R69" si="720">IF(ROUND(SUM(S67:EU67),0)=ROUND(K67,0),"OK","ERROR")</f>
        <v>OK</v>
      </c>
      <c r="S67" s="92">
        <f t="shared" ref="S67:AX67" si="721">INDEX(FC$67:FC$70,$D67)*$EZ$63</f>
        <v>36341093.958333336</v>
      </c>
      <c r="T67" s="92">
        <f t="shared" si="721"/>
        <v>223273.95833333331</v>
      </c>
      <c r="U67" s="92">
        <f t="shared" si="721"/>
        <v>223273.95833333331</v>
      </c>
      <c r="V67" s="92">
        <f t="shared" si="721"/>
        <v>223273.9583333332</v>
      </c>
      <c r="W67" s="92">
        <f t="shared" si="721"/>
        <v>223273.9583333334</v>
      </c>
      <c r="X67" s="92">
        <f t="shared" si="721"/>
        <v>223273.9583333332</v>
      </c>
      <c r="Y67" s="92">
        <f t="shared" si="721"/>
        <v>223273.9583333334</v>
      </c>
      <c r="Z67" s="92">
        <f t="shared" si="721"/>
        <v>223273.95833333308</v>
      </c>
      <c r="AA67" s="92">
        <f t="shared" si="721"/>
        <v>223273.9583333334</v>
      </c>
      <c r="AB67" s="92">
        <f t="shared" si="721"/>
        <v>223273.9583333334</v>
      </c>
      <c r="AC67" s="92">
        <f t="shared" si="721"/>
        <v>223273.95833333308</v>
      </c>
      <c r="AD67" s="92">
        <f t="shared" si="721"/>
        <v>223273.9583333334</v>
      </c>
      <c r="AE67" s="92">
        <f t="shared" si="721"/>
        <v>223273.95833333308</v>
      </c>
      <c r="AF67" s="92">
        <f t="shared" si="721"/>
        <v>223273.95833333363</v>
      </c>
      <c r="AG67" s="92">
        <f t="shared" si="721"/>
        <v>223273.95833333308</v>
      </c>
      <c r="AH67" s="92">
        <f t="shared" si="721"/>
        <v>223273.95833333308</v>
      </c>
      <c r="AI67" s="92">
        <f t="shared" si="721"/>
        <v>223273.95833333363</v>
      </c>
      <c r="AJ67" s="92">
        <f t="shared" si="721"/>
        <v>223273.95833333308</v>
      </c>
      <c r="AK67" s="92">
        <f t="shared" si="721"/>
        <v>223273.95833333308</v>
      </c>
      <c r="AL67" s="92">
        <f t="shared" si="721"/>
        <v>223273.95833333363</v>
      </c>
      <c r="AM67" s="92">
        <f t="shared" si="721"/>
        <v>223273.95833333308</v>
      </c>
      <c r="AN67" s="92">
        <f t="shared" si="721"/>
        <v>223273.95833333308</v>
      </c>
      <c r="AO67" s="92">
        <f t="shared" si="721"/>
        <v>223273.95833333363</v>
      </c>
      <c r="AP67" s="92">
        <f t="shared" si="721"/>
        <v>223273.95833333308</v>
      </c>
      <c r="AQ67" s="92">
        <f t="shared" si="721"/>
        <v>0</v>
      </c>
      <c r="AR67" s="92">
        <f t="shared" si="721"/>
        <v>0</v>
      </c>
      <c r="AS67" s="92">
        <f t="shared" si="721"/>
        <v>0</v>
      </c>
      <c r="AT67" s="92">
        <f t="shared" si="721"/>
        <v>0</v>
      </c>
      <c r="AU67" s="92">
        <f t="shared" si="721"/>
        <v>0</v>
      </c>
      <c r="AV67" s="92">
        <f t="shared" si="721"/>
        <v>0</v>
      </c>
      <c r="AW67" s="92">
        <f t="shared" si="721"/>
        <v>0</v>
      </c>
      <c r="AX67" s="92">
        <f t="shared" si="721"/>
        <v>0</v>
      </c>
      <c r="AY67" s="92">
        <f t="shared" ref="AY67:CD67" si="722">INDEX(GI$67:GI$70,$D67)*$EZ$63</f>
        <v>0</v>
      </c>
      <c r="AZ67" s="92">
        <f t="shared" si="722"/>
        <v>0</v>
      </c>
      <c r="BA67" s="92">
        <f t="shared" si="722"/>
        <v>0</v>
      </c>
      <c r="BB67" s="92">
        <f t="shared" si="722"/>
        <v>0</v>
      </c>
      <c r="BC67" s="92">
        <f t="shared" si="722"/>
        <v>0</v>
      </c>
      <c r="BD67" s="92">
        <f t="shared" si="722"/>
        <v>0</v>
      </c>
      <c r="BE67" s="92">
        <f t="shared" si="722"/>
        <v>0</v>
      </c>
      <c r="BF67" s="92">
        <f t="shared" si="722"/>
        <v>0</v>
      </c>
      <c r="BG67" s="92">
        <f t="shared" si="722"/>
        <v>0</v>
      </c>
      <c r="BH67" s="92">
        <f t="shared" si="722"/>
        <v>0</v>
      </c>
      <c r="BI67" s="92">
        <f t="shared" si="722"/>
        <v>0</v>
      </c>
      <c r="BJ67" s="92">
        <f t="shared" si="722"/>
        <v>0</v>
      </c>
      <c r="BK67" s="92">
        <f t="shared" si="722"/>
        <v>0</v>
      </c>
      <c r="BL67" s="92">
        <f t="shared" si="722"/>
        <v>0</v>
      </c>
      <c r="BM67" s="92">
        <f t="shared" si="722"/>
        <v>0</v>
      </c>
      <c r="BN67" s="92">
        <f t="shared" si="722"/>
        <v>0</v>
      </c>
      <c r="BO67" s="92">
        <f t="shared" si="722"/>
        <v>0</v>
      </c>
      <c r="BP67" s="92">
        <f t="shared" si="722"/>
        <v>0</v>
      </c>
      <c r="BQ67" s="92">
        <f t="shared" si="722"/>
        <v>0</v>
      </c>
      <c r="BR67" s="92">
        <f t="shared" si="722"/>
        <v>0</v>
      </c>
      <c r="BS67" s="92">
        <f t="shared" si="722"/>
        <v>0</v>
      </c>
      <c r="BT67" s="92">
        <f t="shared" si="722"/>
        <v>0</v>
      </c>
      <c r="BU67" s="92">
        <f t="shared" si="722"/>
        <v>0</v>
      </c>
      <c r="BV67" s="92">
        <f t="shared" si="722"/>
        <v>0</v>
      </c>
      <c r="BW67" s="92">
        <f t="shared" si="722"/>
        <v>0</v>
      </c>
      <c r="BX67" s="92">
        <f t="shared" si="722"/>
        <v>0</v>
      </c>
      <c r="BY67" s="92">
        <f t="shared" si="722"/>
        <v>0</v>
      </c>
      <c r="BZ67" s="92">
        <f t="shared" si="722"/>
        <v>0</v>
      </c>
      <c r="CA67" s="92">
        <f t="shared" si="722"/>
        <v>0</v>
      </c>
      <c r="CB67" s="92">
        <f t="shared" si="722"/>
        <v>0</v>
      </c>
      <c r="CC67" s="92">
        <f t="shared" si="722"/>
        <v>0</v>
      </c>
      <c r="CD67" s="92">
        <f t="shared" si="722"/>
        <v>0</v>
      </c>
      <c r="CE67" s="92">
        <f t="shared" ref="CE67:DJ67" si="723">INDEX(HO$67:HO$70,$D67)*$EZ$63</f>
        <v>0</v>
      </c>
      <c r="CF67" s="92">
        <f t="shared" si="723"/>
        <v>0</v>
      </c>
      <c r="CG67" s="92">
        <f t="shared" si="723"/>
        <v>0</v>
      </c>
      <c r="CH67" s="92">
        <f t="shared" si="723"/>
        <v>0</v>
      </c>
      <c r="CI67" s="92">
        <f t="shared" si="723"/>
        <v>0</v>
      </c>
      <c r="CJ67" s="92">
        <f t="shared" si="723"/>
        <v>0</v>
      </c>
      <c r="CK67" s="92">
        <f t="shared" si="723"/>
        <v>0</v>
      </c>
      <c r="CL67" s="92">
        <f t="shared" si="723"/>
        <v>0</v>
      </c>
      <c r="CM67" s="92">
        <f t="shared" si="723"/>
        <v>0</v>
      </c>
      <c r="CN67" s="92">
        <f t="shared" si="723"/>
        <v>0</v>
      </c>
      <c r="CO67" s="92">
        <f t="shared" si="723"/>
        <v>0</v>
      </c>
      <c r="CP67" s="92">
        <f t="shared" si="723"/>
        <v>0</v>
      </c>
      <c r="CQ67" s="92">
        <f t="shared" si="723"/>
        <v>0</v>
      </c>
      <c r="CR67" s="92">
        <f t="shared" si="723"/>
        <v>0</v>
      </c>
      <c r="CS67" s="92">
        <f t="shared" si="723"/>
        <v>0</v>
      </c>
      <c r="CT67" s="92">
        <f t="shared" si="723"/>
        <v>0</v>
      </c>
      <c r="CU67" s="92">
        <f t="shared" si="723"/>
        <v>0</v>
      </c>
      <c r="CV67" s="92">
        <f t="shared" si="723"/>
        <v>0</v>
      </c>
      <c r="CW67" s="92">
        <f t="shared" si="723"/>
        <v>0</v>
      </c>
      <c r="CX67" s="92">
        <f t="shared" si="723"/>
        <v>0</v>
      </c>
      <c r="CY67" s="92">
        <f t="shared" si="723"/>
        <v>0</v>
      </c>
      <c r="CZ67" s="92">
        <f t="shared" si="723"/>
        <v>0</v>
      </c>
      <c r="DA67" s="92">
        <f t="shared" si="723"/>
        <v>0</v>
      </c>
      <c r="DB67" s="92">
        <f t="shared" si="723"/>
        <v>0</v>
      </c>
      <c r="DC67" s="92">
        <f t="shared" si="723"/>
        <v>0</v>
      </c>
      <c r="DD67" s="92">
        <f t="shared" si="723"/>
        <v>0</v>
      </c>
      <c r="DE67" s="92">
        <f t="shared" si="723"/>
        <v>0</v>
      </c>
      <c r="DF67" s="92">
        <f t="shared" si="723"/>
        <v>0</v>
      </c>
      <c r="DG67" s="92">
        <f t="shared" si="723"/>
        <v>0</v>
      </c>
      <c r="DH67" s="92">
        <f t="shared" si="723"/>
        <v>0</v>
      </c>
      <c r="DI67" s="92">
        <f t="shared" si="723"/>
        <v>0</v>
      </c>
      <c r="DJ67" s="92">
        <f t="shared" si="723"/>
        <v>0</v>
      </c>
      <c r="DK67" s="92">
        <f t="shared" ref="DK67:EP67" si="724">INDEX(IU$67:IU$70,$D67)*$EZ$63</f>
        <v>0</v>
      </c>
      <c r="DL67" s="92">
        <f t="shared" si="724"/>
        <v>0</v>
      </c>
      <c r="DM67" s="92">
        <f t="shared" si="724"/>
        <v>0</v>
      </c>
      <c r="DN67" s="92">
        <f t="shared" si="724"/>
        <v>0</v>
      </c>
      <c r="DO67" s="92">
        <f t="shared" si="724"/>
        <v>0</v>
      </c>
      <c r="DP67" s="92">
        <f t="shared" si="724"/>
        <v>0</v>
      </c>
      <c r="DQ67" s="92">
        <f t="shared" si="724"/>
        <v>0</v>
      </c>
      <c r="DR67" s="92">
        <f t="shared" si="724"/>
        <v>0</v>
      </c>
      <c r="DS67" s="92">
        <f t="shared" si="724"/>
        <v>0</v>
      </c>
      <c r="DT67" s="92">
        <f t="shared" si="724"/>
        <v>0</v>
      </c>
      <c r="DU67" s="92">
        <f t="shared" si="724"/>
        <v>0</v>
      </c>
      <c r="DV67" s="92">
        <f t="shared" si="724"/>
        <v>0</v>
      </c>
      <c r="DW67" s="92">
        <f t="shared" si="724"/>
        <v>0</v>
      </c>
      <c r="DX67" s="92">
        <f t="shared" si="724"/>
        <v>0</v>
      </c>
      <c r="DY67" s="92">
        <f t="shared" si="724"/>
        <v>0</v>
      </c>
      <c r="DZ67" s="92">
        <f t="shared" si="724"/>
        <v>0</v>
      </c>
      <c r="EA67" s="92">
        <f t="shared" si="724"/>
        <v>0</v>
      </c>
      <c r="EB67" s="92">
        <f t="shared" si="724"/>
        <v>0</v>
      </c>
      <c r="EC67" s="92">
        <f t="shared" si="724"/>
        <v>0</v>
      </c>
      <c r="ED67" s="92">
        <f t="shared" si="724"/>
        <v>0</v>
      </c>
      <c r="EE67" s="92">
        <f t="shared" si="724"/>
        <v>0</v>
      </c>
      <c r="EF67" s="92">
        <f t="shared" si="724"/>
        <v>0</v>
      </c>
      <c r="EG67" s="92">
        <f t="shared" si="724"/>
        <v>0</v>
      </c>
      <c r="EH67" s="92">
        <f t="shared" si="724"/>
        <v>0</v>
      </c>
      <c r="EI67" s="92">
        <f t="shared" si="724"/>
        <v>0</v>
      </c>
      <c r="EJ67" s="92">
        <f t="shared" si="724"/>
        <v>0</v>
      </c>
      <c r="EK67" s="92">
        <f t="shared" si="724"/>
        <v>0</v>
      </c>
      <c r="EL67" s="92">
        <f t="shared" si="724"/>
        <v>0</v>
      </c>
      <c r="EM67" s="92">
        <f t="shared" si="724"/>
        <v>0</v>
      </c>
      <c r="EN67" s="92">
        <f t="shared" si="724"/>
        <v>0</v>
      </c>
      <c r="EO67" s="92">
        <f t="shared" si="724"/>
        <v>0</v>
      </c>
      <c r="EP67" s="92">
        <f t="shared" si="724"/>
        <v>0</v>
      </c>
      <c r="EQ67" s="92">
        <f t="shared" ref="EQ67:EU67" si="725">INDEX(KA$67:KA$70,$D67)*$EZ$63</f>
        <v>0</v>
      </c>
      <c r="ER67" s="92">
        <f t="shared" si="725"/>
        <v>0</v>
      </c>
      <c r="ES67" s="92">
        <f t="shared" si="725"/>
        <v>0</v>
      </c>
      <c r="ET67" s="92">
        <f t="shared" si="725"/>
        <v>0</v>
      </c>
      <c r="EU67" s="92">
        <f t="shared" si="725"/>
        <v>0</v>
      </c>
      <c r="FA67" s="199">
        <v>1</v>
      </c>
      <c r="FC67" s="209">
        <f t="shared" ref="FC67:GH67" si="726">MIN(FB61,FC60)</f>
        <v>1382546.5</v>
      </c>
      <c r="FD67" s="209">
        <f t="shared" si="726"/>
        <v>0</v>
      </c>
      <c r="FE67" s="209">
        <f t="shared" si="726"/>
        <v>0</v>
      </c>
      <c r="FF67" s="209">
        <f t="shared" si="726"/>
        <v>0</v>
      </c>
      <c r="FG67" s="209">
        <f t="shared" si="726"/>
        <v>0</v>
      </c>
      <c r="FH67" s="209">
        <f t="shared" si="726"/>
        <v>0</v>
      </c>
      <c r="FI67" s="209">
        <f t="shared" si="726"/>
        <v>0</v>
      </c>
      <c r="FJ67" s="209">
        <f t="shared" si="726"/>
        <v>0</v>
      </c>
      <c r="FK67" s="209">
        <f t="shared" si="726"/>
        <v>0</v>
      </c>
      <c r="FL67" s="209">
        <f t="shared" si="726"/>
        <v>0</v>
      </c>
      <c r="FM67" s="209">
        <f t="shared" si="726"/>
        <v>0</v>
      </c>
      <c r="FN67" s="209">
        <f t="shared" si="726"/>
        <v>0</v>
      </c>
      <c r="FO67" s="209">
        <f t="shared" si="726"/>
        <v>0</v>
      </c>
      <c r="FP67" s="209">
        <f t="shared" si="726"/>
        <v>0</v>
      </c>
      <c r="FQ67" s="209">
        <f t="shared" si="726"/>
        <v>0</v>
      </c>
      <c r="FR67" s="209">
        <f t="shared" si="726"/>
        <v>0</v>
      </c>
      <c r="FS67" s="209">
        <f t="shared" si="726"/>
        <v>0</v>
      </c>
      <c r="FT67" s="209">
        <f t="shared" si="726"/>
        <v>0</v>
      </c>
      <c r="FU67" s="209">
        <f t="shared" si="726"/>
        <v>0</v>
      </c>
      <c r="FV67" s="209">
        <f t="shared" si="726"/>
        <v>0</v>
      </c>
      <c r="FW67" s="209">
        <f t="shared" si="726"/>
        <v>0</v>
      </c>
      <c r="FX67" s="209">
        <f t="shared" si="726"/>
        <v>0</v>
      </c>
      <c r="FY67" s="209">
        <f t="shared" si="726"/>
        <v>0</v>
      </c>
      <c r="FZ67" s="209">
        <f t="shared" si="726"/>
        <v>0</v>
      </c>
      <c r="GA67" s="209">
        <f t="shared" si="726"/>
        <v>0</v>
      </c>
      <c r="GB67" s="209">
        <f t="shared" si="726"/>
        <v>0</v>
      </c>
      <c r="GC67" s="209">
        <f t="shared" si="726"/>
        <v>0</v>
      </c>
      <c r="GD67" s="209">
        <f t="shared" si="726"/>
        <v>0</v>
      </c>
      <c r="GE67" s="209">
        <f t="shared" si="726"/>
        <v>0</v>
      </c>
      <c r="GF67" s="209">
        <f t="shared" si="726"/>
        <v>0</v>
      </c>
      <c r="GG67" s="209">
        <f t="shared" si="726"/>
        <v>0</v>
      </c>
      <c r="GH67" s="209">
        <f t="shared" si="726"/>
        <v>0</v>
      </c>
      <c r="GI67" s="209">
        <f t="shared" ref="GI67:HN67" si="727">MIN(GH61,GI60)</f>
        <v>0</v>
      </c>
      <c r="GJ67" s="209">
        <f t="shared" si="727"/>
        <v>0</v>
      </c>
      <c r="GK67" s="209">
        <f t="shared" si="727"/>
        <v>0</v>
      </c>
      <c r="GL67" s="209">
        <f t="shared" si="727"/>
        <v>0</v>
      </c>
      <c r="GM67" s="209">
        <f t="shared" si="727"/>
        <v>0</v>
      </c>
      <c r="GN67" s="209">
        <f t="shared" si="727"/>
        <v>0</v>
      </c>
      <c r="GO67" s="209">
        <f t="shared" si="727"/>
        <v>0</v>
      </c>
      <c r="GP67" s="209">
        <f t="shared" si="727"/>
        <v>0</v>
      </c>
      <c r="GQ67" s="209">
        <f t="shared" si="727"/>
        <v>0</v>
      </c>
      <c r="GR67" s="209">
        <f t="shared" si="727"/>
        <v>0</v>
      </c>
      <c r="GS67" s="209">
        <f t="shared" si="727"/>
        <v>0</v>
      </c>
      <c r="GT67" s="209">
        <f t="shared" si="727"/>
        <v>0</v>
      </c>
      <c r="GU67" s="209">
        <f t="shared" si="727"/>
        <v>0</v>
      </c>
      <c r="GV67" s="209">
        <f t="shared" si="727"/>
        <v>0</v>
      </c>
      <c r="GW67" s="209">
        <f t="shared" si="727"/>
        <v>0</v>
      </c>
      <c r="GX67" s="209">
        <f t="shared" si="727"/>
        <v>0</v>
      </c>
      <c r="GY67" s="209">
        <f t="shared" si="727"/>
        <v>0</v>
      </c>
      <c r="GZ67" s="209">
        <f t="shared" si="727"/>
        <v>0</v>
      </c>
      <c r="HA67" s="209">
        <f t="shared" si="727"/>
        <v>0</v>
      </c>
      <c r="HB67" s="209">
        <f t="shared" si="727"/>
        <v>0</v>
      </c>
      <c r="HC67" s="209">
        <f t="shared" si="727"/>
        <v>0</v>
      </c>
      <c r="HD67" s="209">
        <f t="shared" si="727"/>
        <v>0</v>
      </c>
      <c r="HE67" s="209">
        <f t="shared" si="727"/>
        <v>0</v>
      </c>
      <c r="HF67" s="209">
        <f t="shared" si="727"/>
        <v>0</v>
      </c>
      <c r="HG67" s="209">
        <f t="shared" si="727"/>
        <v>0</v>
      </c>
      <c r="HH67" s="209">
        <f t="shared" si="727"/>
        <v>0</v>
      </c>
      <c r="HI67" s="209">
        <f t="shared" si="727"/>
        <v>0</v>
      </c>
      <c r="HJ67" s="209">
        <f t="shared" si="727"/>
        <v>0</v>
      </c>
      <c r="HK67" s="209">
        <f t="shared" si="727"/>
        <v>0</v>
      </c>
      <c r="HL67" s="209">
        <f t="shared" si="727"/>
        <v>0</v>
      </c>
      <c r="HM67" s="209">
        <f t="shared" si="727"/>
        <v>0</v>
      </c>
      <c r="HN67" s="209">
        <f t="shared" si="727"/>
        <v>0</v>
      </c>
      <c r="HO67" s="209">
        <f t="shared" ref="HO67:IT67" si="728">MIN(HN61,HO60)</f>
        <v>0</v>
      </c>
      <c r="HP67" s="209">
        <f t="shared" si="728"/>
        <v>0</v>
      </c>
      <c r="HQ67" s="209">
        <f t="shared" si="728"/>
        <v>0</v>
      </c>
      <c r="HR67" s="209">
        <f t="shared" si="728"/>
        <v>0</v>
      </c>
      <c r="HS67" s="209">
        <f t="shared" si="728"/>
        <v>0</v>
      </c>
      <c r="HT67" s="209">
        <f t="shared" si="728"/>
        <v>0</v>
      </c>
      <c r="HU67" s="209">
        <f t="shared" si="728"/>
        <v>0</v>
      </c>
      <c r="HV67" s="209">
        <f t="shared" si="728"/>
        <v>0</v>
      </c>
      <c r="HW67" s="209">
        <f t="shared" si="728"/>
        <v>0</v>
      </c>
      <c r="HX67" s="209">
        <f t="shared" si="728"/>
        <v>0</v>
      </c>
      <c r="HY67" s="209">
        <f t="shared" si="728"/>
        <v>0</v>
      </c>
      <c r="HZ67" s="209">
        <f t="shared" si="728"/>
        <v>0</v>
      </c>
      <c r="IA67" s="209">
        <f t="shared" si="728"/>
        <v>0</v>
      </c>
      <c r="IB67" s="209">
        <f t="shared" si="728"/>
        <v>0</v>
      </c>
      <c r="IC67" s="209">
        <f t="shared" si="728"/>
        <v>0</v>
      </c>
      <c r="ID67" s="209">
        <f t="shared" si="728"/>
        <v>0</v>
      </c>
      <c r="IE67" s="209">
        <f t="shared" si="728"/>
        <v>0</v>
      </c>
      <c r="IF67" s="209">
        <f t="shared" si="728"/>
        <v>0</v>
      </c>
      <c r="IG67" s="209">
        <f t="shared" si="728"/>
        <v>0</v>
      </c>
      <c r="IH67" s="209">
        <f t="shared" si="728"/>
        <v>0</v>
      </c>
      <c r="II67" s="209">
        <f t="shared" si="728"/>
        <v>0</v>
      </c>
      <c r="IJ67" s="209">
        <f t="shared" si="728"/>
        <v>0</v>
      </c>
      <c r="IK67" s="209">
        <f t="shared" si="728"/>
        <v>0</v>
      </c>
      <c r="IL67" s="209">
        <f t="shared" si="728"/>
        <v>0</v>
      </c>
      <c r="IM67" s="209">
        <f t="shared" si="728"/>
        <v>0</v>
      </c>
      <c r="IN67" s="209">
        <f t="shared" si="728"/>
        <v>0</v>
      </c>
      <c r="IO67" s="209">
        <f t="shared" si="728"/>
        <v>0</v>
      </c>
      <c r="IP67" s="209">
        <f t="shared" si="728"/>
        <v>0</v>
      </c>
      <c r="IQ67" s="209">
        <f t="shared" si="728"/>
        <v>0</v>
      </c>
      <c r="IR67" s="209">
        <f t="shared" si="728"/>
        <v>0</v>
      </c>
      <c r="IS67" s="209">
        <f t="shared" si="728"/>
        <v>0</v>
      </c>
      <c r="IT67" s="209">
        <f t="shared" si="728"/>
        <v>0</v>
      </c>
      <c r="IU67" s="209">
        <f t="shared" ref="IU67:KE67" si="729">MIN(IT61,IU60)</f>
        <v>0</v>
      </c>
      <c r="IV67" s="209">
        <f t="shared" si="729"/>
        <v>0</v>
      </c>
      <c r="IW67" s="209">
        <f t="shared" si="729"/>
        <v>0</v>
      </c>
      <c r="IX67" s="209">
        <f t="shared" si="729"/>
        <v>0</v>
      </c>
      <c r="IY67" s="209">
        <f t="shared" si="729"/>
        <v>0</v>
      </c>
      <c r="IZ67" s="209">
        <f t="shared" si="729"/>
        <v>0</v>
      </c>
      <c r="JA67" s="209">
        <f t="shared" si="729"/>
        <v>0</v>
      </c>
      <c r="JB67" s="209">
        <f t="shared" si="729"/>
        <v>0</v>
      </c>
      <c r="JC67" s="209">
        <f t="shared" si="729"/>
        <v>0</v>
      </c>
      <c r="JD67" s="209">
        <f t="shared" si="729"/>
        <v>0</v>
      </c>
      <c r="JE67" s="209">
        <f t="shared" si="729"/>
        <v>0</v>
      </c>
      <c r="JF67" s="209">
        <f t="shared" si="729"/>
        <v>0</v>
      </c>
      <c r="JG67" s="209">
        <f t="shared" si="729"/>
        <v>0</v>
      </c>
      <c r="JH67" s="209">
        <f t="shared" si="729"/>
        <v>0</v>
      </c>
      <c r="JI67" s="209">
        <f t="shared" si="729"/>
        <v>0</v>
      </c>
      <c r="JJ67" s="209">
        <f t="shared" si="729"/>
        <v>0</v>
      </c>
      <c r="JK67" s="209">
        <f t="shared" si="729"/>
        <v>0</v>
      </c>
      <c r="JL67" s="209">
        <f t="shared" si="729"/>
        <v>0</v>
      </c>
      <c r="JM67" s="209">
        <f t="shared" si="729"/>
        <v>0</v>
      </c>
      <c r="JN67" s="209">
        <f t="shared" si="729"/>
        <v>0</v>
      </c>
      <c r="JO67" s="209">
        <f t="shared" si="729"/>
        <v>0</v>
      </c>
      <c r="JP67" s="209">
        <f t="shared" si="729"/>
        <v>0</v>
      </c>
      <c r="JQ67" s="209">
        <f t="shared" si="729"/>
        <v>0</v>
      </c>
      <c r="JR67" s="209">
        <f t="shared" si="729"/>
        <v>0</v>
      </c>
      <c r="JS67" s="209">
        <f t="shared" si="729"/>
        <v>0</v>
      </c>
      <c r="JT67" s="209">
        <f t="shared" si="729"/>
        <v>0</v>
      </c>
      <c r="JU67" s="209">
        <f t="shared" si="729"/>
        <v>0</v>
      </c>
      <c r="JV67" s="209">
        <f t="shared" si="729"/>
        <v>0</v>
      </c>
      <c r="JW67" s="209">
        <f t="shared" si="729"/>
        <v>0</v>
      </c>
      <c r="JX67" s="209">
        <f t="shared" si="729"/>
        <v>0</v>
      </c>
      <c r="JY67" s="209">
        <f t="shared" si="729"/>
        <v>0</v>
      </c>
      <c r="JZ67" s="209">
        <f t="shared" si="729"/>
        <v>0</v>
      </c>
      <c r="KA67" s="209">
        <f t="shared" si="729"/>
        <v>0</v>
      </c>
      <c r="KB67" s="209">
        <f t="shared" si="729"/>
        <v>0</v>
      </c>
      <c r="KC67" s="209">
        <f t="shared" si="729"/>
        <v>0</v>
      </c>
      <c r="KD67" s="209">
        <f t="shared" si="729"/>
        <v>0</v>
      </c>
      <c r="KE67" s="209">
        <f t="shared" si="729"/>
        <v>0</v>
      </c>
      <c r="KM67" s="209"/>
      <c r="KN67" s="209"/>
      <c r="KO67" s="209"/>
      <c r="KP67" s="209"/>
      <c r="KQ67" s="209"/>
      <c r="KR67" s="209"/>
      <c r="KS67" s="209"/>
      <c r="KT67" s="209"/>
      <c r="KU67" s="209"/>
      <c r="KV67" s="209"/>
      <c r="KW67" s="209"/>
      <c r="KX67" s="209"/>
      <c r="KY67" s="209"/>
      <c r="KZ67" s="209"/>
      <c r="LA67" s="209"/>
      <c r="LB67" s="209"/>
      <c r="LC67" s="209"/>
      <c r="LD67" s="209"/>
      <c r="LE67" s="209"/>
      <c r="LF67" s="209"/>
      <c r="LG67" s="209"/>
      <c r="LH67" s="209"/>
      <c r="LI67" s="209"/>
      <c r="LJ67" s="209"/>
      <c r="LK67" s="209"/>
      <c r="LL67" s="209"/>
      <c r="LM67" s="209"/>
      <c r="LN67" s="209"/>
      <c r="LO67" s="209"/>
      <c r="LP67" s="209"/>
      <c r="LQ67" s="209"/>
      <c r="LR67" s="209"/>
      <c r="LS67" s="209"/>
      <c r="LT67" s="209"/>
      <c r="LU67" s="209"/>
      <c r="LV67" s="209"/>
      <c r="LW67" s="209"/>
      <c r="LX67" s="209"/>
      <c r="LY67" s="209"/>
      <c r="LZ67" s="209"/>
      <c r="MA67" s="209"/>
      <c r="MB67" s="209"/>
      <c r="MC67" s="209"/>
      <c r="MD67" s="209"/>
      <c r="ME67" s="209"/>
      <c r="MF67" s="209"/>
      <c r="MG67" s="209"/>
      <c r="MH67" s="209"/>
      <c r="MI67" s="209"/>
      <c r="MJ67" s="209"/>
      <c r="MK67" s="209"/>
      <c r="ML67" s="209"/>
      <c r="MM67" s="209"/>
      <c r="MN67" s="209"/>
      <c r="MO67" s="209"/>
      <c r="MP67" s="209"/>
      <c r="MQ67" s="209"/>
      <c r="MR67" s="209"/>
      <c r="MS67" s="209"/>
      <c r="MT67" s="209"/>
      <c r="MU67" s="209"/>
      <c r="MV67" s="209"/>
      <c r="MW67" s="209"/>
      <c r="MX67" s="209"/>
      <c r="MY67" s="209"/>
      <c r="MZ67" s="209"/>
      <c r="NA67" s="209"/>
      <c r="NB67" s="209"/>
      <c r="NC67" s="209"/>
      <c r="ND67" s="209"/>
      <c r="NE67" s="209"/>
      <c r="NF67" s="209"/>
      <c r="NG67" s="209"/>
      <c r="NH67" s="209"/>
      <c r="NI67" s="209"/>
      <c r="NJ67" s="209"/>
      <c r="NK67" s="209"/>
      <c r="NL67" s="209"/>
      <c r="NM67" s="209"/>
      <c r="NN67" s="209"/>
      <c r="NO67" s="209"/>
      <c r="NP67" s="209"/>
      <c r="NQ67" s="209"/>
      <c r="NR67" s="209"/>
      <c r="NS67" s="209"/>
      <c r="NT67" s="209"/>
      <c r="NU67" s="209"/>
      <c r="NV67" s="209"/>
      <c r="NW67" s="209"/>
      <c r="NX67" s="209"/>
      <c r="NY67" s="209"/>
      <c r="NZ67" s="209"/>
      <c r="OA67" s="209"/>
      <c r="OB67" s="209"/>
      <c r="OC67" s="209"/>
      <c r="OD67" s="209"/>
      <c r="OE67" s="209"/>
      <c r="OF67" s="209"/>
      <c r="OG67" s="209"/>
      <c r="OH67" s="209"/>
      <c r="OI67" s="209"/>
      <c r="OJ67" s="209"/>
      <c r="OK67" s="209"/>
      <c r="OL67" s="209"/>
      <c r="OM67" s="209"/>
      <c r="ON67" s="209"/>
      <c r="OO67" s="209"/>
      <c r="OP67" s="209"/>
      <c r="OQ67" s="209"/>
      <c r="OR67" s="209"/>
      <c r="OS67" s="209"/>
      <c r="OT67" s="209"/>
      <c r="OU67" s="209"/>
      <c r="OV67" s="209"/>
      <c r="OW67" s="209"/>
      <c r="OX67" s="209"/>
      <c r="OY67" s="209"/>
      <c r="OZ67" s="209"/>
      <c r="PA67" s="209"/>
      <c r="PB67" s="209"/>
      <c r="PC67" s="209"/>
      <c r="PD67" s="209"/>
      <c r="PE67" s="209"/>
      <c r="PF67" s="209"/>
      <c r="PG67" s="209"/>
      <c r="PH67" s="209"/>
      <c r="PI67" s="209"/>
      <c r="PJ67" s="209"/>
      <c r="PK67" s="209"/>
      <c r="PL67" s="209"/>
      <c r="PM67" s="209"/>
      <c r="PN67" s="209"/>
      <c r="PO67" s="209"/>
      <c r="PQ67" s="201"/>
      <c r="PR67" s="201"/>
      <c r="PS67" s="201"/>
      <c r="PT67" s="201"/>
      <c r="PU67" s="201"/>
      <c r="PV67" s="201"/>
      <c r="PW67" s="201"/>
      <c r="PX67" s="201"/>
      <c r="PY67" s="201"/>
      <c r="PZ67" s="201"/>
      <c r="QA67" s="201"/>
      <c r="QB67" s="201"/>
      <c r="QC67" s="201"/>
      <c r="QD67" s="201"/>
      <c r="QE67" s="201"/>
      <c r="QF67" s="201"/>
      <c r="QG67" s="201"/>
      <c r="QH67" s="201"/>
      <c r="QI67" s="201"/>
      <c r="QJ67" s="201"/>
      <c r="QK67" s="201"/>
      <c r="QL67" s="201"/>
      <c r="QM67" s="201"/>
      <c r="QN67" s="201"/>
      <c r="QO67" s="201"/>
      <c r="QP67" s="201"/>
      <c r="QQ67" s="201"/>
      <c r="QR67" s="201"/>
      <c r="QS67" s="201"/>
      <c r="QT67" s="201"/>
      <c r="QU67" s="201"/>
      <c r="QV67" s="201"/>
      <c r="QW67" s="201"/>
      <c r="QX67" s="201"/>
      <c r="QY67" s="201"/>
      <c r="QZ67" s="201"/>
      <c r="RA67" s="201"/>
      <c r="RB67" s="201"/>
      <c r="RC67" s="201"/>
      <c r="RD67" s="201"/>
      <c r="RE67" s="201"/>
      <c r="RF67" s="201"/>
      <c r="RG67" s="201"/>
      <c r="RH67" s="201"/>
      <c r="RI67" s="201"/>
      <c r="RJ67" s="201"/>
      <c r="RK67" s="201"/>
      <c r="RL67" s="201"/>
      <c r="RM67" s="201"/>
      <c r="RN67" s="201"/>
      <c r="RO67" s="201"/>
      <c r="RP67" s="201"/>
      <c r="RQ67" s="201"/>
      <c r="RR67" s="201"/>
      <c r="RS67" s="201"/>
      <c r="RT67" s="201"/>
      <c r="RU67" s="201"/>
      <c r="RV67" s="201"/>
      <c r="RW67" s="201"/>
      <c r="RX67" s="201"/>
      <c r="RY67" s="201"/>
      <c r="RZ67" s="201"/>
      <c r="SA67" s="201"/>
      <c r="SB67" s="201"/>
      <c r="SC67" s="201"/>
      <c r="SD67" s="201"/>
      <c r="SE67" s="201"/>
      <c r="SF67" s="201"/>
      <c r="SG67" s="201"/>
      <c r="SH67" s="201"/>
      <c r="SI67" s="201"/>
      <c r="SJ67" s="201"/>
      <c r="SK67" s="201"/>
      <c r="SL67" s="201"/>
      <c r="SM67" s="201"/>
      <c r="SN67" s="201"/>
      <c r="SO67" s="201"/>
      <c r="SP67" s="201"/>
      <c r="SQ67" s="201"/>
      <c r="SR67" s="201"/>
      <c r="SS67" s="201"/>
      <c r="ST67" s="201"/>
      <c r="SU67" s="201"/>
      <c r="SV67" s="201"/>
      <c r="SW67" s="201"/>
      <c r="SX67" s="201"/>
      <c r="SY67" s="201"/>
      <c r="SZ67" s="201"/>
      <c r="TA67" s="201"/>
      <c r="TB67" s="201"/>
      <c r="TC67" s="201"/>
      <c r="TD67" s="201"/>
      <c r="TE67" s="201"/>
      <c r="TF67" s="201"/>
      <c r="TG67" s="201"/>
      <c r="TH67" s="201"/>
      <c r="TI67" s="201"/>
      <c r="TJ67" s="201"/>
      <c r="TK67" s="201"/>
      <c r="TL67" s="201"/>
      <c r="TM67" s="201"/>
      <c r="TN67" s="201"/>
      <c r="TO67" s="201"/>
      <c r="TP67" s="201"/>
      <c r="TQ67" s="201"/>
      <c r="TR67" s="201"/>
      <c r="TS67" s="201"/>
      <c r="TT67" s="201"/>
      <c r="TU67" s="201"/>
      <c r="TV67" s="201"/>
      <c r="TW67" s="201"/>
      <c r="TX67" s="201"/>
      <c r="TY67" s="201"/>
      <c r="TZ67" s="201"/>
      <c r="UA67" s="201"/>
      <c r="UB67" s="201"/>
      <c r="UC67" s="201"/>
      <c r="UD67" s="201"/>
      <c r="UE67" s="201"/>
      <c r="UF67" s="201"/>
      <c r="UG67" s="201"/>
      <c r="UH67" s="201"/>
      <c r="UI67" s="201"/>
      <c r="UJ67" s="201"/>
      <c r="UK67" s="201"/>
      <c r="UL67" s="201"/>
      <c r="UM67" s="201"/>
      <c r="UN67" s="201"/>
      <c r="UO67" s="201"/>
      <c r="UP67" s="201"/>
      <c r="UQ67" s="201"/>
      <c r="UR67" s="201"/>
      <c r="US67" s="201"/>
      <c r="UT67" s="201"/>
      <c r="UU67" s="201"/>
    </row>
    <row r="68" spans="2:567" ht="15" x14ac:dyDescent="0.35">
      <c r="B68" s="31" t="s">
        <v>96</v>
      </c>
      <c r="C68" s="43"/>
      <c r="D68" s="43">
        <v>4</v>
      </c>
      <c r="E68" s="553">
        <v>0</v>
      </c>
      <c r="F68" s="18"/>
      <c r="G68" s="189">
        <f>+K68/$K$24</f>
        <v>0</v>
      </c>
      <c r="H68" s="69">
        <v>0</v>
      </c>
      <c r="I68" s="55">
        <f>K68/Units_SF</f>
        <v>0</v>
      </c>
      <c r="J68" s="36">
        <f>K68/Units</f>
        <v>0</v>
      </c>
      <c r="K68" s="36">
        <f>H68*$K$58</f>
        <v>0</v>
      </c>
      <c r="R68" s="90" t="str">
        <f t="shared" si="720"/>
        <v>OK</v>
      </c>
      <c r="S68" s="96">
        <f t="shared" ref="S68:AX68" si="730">INDEX(FC$67:FC$70,$D68)*$EZ$64</f>
        <v>0</v>
      </c>
      <c r="T68" s="96">
        <f t="shared" si="730"/>
        <v>0</v>
      </c>
      <c r="U68" s="96">
        <f t="shared" si="730"/>
        <v>0</v>
      </c>
      <c r="V68" s="96">
        <f t="shared" si="730"/>
        <v>0</v>
      </c>
      <c r="W68" s="96">
        <f t="shared" si="730"/>
        <v>0</v>
      </c>
      <c r="X68" s="96">
        <f t="shared" si="730"/>
        <v>0</v>
      </c>
      <c r="Y68" s="96">
        <f t="shared" si="730"/>
        <v>0</v>
      </c>
      <c r="Z68" s="96">
        <f t="shared" si="730"/>
        <v>0</v>
      </c>
      <c r="AA68" s="96">
        <f t="shared" si="730"/>
        <v>0</v>
      </c>
      <c r="AB68" s="96">
        <f t="shared" si="730"/>
        <v>0</v>
      </c>
      <c r="AC68" s="96">
        <f t="shared" si="730"/>
        <v>0</v>
      </c>
      <c r="AD68" s="96">
        <f t="shared" si="730"/>
        <v>0</v>
      </c>
      <c r="AE68" s="96">
        <f t="shared" si="730"/>
        <v>0</v>
      </c>
      <c r="AF68" s="96">
        <f t="shared" si="730"/>
        <v>0</v>
      </c>
      <c r="AG68" s="96">
        <f t="shared" si="730"/>
        <v>0</v>
      </c>
      <c r="AH68" s="96">
        <f t="shared" si="730"/>
        <v>0</v>
      </c>
      <c r="AI68" s="96">
        <f t="shared" si="730"/>
        <v>0</v>
      </c>
      <c r="AJ68" s="96">
        <f t="shared" si="730"/>
        <v>0</v>
      </c>
      <c r="AK68" s="96">
        <f t="shared" si="730"/>
        <v>0</v>
      </c>
      <c r="AL68" s="96">
        <f t="shared" si="730"/>
        <v>0</v>
      </c>
      <c r="AM68" s="96">
        <f t="shared" si="730"/>
        <v>0</v>
      </c>
      <c r="AN68" s="96">
        <f t="shared" si="730"/>
        <v>0</v>
      </c>
      <c r="AO68" s="96">
        <f t="shared" si="730"/>
        <v>0</v>
      </c>
      <c r="AP68" s="96">
        <f t="shared" si="730"/>
        <v>0</v>
      </c>
      <c r="AQ68" s="96">
        <f t="shared" si="730"/>
        <v>0</v>
      </c>
      <c r="AR68" s="96">
        <f t="shared" si="730"/>
        <v>0</v>
      </c>
      <c r="AS68" s="96">
        <f t="shared" si="730"/>
        <v>0</v>
      </c>
      <c r="AT68" s="96">
        <f t="shared" si="730"/>
        <v>0</v>
      </c>
      <c r="AU68" s="96">
        <f t="shared" si="730"/>
        <v>0</v>
      </c>
      <c r="AV68" s="96">
        <f t="shared" si="730"/>
        <v>0</v>
      </c>
      <c r="AW68" s="96">
        <f t="shared" si="730"/>
        <v>0</v>
      </c>
      <c r="AX68" s="96">
        <f t="shared" si="730"/>
        <v>0</v>
      </c>
      <c r="AY68" s="96">
        <f t="shared" ref="AY68:CD68" si="731">INDEX(GI$67:GI$70,$D68)*$EZ$64</f>
        <v>0</v>
      </c>
      <c r="AZ68" s="96">
        <f t="shared" si="731"/>
        <v>0</v>
      </c>
      <c r="BA68" s="96">
        <f t="shared" si="731"/>
        <v>0</v>
      </c>
      <c r="BB68" s="96">
        <f t="shared" si="731"/>
        <v>0</v>
      </c>
      <c r="BC68" s="96">
        <f t="shared" si="731"/>
        <v>0</v>
      </c>
      <c r="BD68" s="96">
        <f t="shared" si="731"/>
        <v>0</v>
      </c>
      <c r="BE68" s="96">
        <f t="shared" si="731"/>
        <v>0</v>
      </c>
      <c r="BF68" s="96">
        <f t="shared" si="731"/>
        <v>0</v>
      </c>
      <c r="BG68" s="96">
        <f t="shared" si="731"/>
        <v>0</v>
      </c>
      <c r="BH68" s="96">
        <f t="shared" si="731"/>
        <v>0</v>
      </c>
      <c r="BI68" s="96">
        <f t="shared" si="731"/>
        <v>0</v>
      </c>
      <c r="BJ68" s="96">
        <f t="shared" si="731"/>
        <v>0</v>
      </c>
      <c r="BK68" s="96">
        <f t="shared" si="731"/>
        <v>0</v>
      </c>
      <c r="BL68" s="96">
        <f t="shared" si="731"/>
        <v>0</v>
      </c>
      <c r="BM68" s="96">
        <f t="shared" si="731"/>
        <v>0</v>
      </c>
      <c r="BN68" s="96">
        <f t="shared" si="731"/>
        <v>0</v>
      </c>
      <c r="BO68" s="96">
        <f t="shared" si="731"/>
        <v>0</v>
      </c>
      <c r="BP68" s="96">
        <f t="shared" si="731"/>
        <v>0</v>
      </c>
      <c r="BQ68" s="96">
        <f t="shared" si="731"/>
        <v>0</v>
      </c>
      <c r="BR68" s="96">
        <f t="shared" si="731"/>
        <v>0</v>
      </c>
      <c r="BS68" s="96">
        <f t="shared" si="731"/>
        <v>0</v>
      </c>
      <c r="BT68" s="96">
        <f t="shared" si="731"/>
        <v>0</v>
      </c>
      <c r="BU68" s="96">
        <f t="shared" si="731"/>
        <v>0</v>
      </c>
      <c r="BV68" s="96">
        <f t="shared" si="731"/>
        <v>0</v>
      </c>
      <c r="BW68" s="96">
        <f t="shared" si="731"/>
        <v>0</v>
      </c>
      <c r="BX68" s="96">
        <f t="shared" si="731"/>
        <v>0</v>
      </c>
      <c r="BY68" s="96">
        <f t="shared" si="731"/>
        <v>0</v>
      </c>
      <c r="BZ68" s="96">
        <f t="shared" si="731"/>
        <v>0</v>
      </c>
      <c r="CA68" s="96">
        <f t="shared" si="731"/>
        <v>0</v>
      </c>
      <c r="CB68" s="96">
        <f t="shared" si="731"/>
        <v>0</v>
      </c>
      <c r="CC68" s="96">
        <f t="shared" si="731"/>
        <v>0</v>
      </c>
      <c r="CD68" s="96">
        <f t="shared" si="731"/>
        <v>0</v>
      </c>
      <c r="CE68" s="96">
        <f t="shared" ref="CE68:DJ68" si="732">INDEX(HO$67:HO$70,$D68)*$EZ$64</f>
        <v>0</v>
      </c>
      <c r="CF68" s="96">
        <f t="shared" si="732"/>
        <v>0</v>
      </c>
      <c r="CG68" s="96">
        <f t="shared" si="732"/>
        <v>0</v>
      </c>
      <c r="CH68" s="96">
        <f t="shared" si="732"/>
        <v>0</v>
      </c>
      <c r="CI68" s="96">
        <f t="shared" si="732"/>
        <v>0</v>
      </c>
      <c r="CJ68" s="96">
        <f t="shared" si="732"/>
        <v>0</v>
      </c>
      <c r="CK68" s="96">
        <f t="shared" si="732"/>
        <v>0</v>
      </c>
      <c r="CL68" s="96">
        <f t="shared" si="732"/>
        <v>0</v>
      </c>
      <c r="CM68" s="96">
        <f t="shared" si="732"/>
        <v>0</v>
      </c>
      <c r="CN68" s="96">
        <f t="shared" si="732"/>
        <v>0</v>
      </c>
      <c r="CO68" s="96">
        <f t="shared" si="732"/>
        <v>0</v>
      </c>
      <c r="CP68" s="96">
        <f t="shared" si="732"/>
        <v>0</v>
      </c>
      <c r="CQ68" s="96">
        <f t="shared" si="732"/>
        <v>0</v>
      </c>
      <c r="CR68" s="96">
        <f t="shared" si="732"/>
        <v>0</v>
      </c>
      <c r="CS68" s="96">
        <f t="shared" si="732"/>
        <v>0</v>
      </c>
      <c r="CT68" s="96">
        <f t="shared" si="732"/>
        <v>0</v>
      </c>
      <c r="CU68" s="96">
        <f t="shared" si="732"/>
        <v>0</v>
      </c>
      <c r="CV68" s="96">
        <f t="shared" si="732"/>
        <v>0</v>
      </c>
      <c r="CW68" s="96">
        <f t="shared" si="732"/>
        <v>0</v>
      </c>
      <c r="CX68" s="96">
        <f t="shared" si="732"/>
        <v>0</v>
      </c>
      <c r="CY68" s="96">
        <f t="shared" si="732"/>
        <v>0</v>
      </c>
      <c r="CZ68" s="96">
        <f t="shared" si="732"/>
        <v>0</v>
      </c>
      <c r="DA68" s="96">
        <f t="shared" si="732"/>
        <v>0</v>
      </c>
      <c r="DB68" s="96">
        <f t="shared" si="732"/>
        <v>0</v>
      </c>
      <c r="DC68" s="96">
        <f t="shared" si="732"/>
        <v>0</v>
      </c>
      <c r="DD68" s="96">
        <f t="shared" si="732"/>
        <v>0</v>
      </c>
      <c r="DE68" s="96">
        <f t="shared" si="732"/>
        <v>0</v>
      </c>
      <c r="DF68" s="96">
        <f t="shared" si="732"/>
        <v>0</v>
      </c>
      <c r="DG68" s="96">
        <f t="shared" si="732"/>
        <v>0</v>
      </c>
      <c r="DH68" s="96">
        <f t="shared" si="732"/>
        <v>0</v>
      </c>
      <c r="DI68" s="96">
        <f t="shared" si="732"/>
        <v>0</v>
      </c>
      <c r="DJ68" s="96">
        <f t="shared" si="732"/>
        <v>0</v>
      </c>
      <c r="DK68" s="96">
        <f t="shared" ref="DK68:EP68" si="733">INDEX(IU$67:IU$70,$D68)*$EZ$64</f>
        <v>0</v>
      </c>
      <c r="DL68" s="96">
        <f t="shared" si="733"/>
        <v>0</v>
      </c>
      <c r="DM68" s="96">
        <f t="shared" si="733"/>
        <v>0</v>
      </c>
      <c r="DN68" s="96">
        <f t="shared" si="733"/>
        <v>0</v>
      </c>
      <c r="DO68" s="96">
        <f t="shared" si="733"/>
        <v>0</v>
      </c>
      <c r="DP68" s="96">
        <f t="shared" si="733"/>
        <v>0</v>
      </c>
      <c r="DQ68" s="96">
        <f t="shared" si="733"/>
        <v>0</v>
      </c>
      <c r="DR68" s="96">
        <f t="shared" si="733"/>
        <v>0</v>
      </c>
      <c r="DS68" s="96">
        <f t="shared" si="733"/>
        <v>0</v>
      </c>
      <c r="DT68" s="96">
        <f t="shared" si="733"/>
        <v>0</v>
      </c>
      <c r="DU68" s="96">
        <f t="shared" si="733"/>
        <v>0</v>
      </c>
      <c r="DV68" s="96">
        <f t="shared" si="733"/>
        <v>0</v>
      </c>
      <c r="DW68" s="96">
        <f t="shared" si="733"/>
        <v>0</v>
      </c>
      <c r="DX68" s="96">
        <f t="shared" si="733"/>
        <v>0</v>
      </c>
      <c r="DY68" s="96">
        <f t="shared" si="733"/>
        <v>0</v>
      </c>
      <c r="DZ68" s="96">
        <f t="shared" si="733"/>
        <v>0</v>
      </c>
      <c r="EA68" s="96">
        <f t="shared" si="733"/>
        <v>0</v>
      </c>
      <c r="EB68" s="96">
        <f t="shared" si="733"/>
        <v>0</v>
      </c>
      <c r="EC68" s="96">
        <f t="shared" si="733"/>
        <v>0</v>
      </c>
      <c r="ED68" s="96">
        <f t="shared" si="733"/>
        <v>0</v>
      </c>
      <c r="EE68" s="96">
        <f t="shared" si="733"/>
        <v>0</v>
      </c>
      <c r="EF68" s="96">
        <f t="shared" si="733"/>
        <v>0</v>
      </c>
      <c r="EG68" s="96">
        <f t="shared" si="733"/>
        <v>0</v>
      </c>
      <c r="EH68" s="96">
        <f t="shared" si="733"/>
        <v>0</v>
      </c>
      <c r="EI68" s="96">
        <f t="shared" si="733"/>
        <v>0</v>
      </c>
      <c r="EJ68" s="96">
        <f t="shared" si="733"/>
        <v>0</v>
      </c>
      <c r="EK68" s="96">
        <f t="shared" si="733"/>
        <v>0</v>
      </c>
      <c r="EL68" s="96">
        <f t="shared" si="733"/>
        <v>0</v>
      </c>
      <c r="EM68" s="96">
        <f t="shared" si="733"/>
        <v>0</v>
      </c>
      <c r="EN68" s="96">
        <f t="shared" si="733"/>
        <v>0</v>
      </c>
      <c r="EO68" s="96">
        <f t="shared" si="733"/>
        <v>0</v>
      </c>
      <c r="EP68" s="96">
        <f t="shared" si="733"/>
        <v>0</v>
      </c>
      <c r="EQ68" s="96">
        <f t="shared" ref="EQ68:EU68" si="734">INDEX(KA$67:KA$70,$D68)*$EZ$64</f>
        <v>0</v>
      </c>
      <c r="ER68" s="96">
        <f t="shared" si="734"/>
        <v>0</v>
      </c>
      <c r="ES68" s="96">
        <f t="shared" si="734"/>
        <v>0</v>
      </c>
      <c r="ET68" s="96">
        <f t="shared" si="734"/>
        <v>0</v>
      </c>
      <c r="EU68" s="96">
        <f t="shared" si="734"/>
        <v>0</v>
      </c>
      <c r="FA68" s="199">
        <v>2</v>
      </c>
      <c r="FC68" s="209">
        <f t="shared" ref="FC68:GH68" si="735">MIN(FB62,FC60-FC67)</f>
        <v>26268383.5</v>
      </c>
      <c r="FD68" s="209">
        <f t="shared" si="735"/>
        <v>0</v>
      </c>
      <c r="FE68" s="209">
        <f t="shared" si="735"/>
        <v>0</v>
      </c>
      <c r="FF68" s="209">
        <f t="shared" si="735"/>
        <v>0</v>
      </c>
      <c r="FG68" s="209">
        <f t="shared" si="735"/>
        <v>0</v>
      </c>
      <c r="FH68" s="209">
        <f t="shared" si="735"/>
        <v>0</v>
      </c>
      <c r="FI68" s="209">
        <f t="shared" si="735"/>
        <v>0</v>
      </c>
      <c r="FJ68" s="209">
        <f t="shared" si="735"/>
        <v>0</v>
      </c>
      <c r="FK68" s="209">
        <f t="shared" si="735"/>
        <v>0</v>
      </c>
      <c r="FL68" s="209">
        <f t="shared" si="735"/>
        <v>0</v>
      </c>
      <c r="FM68" s="209">
        <f t="shared" si="735"/>
        <v>0</v>
      </c>
      <c r="FN68" s="209">
        <f t="shared" si="735"/>
        <v>0</v>
      </c>
      <c r="FO68" s="209">
        <f t="shared" si="735"/>
        <v>0</v>
      </c>
      <c r="FP68" s="209">
        <f t="shared" si="735"/>
        <v>0</v>
      </c>
      <c r="FQ68" s="209">
        <f t="shared" si="735"/>
        <v>0</v>
      </c>
      <c r="FR68" s="209">
        <f t="shared" si="735"/>
        <v>0</v>
      </c>
      <c r="FS68" s="209">
        <f t="shared" si="735"/>
        <v>0</v>
      </c>
      <c r="FT68" s="209">
        <f t="shared" si="735"/>
        <v>0</v>
      </c>
      <c r="FU68" s="209">
        <f t="shared" si="735"/>
        <v>0</v>
      </c>
      <c r="FV68" s="209">
        <f t="shared" si="735"/>
        <v>0</v>
      </c>
      <c r="FW68" s="209">
        <f t="shared" si="735"/>
        <v>0</v>
      </c>
      <c r="FX68" s="209">
        <f t="shared" si="735"/>
        <v>0</v>
      </c>
      <c r="FY68" s="209">
        <f t="shared" si="735"/>
        <v>0</v>
      </c>
      <c r="FZ68" s="209">
        <f t="shared" si="735"/>
        <v>0</v>
      </c>
      <c r="GA68" s="209">
        <f t="shared" si="735"/>
        <v>0</v>
      </c>
      <c r="GB68" s="209">
        <f t="shared" si="735"/>
        <v>0</v>
      </c>
      <c r="GC68" s="209">
        <f t="shared" si="735"/>
        <v>0</v>
      </c>
      <c r="GD68" s="209">
        <f t="shared" si="735"/>
        <v>0</v>
      </c>
      <c r="GE68" s="209">
        <f t="shared" si="735"/>
        <v>0</v>
      </c>
      <c r="GF68" s="209">
        <f t="shared" si="735"/>
        <v>0</v>
      </c>
      <c r="GG68" s="209">
        <f t="shared" si="735"/>
        <v>0</v>
      </c>
      <c r="GH68" s="209">
        <f t="shared" si="735"/>
        <v>0</v>
      </c>
      <c r="GI68" s="209">
        <f t="shared" ref="GI68:HN68" si="736">MIN(GH62,GI60-GI67)</f>
        <v>0</v>
      </c>
      <c r="GJ68" s="209">
        <f t="shared" si="736"/>
        <v>0</v>
      </c>
      <c r="GK68" s="209">
        <f t="shared" si="736"/>
        <v>0</v>
      </c>
      <c r="GL68" s="209">
        <f t="shared" si="736"/>
        <v>0</v>
      </c>
      <c r="GM68" s="209">
        <f t="shared" si="736"/>
        <v>0</v>
      </c>
      <c r="GN68" s="209">
        <f t="shared" si="736"/>
        <v>0</v>
      </c>
      <c r="GO68" s="209">
        <f t="shared" si="736"/>
        <v>0</v>
      </c>
      <c r="GP68" s="209">
        <f t="shared" si="736"/>
        <v>0</v>
      </c>
      <c r="GQ68" s="209">
        <f t="shared" si="736"/>
        <v>0</v>
      </c>
      <c r="GR68" s="209">
        <f t="shared" si="736"/>
        <v>0</v>
      </c>
      <c r="GS68" s="209">
        <f t="shared" si="736"/>
        <v>0</v>
      </c>
      <c r="GT68" s="209">
        <f t="shared" si="736"/>
        <v>0</v>
      </c>
      <c r="GU68" s="209">
        <f t="shared" si="736"/>
        <v>0</v>
      </c>
      <c r="GV68" s="209">
        <f t="shared" si="736"/>
        <v>0</v>
      </c>
      <c r="GW68" s="209">
        <f t="shared" si="736"/>
        <v>0</v>
      </c>
      <c r="GX68" s="209">
        <f t="shared" si="736"/>
        <v>0</v>
      </c>
      <c r="GY68" s="209">
        <f t="shared" si="736"/>
        <v>0</v>
      </c>
      <c r="GZ68" s="209">
        <f t="shared" si="736"/>
        <v>0</v>
      </c>
      <c r="HA68" s="209">
        <f t="shared" si="736"/>
        <v>0</v>
      </c>
      <c r="HB68" s="209">
        <f t="shared" si="736"/>
        <v>0</v>
      </c>
      <c r="HC68" s="209">
        <f t="shared" si="736"/>
        <v>0</v>
      </c>
      <c r="HD68" s="209">
        <f t="shared" si="736"/>
        <v>0</v>
      </c>
      <c r="HE68" s="209">
        <f t="shared" si="736"/>
        <v>0</v>
      </c>
      <c r="HF68" s="209">
        <f t="shared" si="736"/>
        <v>0</v>
      </c>
      <c r="HG68" s="209">
        <f t="shared" si="736"/>
        <v>0</v>
      </c>
      <c r="HH68" s="209">
        <f t="shared" si="736"/>
        <v>0</v>
      </c>
      <c r="HI68" s="209">
        <f t="shared" si="736"/>
        <v>0</v>
      </c>
      <c r="HJ68" s="209">
        <f t="shared" si="736"/>
        <v>0</v>
      </c>
      <c r="HK68" s="209">
        <f t="shared" si="736"/>
        <v>0</v>
      </c>
      <c r="HL68" s="209">
        <f t="shared" si="736"/>
        <v>0</v>
      </c>
      <c r="HM68" s="209">
        <f t="shared" si="736"/>
        <v>0</v>
      </c>
      <c r="HN68" s="209">
        <f t="shared" si="736"/>
        <v>0</v>
      </c>
      <c r="HO68" s="209">
        <f t="shared" ref="HO68:IT68" si="737">MIN(HN62,HO60-HO67)</f>
        <v>0</v>
      </c>
      <c r="HP68" s="209">
        <f t="shared" si="737"/>
        <v>0</v>
      </c>
      <c r="HQ68" s="209">
        <f t="shared" si="737"/>
        <v>0</v>
      </c>
      <c r="HR68" s="209">
        <f t="shared" si="737"/>
        <v>0</v>
      </c>
      <c r="HS68" s="209">
        <f t="shared" si="737"/>
        <v>0</v>
      </c>
      <c r="HT68" s="209">
        <f t="shared" si="737"/>
        <v>0</v>
      </c>
      <c r="HU68" s="209">
        <f t="shared" si="737"/>
        <v>0</v>
      </c>
      <c r="HV68" s="209">
        <f t="shared" si="737"/>
        <v>0</v>
      </c>
      <c r="HW68" s="209">
        <f t="shared" si="737"/>
        <v>0</v>
      </c>
      <c r="HX68" s="209">
        <f t="shared" si="737"/>
        <v>0</v>
      </c>
      <c r="HY68" s="209">
        <f t="shared" si="737"/>
        <v>0</v>
      </c>
      <c r="HZ68" s="209">
        <f t="shared" si="737"/>
        <v>0</v>
      </c>
      <c r="IA68" s="209">
        <f t="shared" si="737"/>
        <v>0</v>
      </c>
      <c r="IB68" s="209">
        <f t="shared" si="737"/>
        <v>0</v>
      </c>
      <c r="IC68" s="209">
        <f t="shared" si="737"/>
        <v>0</v>
      </c>
      <c r="ID68" s="209">
        <f t="shared" si="737"/>
        <v>0</v>
      </c>
      <c r="IE68" s="209">
        <f t="shared" si="737"/>
        <v>0</v>
      </c>
      <c r="IF68" s="209">
        <f t="shared" si="737"/>
        <v>0</v>
      </c>
      <c r="IG68" s="209">
        <f t="shared" si="737"/>
        <v>0</v>
      </c>
      <c r="IH68" s="209">
        <f t="shared" si="737"/>
        <v>0</v>
      </c>
      <c r="II68" s="209">
        <f t="shared" si="737"/>
        <v>0</v>
      </c>
      <c r="IJ68" s="209">
        <f t="shared" si="737"/>
        <v>0</v>
      </c>
      <c r="IK68" s="209">
        <f t="shared" si="737"/>
        <v>0</v>
      </c>
      <c r="IL68" s="209">
        <f t="shared" si="737"/>
        <v>0</v>
      </c>
      <c r="IM68" s="209">
        <f t="shared" si="737"/>
        <v>0</v>
      </c>
      <c r="IN68" s="209">
        <f t="shared" si="737"/>
        <v>0</v>
      </c>
      <c r="IO68" s="209">
        <f t="shared" si="737"/>
        <v>0</v>
      </c>
      <c r="IP68" s="209">
        <f t="shared" si="737"/>
        <v>0</v>
      </c>
      <c r="IQ68" s="209">
        <f t="shared" si="737"/>
        <v>0</v>
      </c>
      <c r="IR68" s="209">
        <f t="shared" si="737"/>
        <v>0</v>
      </c>
      <c r="IS68" s="209">
        <f t="shared" si="737"/>
        <v>0</v>
      </c>
      <c r="IT68" s="209">
        <f t="shared" si="737"/>
        <v>0</v>
      </c>
      <c r="IU68" s="209">
        <f t="shared" ref="IU68:JZ68" si="738">MIN(IT62,IU60-IU67)</f>
        <v>0</v>
      </c>
      <c r="IV68" s="209">
        <f t="shared" si="738"/>
        <v>0</v>
      </c>
      <c r="IW68" s="209">
        <f t="shared" si="738"/>
        <v>0</v>
      </c>
      <c r="IX68" s="209">
        <f t="shared" si="738"/>
        <v>0</v>
      </c>
      <c r="IY68" s="209">
        <f t="shared" si="738"/>
        <v>0</v>
      </c>
      <c r="IZ68" s="209">
        <f t="shared" si="738"/>
        <v>0</v>
      </c>
      <c r="JA68" s="209">
        <f t="shared" si="738"/>
        <v>0</v>
      </c>
      <c r="JB68" s="209">
        <f t="shared" si="738"/>
        <v>0</v>
      </c>
      <c r="JC68" s="209">
        <f t="shared" si="738"/>
        <v>0</v>
      </c>
      <c r="JD68" s="209">
        <f t="shared" si="738"/>
        <v>0</v>
      </c>
      <c r="JE68" s="209">
        <f t="shared" si="738"/>
        <v>0</v>
      </c>
      <c r="JF68" s="209">
        <f t="shared" si="738"/>
        <v>0</v>
      </c>
      <c r="JG68" s="209">
        <f t="shared" si="738"/>
        <v>0</v>
      </c>
      <c r="JH68" s="209">
        <f t="shared" si="738"/>
        <v>0</v>
      </c>
      <c r="JI68" s="209">
        <f t="shared" si="738"/>
        <v>0</v>
      </c>
      <c r="JJ68" s="209">
        <f t="shared" si="738"/>
        <v>0</v>
      </c>
      <c r="JK68" s="209">
        <f t="shared" si="738"/>
        <v>0</v>
      </c>
      <c r="JL68" s="209">
        <f t="shared" si="738"/>
        <v>0</v>
      </c>
      <c r="JM68" s="209">
        <f t="shared" si="738"/>
        <v>0</v>
      </c>
      <c r="JN68" s="209">
        <f t="shared" si="738"/>
        <v>0</v>
      </c>
      <c r="JO68" s="209">
        <f t="shared" si="738"/>
        <v>0</v>
      </c>
      <c r="JP68" s="209">
        <f t="shared" si="738"/>
        <v>0</v>
      </c>
      <c r="JQ68" s="209">
        <f t="shared" si="738"/>
        <v>0</v>
      </c>
      <c r="JR68" s="209">
        <f t="shared" si="738"/>
        <v>0</v>
      </c>
      <c r="JS68" s="209">
        <f t="shared" si="738"/>
        <v>0</v>
      </c>
      <c r="JT68" s="209">
        <f t="shared" si="738"/>
        <v>0</v>
      </c>
      <c r="JU68" s="209">
        <f t="shared" si="738"/>
        <v>0</v>
      </c>
      <c r="JV68" s="209">
        <f t="shared" si="738"/>
        <v>0</v>
      </c>
      <c r="JW68" s="209">
        <f t="shared" si="738"/>
        <v>0</v>
      </c>
      <c r="JX68" s="209">
        <f t="shared" si="738"/>
        <v>0</v>
      </c>
      <c r="JY68" s="209">
        <f t="shared" si="738"/>
        <v>0</v>
      </c>
      <c r="JZ68" s="209">
        <f t="shared" si="738"/>
        <v>0</v>
      </c>
      <c r="KA68" s="209">
        <f t="shared" ref="KA68:KE68" si="739">MIN(JZ62,KA60-KA67)</f>
        <v>0</v>
      </c>
      <c r="KB68" s="209">
        <f t="shared" si="739"/>
        <v>0</v>
      </c>
      <c r="KC68" s="209">
        <f t="shared" si="739"/>
        <v>0</v>
      </c>
      <c r="KD68" s="209">
        <f t="shared" si="739"/>
        <v>0</v>
      </c>
      <c r="KE68" s="209">
        <f t="shared" si="739"/>
        <v>0</v>
      </c>
      <c r="KM68" s="209"/>
      <c r="KN68" s="209"/>
      <c r="KO68" s="209"/>
      <c r="KP68" s="209"/>
      <c r="KQ68" s="209"/>
      <c r="KR68" s="209"/>
      <c r="KS68" s="209"/>
      <c r="KT68" s="209"/>
      <c r="KU68" s="209"/>
      <c r="KV68" s="209"/>
      <c r="KW68" s="209"/>
      <c r="KX68" s="209"/>
      <c r="KY68" s="209"/>
      <c r="KZ68" s="209"/>
      <c r="LA68" s="209"/>
      <c r="LB68" s="209"/>
      <c r="LC68" s="209"/>
      <c r="LD68" s="209"/>
      <c r="LE68" s="209"/>
      <c r="LF68" s="209"/>
      <c r="LG68" s="209"/>
      <c r="LH68" s="209"/>
      <c r="LI68" s="209"/>
      <c r="LJ68" s="209"/>
      <c r="LK68" s="209"/>
      <c r="LL68" s="209"/>
      <c r="LM68" s="209"/>
      <c r="LN68" s="209"/>
      <c r="LO68" s="209"/>
      <c r="LP68" s="209"/>
      <c r="LQ68" s="209"/>
      <c r="LR68" s="209"/>
      <c r="LS68" s="209"/>
      <c r="LT68" s="209"/>
      <c r="LU68" s="209"/>
      <c r="LV68" s="209"/>
      <c r="LW68" s="209"/>
      <c r="LX68" s="209"/>
      <c r="LY68" s="209"/>
      <c r="LZ68" s="209"/>
      <c r="MA68" s="209"/>
      <c r="MB68" s="209"/>
      <c r="MC68" s="209"/>
      <c r="MD68" s="209"/>
      <c r="ME68" s="209"/>
      <c r="MF68" s="209"/>
      <c r="MG68" s="209"/>
      <c r="MH68" s="209"/>
      <c r="MI68" s="209"/>
      <c r="MJ68" s="209"/>
      <c r="MK68" s="209"/>
      <c r="ML68" s="209"/>
      <c r="MM68" s="209"/>
      <c r="MN68" s="209"/>
      <c r="MO68" s="209"/>
      <c r="MP68" s="209"/>
      <c r="MQ68" s="209"/>
      <c r="MR68" s="209"/>
      <c r="MS68" s="209"/>
      <c r="MT68" s="209"/>
      <c r="MU68" s="209"/>
      <c r="MV68" s="209"/>
      <c r="MW68" s="209"/>
      <c r="MX68" s="209"/>
      <c r="MY68" s="209"/>
      <c r="MZ68" s="209"/>
      <c r="NA68" s="209"/>
      <c r="NB68" s="209"/>
      <c r="NC68" s="209"/>
      <c r="ND68" s="209"/>
      <c r="NE68" s="209"/>
      <c r="NF68" s="209"/>
      <c r="NG68" s="209"/>
      <c r="NH68" s="209"/>
      <c r="NI68" s="209"/>
      <c r="NJ68" s="209"/>
      <c r="NK68" s="209"/>
      <c r="NL68" s="209"/>
      <c r="NM68" s="209"/>
      <c r="NN68" s="209"/>
      <c r="NO68" s="209"/>
      <c r="NP68" s="209"/>
      <c r="NQ68" s="209"/>
      <c r="NR68" s="209"/>
      <c r="NS68" s="209"/>
      <c r="NT68" s="209"/>
      <c r="NU68" s="209"/>
      <c r="NV68" s="209"/>
      <c r="NW68" s="209"/>
      <c r="NX68" s="209"/>
      <c r="NY68" s="209"/>
      <c r="NZ68" s="209"/>
      <c r="OA68" s="209"/>
      <c r="OB68" s="209"/>
      <c r="OC68" s="209"/>
      <c r="OD68" s="209"/>
      <c r="OE68" s="209"/>
      <c r="OF68" s="209"/>
      <c r="OG68" s="209"/>
      <c r="OH68" s="209"/>
      <c r="OI68" s="209"/>
      <c r="OJ68" s="209"/>
      <c r="OK68" s="209"/>
      <c r="OL68" s="209"/>
      <c r="OM68" s="209"/>
      <c r="ON68" s="209"/>
      <c r="OO68" s="209"/>
      <c r="OP68" s="209"/>
      <c r="OQ68" s="209"/>
      <c r="OR68" s="209"/>
      <c r="OS68" s="209"/>
      <c r="OT68" s="209"/>
      <c r="OU68" s="209"/>
      <c r="OV68" s="209"/>
      <c r="OW68" s="209"/>
      <c r="OX68" s="209"/>
      <c r="OY68" s="209"/>
      <c r="OZ68" s="209"/>
      <c r="PA68" s="209"/>
      <c r="PB68" s="209"/>
      <c r="PC68" s="209"/>
      <c r="PD68" s="209"/>
      <c r="PE68" s="209"/>
      <c r="PF68" s="209"/>
      <c r="PG68" s="209"/>
      <c r="PH68" s="209"/>
      <c r="PI68" s="209"/>
      <c r="PJ68" s="209"/>
      <c r="PK68" s="209"/>
      <c r="PL68" s="209"/>
      <c r="PM68" s="209"/>
      <c r="PN68" s="209"/>
      <c r="PO68" s="209"/>
      <c r="PQ68" s="201"/>
      <c r="PR68" s="201"/>
      <c r="PS68" s="201"/>
      <c r="PT68" s="201"/>
      <c r="PU68" s="201"/>
      <c r="PV68" s="201"/>
      <c r="PW68" s="201"/>
      <c r="PX68" s="201"/>
      <c r="PY68" s="201"/>
      <c r="PZ68" s="201"/>
      <c r="QA68" s="201"/>
      <c r="QB68" s="201"/>
      <c r="QC68" s="201"/>
      <c r="QD68" s="201"/>
      <c r="QE68" s="201"/>
      <c r="QF68" s="201"/>
      <c r="QG68" s="201"/>
      <c r="QH68" s="201"/>
      <c r="QI68" s="201"/>
      <c r="QJ68" s="201"/>
      <c r="QK68" s="201"/>
      <c r="QL68" s="201"/>
      <c r="QM68" s="201"/>
      <c r="QN68" s="201"/>
      <c r="QO68" s="201"/>
      <c r="QP68" s="201"/>
      <c r="QQ68" s="201"/>
      <c r="QR68" s="201"/>
      <c r="QS68" s="201"/>
      <c r="QT68" s="201"/>
      <c r="QU68" s="201"/>
      <c r="QV68" s="201"/>
      <c r="QW68" s="201"/>
      <c r="QX68" s="201"/>
      <c r="QY68" s="201"/>
      <c r="QZ68" s="201"/>
      <c r="RA68" s="201"/>
      <c r="RB68" s="201"/>
      <c r="RC68" s="201"/>
      <c r="RD68" s="201"/>
      <c r="RE68" s="201"/>
      <c r="RF68" s="201"/>
      <c r="RG68" s="201"/>
      <c r="RH68" s="201"/>
      <c r="RI68" s="201"/>
      <c r="RJ68" s="201"/>
      <c r="RK68" s="201"/>
      <c r="RL68" s="201"/>
      <c r="RM68" s="201"/>
      <c r="RN68" s="201"/>
      <c r="RO68" s="201"/>
      <c r="RP68" s="201"/>
      <c r="RQ68" s="201"/>
      <c r="RR68" s="201"/>
      <c r="RS68" s="201"/>
      <c r="RT68" s="201"/>
      <c r="RU68" s="201"/>
      <c r="RV68" s="201"/>
      <c r="RW68" s="201"/>
      <c r="RX68" s="201"/>
      <c r="RY68" s="201"/>
      <c r="RZ68" s="201"/>
      <c r="SA68" s="201"/>
      <c r="SB68" s="201"/>
      <c r="SC68" s="201"/>
      <c r="SD68" s="201"/>
      <c r="SE68" s="201"/>
      <c r="SF68" s="201"/>
      <c r="SG68" s="201"/>
      <c r="SH68" s="201"/>
      <c r="SI68" s="201"/>
      <c r="SJ68" s="201"/>
      <c r="SK68" s="201"/>
      <c r="SL68" s="201"/>
      <c r="SM68" s="201"/>
      <c r="SN68" s="201"/>
      <c r="SO68" s="201"/>
      <c r="SP68" s="201"/>
      <c r="SQ68" s="201"/>
      <c r="SR68" s="201"/>
      <c r="SS68" s="201"/>
      <c r="ST68" s="201"/>
      <c r="SU68" s="201"/>
      <c r="SV68" s="201"/>
      <c r="SW68" s="201"/>
      <c r="SX68" s="201"/>
      <c r="SY68" s="201"/>
      <c r="SZ68" s="201"/>
      <c r="TA68" s="201"/>
      <c r="TB68" s="201"/>
      <c r="TC68" s="201"/>
      <c r="TD68" s="201"/>
      <c r="TE68" s="201"/>
      <c r="TF68" s="201"/>
      <c r="TG68" s="201"/>
      <c r="TH68" s="201"/>
      <c r="TI68" s="201"/>
      <c r="TJ68" s="201"/>
      <c r="TK68" s="201"/>
      <c r="TL68" s="201"/>
      <c r="TM68" s="201"/>
      <c r="TN68" s="201"/>
      <c r="TO68" s="201"/>
      <c r="TP68" s="201"/>
      <c r="TQ68" s="201"/>
      <c r="TR68" s="201"/>
      <c r="TS68" s="201"/>
      <c r="TT68" s="201"/>
      <c r="TU68" s="201"/>
      <c r="TV68" s="201"/>
      <c r="TW68" s="201"/>
      <c r="TX68" s="201"/>
      <c r="TY68" s="201"/>
      <c r="TZ68" s="201"/>
      <c r="UA68" s="201"/>
      <c r="UB68" s="201"/>
      <c r="UC68" s="201"/>
      <c r="UD68" s="201"/>
      <c r="UE68" s="201"/>
      <c r="UF68" s="201"/>
      <c r="UG68" s="201"/>
      <c r="UH68" s="201"/>
      <c r="UI68" s="201"/>
      <c r="UJ68" s="201"/>
      <c r="UK68" s="201"/>
      <c r="UL68" s="201"/>
      <c r="UM68" s="201"/>
      <c r="UN68" s="201"/>
      <c r="UO68" s="201"/>
      <c r="UP68" s="201"/>
      <c r="UQ68" s="201"/>
      <c r="UR68" s="201"/>
      <c r="US68" s="201"/>
      <c r="UT68" s="201"/>
      <c r="UU68" s="201"/>
    </row>
    <row r="69" spans="2:567" x14ac:dyDescent="0.25">
      <c r="B69" s="18" t="s">
        <v>53</v>
      </c>
      <c r="C69" s="18"/>
      <c r="D69" s="18"/>
      <c r="E69" s="18"/>
      <c r="F69" s="18"/>
      <c r="G69" s="100">
        <f>+K69/$K$24</f>
        <v>0.66362231999999999</v>
      </c>
      <c r="H69" s="45">
        <f>K69/K58</f>
        <v>0.6</v>
      </c>
      <c r="I69" s="33">
        <f>SUM(I67:I68)</f>
        <v>164.58886904761906</v>
      </c>
      <c r="J69" s="34">
        <f>SUM(J67:J68)</f>
        <v>138254.65</v>
      </c>
      <c r="K69" s="34">
        <f>SUM(K67:K68)</f>
        <v>41476395</v>
      </c>
      <c r="R69" s="90" t="str">
        <f t="shared" si="720"/>
        <v>OK</v>
      </c>
      <c r="S69" s="92">
        <f>SUM(S67:S68)</f>
        <v>36341093.958333336</v>
      </c>
      <c r="T69" s="92">
        <f t="shared" ref="T69:CE69" si="740">SUM(T67:T68)</f>
        <v>223273.95833333331</v>
      </c>
      <c r="U69" s="92">
        <f t="shared" si="740"/>
        <v>223273.95833333331</v>
      </c>
      <c r="V69" s="92">
        <f t="shared" si="740"/>
        <v>223273.9583333332</v>
      </c>
      <c r="W69" s="92">
        <f t="shared" si="740"/>
        <v>223273.9583333334</v>
      </c>
      <c r="X69" s="92">
        <f t="shared" si="740"/>
        <v>223273.9583333332</v>
      </c>
      <c r="Y69" s="92">
        <f t="shared" si="740"/>
        <v>223273.9583333334</v>
      </c>
      <c r="Z69" s="92">
        <f t="shared" si="740"/>
        <v>223273.95833333308</v>
      </c>
      <c r="AA69" s="92">
        <f t="shared" si="740"/>
        <v>223273.9583333334</v>
      </c>
      <c r="AB69" s="92">
        <f t="shared" si="740"/>
        <v>223273.9583333334</v>
      </c>
      <c r="AC69" s="92">
        <f t="shared" si="740"/>
        <v>223273.95833333308</v>
      </c>
      <c r="AD69" s="92">
        <f t="shared" si="740"/>
        <v>223273.9583333334</v>
      </c>
      <c r="AE69" s="92">
        <f t="shared" si="740"/>
        <v>223273.95833333308</v>
      </c>
      <c r="AF69" s="92">
        <f t="shared" si="740"/>
        <v>223273.95833333363</v>
      </c>
      <c r="AG69" s="92">
        <f t="shared" si="740"/>
        <v>223273.95833333308</v>
      </c>
      <c r="AH69" s="92">
        <f t="shared" si="740"/>
        <v>223273.95833333308</v>
      </c>
      <c r="AI69" s="92">
        <f t="shared" si="740"/>
        <v>223273.95833333363</v>
      </c>
      <c r="AJ69" s="92">
        <f t="shared" si="740"/>
        <v>223273.95833333308</v>
      </c>
      <c r="AK69" s="92">
        <f t="shared" si="740"/>
        <v>223273.95833333308</v>
      </c>
      <c r="AL69" s="92">
        <f t="shared" si="740"/>
        <v>223273.95833333363</v>
      </c>
      <c r="AM69" s="92">
        <f t="shared" si="740"/>
        <v>223273.95833333308</v>
      </c>
      <c r="AN69" s="92">
        <f t="shared" si="740"/>
        <v>223273.95833333308</v>
      </c>
      <c r="AO69" s="92">
        <f t="shared" si="740"/>
        <v>223273.95833333363</v>
      </c>
      <c r="AP69" s="92">
        <f t="shared" si="740"/>
        <v>223273.95833333308</v>
      </c>
      <c r="AQ69" s="92">
        <f t="shared" si="740"/>
        <v>0</v>
      </c>
      <c r="AR69" s="92">
        <f t="shared" si="740"/>
        <v>0</v>
      </c>
      <c r="AS69" s="92">
        <f t="shared" si="740"/>
        <v>0</v>
      </c>
      <c r="AT69" s="92">
        <f t="shared" si="740"/>
        <v>0</v>
      </c>
      <c r="AU69" s="92">
        <f t="shared" si="740"/>
        <v>0</v>
      </c>
      <c r="AV69" s="92">
        <f t="shared" si="740"/>
        <v>0</v>
      </c>
      <c r="AW69" s="92">
        <f t="shared" si="740"/>
        <v>0</v>
      </c>
      <c r="AX69" s="92">
        <f t="shared" si="740"/>
        <v>0</v>
      </c>
      <c r="AY69" s="92">
        <f t="shared" si="740"/>
        <v>0</v>
      </c>
      <c r="AZ69" s="92">
        <f t="shared" si="740"/>
        <v>0</v>
      </c>
      <c r="BA69" s="92">
        <f t="shared" si="740"/>
        <v>0</v>
      </c>
      <c r="BB69" s="92">
        <f t="shared" si="740"/>
        <v>0</v>
      </c>
      <c r="BC69" s="92">
        <f t="shared" si="740"/>
        <v>0</v>
      </c>
      <c r="BD69" s="92">
        <f t="shared" si="740"/>
        <v>0</v>
      </c>
      <c r="BE69" s="92">
        <f t="shared" si="740"/>
        <v>0</v>
      </c>
      <c r="BF69" s="92">
        <f t="shared" si="740"/>
        <v>0</v>
      </c>
      <c r="BG69" s="92">
        <f t="shared" si="740"/>
        <v>0</v>
      </c>
      <c r="BH69" s="92">
        <f t="shared" si="740"/>
        <v>0</v>
      </c>
      <c r="BI69" s="92">
        <f t="shared" si="740"/>
        <v>0</v>
      </c>
      <c r="BJ69" s="92">
        <f t="shared" si="740"/>
        <v>0</v>
      </c>
      <c r="BK69" s="92">
        <f t="shared" si="740"/>
        <v>0</v>
      </c>
      <c r="BL69" s="92">
        <f t="shared" si="740"/>
        <v>0</v>
      </c>
      <c r="BM69" s="92">
        <f t="shared" si="740"/>
        <v>0</v>
      </c>
      <c r="BN69" s="92">
        <f t="shared" si="740"/>
        <v>0</v>
      </c>
      <c r="BO69" s="92">
        <f t="shared" si="740"/>
        <v>0</v>
      </c>
      <c r="BP69" s="92">
        <f t="shared" si="740"/>
        <v>0</v>
      </c>
      <c r="BQ69" s="92">
        <f t="shared" si="740"/>
        <v>0</v>
      </c>
      <c r="BR69" s="92">
        <f t="shared" si="740"/>
        <v>0</v>
      </c>
      <c r="BS69" s="92">
        <f t="shared" si="740"/>
        <v>0</v>
      </c>
      <c r="BT69" s="92">
        <f t="shared" si="740"/>
        <v>0</v>
      </c>
      <c r="BU69" s="92">
        <f t="shared" si="740"/>
        <v>0</v>
      </c>
      <c r="BV69" s="92">
        <f t="shared" si="740"/>
        <v>0</v>
      </c>
      <c r="BW69" s="92">
        <f t="shared" si="740"/>
        <v>0</v>
      </c>
      <c r="BX69" s="92">
        <f t="shared" si="740"/>
        <v>0</v>
      </c>
      <c r="BY69" s="92">
        <f t="shared" si="740"/>
        <v>0</v>
      </c>
      <c r="BZ69" s="92">
        <f t="shared" si="740"/>
        <v>0</v>
      </c>
      <c r="CA69" s="92">
        <f t="shared" si="740"/>
        <v>0</v>
      </c>
      <c r="CB69" s="92">
        <f t="shared" si="740"/>
        <v>0</v>
      </c>
      <c r="CC69" s="92">
        <f t="shared" si="740"/>
        <v>0</v>
      </c>
      <c r="CD69" s="92">
        <f t="shared" si="740"/>
        <v>0</v>
      </c>
      <c r="CE69" s="92">
        <f t="shared" si="740"/>
        <v>0</v>
      </c>
      <c r="CF69" s="92">
        <f t="shared" ref="CF69:EQ69" si="741">SUM(CF67:CF68)</f>
        <v>0</v>
      </c>
      <c r="CG69" s="92">
        <f t="shared" si="741"/>
        <v>0</v>
      </c>
      <c r="CH69" s="92">
        <f t="shared" si="741"/>
        <v>0</v>
      </c>
      <c r="CI69" s="92">
        <f t="shared" si="741"/>
        <v>0</v>
      </c>
      <c r="CJ69" s="92">
        <f t="shared" si="741"/>
        <v>0</v>
      </c>
      <c r="CK69" s="92">
        <f t="shared" si="741"/>
        <v>0</v>
      </c>
      <c r="CL69" s="92">
        <f t="shared" si="741"/>
        <v>0</v>
      </c>
      <c r="CM69" s="92">
        <f t="shared" si="741"/>
        <v>0</v>
      </c>
      <c r="CN69" s="92">
        <f t="shared" si="741"/>
        <v>0</v>
      </c>
      <c r="CO69" s="92">
        <f t="shared" si="741"/>
        <v>0</v>
      </c>
      <c r="CP69" s="92">
        <f t="shared" si="741"/>
        <v>0</v>
      </c>
      <c r="CQ69" s="92">
        <f t="shared" si="741"/>
        <v>0</v>
      </c>
      <c r="CR69" s="92">
        <f t="shared" si="741"/>
        <v>0</v>
      </c>
      <c r="CS69" s="92">
        <f t="shared" si="741"/>
        <v>0</v>
      </c>
      <c r="CT69" s="92">
        <f t="shared" si="741"/>
        <v>0</v>
      </c>
      <c r="CU69" s="92">
        <f t="shared" si="741"/>
        <v>0</v>
      </c>
      <c r="CV69" s="92">
        <f t="shared" si="741"/>
        <v>0</v>
      </c>
      <c r="CW69" s="92">
        <f t="shared" si="741"/>
        <v>0</v>
      </c>
      <c r="CX69" s="92">
        <f t="shared" si="741"/>
        <v>0</v>
      </c>
      <c r="CY69" s="92">
        <f t="shared" si="741"/>
        <v>0</v>
      </c>
      <c r="CZ69" s="92">
        <f t="shared" si="741"/>
        <v>0</v>
      </c>
      <c r="DA69" s="92">
        <f t="shared" si="741"/>
        <v>0</v>
      </c>
      <c r="DB69" s="92">
        <f t="shared" si="741"/>
        <v>0</v>
      </c>
      <c r="DC69" s="92">
        <f t="shared" si="741"/>
        <v>0</v>
      </c>
      <c r="DD69" s="92">
        <f t="shared" si="741"/>
        <v>0</v>
      </c>
      <c r="DE69" s="92">
        <f t="shared" si="741"/>
        <v>0</v>
      </c>
      <c r="DF69" s="92">
        <f t="shared" si="741"/>
        <v>0</v>
      </c>
      <c r="DG69" s="92">
        <f t="shared" si="741"/>
        <v>0</v>
      </c>
      <c r="DH69" s="92">
        <f t="shared" si="741"/>
        <v>0</v>
      </c>
      <c r="DI69" s="92">
        <f t="shared" si="741"/>
        <v>0</v>
      </c>
      <c r="DJ69" s="92">
        <f t="shared" si="741"/>
        <v>0</v>
      </c>
      <c r="DK69" s="92">
        <f t="shared" si="741"/>
        <v>0</v>
      </c>
      <c r="DL69" s="92">
        <f t="shared" si="741"/>
        <v>0</v>
      </c>
      <c r="DM69" s="92">
        <f t="shared" si="741"/>
        <v>0</v>
      </c>
      <c r="DN69" s="92">
        <f t="shared" si="741"/>
        <v>0</v>
      </c>
      <c r="DO69" s="92">
        <f t="shared" si="741"/>
        <v>0</v>
      </c>
      <c r="DP69" s="92">
        <f t="shared" si="741"/>
        <v>0</v>
      </c>
      <c r="DQ69" s="92">
        <f t="shared" si="741"/>
        <v>0</v>
      </c>
      <c r="DR69" s="92">
        <f t="shared" si="741"/>
        <v>0</v>
      </c>
      <c r="DS69" s="92">
        <f t="shared" si="741"/>
        <v>0</v>
      </c>
      <c r="DT69" s="92">
        <f t="shared" si="741"/>
        <v>0</v>
      </c>
      <c r="DU69" s="92">
        <f t="shared" si="741"/>
        <v>0</v>
      </c>
      <c r="DV69" s="92">
        <f t="shared" si="741"/>
        <v>0</v>
      </c>
      <c r="DW69" s="92">
        <f t="shared" si="741"/>
        <v>0</v>
      </c>
      <c r="DX69" s="92">
        <f t="shared" si="741"/>
        <v>0</v>
      </c>
      <c r="DY69" s="92">
        <f t="shared" si="741"/>
        <v>0</v>
      </c>
      <c r="DZ69" s="92">
        <f t="shared" si="741"/>
        <v>0</v>
      </c>
      <c r="EA69" s="92">
        <f t="shared" si="741"/>
        <v>0</v>
      </c>
      <c r="EB69" s="92">
        <f t="shared" si="741"/>
        <v>0</v>
      </c>
      <c r="EC69" s="92">
        <f t="shared" si="741"/>
        <v>0</v>
      </c>
      <c r="ED69" s="92">
        <f t="shared" si="741"/>
        <v>0</v>
      </c>
      <c r="EE69" s="92">
        <f t="shared" si="741"/>
        <v>0</v>
      </c>
      <c r="EF69" s="92">
        <f t="shared" si="741"/>
        <v>0</v>
      </c>
      <c r="EG69" s="92">
        <f t="shared" si="741"/>
        <v>0</v>
      </c>
      <c r="EH69" s="92">
        <f t="shared" si="741"/>
        <v>0</v>
      </c>
      <c r="EI69" s="92">
        <f t="shared" si="741"/>
        <v>0</v>
      </c>
      <c r="EJ69" s="92">
        <f t="shared" si="741"/>
        <v>0</v>
      </c>
      <c r="EK69" s="92">
        <f t="shared" si="741"/>
        <v>0</v>
      </c>
      <c r="EL69" s="92">
        <f t="shared" si="741"/>
        <v>0</v>
      </c>
      <c r="EM69" s="92">
        <f t="shared" si="741"/>
        <v>0</v>
      </c>
      <c r="EN69" s="92">
        <f t="shared" si="741"/>
        <v>0</v>
      </c>
      <c r="EO69" s="92">
        <f t="shared" si="741"/>
        <v>0</v>
      </c>
      <c r="EP69" s="92">
        <f t="shared" si="741"/>
        <v>0</v>
      </c>
      <c r="EQ69" s="92">
        <f t="shared" si="741"/>
        <v>0</v>
      </c>
      <c r="ER69" s="92">
        <f t="shared" ref="ER69:EU69" si="742">SUM(ER67:ER68)</f>
        <v>0</v>
      </c>
      <c r="ES69" s="92">
        <f t="shared" si="742"/>
        <v>0</v>
      </c>
      <c r="ET69" s="92">
        <f t="shared" si="742"/>
        <v>0</v>
      </c>
      <c r="EU69" s="92">
        <f t="shared" si="742"/>
        <v>0</v>
      </c>
      <c r="FA69" s="199">
        <v>3</v>
      </c>
      <c r="FC69" s="209">
        <f t="shared" ref="FC69:GH69" si="743">MIN(FB63,FC60-FC67-FC68)</f>
        <v>36341093.958333336</v>
      </c>
      <c r="FD69" s="209">
        <f t="shared" si="743"/>
        <v>223273.95833333331</v>
      </c>
      <c r="FE69" s="209">
        <f t="shared" si="743"/>
        <v>223273.95833333331</v>
      </c>
      <c r="FF69" s="209">
        <f t="shared" si="743"/>
        <v>223273.9583333332</v>
      </c>
      <c r="FG69" s="209">
        <f t="shared" si="743"/>
        <v>223273.9583333334</v>
      </c>
      <c r="FH69" s="209">
        <f t="shared" si="743"/>
        <v>223273.9583333332</v>
      </c>
      <c r="FI69" s="209">
        <f t="shared" si="743"/>
        <v>223273.9583333334</v>
      </c>
      <c r="FJ69" s="209">
        <f t="shared" si="743"/>
        <v>223273.95833333308</v>
      </c>
      <c r="FK69" s="209">
        <f t="shared" si="743"/>
        <v>223273.9583333334</v>
      </c>
      <c r="FL69" s="209">
        <f t="shared" si="743"/>
        <v>223273.9583333334</v>
      </c>
      <c r="FM69" s="209">
        <f t="shared" si="743"/>
        <v>223273.95833333308</v>
      </c>
      <c r="FN69" s="209">
        <f t="shared" si="743"/>
        <v>223273.9583333334</v>
      </c>
      <c r="FO69" s="209">
        <f t="shared" si="743"/>
        <v>223273.95833333308</v>
      </c>
      <c r="FP69" s="209">
        <f t="shared" si="743"/>
        <v>223273.95833333363</v>
      </c>
      <c r="FQ69" s="209">
        <f t="shared" si="743"/>
        <v>223273.95833333308</v>
      </c>
      <c r="FR69" s="209">
        <f t="shared" si="743"/>
        <v>223273.95833333308</v>
      </c>
      <c r="FS69" s="209">
        <f t="shared" si="743"/>
        <v>223273.95833333363</v>
      </c>
      <c r="FT69" s="209">
        <f t="shared" si="743"/>
        <v>223273.95833333308</v>
      </c>
      <c r="FU69" s="209">
        <f t="shared" si="743"/>
        <v>223273.95833333308</v>
      </c>
      <c r="FV69" s="209">
        <f t="shared" si="743"/>
        <v>223273.95833333363</v>
      </c>
      <c r="FW69" s="209">
        <f t="shared" si="743"/>
        <v>223273.95833333308</v>
      </c>
      <c r="FX69" s="209">
        <f t="shared" si="743"/>
        <v>223273.95833333308</v>
      </c>
      <c r="FY69" s="209">
        <f t="shared" si="743"/>
        <v>223273.95833333363</v>
      </c>
      <c r="FZ69" s="209">
        <f t="shared" si="743"/>
        <v>223273.95833333308</v>
      </c>
      <c r="GA69" s="209">
        <f t="shared" si="743"/>
        <v>0</v>
      </c>
      <c r="GB69" s="209">
        <f t="shared" si="743"/>
        <v>0</v>
      </c>
      <c r="GC69" s="209">
        <f t="shared" si="743"/>
        <v>0</v>
      </c>
      <c r="GD69" s="209">
        <f t="shared" si="743"/>
        <v>0</v>
      </c>
      <c r="GE69" s="209">
        <f t="shared" si="743"/>
        <v>0</v>
      </c>
      <c r="GF69" s="209">
        <f t="shared" si="743"/>
        <v>0</v>
      </c>
      <c r="GG69" s="209">
        <f t="shared" si="743"/>
        <v>0</v>
      </c>
      <c r="GH69" s="209">
        <f t="shared" si="743"/>
        <v>0</v>
      </c>
      <c r="GI69" s="209">
        <f t="shared" ref="GI69:HN69" si="744">MIN(GH63,GI60-GI67-GI68)</f>
        <v>0</v>
      </c>
      <c r="GJ69" s="209">
        <f t="shared" si="744"/>
        <v>0</v>
      </c>
      <c r="GK69" s="209">
        <f t="shared" si="744"/>
        <v>0</v>
      </c>
      <c r="GL69" s="209">
        <f t="shared" si="744"/>
        <v>0</v>
      </c>
      <c r="GM69" s="209">
        <f t="shared" si="744"/>
        <v>0</v>
      </c>
      <c r="GN69" s="209">
        <f t="shared" si="744"/>
        <v>0</v>
      </c>
      <c r="GO69" s="209">
        <f t="shared" si="744"/>
        <v>0</v>
      </c>
      <c r="GP69" s="209">
        <f t="shared" si="744"/>
        <v>0</v>
      </c>
      <c r="GQ69" s="209">
        <f t="shared" si="744"/>
        <v>0</v>
      </c>
      <c r="GR69" s="209">
        <f t="shared" si="744"/>
        <v>0</v>
      </c>
      <c r="GS69" s="209">
        <f t="shared" si="744"/>
        <v>0</v>
      </c>
      <c r="GT69" s="209">
        <f t="shared" si="744"/>
        <v>0</v>
      </c>
      <c r="GU69" s="209">
        <f t="shared" si="744"/>
        <v>0</v>
      </c>
      <c r="GV69" s="209">
        <f t="shared" si="744"/>
        <v>0</v>
      </c>
      <c r="GW69" s="209">
        <f t="shared" si="744"/>
        <v>0</v>
      </c>
      <c r="GX69" s="209">
        <f t="shared" si="744"/>
        <v>0</v>
      </c>
      <c r="GY69" s="209">
        <f t="shared" si="744"/>
        <v>0</v>
      </c>
      <c r="GZ69" s="209">
        <f t="shared" si="744"/>
        <v>0</v>
      </c>
      <c r="HA69" s="209">
        <f t="shared" si="744"/>
        <v>0</v>
      </c>
      <c r="HB69" s="209">
        <f t="shared" si="744"/>
        <v>0</v>
      </c>
      <c r="HC69" s="209">
        <f t="shared" si="744"/>
        <v>0</v>
      </c>
      <c r="HD69" s="209">
        <f t="shared" si="744"/>
        <v>0</v>
      </c>
      <c r="HE69" s="209">
        <f t="shared" si="744"/>
        <v>0</v>
      </c>
      <c r="HF69" s="209">
        <f t="shared" si="744"/>
        <v>0</v>
      </c>
      <c r="HG69" s="209">
        <f t="shared" si="744"/>
        <v>0</v>
      </c>
      <c r="HH69" s="209">
        <f t="shared" si="744"/>
        <v>0</v>
      </c>
      <c r="HI69" s="209">
        <f t="shared" si="744"/>
        <v>0</v>
      </c>
      <c r="HJ69" s="209">
        <f t="shared" si="744"/>
        <v>0</v>
      </c>
      <c r="HK69" s="209">
        <f t="shared" si="744"/>
        <v>0</v>
      </c>
      <c r="HL69" s="209">
        <f t="shared" si="744"/>
        <v>0</v>
      </c>
      <c r="HM69" s="209">
        <f t="shared" si="744"/>
        <v>0</v>
      </c>
      <c r="HN69" s="209">
        <f t="shared" si="744"/>
        <v>0</v>
      </c>
      <c r="HO69" s="209">
        <f t="shared" ref="HO69:IT69" si="745">MIN(HN63,HO60-HO67-HO68)</f>
        <v>0</v>
      </c>
      <c r="HP69" s="209">
        <f t="shared" si="745"/>
        <v>0</v>
      </c>
      <c r="HQ69" s="209">
        <f t="shared" si="745"/>
        <v>0</v>
      </c>
      <c r="HR69" s="209">
        <f t="shared" si="745"/>
        <v>0</v>
      </c>
      <c r="HS69" s="209">
        <f t="shared" si="745"/>
        <v>0</v>
      </c>
      <c r="HT69" s="209">
        <f t="shared" si="745"/>
        <v>0</v>
      </c>
      <c r="HU69" s="209">
        <f t="shared" si="745"/>
        <v>0</v>
      </c>
      <c r="HV69" s="209">
        <f t="shared" si="745"/>
        <v>0</v>
      </c>
      <c r="HW69" s="209">
        <f t="shared" si="745"/>
        <v>0</v>
      </c>
      <c r="HX69" s="209">
        <f t="shared" si="745"/>
        <v>0</v>
      </c>
      <c r="HY69" s="209">
        <f t="shared" si="745"/>
        <v>0</v>
      </c>
      <c r="HZ69" s="209">
        <f t="shared" si="745"/>
        <v>0</v>
      </c>
      <c r="IA69" s="209">
        <f t="shared" si="745"/>
        <v>0</v>
      </c>
      <c r="IB69" s="209">
        <f t="shared" si="745"/>
        <v>0</v>
      </c>
      <c r="IC69" s="209">
        <f t="shared" si="745"/>
        <v>0</v>
      </c>
      <c r="ID69" s="209">
        <f t="shared" si="745"/>
        <v>0</v>
      </c>
      <c r="IE69" s="209">
        <f t="shared" si="745"/>
        <v>0</v>
      </c>
      <c r="IF69" s="209">
        <f t="shared" si="745"/>
        <v>0</v>
      </c>
      <c r="IG69" s="209">
        <f t="shared" si="745"/>
        <v>0</v>
      </c>
      <c r="IH69" s="209">
        <f t="shared" si="745"/>
        <v>0</v>
      </c>
      <c r="II69" s="209">
        <f t="shared" si="745"/>
        <v>0</v>
      </c>
      <c r="IJ69" s="209">
        <f t="shared" si="745"/>
        <v>0</v>
      </c>
      <c r="IK69" s="209">
        <f t="shared" si="745"/>
        <v>0</v>
      </c>
      <c r="IL69" s="209">
        <f t="shared" si="745"/>
        <v>0</v>
      </c>
      <c r="IM69" s="209">
        <f t="shared" si="745"/>
        <v>0</v>
      </c>
      <c r="IN69" s="209">
        <f t="shared" si="745"/>
        <v>0</v>
      </c>
      <c r="IO69" s="209">
        <f t="shared" si="745"/>
        <v>0</v>
      </c>
      <c r="IP69" s="209">
        <f t="shared" si="745"/>
        <v>0</v>
      </c>
      <c r="IQ69" s="209">
        <f t="shared" si="745"/>
        <v>0</v>
      </c>
      <c r="IR69" s="209">
        <f t="shared" si="745"/>
        <v>0</v>
      </c>
      <c r="IS69" s="209">
        <f t="shared" si="745"/>
        <v>0</v>
      </c>
      <c r="IT69" s="209">
        <f t="shared" si="745"/>
        <v>0</v>
      </c>
      <c r="IU69" s="209">
        <f t="shared" ref="IU69:JZ69" si="746">MIN(IT63,IU60-IU67-IU68)</f>
        <v>0</v>
      </c>
      <c r="IV69" s="209">
        <f t="shared" si="746"/>
        <v>0</v>
      </c>
      <c r="IW69" s="209">
        <f t="shared" si="746"/>
        <v>0</v>
      </c>
      <c r="IX69" s="209">
        <f t="shared" si="746"/>
        <v>0</v>
      </c>
      <c r="IY69" s="209">
        <f t="shared" si="746"/>
        <v>0</v>
      </c>
      <c r="IZ69" s="209">
        <f t="shared" si="746"/>
        <v>0</v>
      </c>
      <c r="JA69" s="209">
        <f t="shared" si="746"/>
        <v>0</v>
      </c>
      <c r="JB69" s="209">
        <f t="shared" si="746"/>
        <v>0</v>
      </c>
      <c r="JC69" s="209">
        <f t="shared" si="746"/>
        <v>0</v>
      </c>
      <c r="JD69" s="209">
        <f t="shared" si="746"/>
        <v>0</v>
      </c>
      <c r="JE69" s="209">
        <f t="shared" si="746"/>
        <v>0</v>
      </c>
      <c r="JF69" s="209">
        <f t="shared" si="746"/>
        <v>0</v>
      </c>
      <c r="JG69" s="209">
        <f t="shared" si="746"/>
        <v>0</v>
      </c>
      <c r="JH69" s="209">
        <f t="shared" si="746"/>
        <v>0</v>
      </c>
      <c r="JI69" s="209">
        <f t="shared" si="746"/>
        <v>0</v>
      </c>
      <c r="JJ69" s="209">
        <f t="shared" si="746"/>
        <v>0</v>
      </c>
      <c r="JK69" s="209">
        <f t="shared" si="746"/>
        <v>0</v>
      </c>
      <c r="JL69" s="209">
        <f t="shared" si="746"/>
        <v>0</v>
      </c>
      <c r="JM69" s="209">
        <f t="shared" si="746"/>
        <v>0</v>
      </c>
      <c r="JN69" s="209">
        <f t="shared" si="746"/>
        <v>0</v>
      </c>
      <c r="JO69" s="209">
        <f t="shared" si="746"/>
        <v>0</v>
      </c>
      <c r="JP69" s="209">
        <f t="shared" si="746"/>
        <v>0</v>
      </c>
      <c r="JQ69" s="209">
        <f t="shared" si="746"/>
        <v>0</v>
      </c>
      <c r="JR69" s="209">
        <f t="shared" si="746"/>
        <v>0</v>
      </c>
      <c r="JS69" s="209">
        <f t="shared" si="746"/>
        <v>0</v>
      </c>
      <c r="JT69" s="209">
        <f t="shared" si="746"/>
        <v>0</v>
      </c>
      <c r="JU69" s="209">
        <f t="shared" si="746"/>
        <v>0</v>
      </c>
      <c r="JV69" s="209">
        <f t="shared" si="746"/>
        <v>0</v>
      </c>
      <c r="JW69" s="209">
        <f t="shared" si="746"/>
        <v>0</v>
      </c>
      <c r="JX69" s="209">
        <f t="shared" si="746"/>
        <v>0</v>
      </c>
      <c r="JY69" s="209">
        <f t="shared" si="746"/>
        <v>0</v>
      </c>
      <c r="JZ69" s="209">
        <f t="shared" si="746"/>
        <v>0</v>
      </c>
      <c r="KA69" s="209">
        <f t="shared" ref="KA69:KE69" si="747">MIN(JZ63,KA60-KA67-KA68)</f>
        <v>0</v>
      </c>
      <c r="KB69" s="209">
        <f t="shared" si="747"/>
        <v>0</v>
      </c>
      <c r="KC69" s="209">
        <f t="shared" si="747"/>
        <v>0</v>
      </c>
      <c r="KD69" s="209">
        <f t="shared" si="747"/>
        <v>0</v>
      </c>
      <c r="KE69" s="209">
        <f t="shared" si="747"/>
        <v>0</v>
      </c>
      <c r="KM69" s="209"/>
      <c r="KN69" s="209"/>
      <c r="KO69" s="209"/>
      <c r="KP69" s="209"/>
      <c r="KQ69" s="209"/>
      <c r="KR69" s="209"/>
      <c r="KS69" s="209"/>
      <c r="KT69" s="209"/>
      <c r="KU69" s="209"/>
      <c r="KV69" s="209"/>
      <c r="KW69" s="209"/>
      <c r="KX69" s="209"/>
      <c r="KY69" s="209"/>
      <c r="KZ69" s="209"/>
      <c r="LA69" s="209"/>
      <c r="LB69" s="209"/>
      <c r="LC69" s="209"/>
      <c r="LD69" s="209"/>
      <c r="LE69" s="209"/>
      <c r="LF69" s="209"/>
      <c r="LG69" s="209"/>
      <c r="LH69" s="209"/>
      <c r="LI69" s="209"/>
      <c r="LJ69" s="209"/>
      <c r="LK69" s="209"/>
      <c r="LL69" s="209"/>
      <c r="LM69" s="209"/>
      <c r="LN69" s="209"/>
      <c r="LO69" s="209"/>
      <c r="LP69" s="209"/>
      <c r="LQ69" s="209"/>
      <c r="LR69" s="209"/>
      <c r="LS69" s="209"/>
      <c r="LT69" s="209"/>
      <c r="LU69" s="209"/>
      <c r="LV69" s="209"/>
      <c r="LW69" s="209"/>
      <c r="LX69" s="209"/>
      <c r="LY69" s="209"/>
      <c r="LZ69" s="209"/>
      <c r="MA69" s="209"/>
      <c r="MB69" s="209"/>
      <c r="MC69" s="209"/>
      <c r="MD69" s="209"/>
      <c r="ME69" s="209"/>
      <c r="MF69" s="209"/>
      <c r="MG69" s="209"/>
      <c r="MH69" s="209"/>
      <c r="MI69" s="209"/>
      <c r="MJ69" s="209"/>
      <c r="MK69" s="209"/>
      <c r="ML69" s="209"/>
      <c r="MM69" s="209"/>
      <c r="MN69" s="209"/>
      <c r="MO69" s="209"/>
      <c r="MP69" s="209"/>
      <c r="MQ69" s="209"/>
      <c r="MR69" s="209"/>
      <c r="MS69" s="209"/>
      <c r="MT69" s="209"/>
      <c r="MU69" s="209"/>
      <c r="MV69" s="209"/>
      <c r="MW69" s="209"/>
      <c r="MX69" s="209"/>
      <c r="MY69" s="209"/>
      <c r="MZ69" s="209"/>
      <c r="NA69" s="209"/>
      <c r="NB69" s="209"/>
      <c r="NC69" s="209"/>
      <c r="ND69" s="209"/>
      <c r="NE69" s="209"/>
      <c r="NF69" s="209"/>
      <c r="NG69" s="209"/>
      <c r="NH69" s="209"/>
      <c r="NI69" s="209"/>
      <c r="NJ69" s="209"/>
      <c r="NK69" s="209"/>
      <c r="NL69" s="209"/>
      <c r="NM69" s="209"/>
      <c r="NN69" s="209"/>
      <c r="NO69" s="209"/>
      <c r="NP69" s="209"/>
      <c r="NQ69" s="209"/>
      <c r="NR69" s="209"/>
      <c r="NS69" s="209"/>
      <c r="NT69" s="209"/>
      <c r="NU69" s="209"/>
      <c r="NV69" s="209"/>
      <c r="NW69" s="209"/>
      <c r="NX69" s="209"/>
      <c r="NY69" s="209"/>
      <c r="NZ69" s="209"/>
      <c r="OA69" s="209"/>
      <c r="OB69" s="209"/>
      <c r="OC69" s="209"/>
      <c r="OD69" s="209"/>
      <c r="OE69" s="209"/>
      <c r="OF69" s="209"/>
      <c r="OG69" s="209"/>
      <c r="OH69" s="209"/>
      <c r="OI69" s="209"/>
      <c r="OJ69" s="209"/>
      <c r="OK69" s="209"/>
      <c r="OL69" s="209"/>
      <c r="OM69" s="209"/>
      <c r="ON69" s="209"/>
      <c r="OO69" s="209"/>
      <c r="OP69" s="209"/>
      <c r="OQ69" s="209"/>
      <c r="OR69" s="209"/>
      <c r="OS69" s="209"/>
      <c r="OT69" s="209"/>
      <c r="OU69" s="209"/>
      <c r="OV69" s="209"/>
      <c r="OW69" s="209"/>
      <c r="OX69" s="209"/>
      <c r="OY69" s="209"/>
      <c r="OZ69" s="209"/>
      <c r="PA69" s="209"/>
      <c r="PB69" s="209"/>
      <c r="PC69" s="209"/>
      <c r="PD69" s="209"/>
      <c r="PE69" s="209"/>
      <c r="PF69" s="209"/>
      <c r="PG69" s="209"/>
      <c r="PH69" s="209"/>
      <c r="PI69" s="209"/>
      <c r="PJ69" s="209"/>
      <c r="PK69" s="209"/>
      <c r="PL69" s="209"/>
      <c r="PM69" s="209"/>
      <c r="PN69" s="209"/>
      <c r="PO69" s="209"/>
      <c r="PQ69" s="201"/>
      <c r="PR69" s="201"/>
      <c r="PS69" s="201"/>
      <c r="PT69" s="201"/>
      <c r="PU69" s="201"/>
      <c r="PV69" s="201"/>
      <c r="PW69" s="201"/>
      <c r="PX69" s="201"/>
      <c r="PY69" s="201"/>
      <c r="PZ69" s="201"/>
      <c r="QA69" s="201"/>
      <c r="QB69" s="201"/>
      <c r="QC69" s="201"/>
      <c r="QD69" s="201"/>
      <c r="QE69" s="201"/>
      <c r="QF69" s="201"/>
      <c r="QG69" s="201"/>
      <c r="QH69" s="201"/>
      <c r="QI69" s="201"/>
      <c r="QJ69" s="201"/>
      <c r="QK69" s="201"/>
      <c r="QL69" s="201"/>
      <c r="QM69" s="201"/>
      <c r="QN69" s="201"/>
      <c r="QO69" s="201"/>
      <c r="QP69" s="201"/>
      <c r="QQ69" s="201"/>
      <c r="QR69" s="201"/>
      <c r="QS69" s="201"/>
      <c r="QT69" s="201"/>
      <c r="QU69" s="201"/>
      <c r="QV69" s="201"/>
      <c r="QW69" s="201"/>
      <c r="QX69" s="201"/>
      <c r="QY69" s="201"/>
      <c r="QZ69" s="201"/>
      <c r="RA69" s="201"/>
      <c r="RB69" s="201"/>
      <c r="RC69" s="201"/>
      <c r="RD69" s="201"/>
      <c r="RE69" s="201"/>
      <c r="RF69" s="201"/>
      <c r="RG69" s="201"/>
      <c r="RH69" s="201"/>
      <c r="RI69" s="201"/>
      <c r="RJ69" s="201"/>
      <c r="RK69" s="201"/>
      <c r="RL69" s="201"/>
      <c r="RM69" s="201"/>
      <c r="RN69" s="201"/>
      <c r="RO69" s="201"/>
      <c r="RP69" s="201"/>
      <c r="RQ69" s="201"/>
      <c r="RR69" s="201"/>
      <c r="RS69" s="201"/>
      <c r="RT69" s="201"/>
      <c r="RU69" s="201"/>
      <c r="RV69" s="201"/>
      <c r="RW69" s="201"/>
      <c r="RX69" s="201"/>
      <c r="RY69" s="201"/>
      <c r="RZ69" s="201"/>
      <c r="SA69" s="201"/>
      <c r="SB69" s="201"/>
      <c r="SC69" s="201"/>
      <c r="SD69" s="201"/>
      <c r="SE69" s="201"/>
      <c r="SF69" s="201"/>
      <c r="SG69" s="201"/>
      <c r="SH69" s="201"/>
      <c r="SI69" s="201"/>
      <c r="SJ69" s="201"/>
      <c r="SK69" s="201"/>
      <c r="SL69" s="201"/>
      <c r="SM69" s="201"/>
      <c r="SN69" s="201"/>
      <c r="SO69" s="201"/>
      <c r="SP69" s="201"/>
      <c r="SQ69" s="201"/>
      <c r="SR69" s="201"/>
      <c r="SS69" s="201"/>
      <c r="ST69" s="201"/>
      <c r="SU69" s="201"/>
      <c r="SV69" s="201"/>
      <c r="SW69" s="201"/>
      <c r="SX69" s="201"/>
      <c r="SY69" s="201"/>
      <c r="SZ69" s="201"/>
      <c r="TA69" s="201"/>
      <c r="TB69" s="201"/>
      <c r="TC69" s="201"/>
      <c r="TD69" s="201"/>
      <c r="TE69" s="201"/>
      <c r="TF69" s="201"/>
      <c r="TG69" s="201"/>
      <c r="TH69" s="201"/>
      <c r="TI69" s="201"/>
      <c r="TJ69" s="201"/>
      <c r="TK69" s="201"/>
      <c r="TL69" s="201"/>
      <c r="TM69" s="201"/>
      <c r="TN69" s="201"/>
      <c r="TO69" s="201"/>
      <c r="TP69" s="201"/>
      <c r="TQ69" s="201"/>
      <c r="TR69" s="201"/>
      <c r="TS69" s="201"/>
      <c r="TT69" s="201"/>
      <c r="TU69" s="201"/>
      <c r="TV69" s="201"/>
      <c r="TW69" s="201"/>
      <c r="TX69" s="201"/>
      <c r="TY69" s="201"/>
      <c r="TZ69" s="201"/>
      <c r="UA69" s="201"/>
      <c r="UB69" s="201"/>
      <c r="UC69" s="201"/>
      <c r="UD69" s="201"/>
      <c r="UE69" s="201"/>
      <c r="UF69" s="201"/>
      <c r="UG69" s="201"/>
      <c r="UH69" s="201"/>
      <c r="UI69" s="201"/>
      <c r="UJ69" s="201"/>
      <c r="UK69" s="201"/>
      <c r="UL69" s="201"/>
      <c r="UM69" s="201"/>
      <c r="UN69" s="201"/>
      <c r="UO69" s="201"/>
      <c r="UP69" s="201"/>
      <c r="UQ69" s="201"/>
      <c r="UR69" s="201"/>
      <c r="US69" s="201"/>
      <c r="UT69" s="201"/>
      <c r="UU69" s="201"/>
    </row>
    <row r="70" spans="2:567" ht="5.0999999999999996" customHeight="1" x14ac:dyDescent="0.25">
      <c r="B70" s="18"/>
      <c r="C70" s="26"/>
      <c r="D70" s="26"/>
      <c r="E70" s="26"/>
      <c r="F70" s="26"/>
      <c r="G70" s="26"/>
      <c r="H70" s="26"/>
      <c r="I70" s="33"/>
      <c r="J70" s="26"/>
      <c r="K70" s="26"/>
      <c r="FA70" s="199">
        <v>4</v>
      </c>
      <c r="FC70" s="209">
        <f t="shared" ref="FC70:GH70" si="748">MIN(FB64,FC60-FC67-FC68-FC69)</f>
        <v>0</v>
      </c>
      <c r="FD70" s="209">
        <f t="shared" si="748"/>
        <v>0</v>
      </c>
      <c r="FE70" s="209">
        <f t="shared" si="748"/>
        <v>0</v>
      </c>
      <c r="FF70" s="209">
        <f t="shared" si="748"/>
        <v>0</v>
      </c>
      <c r="FG70" s="209">
        <f t="shared" si="748"/>
        <v>0</v>
      </c>
      <c r="FH70" s="209">
        <f t="shared" si="748"/>
        <v>0</v>
      </c>
      <c r="FI70" s="209">
        <f t="shared" si="748"/>
        <v>0</v>
      </c>
      <c r="FJ70" s="209">
        <f t="shared" si="748"/>
        <v>0</v>
      </c>
      <c r="FK70" s="209">
        <f t="shared" si="748"/>
        <v>0</v>
      </c>
      <c r="FL70" s="209">
        <f t="shared" si="748"/>
        <v>0</v>
      </c>
      <c r="FM70" s="209">
        <f t="shared" si="748"/>
        <v>0</v>
      </c>
      <c r="FN70" s="209">
        <f t="shared" si="748"/>
        <v>0</v>
      </c>
      <c r="FO70" s="209">
        <f t="shared" si="748"/>
        <v>0</v>
      </c>
      <c r="FP70" s="209">
        <f t="shared" si="748"/>
        <v>0</v>
      </c>
      <c r="FQ70" s="209">
        <f t="shared" si="748"/>
        <v>0</v>
      </c>
      <c r="FR70" s="209">
        <f t="shared" si="748"/>
        <v>0</v>
      </c>
      <c r="FS70" s="209">
        <f t="shared" si="748"/>
        <v>0</v>
      </c>
      <c r="FT70" s="209">
        <f t="shared" si="748"/>
        <v>0</v>
      </c>
      <c r="FU70" s="209">
        <f t="shared" si="748"/>
        <v>0</v>
      </c>
      <c r="FV70" s="209">
        <f t="shared" si="748"/>
        <v>0</v>
      </c>
      <c r="FW70" s="209">
        <f t="shared" si="748"/>
        <v>0</v>
      </c>
      <c r="FX70" s="209">
        <f t="shared" si="748"/>
        <v>0</v>
      </c>
      <c r="FY70" s="209">
        <f t="shared" si="748"/>
        <v>0</v>
      </c>
      <c r="FZ70" s="209">
        <f t="shared" si="748"/>
        <v>0</v>
      </c>
      <c r="GA70" s="209">
        <f t="shared" si="748"/>
        <v>0</v>
      </c>
      <c r="GB70" s="209">
        <f t="shared" si="748"/>
        <v>0</v>
      </c>
      <c r="GC70" s="209">
        <f t="shared" si="748"/>
        <v>0</v>
      </c>
      <c r="GD70" s="209">
        <f t="shared" si="748"/>
        <v>0</v>
      </c>
      <c r="GE70" s="209">
        <f t="shared" si="748"/>
        <v>0</v>
      </c>
      <c r="GF70" s="209">
        <f t="shared" si="748"/>
        <v>0</v>
      </c>
      <c r="GG70" s="209">
        <f t="shared" si="748"/>
        <v>0</v>
      </c>
      <c r="GH70" s="209">
        <f t="shared" si="748"/>
        <v>0</v>
      </c>
      <c r="GI70" s="209">
        <f t="shared" ref="GI70:HN70" si="749">MIN(GH64,GI60-GI67-GI68-GI69)</f>
        <v>0</v>
      </c>
      <c r="GJ70" s="209">
        <f t="shared" si="749"/>
        <v>0</v>
      </c>
      <c r="GK70" s="209">
        <f t="shared" si="749"/>
        <v>0</v>
      </c>
      <c r="GL70" s="209">
        <f t="shared" si="749"/>
        <v>0</v>
      </c>
      <c r="GM70" s="209">
        <f t="shared" si="749"/>
        <v>0</v>
      </c>
      <c r="GN70" s="209">
        <f t="shared" si="749"/>
        <v>0</v>
      </c>
      <c r="GO70" s="209">
        <f t="shared" si="749"/>
        <v>0</v>
      </c>
      <c r="GP70" s="209">
        <f t="shared" si="749"/>
        <v>0</v>
      </c>
      <c r="GQ70" s="209">
        <f t="shared" si="749"/>
        <v>0</v>
      </c>
      <c r="GR70" s="209">
        <f t="shared" si="749"/>
        <v>0</v>
      </c>
      <c r="GS70" s="209">
        <f t="shared" si="749"/>
        <v>0</v>
      </c>
      <c r="GT70" s="209">
        <f t="shared" si="749"/>
        <v>0</v>
      </c>
      <c r="GU70" s="209">
        <f t="shared" si="749"/>
        <v>0</v>
      </c>
      <c r="GV70" s="209">
        <f t="shared" si="749"/>
        <v>0</v>
      </c>
      <c r="GW70" s="209">
        <f t="shared" si="749"/>
        <v>0</v>
      </c>
      <c r="GX70" s="209">
        <f t="shared" si="749"/>
        <v>0</v>
      </c>
      <c r="GY70" s="209">
        <f t="shared" si="749"/>
        <v>0</v>
      </c>
      <c r="GZ70" s="209">
        <f t="shared" si="749"/>
        <v>0</v>
      </c>
      <c r="HA70" s="209">
        <f t="shared" si="749"/>
        <v>0</v>
      </c>
      <c r="HB70" s="209">
        <f t="shared" si="749"/>
        <v>0</v>
      </c>
      <c r="HC70" s="209">
        <f t="shared" si="749"/>
        <v>0</v>
      </c>
      <c r="HD70" s="209">
        <f t="shared" si="749"/>
        <v>0</v>
      </c>
      <c r="HE70" s="209">
        <f t="shared" si="749"/>
        <v>0</v>
      </c>
      <c r="HF70" s="209">
        <f t="shared" si="749"/>
        <v>0</v>
      </c>
      <c r="HG70" s="209">
        <f t="shared" si="749"/>
        <v>0</v>
      </c>
      <c r="HH70" s="209">
        <f t="shared" si="749"/>
        <v>0</v>
      </c>
      <c r="HI70" s="209">
        <f t="shared" si="749"/>
        <v>0</v>
      </c>
      <c r="HJ70" s="209">
        <f t="shared" si="749"/>
        <v>0</v>
      </c>
      <c r="HK70" s="209">
        <f t="shared" si="749"/>
        <v>0</v>
      </c>
      <c r="HL70" s="209">
        <f t="shared" si="749"/>
        <v>0</v>
      </c>
      <c r="HM70" s="209">
        <f t="shared" si="749"/>
        <v>0</v>
      </c>
      <c r="HN70" s="209">
        <f t="shared" si="749"/>
        <v>0</v>
      </c>
      <c r="HO70" s="209">
        <f t="shared" ref="HO70:IT70" si="750">MIN(HN64,HO60-HO67-HO68-HO69)</f>
        <v>0</v>
      </c>
      <c r="HP70" s="209">
        <f t="shared" si="750"/>
        <v>0</v>
      </c>
      <c r="HQ70" s="209">
        <f t="shared" si="750"/>
        <v>0</v>
      </c>
      <c r="HR70" s="209">
        <f t="shared" si="750"/>
        <v>0</v>
      </c>
      <c r="HS70" s="209">
        <f t="shared" si="750"/>
        <v>0</v>
      </c>
      <c r="HT70" s="209">
        <f t="shared" si="750"/>
        <v>0</v>
      </c>
      <c r="HU70" s="209">
        <f t="shared" si="750"/>
        <v>0</v>
      </c>
      <c r="HV70" s="209">
        <f t="shared" si="750"/>
        <v>0</v>
      </c>
      <c r="HW70" s="209">
        <f t="shared" si="750"/>
        <v>0</v>
      </c>
      <c r="HX70" s="209">
        <f t="shared" si="750"/>
        <v>0</v>
      </c>
      <c r="HY70" s="209">
        <f t="shared" si="750"/>
        <v>0</v>
      </c>
      <c r="HZ70" s="209">
        <f t="shared" si="750"/>
        <v>0</v>
      </c>
      <c r="IA70" s="209">
        <f t="shared" si="750"/>
        <v>0</v>
      </c>
      <c r="IB70" s="209">
        <f t="shared" si="750"/>
        <v>0</v>
      </c>
      <c r="IC70" s="209">
        <f t="shared" si="750"/>
        <v>0</v>
      </c>
      <c r="ID70" s="209">
        <f t="shared" si="750"/>
        <v>0</v>
      </c>
      <c r="IE70" s="209">
        <f t="shared" si="750"/>
        <v>0</v>
      </c>
      <c r="IF70" s="209">
        <f t="shared" si="750"/>
        <v>0</v>
      </c>
      <c r="IG70" s="209">
        <f t="shared" si="750"/>
        <v>0</v>
      </c>
      <c r="IH70" s="209">
        <f t="shared" si="750"/>
        <v>0</v>
      </c>
      <c r="II70" s="209">
        <f t="shared" si="750"/>
        <v>0</v>
      </c>
      <c r="IJ70" s="209">
        <f t="shared" si="750"/>
        <v>0</v>
      </c>
      <c r="IK70" s="209">
        <f t="shared" si="750"/>
        <v>0</v>
      </c>
      <c r="IL70" s="209">
        <f t="shared" si="750"/>
        <v>0</v>
      </c>
      <c r="IM70" s="209">
        <f t="shared" si="750"/>
        <v>0</v>
      </c>
      <c r="IN70" s="209">
        <f t="shared" si="750"/>
        <v>0</v>
      </c>
      <c r="IO70" s="209">
        <f t="shared" si="750"/>
        <v>0</v>
      </c>
      <c r="IP70" s="209">
        <f t="shared" si="750"/>
        <v>0</v>
      </c>
      <c r="IQ70" s="209">
        <f t="shared" si="750"/>
        <v>0</v>
      </c>
      <c r="IR70" s="209">
        <f t="shared" si="750"/>
        <v>0</v>
      </c>
      <c r="IS70" s="209">
        <f t="shared" si="750"/>
        <v>0</v>
      </c>
      <c r="IT70" s="209">
        <f t="shared" si="750"/>
        <v>0</v>
      </c>
      <c r="IU70" s="209">
        <f t="shared" ref="IU70:JZ70" si="751">MIN(IT64,IU60-IU67-IU68-IU69)</f>
        <v>0</v>
      </c>
      <c r="IV70" s="209">
        <f t="shared" si="751"/>
        <v>0</v>
      </c>
      <c r="IW70" s="209">
        <f t="shared" si="751"/>
        <v>0</v>
      </c>
      <c r="IX70" s="209">
        <f t="shared" si="751"/>
        <v>0</v>
      </c>
      <c r="IY70" s="209">
        <f t="shared" si="751"/>
        <v>0</v>
      </c>
      <c r="IZ70" s="209">
        <f t="shared" si="751"/>
        <v>0</v>
      </c>
      <c r="JA70" s="209">
        <f t="shared" si="751"/>
        <v>0</v>
      </c>
      <c r="JB70" s="209">
        <f t="shared" si="751"/>
        <v>0</v>
      </c>
      <c r="JC70" s="209">
        <f t="shared" si="751"/>
        <v>0</v>
      </c>
      <c r="JD70" s="209">
        <f t="shared" si="751"/>
        <v>0</v>
      </c>
      <c r="JE70" s="209">
        <f t="shared" si="751"/>
        <v>0</v>
      </c>
      <c r="JF70" s="209">
        <f t="shared" si="751"/>
        <v>0</v>
      </c>
      <c r="JG70" s="209">
        <f t="shared" si="751"/>
        <v>0</v>
      </c>
      <c r="JH70" s="209">
        <f t="shared" si="751"/>
        <v>0</v>
      </c>
      <c r="JI70" s="209">
        <f t="shared" si="751"/>
        <v>0</v>
      </c>
      <c r="JJ70" s="209">
        <f t="shared" si="751"/>
        <v>0</v>
      </c>
      <c r="JK70" s="209">
        <f t="shared" si="751"/>
        <v>0</v>
      </c>
      <c r="JL70" s="209">
        <f t="shared" si="751"/>
        <v>0</v>
      </c>
      <c r="JM70" s="209">
        <f t="shared" si="751"/>
        <v>0</v>
      </c>
      <c r="JN70" s="209">
        <f t="shared" si="751"/>
        <v>0</v>
      </c>
      <c r="JO70" s="209">
        <f t="shared" si="751"/>
        <v>0</v>
      </c>
      <c r="JP70" s="209">
        <f t="shared" si="751"/>
        <v>0</v>
      </c>
      <c r="JQ70" s="209">
        <f t="shared" si="751"/>
        <v>0</v>
      </c>
      <c r="JR70" s="209">
        <f t="shared" si="751"/>
        <v>0</v>
      </c>
      <c r="JS70" s="209">
        <f t="shared" si="751"/>
        <v>0</v>
      </c>
      <c r="JT70" s="209">
        <f t="shared" si="751"/>
        <v>0</v>
      </c>
      <c r="JU70" s="209">
        <f t="shared" si="751"/>
        <v>0</v>
      </c>
      <c r="JV70" s="209">
        <f t="shared" si="751"/>
        <v>0</v>
      </c>
      <c r="JW70" s="209">
        <f t="shared" si="751"/>
        <v>0</v>
      </c>
      <c r="JX70" s="209">
        <f t="shared" si="751"/>
        <v>0</v>
      </c>
      <c r="JY70" s="209">
        <f t="shared" si="751"/>
        <v>0</v>
      </c>
      <c r="JZ70" s="209">
        <f t="shared" si="751"/>
        <v>0</v>
      </c>
      <c r="KA70" s="209">
        <f t="shared" ref="KA70:KE70" si="752">MIN(JZ64,KA60-KA67-KA68-KA69)</f>
        <v>0</v>
      </c>
      <c r="KB70" s="209">
        <f t="shared" si="752"/>
        <v>0</v>
      </c>
      <c r="KC70" s="209">
        <f t="shared" si="752"/>
        <v>0</v>
      </c>
      <c r="KD70" s="209">
        <f t="shared" si="752"/>
        <v>0</v>
      </c>
      <c r="KE70" s="209">
        <f t="shared" si="752"/>
        <v>0</v>
      </c>
      <c r="KM70" s="209"/>
      <c r="KN70" s="209"/>
      <c r="KO70" s="209"/>
      <c r="KP70" s="209"/>
      <c r="KQ70" s="209"/>
      <c r="KR70" s="209"/>
      <c r="KS70" s="209"/>
      <c r="KT70" s="209"/>
      <c r="KU70" s="209"/>
      <c r="KV70" s="209"/>
      <c r="KW70" s="209"/>
      <c r="KX70" s="209"/>
      <c r="KY70" s="209"/>
      <c r="KZ70" s="209"/>
      <c r="LA70" s="209"/>
      <c r="LB70" s="209"/>
      <c r="LC70" s="209"/>
      <c r="LD70" s="209"/>
      <c r="LE70" s="209"/>
      <c r="LF70" s="209"/>
      <c r="LG70" s="209"/>
      <c r="LH70" s="209"/>
      <c r="LI70" s="209"/>
      <c r="LJ70" s="209"/>
      <c r="LK70" s="209"/>
      <c r="LL70" s="209"/>
      <c r="LM70" s="209"/>
      <c r="LN70" s="209"/>
      <c r="LO70" s="209"/>
      <c r="LP70" s="209"/>
      <c r="LQ70" s="209"/>
      <c r="LR70" s="209"/>
      <c r="LS70" s="209"/>
      <c r="LT70" s="209"/>
      <c r="LU70" s="209"/>
      <c r="LV70" s="209"/>
      <c r="LW70" s="209"/>
      <c r="LX70" s="209"/>
      <c r="LY70" s="209"/>
      <c r="LZ70" s="209"/>
      <c r="MA70" s="209"/>
      <c r="MB70" s="209"/>
      <c r="MC70" s="209"/>
      <c r="MD70" s="209"/>
      <c r="ME70" s="209"/>
      <c r="MF70" s="209"/>
      <c r="MG70" s="209"/>
      <c r="MH70" s="209"/>
      <c r="MI70" s="209"/>
      <c r="MJ70" s="209"/>
      <c r="MK70" s="209"/>
      <c r="ML70" s="209"/>
      <c r="MM70" s="209"/>
      <c r="MN70" s="209"/>
      <c r="MO70" s="209"/>
      <c r="MP70" s="209"/>
      <c r="MQ70" s="209"/>
      <c r="MR70" s="209"/>
      <c r="MS70" s="209"/>
      <c r="MT70" s="209"/>
      <c r="MU70" s="209"/>
      <c r="MV70" s="209"/>
      <c r="MW70" s="209"/>
      <c r="MX70" s="209"/>
      <c r="MY70" s="209"/>
      <c r="MZ70" s="209"/>
      <c r="NA70" s="209"/>
      <c r="NB70" s="209"/>
      <c r="NC70" s="209"/>
      <c r="ND70" s="209"/>
      <c r="NE70" s="209"/>
      <c r="NF70" s="209"/>
      <c r="NG70" s="209"/>
      <c r="NH70" s="209"/>
      <c r="NI70" s="209"/>
      <c r="NJ70" s="209"/>
      <c r="NK70" s="209"/>
      <c r="NL70" s="209"/>
      <c r="NM70" s="209"/>
      <c r="NN70" s="209"/>
      <c r="NO70" s="209"/>
      <c r="NP70" s="209"/>
      <c r="NQ70" s="209"/>
      <c r="NR70" s="209"/>
      <c r="NS70" s="209"/>
      <c r="NT70" s="209"/>
      <c r="NU70" s="209"/>
      <c r="NV70" s="209"/>
      <c r="NW70" s="209"/>
      <c r="NX70" s="209"/>
      <c r="NY70" s="209"/>
      <c r="NZ70" s="209"/>
      <c r="OA70" s="209"/>
      <c r="OB70" s="209"/>
      <c r="OC70" s="209"/>
      <c r="OD70" s="209"/>
      <c r="OE70" s="209"/>
      <c r="OF70" s="209"/>
      <c r="OG70" s="209"/>
      <c r="OH70" s="209"/>
      <c r="OI70" s="209"/>
      <c r="OJ70" s="209"/>
      <c r="OK70" s="209"/>
      <c r="OL70" s="209"/>
      <c r="OM70" s="209"/>
      <c r="ON70" s="209"/>
      <c r="OO70" s="209"/>
      <c r="OP70" s="209"/>
      <c r="OQ70" s="209"/>
      <c r="OR70" s="209"/>
      <c r="OS70" s="209"/>
      <c r="OT70" s="209"/>
      <c r="OU70" s="209"/>
      <c r="OV70" s="209"/>
      <c r="OW70" s="209"/>
      <c r="OX70" s="209"/>
      <c r="OY70" s="209"/>
      <c r="OZ70" s="209"/>
      <c r="PA70" s="209"/>
      <c r="PB70" s="209"/>
      <c r="PC70" s="209"/>
      <c r="PD70" s="209"/>
      <c r="PE70" s="209"/>
      <c r="PF70" s="209"/>
      <c r="PG70" s="209"/>
      <c r="PH70" s="209"/>
      <c r="PI70" s="209"/>
      <c r="PJ70" s="209"/>
      <c r="PK70" s="209"/>
      <c r="PL70" s="209"/>
      <c r="PM70" s="209"/>
      <c r="PN70" s="209"/>
      <c r="PO70" s="209"/>
      <c r="PQ70" s="201"/>
      <c r="PR70" s="201"/>
      <c r="PS70" s="201"/>
      <c r="PT70" s="201"/>
      <c r="PU70" s="201"/>
      <c r="PV70" s="201"/>
      <c r="PW70" s="201"/>
      <c r="PX70" s="201"/>
      <c r="PY70" s="201"/>
      <c r="PZ70" s="201"/>
      <c r="QA70" s="201"/>
      <c r="QB70" s="201"/>
      <c r="QC70" s="201"/>
      <c r="QD70" s="201"/>
      <c r="QE70" s="201"/>
      <c r="QF70" s="201"/>
      <c r="QG70" s="201"/>
      <c r="QH70" s="201"/>
      <c r="QI70" s="201"/>
      <c r="QJ70" s="201"/>
      <c r="QK70" s="201"/>
      <c r="QL70" s="201"/>
      <c r="QM70" s="201"/>
      <c r="QN70" s="201"/>
      <c r="QO70" s="201"/>
      <c r="QP70" s="201"/>
      <c r="QQ70" s="201"/>
      <c r="QR70" s="201"/>
      <c r="QS70" s="201"/>
      <c r="QT70" s="201"/>
      <c r="QU70" s="201"/>
      <c r="QV70" s="201"/>
      <c r="QW70" s="201"/>
      <c r="QX70" s="201"/>
      <c r="QY70" s="201"/>
      <c r="QZ70" s="201"/>
      <c r="RA70" s="201"/>
      <c r="RB70" s="201"/>
      <c r="RC70" s="201"/>
      <c r="RD70" s="201"/>
      <c r="RE70" s="201"/>
      <c r="RF70" s="201"/>
      <c r="RG70" s="201"/>
      <c r="RH70" s="201"/>
      <c r="RI70" s="201"/>
      <c r="RJ70" s="201"/>
      <c r="RK70" s="201"/>
      <c r="RL70" s="201"/>
      <c r="RM70" s="201"/>
      <c r="RN70" s="201"/>
      <c r="RO70" s="201"/>
      <c r="RP70" s="201"/>
      <c r="RQ70" s="201"/>
      <c r="RR70" s="201"/>
      <c r="RS70" s="201"/>
      <c r="RT70" s="201"/>
      <c r="RU70" s="201"/>
      <c r="RV70" s="201"/>
      <c r="RW70" s="201"/>
      <c r="RX70" s="201"/>
      <c r="RY70" s="201"/>
      <c r="RZ70" s="201"/>
      <c r="SA70" s="201"/>
      <c r="SB70" s="201"/>
      <c r="SC70" s="201"/>
      <c r="SD70" s="201"/>
      <c r="SE70" s="201"/>
      <c r="SF70" s="201"/>
      <c r="SG70" s="201"/>
      <c r="SH70" s="201"/>
      <c r="SI70" s="201"/>
      <c r="SJ70" s="201"/>
      <c r="SK70" s="201"/>
      <c r="SL70" s="201"/>
      <c r="SM70" s="201"/>
      <c r="SN70" s="201"/>
      <c r="SO70" s="201"/>
      <c r="SP70" s="201"/>
      <c r="SQ70" s="201"/>
      <c r="SR70" s="201"/>
      <c r="SS70" s="201"/>
      <c r="ST70" s="201"/>
      <c r="SU70" s="201"/>
      <c r="SV70" s="201"/>
      <c r="SW70" s="201"/>
      <c r="SX70" s="201"/>
      <c r="SY70" s="201"/>
      <c r="SZ70" s="201"/>
      <c r="TA70" s="201"/>
      <c r="TB70" s="201"/>
      <c r="TC70" s="201"/>
      <c r="TD70" s="201"/>
      <c r="TE70" s="201"/>
      <c r="TF70" s="201"/>
      <c r="TG70" s="201"/>
      <c r="TH70" s="201"/>
      <c r="TI70" s="201"/>
      <c r="TJ70" s="201"/>
      <c r="TK70" s="201"/>
      <c r="TL70" s="201"/>
      <c r="TM70" s="201"/>
      <c r="TN70" s="201"/>
      <c r="TO70" s="201"/>
      <c r="TP70" s="201"/>
      <c r="TQ70" s="201"/>
      <c r="TR70" s="201"/>
      <c r="TS70" s="201"/>
      <c r="TT70" s="201"/>
      <c r="TU70" s="201"/>
      <c r="TV70" s="201"/>
      <c r="TW70" s="201"/>
      <c r="TX70" s="201"/>
      <c r="TY70" s="201"/>
      <c r="TZ70" s="201"/>
      <c r="UA70" s="201"/>
      <c r="UB70" s="201"/>
      <c r="UC70" s="201"/>
      <c r="UD70" s="201"/>
      <c r="UE70" s="201"/>
      <c r="UF70" s="201"/>
      <c r="UG70" s="201"/>
      <c r="UH70" s="201"/>
      <c r="UI70" s="201"/>
      <c r="UJ70" s="201"/>
      <c r="UK70" s="201"/>
      <c r="UL70" s="201"/>
      <c r="UM70" s="201"/>
      <c r="UN70" s="201"/>
      <c r="UO70" s="201"/>
      <c r="UP70" s="201"/>
      <c r="UQ70" s="201"/>
      <c r="UR70" s="201"/>
      <c r="US70" s="201"/>
      <c r="UT70" s="201"/>
      <c r="UU70" s="201"/>
    </row>
    <row r="71" spans="2:567" x14ac:dyDescent="0.25">
      <c r="B71" s="70" t="str">
        <f ca="1">IF(E64=K64,"Total Sources","Total Sources (before Operating Shortfall)")</f>
        <v>Total Sources (before Operating Shortfall)</v>
      </c>
      <c r="C71" s="71"/>
      <c r="D71" s="71"/>
      <c r="E71" s="71"/>
      <c r="F71" s="71"/>
      <c r="G71" s="71"/>
      <c r="H71" s="72"/>
      <c r="I71" s="73">
        <f>I69+I63</f>
        <v>268.82848611111115</v>
      </c>
      <c r="J71" s="74">
        <f>J69+J63</f>
        <v>225815.92833333334</v>
      </c>
      <c r="K71" s="75">
        <f>K69+K64</f>
        <v>69127325</v>
      </c>
      <c r="R71" s="90" t="str">
        <f>IF(ROUND(SUM(S71:EU71),0)=ROUND(K71,0),"OK","ERROR")</f>
        <v>OK</v>
      </c>
      <c r="S71" s="95">
        <f>+S69+S64</f>
        <v>63992023.958333336</v>
      </c>
      <c r="T71" s="95">
        <f t="shared" ref="T71:CE71" si="753">+T69+T64</f>
        <v>223273.95833333331</v>
      </c>
      <c r="U71" s="95">
        <f t="shared" si="753"/>
        <v>223273.95833333331</v>
      </c>
      <c r="V71" s="95">
        <f t="shared" si="753"/>
        <v>223273.9583333332</v>
      </c>
      <c r="W71" s="95">
        <f t="shared" si="753"/>
        <v>223273.9583333334</v>
      </c>
      <c r="X71" s="95">
        <f t="shared" si="753"/>
        <v>223273.9583333332</v>
      </c>
      <c r="Y71" s="95">
        <f t="shared" si="753"/>
        <v>223273.9583333334</v>
      </c>
      <c r="Z71" s="95">
        <f t="shared" si="753"/>
        <v>223273.95833333308</v>
      </c>
      <c r="AA71" s="95">
        <f t="shared" si="753"/>
        <v>223273.9583333334</v>
      </c>
      <c r="AB71" s="95">
        <f t="shared" si="753"/>
        <v>223273.9583333334</v>
      </c>
      <c r="AC71" s="95">
        <f t="shared" si="753"/>
        <v>223273.95833333308</v>
      </c>
      <c r="AD71" s="95">
        <f t="shared" si="753"/>
        <v>223273.9583333334</v>
      </c>
      <c r="AE71" s="95">
        <f t="shared" si="753"/>
        <v>223273.95833333308</v>
      </c>
      <c r="AF71" s="95">
        <f t="shared" si="753"/>
        <v>223273.95833333363</v>
      </c>
      <c r="AG71" s="95">
        <f t="shared" si="753"/>
        <v>223273.95833333308</v>
      </c>
      <c r="AH71" s="95">
        <f t="shared" si="753"/>
        <v>223273.95833333308</v>
      </c>
      <c r="AI71" s="95">
        <f t="shared" si="753"/>
        <v>223273.95833333363</v>
      </c>
      <c r="AJ71" s="95">
        <f t="shared" si="753"/>
        <v>223273.95833333308</v>
      </c>
      <c r="AK71" s="95">
        <f t="shared" si="753"/>
        <v>223273.95833333308</v>
      </c>
      <c r="AL71" s="95">
        <f t="shared" si="753"/>
        <v>223273.95833333363</v>
      </c>
      <c r="AM71" s="95">
        <f t="shared" si="753"/>
        <v>223273.95833333308</v>
      </c>
      <c r="AN71" s="95">
        <f t="shared" si="753"/>
        <v>223273.95833333308</v>
      </c>
      <c r="AO71" s="95">
        <f t="shared" si="753"/>
        <v>223273.95833333363</v>
      </c>
      <c r="AP71" s="95">
        <f t="shared" si="753"/>
        <v>223273.95833333308</v>
      </c>
      <c r="AQ71" s="95">
        <f t="shared" si="753"/>
        <v>0</v>
      </c>
      <c r="AR71" s="95">
        <f t="shared" si="753"/>
        <v>0</v>
      </c>
      <c r="AS71" s="95">
        <f t="shared" si="753"/>
        <v>0</v>
      </c>
      <c r="AT71" s="95">
        <f t="shared" si="753"/>
        <v>0</v>
      </c>
      <c r="AU71" s="95">
        <f t="shared" si="753"/>
        <v>0</v>
      </c>
      <c r="AV71" s="95">
        <f t="shared" si="753"/>
        <v>0</v>
      </c>
      <c r="AW71" s="95">
        <f t="shared" si="753"/>
        <v>0</v>
      </c>
      <c r="AX71" s="95">
        <f t="shared" si="753"/>
        <v>0</v>
      </c>
      <c r="AY71" s="95">
        <f t="shared" si="753"/>
        <v>0</v>
      </c>
      <c r="AZ71" s="95">
        <f t="shared" si="753"/>
        <v>0</v>
      </c>
      <c r="BA71" s="95">
        <f t="shared" si="753"/>
        <v>0</v>
      </c>
      <c r="BB71" s="95">
        <f t="shared" si="753"/>
        <v>0</v>
      </c>
      <c r="BC71" s="95">
        <f t="shared" si="753"/>
        <v>0</v>
      </c>
      <c r="BD71" s="95">
        <f t="shared" si="753"/>
        <v>0</v>
      </c>
      <c r="BE71" s="95">
        <f t="shared" si="753"/>
        <v>0</v>
      </c>
      <c r="BF71" s="95">
        <f t="shared" si="753"/>
        <v>0</v>
      </c>
      <c r="BG71" s="95">
        <f t="shared" si="753"/>
        <v>0</v>
      </c>
      <c r="BH71" s="95">
        <f t="shared" si="753"/>
        <v>0</v>
      </c>
      <c r="BI71" s="95">
        <f t="shared" si="753"/>
        <v>0</v>
      </c>
      <c r="BJ71" s="95">
        <f t="shared" si="753"/>
        <v>0</v>
      </c>
      <c r="BK71" s="95">
        <f t="shared" si="753"/>
        <v>0</v>
      </c>
      <c r="BL71" s="95">
        <f t="shared" si="753"/>
        <v>0</v>
      </c>
      <c r="BM71" s="95">
        <f t="shared" si="753"/>
        <v>0</v>
      </c>
      <c r="BN71" s="95">
        <f t="shared" si="753"/>
        <v>0</v>
      </c>
      <c r="BO71" s="95">
        <f t="shared" si="753"/>
        <v>0</v>
      </c>
      <c r="BP71" s="95">
        <f t="shared" si="753"/>
        <v>0</v>
      </c>
      <c r="BQ71" s="95">
        <f t="shared" si="753"/>
        <v>0</v>
      </c>
      <c r="BR71" s="95">
        <f t="shared" si="753"/>
        <v>0</v>
      </c>
      <c r="BS71" s="95">
        <f t="shared" si="753"/>
        <v>0</v>
      </c>
      <c r="BT71" s="95">
        <f t="shared" si="753"/>
        <v>0</v>
      </c>
      <c r="BU71" s="95">
        <f t="shared" si="753"/>
        <v>0</v>
      </c>
      <c r="BV71" s="95">
        <f t="shared" si="753"/>
        <v>0</v>
      </c>
      <c r="BW71" s="95">
        <f t="shared" si="753"/>
        <v>0</v>
      </c>
      <c r="BX71" s="95">
        <f t="shared" si="753"/>
        <v>0</v>
      </c>
      <c r="BY71" s="95">
        <f t="shared" si="753"/>
        <v>0</v>
      </c>
      <c r="BZ71" s="95">
        <f t="shared" si="753"/>
        <v>0</v>
      </c>
      <c r="CA71" s="95">
        <f t="shared" si="753"/>
        <v>0</v>
      </c>
      <c r="CB71" s="95">
        <f t="shared" si="753"/>
        <v>0</v>
      </c>
      <c r="CC71" s="95">
        <f t="shared" si="753"/>
        <v>0</v>
      </c>
      <c r="CD71" s="95">
        <f t="shared" si="753"/>
        <v>0</v>
      </c>
      <c r="CE71" s="95">
        <f t="shared" si="753"/>
        <v>0</v>
      </c>
      <c r="CF71" s="95">
        <f t="shared" ref="CF71:EQ71" si="754">+CF69+CF64</f>
        <v>0</v>
      </c>
      <c r="CG71" s="95">
        <f t="shared" si="754"/>
        <v>0</v>
      </c>
      <c r="CH71" s="95">
        <f t="shared" si="754"/>
        <v>0</v>
      </c>
      <c r="CI71" s="95">
        <f t="shared" si="754"/>
        <v>0</v>
      </c>
      <c r="CJ71" s="95">
        <f t="shared" si="754"/>
        <v>0</v>
      </c>
      <c r="CK71" s="95">
        <f t="shared" si="754"/>
        <v>0</v>
      </c>
      <c r="CL71" s="95">
        <f t="shared" si="754"/>
        <v>0</v>
      </c>
      <c r="CM71" s="95">
        <f t="shared" si="754"/>
        <v>0</v>
      </c>
      <c r="CN71" s="95">
        <f t="shared" si="754"/>
        <v>0</v>
      </c>
      <c r="CO71" s="95">
        <f t="shared" si="754"/>
        <v>0</v>
      </c>
      <c r="CP71" s="95">
        <f t="shared" si="754"/>
        <v>0</v>
      </c>
      <c r="CQ71" s="95">
        <f t="shared" si="754"/>
        <v>0</v>
      </c>
      <c r="CR71" s="95">
        <f t="shared" si="754"/>
        <v>0</v>
      </c>
      <c r="CS71" s="95">
        <f t="shared" si="754"/>
        <v>0</v>
      </c>
      <c r="CT71" s="95">
        <f t="shared" si="754"/>
        <v>0</v>
      </c>
      <c r="CU71" s="95">
        <f t="shared" si="754"/>
        <v>0</v>
      </c>
      <c r="CV71" s="95">
        <f t="shared" si="754"/>
        <v>0</v>
      </c>
      <c r="CW71" s="95">
        <f t="shared" si="754"/>
        <v>0</v>
      </c>
      <c r="CX71" s="95">
        <f t="shared" si="754"/>
        <v>0</v>
      </c>
      <c r="CY71" s="95">
        <f t="shared" si="754"/>
        <v>0</v>
      </c>
      <c r="CZ71" s="95">
        <f t="shared" si="754"/>
        <v>0</v>
      </c>
      <c r="DA71" s="95">
        <f t="shared" si="754"/>
        <v>0</v>
      </c>
      <c r="DB71" s="95">
        <f t="shared" si="754"/>
        <v>0</v>
      </c>
      <c r="DC71" s="95">
        <f t="shared" si="754"/>
        <v>0</v>
      </c>
      <c r="DD71" s="95">
        <f t="shared" si="754"/>
        <v>0</v>
      </c>
      <c r="DE71" s="95">
        <f t="shared" si="754"/>
        <v>0</v>
      </c>
      <c r="DF71" s="95">
        <f t="shared" si="754"/>
        <v>0</v>
      </c>
      <c r="DG71" s="95">
        <f t="shared" si="754"/>
        <v>0</v>
      </c>
      <c r="DH71" s="95">
        <f t="shared" si="754"/>
        <v>0</v>
      </c>
      <c r="DI71" s="95">
        <f t="shared" si="754"/>
        <v>0</v>
      </c>
      <c r="DJ71" s="95">
        <f t="shared" si="754"/>
        <v>0</v>
      </c>
      <c r="DK71" s="95">
        <f t="shared" si="754"/>
        <v>0</v>
      </c>
      <c r="DL71" s="95">
        <f t="shared" si="754"/>
        <v>0</v>
      </c>
      <c r="DM71" s="95">
        <f t="shared" si="754"/>
        <v>0</v>
      </c>
      <c r="DN71" s="95">
        <f t="shared" si="754"/>
        <v>0</v>
      </c>
      <c r="DO71" s="95">
        <f t="shared" si="754"/>
        <v>0</v>
      </c>
      <c r="DP71" s="95">
        <f t="shared" si="754"/>
        <v>0</v>
      </c>
      <c r="DQ71" s="95">
        <f t="shared" si="754"/>
        <v>0</v>
      </c>
      <c r="DR71" s="95">
        <f t="shared" si="754"/>
        <v>0</v>
      </c>
      <c r="DS71" s="95">
        <f t="shared" si="754"/>
        <v>0</v>
      </c>
      <c r="DT71" s="95">
        <f t="shared" si="754"/>
        <v>0</v>
      </c>
      <c r="DU71" s="95">
        <f t="shared" si="754"/>
        <v>0</v>
      </c>
      <c r="DV71" s="95">
        <f t="shared" si="754"/>
        <v>0</v>
      </c>
      <c r="DW71" s="95">
        <f t="shared" si="754"/>
        <v>0</v>
      </c>
      <c r="DX71" s="95">
        <f t="shared" si="754"/>
        <v>0</v>
      </c>
      <c r="DY71" s="95">
        <f t="shared" si="754"/>
        <v>0</v>
      </c>
      <c r="DZ71" s="95">
        <f t="shared" si="754"/>
        <v>0</v>
      </c>
      <c r="EA71" s="95">
        <f t="shared" si="754"/>
        <v>0</v>
      </c>
      <c r="EB71" s="95">
        <f t="shared" si="754"/>
        <v>0</v>
      </c>
      <c r="EC71" s="95">
        <f t="shared" si="754"/>
        <v>0</v>
      </c>
      <c r="ED71" s="95">
        <f t="shared" si="754"/>
        <v>0</v>
      </c>
      <c r="EE71" s="95">
        <f t="shared" si="754"/>
        <v>0</v>
      </c>
      <c r="EF71" s="95">
        <f t="shared" si="754"/>
        <v>0</v>
      </c>
      <c r="EG71" s="95">
        <f t="shared" si="754"/>
        <v>0</v>
      </c>
      <c r="EH71" s="95">
        <f t="shared" si="754"/>
        <v>0</v>
      </c>
      <c r="EI71" s="95">
        <f t="shared" si="754"/>
        <v>0</v>
      </c>
      <c r="EJ71" s="95">
        <f t="shared" si="754"/>
        <v>0</v>
      </c>
      <c r="EK71" s="95">
        <f t="shared" si="754"/>
        <v>0</v>
      </c>
      <c r="EL71" s="95">
        <f t="shared" si="754"/>
        <v>0</v>
      </c>
      <c r="EM71" s="95">
        <f t="shared" si="754"/>
        <v>0</v>
      </c>
      <c r="EN71" s="95">
        <f t="shared" si="754"/>
        <v>0</v>
      </c>
      <c r="EO71" s="95">
        <f t="shared" si="754"/>
        <v>0</v>
      </c>
      <c r="EP71" s="95">
        <f t="shared" si="754"/>
        <v>0</v>
      </c>
      <c r="EQ71" s="95">
        <f t="shared" si="754"/>
        <v>0</v>
      </c>
      <c r="ER71" s="95">
        <f t="shared" ref="ER71:EU71" si="755">+ER69+ER64</f>
        <v>0</v>
      </c>
      <c r="ES71" s="95">
        <f t="shared" si="755"/>
        <v>0</v>
      </c>
      <c r="ET71" s="95">
        <f t="shared" si="755"/>
        <v>0</v>
      </c>
      <c r="EU71" s="95">
        <f t="shared" si="755"/>
        <v>0</v>
      </c>
      <c r="FA71" s="201"/>
      <c r="FB71" s="201"/>
      <c r="FC71" s="201"/>
      <c r="FD71" s="201"/>
      <c r="FE71" s="201"/>
      <c r="FF71" s="201"/>
      <c r="FG71" s="201"/>
      <c r="FH71" s="201"/>
      <c r="FI71" s="201"/>
      <c r="FJ71" s="201"/>
      <c r="FK71" s="201"/>
      <c r="FL71" s="201"/>
      <c r="FM71" s="201"/>
      <c r="FN71" s="201"/>
      <c r="FO71" s="201"/>
      <c r="FP71" s="201"/>
      <c r="FQ71" s="201"/>
      <c r="FR71" s="201"/>
      <c r="FS71" s="201"/>
      <c r="FT71" s="201"/>
      <c r="FU71" s="201"/>
      <c r="FV71" s="201"/>
      <c r="FW71" s="201"/>
      <c r="FX71" s="201"/>
      <c r="FY71" s="201"/>
      <c r="FZ71" s="201"/>
      <c r="GA71" s="201"/>
      <c r="GB71" s="201"/>
      <c r="GC71" s="201"/>
      <c r="GD71" s="201"/>
      <c r="GE71" s="201"/>
      <c r="GF71" s="201"/>
      <c r="GG71" s="201"/>
      <c r="GH71" s="201"/>
      <c r="GI71" s="201"/>
      <c r="GJ71" s="201"/>
      <c r="GK71" s="201"/>
      <c r="GL71" s="201"/>
      <c r="GM71" s="201"/>
      <c r="GN71" s="201"/>
      <c r="GO71" s="201"/>
      <c r="GP71" s="201"/>
      <c r="GQ71" s="201"/>
      <c r="GR71" s="201"/>
      <c r="GS71" s="201"/>
      <c r="GT71" s="201"/>
      <c r="GU71" s="201"/>
      <c r="GV71" s="201"/>
      <c r="GW71" s="201"/>
      <c r="GX71" s="201"/>
      <c r="GY71" s="201"/>
      <c r="GZ71" s="201"/>
      <c r="HA71" s="201"/>
      <c r="HB71" s="201"/>
      <c r="HC71" s="201"/>
      <c r="HD71" s="201"/>
      <c r="HE71" s="201"/>
      <c r="HF71" s="201"/>
      <c r="HG71" s="201"/>
      <c r="HH71" s="201"/>
      <c r="HI71" s="201"/>
      <c r="HJ71" s="201"/>
      <c r="HK71" s="201"/>
      <c r="HL71" s="201"/>
      <c r="HM71" s="201"/>
      <c r="HN71" s="201"/>
      <c r="HO71" s="201"/>
      <c r="HP71" s="201"/>
      <c r="HQ71" s="201"/>
      <c r="HR71" s="201"/>
      <c r="HS71" s="201"/>
      <c r="HT71" s="201"/>
      <c r="HU71" s="201"/>
      <c r="HV71" s="201"/>
      <c r="HW71" s="201"/>
      <c r="HX71" s="201"/>
      <c r="HY71" s="201"/>
      <c r="HZ71" s="201"/>
      <c r="IA71" s="201"/>
      <c r="IB71" s="201"/>
      <c r="IC71" s="201"/>
      <c r="ID71" s="201"/>
      <c r="IE71" s="201"/>
      <c r="IF71" s="201"/>
      <c r="IG71" s="201"/>
      <c r="IH71" s="201"/>
      <c r="II71" s="201"/>
      <c r="IJ71" s="201"/>
      <c r="IK71" s="201"/>
      <c r="IL71" s="201"/>
      <c r="IM71" s="201"/>
      <c r="IN71" s="201"/>
      <c r="IO71" s="201"/>
      <c r="IP71" s="201"/>
      <c r="IQ71" s="201"/>
      <c r="IR71" s="201"/>
      <c r="IS71" s="201"/>
      <c r="IT71" s="201"/>
      <c r="IU71" s="201"/>
      <c r="IV71" s="201"/>
      <c r="IW71" s="201"/>
      <c r="IX71" s="201"/>
      <c r="IY71" s="201"/>
      <c r="IZ71" s="201"/>
      <c r="JA71" s="201"/>
      <c r="JB71" s="201"/>
      <c r="JC71" s="201"/>
      <c r="JD71" s="201"/>
      <c r="JE71" s="201"/>
      <c r="JF71" s="201"/>
      <c r="JG71" s="201"/>
      <c r="JH71" s="201"/>
      <c r="JI71" s="201"/>
      <c r="JJ71" s="201"/>
      <c r="JK71" s="201"/>
      <c r="JL71" s="201"/>
      <c r="JM71" s="201"/>
      <c r="JN71" s="201"/>
      <c r="JO71" s="201"/>
      <c r="JP71" s="201"/>
      <c r="JQ71" s="201"/>
      <c r="JR71" s="201"/>
      <c r="JS71" s="201"/>
      <c r="JT71" s="201"/>
      <c r="JU71" s="201"/>
      <c r="JV71" s="201"/>
      <c r="JW71" s="201"/>
      <c r="JX71" s="201"/>
      <c r="JY71" s="201"/>
      <c r="JZ71" s="201"/>
      <c r="KA71" s="201"/>
      <c r="KB71" s="201"/>
      <c r="KC71" s="201"/>
      <c r="KD71" s="201"/>
      <c r="KE71" s="201"/>
      <c r="KF71" s="218"/>
      <c r="KK71" s="201"/>
      <c r="KL71" s="201"/>
      <c r="KM71" s="201"/>
      <c r="KN71" s="201"/>
      <c r="KO71" s="201"/>
      <c r="KP71" s="201"/>
      <c r="KQ71" s="201"/>
      <c r="KR71" s="201"/>
      <c r="KS71" s="201"/>
      <c r="KT71" s="201"/>
      <c r="KU71" s="201"/>
      <c r="KV71" s="201"/>
      <c r="KW71" s="201"/>
      <c r="KX71" s="201"/>
      <c r="KY71" s="201"/>
      <c r="KZ71" s="201"/>
      <c r="LA71" s="201"/>
      <c r="LB71" s="201"/>
      <c r="LC71" s="201"/>
      <c r="LD71" s="201"/>
      <c r="LE71" s="201"/>
      <c r="LF71" s="201"/>
      <c r="LG71" s="201"/>
      <c r="LH71" s="201"/>
      <c r="LI71" s="201"/>
      <c r="LJ71" s="201"/>
      <c r="LK71" s="201"/>
      <c r="LL71" s="201"/>
      <c r="LM71" s="201"/>
      <c r="LN71" s="201"/>
      <c r="LO71" s="201"/>
      <c r="LP71" s="201"/>
      <c r="LQ71" s="201"/>
      <c r="LR71" s="201"/>
      <c r="LS71" s="201"/>
      <c r="LT71" s="201"/>
      <c r="LU71" s="201"/>
      <c r="LV71" s="201"/>
      <c r="LW71" s="201"/>
      <c r="LX71" s="201"/>
      <c r="LY71" s="201"/>
      <c r="LZ71" s="201"/>
      <c r="MA71" s="201"/>
      <c r="MB71" s="201"/>
      <c r="MC71" s="201"/>
      <c r="MD71" s="201"/>
      <c r="ME71" s="201"/>
      <c r="MF71" s="201"/>
      <c r="MG71" s="201"/>
      <c r="MH71" s="201"/>
      <c r="MI71" s="201"/>
      <c r="MJ71" s="201"/>
      <c r="MK71" s="201"/>
      <c r="ML71" s="201"/>
      <c r="MM71" s="201"/>
      <c r="MN71" s="201"/>
      <c r="MO71" s="201"/>
      <c r="MP71" s="201"/>
      <c r="MQ71" s="201"/>
      <c r="MR71" s="201"/>
      <c r="MS71" s="201"/>
      <c r="MT71" s="201"/>
      <c r="MU71" s="201"/>
      <c r="MV71" s="201"/>
      <c r="MW71" s="201"/>
      <c r="MX71" s="201"/>
      <c r="MY71" s="201"/>
      <c r="MZ71" s="201"/>
      <c r="NA71" s="201"/>
      <c r="NB71" s="201"/>
      <c r="NC71" s="201"/>
      <c r="ND71" s="201"/>
      <c r="NE71" s="201"/>
      <c r="NF71" s="201"/>
      <c r="NG71" s="201"/>
      <c r="NH71" s="201"/>
      <c r="NI71" s="201"/>
      <c r="NJ71" s="201"/>
      <c r="NK71" s="201"/>
      <c r="NL71" s="201"/>
      <c r="NM71" s="201"/>
      <c r="NN71" s="201"/>
      <c r="NO71" s="201"/>
      <c r="NP71" s="201"/>
      <c r="NQ71" s="201"/>
      <c r="NR71" s="201"/>
      <c r="NS71" s="201"/>
      <c r="NT71" s="201"/>
      <c r="NU71" s="201"/>
      <c r="NV71" s="201"/>
      <c r="NW71" s="201"/>
      <c r="NX71" s="201"/>
      <c r="NY71" s="201"/>
      <c r="NZ71" s="201"/>
      <c r="OA71" s="201"/>
      <c r="OB71" s="201"/>
      <c r="OC71" s="201"/>
      <c r="OD71" s="201"/>
      <c r="OE71" s="201"/>
      <c r="OF71" s="201"/>
      <c r="OG71" s="201"/>
      <c r="OH71" s="201"/>
      <c r="OI71" s="201"/>
      <c r="OJ71" s="201"/>
      <c r="OK71" s="201"/>
      <c r="OL71" s="201"/>
      <c r="OM71" s="201"/>
      <c r="ON71" s="201"/>
      <c r="OO71" s="201"/>
      <c r="OP71" s="201"/>
      <c r="OQ71" s="201"/>
      <c r="OR71" s="201"/>
      <c r="OS71" s="201"/>
      <c r="OT71" s="201"/>
      <c r="OU71" s="201"/>
      <c r="OV71" s="201"/>
      <c r="OW71" s="201"/>
      <c r="OX71" s="201"/>
      <c r="OY71" s="201"/>
      <c r="OZ71" s="201"/>
      <c r="PA71" s="201"/>
      <c r="PB71" s="201"/>
      <c r="PC71" s="201"/>
      <c r="PD71" s="201"/>
      <c r="PE71" s="201"/>
      <c r="PF71" s="201"/>
      <c r="PG71" s="201"/>
      <c r="PH71" s="201"/>
      <c r="PI71" s="201"/>
      <c r="PJ71" s="201"/>
      <c r="PK71" s="201"/>
      <c r="PL71" s="201"/>
      <c r="PM71" s="201"/>
      <c r="PN71" s="201"/>
      <c r="PO71" s="201"/>
      <c r="PQ71" s="201"/>
      <c r="PR71" s="201"/>
      <c r="PS71" s="201"/>
      <c r="PT71" s="201"/>
      <c r="PU71" s="201"/>
      <c r="PV71" s="201"/>
      <c r="PW71" s="201"/>
      <c r="PX71" s="201"/>
      <c r="PY71" s="201"/>
      <c r="PZ71" s="201"/>
      <c r="QA71" s="201"/>
      <c r="QB71" s="201"/>
      <c r="QC71" s="201"/>
      <c r="QD71" s="201"/>
      <c r="QE71" s="201"/>
      <c r="QF71" s="201"/>
      <c r="QG71" s="201"/>
      <c r="QH71" s="201"/>
      <c r="QI71" s="201"/>
      <c r="QJ71" s="201"/>
      <c r="QK71" s="201"/>
      <c r="QL71" s="201"/>
      <c r="QM71" s="201"/>
      <c r="QN71" s="201"/>
      <c r="QO71" s="201"/>
      <c r="QP71" s="201"/>
      <c r="QQ71" s="201"/>
      <c r="QR71" s="201"/>
      <c r="QS71" s="201"/>
      <c r="QT71" s="201"/>
      <c r="QU71" s="201"/>
      <c r="QV71" s="201"/>
      <c r="QW71" s="201"/>
      <c r="QX71" s="201"/>
      <c r="QY71" s="201"/>
      <c r="QZ71" s="201"/>
      <c r="RA71" s="201"/>
      <c r="RB71" s="201"/>
      <c r="RC71" s="201"/>
      <c r="RD71" s="201"/>
      <c r="RE71" s="201"/>
      <c r="RF71" s="201"/>
      <c r="RG71" s="201"/>
      <c r="RH71" s="201"/>
      <c r="RI71" s="201"/>
      <c r="RJ71" s="201"/>
      <c r="RK71" s="201"/>
      <c r="RL71" s="201"/>
      <c r="RM71" s="201"/>
      <c r="RN71" s="201"/>
      <c r="RO71" s="201"/>
      <c r="RP71" s="201"/>
      <c r="RQ71" s="201"/>
      <c r="RR71" s="201"/>
      <c r="RS71" s="201"/>
      <c r="RT71" s="201"/>
      <c r="RU71" s="201"/>
      <c r="RV71" s="201"/>
      <c r="RW71" s="201"/>
      <c r="RX71" s="201"/>
      <c r="RY71" s="201"/>
      <c r="RZ71" s="201"/>
      <c r="SA71" s="201"/>
      <c r="SB71" s="201"/>
      <c r="SC71" s="201"/>
      <c r="SD71" s="201"/>
      <c r="SE71" s="201"/>
      <c r="SF71" s="201"/>
      <c r="SG71" s="201"/>
      <c r="SH71" s="201"/>
      <c r="SI71" s="201"/>
      <c r="SJ71" s="201"/>
      <c r="SK71" s="201"/>
      <c r="SL71" s="201"/>
      <c r="SM71" s="201"/>
      <c r="SN71" s="201"/>
      <c r="SO71" s="201"/>
      <c r="SP71" s="201"/>
      <c r="SQ71" s="201"/>
      <c r="SR71" s="201"/>
      <c r="SS71" s="201"/>
      <c r="ST71" s="201"/>
      <c r="SU71" s="201"/>
      <c r="SV71" s="201"/>
      <c r="SW71" s="201"/>
      <c r="SX71" s="201"/>
      <c r="SY71" s="201"/>
      <c r="SZ71" s="201"/>
      <c r="TA71" s="201"/>
      <c r="TB71" s="201"/>
      <c r="TC71" s="201"/>
      <c r="TD71" s="201"/>
      <c r="TE71" s="201"/>
      <c r="TF71" s="201"/>
      <c r="TG71" s="201"/>
      <c r="TH71" s="201"/>
      <c r="TI71" s="201"/>
      <c r="TJ71" s="201"/>
      <c r="TK71" s="201"/>
      <c r="TL71" s="201"/>
      <c r="TM71" s="201"/>
      <c r="TN71" s="201"/>
      <c r="TO71" s="201"/>
      <c r="TP71" s="201"/>
      <c r="TQ71" s="201"/>
      <c r="TR71" s="201"/>
      <c r="TS71" s="201"/>
      <c r="TT71" s="201"/>
      <c r="TU71" s="201"/>
      <c r="TV71" s="201"/>
      <c r="TW71" s="201"/>
      <c r="TX71" s="201"/>
      <c r="TY71" s="201"/>
      <c r="TZ71" s="201"/>
      <c r="UA71" s="201"/>
      <c r="UB71" s="201"/>
      <c r="UC71" s="201"/>
      <c r="UD71" s="201"/>
      <c r="UE71" s="201"/>
      <c r="UF71" s="201"/>
      <c r="UG71" s="201"/>
      <c r="UH71" s="201"/>
      <c r="UI71" s="201"/>
      <c r="UJ71" s="201"/>
      <c r="UK71" s="201"/>
      <c r="UL71" s="201"/>
      <c r="UM71" s="201"/>
      <c r="UN71" s="201"/>
      <c r="UO71" s="201"/>
      <c r="UP71" s="201"/>
      <c r="UQ71" s="201"/>
      <c r="UR71" s="201"/>
      <c r="US71" s="201"/>
      <c r="UT71" s="201"/>
      <c r="UU71" s="201"/>
    </row>
    <row r="72" spans="2:567" ht="5.0999999999999996" customHeight="1" x14ac:dyDescent="0.25">
      <c r="B72" s="16"/>
      <c r="C72" s="17"/>
      <c r="D72" s="17"/>
      <c r="E72" s="17"/>
      <c r="F72" s="17"/>
      <c r="G72" s="17"/>
      <c r="H72" s="17"/>
      <c r="I72" s="17"/>
      <c r="J72" s="191"/>
      <c r="K72" s="191"/>
      <c r="L72" s="17"/>
      <c r="M72" s="596"/>
      <c r="N72" s="596"/>
      <c r="O72" s="596"/>
      <c r="P72" s="596"/>
      <c r="Q72" s="596"/>
      <c r="R72" s="261"/>
      <c r="S72" s="262"/>
      <c r="T72" s="262"/>
      <c r="U72" s="262"/>
      <c r="V72" s="262"/>
      <c r="W72" s="262"/>
      <c r="X72" s="262"/>
      <c r="Y72" s="262"/>
      <c r="Z72" s="262"/>
      <c r="AA72" s="262"/>
      <c r="AB72" s="262"/>
      <c r="AC72" s="262"/>
      <c r="AD72" s="262"/>
      <c r="AE72" s="262"/>
      <c r="AF72" s="262"/>
      <c r="AG72" s="262"/>
      <c r="AH72" s="262"/>
      <c r="AI72" s="262"/>
      <c r="AJ72" s="262"/>
      <c r="AK72" s="262"/>
      <c r="AL72" s="262"/>
      <c r="AM72" s="262"/>
      <c r="AN72" s="262"/>
      <c r="AO72" s="262"/>
      <c r="AP72" s="262"/>
      <c r="AQ72" s="262"/>
      <c r="AR72" s="262"/>
      <c r="AS72" s="262"/>
      <c r="AT72" s="262"/>
      <c r="AU72" s="262"/>
      <c r="AV72" s="262"/>
      <c r="AW72" s="262"/>
      <c r="AX72" s="262"/>
      <c r="AY72" s="262"/>
      <c r="AZ72" s="262"/>
      <c r="BA72" s="262"/>
      <c r="BB72" s="262"/>
      <c r="BC72" s="262"/>
      <c r="BD72" s="262"/>
      <c r="BE72" s="262"/>
      <c r="BF72" s="262"/>
      <c r="BG72" s="262"/>
      <c r="BH72" s="262"/>
      <c r="BI72" s="262"/>
      <c r="BJ72" s="262"/>
      <c r="BK72" s="262"/>
      <c r="BL72" s="262"/>
      <c r="BM72" s="262"/>
      <c r="BN72" s="262"/>
      <c r="BO72" s="262"/>
      <c r="BP72" s="262"/>
      <c r="BQ72" s="262"/>
      <c r="BR72" s="262"/>
      <c r="BS72" s="262"/>
      <c r="BT72" s="262"/>
      <c r="BU72" s="262"/>
      <c r="BV72" s="262"/>
      <c r="BW72" s="262"/>
      <c r="BX72" s="262"/>
      <c r="BY72" s="262"/>
      <c r="BZ72" s="262"/>
      <c r="CA72" s="262"/>
      <c r="CB72" s="262"/>
      <c r="CC72" s="262"/>
      <c r="CD72" s="262"/>
      <c r="CE72" s="262"/>
      <c r="CF72" s="262"/>
      <c r="CG72" s="262"/>
      <c r="CH72" s="262"/>
      <c r="CI72" s="262"/>
      <c r="CJ72" s="262"/>
      <c r="CK72" s="262"/>
      <c r="CL72" s="262"/>
      <c r="CM72" s="262"/>
      <c r="CN72" s="262"/>
      <c r="CO72" s="262"/>
      <c r="CP72" s="262"/>
      <c r="CQ72" s="262"/>
      <c r="CR72" s="262"/>
      <c r="CS72" s="262"/>
      <c r="CT72" s="262"/>
      <c r="CU72" s="262"/>
      <c r="CV72" s="262"/>
      <c r="CW72" s="262"/>
      <c r="CX72" s="262"/>
      <c r="CY72" s="262"/>
      <c r="CZ72" s="262"/>
      <c r="DA72" s="262"/>
      <c r="DB72" s="262"/>
      <c r="DC72" s="262"/>
      <c r="DD72" s="262"/>
      <c r="DE72" s="262"/>
      <c r="DF72" s="262"/>
      <c r="DG72" s="262"/>
      <c r="DH72" s="262"/>
      <c r="DI72" s="262"/>
      <c r="DJ72" s="262"/>
      <c r="DK72" s="262"/>
      <c r="DL72" s="262"/>
      <c r="DM72" s="262"/>
      <c r="DN72" s="262"/>
      <c r="DO72" s="262"/>
      <c r="DP72" s="262"/>
      <c r="DQ72" s="262"/>
      <c r="DR72" s="262"/>
      <c r="DS72" s="262"/>
      <c r="DT72" s="262"/>
      <c r="DU72" s="262"/>
      <c r="DV72" s="262"/>
      <c r="DW72" s="262"/>
      <c r="DX72" s="262"/>
      <c r="DY72" s="262"/>
      <c r="DZ72" s="262"/>
      <c r="EA72" s="262"/>
      <c r="EB72" s="262"/>
      <c r="EC72" s="262"/>
      <c r="ED72" s="262"/>
      <c r="EE72" s="262"/>
      <c r="EF72" s="262"/>
      <c r="EG72" s="262"/>
      <c r="EH72" s="262"/>
      <c r="EI72" s="262"/>
      <c r="EJ72" s="262"/>
      <c r="EK72" s="262"/>
      <c r="EL72" s="262"/>
      <c r="EM72" s="262"/>
      <c r="EN72" s="262"/>
      <c r="EO72" s="262"/>
      <c r="EP72" s="262"/>
      <c r="EQ72" s="262"/>
      <c r="ER72" s="262"/>
      <c r="ES72" s="262"/>
      <c r="ET72" s="262"/>
      <c r="EU72" s="262"/>
      <c r="FA72" s="201"/>
      <c r="FB72" s="201"/>
      <c r="FC72" s="201"/>
      <c r="FD72" s="201"/>
      <c r="FE72" s="201"/>
      <c r="FF72" s="201"/>
      <c r="FG72" s="201"/>
      <c r="FH72" s="201"/>
      <c r="FI72" s="201"/>
      <c r="FJ72" s="201"/>
      <c r="FK72" s="201"/>
      <c r="FL72" s="201"/>
      <c r="FM72" s="201"/>
      <c r="FN72" s="201"/>
      <c r="FO72" s="201"/>
      <c r="FP72" s="201"/>
      <c r="FQ72" s="201"/>
      <c r="FR72" s="201"/>
      <c r="FS72" s="201"/>
      <c r="FT72" s="201"/>
      <c r="FU72" s="201"/>
      <c r="FV72" s="201"/>
      <c r="FW72" s="201"/>
      <c r="FX72" s="201"/>
      <c r="FY72" s="201"/>
      <c r="FZ72" s="201"/>
      <c r="GA72" s="201"/>
      <c r="GB72" s="201"/>
      <c r="GC72" s="201"/>
      <c r="GD72" s="201"/>
      <c r="GE72" s="201"/>
      <c r="GF72" s="201"/>
      <c r="GG72" s="201"/>
      <c r="GH72" s="201"/>
      <c r="GI72" s="201"/>
      <c r="GJ72" s="201"/>
      <c r="GK72" s="201"/>
      <c r="GL72" s="201"/>
      <c r="GM72" s="201"/>
      <c r="GN72" s="201"/>
      <c r="GO72" s="201"/>
      <c r="GP72" s="201"/>
      <c r="GQ72" s="201"/>
      <c r="GR72" s="201"/>
      <c r="GS72" s="201"/>
      <c r="GT72" s="201"/>
      <c r="GU72" s="201"/>
      <c r="GV72" s="201"/>
      <c r="GW72" s="201"/>
      <c r="GX72" s="201"/>
      <c r="GY72" s="201"/>
      <c r="GZ72" s="201"/>
      <c r="HA72" s="201"/>
      <c r="HB72" s="201"/>
      <c r="HC72" s="201"/>
      <c r="HD72" s="201"/>
      <c r="HE72" s="201"/>
      <c r="HF72" s="201"/>
      <c r="HG72" s="201"/>
      <c r="HH72" s="201"/>
      <c r="HI72" s="201"/>
      <c r="HJ72" s="201"/>
      <c r="HK72" s="201"/>
      <c r="HL72" s="201"/>
      <c r="HM72" s="201"/>
      <c r="HN72" s="201"/>
      <c r="HO72" s="201"/>
      <c r="HP72" s="201"/>
      <c r="HQ72" s="201"/>
      <c r="HR72" s="201"/>
      <c r="HS72" s="201"/>
      <c r="HT72" s="201"/>
      <c r="HU72" s="201"/>
      <c r="HV72" s="201"/>
      <c r="HW72" s="201"/>
      <c r="HX72" s="201"/>
      <c r="HY72" s="201"/>
      <c r="HZ72" s="201"/>
      <c r="IA72" s="201"/>
      <c r="IB72" s="201"/>
      <c r="IC72" s="201"/>
      <c r="ID72" s="201"/>
      <c r="IE72" s="201"/>
      <c r="IF72" s="201"/>
      <c r="IG72" s="201"/>
      <c r="IH72" s="201"/>
      <c r="II72" s="201"/>
      <c r="IJ72" s="201"/>
      <c r="IK72" s="201"/>
      <c r="IL72" s="201"/>
      <c r="IM72" s="201"/>
      <c r="IN72" s="201"/>
      <c r="IO72" s="201"/>
      <c r="IP72" s="201"/>
      <c r="IQ72" s="201"/>
      <c r="IR72" s="201"/>
      <c r="IS72" s="201"/>
      <c r="IT72" s="201"/>
      <c r="IU72" s="201"/>
      <c r="IV72" s="201"/>
      <c r="IW72" s="201"/>
      <c r="IX72" s="201"/>
      <c r="IY72" s="201"/>
      <c r="IZ72" s="201"/>
      <c r="JA72" s="201"/>
      <c r="JB72" s="201"/>
      <c r="JC72" s="201"/>
      <c r="JD72" s="201"/>
      <c r="JE72" s="201"/>
      <c r="JF72" s="201"/>
      <c r="JG72" s="201"/>
      <c r="JH72" s="201"/>
      <c r="JI72" s="201"/>
      <c r="JJ72" s="201"/>
      <c r="JK72" s="201"/>
      <c r="JL72" s="201"/>
      <c r="JM72" s="201"/>
      <c r="JN72" s="201"/>
      <c r="JO72" s="201"/>
      <c r="JP72" s="201"/>
      <c r="JQ72" s="201"/>
      <c r="JR72" s="201"/>
      <c r="JS72" s="201"/>
      <c r="JT72" s="201"/>
      <c r="JU72" s="201"/>
      <c r="JV72" s="201"/>
      <c r="JW72" s="201"/>
      <c r="JX72" s="201"/>
      <c r="JY72" s="201"/>
      <c r="JZ72" s="201"/>
      <c r="KA72" s="201"/>
      <c r="KB72" s="201"/>
      <c r="KC72" s="201"/>
      <c r="KD72" s="201"/>
      <c r="KE72" s="201"/>
      <c r="KF72" s="218"/>
      <c r="KK72" s="201"/>
      <c r="KL72" s="201"/>
      <c r="KM72" s="201"/>
      <c r="KN72" s="201"/>
      <c r="KO72" s="201"/>
      <c r="KP72" s="201"/>
      <c r="KQ72" s="201"/>
      <c r="KR72" s="201"/>
      <c r="KS72" s="201"/>
      <c r="KT72" s="201"/>
      <c r="KU72" s="201"/>
      <c r="KV72" s="201"/>
      <c r="KW72" s="201"/>
      <c r="KX72" s="201"/>
      <c r="KY72" s="201"/>
      <c r="KZ72" s="201"/>
      <c r="LA72" s="201"/>
      <c r="LB72" s="201"/>
      <c r="LC72" s="201"/>
      <c r="LD72" s="201"/>
      <c r="LE72" s="201"/>
      <c r="LF72" s="201"/>
      <c r="LG72" s="201"/>
      <c r="LH72" s="201"/>
      <c r="LI72" s="201"/>
      <c r="LJ72" s="201"/>
      <c r="LK72" s="201"/>
      <c r="LL72" s="201"/>
      <c r="LM72" s="201"/>
      <c r="LN72" s="201"/>
      <c r="LO72" s="201"/>
      <c r="LP72" s="201"/>
      <c r="LQ72" s="201"/>
      <c r="LR72" s="201"/>
      <c r="LS72" s="201"/>
      <c r="LT72" s="201"/>
      <c r="LU72" s="201"/>
      <c r="LV72" s="201"/>
      <c r="LW72" s="201"/>
      <c r="LX72" s="201"/>
      <c r="LY72" s="201"/>
      <c r="LZ72" s="201"/>
      <c r="MA72" s="201"/>
      <c r="MB72" s="201"/>
      <c r="MC72" s="201"/>
      <c r="MD72" s="201"/>
      <c r="ME72" s="201"/>
      <c r="MF72" s="201"/>
      <c r="MG72" s="201"/>
      <c r="MH72" s="201"/>
      <c r="MI72" s="201"/>
      <c r="MJ72" s="201"/>
      <c r="MK72" s="201"/>
      <c r="ML72" s="201"/>
      <c r="MM72" s="201"/>
      <c r="MN72" s="201"/>
      <c r="MO72" s="201"/>
      <c r="MP72" s="201"/>
      <c r="MQ72" s="201"/>
      <c r="MR72" s="201"/>
      <c r="MS72" s="201"/>
      <c r="MT72" s="201"/>
      <c r="MU72" s="201"/>
      <c r="MV72" s="201"/>
      <c r="MW72" s="201"/>
      <c r="MX72" s="201"/>
      <c r="MY72" s="201"/>
      <c r="MZ72" s="201"/>
      <c r="NA72" s="201"/>
      <c r="NB72" s="201"/>
      <c r="NC72" s="201"/>
      <c r="ND72" s="201"/>
      <c r="NE72" s="201"/>
      <c r="NF72" s="201"/>
      <c r="NG72" s="201"/>
      <c r="NH72" s="201"/>
      <c r="NI72" s="201"/>
      <c r="NJ72" s="201"/>
      <c r="NK72" s="201"/>
      <c r="NL72" s="201"/>
      <c r="NM72" s="201"/>
      <c r="NN72" s="201"/>
      <c r="NO72" s="201"/>
      <c r="NP72" s="201"/>
      <c r="NQ72" s="201"/>
      <c r="NR72" s="201"/>
      <c r="NS72" s="201"/>
      <c r="NT72" s="201"/>
      <c r="NU72" s="201"/>
      <c r="NV72" s="201"/>
      <c r="NW72" s="201"/>
      <c r="NX72" s="201"/>
      <c r="NY72" s="201"/>
      <c r="NZ72" s="201"/>
      <c r="OA72" s="201"/>
      <c r="OB72" s="201"/>
      <c r="OC72" s="201"/>
      <c r="OD72" s="201"/>
      <c r="OE72" s="201"/>
      <c r="OF72" s="201"/>
      <c r="OG72" s="201"/>
      <c r="OH72" s="201"/>
      <c r="OI72" s="201"/>
      <c r="OJ72" s="201"/>
      <c r="OK72" s="201"/>
      <c r="OL72" s="201"/>
      <c r="OM72" s="201"/>
      <c r="ON72" s="201"/>
      <c r="OO72" s="201"/>
      <c r="OP72" s="201"/>
      <c r="OQ72" s="201"/>
      <c r="OR72" s="201"/>
      <c r="OS72" s="201"/>
      <c r="OT72" s="201"/>
      <c r="OU72" s="201"/>
      <c r="OV72" s="201"/>
      <c r="OW72" s="201"/>
      <c r="OX72" s="201"/>
      <c r="OY72" s="201"/>
      <c r="OZ72" s="201"/>
      <c r="PA72" s="201"/>
      <c r="PB72" s="201"/>
      <c r="PC72" s="201"/>
      <c r="PD72" s="201"/>
      <c r="PE72" s="201"/>
      <c r="PF72" s="201"/>
      <c r="PG72" s="201"/>
      <c r="PH72" s="201"/>
      <c r="PI72" s="201"/>
      <c r="PJ72" s="201"/>
      <c r="PK72" s="201"/>
      <c r="PL72" s="201"/>
      <c r="PM72" s="201"/>
      <c r="PN72" s="201"/>
      <c r="PO72" s="201"/>
      <c r="PQ72" s="201"/>
      <c r="PR72" s="201"/>
      <c r="PS72" s="201"/>
      <c r="PT72" s="201"/>
      <c r="PU72" s="201"/>
      <c r="PV72" s="201"/>
      <c r="PW72" s="201"/>
      <c r="PX72" s="201"/>
      <c r="PY72" s="201"/>
      <c r="PZ72" s="201"/>
      <c r="QA72" s="201"/>
      <c r="QB72" s="201"/>
      <c r="QC72" s="201"/>
      <c r="QD72" s="201"/>
      <c r="QE72" s="201"/>
      <c r="QF72" s="201"/>
      <c r="QG72" s="201"/>
      <c r="QH72" s="201"/>
      <c r="QI72" s="201"/>
      <c r="QJ72" s="201"/>
      <c r="QK72" s="201"/>
      <c r="QL72" s="201"/>
      <c r="QM72" s="201"/>
      <c r="QN72" s="201"/>
      <c r="QO72" s="201"/>
      <c r="QP72" s="201"/>
      <c r="QQ72" s="201"/>
      <c r="QR72" s="201"/>
      <c r="QS72" s="201"/>
      <c r="QT72" s="201"/>
      <c r="QU72" s="201"/>
      <c r="QV72" s="201"/>
      <c r="QW72" s="201"/>
      <c r="QX72" s="201"/>
      <c r="QY72" s="201"/>
      <c r="QZ72" s="201"/>
      <c r="RA72" s="201"/>
      <c r="RB72" s="201"/>
      <c r="RC72" s="201"/>
      <c r="RD72" s="201"/>
      <c r="RE72" s="201"/>
      <c r="RF72" s="201"/>
      <c r="RG72" s="201"/>
      <c r="RH72" s="201"/>
      <c r="RI72" s="201"/>
      <c r="RJ72" s="201"/>
      <c r="RK72" s="201"/>
      <c r="RL72" s="201"/>
      <c r="RM72" s="201"/>
      <c r="RN72" s="201"/>
      <c r="RO72" s="201"/>
      <c r="RP72" s="201"/>
      <c r="RQ72" s="201"/>
      <c r="RR72" s="201"/>
      <c r="RS72" s="201"/>
      <c r="RT72" s="201"/>
      <c r="RU72" s="201"/>
      <c r="RV72" s="201"/>
      <c r="RW72" s="201"/>
      <c r="RX72" s="201"/>
      <c r="RY72" s="201"/>
      <c r="RZ72" s="201"/>
      <c r="SA72" s="201"/>
      <c r="SB72" s="201"/>
      <c r="SC72" s="201"/>
      <c r="SD72" s="201"/>
      <c r="SE72" s="201"/>
      <c r="SF72" s="201"/>
      <c r="SG72" s="201"/>
      <c r="SH72" s="201"/>
      <c r="SI72" s="201"/>
      <c r="SJ72" s="201"/>
      <c r="SK72" s="201"/>
      <c r="SL72" s="201"/>
      <c r="SM72" s="201"/>
      <c r="SN72" s="201"/>
      <c r="SO72" s="201"/>
      <c r="SP72" s="201"/>
      <c r="SQ72" s="201"/>
      <c r="SR72" s="201"/>
      <c r="SS72" s="201"/>
      <c r="ST72" s="201"/>
      <c r="SU72" s="201"/>
      <c r="SV72" s="201"/>
      <c r="SW72" s="201"/>
      <c r="SX72" s="201"/>
      <c r="SY72" s="201"/>
      <c r="SZ72" s="201"/>
      <c r="TA72" s="201"/>
      <c r="TB72" s="201"/>
      <c r="TC72" s="201"/>
      <c r="TD72" s="201"/>
      <c r="TE72" s="201"/>
      <c r="TF72" s="201"/>
      <c r="TG72" s="201"/>
      <c r="TH72" s="201"/>
      <c r="TI72" s="201"/>
      <c r="TJ72" s="201"/>
      <c r="TK72" s="201"/>
      <c r="TL72" s="201"/>
      <c r="TM72" s="201"/>
      <c r="TN72" s="201"/>
      <c r="TO72" s="201"/>
      <c r="TP72" s="201"/>
      <c r="TQ72" s="201"/>
      <c r="TR72" s="201"/>
      <c r="TS72" s="201"/>
      <c r="TT72" s="201"/>
      <c r="TU72" s="201"/>
      <c r="TV72" s="201"/>
      <c r="TW72" s="201"/>
      <c r="TX72" s="201"/>
      <c r="TY72" s="201"/>
      <c r="TZ72" s="201"/>
      <c r="UA72" s="201"/>
      <c r="UB72" s="201"/>
      <c r="UC72" s="201"/>
      <c r="UD72" s="201"/>
      <c r="UE72" s="201"/>
      <c r="UF72" s="201"/>
      <c r="UG72" s="201"/>
      <c r="UH72" s="201"/>
      <c r="UI72" s="201"/>
      <c r="UJ72" s="201"/>
      <c r="UK72" s="201"/>
      <c r="UL72" s="201"/>
      <c r="UM72" s="201"/>
      <c r="UN72" s="201"/>
      <c r="UO72" s="201"/>
      <c r="UP72" s="201"/>
      <c r="UQ72" s="201"/>
      <c r="UR72" s="201"/>
      <c r="US72" s="201"/>
      <c r="UT72" s="201"/>
      <c r="UU72" s="201"/>
    </row>
    <row r="73" spans="2:567" x14ac:dyDescent="0.25">
      <c r="B73" s="16" t="s">
        <v>93</v>
      </c>
      <c r="C73" s="17"/>
      <c r="D73" s="17"/>
      <c r="E73" s="17"/>
      <c r="F73" s="17"/>
      <c r="G73" s="17"/>
      <c r="H73" s="17"/>
      <c r="I73" s="17"/>
      <c r="J73" s="191"/>
      <c r="K73" s="191"/>
      <c r="L73" s="17"/>
      <c r="M73" s="596"/>
      <c r="N73" s="596"/>
      <c r="O73" s="596"/>
      <c r="P73" s="596"/>
      <c r="Q73" s="596"/>
      <c r="R73" s="261"/>
      <c r="S73" s="262"/>
      <c r="T73" s="262"/>
      <c r="U73" s="262"/>
      <c r="V73" s="262"/>
      <c r="W73" s="262"/>
      <c r="X73" s="262"/>
      <c r="Y73" s="262"/>
      <c r="Z73" s="262"/>
      <c r="AA73" s="262"/>
      <c r="AB73" s="262"/>
      <c r="AC73" s="262"/>
      <c r="AD73" s="262"/>
      <c r="AE73" s="262"/>
      <c r="AF73" s="262"/>
      <c r="AG73" s="262"/>
      <c r="AH73" s="262"/>
      <c r="AI73" s="262"/>
      <c r="AJ73" s="262"/>
      <c r="AK73" s="262"/>
      <c r="AL73" s="262"/>
      <c r="AM73" s="262"/>
      <c r="AN73" s="262"/>
      <c r="AO73" s="262"/>
      <c r="AP73" s="262"/>
      <c r="AQ73" s="262"/>
      <c r="AR73" s="262"/>
      <c r="AS73" s="262"/>
      <c r="AT73" s="262"/>
      <c r="AU73" s="262"/>
      <c r="AV73" s="262"/>
      <c r="AW73" s="262"/>
      <c r="AX73" s="262"/>
      <c r="AY73" s="262"/>
      <c r="AZ73" s="262"/>
      <c r="BA73" s="262"/>
      <c r="BB73" s="262"/>
      <c r="BC73" s="262"/>
      <c r="BD73" s="262"/>
      <c r="BE73" s="262"/>
      <c r="BF73" s="262"/>
      <c r="BG73" s="262"/>
      <c r="BH73" s="262"/>
      <c r="BI73" s="262"/>
      <c r="BJ73" s="262"/>
      <c r="BK73" s="262"/>
      <c r="BL73" s="262"/>
      <c r="BM73" s="262"/>
      <c r="BN73" s="262"/>
      <c r="BO73" s="262"/>
      <c r="BP73" s="262"/>
      <c r="BQ73" s="262"/>
      <c r="BR73" s="262"/>
      <c r="BS73" s="262"/>
      <c r="BT73" s="262"/>
      <c r="BU73" s="262"/>
      <c r="BV73" s="262"/>
      <c r="BW73" s="262"/>
      <c r="BX73" s="262"/>
      <c r="BY73" s="262"/>
      <c r="BZ73" s="262"/>
      <c r="CA73" s="262"/>
      <c r="CB73" s="262"/>
      <c r="CC73" s="262"/>
      <c r="CD73" s="262"/>
      <c r="CE73" s="262"/>
      <c r="CF73" s="262"/>
      <c r="CG73" s="262"/>
      <c r="CH73" s="262"/>
      <c r="CI73" s="262"/>
      <c r="CJ73" s="262"/>
      <c r="CK73" s="262"/>
      <c r="CL73" s="262"/>
      <c r="CM73" s="262"/>
      <c r="CN73" s="262"/>
      <c r="CO73" s="262"/>
      <c r="CP73" s="262"/>
      <c r="CQ73" s="262"/>
      <c r="CR73" s="262"/>
      <c r="CS73" s="262"/>
      <c r="CT73" s="262"/>
      <c r="CU73" s="262"/>
      <c r="CV73" s="262"/>
      <c r="CW73" s="262"/>
      <c r="CX73" s="262"/>
      <c r="CY73" s="262"/>
      <c r="CZ73" s="262"/>
      <c r="DA73" s="262"/>
      <c r="DB73" s="262"/>
      <c r="DC73" s="262"/>
      <c r="DD73" s="262"/>
      <c r="DE73" s="262"/>
      <c r="DF73" s="262"/>
      <c r="DG73" s="262"/>
      <c r="DH73" s="262"/>
      <c r="DI73" s="262"/>
      <c r="DJ73" s="262"/>
      <c r="DK73" s="262"/>
      <c r="DL73" s="262"/>
      <c r="DM73" s="262"/>
      <c r="DN73" s="262"/>
      <c r="DO73" s="262"/>
      <c r="DP73" s="262"/>
      <c r="DQ73" s="262"/>
      <c r="DR73" s="262"/>
      <c r="DS73" s="262"/>
      <c r="DT73" s="262"/>
      <c r="DU73" s="262"/>
      <c r="DV73" s="262"/>
      <c r="DW73" s="262"/>
      <c r="DX73" s="262"/>
      <c r="DY73" s="262"/>
      <c r="DZ73" s="262"/>
      <c r="EA73" s="262"/>
      <c r="EB73" s="262"/>
      <c r="EC73" s="262"/>
      <c r="ED73" s="262"/>
      <c r="EE73" s="262"/>
      <c r="EF73" s="262"/>
      <c r="EG73" s="262"/>
      <c r="EH73" s="262"/>
      <c r="EI73" s="262"/>
      <c r="EJ73" s="262"/>
      <c r="EK73" s="262"/>
      <c r="EL73" s="262"/>
      <c r="EM73" s="262"/>
      <c r="EN73" s="262"/>
      <c r="EO73" s="262"/>
      <c r="EP73" s="262"/>
      <c r="EQ73" s="262"/>
      <c r="ER73" s="262"/>
      <c r="ES73" s="262"/>
      <c r="ET73" s="262"/>
      <c r="EU73" s="262"/>
      <c r="EW73" s="199" t="s">
        <v>94</v>
      </c>
      <c r="EX73" s="203" t="s">
        <v>91</v>
      </c>
      <c r="EY73" s="203" t="s">
        <v>92</v>
      </c>
      <c r="EZ73" s="203" t="s">
        <v>90</v>
      </c>
      <c r="FA73" s="203" t="s">
        <v>397</v>
      </c>
      <c r="FB73" s="203" t="s">
        <v>99</v>
      </c>
      <c r="FC73" s="204">
        <v>0</v>
      </c>
      <c r="FD73" s="204">
        <f>+FC73+1</f>
        <v>1</v>
      </c>
      <c r="FE73" s="204">
        <f t="shared" ref="FE73:HP73" si="756">+FD73+1</f>
        <v>2</v>
      </c>
      <c r="FF73" s="204">
        <f t="shared" si="756"/>
        <v>3</v>
      </c>
      <c r="FG73" s="204">
        <f t="shared" si="756"/>
        <v>4</v>
      </c>
      <c r="FH73" s="204">
        <f t="shared" si="756"/>
        <v>5</v>
      </c>
      <c r="FI73" s="204">
        <f t="shared" si="756"/>
        <v>6</v>
      </c>
      <c r="FJ73" s="204">
        <f t="shared" si="756"/>
        <v>7</v>
      </c>
      <c r="FK73" s="204">
        <f t="shared" si="756"/>
        <v>8</v>
      </c>
      <c r="FL73" s="204">
        <f t="shared" si="756"/>
        <v>9</v>
      </c>
      <c r="FM73" s="204">
        <f t="shared" si="756"/>
        <v>10</v>
      </c>
      <c r="FN73" s="204">
        <f t="shared" si="756"/>
        <v>11</v>
      </c>
      <c r="FO73" s="204">
        <f t="shared" si="756"/>
        <v>12</v>
      </c>
      <c r="FP73" s="204">
        <f t="shared" si="756"/>
        <v>13</v>
      </c>
      <c r="FQ73" s="204">
        <f t="shared" si="756"/>
        <v>14</v>
      </c>
      <c r="FR73" s="204">
        <f t="shared" si="756"/>
        <v>15</v>
      </c>
      <c r="FS73" s="204">
        <f t="shared" si="756"/>
        <v>16</v>
      </c>
      <c r="FT73" s="204">
        <f t="shared" si="756"/>
        <v>17</v>
      </c>
      <c r="FU73" s="204">
        <f t="shared" si="756"/>
        <v>18</v>
      </c>
      <c r="FV73" s="204">
        <f t="shared" si="756"/>
        <v>19</v>
      </c>
      <c r="FW73" s="204">
        <f t="shared" si="756"/>
        <v>20</v>
      </c>
      <c r="FX73" s="204">
        <f t="shared" si="756"/>
        <v>21</v>
      </c>
      <c r="FY73" s="204">
        <f t="shared" si="756"/>
        <v>22</v>
      </c>
      <c r="FZ73" s="204">
        <f t="shared" si="756"/>
        <v>23</v>
      </c>
      <c r="GA73" s="204">
        <f t="shared" si="756"/>
        <v>24</v>
      </c>
      <c r="GB73" s="204">
        <f t="shared" si="756"/>
        <v>25</v>
      </c>
      <c r="GC73" s="204">
        <f t="shared" si="756"/>
        <v>26</v>
      </c>
      <c r="GD73" s="204">
        <f t="shared" si="756"/>
        <v>27</v>
      </c>
      <c r="GE73" s="204">
        <f t="shared" si="756"/>
        <v>28</v>
      </c>
      <c r="GF73" s="204">
        <f t="shared" si="756"/>
        <v>29</v>
      </c>
      <c r="GG73" s="204">
        <f t="shared" si="756"/>
        <v>30</v>
      </c>
      <c r="GH73" s="204">
        <f t="shared" si="756"/>
        <v>31</v>
      </c>
      <c r="GI73" s="204">
        <f t="shared" si="756"/>
        <v>32</v>
      </c>
      <c r="GJ73" s="204">
        <f t="shared" si="756"/>
        <v>33</v>
      </c>
      <c r="GK73" s="204">
        <f t="shared" si="756"/>
        <v>34</v>
      </c>
      <c r="GL73" s="204">
        <f t="shared" si="756"/>
        <v>35</v>
      </c>
      <c r="GM73" s="204">
        <f t="shared" si="756"/>
        <v>36</v>
      </c>
      <c r="GN73" s="204">
        <f t="shared" si="756"/>
        <v>37</v>
      </c>
      <c r="GO73" s="204">
        <f t="shared" si="756"/>
        <v>38</v>
      </c>
      <c r="GP73" s="204">
        <f t="shared" si="756"/>
        <v>39</v>
      </c>
      <c r="GQ73" s="204">
        <f t="shared" si="756"/>
        <v>40</v>
      </c>
      <c r="GR73" s="204">
        <f t="shared" si="756"/>
        <v>41</v>
      </c>
      <c r="GS73" s="204">
        <f t="shared" si="756"/>
        <v>42</v>
      </c>
      <c r="GT73" s="204">
        <f t="shared" si="756"/>
        <v>43</v>
      </c>
      <c r="GU73" s="204">
        <f t="shared" si="756"/>
        <v>44</v>
      </c>
      <c r="GV73" s="204">
        <f t="shared" si="756"/>
        <v>45</v>
      </c>
      <c r="GW73" s="204">
        <f t="shared" si="756"/>
        <v>46</v>
      </c>
      <c r="GX73" s="204">
        <f t="shared" si="756"/>
        <v>47</v>
      </c>
      <c r="GY73" s="204">
        <f t="shared" si="756"/>
        <v>48</v>
      </c>
      <c r="GZ73" s="204">
        <f t="shared" si="756"/>
        <v>49</v>
      </c>
      <c r="HA73" s="204">
        <f t="shared" si="756"/>
        <v>50</v>
      </c>
      <c r="HB73" s="204">
        <f t="shared" si="756"/>
        <v>51</v>
      </c>
      <c r="HC73" s="204">
        <f t="shared" si="756"/>
        <v>52</v>
      </c>
      <c r="HD73" s="204">
        <f t="shared" si="756"/>
        <v>53</v>
      </c>
      <c r="HE73" s="204">
        <f t="shared" si="756"/>
        <v>54</v>
      </c>
      <c r="HF73" s="204">
        <f t="shared" si="756"/>
        <v>55</v>
      </c>
      <c r="HG73" s="204">
        <f t="shared" si="756"/>
        <v>56</v>
      </c>
      <c r="HH73" s="204">
        <f t="shared" si="756"/>
        <v>57</v>
      </c>
      <c r="HI73" s="204">
        <f t="shared" si="756"/>
        <v>58</v>
      </c>
      <c r="HJ73" s="204">
        <f t="shared" si="756"/>
        <v>59</v>
      </c>
      <c r="HK73" s="204">
        <f t="shared" si="756"/>
        <v>60</v>
      </c>
      <c r="HL73" s="204">
        <f t="shared" si="756"/>
        <v>61</v>
      </c>
      <c r="HM73" s="204">
        <f t="shared" si="756"/>
        <v>62</v>
      </c>
      <c r="HN73" s="204">
        <f t="shared" si="756"/>
        <v>63</v>
      </c>
      <c r="HO73" s="204">
        <f t="shared" si="756"/>
        <v>64</v>
      </c>
      <c r="HP73" s="204">
        <f t="shared" si="756"/>
        <v>65</v>
      </c>
      <c r="HQ73" s="204">
        <f t="shared" ref="HQ73:KB73" si="757">+HP73+1</f>
        <v>66</v>
      </c>
      <c r="HR73" s="204">
        <f t="shared" si="757"/>
        <v>67</v>
      </c>
      <c r="HS73" s="204">
        <f t="shared" si="757"/>
        <v>68</v>
      </c>
      <c r="HT73" s="204">
        <f t="shared" si="757"/>
        <v>69</v>
      </c>
      <c r="HU73" s="204">
        <f t="shared" si="757"/>
        <v>70</v>
      </c>
      <c r="HV73" s="204">
        <f t="shared" si="757"/>
        <v>71</v>
      </c>
      <c r="HW73" s="204">
        <f t="shared" si="757"/>
        <v>72</v>
      </c>
      <c r="HX73" s="204">
        <f t="shared" si="757"/>
        <v>73</v>
      </c>
      <c r="HY73" s="204">
        <f t="shared" si="757"/>
        <v>74</v>
      </c>
      <c r="HZ73" s="204">
        <f t="shared" si="757"/>
        <v>75</v>
      </c>
      <c r="IA73" s="204">
        <f t="shared" si="757"/>
        <v>76</v>
      </c>
      <c r="IB73" s="204">
        <f t="shared" si="757"/>
        <v>77</v>
      </c>
      <c r="IC73" s="204">
        <f t="shared" si="757"/>
        <v>78</v>
      </c>
      <c r="ID73" s="204">
        <f t="shared" si="757"/>
        <v>79</v>
      </c>
      <c r="IE73" s="204">
        <f t="shared" si="757"/>
        <v>80</v>
      </c>
      <c r="IF73" s="204">
        <f t="shared" si="757"/>
        <v>81</v>
      </c>
      <c r="IG73" s="204">
        <f t="shared" si="757"/>
        <v>82</v>
      </c>
      <c r="IH73" s="204">
        <f t="shared" si="757"/>
        <v>83</v>
      </c>
      <c r="II73" s="204">
        <f t="shared" si="757"/>
        <v>84</v>
      </c>
      <c r="IJ73" s="204">
        <f t="shared" si="757"/>
        <v>85</v>
      </c>
      <c r="IK73" s="204">
        <f t="shared" si="757"/>
        <v>86</v>
      </c>
      <c r="IL73" s="204">
        <f t="shared" si="757"/>
        <v>87</v>
      </c>
      <c r="IM73" s="204">
        <f t="shared" si="757"/>
        <v>88</v>
      </c>
      <c r="IN73" s="204">
        <f t="shared" si="757"/>
        <v>89</v>
      </c>
      <c r="IO73" s="204">
        <f t="shared" si="757"/>
        <v>90</v>
      </c>
      <c r="IP73" s="204">
        <f t="shared" si="757"/>
        <v>91</v>
      </c>
      <c r="IQ73" s="204">
        <f t="shared" si="757"/>
        <v>92</v>
      </c>
      <c r="IR73" s="204">
        <f t="shared" si="757"/>
        <v>93</v>
      </c>
      <c r="IS73" s="204">
        <f t="shared" si="757"/>
        <v>94</v>
      </c>
      <c r="IT73" s="204">
        <f t="shared" si="757"/>
        <v>95</v>
      </c>
      <c r="IU73" s="204">
        <f t="shared" si="757"/>
        <v>96</v>
      </c>
      <c r="IV73" s="204">
        <f t="shared" si="757"/>
        <v>97</v>
      </c>
      <c r="IW73" s="204">
        <f t="shared" si="757"/>
        <v>98</v>
      </c>
      <c r="IX73" s="204">
        <f t="shared" si="757"/>
        <v>99</v>
      </c>
      <c r="IY73" s="204">
        <f t="shared" si="757"/>
        <v>100</v>
      </c>
      <c r="IZ73" s="204">
        <f t="shared" si="757"/>
        <v>101</v>
      </c>
      <c r="JA73" s="204">
        <f t="shared" si="757"/>
        <v>102</v>
      </c>
      <c r="JB73" s="204">
        <f t="shared" si="757"/>
        <v>103</v>
      </c>
      <c r="JC73" s="204">
        <f t="shared" si="757"/>
        <v>104</v>
      </c>
      <c r="JD73" s="204">
        <f t="shared" si="757"/>
        <v>105</v>
      </c>
      <c r="JE73" s="204">
        <f t="shared" si="757"/>
        <v>106</v>
      </c>
      <c r="JF73" s="204">
        <f t="shared" si="757"/>
        <v>107</v>
      </c>
      <c r="JG73" s="204">
        <f t="shared" si="757"/>
        <v>108</v>
      </c>
      <c r="JH73" s="204">
        <f t="shared" si="757"/>
        <v>109</v>
      </c>
      <c r="JI73" s="204">
        <f t="shared" si="757"/>
        <v>110</v>
      </c>
      <c r="JJ73" s="204">
        <f t="shared" si="757"/>
        <v>111</v>
      </c>
      <c r="JK73" s="204">
        <f t="shared" si="757"/>
        <v>112</v>
      </c>
      <c r="JL73" s="204">
        <f t="shared" si="757"/>
        <v>113</v>
      </c>
      <c r="JM73" s="204">
        <f t="shared" si="757"/>
        <v>114</v>
      </c>
      <c r="JN73" s="204">
        <f t="shared" si="757"/>
        <v>115</v>
      </c>
      <c r="JO73" s="204">
        <f t="shared" si="757"/>
        <v>116</v>
      </c>
      <c r="JP73" s="204">
        <f t="shared" si="757"/>
        <v>117</v>
      </c>
      <c r="JQ73" s="204">
        <f t="shared" si="757"/>
        <v>118</v>
      </c>
      <c r="JR73" s="204">
        <f t="shared" si="757"/>
        <v>119</v>
      </c>
      <c r="JS73" s="204">
        <f t="shared" si="757"/>
        <v>120</v>
      </c>
      <c r="JT73" s="204">
        <f t="shared" si="757"/>
        <v>121</v>
      </c>
      <c r="JU73" s="204">
        <f t="shared" si="757"/>
        <v>122</v>
      </c>
      <c r="JV73" s="204">
        <f t="shared" si="757"/>
        <v>123</v>
      </c>
      <c r="JW73" s="204">
        <f t="shared" si="757"/>
        <v>124</v>
      </c>
      <c r="JX73" s="204">
        <f t="shared" si="757"/>
        <v>125</v>
      </c>
      <c r="JY73" s="204">
        <f t="shared" si="757"/>
        <v>126</v>
      </c>
      <c r="JZ73" s="204">
        <f t="shared" si="757"/>
        <v>127</v>
      </c>
      <c r="KA73" s="204">
        <f t="shared" si="757"/>
        <v>128</v>
      </c>
      <c r="KB73" s="204">
        <f t="shared" si="757"/>
        <v>129</v>
      </c>
      <c r="KC73" s="204">
        <f t="shared" ref="KC73:KE73" si="758">+KB73+1</f>
        <v>130</v>
      </c>
      <c r="KD73" s="204">
        <f t="shared" si="758"/>
        <v>131</v>
      </c>
      <c r="KE73" s="204">
        <f t="shared" si="758"/>
        <v>132</v>
      </c>
      <c r="KF73" s="205"/>
      <c r="KH73" s="203"/>
      <c r="KI73" s="203"/>
      <c r="KJ73" s="203"/>
      <c r="KK73" s="203"/>
      <c r="KL73" s="203"/>
      <c r="KM73" s="204"/>
      <c r="KN73" s="204"/>
      <c r="KO73" s="204"/>
      <c r="KP73" s="204"/>
      <c r="KQ73" s="204"/>
      <c r="KR73" s="204"/>
      <c r="KS73" s="204"/>
      <c r="KT73" s="204"/>
      <c r="KU73" s="204"/>
      <c r="KV73" s="204"/>
      <c r="KW73" s="204"/>
      <c r="KX73" s="204"/>
      <c r="KY73" s="204"/>
      <c r="KZ73" s="204"/>
      <c r="LA73" s="204"/>
      <c r="LB73" s="204"/>
      <c r="LC73" s="204"/>
      <c r="LD73" s="204"/>
      <c r="LE73" s="204"/>
      <c r="LF73" s="204"/>
      <c r="LG73" s="204"/>
      <c r="LH73" s="204"/>
      <c r="LI73" s="204"/>
      <c r="LJ73" s="204"/>
      <c r="LK73" s="204"/>
      <c r="LL73" s="204"/>
      <c r="LM73" s="204"/>
      <c r="LN73" s="204"/>
      <c r="LO73" s="204"/>
      <c r="LP73" s="204"/>
      <c r="LQ73" s="204"/>
      <c r="LR73" s="204"/>
      <c r="LS73" s="204"/>
      <c r="LT73" s="204"/>
      <c r="LU73" s="204"/>
      <c r="LV73" s="204"/>
      <c r="LW73" s="204"/>
      <c r="LX73" s="204"/>
      <c r="LY73" s="204"/>
      <c r="LZ73" s="204"/>
      <c r="MA73" s="204"/>
      <c r="MB73" s="204"/>
      <c r="MC73" s="204"/>
      <c r="MD73" s="204"/>
      <c r="ME73" s="204"/>
      <c r="MF73" s="204"/>
      <c r="MG73" s="204"/>
      <c r="MH73" s="204"/>
      <c r="MI73" s="204"/>
      <c r="MJ73" s="204"/>
      <c r="MK73" s="204"/>
      <c r="ML73" s="204"/>
      <c r="MM73" s="204"/>
      <c r="MN73" s="204"/>
      <c r="MO73" s="204"/>
      <c r="MP73" s="204"/>
      <c r="MQ73" s="204"/>
      <c r="MR73" s="204"/>
      <c r="MS73" s="204"/>
      <c r="MT73" s="204"/>
      <c r="MU73" s="204"/>
      <c r="MV73" s="204"/>
      <c r="MW73" s="204"/>
      <c r="MX73" s="204"/>
      <c r="MY73" s="204"/>
      <c r="MZ73" s="204"/>
      <c r="NA73" s="204"/>
      <c r="NB73" s="204"/>
      <c r="NC73" s="204"/>
      <c r="ND73" s="204"/>
      <c r="NE73" s="204"/>
      <c r="NF73" s="204"/>
      <c r="NG73" s="204"/>
      <c r="NH73" s="204"/>
      <c r="NI73" s="204"/>
      <c r="NJ73" s="204"/>
      <c r="NK73" s="204"/>
      <c r="NL73" s="204"/>
      <c r="NM73" s="204"/>
      <c r="NN73" s="204"/>
      <c r="NO73" s="204"/>
      <c r="NP73" s="204"/>
      <c r="NQ73" s="204"/>
      <c r="NR73" s="204"/>
      <c r="NS73" s="204"/>
      <c r="NT73" s="204"/>
      <c r="NU73" s="204"/>
      <c r="NV73" s="204"/>
      <c r="NW73" s="204"/>
      <c r="NX73" s="204"/>
      <c r="NY73" s="204"/>
      <c r="NZ73" s="204"/>
      <c r="OA73" s="204"/>
      <c r="OB73" s="204"/>
      <c r="OC73" s="204"/>
      <c r="OD73" s="204"/>
      <c r="OE73" s="204"/>
      <c r="OF73" s="204"/>
      <c r="OG73" s="204"/>
      <c r="OH73" s="204"/>
      <c r="OI73" s="204"/>
      <c r="OJ73" s="204"/>
      <c r="OK73" s="204"/>
      <c r="OL73" s="204"/>
      <c r="OM73" s="204"/>
      <c r="ON73" s="204"/>
      <c r="OO73" s="204"/>
      <c r="OP73" s="204"/>
      <c r="OQ73" s="204"/>
      <c r="OR73" s="204"/>
      <c r="OS73" s="204"/>
      <c r="OT73" s="204"/>
      <c r="OU73" s="204"/>
      <c r="OV73" s="204"/>
      <c r="OW73" s="204"/>
      <c r="OX73" s="204"/>
      <c r="OY73" s="204"/>
      <c r="OZ73" s="204"/>
      <c r="PA73" s="204"/>
      <c r="PB73" s="204"/>
      <c r="PC73" s="204"/>
      <c r="PD73" s="204"/>
      <c r="PE73" s="204"/>
      <c r="PF73" s="204"/>
      <c r="PG73" s="204"/>
      <c r="PH73" s="204"/>
      <c r="PI73" s="204"/>
      <c r="PJ73" s="204"/>
      <c r="PK73" s="204"/>
      <c r="PL73" s="204"/>
      <c r="PM73" s="204"/>
      <c r="PN73" s="204"/>
      <c r="PO73" s="204"/>
      <c r="PQ73" s="201"/>
      <c r="PR73" s="201"/>
      <c r="PS73" s="201"/>
      <c r="PT73" s="201"/>
      <c r="PU73" s="201"/>
      <c r="PV73" s="201"/>
      <c r="PW73" s="201"/>
      <c r="PX73" s="201"/>
      <c r="PY73" s="201"/>
      <c r="PZ73" s="201"/>
      <c r="QA73" s="201"/>
      <c r="QB73" s="201"/>
      <c r="QC73" s="201"/>
      <c r="QD73" s="201"/>
      <c r="QE73" s="201"/>
      <c r="QF73" s="201"/>
      <c r="QG73" s="201"/>
      <c r="QH73" s="201"/>
      <c r="QI73" s="201"/>
      <c r="QJ73" s="201"/>
      <c r="QK73" s="201"/>
      <c r="QL73" s="201"/>
      <c r="QM73" s="201"/>
      <c r="QN73" s="201"/>
      <c r="QO73" s="201"/>
      <c r="QP73" s="201"/>
      <c r="QQ73" s="201"/>
      <c r="QR73" s="201"/>
      <c r="QS73" s="201"/>
      <c r="QT73" s="201"/>
      <c r="QU73" s="201"/>
      <c r="QV73" s="201"/>
      <c r="QW73" s="201"/>
      <c r="QX73" s="201"/>
      <c r="QY73" s="201"/>
      <c r="QZ73" s="201"/>
      <c r="RA73" s="201"/>
      <c r="RB73" s="201"/>
      <c r="RC73" s="201"/>
      <c r="RD73" s="201"/>
      <c r="RE73" s="201"/>
      <c r="RF73" s="201"/>
      <c r="RG73" s="201"/>
      <c r="RH73" s="201"/>
      <c r="RI73" s="201"/>
      <c r="RJ73" s="201"/>
      <c r="RK73" s="201"/>
      <c r="RL73" s="201"/>
      <c r="RM73" s="201"/>
      <c r="RN73" s="201"/>
      <c r="RO73" s="201"/>
      <c r="RP73" s="201"/>
      <c r="RQ73" s="201"/>
      <c r="RR73" s="201"/>
      <c r="RS73" s="201"/>
      <c r="RT73" s="201"/>
      <c r="RU73" s="201"/>
      <c r="RV73" s="201"/>
      <c r="RW73" s="201"/>
      <c r="RX73" s="201"/>
      <c r="RY73" s="201"/>
      <c r="RZ73" s="201"/>
      <c r="SA73" s="201"/>
      <c r="SB73" s="201"/>
      <c r="SC73" s="201"/>
      <c r="SD73" s="201"/>
      <c r="SE73" s="201"/>
      <c r="SF73" s="201"/>
      <c r="SG73" s="201"/>
      <c r="SH73" s="201"/>
      <c r="SI73" s="201"/>
      <c r="SJ73" s="201"/>
      <c r="SK73" s="201"/>
      <c r="SL73" s="201"/>
      <c r="SM73" s="201"/>
      <c r="SN73" s="201"/>
      <c r="SO73" s="201"/>
      <c r="SP73" s="201"/>
      <c r="SQ73" s="201"/>
      <c r="SR73" s="201"/>
      <c r="SS73" s="201"/>
      <c r="ST73" s="201"/>
      <c r="SU73" s="201"/>
      <c r="SV73" s="201"/>
      <c r="SW73" s="201"/>
      <c r="SX73" s="201"/>
      <c r="SY73" s="201"/>
      <c r="SZ73" s="201"/>
      <c r="TA73" s="201"/>
      <c r="TB73" s="201"/>
      <c r="TC73" s="201"/>
      <c r="TD73" s="201"/>
      <c r="TE73" s="201"/>
      <c r="TF73" s="201"/>
      <c r="TG73" s="201"/>
      <c r="TH73" s="201"/>
      <c r="TI73" s="201"/>
      <c r="TJ73" s="201"/>
      <c r="TK73" s="201"/>
      <c r="TL73" s="201"/>
      <c r="TM73" s="201"/>
      <c r="TN73" s="201"/>
      <c r="TO73" s="201"/>
      <c r="TP73" s="201"/>
      <c r="TQ73" s="201"/>
      <c r="TR73" s="201"/>
      <c r="TS73" s="201"/>
      <c r="TT73" s="201"/>
      <c r="TU73" s="201"/>
      <c r="TV73" s="201"/>
      <c r="TW73" s="201"/>
      <c r="TX73" s="201"/>
      <c r="TY73" s="201"/>
      <c r="TZ73" s="201"/>
      <c r="UA73" s="201"/>
      <c r="UB73" s="201"/>
      <c r="UC73" s="201"/>
      <c r="UD73" s="201"/>
      <c r="UE73" s="201"/>
      <c r="UF73" s="201"/>
      <c r="UG73" s="201"/>
      <c r="UH73" s="201"/>
      <c r="UI73" s="201"/>
      <c r="UJ73" s="201"/>
      <c r="UK73" s="201"/>
      <c r="UL73" s="201"/>
      <c r="UM73" s="201"/>
      <c r="UN73" s="201"/>
      <c r="UO73" s="201"/>
      <c r="UP73" s="201"/>
      <c r="UQ73" s="201"/>
      <c r="UR73" s="201"/>
      <c r="US73" s="201"/>
      <c r="UT73" s="201"/>
      <c r="UU73" s="201"/>
    </row>
    <row r="74" spans="2:567" x14ac:dyDescent="0.25">
      <c r="B74" s="28" t="s">
        <v>94</v>
      </c>
      <c r="C74" s="59"/>
      <c r="D74" s="59"/>
      <c r="E74" s="59"/>
      <c r="F74" s="59"/>
      <c r="G74" s="59"/>
      <c r="H74" s="59"/>
      <c r="I74" s="59"/>
      <c r="J74" s="59"/>
      <c r="K74" s="59"/>
      <c r="L74" s="1"/>
      <c r="M74" s="593"/>
      <c r="N74" s="593"/>
      <c r="O74" s="593"/>
      <c r="P74" s="593"/>
      <c r="Q74" s="593"/>
      <c r="R74" s="382"/>
      <c r="S74" s="559" t="s">
        <v>645</v>
      </c>
      <c r="T74" s="612" t="s">
        <v>646</v>
      </c>
      <c r="U74" s="612"/>
      <c r="V74" s="612"/>
      <c r="W74" s="612"/>
      <c r="X74" s="612"/>
      <c r="Y74" s="383"/>
      <c r="Z74" s="383"/>
      <c r="AA74" s="383"/>
      <c r="AB74" s="383"/>
      <c r="AC74" s="383"/>
      <c r="AD74" s="383"/>
      <c r="AE74" s="383"/>
      <c r="AF74" s="383"/>
      <c r="AG74" s="383"/>
      <c r="AH74" s="383"/>
      <c r="AI74" s="383"/>
      <c r="AJ74" s="383"/>
      <c r="AK74" s="383"/>
      <c r="AL74" s="383"/>
      <c r="AM74" s="383"/>
      <c r="AN74" s="383"/>
      <c r="AO74" s="383"/>
      <c r="AP74" s="383"/>
      <c r="AQ74" s="383"/>
      <c r="AR74" s="383"/>
      <c r="AS74" s="383"/>
      <c r="AT74" s="383"/>
      <c r="AU74" s="383"/>
      <c r="AV74" s="383"/>
      <c r="AW74" s="383"/>
      <c r="AX74" s="383"/>
      <c r="AY74" s="383"/>
      <c r="AZ74" s="383"/>
      <c r="BA74" s="383"/>
      <c r="BB74" s="383"/>
      <c r="BC74" s="383"/>
      <c r="BD74" s="383"/>
      <c r="BE74" s="383"/>
      <c r="BF74" s="383"/>
      <c r="BG74" s="383"/>
      <c r="BH74" s="383"/>
      <c r="BI74" s="383"/>
      <c r="BJ74" s="383"/>
      <c r="BK74" s="383"/>
      <c r="BL74" s="383"/>
      <c r="BM74" s="383"/>
      <c r="BN74" s="383"/>
      <c r="BO74" s="383"/>
      <c r="BP74" s="383"/>
      <c r="BQ74" s="383"/>
      <c r="BR74" s="383"/>
      <c r="BS74" s="383"/>
      <c r="BT74" s="383"/>
      <c r="BU74" s="383"/>
      <c r="BV74" s="383"/>
      <c r="BW74" s="383"/>
      <c r="BX74" s="383"/>
      <c r="BY74" s="383"/>
      <c r="BZ74" s="383"/>
      <c r="CA74" s="383"/>
      <c r="CB74" s="383"/>
      <c r="CC74" s="383"/>
      <c r="CD74" s="383"/>
      <c r="CE74" s="383"/>
      <c r="CF74" s="383"/>
      <c r="CG74" s="383"/>
      <c r="CH74" s="383"/>
      <c r="CI74" s="383"/>
      <c r="CJ74" s="383"/>
      <c r="CK74" s="383"/>
      <c r="CL74" s="383"/>
      <c r="CM74" s="383"/>
      <c r="CN74" s="383"/>
      <c r="CO74" s="383"/>
      <c r="CP74" s="383"/>
      <c r="CQ74" s="383"/>
      <c r="CR74" s="383"/>
      <c r="CS74" s="383"/>
      <c r="CT74" s="383"/>
      <c r="CU74" s="383"/>
      <c r="CV74" s="383"/>
      <c r="CW74" s="383"/>
      <c r="CX74" s="383"/>
      <c r="CY74" s="383"/>
      <c r="CZ74" s="383"/>
      <c r="DA74" s="383"/>
      <c r="DB74" s="383"/>
      <c r="DC74" s="383"/>
      <c r="DD74" s="383"/>
      <c r="DE74" s="383"/>
      <c r="DF74" s="383"/>
      <c r="DG74" s="383"/>
      <c r="DH74" s="383"/>
      <c r="DI74" s="383"/>
      <c r="DJ74" s="383"/>
      <c r="DK74" s="383"/>
      <c r="DL74" s="383"/>
      <c r="DM74" s="383"/>
      <c r="DN74" s="383"/>
      <c r="DO74" s="383"/>
      <c r="DP74" s="383"/>
      <c r="DQ74" s="383"/>
      <c r="DR74" s="383"/>
      <c r="DS74" s="383"/>
      <c r="DT74" s="383"/>
      <c r="DU74" s="383"/>
      <c r="DV74" s="383"/>
      <c r="DW74" s="383"/>
      <c r="DX74" s="383"/>
      <c r="DY74" s="383"/>
      <c r="DZ74" s="383"/>
      <c r="EA74" s="383"/>
      <c r="EB74" s="383"/>
      <c r="EC74" s="383"/>
      <c r="ED74" s="383"/>
      <c r="EE74" s="383"/>
      <c r="EF74" s="383"/>
      <c r="EG74" s="383"/>
      <c r="EH74" s="383"/>
      <c r="EI74" s="383"/>
      <c r="EJ74" s="383"/>
      <c r="EK74" s="383"/>
      <c r="EL74" s="383"/>
      <c r="EM74" s="383"/>
      <c r="EN74" s="383"/>
      <c r="EO74" s="383"/>
      <c r="EP74" s="383"/>
      <c r="EQ74" s="383"/>
      <c r="ER74" s="383"/>
      <c r="ES74" s="383"/>
      <c r="ET74" s="383"/>
      <c r="EU74" s="383"/>
      <c r="EW74" s="199" t="s">
        <v>334</v>
      </c>
      <c r="KF74" s="205"/>
      <c r="KH74" s="203"/>
      <c r="KI74" s="203"/>
      <c r="KJ74" s="203"/>
      <c r="KK74" s="203"/>
      <c r="KL74" s="203"/>
      <c r="KM74" s="204"/>
      <c r="KN74" s="204"/>
      <c r="KO74" s="204"/>
      <c r="KP74" s="204"/>
      <c r="KQ74" s="204"/>
      <c r="KR74" s="204"/>
      <c r="KS74" s="204"/>
      <c r="KT74" s="204"/>
      <c r="KU74" s="204"/>
      <c r="KV74" s="204"/>
      <c r="KW74" s="204"/>
      <c r="KX74" s="204"/>
      <c r="KY74" s="204"/>
      <c r="KZ74" s="204"/>
      <c r="LA74" s="204"/>
      <c r="LB74" s="204"/>
      <c r="LC74" s="204"/>
      <c r="LD74" s="204"/>
      <c r="LE74" s="204"/>
      <c r="LF74" s="204"/>
      <c r="LG74" s="204"/>
      <c r="LH74" s="204"/>
      <c r="LI74" s="204"/>
      <c r="LJ74" s="204"/>
      <c r="LK74" s="204"/>
      <c r="LL74" s="204"/>
      <c r="LM74" s="204"/>
      <c r="LN74" s="204"/>
      <c r="LO74" s="204"/>
      <c r="LP74" s="204"/>
      <c r="LQ74" s="204"/>
      <c r="LR74" s="204"/>
      <c r="LS74" s="204"/>
      <c r="LT74" s="204"/>
      <c r="LU74" s="204"/>
      <c r="LV74" s="204"/>
      <c r="LW74" s="204"/>
      <c r="LX74" s="204"/>
      <c r="LY74" s="204"/>
      <c r="LZ74" s="204"/>
      <c r="MA74" s="204"/>
      <c r="MB74" s="204"/>
      <c r="MC74" s="204"/>
      <c r="MD74" s="204"/>
      <c r="ME74" s="204"/>
      <c r="MF74" s="204"/>
      <c r="MG74" s="204"/>
      <c r="MH74" s="204"/>
      <c r="MI74" s="204"/>
      <c r="MJ74" s="204"/>
      <c r="MK74" s="204"/>
      <c r="ML74" s="204"/>
      <c r="MM74" s="204"/>
      <c r="MN74" s="204"/>
      <c r="MO74" s="204"/>
      <c r="MP74" s="204"/>
      <c r="MQ74" s="204"/>
      <c r="MR74" s="204"/>
      <c r="MS74" s="204"/>
      <c r="MT74" s="204"/>
      <c r="MU74" s="204"/>
      <c r="MV74" s="204"/>
      <c r="MW74" s="204"/>
      <c r="MX74" s="204"/>
      <c r="MY74" s="204"/>
      <c r="MZ74" s="204"/>
      <c r="NA74" s="204"/>
      <c r="NB74" s="204"/>
      <c r="NC74" s="204"/>
      <c r="ND74" s="204"/>
      <c r="NE74" s="204"/>
      <c r="NF74" s="204"/>
      <c r="NG74" s="204"/>
      <c r="NH74" s="204"/>
      <c r="NI74" s="204"/>
      <c r="NJ74" s="204"/>
      <c r="NK74" s="204"/>
      <c r="NL74" s="204"/>
      <c r="NM74" s="204"/>
      <c r="NN74" s="204"/>
      <c r="NO74" s="204"/>
      <c r="NP74" s="204"/>
      <c r="NQ74" s="204"/>
      <c r="NR74" s="204"/>
      <c r="NS74" s="204"/>
      <c r="NT74" s="204"/>
      <c r="NU74" s="204"/>
      <c r="NV74" s="204"/>
      <c r="NW74" s="204"/>
      <c r="NX74" s="204"/>
      <c r="NY74" s="204"/>
      <c r="NZ74" s="204"/>
      <c r="OA74" s="204"/>
      <c r="OB74" s="204"/>
      <c r="OC74" s="204"/>
      <c r="OD74" s="204"/>
      <c r="OE74" s="204"/>
      <c r="OF74" s="204"/>
      <c r="OG74" s="204"/>
      <c r="OH74" s="204"/>
      <c r="OI74" s="204"/>
      <c r="OJ74" s="204"/>
      <c r="OK74" s="204"/>
      <c r="OL74" s="204"/>
      <c r="OM74" s="204"/>
      <c r="ON74" s="204"/>
      <c r="OO74" s="204"/>
      <c r="OP74" s="204"/>
      <c r="OQ74" s="204"/>
      <c r="OR74" s="204"/>
      <c r="OS74" s="204"/>
      <c r="OT74" s="204"/>
      <c r="OU74" s="204"/>
      <c r="OV74" s="204"/>
      <c r="OW74" s="204"/>
      <c r="OX74" s="204"/>
      <c r="OY74" s="204"/>
      <c r="OZ74" s="204"/>
      <c r="PA74" s="204"/>
      <c r="PB74" s="204"/>
      <c r="PC74" s="204"/>
      <c r="PD74" s="204"/>
      <c r="PE74" s="204"/>
      <c r="PF74" s="204"/>
      <c r="PG74" s="204"/>
      <c r="PH74" s="204"/>
      <c r="PI74" s="204"/>
      <c r="PJ74" s="204"/>
      <c r="PK74" s="204"/>
      <c r="PL74" s="204"/>
      <c r="PM74" s="204"/>
      <c r="PN74" s="204"/>
      <c r="PO74" s="204"/>
      <c r="PQ74" s="201"/>
      <c r="PR74" s="201"/>
      <c r="PS74" s="201"/>
      <c r="PT74" s="201"/>
      <c r="PU74" s="201"/>
      <c r="PV74" s="201"/>
      <c r="PW74" s="201"/>
      <c r="PX74" s="201"/>
      <c r="PY74" s="201"/>
      <c r="PZ74" s="201"/>
      <c r="QA74" s="201"/>
      <c r="QB74" s="201"/>
      <c r="QC74" s="201"/>
      <c r="QD74" s="201"/>
      <c r="QE74" s="201"/>
      <c r="QF74" s="201"/>
      <c r="QG74" s="201"/>
      <c r="QH74" s="201"/>
      <c r="QI74" s="201"/>
      <c r="QJ74" s="201"/>
      <c r="QK74" s="201"/>
      <c r="QL74" s="201"/>
      <c r="QM74" s="201"/>
      <c r="QN74" s="201"/>
      <c r="QO74" s="201"/>
      <c r="QP74" s="201"/>
      <c r="QQ74" s="201"/>
      <c r="QR74" s="201"/>
      <c r="QS74" s="201"/>
      <c r="QT74" s="201"/>
      <c r="QU74" s="201"/>
      <c r="QV74" s="201"/>
      <c r="QW74" s="201"/>
      <c r="QX74" s="201"/>
      <c r="QY74" s="201"/>
      <c r="QZ74" s="201"/>
      <c r="RA74" s="201"/>
      <c r="RB74" s="201"/>
      <c r="RC74" s="201"/>
      <c r="RD74" s="201"/>
      <c r="RE74" s="201"/>
      <c r="RF74" s="201"/>
      <c r="RG74" s="201"/>
      <c r="RH74" s="201"/>
      <c r="RI74" s="201"/>
      <c r="RJ74" s="201"/>
      <c r="RK74" s="201"/>
      <c r="RL74" s="201"/>
      <c r="RM74" s="201"/>
      <c r="RN74" s="201"/>
      <c r="RO74" s="201"/>
      <c r="RP74" s="201"/>
      <c r="RQ74" s="201"/>
      <c r="RR74" s="201"/>
      <c r="RS74" s="201"/>
      <c r="RT74" s="201"/>
      <c r="RU74" s="201"/>
      <c r="RV74" s="201"/>
      <c r="RW74" s="201"/>
      <c r="RX74" s="201"/>
      <c r="RY74" s="201"/>
      <c r="RZ74" s="201"/>
      <c r="SA74" s="201"/>
      <c r="SB74" s="201"/>
      <c r="SC74" s="201"/>
      <c r="SD74" s="201"/>
      <c r="SE74" s="201"/>
      <c r="SF74" s="201"/>
      <c r="SG74" s="201"/>
      <c r="SH74" s="201"/>
      <c r="SI74" s="201"/>
      <c r="SJ74" s="201"/>
      <c r="SK74" s="201"/>
      <c r="SL74" s="201"/>
      <c r="SM74" s="201"/>
      <c r="SN74" s="201"/>
      <c r="SO74" s="201"/>
      <c r="SP74" s="201"/>
      <c r="SQ74" s="201"/>
      <c r="SR74" s="201"/>
      <c r="SS74" s="201"/>
      <c r="ST74" s="201"/>
      <c r="SU74" s="201"/>
      <c r="SV74" s="201"/>
      <c r="SW74" s="201"/>
      <c r="SX74" s="201"/>
      <c r="SY74" s="201"/>
      <c r="SZ74" s="201"/>
      <c r="TA74" s="201"/>
      <c r="TB74" s="201"/>
      <c r="TC74" s="201"/>
      <c r="TD74" s="201"/>
      <c r="TE74" s="201"/>
      <c r="TF74" s="201"/>
      <c r="TG74" s="201"/>
      <c r="TH74" s="201"/>
      <c r="TI74" s="201"/>
      <c r="TJ74" s="201"/>
      <c r="TK74" s="201"/>
      <c r="TL74" s="201"/>
      <c r="TM74" s="201"/>
      <c r="TN74" s="201"/>
      <c r="TO74" s="201"/>
      <c r="TP74" s="201"/>
      <c r="TQ74" s="201"/>
      <c r="TR74" s="201"/>
      <c r="TS74" s="201"/>
      <c r="TT74" s="201"/>
      <c r="TU74" s="201"/>
      <c r="TV74" s="201"/>
      <c r="TW74" s="201"/>
      <c r="TX74" s="201"/>
      <c r="TY74" s="201"/>
      <c r="TZ74" s="201"/>
      <c r="UA74" s="201"/>
      <c r="UB74" s="201"/>
      <c r="UC74" s="201"/>
      <c r="UD74" s="201"/>
      <c r="UE74" s="201"/>
      <c r="UF74" s="201"/>
      <c r="UG74" s="201"/>
      <c r="UH74" s="201"/>
      <c r="UI74" s="201"/>
      <c r="UJ74" s="201"/>
      <c r="UK74" s="201"/>
      <c r="UL74" s="201"/>
      <c r="UM74" s="201"/>
      <c r="UN74" s="201"/>
      <c r="UO74" s="201"/>
      <c r="UP74" s="201"/>
      <c r="UQ74" s="201"/>
      <c r="UR74" s="201"/>
      <c r="US74" s="201"/>
      <c r="UT74" s="201"/>
      <c r="UU74" s="201"/>
    </row>
    <row r="75" spans="2:567" x14ac:dyDescent="0.25">
      <c r="B75" s="28" t="s">
        <v>332</v>
      </c>
      <c r="C75" s="59"/>
      <c r="D75" s="59"/>
      <c r="E75" s="59"/>
      <c r="F75" s="59" t="s">
        <v>91</v>
      </c>
      <c r="G75" s="59" t="s">
        <v>92</v>
      </c>
      <c r="H75" s="59" t="s">
        <v>90</v>
      </c>
      <c r="I75" s="59" t="s">
        <v>85</v>
      </c>
      <c r="J75" s="59" t="s">
        <v>86</v>
      </c>
      <c r="K75" s="29" t="s">
        <v>644</v>
      </c>
      <c r="R75" s="555" t="s">
        <v>793</v>
      </c>
      <c r="S75" s="556">
        <v>3.6350899999999998E-2</v>
      </c>
      <c r="T75" s="556">
        <v>3.6067500000000002E-2</v>
      </c>
      <c r="U75" s="556">
        <v>3.5242200000000001E-2</v>
      </c>
      <c r="V75" s="556">
        <v>3.52371E-2</v>
      </c>
      <c r="W75" s="556">
        <v>3.5058899999999997E-2</v>
      </c>
      <c r="X75" s="556">
        <v>3.4620999999999999E-2</v>
      </c>
      <c r="Y75" s="556">
        <v>3.4619400000000002E-2</v>
      </c>
      <c r="Z75" s="556">
        <v>3.4581500000000001E-2</v>
      </c>
      <c r="AA75" s="556">
        <v>3.4479099999999999E-2</v>
      </c>
      <c r="AB75" s="556">
        <v>3.4477099999999997E-2</v>
      </c>
      <c r="AC75" s="556">
        <v>3.449E-2</v>
      </c>
      <c r="AD75" s="556">
        <v>3.4513799999999997E-2</v>
      </c>
      <c r="AE75" s="556">
        <v>3.4550600000000001E-2</v>
      </c>
      <c r="AF75" s="556">
        <v>3.4597500000000003E-2</v>
      </c>
      <c r="AG75" s="556">
        <v>3.4668999999999998E-2</v>
      </c>
      <c r="AH75" s="556">
        <v>3.4737299999999999E-2</v>
      </c>
      <c r="AI75" s="556">
        <v>3.4810099999999997E-2</v>
      </c>
      <c r="AJ75" s="556">
        <v>3.4888000000000002E-2</v>
      </c>
      <c r="AK75" s="556">
        <v>3.4968899999999997E-2</v>
      </c>
      <c r="AL75" s="556">
        <v>3.5056499999999997E-2</v>
      </c>
      <c r="AM75" s="556">
        <v>3.5140100000000001E-2</v>
      </c>
      <c r="AN75" s="556">
        <v>3.5228200000000001E-2</v>
      </c>
      <c r="AO75" s="556">
        <v>3.5321400000000003E-2</v>
      </c>
      <c r="AP75" s="556">
        <v>3.5418100000000001E-2</v>
      </c>
      <c r="AQ75" s="556">
        <v>3.5511399999999999E-2</v>
      </c>
      <c r="AR75" s="556">
        <v>3.5614199999999999E-2</v>
      </c>
      <c r="AS75" s="556">
        <v>3.5718899999999998E-2</v>
      </c>
      <c r="AT75" s="556">
        <v>3.5810700000000001E-2</v>
      </c>
      <c r="AU75" s="556">
        <v>3.5911899999999997E-2</v>
      </c>
      <c r="AV75" s="556">
        <v>3.6001499999999999E-2</v>
      </c>
      <c r="AW75" s="556">
        <v>3.6088000000000002E-2</v>
      </c>
      <c r="AX75" s="556">
        <v>3.6172700000000002E-2</v>
      </c>
      <c r="AY75" s="556">
        <v>3.6249999999999998E-2</v>
      </c>
      <c r="AZ75" s="556">
        <v>3.6332700000000002E-2</v>
      </c>
      <c r="BA75" s="556">
        <v>3.6400000000000002E-2</v>
      </c>
      <c r="BB75" s="556">
        <v>3.6465900000000002E-2</v>
      </c>
      <c r="BC75" s="556">
        <v>3.6529800000000001E-2</v>
      </c>
      <c r="BD75" s="556">
        <v>3.6579399999999998E-2</v>
      </c>
      <c r="BE75" s="556">
        <v>3.6637799999999998E-2</v>
      </c>
      <c r="BF75" s="556">
        <v>3.6688800000000001E-2</v>
      </c>
      <c r="BG75" s="556">
        <v>3.67462E-2</v>
      </c>
      <c r="BH75" s="556">
        <v>3.6800699999999999E-2</v>
      </c>
      <c r="BI75" s="556">
        <v>3.68654E-2</v>
      </c>
      <c r="BJ75" s="556">
        <v>3.6922499999999997E-2</v>
      </c>
      <c r="BK75" s="556">
        <v>3.6975599999999997E-2</v>
      </c>
      <c r="BL75" s="556">
        <v>3.7039999999999997E-2</v>
      </c>
      <c r="BM75" s="556">
        <v>3.7097699999999997E-2</v>
      </c>
      <c r="BN75" s="556">
        <v>3.7166900000000003E-2</v>
      </c>
      <c r="BO75" s="556">
        <v>3.7222100000000001E-2</v>
      </c>
      <c r="BP75" s="556">
        <v>3.7277299999999999E-2</v>
      </c>
      <c r="BQ75" s="556">
        <v>3.73444E-2</v>
      </c>
      <c r="BR75" s="556">
        <v>3.7414000000000003E-2</v>
      </c>
      <c r="BS75" s="556">
        <v>3.74747E-2</v>
      </c>
      <c r="BT75" s="556">
        <v>3.75273E-2</v>
      </c>
      <c r="BU75" s="556">
        <v>3.7591600000000003E-2</v>
      </c>
      <c r="BV75" s="556">
        <v>3.7650000000000003E-2</v>
      </c>
      <c r="BW75" s="556">
        <v>3.7703399999999998E-2</v>
      </c>
      <c r="BX75" s="556">
        <v>3.7761700000000002E-2</v>
      </c>
      <c r="BY75" s="556">
        <v>3.7817799999999999E-2</v>
      </c>
      <c r="BZ75" s="556">
        <v>3.7875600000000002E-2</v>
      </c>
      <c r="CA75" s="556">
        <v>3.7928400000000001E-2</v>
      </c>
      <c r="CB75" s="556">
        <v>3.7969200000000002E-2</v>
      </c>
      <c r="CC75" s="556">
        <v>3.8024500000000003E-2</v>
      </c>
      <c r="CD75" s="556">
        <v>3.8078099999999997E-2</v>
      </c>
      <c r="CE75" s="556">
        <v>3.8126500000000001E-2</v>
      </c>
      <c r="CF75" s="556">
        <v>3.8169099999999997E-2</v>
      </c>
      <c r="CG75" s="556">
        <v>3.8217800000000003E-2</v>
      </c>
      <c r="CH75" s="556">
        <v>3.8264199999999998E-2</v>
      </c>
      <c r="CI75" s="556">
        <v>3.8312300000000001E-2</v>
      </c>
      <c r="CJ75" s="556">
        <v>3.83579E-2</v>
      </c>
      <c r="CK75" s="556">
        <v>3.8395400000000003E-2</v>
      </c>
      <c r="CL75" s="556">
        <v>3.8437499999999999E-2</v>
      </c>
      <c r="CM75" s="556">
        <v>3.8478400000000003E-2</v>
      </c>
      <c r="CN75" s="556">
        <v>3.85116E-2</v>
      </c>
      <c r="CO75" s="556">
        <v>3.8556199999999999E-2</v>
      </c>
      <c r="CP75" s="556">
        <v>3.8591300000000002E-2</v>
      </c>
      <c r="CQ75" s="556">
        <v>3.8631100000000002E-2</v>
      </c>
      <c r="CR75" s="556">
        <v>3.86711E-2</v>
      </c>
      <c r="CS75" s="556">
        <v>3.8711599999999999E-2</v>
      </c>
      <c r="CT75" s="556">
        <v>3.8756600000000002E-2</v>
      </c>
      <c r="CU75" s="556">
        <v>3.8792300000000002E-2</v>
      </c>
      <c r="CV75" s="556">
        <v>3.8835399999999999E-2</v>
      </c>
      <c r="CW75" s="556">
        <v>3.8876099999999997E-2</v>
      </c>
      <c r="CX75" s="556">
        <v>3.8918500000000002E-2</v>
      </c>
      <c r="CY75" s="556">
        <v>3.8958600000000003E-2</v>
      </c>
      <c r="CZ75" s="556">
        <v>3.89935E-2</v>
      </c>
      <c r="DA75" s="556">
        <v>3.9041300000000001E-2</v>
      </c>
      <c r="DB75" s="556">
        <v>3.9082499999999999E-2</v>
      </c>
      <c r="DC75" s="556">
        <v>3.9134099999999998E-2</v>
      </c>
      <c r="DD75" s="556">
        <v>3.9173300000000001E-2</v>
      </c>
      <c r="DE75" s="556">
        <v>3.9217000000000002E-2</v>
      </c>
      <c r="DF75" s="556">
        <v>3.9265500000000002E-2</v>
      </c>
      <c r="DG75" s="556">
        <v>3.9307300000000003E-2</v>
      </c>
      <c r="DH75" s="556">
        <v>3.9353600000000002E-2</v>
      </c>
      <c r="DI75" s="556">
        <v>3.9403399999999998E-2</v>
      </c>
      <c r="DJ75" s="556">
        <v>3.94493E-2</v>
      </c>
      <c r="DK75" s="556">
        <v>3.9499800000000002E-2</v>
      </c>
      <c r="DL75" s="556">
        <v>3.9536200000000001E-2</v>
      </c>
      <c r="DM75" s="556">
        <v>3.95888E-2</v>
      </c>
      <c r="DN75" s="556">
        <v>3.9631600000000003E-2</v>
      </c>
      <c r="DO75" s="556">
        <v>3.9685199999999997E-2</v>
      </c>
      <c r="DP75" s="556">
        <v>3.9730500000000002E-2</v>
      </c>
      <c r="DQ75" s="556">
        <v>3.9780299999999998E-2</v>
      </c>
      <c r="DR75" s="556">
        <v>3.9830699999999997E-2</v>
      </c>
      <c r="DS75" s="556">
        <v>3.9878499999999997E-2</v>
      </c>
      <c r="DT75" s="556">
        <v>3.9937300000000002E-2</v>
      </c>
      <c r="DU75" s="556">
        <v>3.9983100000000001E-2</v>
      </c>
      <c r="DV75" s="556">
        <v>4.0034899999999998E-2</v>
      </c>
      <c r="DW75" s="556">
        <v>4.0088800000000001E-2</v>
      </c>
      <c r="DX75" s="556">
        <v>4.0131E-2</v>
      </c>
      <c r="DY75" s="556">
        <v>4.0188099999999997E-2</v>
      </c>
      <c r="DZ75" s="556">
        <v>3.2831199999999998E-2</v>
      </c>
      <c r="EA75" s="556">
        <v>3.2884099999999999E-2</v>
      </c>
      <c r="EB75" s="556">
        <v>3.2935100000000002E-2</v>
      </c>
      <c r="EC75" s="556">
        <v>3.2984399999999997E-2</v>
      </c>
      <c r="ED75" s="556">
        <v>3.3030900000000002E-2</v>
      </c>
      <c r="EE75" s="556">
        <v>3.3087400000000003E-2</v>
      </c>
      <c r="EF75" s="556">
        <v>3.3140500000000003E-2</v>
      </c>
      <c r="EG75" s="556">
        <v>3.3205100000000001E-2</v>
      </c>
      <c r="EH75" s="556">
        <v>3.3258599999999999E-2</v>
      </c>
      <c r="EI75" s="556">
        <v>3.33117E-2</v>
      </c>
      <c r="EJ75" s="556">
        <f t="shared" ref="EJ75" si="759">EI75</f>
        <v>3.33117E-2</v>
      </c>
      <c r="EK75" s="556">
        <f t="shared" ref="EK75:EU75" si="760">EJ75</f>
        <v>3.33117E-2</v>
      </c>
      <c r="EL75" s="556">
        <f t="shared" si="760"/>
        <v>3.33117E-2</v>
      </c>
      <c r="EM75" s="556">
        <f t="shared" si="760"/>
        <v>3.33117E-2</v>
      </c>
      <c r="EN75" s="556">
        <f t="shared" si="760"/>
        <v>3.33117E-2</v>
      </c>
      <c r="EO75" s="556">
        <f t="shared" si="760"/>
        <v>3.33117E-2</v>
      </c>
      <c r="EP75" s="556">
        <f t="shared" si="760"/>
        <v>3.33117E-2</v>
      </c>
      <c r="EQ75" s="556">
        <f t="shared" si="760"/>
        <v>3.33117E-2</v>
      </c>
      <c r="ER75" s="556">
        <f t="shared" si="760"/>
        <v>3.33117E-2</v>
      </c>
      <c r="ES75" s="556">
        <f t="shared" si="760"/>
        <v>3.33117E-2</v>
      </c>
      <c r="ET75" s="556">
        <f t="shared" si="760"/>
        <v>3.33117E-2</v>
      </c>
      <c r="EU75" s="556">
        <f t="shared" si="760"/>
        <v>3.33117E-2</v>
      </c>
      <c r="EW75" s="199" t="str">
        <f>B76</f>
        <v>Senior Loan</v>
      </c>
      <c r="EX75" s="219">
        <f t="shared" ref="EX75:EZ76" si="761">+F76</f>
        <v>36</v>
      </c>
      <c r="EY75" s="219">
        <f t="shared" si="761"/>
        <v>36</v>
      </c>
      <c r="EZ75" s="219">
        <f t="shared" si="761"/>
        <v>360</v>
      </c>
      <c r="FA75" s="220">
        <v>0</v>
      </c>
      <c r="FB75" s="220">
        <f>K80</f>
        <v>36</v>
      </c>
      <c r="FC75" s="207">
        <f>AND(FC$73&gt;=$FA75,FC$73&lt;=$FB75)*PV(FC78/12,$EZ75-FC$73+MIN(FC$73,$EY75),PMT(FC78/12,$EZ75,SUM($S67:S67)))</f>
        <v>36341093.958333276</v>
      </c>
      <c r="FD75" s="207">
        <f>AND(FD$73&gt;=$FA75,FD$73&lt;=$FB75)*PV(FD78/12,$EZ75-FD$73+MIN(FD$73,$EY75),PMT(FD78/12,$EZ75,SUM($S67:T67)))</f>
        <v>36564367.916666545</v>
      </c>
      <c r="FE75" s="207">
        <f>AND(FE$73&gt;=$FA75,FE$73&lt;=$FB75)*PV(FE78/12,$EZ75-FE$73+MIN(FE$73,$EY75),PMT(FE78/12,$EZ75,SUM($S67:U67)))</f>
        <v>36787641.875000246</v>
      </c>
      <c r="FF75" s="207">
        <f>AND(FF$73&gt;=$FA75,FF$73&lt;=$FB75)*PV(FF78/12,$EZ75-FF$73+MIN(FF$73,$EY75),PMT(FF78/12,$EZ75,SUM($S67:V67)))</f>
        <v>37010915.833333194</v>
      </c>
      <c r="FG75" s="207">
        <f>AND(FG$73&gt;=$FA75,FG$73&lt;=$FB75)*PV(FG78/12,$EZ75-FG$73+MIN(FG$73,$EY75),PMT(FG78/12,$EZ75,SUM($S67:W67)))</f>
        <v>37234189.79166688</v>
      </c>
      <c r="FH75" s="207">
        <f>AND(FH$73&gt;=$FA75,FH$73&lt;=$FB75)*PV(FH78/12,$EZ75-FH$73+MIN(FH$73,$EY75),PMT(FH78/12,$EZ75,SUM($S67:X67)))</f>
        <v>37457463.750000365</v>
      </c>
      <c r="FI75" s="207">
        <f>AND(FI$73&gt;=$FA75,FI$73&lt;=$FB75)*PV(FI78/12,$EZ75-FI$73+MIN(FI$73,$EY75),PMT(FI78/12,$EZ75,SUM($S67:Y67)))</f>
        <v>37680737.708333217</v>
      </c>
      <c r="FJ75" s="207">
        <f>AND(FJ$73&gt;=$FA75,FJ$73&lt;=$FB75)*PV(FJ78/12,$EZ75-FJ$73+MIN(FJ$73,$EY75),PMT(FJ78/12,$EZ75,SUM($S67:Z67)))</f>
        <v>37904011.666666672</v>
      </c>
      <c r="FK75" s="207">
        <f>AND(FK$73&gt;=$FA75,FK$73&lt;=$FB75)*PV(FK78/12,$EZ75-FK$73+MIN(FK$73,$EY75),PMT(FK78/12,$EZ75,SUM($S67:AA67)))</f>
        <v>38127285.624999806</v>
      </c>
      <c r="FL75" s="207">
        <f>AND(FL$73&gt;=$FA75,FL$73&lt;=$FB75)*PV(FL78/12,$EZ75-FL$73+MIN(FL$73,$EY75),PMT(FL78/12,$EZ75,SUM($S67:AB67)))</f>
        <v>38350559.583333299</v>
      </c>
      <c r="FM75" s="207">
        <f>AND(FM$73&gt;=$FA75,FM$73&lt;=$FB75)*PV(FM78/12,$EZ75-FM$73+MIN(FM$73,$EY75),PMT(FM78/12,$EZ75,SUM($S67:AC67)))</f>
        <v>38573833.54166691</v>
      </c>
      <c r="FN75" s="207">
        <f>AND(FN$73&gt;=$FA75,FN$73&lt;=$FB75)*PV(FN78/12,$EZ75-FN$73+MIN(FN$73,$EY75),PMT(FN78/12,$EZ75,SUM($S67:AD67)))</f>
        <v>38797107.499999806</v>
      </c>
      <c r="FO75" s="207">
        <f>AND(FO$73&gt;=$FA75,FO$73&lt;=$FB75)*PV(FO78/12,$EZ75-FO$73+MIN(FO$73,$EY75),PMT(FO78/12,$EZ75,SUM($S67:AE67)))</f>
        <v>39020381.458333589</v>
      </c>
      <c r="FP75" s="207">
        <f>AND(FP$73&gt;=$FA75,FP$73&lt;=$FB75)*PV(FP78/12,$EZ75-FP$73+MIN(FP$73,$EY75),PMT(FP78/12,$EZ75,SUM($S67:AF67)))</f>
        <v>39243655.416666523</v>
      </c>
      <c r="FQ75" s="207">
        <f>AND(FQ$73&gt;=$FA75,FQ$73&lt;=$FB75)*PV(FQ78/12,$EZ75-FQ$73+MIN(FQ$73,$EY75),PMT(FQ78/12,$EZ75,SUM($S67:AG67)))</f>
        <v>39466929.374999799</v>
      </c>
      <c r="FR75" s="207">
        <f>AND(FR$73&gt;=$FA75,FR$73&lt;=$FB75)*PV(FR78/12,$EZ75-FR$73+MIN(FR$73,$EY75),PMT(FR78/12,$EZ75,SUM($S67:AH67)))</f>
        <v>39690203.333333194</v>
      </c>
      <c r="FS75" s="207">
        <f>AND(FS$73&gt;=$FA75,FS$73&lt;=$FB75)*PV(FS78/12,$EZ75-FS$73+MIN(FS$73,$EY75),PMT(FS78/12,$EZ75,SUM($S67:AI67)))</f>
        <v>39913477.291667119</v>
      </c>
      <c r="FT75" s="207">
        <f>AND(FT$73&gt;=$FA75,FT$73&lt;=$FB75)*PV(FT78/12,$EZ75-FT$73+MIN(FT$73,$EY75),PMT(FT78/12,$EZ75,SUM($S67:AJ67)))</f>
        <v>40136751.250000432</v>
      </c>
      <c r="FU75" s="207">
        <f>AND(FU$73&gt;=$FA75,FU$73&lt;=$FB75)*PV(FU78/12,$EZ75-FU$73+MIN(FU$73,$EY75),PMT(FU78/12,$EZ75,SUM($S67:AK67)))</f>
        <v>40360025.208333917</v>
      </c>
      <c r="FV75" s="207">
        <f>AND(FV$73&gt;=$FA75,FV$73&lt;=$FB75)*PV(FV78/12,$EZ75-FV$73+MIN(FV$73,$EY75),PMT(FV78/12,$EZ75,SUM($S67:AL67)))</f>
        <v>40583299.166666694</v>
      </c>
      <c r="FW75" s="207">
        <f>AND(FW$73&gt;=$FA75,FW$73&lt;=$FB75)*PV(FW78/12,$EZ75-FW$73+MIN(FW$73,$EY75),PMT(FW78/12,$EZ75,SUM($S67:AM67)))</f>
        <v>40806573.124999575</v>
      </c>
      <c r="FX75" s="207">
        <f>AND(FX$73&gt;=$FA75,FX$73&lt;=$FB75)*PV(FX78/12,$EZ75-FX$73+MIN(FX$73,$EY75),PMT(FX78/12,$EZ75,SUM($S67:AN67)))</f>
        <v>41029847.083333626</v>
      </c>
      <c r="FY75" s="207">
        <f>AND(FY$73&gt;=$FA75,FY$73&lt;=$FB75)*PV(FY78/12,$EZ75-FY$73+MIN(FY$73,$EY75),PMT(FY78/12,$EZ75,SUM($S67:AO67)))</f>
        <v>41253121.041667044</v>
      </c>
      <c r="FZ75" s="207">
        <f>AND(FZ$73&gt;=$FA75,FZ$73&lt;=$FB75)*PV(FZ78/12,$EZ75-FZ$73+MIN(FZ$73,$EY75),PMT(FZ78/12,$EZ75,SUM($S67:AP67)))</f>
        <v>41476395.000000454</v>
      </c>
      <c r="GA75" s="207">
        <f>AND(GA$73&gt;=$FA75,GA$73&lt;=$FB75)*PV(GA78/12,$EZ75-GA$73+MIN(GA$73,$EY75),PMT(GA78/12,$EZ75,SUM($S67:AQ67)))</f>
        <v>41476395.000000238</v>
      </c>
      <c r="GB75" s="207">
        <f>AND(GB$73&gt;=$FA75,GB$73&lt;=$FB75)*PV(GB78/12,$EZ75-GB$73+MIN(GB$73,$EY75),PMT(GB78/12,$EZ75,SUM($S67:AR67)))</f>
        <v>41476394.999999881</v>
      </c>
      <c r="GC75" s="207">
        <f>AND(GC$73&gt;=$FA75,GC$73&lt;=$FB75)*PV(GC78/12,$EZ75-GC$73+MIN(GC$73,$EY75),PMT(GC78/12,$EZ75,SUM($S67:AS67)))</f>
        <v>41476394.999999687</v>
      </c>
      <c r="GD75" s="207">
        <f>AND(GD$73&gt;=$FA75,GD$73&lt;=$FB75)*PV(GD78/12,$EZ75-GD$73+MIN(GD$73,$EY75),PMT(GD78/12,$EZ75,SUM($S67:AT67)))</f>
        <v>41476395.000000246</v>
      </c>
      <c r="GE75" s="207">
        <f>AND(GE$73&gt;=$FA75,GE$73&lt;=$FB75)*PV(GE78/12,$EZ75-GE$73+MIN(GE$73,$EY75),PMT(GE78/12,$EZ75,SUM($S67:AU67)))</f>
        <v>41476395.000000045</v>
      </c>
      <c r="GF75" s="207">
        <f>AND(GF$73&gt;=$FA75,GF$73&lt;=$FB75)*PV(GF78/12,$EZ75-GF$73+MIN(GF$73,$EY75),PMT(GF78/12,$EZ75,SUM($S67:AV67)))</f>
        <v>41476395.000000335</v>
      </c>
      <c r="GG75" s="207">
        <f>AND(GG$73&gt;=$FA75,GG$73&lt;=$FB75)*PV(GG78/12,$EZ75-GG$73+MIN(GG$73,$EY75),PMT(GG78/12,$EZ75,SUM($S67:AW67)))</f>
        <v>41476395.000000261</v>
      </c>
      <c r="GH75" s="207">
        <f>AND(GH$73&gt;=$FA75,GH$73&lt;=$FB75)*PV(GH78/12,$EZ75-GH$73+MIN(GH$73,$EY75),PMT(GH78/12,$EZ75,SUM($S67:AX67)))</f>
        <v>41476395.000000358</v>
      </c>
      <c r="GI75" s="207">
        <f>AND(GI$73&gt;=$FA75,GI$73&lt;=$FB75)*PV(GI78/12,$EZ75-GI$73+MIN(GI$73,$EY75),PMT(GI78/12,$EZ75,SUM($S67:AY67)))</f>
        <v>41476394.999999881</v>
      </c>
      <c r="GJ75" s="207">
        <f>AND(GJ$73&gt;=$FA75,GJ$73&lt;=$FB75)*PV(GJ78/12,$EZ75-GJ$73+MIN(GJ$73,$EY75),PMT(GJ78/12,$EZ75,SUM($S67:AZ67)))</f>
        <v>41476394.99999994</v>
      </c>
      <c r="GK75" s="207">
        <f>AND(GK$73&gt;=$FA75,GK$73&lt;=$FB75)*PV(GK78/12,$EZ75-GK$73+MIN(GK$73,$EY75),PMT(GK78/12,$EZ75,SUM($S67:BA67)))</f>
        <v>41476394.999999985</v>
      </c>
      <c r="GL75" s="207">
        <f>AND(GL$73&gt;=$FA75,GL$73&lt;=$FB75)*PV(GL78/12,$EZ75-GL$73+MIN(GL$73,$EY75),PMT(GL78/12,$EZ75,SUM($S67:BB67)))</f>
        <v>41476395.000000045</v>
      </c>
      <c r="GM75" s="207">
        <f>AND(GM$73&gt;=$FA75,GM$73&lt;=$FB75)*PV(GM78/12,$EZ75-GM$73+MIN(GM$73,$EY75),PMT(GM78/12,$EZ75,SUM($S67:BC67)))</f>
        <v>41476395.000000291</v>
      </c>
      <c r="GN75" s="207">
        <f>AND(GN$73&gt;=$FA75,GN$73&lt;=$FB75)*PV(GN78/12,$EZ75-GN$73+MIN(GN$73,$EY75),PMT(GN78/12,$EZ75,SUM($S67:BD67)))</f>
        <v>0</v>
      </c>
      <c r="GO75" s="207">
        <f>AND(GO$73&gt;=$FA75,GO$73&lt;=$FB75)*PV(GO78/12,$EZ75-GO$73+MIN(GO$73,$EY75),PMT(GO78/12,$EZ75,SUM($S67:BE67)))</f>
        <v>0</v>
      </c>
      <c r="GP75" s="207">
        <f>AND(GP$73&gt;=$FA75,GP$73&lt;=$FB75)*PV(GP78/12,$EZ75-GP$73+MIN(GP$73,$EY75),PMT(GP78/12,$EZ75,SUM($S67:BF67)))</f>
        <v>0</v>
      </c>
      <c r="GQ75" s="207">
        <f>AND(GQ$73&gt;=$FA75,GQ$73&lt;=$FB75)*PV(GQ78/12,$EZ75-GQ$73+MIN(GQ$73,$EY75),PMT(GQ78/12,$EZ75,SUM($S67:BG67)))</f>
        <v>0</v>
      </c>
      <c r="GR75" s="207">
        <f>AND(GR$73&gt;=$FA75,GR$73&lt;=$FB75)*PV(GR78/12,$EZ75-GR$73+MIN(GR$73,$EY75),PMT(GR78/12,$EZ75,SUM($S67:BH67)))</f>
        <v>0</v>
      </c>
      <c r="GS75" s="207">
        <f>AND(GS$73&gt;=$FA75,GS$73&lt;=$FB75)*PV(GS78/12,$EZ75-GS$73+MIN(GS$73,$EY75),PMT(GS78/12,$EZ75,SUM($S67:BI67)))</f>
        <v>0</v>
      </c>
      <c r="GT75" s="207">
        <f>AND(GT$73&gt;=$FA75,GT$73&lt;=$FB75)*PV(GT78/12,$EZ75-GT$73+MIN(GT$73,$EY75),PMT(GT78/12,$EZ75,SUM($S67:BJ67)))</f>
        <v>0</v>
      </c>
      <c r="GU75" s="207">
        <f>AND(GU$73&gt;=$FA75,GU$73&lt;=$FB75)*PV(GU78/12,$EZ75-GU$73+MIN(GU$73,$EY75),PMT(GU78/12,$EZ75,SUM($S67:BK67)))</f>
        <v>0</v>
      </c>
      <c r="GV75" s="207">
        <f>AND(GV$73&gt;=$FA75,GV$73&lt;=$FB75)*PV(GV78/12,$EZ75-GV$73+MIN(GV$73,$EY75),PMT(GV78/12,$EZ75,SUM($S67:BL67)))</f>
        <v>0</v>
      </c>
      <c r="GW75" s="207">
        <f>AND(GW$73&gt;=$FA75,GW$73&lt;=$FB75)*PV(GW78/12,$EZ75-GW$73+MIN(GW$73,$EY75),PMT(GW78/12,$EZ75,SUM($S67:BM67)))</f>
        <v>0</v>
      </c>
      <c r="GX75" s="207">
        <f>AND(GX$73&gt;=$FA75,GX$73&lt;=$FB75)*PV(GX78/12,$EZ75-GX$73+MIN(GX$73,$EY75),PMT(GX78/12,$EZ75,SUM($S67:BN67)))</f>
        <v>0</v>
      </c>
      <c r="GY75" s="207">
        <f>AND(GY$73&gt;=$FA75,GY$73&lt;=$FB75)*PV(GY78/12,$EZ75-GY$73+MIN(GY$73,$EY75),PMT(GY78/12,$EZ75,SUM($S67:BO67)))</f>
        <v>0</v>
      </c>
      <c r="GZ75" s="207">
        <f>AND(GZ$73&gt;=$FA75,GZ$73&lt;=$FB75)*PV(GZ78/12,$EZ75-GZ$73+MIN(GZ$73,$EY75),PMT(GZ78/12,$EZ75,SUM($S67:BP67)))</f>
        <v>0</v>
      </c>
      <c r="HA75" s="207">
        <f>AND(HA$73&gt;=$FA75,HA$73&lt;=$FB75)*PV(HA78/12,$EZ75-HA$73+MIN(HA$73,$EY75),PMT(HA78/12,$EZ75,SUM($S67:BQ67)))</f>
        <v>0</v>
      </c>
      <c r="HB75" s="207">
        <f>AND(HB$73&gt;=$FA75,HB$73&lt;=$FB75)*PV(HB78/12,$EZ75-HB$73+MIN(HB$73,$EY75),PMT(HB78/12,$EZ75,SUM($S67:BR67)))</f>
        <v>0</v>
      </c>
      <c r="HC75" s="207">
        <f>AND(HC$73&gt;=$FA75,HC$73&lt;=$FB75)*PV(HC78/12,$EZ75-HC$73+MIN(HC$73,$EY75),PMT(HC78/12,$EZ75,SUM($S67:BS67)))</f>
        <v>0</v>
      </c>
      <c r="HD75" s="207">
        <f>AND(HD$73&gt;=$FA75,HD$73&lt;=$FB75)*PV(HD78/12,$EZ75-HD$73+MIN(HD$73,$EY75),PMT(HD78/12,$EZ75,SUM($S67:BT67)))</f>
        <v>0</v>
      </c>
      <c r="HE75" s="207">
        <f>AND(HE$73&gt;=$FA75,HE$73&lt;=$FB75)*PV(HE78/12,$EZ75-HE$73+MIN(HE$73,$EY75),PMT(HE78/12,$EZ75,SUM($S67:BU67)))</f>
        <v>0</v>
      </c>
      <c r="HF75" s="207">
        <f>AND(HF$73&gt;=$FA75,HF$73&lt;=$FB75)*PV(HF78/12,$EZ75-HF$73+MIN(HF$73,$EY75),PMT(HF78/12,$EZ75,SUM($S67:BV67)))</f>
        <v>0</v>
      </c>
      <c r="HG75" s="207">
        <f>AND(HG$73&gt;=$FA75,HG$73&lt;=$FB75)*PV(HG78/12,$EZ75-HG$73+MIN(HG$73,$EY75),PMT(HG78/12,$EZ75,SUM($S67:BW67)))</f>
        <v>0</v>
      </c>
      <c r="HH75" s="207">
        <f>AND(HH$73&gt;=$FA75,HH$73&lt;=$FB75)*PV(HH78/12,$EZ75-HH$73+MIN(HH$73,$EY75),PMT(HH78/12,$EZ75,SUM($S67:BX67)))</f>
        <v>0</v>
      </c>
      <c r="HI75" s="207">
        <f>AND(HI$73&gt;=$FA75,HI$73&lt;=$FB75)*PV(HI78/12,$EZ75-HI$73+MIN(HI$73,$EY75),PMT(HI78/12,$EZ75,SUM($S67:BY67)))</f>
        <v>0</v>
      </c>
      <c r="HJ75" s="207">
        <f>AND(HJ$73&gt;=$FA75,HJ$73&lt;=$FB75)*PV(HJ78/12,$EZ75-HJ$73+MIN(HJ$73,$EY75),PMT(HJ78/12,$EZ75,SUM($S67:BZ67)))</f>
        <v>0</v>
      </c>
      <c r="HK75" s="207">
        <f>AND(HK$73&gt;=$FA75,HK$73&lt;=$FB75)*PV(HK78/12,$EZ75-HK$73+MIN(HK$73,$EY75),PMT(HK78/12,$EZ75,SUM($S67:CA67)))</f>
        <v>0</v>
      </c>
      <c r="HL75" s="207">
        <f>AND(HL$73&gt;=$FA75,HL$73&lt;=$FB75)*PV(HL78/12,$EZ75-HL$73+MIN(HL$73,$EY75),PMT(HL78/12,$EZ75,SUM($S67:CB67)))</f>
        <v>0</v>
      </c>
      <c r="HM75" s="207">
        <f>AND(HM$73&gt;=$FA75,HM$73&lt;=$FB75)*PV(HM78/12,$EZ75-HM$73+MIN(HM$73,$EY75),PMT(HM78/12,$EZ75,SUM($S67:CC67)))</f>
        <v>0</v>
      </c>
      <c r="HN75" s="207">
        <f>AND(HN$73&gt;=$FA75,HN$73&lt;=$FB75)*PV(HN78/12,$EZ75-HN$73+MIN(HN$73,$EY75),PMT(HN78/12,$EZ75,SUM($S67:CD67)))</f>
        <v>0</v>
      </c>
      <c r="HO75" s="207">
        <f>AND(HO$73&gt;=$FA75,HO$73&lt;=$FB75)*PV(HO78/12,$EZ75-HO$73+MIN(HO$73,$EY75),PMT(HO78/12,$EZ75,SUM($S67:CE67)))</f>
        <v>0</v>
      </c>
      <c r="HP75" s="207">
        <f>AND(HP$73&gt;=$FA75,HP$73&lt;=$FB75)*PV(HP78/12,$EZ75-HP$73+MIN(HP$73,$EY75),PMT(HP78/12,$EZ75,SUM($S67:CF67)))</f>
        <v>0</v>
      </c>
      <c r="HQ75" s="207">
        <f>AND(HQ$73&gt;=$FA75,HQ$73&lt;=$FB75)*PV(HQ78/12,$EZ75-HQ$73+MIN(HQ$73,$EY75),PMT(HQ78/12,$EZ75,SUM($S67:CG67)))</f>
        <v>0</v>
      </c>
      <c r="HR75" s="207">
        <f>AND(HR$73&gt;=$FA75,HR$73&lt;=$FB75)*PV(HR78/12,$EZ75-HR$73+MIN(HR$73,$EY75),PMT(HR78/12,$EZ75,SUM($S67:CH67)))</f>
        <v>0</v>
      </c>
      <c r="HS75" s="207">
        <f>AND(HS$73&gt;=$FA75,HS$73&lt;=$FB75)*PV(HS78/12,$EZ75-HS$73+MIN(HS$73,$EY75),PMT(HS78/12,$EZ75,SUM($S67:CI67)))</f>
        <v>0</v>
      </c>
      <c r="HT75" s="207">
        <f>AND(HT$73&gt;=$FA75,HT$73&lt;=$FB75)*PV(HT78/12,$EZ75-HT$73+MIN(HT$73,$EY75),PMT(HT78/12,$EZ75,SUM($S67:CJ67)))</f>
        <v>0</v>
      </c>
      <c r="HU75" s="207">
        <f>AND(HU$73&gt;=$FA75,HU$73&lt;=$FB75)*PV(HU78/12,$EZ75-HU$73+MIN(HU$73,$EY75),PMT(HU78/12,$EZ75,SUM($S67:CK67)))</f>
        <v>0</v>
      </c>
      <c r="HV75" s="207">
        <f>AND(HV$73&gt;=$FA75,HV$73&lt;=$FB75)*PV(HV78/12,$EZ75-HV$73+MIN(HV$73,$EY75),PMT(HV78/12,$EZ75,SUM($S67:CL67)))</f>
        <v>0</v>
      </c>
      <c r="HW75" s="207">
        <f>AND(HW$73&gt;=$FA75,HW$73&lt;=$FB75)*PV(HW78/12,$EZ75-HW$73+MIN(HW$73,$EY75),PMT(HW78/12,$EZ75,SUM($S67:CM67)))</f>
        <v>0</v>
      </c>
      <c r="HX75" s="207">
        <f>AND(HX$73&gt;=$FA75,HX$73&lt;=$FB75)*PV(HX78/12,$EZ75-HX$73+MIN(HX$73,$EY75),PMT(HX78/12,$EZ75,SUM($S67:CN67)))</f>
        <v>0</v>
      </c>
      <c r="HY75" s="207">
        <f>AND(HY$73&gt;=$FA75,HY$73&lt;=$FB75)*PV(HY78/12,$EZ75-HY$73+MIN(HY$73,$EY75),PMT(HY78/12,$EZ75,SUM($S67:CO67)))</f>
        <v>0</v>
      </c>
      <c r="HZ75" s="207">
        <f>AND(HZ$73&gt;=$FA75,HZ$73&lt;=$FB75)*PV(HZ78/12,$EZ75-HZ$73+MIN(HZ$73,$EY75),PMT(HZ78/12,$EZ75,SUM($S67:CP67)))</f>
        <v>0</v>
      </c>
      <c r="IA75" s="207">
        <f>AND(IA$73&gt;=$FA75,IA$73&lt;=$FB75)*PV(IA78/12,$EZ75-IA$73+MIN(IA$73,$EY75),PMT(IA78/12,$EZ75,SUM($S67:CQ67)))</f>
        <v>0</v>
      </c>
      <c r="IB75" s="207">
        <f>AND(IB$73&gt;=$FA75,IB$73&lt;=$FB75)*PV(IB78/12,$EZ75-IB$73+MIN(IB$73,$EY75),PMT(IB78/12,$EZ75,SUM($S67:CR67)))</f>
        <v>0</v>
      </c>
      <c r="IC75" s="207">
        <f>AND(IC$73&gt;=$FA75,IC$73&lt;=$FB75)*PV(IC78/12,$EZ75-IC$73+MIN(IC$73,$EY75),PMT(IC78/12,$EZ75,SUM($S67:CS67)))</f>
        <v>0</v>
      </c>
      <c r="ID75" s="207">
        <f>AND(ID$73&gt;=$FA75,ID$73&lt;=$FB75)*PV(ID78/12,$EZ75-ID$73+MIN(ID$73,$EY75),PMT(ID78/12,$EZ75,SUM($S67:CT67)))</f>
        <v>0</v>
      </c>
      <c r="IE75" s="207">
        <f>AND(IE$73&gt;=$FA75,IE$73&lt;=$FB75)*PV(IE78/12,$EZ75-IE$73+MIN(IE$73,$EY75),PMT(IE78/12,$EZ75,SUM($S67:CU67)))</f>
        <v>0</v>
      </c>
      <c r="IF75" s="207">
        <f>AND(IF$73&gt;=$FA75,IF$73&lt;=$FB75)*PV(IF78/12,$EZ75-IF$73+MIN(IF$73,$EY75),PMT(IF78/12,$EZ75,SUM($S67:CV67)))</f>
        <v>0</v>
      </c>
      <c r="IG75" s="207">
        <f>AND(IG$73&gt;=$FA75,IG$73&lt;=$FB75)*PV(IG78/12,$EZ75-IG$73+MIN(IG$73,$EY75),PMT(IG78/12,$EZ75,SUM($S67:CW67)))</f>
        <v>0</v>
      </c>
      <c r="IH75" s="207">
        <f>AND(IH$73&gt;=$FA75,IH$73&lt;=$FB75)*PV(IH78/12,$EZ75-IH$73+MIN(IH$73,$EY75),PMT(IH78/12,$EZ75,SUM($S67:CX67)))</f>
        <v>0</v>
      </c>
      <c r="II75" s="207">
        <f>AND(II$73&gt;=$FA75,II$73&lt;=$FB75)*PV(II78/12,$EZ75-II$73+MIN(II$73,$EY75),PMT(II78/12,$EZ75,SUM($S67:CY67)))</f>
        <v>0</v>
      </c>
      <c r="IJ75" s="207">
        <f>AND(IJ$73&gt;=$FA75,IJ$73&lt;=$FB75)*PV(IJ78/12,$EZ75-IJ$73+MIN(IJ$73,$EY75),PMT(IJ78/12,$EZ75,SUM($S67:CZ67)))</f>
        <v>0</v>
      </c>
      <c r="IK75" s="207">
        <f>AND(IK$73&gt;=$FA75,IK$73&lt;=$FB75)*PV(IK78/12,$EZ75-IK$73+MIN(IK$73,$EY75),PMT(IK78/12,$EZ75,SUM($S67:DA67)))</f>
        <v>0</v>
      </c>
      <c r="IL75" s="207">
        <f>AND(IL$73&gt;=$FA75,IL$73&lt;=$FB75)*PV(IL78/12,$EZ75-IL$73+MIN(IL$73,$EY75),PMT(IL78/12,$EZ75,SUM($S67:DB67)))</f>
        <v>0</v>
      </c>
      <c r="IM75" s="207">
        <f>AND(IM$73&gt;=$FA75,IM$73&lt;=$FB75)*PV(IM78/12,$EZ75-IM$73+MIN(IM$73,$EY75),PMT(IM78/12,$EZ75,SUM($S67:DC67)))</f>
        <v>0</v>
      </c>
      <c r="IN75" s="207">
        <f>AND(IN$73&gt;=$FA75,IN$73&lt;=$FB75)*PV(IN78/12,$EZ75-IN$73+MIN(IN$73,$EY75),PMT(IN78/12,$EZ75,SUM($S67:DD67)))</f>
        <v>0</v>
      </c>
      <c r="IO75" s="207">
        <f>AND(IO$73&gt;=$FA75,IO$73&lt;=$FB75)*PV(IO78/12,$EZ75-IO$73+MIN(IO$73,$EY75),PMT(IO78/12,$EZ75,SUM($S67:DE67)))</f>
        <v>0</v>
      </c>
      <c r="IP75" s="207">
        <f>AND(IP$73&gt;=$FA75,IP$73&lt;=$FB75)*PV(IP78/12,$EZ75-IP$73+MIN(IP$73,$EY75),PMT(IP78/12,$EZ75,SUM($S67:DF67)))</f>
        <v>0</v>
      </c>
      <c r="IQ75" s="207">
        <f>AND(IQ$73&gt;=$FA75,IQ$73&lt;=$FB75)*PV(IQ78/12,$EZ75-IQ$73+MIN(IQ$73,$EY75),PMT(IQ78/12,$EZ75,SUM($S67:DG67)))</f>
        <v>0</v>
      </c>
      <c r="IR75" s="207">
        <f>AND(IR$73&gt;=$FA75,IR$73&lt;=$FB75)*PV(IR78/12,$EZ75-IR$73+MIN(IR$73,$EY75),PMT(IR78/12,$EZ75,SUM($S67:DH67)))</f>
        <v>0</v>
      </c>
      <c r="IS75" s="207">
        <f>AND(IS$73&gt;=$FA75,IS$73&lt;=$FB75)*PV(IS78/12,$EZ75-IS$73+MIN(IS$73,$EY75),PMT(IS78/12,$EZ75,SUM($S67:DI67)))</f>
        <v>0</v>
      </c>
      <c r="IT75" s="207">
        <f>AND(IT$73&gt;=$FA75,IT$73&lt;=$FB75)*PV(IT78/12,$EZ75-IT$73+MIN(IT$73,$EY75),PMT(IT78/12,$EZ75,SUM($S67:DJ67)))</f>
        <v>0</v>
      </c>
      <c r="IU75" s="207">
        <f>AND(IU$73&gt;=$FA75,IU$73&lt;=$FB75)*PV(IU78/12,$EZ75-IU$73+MIN(IU$73,$EY75),PMT(IU78/12,$EZ75,SUM($S67:DK67)))</f>
        <v>0</v>
      </c>
      <c r="IV75" s="207">
        <f>AND(IV$73&gt;=$FA75,IV$73&lt;=$FB75)*PV(IV78/12,$EZ75-IV$73+MIN(IV$73,$EY75),PMT(IV78/12,$EZ75,SUM($S67:DL67)))</f>
        <v>0</v>
      </c>
      <c r="IW75" s="207">
        <f>AND(IW$73&gt;=$FA75,IW$73&lt;=$FB75)*PV(IW78/12,$EZ75-IW$73+MIN(IW$73,$EY75),PMT(IW78/12,$EZ75,SUM($S67:DM67)))</f>
        <v>0</v>
      </c>
      <c r="IX75" s="207">
        <f>AND(IX$73&gt;=$FA75,IX$73&lt;=$FB75)*PV(IX78/12,$EZ75-IX$73+MIN(IX$73,$EY75),PMT(IX78/12,$EZ75,SUM($S67:DN67)))</f>
        <v>0</v>
      </c>
      <c r="IY75" s="207">
        <f>AND(IY$73&gt;=$FA75,IY$73&lt;=$FB75)*PV(IY78/12,$EZ75-IY$73+MIN(IY$73,$EY75),PMT(IY78/12,$EZ75,SUM($S67:DO67)))</f>
        <v>0</v>
      </c>
      <c r="IZ75" s="207">
        <f>AND(IZ$73&gt;=$FA75,IZ$73&lt;=$FB75)*PV(IZ78/12,$EZ75-IZ$73+MIN(IZ$73,$EY75),PMT(IZ78/12,$EZ75,SUM($S67:DP67)))</f>
        <v>0</v>
      </c>
      <c r="JA75" s="207">
        <f>AND(JA$73&gt;=$FA75,JA$73&lt;=$FB75)*PV(JA78/12,$EZ75-JA$73+MIN(JA$73,$EY75),PMT(JA78/12,$EZ75,SUM($S67:DQ67)))</f>
        <v>0</v>
      </c>
      <c r="JB75" s="207">
        <f>AND(JB$73&gt;=$FA75,JB$73&lt;=$FB75)*PV(JB78/12,$EZ75-JB$73+MIN(JB$73,$EY75),PMT(JB78/12,$EZ75,SUM($S67:DR67)))</f>
        <v>0</v>
      </c>
      <c r="JC75" s="207">
        <f>AND(JC$73&gt;=$FA75,JC$73&lt;=$FB75)*PV(JC78/12,$EZ75-JC$73+MIN(JC$73,$EY75),PMT(JC78/12,$EZ75,SUM($S67:DS67)))</f>
        <v>0</v>
      </c>
      <c r="JD75" s="207">
        <f>AND(JD$73&gt;=$FA75,JD$73&lt;=$FB75)*PV(JD78/12,$EZ75-JD$73+MIN(JD$73,$EY75),PMT(JD78/12,$EZ75,SUM($S67:DT67)))</f>
        <v>0</v>
      </c>
      <c r="JE75" s="207">
        <f>AND(JE$73&gt;=$FA75,JE$73&lt;=$FB75)*PV(JE78/12,$EZ75-JE$73+MIN(JE$73,$EY75),PMT(JE78/12,$EZ75,SUM($S67:DU67)))</f>
        <v>0</v>
      </c>
      <c r="JF75" s="207">
        <f>AND(JF$73&gt;=$FA75,JF$73&lt;=$FB75)*PV(JF78/12,$EZ75-JF$73+MIN(JF$73,$EY75),PMT(JF78/12,$EZ75,SUM($S67:DV67)))</f>
        <v>0</v>
      </c>
      <c r="JG75" s="207">
        <f>AND(JG$73&gt;=$FA75,JG$73&lt;=$FB75)*PV(JG78/12,$EZ75-JG$73+MIN(JG$73,$EY75),PMT(JG78/12,$EZ75,SUM($S67:DW67)))</f>
        <v>0</v>
      </c>
      <c r="JH75" s="207">
        <f>AND(JH$73&gt;=$FA75,JH$73&lt;=$FB75)*PV(JH78/12,$EZ75-JH$73+MIN(JH$73,$EY75),PMT(JH78/12,$EZ75,SUM($S67:DX67)))</f>
        <v>0</v>
      </c>
      <c r="JI75" s="207">
        <f>AND(JI$73&gt;=$FA75,JI$73&lt;=$FB75)*PV(JI78/12,$EZ75-JI$73+MIN(JI$73,$EY75),PMT(JI78/12,$EZ75,SUM($S67:DY67)))</f>
        <v>0</v>
      </c>
      <c r="JJ75" s="207">
        <f>AND(JJ$73&gt;=$FA75,JJ$73&lt;=$FB75)*PV(JJ78/12,$EZ75-JJ$73+MIN(JJ$73,$EY75),PMT(JJ78/12,$EZ75,SUM($S67:DZ67)))</f>
        <v>0</v>
      </c>
      <c r="JK75" s="207">
        <f>AND(JK$73&gt;=$FA75,JK$73&lt;=$FB75)*PV(JK78/12,$EZ75-JK$73+MIN(JK$73,$EY75),PMT(JK78/12,$EZ75,SUM($S67:EA67)))</f>
        <v>0</v>
      </c>
      <c r="JL75" s="207">
        <f>AND(JL$73&gt;=$FA75,JL$73&lt;=$FB75)*PV(JL78/12,$EZ75-JL$73+MIN(JL$73,$EY75),PMT(JL78/12,$EZ75,SUM($S67:EB67)))</f>
        <v>0</v>
      </c>
      <c r="JM75" s="207">
        <f>AND(JM$73&gt;=$FA75,JM$73&lt;=$FB75)*PV(JM78/12,$EZ75-JM$73+MIN(JM$73,$EY75),PMT(JM78/12,$EZ75,SUM($S67:EC67)))</f>
        <v>0</v>
      </c>
      <c r="JN75" s="207">
        <f>AND(JN$73&gt;=$FA75,JN$73&lt;=$FB75)*PV(JN78/12,$EZ75-JN$73+MIN(JN$73,$EY75),PMT(JN78/12,$EZ75,SUM($S67:ED67)))</f>
        <v>0</v>
      </c>
      <c r="JO75" s="207">
        <f>AND(JO$73&gt;=$FA75,JO$73&lt;=$FB75)*PV(JO78/12,$EZ75-JO$73+MIN(JO$73,$EY75),PMT(JO78/12,$EZ75,SUM($S67:EE67)))</f>
        <v>0</v>
      </c>
      <c r="JP75" s="207">
        <f>AND(JP$73&gt;=$FA75,JP$73&lt;=$FB75)*PV(JP78/12,$EZ75-JP$73+MIN(JP$73,$EY75),PMT(JP78/12,$EZ75,SUM($S67:EF67)))</f>
        <v>0</v>
      </c>
      <c r="JQ75" s="207">
        <f>AND(JQ$73&gt;=$FA75,JQ$73&lt;=$FB75)*PV(JQ78/12,$EZ75-JQ$73+MIN(JQ$73,$EY75),PMT(JQ78/12,$EZ75,SUM($S67:EG67)))</f>
        <v>0</v>
      </c>
      <c r="JR75" s="207">
        <f>AND(JR$73&gt;=$FA75,JR$73&lt;=$FB75)*PV(JR78/12,$EZ75-JR$73+MIN(JR$73,$EY75),PMT(JR78/12,$EZ75,SUM($S67:EH67)))</f>
        <v>0</v>
      </c>
      <c r="JS75" s="207">
        <f>AND(JS$73&gt;=$FA75,JS$73&lt;=$FB75)*PV(JS78/12,$EZ75-JS$73+MIN(JS$73,$EY75),PMT(JS78/12,$EZ75,SUM($S67:EI67)))</f>
        <v>0</v>
      </c>
      <c r="JT75" s="207">
        <f>AND(JT$73&gt;=$FA75,JT$73&lt;=$FB75)*PV(JT78/12,$EZ75-JT$73+MIN(JT$73,$EY75),PMT(JT78/12,$EZ75,SUM($S67:EJ67)))</f>
        <v>0</v>
      </c>
      <c r="JU75" s="207">
        <f>AND(JU$73&gt;=$FA75,JU$73&lt;=$FB75)*PV(JU78/12,$EZ75-JU$73+MIN(JU$73,$EY75),PMT(JU78/12,$EZ75,SUM($S67:EK67)))</f>
        <v>0</v>
      </c>
      <c r="JV75" s="207">
        <f>AND(JV$73&gt;=$FA75,JV$73&lt;=$FB75)*PV(JV78/12,$EZ75-JV$73+MIN(JV$73,$EY75),PMT(JV78/12,$EZ75,SUM($S67:EL67)))</f>
        <v>0</v>
      </c>
      <c r="JW75" s="207">
        <f>AND(JW$73&gt;=$FA75,JW$73&lt;=$FB75)*PV(JW78/12,$EZ75-JW$73+MIN(JW$73,$EY75),PMT(JW78/12,$EZ75,SUM($S67:EM67)))</f>
        <v>0</v>
      </c>
      <c r="JX75" s="207">
        <f>AND(JX$73&gt;=$FA75,JX$73&lt;=$FB75)*PV(JX78/12,$EZ75-JX$73+MIN(JX$73,$EY75),PMT(JX78/12,$EZ75,SUM($S67:EN67)))</f>
        <v>0</v>
      </c>
      <c r="JY75" s="207">
        <f>AND(JY$73&gt;=$FA75,JY$73&lt;=$FB75)*PV(JY78/12,$EZ75-JY$73+MIN(JY$73,$EY75),PMT(JY78/12,$EZ75,SUM($S67:EO67)))</f>
        <v>0</v>
      </c>
      <c r="JZ75" s="207">
        <f>AND(JZ$73&gt;=$FA75,JZ$73&lt;=$FB75)*PV(JZ78/12,$EZ75-JZ$73+MIN(JZ$73,$EY75),PMT(JZ78/12,$EZ75,SUM($S67:EP67)))</f>
        <v>0</v>
      </c>
      <c r="KA75" s="207">
        <f>AND(KA$73&gt;=$FA75,KA$73&lt;=$FB75)*PV(KA78/12,$EZ75-KA$73+MIN(KA$73,$EY75),PMT(KA78/12,$EZ75,SUM($S67:EQ67)))</f>
        <v>0</v>
      </c>
      <c r="KB75" s="207">
        <f>AND(KB$73&gt;=$FA75,KB$73&lt;=$FB75)*PV(KB78/12,$EZ75-KB$73+MIN(KB$73,$EY75),PMT(KB78/12,$EZ75,SUM($S67:ER67)))</f>
        <v>0</v>
      </c>
      <c r="KC75" s="207">
        <f>AND(KC$73&gt;=$FA75,KC$73&lt;=$FB75)*PV(KC78/12,$EZ75-KC$73+MIN(KC$73,$EY75),PMT(KC78/12,$EZ75,SUM($S67:ES67)))</f>
        <v>0</v>
      </c>
      <c r="KD75" s="207">
        <f>AND(KD$73&gt;=$FA75,KD$73&lt;=$FB75)*PV(KD78/12,$EZ75-KD$73+MIN(KD$73,$EY75),PMT(KD78/12,$EZ75,SUM($S67:ET67)))</f>
        <v>0</v>
      </c>
      <c r="KE75" s="207">
        <f>AND(KE$73&gt;=$FA75,KE$73&lt;=$FB75)*PV(KE78/12,$EZ75-KE$73+MIN(KE$73,$EY75),PMT(KE78/12,$EZ75,SUM($S67:EU67)))</f>
        <v>0</v>
      </c>
      <c r="KH75" s="219"/>
      <c r="KI75" s="219"/>
      <c r="KJ75" s="219"/>
      <c r="KK75" s="220"/>
      <c r="KL75" s="220"/>
      <c r="KM75" s="207"/>
      <c r="KN75" s="207"/>
      <c r="KO75" s="207"/>
      <c r="KP75" s="207"/>
      <c r="KQ75" s="207"/>
      <c r="KR75" s="207"/>
      <c r="KS75" s="207"/>
      <c r="KT75" s="207"/>
      <c r="KU75" s="207"/>
      <c r="KV75" s="207"/>
      <c r="KW75" s="207"/>
      <c r="KX75" s="207"/>
      <c r="KY75" s="207"/>
      <c r="KZ75" s="207"/>
      <c r="LA75" s="207"/>
      <c r="LB75" s="207"/>
      <c r="LC75" s="207"/>
      <c r="LD75" s="207"/>
      <c r="LE75" s="207"/>
      <c r="LF75" s="207"/>
      <c r="LG75" s="207"/>
      <c r="LH75" s="207"/>
      <c r="LI75" s="207"/>
      <c r="LJ75" s="207"/>
      <c r="LK75" s="207"/>
      <c r="LL75" s="207"/>
      <c r="LM75" s="207"/>
      <c r="LN75" s="207"/>
      <c r="LO75" s="207"/>
      <c r="LP75" s="207"/>
      <c r="LQ75" s="207"/>
      <c r="LR75" s="207"/>
      <c r="LS75" s="207"/>
      <c r="LT75" s="207"/>
      <c r="LU75" s="207"/>
      <c r="LV75" s="207"/>
      <c r="LW75" s="207"/>
      <c r="LX75" s="207"/>
      <c r="LY75" s="207"/>
      <c r="LZ75" s="207"/>
      <c r="MA75" s="207"/>
      <c r="MB75" s="207"/>
      <c r="MC75" s="207"/>
      <c r="MD75" s="207"/>
      <c r="ME75" s="207"/>
      <c r="MF75" s="207"/>
      <c r="MG75" s="207"/>
      <c r="MH75" s="207"/>
      <c r="MI75" s="207"/>
      <c r="MJ75" s="207"/>
      <c r="MK75" s="207"/>
      <c r="ML75" s="207"/>
      <c r="MM75" s="207"/>
      <c r="MN75" s="207"/>
      <c r="MO75" s="207"/>
      <c r="MP75" s="207"/>
      <c r="MQ75" s="207"/>
      <c r="MR75" s="207"/>
      <c r="MS75" s="207"/>
      <c r="MT75" s="207"/>
      <c r="MU75" s="207"/>
      <c r="MV75" s="207"/>
      <c r="MW75" s="207"/>
      <c r="MX75" s="207"/>
      <c r="MY75" s="207"/>
      <c r="MZ75" s="207"/>
      <c r="NA75" s="207"/>
      <c r="NB75" s="207"/>
      <c r="NC75" s="207"/>
      <c r="ND75" s="207"/>
      <c r="NE75" s="207"/>
      <c r="NF75" s="207"/>
      <c r="NG75" s="207"/>
      <c r="NH75" s="207"/>
      <c r="NI75" s="207"/>
      <c r="NJ75" s="207"/>
      <c r="NK75" s="207"/>
      <c r="NL75" s="207"/>
      <c r="NM75" s="207"/>
      <c r="NN75" s="207"/>
      <c r="NO75" s="207"/>
      <c r="NP75" s="207"/>
      <c r="NQ75" s="207"/>
      <c r="NR75" s="207"/>
      <c r="NS75" s="207"/>
      <c r="NT75" s="207"/>
      <c r="NU75" s="207"/>
      <c r="NV75" s="207"/>
      <c r="NW75" s="207"/>
      <c r="NX75" s="207"/>
      <c r="NY75" s="207"/>
      <c r="NZ75" s="207"/>
      <c r="OA75" s="207"/>
      <c r="OB75" s="207"/>
      <c r="OC75" s="207"/>
      <c r="OD75" s="207"/>
      <c r="OE75" s="207"/>
      <c r="OF75" s="207"/>
      <c r="OG75" s="207"/>
      <c r="OH75" s="207"/>
      <c r="OI75" s="207"/>
      <c r="OJ75" s="207"/>
      <c r="OK75" s="207"/>
      <c r="OL75" s="207"/>
      <c r="OM75" s="207"/>
      <c r="ON75" s="207"/>
      <c r="OO75" s="207"/>
      <c r="OP75" s="207"/>
      <c r="OQ75" s="207"/>
      <c r="OR75" s="207"/>
      <c r="OS75" s="207"/>
      <c r="OT75" s="207"/>
      <c r="OU75" s="207"/>
      <c r="OV75" s="207"/>
      <c r="OW75" s="207"/>
      <c r="OX75" s="207"/>
      <c r="OY75" s="207"/>
      <c r="OZ75" s="207"/>
      <c r="PA75" s="207"/>
      <c r="PB75" s="207"/>
      <c r="PC75" s="207"/>
      <c r="PD75" s="207"/>
      <c r="PE75" s="207"/>
      <c r="PF75" s="207"/>
      <c r="PG75" s="207"/>
      <c r="PH75" s="207"/>
      <c r="PI75" s="207"/>
      <c r="PJ75" s="207"/>
      <c r="PK75" s="207"/>
      <c r="PL75" s="207"/>
      <c r="PM75" s="207"/>
      <c r="PN75" s="207"/>
      <c r="PO75" s="207"/>
      <c r="PQ75" s="201"/>
      <c r="PR75" s="201"/>
      <c r="PS75" s="201"/>
      <c r="PT75" s="201"/>
      <c r="PU75" s="201"/>
      <c r="PV75" s="201"/>
      <c r="PW75" s="201"/>
      <c r="PX75" s="201"/>
      <c r="PY75" s="201"/>
      <c r="PZ75" s="201"/>
      <c r="QA75" s="201"/>
      <c r="QB75" s="201"/>
      <c r="QC75" s="201"/>
      <c r="QD75" s="201"/>
      <c r="QE75" s="201"/>
      <c r="QF75" s="201"/>
      <c r="QG75" s="201"/>
      <c r="QH75" s="201"/>
      <c r="QI75" s="201"/>
      <c r="QJ75" s="201"/>
      <c r="QK75" s="201"/>
      <c r="QL75" s="201"/>
      <c r="QM75" s="201"/>
      <c r="QN75" s="201"/>
      <c r="QO75" s="201"/>
      <c r="QP75" s="201"/>
      <c r="QQ75" s="201"/>
      <c r="QR75" s="201"/>
      <c r="QS75" s="201"/>
      <c r="QT75" s="201"/>
      <c r="QU75" s="201"/>
      <c r="QV75" s="201"/>
      <c r="QW75" s="201"/>
      <c r="QX75" s="201"/>
      <c r="QY75" s="201"/>
      <c r="QZ75" s="201"/>
      <c r="RA75" s="201"/>
      <c r="RB75" s="201"/>
      <c r="RC75" s="201"/>
      <c r="RD75" s="201"/>
      <c r="RE75" s="201"/>
      <c r="RF75" s="201"/>
      <c r="RG75" s="201"/>
      <c r="RH75" s="201"/>
      <c r="RI75" s="201"/>
      <c r="RJ75" s="201"/>
      <c r="RK75" s="201"/>
      <c r="RL75" s="201"/>
      <c r="RM75" s="201"/>
      <c r="RN75" s="201"/>
      <c r="RO75" s="201"/>
      <c r="RP75" s="201"/>
      <c r="RQ75" s="201"/>
      <c r="RR75" s="201"/>
      <c r="RS75" s="201"/>
      <c r="RT75" s="201"/>
      <c r="RU75" s="201"/>
      <c r="RV75" s="201"/>
      <c r="RW75" s="201"/>
      <c r="RX75" s="201"/>
      <c r="RY75" s="201"/>
      <c r="RZ75" s="201"/>
      <c r="SA75" s="201"/>
      <c r="SB75" s="201"/>
      <c r="SC75" s="201"/>
      <c r="SD75" s="201"/>
      <c r="SE75" s="201"/>
      <c r="SF75" s="201"/>
      <c r="SG75" s="201"/>
      <c r="SH75" s="201"/>
      <c r="SI75" s="201"/>
      <c r="SJ75" s="201"/>
      <c r="SK75" s="201"/>
      <c r="SL75" s="201"/>
      <c r="SM75" s="201"/>
      <c r="SN75" s="201"/>
      <c r="SO75" s="201"/>
      <c r="SP75" s="201"/>
      <c r="SQ75" s="201"/>
      <c r="SR75" s="201"/>
      <c r="SS75" s="201"/>
      <c r="ST75" s="201"/>
      <c r="SU75" s="201"/>
      <c r="SV75" s="201"/>
      <c r="SW75" s="201"/>
      <c r="SX75" s="201"/>
      <c r="SY75" s="201"/>
      <c r="SZ75" s="201"/>
      <c r="TA75" s="201"/>
      <c r="TB75" s="201"/>
      <c r="TC75" s="201"/>
      <c r="TD75" s="201"/>
      <c r="TE75" s="201"/>
      <c r="TF75" s="201"/>
      <c r="TG75" s="201"/>
      <c r="TH75" s="201"/>
      <c r="TI75" s="201"/>
      <c r="TJ75" s="201"/>
      <c r="TK75" s="201"/>
      <c r="TL75" s="201"/>
      <c r="TM75" s="201"/>
      <c r="TN75" s="201"/>
      <c r="TO75" s="201"/>
      <c r="TP75" s="201"/>
      <c r="TQ75" s="201"/>
      <c r="TR75" s="201"/>
      <c r="TS75" s="201"/>
      <c r="TT75" s="201"/>
      <c r="TU75" s="201"/>
      <c r="TV75" s="201"/>
      <c r="TW75" s="201"/>
      <c r="TX75" s="201"/>
      <c r="TY75" s="201"/>
      <c r="TZ75" s="201"/>
      <c r="UA75" s="201"/>
      <c r="UB75" s="201"/>
      <c r="UC75" s="201"/>
      <c r="UD75" s="201"/>
      <c r="UE75" s="201"/>
      <c r="UF75" s="201"/>
      <c r="UG75" s="201"/>
      <c r="UH75" s="201"/>
      <c r="UI75" s="201"/>
      <c r="UJ75" s="201"/>
      <c r="UK75" s="201"/>
      <c r="UL75" s="201"/>
      <c r="UM75" s="201"/>
      <c r="UN75" s="201"/>
      <c r="UO75" s="201"/>
      <c r="UP75" s="201"/>
      <c r="UQ75" s="201"/>
      <c r="UR75" s="201"/>
      <c r="US75" s="201"/>
      <c r="UT75" s="201"/>
      <c r="UU75" s="201"/>
    </row>
    <row r="76" spans="2:567" x14ac:dyDescent="0.25">
      <c r="B76" s="54" t="str">
        <f>+B67</f>
        <v>Senior Loan</v>
      </c>
      <c r="C76" s="52"/>
      <c r="D76" s="52"/>
      <c r="E76" s="52"/>
      <c r="F76" s="66">
        <f>IF(Toggle_Refi_Sell=0,Analysis_Period,F19)</f>
        <v>36</v>
      </c>
      <c r="G76" s="66">
        <f>+F76</f>
        <v>36</v>
      </c>
      <c r="H76" s="66">
        <v>360</v>
      </c>
      <c r="I76" s="67">
        <v>5.5E-2</v>
      </c>
      <c r="J76" s="19" t="s">
        <v>792</v>
      </c>
      <c r="K76" s="557">
        <v>200</v>
      </c>
      <c r="M76" s="3" t="s">
        <v>837</v>
      </c>
      <c r="R76" s="159" t="s">
        <v>110</v>
      </c>
      <c r="S76" s="558">
        <f>S$75+($K76/10000)</f>
        <v>5.6350899999999995E-2</v>
      </c>
      <c r="T76" s="558">
        <f t="shared" ref="T76:AI77" si="762">T$75+($K76/10000)</f>
        <v>5.6067500000000006E-2</v>
      </c>
      <c r="U76" s="558">
        <f t="shared" si="762"/>
        <v>5.5242200000000005E-2</v>
      </c>
      <c r="V76" s="558">
        <f t="shared" si="762"/>
        <v>5.5237099999999997E-2</v>
      </c>
      <c r="W76" s="558">
        <f t="shared" si="762"/>
        <v>5.5058899999999994E-2</v>
      </c>
      <c r="X76" s="558">
        <f t="shared" si="762"/>
        <v>5.4621000000000003E-2</v>
      </c>
      <c r="Y76" s="558">
        <f t="shared" si="762"/>
        <v>5.4619399999999999E-2</v>
      </c>
      <c r="Z76" s="558">
        <f t="shared" si="762"/>
        <v>5.4581500000000005E-2</v>
      </c>
      <c r="AA76" s="558">
        <f t="shared" si="762"/>
        <v>5.4479100000000003E-2</v>
      </c>
      <c r="AB76" s="558">
        <f t="shared" si="762"/>
        <v>5.4477100000000001E-2</v>
      </c>
      <c r="AC76" s="558">
        <f t="shared" si="762"/>
        <v>5.4489999999999997E-2</v>
      </c>
      <c r="AD76" s="558">
        <f t="shared" si="762"/>
        <v>5.4513800000000001E-2</v>
      </c>
      <c r="AE76" s="558">
        <f t="shared" si="762"/>
        <v>5.4550600000000005E-2</v>
      </c>
      <c r="AF76" s="558">
        <f t="shared" si="762"/>
        <v>5.4597500000000007E-2</v>
      </c>
      <c r="AG76" s="558">
        <f t="shared" si="762"/>
        <v>5.4668999999999995E-2</v>
      </c>
      <c r="AH76" s="558">
        <f t="shared" si="762"/>
        <v>5.4737300000000003E-2</v>
      </c>
      <c r="AI76" s="558">
        <f t="shared" si="762"/>
        <v>5.48101E-2</v>
      </c>
      <c r="AJ76" s="558">
        <f t="shared" ref="AJ76:AY77" si="763">AJ$75+($K76/10000)</f>
        <v>5.4888000000000006E-2</v>
      </c>
      <c r="AK76" s="558">
        <f t="shared" si="763"/>
        <v>5.4968900000000001E-2</v>
      </c>
      <c r="AL76" s="558">
        <f t="shared" si="763"/>
        <v>5.5056499999999994E-2</v>
      </c>
      <c r="AM76" s="558">
        <f t="shared" si="763"/>
        <v>5.5140099999999997E-2</v>
      </c>
      <c r="AN76" s="558">
        <f t="shared" si="763"/>
        <v>5.5228200000000005E-2</v>
      </c>
      <c r="AO76" s="558">
        <f t="shared" si="763"/>
        <v>5.5321400000000007E-2</v>
      </c>
      <c r="AP76" s="558">
        <f t="shared" si="763"/>
        <v>5.5418099999999998E-2</v>
      </c>
      <c r="AQ76" s="558">
        <f t="shared" si="763"/>
        <v>5.5511400000000002E-2</v>
      </c>
      <c r="AR76" s="558">
        <f t="shared" si="763"/>
        <v>5.5614200000000003E-2</v>
      </c>
      <c r="AS76" s="558">
        <f t="shared" si="763"/>
        <v>5.5718900000000002E-2</v>
      </c>
      <c r="AT76" s="558">
        <f t="shared" si="763"/>
        <v>5.5810700000000005E-2</v>
      </c>
      <c r="AU76" s="558">
        <f t="shared" si="763"/>
        <v>5.59119E-2</v>
      </c>
      <c r="AV76" s="558">
        <f t="shared" si="763"/>
        <v>5.6001499999999996E-2</v>
      </c>
      <c r="AW76" s="558">
        <f t="shared" si="763"/>
        <v>5.6087999999999999E-2</v>
      </c>
      <c r="AX76" s="558">
        <f t="shared" si="763"/>
        <v>5.6172700000000006E-2</v>
      </c>
      <c r="AY76" s="558">
        <f t="shared" si="763"/>
        <v>5.6249999999999994E-2</v>
      </c>
      <c r="AZ76" s="558">
        <f t="shared" ref="AZ76:BO77" si="764">AZ$75+($K76/10000)</f>
        <v>5.6332699999999999E-2</v>
      </c>
      <c r="BA76" s="558">
        <f t="shared" si="764"/>
        <v>5.6400000000000006E-2</v>
      </c>
      <c r="BB76" s="558">
        <f t="shared" si="764"/>
        <v>5.6465899999999999E-2</v>
      </c>
      <c r="BC76" s="558">
        <f t="shared" si="764"/>
        <v>5.6529800000000005E-2</v>
      </c>
      <c r="BD76" s="558">
        <f t="shared" si="764"/>
        <v>5.6579400000000002E-2</v>
      </c>
      <c r="BE76" s="558">
        <f t="shared" si="764"/>
        <v>5.6637800000000002E-2</v>
      </c>
      <c r="BF76" s="558">
        <f t="shared" si="764"/>
        <v>5.6688799999999998E-2</v>
      </c>
      <c r="BG76" s="558">
        <f t="shared" si="764"/>
        <v>5.6746199999999997E-2</v>
      </c>
      <c r="BH76" s="558">
        <f t="shared" si="764"/>
        <v>5.6800699999999996E-2</v>
      </c>
      <c r="BI76" s="558">
        <f t="shared" si="764"/>
        <v>5.6865399999999997E-2</v>
      </c>
      <c r="BJ76" s="558">
        <f t="shared" si="764"/>
        <v>5.6922500000000001E-2</v>
      </c>
      <c r="BK76" s="558">
        <f t="shared" si="764"/>
        <v>5.6975600000000001E-2</v>
      </c>
      <c r="BL76" s="558">
        <f t="shared" si="764"/>
        <v>5.7039999999999993E-2</v>
      </c>
      <c r="BM76" s="558">
        <f t="shared" si="764"/>
        <v>5.7097700000000001E-2</v>
      </c>
      <c r="BN76" s="558">
        <f t="shared" si="764"/>
        <v>5.7166900000000007E-2</v>
      </c>
      <c r="BO76" s="558">
        <f t="shared" si="764"/>
        <v>5.7222099999999998E-2</v>
      </c>
      <c r="BP76" s="558">
        <f t="shared" ref="BP76:CE77" si="765">BP$75+($K76/10000)</f>
        <v>5.7277300000000003E-2</v>
      </c>
      <c r="BQ76" s="558">
        <f t="shared" si="765"/>
        <v>5.7344400000000004E-2</v>
      </c>
      <c r="BR76" s="558">
        <f t="shared" si="765"/>
        <v>5.7414000000000007E-2</v>
      </c>
      <c r="BS76" s="558">
        <f t="shared" si="765"/>
        <v>5.7474700000000004E-2</v>
      </c>
      <c r="BT76" s="558">
        <f t="shared" si="765"/>
        <v>5.7527300000000003E-2</v>
      </c>
      <c r="BU76" s="558">
        <f t="shared" si="765"/>
        <v>5.7591600000000007E-2</v>
      </c>
      <c r="BV76" s="558">
        <f t="shared" si="765"/>
        <v>5.7650000000000007E-2</v>
      </c>
      <c r="BW76" s="558">
        <f t="shared" si="765"/>
        <v>5.7703400000000002E-2</v>
      </c>
      <c r="BX76" s="558">
        <f t="shared" si="765"/>
        <v>5.7761699999999999E-2</v>
      </c>
      <c r="BY76" s="558">
        <f t="shared" si="765"/>
        <v>5.7817800000000003E-2</v>
      </c>
      <c r="BZ76" s="558">
        <f t="shared" si="765"/>
        <v>5.7875599999999999E-2</v>
      </c>
      <c r="CA76" s="558">
        <f t="shared" si="765"/>
        <v>5.7928400000000005E-2</v>
      </c>
      <c r="CB76" s="558">
        <f t="shared" si="765"/>
        <v>5.7969199999999999E-2</v>
      </c>
      <c r="CC76" s="558">
        <f t="shared" si="765"/>
        <v>5.8024500000000007E-2</v>
      </c>
      <c r="CD76" s="558">
        <f t="shared" si="765"/>
        <v>5.8078099999999994E-2</v>
      </c>
      <c r="CE76" s="558">
        <f t="shared" si="765"/>
        <v>5.8126499999999998E-2</v>
      </c>
      <c r="CF76" s="558">
        <f t="shared" ref="CF76:CU77" si="766">CF$75+($K76/10000)</f>
        <v>5.8169100000000001E-2</v>
      </c>
      <c r="CG76" s="558">
        <f t="shared" si="766"/>
        <v>5.82178E-2</v>
      </c>
      <c r="CH76" s="558">
        <f t="shared" si="766"/>
        <v>5.8264200000000002E-2</v>
      </c>
      <c r="CI76" s="558">
        <f t="shared" si="766"/>
        <v>5.8312299999999997E-2</v>
      </c>
      <c r="CJ76" s="558">
        <f t="shared" si="766"/>
        <v>5.8357900000000004E-2</v>
      </c>
      <c r="CK76" s="558">
        <f t="shared" si="766"/>
        <v>5.83954E-2</v>
      </c>
      <c r="CL76" s="558">
        <f t="shared" si="766"/>
        <v>5.8437500000000003E-2</v>
      </c>
      <c r="CM76" s="558">
        <f t="shared" si="766"/>
        <v>5.84784E-2</v>
      </c>
      <c r="CN76" s="558">
        <f t="shared" si="766"/>
        <v>5.8511599999999997E-2</v>
      </c>
      <c r="CO76" s="558">
        <f t="shared" si="766"/>
        <v>5.8556200000000003E-2</v>
      </c>
      <c r="CP76" s="558">
        <f t="shared" si="766"/>
        <v>5.8591299999999999E-2</v>
      </c>
      <c r="CQ76" s="558">
        <f t="shared" si="766"/>
        <v>5.8631100000000005E-2</v>
      </c>
      <c r="CR76" s="558">
        <f t="shared" si="766"/>
        <v>5.8671100000000004E-2</v>
      </c>
      <c r="CS76" s="558">
        <f t="shared" si="766"/>
        <v>5.8711600000000003E-2</v>
      </c>
      <c r="CT76" s="558">
        <f t="shared" si="766"/>
        <v>5.8756600000000006E-2</v>
      </c>
      <c r="CU76" s="558">
        <f t="shared" si="766"/>
        <v>5.8792300000000006E-2</v>
      </c>
      <c r="CV76" s="558">
        <f t="shared" ref="CV76:DK77" si="767">CV$75+($K76/10000)</f>
        <v>5.8835399999999996E-2</v>
      </c>
      <c r="CW76" s="558">
        <f t="shared" si="767"/>
        <v>5.8876100000000001E-2</v>
      </c>
      <c r="CX76" s="558">
        <f t="shared" si="767"/>
        <v>5.8918499999999999E-2</v>
      </c>
      <c r="CY76" s="558">
        <f t="shared" si="767"/>
        <v>5.89586E-2</v>
      </c>
      <c r="CZ76" s="558">
        <f t="shared" si="767"/>
        <v>5.8993500000000004E-2</v>
      </c>
      <c r="DA76" s="558">
        <f t="shared" si="767"/>
        <v>5.9041300000000005E-2</v>
      </c>
      <c r="DB76" s="558">
        <f t="shared" si="767"/>
        <v>5.9082499999999996E-2</v>
      </c>
      <c r="DC76" s="558">
        <f t="shared" si="767"/>
        <v>5.9134099999999995E-2</v>
      </c>
      <c r="DD76" s="558">
        <f t="shared" si="767"/>
        <v>5.9173299999999998E-2</v>
      </c>
      <c r="DE76" s="558">
        <f t="shared" si="767"/>
        <v>5.9217000000000006E-2</v>
      </c>
      <c r="DF76" s="558">
        <f t="shared" si="767"/>
        <v>5.9265499999999999E-2</v>
      </c>
      <c r="DG76" s="558">
        <f t="shared" si="767"/>
        <v>5.9307300000000007E-2</v>
      </c>
      <c r="DH76" s="558">
        <f t="shared" si="767"/>
        <v>5.9353600000000006E-2</v>
      </c>
      <c r="DI76" s="558">
        <f t="shared" si="767"/>
        <v>5.9403399999999995E-2</v>
      </c>
      <c r="DJ76" s="558">
        <f t="shared" si="767"/>
        <v>5.9449299999999997E-2</v>
      </c>
      <c r="DK76" s="558">
        <f t="shared" si="767"/>
        <v>5.9499800000000005E-2</v>
      </c>
      <c r="DL76" s="558">
        <f t="shared" ref="DL76:EA77" si="768">DL$75+($K76/10000)</f>
        <v>5.9536199999999997E-2</v>
      </c>
      <c r="DM76" s="558">
        <f t="shared" si="768"/>
        <v>5.9588799999999997E-2</v>
      </c>
      <c r="DN76" s="558">
        <f t="shared" si="768"/>
        <v>5.9631600000000007E-2</v>
      </c>
      <c r="DO76" s="558">
        <f t="shared" si="768"/>
        <v>5.9685199999999994E-2</v>
      </c>
      <c r="DP76" s="558">
        <f t="shared" si="768"/>
        <v>5.9730500000000006E-2</v>
      </c>
      <c r="DQ76" s="558">
        <f t="shared" si="768"/>
        <v>5.9780299999999995E-2</v>
      </c>
      <c r="DR76" s="558">
        <f t="shared" si="768"/>
        <v>5.9830700000000001E-2</v>
      </c>
      <c r="DS76" s="558">
        <f t="shared" si="768"/>
        <v>5.9878500000000001E-2</v>
      </c>
      <c r="DT76" s="558">
        <f t="shared" si="768"/>
        <v>5.9937299999999999E-2</v>
      </c>
      <c r="DU76" s="558">
        <f t="shared" si="768"/>
        <v>5.9983099999999998E-2</v>
      </c>
      <c r="DV76" s="558">
        <f t="shared" si="768"/>
        <v>6.0034900000000002E-2</v>
      </c>
      <c r="DW76" s="558">
        <f t="shared" si="768"/>
        <v>6.0088799999999998E-2</v>
      </c>
      <c r="DX76" s="558">
        <f t="shared" si="768"/>
        <v>6.0131000000000004E-2</v>
      </c>
      <c r="DY76" s="558">
        <f t="shared" si="768"/>
        <v>6.0188099999999994E-2</v>
      </c>
      <c r="DZ76" s="558">
        <f t="shared" si="768"/>
        <v>5.2831199999999995E-2</v>
      </c>
      <c r="EA76" s="558">
        <f t="shared" si="768"/>
        <v>5.2884100000000003E-2</v>
      </c>
      <c r="EB76" s="558">
        <f t="shared" ref="EB76:EQ77" si="769">EB$75+($K76/10000)</f>
        <v>5.2935099999999999E-2</v>
      </c>
      <c r="EC76" s="558">
        <f t="shared" si="769"/>
        <v>5.2984400000000001E-2</v>
      </c>
      <c r="ED76" s="558">
        <f t="shared" si="769"/>
        <v>5.3030900000000006E-2</v>
      </c>
      <c r="EE76" s="558">
        <f t="shared" si="769"/>
        <v>5.3087400000000007E-2</v>
      </c>
      <c r="EF76" s="558">
        <f t="shared" si="769"/>
        <v>5.3140500000000007E-2</v>
      </c>
      <c r="EG76" s="558">
        <f t="shared" si="769"/>
        <v>5.3205100000000005E-2</v>
      </c>
      <c r="EH76" s="558">
        <f t="shared" si="769"/>
        <v>5.3258600000000003E-2</v>
      </c>
      <c r="EI76" s="558">
        <f t="shared" si="769"/>
        <v>5.3311700000000004E-2</v>
      </c>
      <c r="EJ76" s="558">
        <f t="shared" si="769"/>
        <v>5.3311700000000004E-2</v>
      </c>
      <c r="EK76" s="558">
        <f t="shared" si="769"/>
        <v>5.3311700000000004E-2</v>
      </c>
      <c r="EL76" s="558">
        <f t="shared" si="769"/>
        <v>5.3311700000000004E-2</v>
      </c>
      <c r="EM76" s="558">
        <f t="shared" si="769"/>
        <v>5.3311700000000004E-2</v>
      </c>
      <c r="EN76" s="558">
        <f t="shared" si="769"/>
        <v>5.3311700000000004E-2</v>
      </c>
      <c r="EO76" s="558">
        <f t="shared" si="769"/>
        <v>5.3311700000000004E-2</v>
      </c>
      <c r="EP76" s="558">
        <f t="shared" si="769"/>
        <v>5.3311700000000004E-2</v>
      </c>
      <c r="EQ76" s="558">
        <f t="shared" si="769"/>
        <v>5.3311700000000004E-2</v>
      </c>
      <c r="ER76" s="558">
        <f t="shared" ref="ER76:EU77" si="770">ER$75+($K76/10000)</f>
        <v>5.3311700000000004E-2</v>
      </c>
      <c r="ES76" s="558">
        <f t="shared" si="770"/>
        <v>5.3311700000000004E-2</v>
      </c>
      <c r="ET76" s="558">
        <f t="shared" si="770"/>
        <v>5.3311700000000004E-2</v>
      </c>
      <c r="EU76" s="558">
        <f t="shared" si="770"/>
        <v>5.3311700000000004E-2</v>
      </c>
      <c r="EW76" s="199" t="str">
        <f>B77</f>
        <v>Junior Loan</v>
      </c>
      <c r="EX76" s="219">
        <f t="shared" si="761"/>
        <v>36</v>
      </c>
      <c r="EY76" s="219">
        <f t="shared" si="761"/>
        <v>36</v>
      </c>
      <c r="EZ76" s="219">
        <f t="shared" si="761"/>
        <v>360</v>
      </c>
      <c r="FA76" s="220">
        <v>0</v>
      </c>
      <c r="FB76" s="220">
        <f>K81</f>
        <v>36</v>
      </c>
      <c r="FC76" s="207">
        <f>AND(FC$73&gt;=$FA76,FC$73&lt;=$FB76)*PV(FC79/12,$EZ76-FC$73+MIN(FC$73,$EY76),PMT(FC79/12,$EZ76,SUM($S68:S68)))</f>
        <v>0</v>
      </c>
      <c r="FD76" s="207">
        <f>AND(FD$73&gt;=$FA76,FD$73&lt;=$FB76)*PV(FD79/12,$EZ76-FD$73+MIN(FD$73,$EY76),PMT(FD79/12,$EZ76,SUM($S68:T68)))</f>
        <v>0</v>
      </c>
      <c r="FE76" s="207">
        <f>AND(FE$73&gt;=$FA76,FE$73&lt;=$FB76)*PV(FE79/12,$EZ76-FE$73+MIN(FE$73,$EY76),PMT(FE79/12,$EZ76,SUM($S68:U68)))</f>
        <v>0</v>
      </c>
      <c r="FF76" s="207">
        <f>AND(FF$73&gt;=$FA76,FF$73&lt;=$FB76)*PV(FF79/12,$EZ76-FF$73+MIN(FF$73,$EY76),PMT(FF79/12,$EZ76,SUM($S68:V68)))</f>
        <v>0</v>
      </c>
      <c r="FG76" s="207">
        <f>AND(FG$73&gt;=$FA76,FG$73&lt;=$FB76)*PV(FG79/12,$EZ76-FG$73+MIN(FG$73,$EY76),PMT(FG79/12,$EZ76,SUM($S68:W68)))</f>
        <v>0</v>
      </c>
      <c r="FH76" s="207">
        <f>AND(FH$73&gt;=$FA76,FH$73&lt;=$FB76)*PV(FH79/12,$EZ76-FH$73+MIN(FH$73,$EY76),PMT(FH79/12,$EZ76,SUM($S68:X68)))</f>
        <v>0</v>
      </c>
      <c r="FI76" s="207">
        <f>AND(FI$73&gt;=$FA76,FI$73&lt;=$FB76)*PV(FI79/12,$EZ76-FI$73+MIN(FI$73,$EY76),PMT(FI79/12,$EZ76,SUM($S68:Y68)))</f>
        <v>0</v>
      </c>
      <c r="FJ76" s="207">
        <f>AND(FJ$73&gt;=$FA76,FJ$73&lt;=$FB76)*PV(FJ79/12,$EZ76-FJ$73+MIN(FJ$73,$EY76),PMT(FJ79/12,$EZ76,SUM($S68:Z68)))</f>
        <v>0</v>
      </c>
      <c r="FK76" s="207">
        <f>AND(FK$73&gt;=$FA76,FK$73&lt;=$FB76)*PV(FK79/12,$EZ76-FK$73+MIN(FK$73,$EY76),PMT(FK79/12,$EZ76,SUM($S68:AA68)))</f>
        <v>0</v>
      </c>
      <c r="FL76" s="207">
        <f>AND(FL$73&gt;=$FA76,FL$73&lt;=$FB76)*PV(FL79/12,$EZ76-FL$73+MIN(FL$73,$EY76),PMT(FL79/12,$EZ76,SUM($S68:AB68)))</f>
        <v>0</v>
      </c>
      <c r="FM76" s="207">
        <f>AND(FM$73&gt;=$FA76,FM$73&lt;=$FB76)*PV(FM79/12,$EZ76-FM$73+MIN(FM$73,$EY76),PMT(FM79/12,$EZ76,SUM($S68:AC68)))</f>
        <v>0</v>
      </c>
      <c r="FN76" s="207">
        <f>AND(FN$73&gt;=$FA76,FN$73&lt;=$FB76)*PV(FN79/12,$EZ76-FN$73+MIN(FN$73,$EY76),PMT(FN79/12,$EZ76,SUM($S68:AD68)))</f>
        <v>0</v>
      </c>
      <c r="FO76" s="207">
        <f>AND(FO$73&gt;=$FA76,FO$73&lt;=$FB76)*PV(FO79/12,$EZ76-FO$73+MIN(FO$73,$EY76),PMT(FO79/12,$EZ76,SUM($S68:AE68)))</f>
        <v>0</v>
      </c>
      <c r="FP76" s="207">
        <f>AND(FP$73&gt;=$FA76,FP$73&lt;=$FB76)*PV(FP79/12,$EZ76-FP$73+MIN(FP$73,$EY76),PMT(FP79/12,$EZ76,SUM($S68:AF68)))</f>
        <v>0</v>
      </c>
      <c r="FQ76" s="207">
        <f>AND(FQ$73&gt;=$FA76,FQ$73&lt;=$FB76)*PV(FQ79/12,$EZ76-FQ$73+MIN(FQ$73,$EY76),PMT(FQ79/12,$EZ76,SUM($S68:AG68)))</f>
        <v>0</v>
      </c>
      <c r="FR76" s="207">
        <f>AND(FR$73&gt;=$FA76,FR$73&lt;=$FB76)*PV(FR79/12,$EZ76-FR$73+MIN(FR$73,$EY76),PMT(FR79/12,$EZ76,SUM($S68:AH68)))</f>
        <v>0</v>
      </c>
      <c r="FS76" s="207">
        <f>AND(FS$73&gt;=$FA76,FS$73&lt;=$FB76)*PV(FS79/12,$EZ76-FS$73+MIN(FS$73,$EY76),PMT(FS79/12,$EZ76,SUM($S68:AI68)))</f>
        <v>0</v>
      </c>
      <c r="FT76" s="207">
        <f>AND(FT$73&gt;=$FA76,FT$73&lt;=$FB76)*PV(FT79/12,$EZ76-FT$73+MIN(FT$73,$EY76),PMT(FT79/12,$EZ76,SUM($S68:AJ68)))</f>
        <v>0</v>
      </c>
      <c r="FU76" s="207">
        <f>AND(FU$73&gt;=$FA76,FU$73&lt;=$FB76)*PV(FU79/12,$EZ76-FU$73+MIN(FU$73,$EY76),PMT(FU79/12,$EZ76,SUM($S68:AK68)))</f>
        <v>0</v>
      </c>
      <c r="FV76" s="207">
        <f>AND(FV$73&gt;=$FA76,FV$73&lt;=$FB76)*PV(FV79/12,$EZ76-FV$73+MIN(FV$73,$EY76),PMT(FV79/12,$EZ76,SUM($S68:AL68)))</f>
        <v>0</v>
      </c>
      <c r="FW76" s="207">
        <f>AND(FW$73&gt;=$FA76,FW$73&lt;=$FB76)*PV(FW79/12,$EZ76-FW$73+MIN(FW$73,$EY76),PMT(FW79/12,$EZ76,SUM($S68:AM68)))</f>
        <v>0</v>
      </c>
      <c r="FX76" s="207">
        <f>AND(FX$73&gt;=$FA76,FX$73&lt;=$FB76)*PV(FX79/12,$EZ76-FX$73+MIN(FX$73,$EY76),PMT(FX79/12,$EZ76,SUM($S68:AN68)))</f>
        <v>0</v>
      </c>
      <c r="FY76" s="207">
        <f>AND(FY$73&gt;=$FA76,FY$73&lt;=$FB76)*PV(FY79/12,$EZ76-FY$73+MIN(FY$73,$EY76),PMT(FY79/12,$EZ76,SUM($S68:AO68)))</f>
        <v>0</v>
      </c>
      <c r="FZ76" s="207">
        <f>AND(FZ$73&gt;=$FA76,FZ$73&lt;=$FB76)*PV(FZ79/12,$EZ76-FZ$73+MIN(FZ$73,$EY76),PMT(FZ79/12,$EZ76,SUM($S68:AP68)))</f>
        <v>0</v>
      </c>
      <c r="GA76" s="207">
        <f>AND(GA$73&gt;=$FA76,GA$73&lt;=$FB76)*PV(GA79/12,$EZ76-GA$73+MIN(GA$73,$EY76),PMT(GA79/12,$EZ76,SUM($S68:AQ68)))</f>
        <v>0</v>
      </c>
      <c r="GB76" s="207">
        <f>AND(GB$73&gt;=$FA76,GB$73&lt;=$FB76)*PV(GB79/12,$EZ76-GB$73+MIN(GB$73,$EY76),PMT(GB79/12,$EZ76,SUM($S68:AR68)))</f>
        <v>0</v>
      </c>
      <c r="GC76" s="207">
        <f>AND(GC$73&gt;=$FA76,GC$73&lt;=$FB76)*PV(GC79/12,$EZ76-GC$73+MIN(GC$73,$EY76),PMT(GC79/12,$EZ76,SUM($S68:AS68)))</f>
        <v>0</v>
      </c>
      <c r="GD76" s="207">
        <f>AND(GD$73&gt;=$FA76,GD$73&lt;=$FB76)*PV(GD79/12,$EZ76-GD$73+MIN(GD$73,$EY76),PMT(GD79/12,$EZ76,SUM($S68:AT68)))</f>
        <v>0</v>
      </c>
      <c r="GE76" s="207">
        <f>AND(GE$73&gt;=$FA76,GE$73&lt;=$FB76)*PV(GE79/12,$EZ76-GE$73+MIN(GE$73,$EY76),PMT(GE79/12,$EZ76,SUM($S68:AU68)))</f>
        <v>0</v>
      </c>
      <c r="GF76" s="207">
        <f>AND(GF$73&gt;=$FA76,GF$73&lt;=$FB76)*PV(GF79/12,$EZ76-GF$73+MIN(GF$73,$EY76),PMT(GF79/12,$EZ76,SUM($S68:AV68)))</f>
        <v>0</v>
      </c>
      <c r="GG76" s="207">
        <f>AND(GG$73&gt;=$FA76,GG$73&lt;=$FB76)*PV(GG79/12,$EZ76-GG$73+MIN(GG$73,$EY76),PMT(GG79/12,$EZ76,SUM($S68:AW68)))</f>
        <v>0</v>
      </c>
      <c r="GH76" s="207">
        <f>AND(GH$73&gt;=$FA76,GH$73&lt;=$FB76)*PV(GH79/12,$EZ76-GH$73+MIN(GH$73,$EY76),PMT(GH79/12,$EZ76,SUM($S68:AX68)))</f>
        <v>0</v>
      </c>
      <c r="GI76" s="207">
        <f>AND(GI$73&gt;=$FA76,GI$73&lt;=$FB76)*PV(GI79/12,$EZ76-GI$73+MIN(GI$73,$EY76),PMT(GI79/12,$EZ76,SUM($S68:AY68)))</f>
        <v>0</v>
      </c>
      <c r="GJ76" s="207">
        <f>AND(GJ$73&gt;=$FA76,GJ$73&lt;=$FB76)*PV(GJ79/12,$EZ76-GJ$73+MIN(GJ$73,$EY76),PMT(GJ79/12,$EZ76,SUM($S68:AZ68)))</f>
        <v>0</v>
      </c>
      <c r="GK76" s="207">
        <f>AND(GK$73&gt;=$FA76,GK$73&lt;=$FB76)*PV(GK79/12,$EZ76-GK$73+MIN(GK$73,$EY76),PMT(GK79/12,$EZ76,SUM($S68:BA68)))</f>
        <v>0</v>
      </c>
      <c r="GL76" s="207">
        <f>AND(GL$73&gt;=$FA76,GL$73&lt;=$FB76)*PV(GL79/12,$EZ76-GL$73+MIN(GL$73,$EY76),PMT(GL79/12,$EZ76,SUM($S68:BB68)))</f>
        <v>0</v>
      </c>
      <c r="GM76" s="207">
        <f>AND(GM$73&gt;=$FA76,GM$73&lt;=$FB76)*PV(GM79/12,$EZ76-GM$73+MIN(GM$73,$EY76),PMT(GM79/12,$EZ76,SUM($S68:BC68)))</f>
        <v>0</v>
      </c>
      <c r="GN76" s="207">
        <f>AND(GN$73&gt;=$FA76,GN$73&lt;=$FB76)*PV(GN79/12,$EZ76-GN$73+MIN(GN$73,$EY76),PMT(GN79/12,$EZ76,SUM($S68:BD68)))</f>
        <v>0</v>
      </c>
      <c r="GO76" s="207">
        <f>AND(GO$73&gt;=$FA76,GO$73&lt;=$FB76)*PV(GO79/12,$EZ76-GO$73+MIN(GO$73,$EY76),PMT(GO79/12,$EZ76,SUM($S68:BE68)))</f>
        <v>0</v>
      </c>
      <c r="GP76" s="207">
        <f>AND(GP$73&gt;=$FA76,GP$73&lt;=$FB76)*PV(GP79/12,$EZ76-GP$73+MIN(GP$73,$EY76),PMT(GP79/12,$EZ76,SUM($S68:BF68)))</f>
        <v>0</v>
      </c>
      <c r="GQ76" s="207">
        <f>AND(GQ$73&gt;=$FA76,GQ$73&lt;=$FB76)*PV(GQ79/12,$EZ76-GQ$73+MIN(GQ$73,$EY76),PMT(GQ79/12,$EZ76,SUM($S68:BG68)))</f>
        <v>0</v>
      </c>
      <c r="GR76" s="207">
        <f>AND(GR$73&gt;=$FA76,GR$73&lt;=$FB76)*PV(GR79/12,$EZ76-GR$73+MIN(GR$73,$EY76),PMT(GR79/12,$EZ76,SUM($S68:BH68)))</f>
        <v>0</v>
      </c>
      <c r="GS76" s="207">
        <f>AND(GS$73&gt;=$FA76,GS$73&lt;=$FB76)*PV(GS79/12,$EZ76-GS$73+MIN(GS$73,$EY76),PMT(GS79/12,$EZ76,SUM($S68:BI68)))</f>
        <v>0</v>
      </c>
      <c r="GT76" s="207">
        <f>AND(GT$73&gt;=$FA76,GT$73&lt;=$FB76)*PV(GT79/12,$EZ76-GT$73+MIN(GT$73,$EY76),PMT(GT79/12,$EZ76,SUM($S68:BJ68)))</f>
        <v>0</v>
      </c>
      <c r="GU76" s="207">
        <f>AND(GU$73&gt;=$FA76,GU$73&lt;=$FB76)*PV(GU79/12,$EZ76-GU$73+MIN(GU$73,$EY76),PMT(GU79/12,$EZ76,SUM($S68:BK68)))</f>
        <v>0</v>
      </c>
      <c r="GV76" s="207">
        <f>AND(GV$73&gt;=$FA76,GV$73&lt;=$FB76)*PV(GV79/12,$EZ76-GV$73+MIN(GV$73,$EY76),PMT(GV79/12,$EZ76,SUM($S68:BL68)))</f>
        <v>0</v>
      </c>
      <c r="GW76" s="207">
        <f>AND(GW$73&gt;=$FA76,GW$73&lt;=$FB76)*PV(GW79/12,$EZ76-GW$73+MIN(GW$73,$EY76),PMT(GW79/12,$EZ76,SUM($S68:BM68)))</f>
        <v>0</v>
      </c>
      <c r="GX76" s="207">
        <f>AND(GX$73&gt;=$FA76,GX$73&lt;=$FB76)*PV(GX79/12,$EZ76-GX$73+MIN(GX$73,$EY76),PMT(GX79/12,$EZ76,SUM($S68:BN68)))</f>
        <v>0</v>
      </c>
      <c r="GY76" s="207">
        <f>AND(GY$73&gt;=$FA76,GY$73&lt;=$FB76)*PV(GY79/12,$EZ76-GY$73+MIN(GY$73,$EY76),PMT(GY79/12,$EZ76,SUM($S68:BO68)))</f>
        <v>0</v>
      </c>
      <c r="GZ76" s="207">
        <f>AND(GZ$73&gt;=$FA76,GZ$73&lt;=$FB76)*PV(GZ79/12,$EZ76-GZ$73+MIN(GZ$73,$EY76),PMT(GZ79/12,$EZ76,SUM($S68:BP68)))</f>
        <v>0</v>
      </c>
      <c r="HA76" s="207">
        <f>AND(HA$73&gt;=$FA76,HA$73&lt;=$FB76)*PV(HA79/12,$EZ76-HA$73+MIN(HA$73,$EY76),PMT(HA79/12,$EZ76,SUM($S68:BQ68)))</f>
        <v>0</v>
      </c>
      <c r="HB76" s="207">
        <f>AND(HB$73&gt;=$FA76,HB$73&lt;=$FB76)*PV(HB79/12,$EZ76-HB$73+MIN(HB$73,$EY76),PMT(HB79/12,$EZ76,SUM($S68:BR68)))</f>
        <v>0</v>
      </c>
      <c r="HC76" s="207">
        <f>AND(HC$73&gt;=$FA76,HC$73&lt;=$FB76)*PV(HC79/12,$EZ76-HC$73+MIN(HC$73,$EY76),PMT(HC79/12,$EZ76,SUM($S68:BS68)))</f>
        <v>0</v>
      </c>
      <c r="HD76" s="207">
        <f>AND(HD$73&gt;=$FA76,HD$73&lt;=$FB76)*PV(HD79/12,$EZ76-HD$73+MIN(HD$73,$EY76),PMT(HD79/12,$EZ76,SUM($S68:BT68)))</f>
        <v>0</v>
      </c>
      <c r="HE76" s="207">
        <f>AND(HE$73&gt;=$FA76,HE$73&lt;=$FB76)*PV(HE79/12,$EZ76-HE$73+MIN(HE$73,$EY76),PMT(HE79/12,$EZ76,SUM($S68:BU68)))</f>
        <v>0</v>
      </c>
      <c r="HF76" s="207">
        <f>AND(HF$73&gt;=$FA76,HF$73&lt;=$FB76)*PV(HF79/12,$EZ76-HF$73+MIN(HF$73,$EY76),PMT(HF79/12,$EZ76,SUM($S68:BV68)))</f>
        <v>0</v>
      </c>
      <c r="HG76" s="207">
        <f>AND(HG$73&gt;=$FA76,HG$73&lt;=$FB76)*PV(HG79/12,$EZ76-HG$73+MIN(HG$73,$EY76),PMT(HG79/12,$EZ76,SUM($S68:BW68)))</f>
        <v>0</v>
      </c>
      <c r="HH76" s="207">
        <f>AND(HH$73&gt;=$FA76,HH$73&lt;=$FB76)*PV(HH79/12,$EZ76-HH$73+MIN(HH$73,$EY76),PMT(HH79/12,$EZ76,SUM($S68:BX68)))</f>
        <v>0</v>
      </c>
      <c r="HI76" s="207">
        <f>AND(HI$73&gt;=$FA76,HI$73&lt;=$FB76)*PV(HI79/12,$EZ76-HI$73+MIN(HI$73,$EY76),PMT(HI79/12,$EZ76,SUM($S68:BY68)))</f>
        <v>0</v>
      </c>
      <c r="HJ76" s="207">
        <f>AND(HJ$73&gt;=$FA76,HJ$73&lt;=$FB76)*PV(HJ79/12,$EZ76-HJ$73+MIN(HJ$73,$EY76),PMT(HJ79/12,$EZ76,SUM($S68:BZ68)))</f>
        <v>0</v>
      </c>
      <c r="HK76" s="207">
        <f>AND(HK$73&gt;=$FA76,HK$73&lt;=$FB76)*PV(HK79/12,$EZ76-HK$73+MIN(HK$73,$EY76),PMT(HK79/12,$EZ76,SUM($S68:CA68)))</f>
        <v>0</v>
      </c>
      <c r="HL76" s="207">
        <f>AND(HL$73&gt;=$FA76,HL$73&lt;=$FB76)*PV(HL79/12,$EZ76-HL$73+MIN(HL$73,$EY76),PMT(HL79/12,$EZ76,SUM($S68:CB68)))</f>
        <v>0</v>
      </c>
      <c r="HM76" s="207">
        <f>AND(HM$73&gt;=$FA76,HM$73&lt;=$FB76)*PV(HM79/12,$EZ76-HM$73+MIN(HM$73,$EY76),PMT(HM79/12,$EZ76,SUM($S68:CC68)))</f>
        <v>0</v>
      </c>
      <c r="HN76" s="207">
        <f>AND(HN$73&gt;=$FA76,HN$73&lt;=$FB76)*PV(HN79/12,$EZ76-HN$73+MIN(HN$73,$EY76),PMT(HN79/12,$EZ76,SUM($S68:CD68)))</f>
        <v>0</v>
      </c>
      <c r="HO76" s="207">
        <f>AND(HO$73&gt;=$FA76,HO$73&lt;=$FB76)*PV(HO79/12,$EZ76-HO$73+MIN(HO$73,$EY76),PMT(HO79/12,$EZ76,SUM($S68:CE68)))</f>
        <v>0</v>
      </c>
      <c r="HP76" s="207">
        <f>AND(HP$73&gt;=$FA76,HP$73&lt;=$FB76)*PV(HP79/12,$EZ76-HP$73+MIN(HP$73,$EY76),PMT(HP79/12,$EZ76,SUM($S68:CF68)))</f>
        <v>0</v>
      </c>
      <c r="HQ76" s="207">
        <f>AND(HQ$73&gt;=$FA76,HQ$73&lt;=$FB76)*PV(HQ79/12,$EZ76-HQ$73+MIN(HQ$73,$EY76),PMT(HQ79/12,$EZ76,SUM($S68:CG68)))</f>
        <v>0</v>
      </c>
      <c r="HR76" s="207">
        <f>AND(HR$73&gt;=$FA76,HR$73&lt;=$FB76)*PV(HR79/12,$EZ76-HR$73+MIN(HR$73,$EY76),PMT(HR79/12,$EZ76,SUM($S68:CH68)))</f>
        <v>0</v>
      </c>
      <c r="HS76" s="207">
        <f>AND(HS$73&gt;=$FA76,HS$73&lt;=$FB76)*PV(HS79/12,$EZ76-HS$73+MIN(HS$73,$EY76),PMT(HS79/12,$EZ76,SUM($S68:CI68)))</f>
        <v>0</v>
      </c>
      <c r="HT76" s="207">
        <f>AND(HT$73&gt;=$FA76,HT$73&lt;=$FB76)*PV(HT79/12,$EZ76-HT$73+MIN(HT$73,$EY76),PMT(HT79/12,$EZ76,SUM($S68:CJ68)))</f>
        <v>0</v>
      </c>
      <c r="HU76" s="207">
        <f>AND(HU$73&gt;=$FA76,HU$73&lt;=$FB76)*PV(HU79/12,$EZ76-HU$73+MIN(HU$73,$EY76),PMT(HU79/12,$EZ76,SUM($S68:CK68)))</f>
        <v>0</v>
      </c>
      <c r="HV76" s="207">
        <f>AND(HV$73&gt;=$FA76,HV$73&lt;=$FB76)*PV(HV79/12,$EZ76-HV$73+MIN(HV$73,$EY76),PMT(HV79/12,$EZ76,SUM($S68:CL68)))</f>
        <v>0</v>
      </c>
      <c r="HW76" s="207">
        <f>AND(HW$73&gt;=$FA76,HW$73&lt;=$FB76)*PV(HW79/12,$EZ76-HW$73+MIN(HW$73,$EY76),PMT(HW79/12,$EZ76,SUM($S68:CM68)))</f>
        <v>0</v>
      </c>
      <c r="HX76" s="207">
        <f>AND(HX$73&gt;=$FA76,HX$73&lt;=$FB76)*PV(HX79/12,$EZ76-HX$73+MIN(HX$73,$EY76),PMT(HX79/12,$EZ76,SUM($S68:CN68)))</f>
        <v>0</v>
      </c>
      <c r="HY76" s="207">
        <f>AND(HY$73&gt;=$FA76,HY$73&lt;=$FB76)*PV(HY79/12,$EZ76-HY$73+MIN(HY$73,$EY76),PMT(HY79/12,$EZ76,SUM($S68:CO68)))</f>
        <v>0</v>
      </c>
      <c r="HZ76" s="207">
        <f>AND(HZ$73&gt;=$FA76,HZ$73&lt;=$FB76)*PV(HZ79/12,$EZ76-HZ$73+MIN(HZ$73,$EY76),PMT(HZ79/12,$EZ76,SUM($S68:CP68)))</f>
        <v>0</v>
      </c>
      <c r="IA76" s="207">
        <f>AND(IA$73&gt;=$FA76,IA$73&lt;=$FB76)*PV(IA79/12,$EZ76-IA$73+MIN(IA$73,$EY76),PMT(IA79/12,$EZ76,SUM($S68:CQ68)))</f>
        <v>0</v>
      </c>
      <c r="IB76" s="207">
        <f>AND(IB$73&gt;=$FA76,IB$73&lt;=$FB76)*PV(IB79/12,$EZ76-IB$73+MIN(IB$73,$EY76),PMT(IB79/12,$EZ76,SUM($S68:CR68)))</f>
        <v>0</v>
      </c>
      <c r="IC76" s="207">
        <f>AND(IC$73&gt;=$FA76,IC$73&lt;=$FB76)*PV(IC79/12,$EZ76-IC$73+MIN(IC$73,$EY76),PMT(IC79/12,$EZ76,SUM($S68:CS68)))</f>
        <v>0</v>
      </c>
      <c r="ID76" s="207">
        <f>AND(ID$73&gt;=$FA76,ID$73&lt;=$FB76)*PV(ID79/12,$EZ76-ID$73+MIN(ID$73,$EY76),PMT(ID79/12,$EZ76,SUM($S68:CT68)))</f>
        <v>0</v>
      </c>
      <c r="IE76" s="207">
        <f>AND(IE$73&gt;=$FA76,IE$73&lt;=$FB76)*PV(IE79/12,$EZ76-IE$73+MIN(IE$73,$EY76),PMT(IE79/12,$EZ76,SUM($S68:CU68)))</f>
        <v>0</v>
      </c>
      <c r="IF76" s="207">
        <f>AND(IF$73&gt;=$FA76,IF$73&lt;=$FB76)*PV(IF79/12,$EZ76-IF$73+MIN(IF$73,$EY76),PMT(IF79/12,$EZ76,SUM($S68:CV68)))</f>
        <v>0</v>
      </c>
      <c r="IG76" s="207">
        <f>AND(IG$73&gt;=$FA76,IG$73&lt;=$FB76)*PV(IG79/12,$EZ76-IG$73+MIN(IG$73,$EY76),PMT(IG79/12,$EZ76,SUM($S68:CW68)))</f>
        <v>0</v>
      </c>
      <c r="IH76" s="207">
        <f>AND(IH$73&gt;=$FA76,IH$73&lt;=$FB76)*PV(IH79/12,$EZ76-IH$73+MIN(IH$73,$EY76),PMT(IH79/12,$EZ76,SUM($S68:CX68)))</f>
        <v>0</v>
      </c>
      <c r="II76" s="207">
        <f>AND(II$73&gt;=$FA76,II$73&lt;=$FB76)*PV(II79/12,$EZ76-II$73+MIN(II$73,$EY76),PMT(II79/12,$EZ76,SUM($S68:CY68)))</f>
        <v>0</v>
      </c>
      <c r="IJ76" s="207">
        <f>AND(IJ$73&gt;=$FA76,IJ$73&lt;=$FB76)*PV(IJ79/12,$EZ76-IJ$73+MIN(IJ$73,$EY76),PMT(IJ79/12,$EZ76,SUM($S68:CZ68)))</f>
        <v>0</v>
      </c>
      <c r="IK76" s="207">
        <f>AND(IK$73&gt;=$FA76,IK$73&lt;=$FB76)*PV(IK79/12,$EZ76-IK$73+MIN(IK$73,$EY76),PMT(IK79/12,$EZ76,SUM($S68:DA68)))</f>
        <v>0</v>
      </c>
      <c r="IL76" s="207">
        <f>AND(IL$73&gt;=$FA76,IL$73&lt;=$FB76)*PV(IL79/12,$EZ76-IL$73+MIN(IL$73,$EY76),PMT(IL79/12,$EZ76,SUM($S68:DB68)))</f>
        <v>0</v>
      </c>
      <c r="IM76" s="207">
        <f>AND(IM$73&gt;=$FA76,IM$73&lt;=$FB76)*PV(IM79/12,$EZ76-IM$73+MIN(IM$73,$EY76),PMT(IM79/12,$EZ76,SUM($S68:DC68)))</f>
        <v>0</v>
      </c>
      <c r="IN76" s="207">
        <f>AND(IN$73&gt;=$FA76,IN$73&lt;=$FB76)*PV(IN79/12,$EZ76-IN$73+MIN(IN$73,$EY76),PMT(IN79/12,$EZ76,SUM($S68:DD68)))</f>
        <v>0</v>
      </c>
      <c r="IO76" s="207">
        <f>AND(IO$73&gt;=$FA76,IO$73&lt;=$FB76)*PV(IO79/12,$EZ76-IO$73+MIN(IO$73,$EY76),PMT(IO79/12,$EZ76,SUM($S68:DE68)))</f>
        <v>0</v>
      </c>
      <c r="IP76" s="207">
        <f>AND(IP$73&gt;=$FA76,IP$73&lt;=$FB76)*PV(IP79/12,$EZ76-IP$73+MIN(IP$73,$EY76),PMT(IP79/12,$EZ76,SUM($S68:DF68)))</f>
        <v>0</v>
      </c>
      <c r="IQ76" s="207">
        <f>AND(IQ$73&gt;=$FA76,IQ$73&lt;=$FB76)*PV(IQ79/12,$EZ76-IQ$73+MIN(IQ$73,$EY76),PMT(IQ79/12,$EZ76,SUM($S68:DG68)))</f>
        <v>0</v>
      </c>
      <c r="IR76" s="207">
        <f>AND(IR$73&gt;=$FA76,IR$73&lt;=$FB76)*PV(IR79/12,$EZ76-IR$73+MIN(IR$73,$EY76),PMT(IR79/12,$EZ76,SUM($S68:DH68)))</f>
        <v>0</v>
      </c>
      <c r="IS76" s="207">
        <f>AND(IS$73&gt;=$FA76,IS$73&lt;=$FB76)*PV(IS79/12,$EZ76-IS$73+MIN(IS$73,$EY76),PMT(IS79/12,$EZ76,SUM($S68:DI68)))</f>
        <v>0</v>
      </c>
      <c r="IT76" s="207">
        <f>AND(IT$73&gt;=$FA76,IT$73&lt;=$FB76)*PV(IT79/12,$EZ76-IT$73+MIN(IT$73,$EY76),PMT(IT79/12,$EZ76,SUM($S68:DJ68)))</f>
        <v>0</v>
      </c>
      <c r="IU76" s="207">
        <f>AND(IU$73&gt;=$FA76,IU$73&lt;=$FB76)*PV(IU79/12,$EZ76-IU$73+MIN(IU$73,$EY76),PMT(IU79/12,$EZ76,SUM($S68:DK68)))</f>
        <v>0</v>
      </c>
      <c r="IV76" s="207">
        <f>AND(IV$73&gt;=$FA76,IV$73&lt;=$FB76)*PV(IV79/12,$EZ76-IV$73+MIN(IV$73,$EY76),PMT(IV79/12,$EZ76,SUM($S68:DL68)))</f>
        <v>0</v>
      </c>
      <c r="IW76" s="207">
        <f>AND(IW$73&gt;=$FA76,IW$73&lt;=$FB76)*PV(IW79/12,$EZ76-IW$73+MIN(IW$73,$EY76),PMT(IW79/12,$EZ76,SUM($S68:DM68)))</f>
        <v>0</v>
      </c>
      <c r="IX76" s="207">
        <f>AND(IX$73&gt;=$FA76,IX$73&lt;=$FB76)*PV(IX79/12,$EZ76-IX$73+MIN(IX$73,$EY76),PMT(IX79/12,$EZ76,SUM($S68:DN68)))</f>
        <v>0</v>
      </c>
      <c r="IY76" s="207">
        <f>AND(IY$73&gt;=$FA76,IY$73&lt;=$FB76)*PV(IY79/12,$EZ76-IY$73+MIN(IY$73,$EY76),PMT(IY79/12,$EZ76,SUM($S68:DO68)))</f>
        <v>0</v>
      </c>
      <c r="IZ76" s="207">
        <f>AND(IZ$73&gt;=$FA76,IZ$73&lt;=$FB76)*PV(IZ79/12,$EZ76-IZ$73+MIN(IZ$73,$EY76),PMT(IZ79/12,$EZ76,SUM($S68:DP68)))</f>
        <v>0</v>
      </c>
      <c r="JA76" s="207">
        <f>AND(JA$73&gt;=$FA76,JA$73&lt;=$FB76)*PV(JA79/12,$EZ76-JA$73+MIN(JA$73,$EY76),PMT(JA79/12,$EZ76,SUM($S68:DQ68)))</f>
        <v>0</v>
      </c>
      <c r="JB76" s="207">
        <f>AND(JB$73&gt;=$FA76,JB$73&lt;=$FB76)*PV(JB79/12,$EZ76-JB$73+MIN(JB$73,$EY76),PMT(JB79/12,$EZ76,SUM($S68:DR68)))</f>
        <v>0</v>
      </c>
      <c r="JC76" s="207">
        <f>AND(JC$73&gt;=$FA76,JC$73&lt;=$FB76)*PV(JC79/12,$EZ76-JC$73+MIN(JC$73,$EY76),PMT(JC79/12,$EZ76,SUM($S68:DS68)))</f>
        <v>0</v>
      </c>
      <c r="JD76" s="207">
        <f>AND(JD$73&gt;=$FA76,JD$73&lt;=$FB76)*PV(JD79/12,$EZ76-JD$73+MIN(JD$73,$EY76),PMT(JD79/12,$EZ76,SUM($S68:DT68)))</f>
        <v>0</v>
      </c>
      <c r="JE76" s="207">
        <f>AND(JE$73&gt;=$FA76,JE$73&lt;=$FB76)*PV(JE79/12,$EZ76-JE$73+MIN(JE$73,$EY76),PMT(JE79/12,$EZ76,SUM($S68:DU68)))</f>
        <v>0</v>
      </c>
      <c r="JF76" s="207">
        <f>AND(JF$73&gt;=$FA76,JF$73&lt;=$FB76)*PV(JF79/12,$EZ76-JF$73+MIN(JF$73,$EY76),PMT(JF79/12,$EZ76,SUM($S68:DV68)))</f>
        <v>0</v>
      </c>
      <c r="JG76" s="207">
        <f>AND(JG$73&gt;=$FA76,JG$73&lt;=$FB76)*PV(JG79/12,$EZ76-JG$73+MIN(JG$73,$EY76),PMT(JG79/12,$EZ76,SUM($S68:DW68)))</f>
        <v>0</v>
      </c>
      <c r="JH76" s="207">
        <f>AND(JH$73&gt;=$FA76,JH$73&lt;=$FB76)*PV(JH79/12,$EZ76-JH$73+MIN(JH$73,$EY76),PMT(JH79/12,$EZ76,SUM($S68:DX68)))</f>
        <v>0</v>
      </c>
      <c r="JI76" s="207">
        <f>AND(JI$73&gt;=$FA76,JI$73&lt;=$FB76)*PV(JI79/12,$EZ76-JI$73+MIN(JI$73,$EY76),PMT(JI79/12,$EZ76,SUM($S68:DY68)))</f>
        <v>0</v>
      </c>
      <c r="JJ76" s="207">
        <f>AND(JJ$73&gt;=$FA76,JJ$73&lt;=$FB76)*PV(JJ79/12,$EZ76-JJ$73+MIN(JJ$73,$EY76),PMT(JJ79/12,$EZ76,SUM($S68:DZ68)))</f>
        <v>0</v>
      </c>
      <c r="JK76" s="207">
        <f>AND(JK$73&gt;=$FA76,JK$73&lt;=$FB76)*PV(JK79/12,$EZ76-JK$73+MIN(JK$73,$EY76),PMT(JK79/12,$EZ76,SUM($S68:EA68)))</f>
        <v>0</v>
      </c>
      <c r="JL76" s="207">
        <f>AND(JL$73&gt;=$FA76,JL$73&lt;=$FB76)*PV(JL79/12,$EZ76-JL$73+MIN(JL$73,$EY76),PMT(JL79/12,$EZ76,SUM($S68:EB68)))</f>
        <v>0</v>
      </c>
      <c r="JM76" s="207">
        <f>AND(JM$73&gt;=$FA76,JM$73&lt;=$FB76)*PV(JM79/12,$EZ76-JM$73+MIN(JM$73,$EY76),PMT(JM79/12,$EZ76,SUM($S68:EC68)))</f>
        <v>0</v>
      </c>
      <c r="JN76" s="207">
        <f>AND(JN$73&gt;=$FA76,JN$73&lt;=$FB76)*PV(JN79/12,$EZ76-JN$73+MIN(JN$73,$EY76),PMT(JN79/12,$EZ76,SUM($S68:ED68)))</f>
        <v>0</v>
      </c>
      <c r="JO76" s="207">
        <f>AND(JO$73&gt;=$FA76,JO$73&lt;=$FB76)*PV(JO79/12,$EZ76-JO$73+MIN(JO$73,$EY76),PMT(JO79/12,$EZ76,SUM($S68:EE68)))</f>
        <v>0</v>
      </c>
      <c r="JP76" s="207">
        <f>AND(JP$73&gt;=$FA76,JP$73&lt;=$FB76)*PV(JP79/12,$EZ76-JP$73+MIN(JP$73,$EY76),PMT(JP79/12,$EZ76,SUM($S68:EF68)))</f>
        <v>0</v>
      </c>
      <c r="JQ76" s="207">
        <f>AND(JQ$73&gt;=$FA76,JQ$73&lt;=$FB76)*PV(JQ79/12,$EZ76-JQ$73+MIN(JQ$73,$EY76),PMT(JQ79/12,$EZ76,SUM($S68:EG68)))</f>
        <v>0</v>
      </c>
      <c r="JR76" s="207">
        <f>AND(JR$73&gt;=$FA76,JR$73&lt;=$FB76)*PV(JR79/12,$EZ76-JR$73+MIN(JR$73,$EY76),PMT(JR79/12,$EZ76,SUM($S68:EH68)))</f>
        <v>0</v>
      </c>
      <c r="JS76" s="207">
        <f>AND(JS$73&gt;=$FA76,JS$73&lt;=$FB76)*PV(JS79/12,$EZ76-JS$73+MIN(JS$73,$EY76),PMT(JS79/12,$EZ76,SUM($S68:EI68)))</f>
        <v>0</v>
      </c>
      <c r="JT76" s="207">
        <f>AND(JT$73&gt;=$FA76,JT$73&lt;=$FB76)*PV(JT79/12,$EZ76-JT$73+MIN(JT$73,$EY76),PMT(JT79/12,$EZ76,SUM($S68:EJ68)))</f>
        <v>0</v>
      </c>
      <c r="JU76" s="207">
        <f>AND(JU$73&gt;=$FA76,JU$73&lt;=$FB76)*PV(JU79/12,$EZ76-JU$73+MIN(JU$73,$EY76),PMT(JU79/12,$EZ76,SUM($S68:EK68)))</f>
        <v>0</v>
      </c>
      <c r="JV76" s="207">
        <f>AND(JV$73&gt;=$FA76,JV$73&lt;=$FB76)*PV(JV79/12,$EZ76-JV$73+MIN(JV$73,$EY76),PMT(JV79/12,$EZ76,SUM($S68:EL68)))</f>
        <v>0</v>
      </c>
      <c r="JW76" s="207">
        <f>AND(JW$73&gt;=$FA76,JW$73&lt;=$FB76)*PV(JW79/12,$EZ76-JW$73+MIN(JW$73,$EY76),PMT(JW79/12,$EZ76,SUM($S68:EM68)))</f>
        <v>0</v>
      </c>
      <c r="JX76" s="207">
        <f>AND(JX$73&gt;=$FA76,JX$73&lt;=$FB76)*PV(JX79/12,$EZ76-JX$73+MIN(JX$73,$EY76),PMT(JX79/12,$EZ76,SUM($S68:EN68)))</f>
        <v>0</v>
      </c>
      <c r="JY76" s="207">
        <f>AND(JY$73&gt;=$FA76,JY$73&lt;=$FB76)*PV(JY79/12,$EZ76-JY$73+MIN(JY$73,$EY76),PMT(JY79/12,$EZ76,SUM($S68:EO68)))</f>
        <v>0</v>
      </c>
      <c r="JZ76" s="207">
        <f>AND(JZ$73&gt;=$FA76,JZ$73&lt;=$FB76)*PV(JZ79/12,$EZ76-JZ$73+MIN(JZ$73,$EY76),PMT(JZ79/12,$EZ76,SUM($S68:EP68)))</f>
        <v>0</v>
      </c>
      <c r="KA76" s="207">
        <f>AND(KA$73&gt;=$FA76,KA$73&lt;=$FB76)*PV(KA79/12,$EZ76-KA$73+MIN(KA$73,$EY76),PMT(KA79/12,$EZ76,SUM($S68:EQ68)))</f>
        <v>0</v>
      </c>
      <c r="KB76" s="207">
        <f>AND(KB$73&gt;=$FA76,KB$73&lt;=$FB76)*PV(KB79/12,$EZ76-KB$73+MIN(KB$73,$EY76),PMT(KB79/12,$EZ76,SUM($S68:ER68)))</f>
        <v>0</v>
      </c>
      <c r="KC76" s="207">
        <f>AND(KC$73&gt;=$FA76,KC$73&lt;=$FB76)*PV(KC79/12,$EZ76-KC$73+MIN(KC$73,$EY76),PMT(KC79/12,$EZ76,SUM($S68:ES68)))</f>
        <v>0</v>
      </c>
      <c r="KD76" s="207">
        <f>AND(KD$73&gt;=$FA76,KD$73&lt;=$FB76)*PV(KD79/12,$EZ76-KD$73+MIN(KD$73,$EY76),PMT(KD79/12,$EZ76,SUM($S68:ET68)))</f>
        <v>0</v>
      </c>
      <c r="KE76" s="207">
        <f>AND(KE$73&gt;=$FA76,KE$73&lt;=$FB76)*PV(KE79/12,$EZ76-KE$73+MIN(KE$73,$EY76),PMT(KE79/12,$EZ76,SUM($S68:EU68)))</f>
        <v>0</v>
      </c>
      <c r="KH76" s="219"/>
      <c r="KI76" s="219"/>
      <c r="KJ76" s="219"/>
      <c r="KK76" s="220"/>
      <c r="KL76" s="220"/>
      <c r="KM76" s="207"/>
      <c r="KN76" s="207"/>
      <c r="KO76" s="207"/>
      <c r="KP76" s="207"/>
      <c r="KQ76" s="207"/>
      <c r="KR76" s="207"/>
      <c r="KS76" s="207"/>
      <c r="KT76" s="207"/>
      <c r="KU76" s="207"/>
      <c r="KV76" s="207"/>
      <c r="KW76" s="207"/>
      <c r="KX76" s="207"/>
      <c r="KY76" s="207"/>
      <c r="KZ76" s="207"/>
      <c r="LA76" s="207"/>
      <c r="LB76" s="207"/>
      <c r="LC76" s="207"/>
      <c r="LD76" s="207"/>
      <c r="LE76" s="207"/>
      <c r="LF76" s="207"/>
      <c r="LG76" s="207"/>
      <c r="LH76" s="207"/>
      <c r="LI76" s="207"/>
      <c r="LJ76" s="207"/>
      <c r="LK76" s="207"/>
      <c r="LL76" s="207"/>
      <c r="LM76" s="207"/>
      <c r="LN76" s="207"/>
      <c r="LO76" s="207"/>
      <c r="LP76" s="207"/>
      <c r="LQ76" s="207"/>
      <c r="LR76" s="207"/>
      <c r="LS76" s="207"/>
      <c r="LT76" s="207"/>
      <c r="LU76" s="207"/>
      <c r="LV76" s="207"/>
      <c r="LW76" s="207"/>
      <c r="LX76" s="207"/>
      <c r="LY76" s="207"/>
      <c r="LZ76" s="207"/>
      <c r="MA76" s="207"/>
      <c r="MB76" s="207"/>
      <c r="MC76" s="207"/>
      <c r="MD76" s="207"/>
      <c r="ME76" s="207"/>
      <c r="MF76" s="207"/>
      <c r="MG76" s="207"/>
      <c r="MH76" s="207"/>
      <c r="MI76" s="207"/>
      <c r="MJ76" s="207"/>
      <c r="MK76" s="207"/>
      <c r="ML76" s="207"/>
      <c r="MM76" s="207"/>
      <c r="MN76" s="207"/>
      <c r="MO76" s="207"/>
      <c r="MP76" s="207"/>
      <c r="MQ76" s="207"/>
      <c r="MR76" s="207"/>
      <c r="MS76" s="207"/>
      <c r="MT76" s="207"/>
      <c r="MU76" s="207"/>
      <c r="MV76" s="207"/>
      <c r="MW76" s="207"/>
      <c r="MX76" s="207"/>
      <c r="MY76" s="207"/>
      <c r="MZ76" s="207"/>
      <c r="NA76" s="207"/>
      <c r="NB76" s="207"/>
      <c r="NC76" s="207"/>
      <c r="ND76" s="207"/>
      <c r="NE76" s="207"/>
      <c r="NF76" s="207"/>
      <c r="NG76" s="207"/>
      <c r="NH76" s="207"/>
      <c r="NI76" s="207"/>
      <c r="NJ76" s="207"/>
      <c r="NK76" s="207"/>
      <c r="NL76" s="207"/>
      <c r="NM76" s="207"/>
      <c r="NN76" s="207"/>
      <c r="NO76" s="207"/>
      <c r="NP76" s="207"/>
      <c r="NQ76" s="207"/>
      <c r="NR76" s="207"/>
      <c r="NS76" s="207"/>
      <c r="NT76" s="207"/>
      <c r="NU76" s="207"/>
      <c r="NV76" s="207"/>
      <c r="NW76" s="207"/>
      <c r="NX76" s="207"/>
      <c r="NY76" s="207"/>
      <c r="NZ76" s="207"/>
      <c r="OA76" s="207"/>
      <c r="OB76" s="207"/>
      <c r="OC76" s="207"/>
      <c r="OD76" s="207"/>
      <c r="OE76" s="207"/>
      <c r="OF76" s="207"/>
      <c r="OG76" s="207"/>
      <c r="OH76" s="207"/>
      <c r="OI76" s="207"/>
      <c r="OJ76" s="207"/>
      <c r="OK76" s="207"/>
      <c r="OL76" s="207"/>
      <c r="OM76" s="207"/>
      <c r="ON76" s="207"/>
      <c r="OO76" s="207"/>
      <c r="OP76" s="207"/>
      <c r="OQ76" s="207"/>
      <c r="OR76" s="207"/>
      <c r="OS76" s="207"/>
      <c r="OT76" s="207"/>
      <c r="OU76" s="207"/>
      <c r="OV76" s="207"/>
      <c r="OW76" s="207"/>
      <c r="OX76" s="207"/>
      <c r="OY76" s="207"/>
      <c r="OZ76" s="207"/>
      <c r="PA76" s="207"/>
      <c r="PB76" s="207"/>
      <c r="PC76" s="207"/>
      <c r="PD76" s="207"/>
      <c r="PE76" s="207"/>
      <c r="PF76" s="207"/>
      <c r="PG76" s="207"/>
      <c r="PH76" s="207"/>
      <c r="PI76" s="207"/>
      <c r="PJ76" s="207"/>
      <c r="PK76" s="207"/>
      <c r="PL76" s="207"/>
      <c r="PM76" s="207"/>
      <c r="PN76" s="207"/>
      <c r="PO76" s="207"/>
      <c r="PQ76" s="201"/>
      <c r="PR76" s="201"/>
      <c r="PS76" s="201"/>
      <c r="PT76" s="201"/>
      <c r="PU76" s="201"/>
      <c r="PV76" s="201"/>
      <c r="PW76" s="201"/>
      <c r="PX76" s="201"/>
      <c r="PY76" s="201"/>
      <c r="PZ76" s="201"/>
      <c r="QA76" s="201"/>
      <c r="QB76" s="201"/>
      <c r="QC76" s="201"/>
      <c r="QD76" s="201"/>
      <c r="QE76" s="201"/>
      <c r="QF76" s="201"/>
      <c r="QG76" s="201"/>
      <c r="QH76" s="201"/>
      <c r="QI76" s="201"/>
      <c r="QJ76" s="201"/>
      <c r="QK76" s="201"/>
      <c r="QL76" s="201"/>
      <c r="QM76" s="201"/>
      <c r="QN76" s="201"/>
      <c r="QO76" s="201"/>
      <c r="QP76" s="201"/>
      <c r="QQ76" s="201"/>
      <c r="QR76" s="201"/>
      <c r="QS76" s="201"/>
      <c r="QT76" s="201"/>
      <c r="QU76" s="201"/>
      <c r="QV76" s="201"/>
      <c r="QW76" s="201"/>
      <c r="QX76" s="201"/>
      <c r="QY76" s="201"/>
      <c r="QZ76" s="201"/>
      <c r="RA76" s="201"/>
      <c r="RB76" s="201"/>
      <c r="RC76" s="201"/>
      <c r="RD76" s="201"/>
      <c r="RE76" s="201"/>
      <c r="RF76" s="201"/>
      <c r="RG76" s="201"/>
      <c r="RH76" s="201"/>
      <c r="RI76" s="201"/>
      <c r="RJ76" s="201"/>
      <c r="RK76" s="201"/>
      <c r="RL76" s="201"/>
      <c r="RM76" s="201"/>
      <c r="RN76" s="201"/>
      <c r="RO76" s="201"/>
      <c r="RP76" s="201"/>
      <c r="RQ76" s="201"/>
      <c r="RR76" s="201"/>
      <c r="RS76" s="201"/>
      <c r="RT76" s="201"/>
      <c r="RU76" s="201"/>
      <c r="RV76" s="201"/>
      <c r="RW76" s="201"/>
      <c r="RX76" s="201"/>
      <c r="RY76" s="201"/>
      <c r="RZ76" s="201"/>
      <c r="SA76" s="201"/>
      <c r="SB76" s="201"/>
      <c r="SC76" s="201"/>
      <c r="SD76" s="201"/>
      <c r="SE76" s="201"/>
      <c r="SF76" s="201"/>
      <c r="SG76" s="201"/>
      <c r="SH76" s="201"/>
      <c r="SI76" s="201"/>
      <c r="SJ76" s="201"/>
      <c r="SK76" s="201"/>
      <c r="SL76" s="201"/>
      <c r="SM76" s="201"/>
      <c r="SN76" s="201"/>
      <c r="SO76" s="201"/>
      <c r="SP76" s="201"/>
      <c r="SQ76" s="201"/>
      <c r="SR76" s="201"/>
      <c r="SS76" s="201"/>
      <c r="ST76" s="201"/>
      <c r="SU76" s="201"/>
      <c r="SV76" s="201"/>
      <c r="SW76" s="201"/>
      <c r="SX76" s="201"/>
      <c r="SY76" s="201"/>
      <c r="SZ76" s="201"/>
      <c r="TA76" s="201"/>
      <c r="TB76" s="201"/>
      <c r="TC76" s="201"/>
      <c r="TD76" s="201"/>
      <c r="TE76" s="201"/>
      <c r="TF76" s="201"/>
      <c r="TG76" s="201"/>
      <c r="TH76" s="201"/>
      <c r="TI76" s="201"/>
      <c r="TJ76" s="201"/>
      <c r="TK76" s="201"/>
      <c r="TL76" s="201"/>
      <c r="TM76" s="201"/>
      <c r="TN76" s="201"/>
      <c r="TO76" s="201"/>
      <c r="TP76" s="201"/>
      <c r="TQ76" s="201"/>
      <c r="TR76" s="201"/>
      <c r="TS76" s="201"/>
      <c r="TT76" s="201"/>
      <c r="TU76" s="201"/>
      <c r="TV76" s="201"/>
      <c r="TW76" s="201"/>
      <c r="TX76" s="201"/>
      <c r="TY76" s="201"/>
      <c r="TZ76" s="201"/>
      <c r="UA76" s="201"/>
      <c r="UB76" s="201"/>
      <c r="UC76" s="201"/>
      <c r="UD76" s="201"/>
      <c r="UE76" s="201"/>
      <c r="UF76" s="201"/>
      <c r="UG76" s="201"/>
      <c r="UH76" s="201"/>
      <c r="UI76" s="201"/>
      <c r="UJ76" s="201"/>
      <c r="UK76" s="201"/>
      <c r="UL76" s="201"/>
      <c r="UM76" s="201"/>
      <c r="UN76" s="201"/>
      <c r="UO76" s="201"/>
      <c r="UP76" s="201"/>
      <c r="UQ76" s="201"/>
      <c r="UR76" s="201"/>
      <c r="US76" s="201"/>
      <c r="UT76" s="201"/>
      <c r="UU76" s="201"/>
    </row>
    <row r="77" spans="2:567" x14ac:dyDescent="0.25">
      <c r="B77" s="54" t="str">
        <f>+B68</f>
        <v>Junior Loan</v>
      </c>
      <c r="C77" s="52"/>
      <c r="D77" s="52"/>
      <c r="E77" s="52"/>
      <c r="F77" s="66">
        <f>F76</f>
        <v>36</v>
      </c>
      <c r="G77" s="66">
        <f>+F77</f>
        <v>36</v>
      </c>
      <c r="H77" s="66">
        <v>360</v>
      </c>
      <c r="I77" s="67">
        <v>0.1</v>
      </c>
      <c r="J77" s="19" t="s">
        <v>792</v>
      </c>
      <c r="K77" s="557">
        <v>600</v>
      </c>
      <c r="R77" s="159" t="s">
        <v>110</v>
      </c>
      <c r="S77" s="558">
        <f t="shared" ref="S77" si="771">S$75+($K77/10000)</f>
        <v>9.6350899999999989E-2</v>
      </c>
      <c r="T77" s="558">
        <f t="shared" si="762"/>
        <v>9.60675E-2</v>
      </c>
      <c r="U77" s="558">
        <f t="shared" si="762"/>
        <v>9.5242199999999999E-2</v>
      </c>
      <c r="V77" s="558">
        <f t="shared" si="762"/>
        <v>9.5237099999999991E-2</v>
      </c>
      <c r="W77" s="558">
        <f t="shared" si="762"/>
        <v>9.5058900000000002E-2</v>
      </c>
      <c r="X77" s="558">
        <f t="shared" si="762"/>
        <v>9.4620999999999997E-2</v>
      </c>
      <c r="Y77" s="558">
        <f t="shared" si="762"/>
        <v>9.4619399999999992E-2</v>
      </c>
      <c r="Z77" s="558">
        <f t="shared" si="762"/>
        <v>9.4581499999999999E-2</v>
      </c>
      <c r="AA77" s="558">
        <f t="shared" si="762"/>
        <v>9.4479099999999996E-2</v>
      </c>
      <c r="AB77" s="558">
        <f t="shared" si="762"/>
        <v>9.4477099999999994E-2</v>
      </c>
      <c r="AC77" s="558">
        <f t="shared" si="762"/>
        <v>9.4489999999999991E-2</v>
      </c>
      <c r="AD77" s="558">
        <f t="shared" si="762"/>
        <v>9.4513799999999995E-2</v>
      </c>
      <c r="AE77" s="558">
        <f t="shared" si="762"/>
        <v>9.4550599999999999E-2</v>
      </c>
      <c r="AF77" s="558">
        <f t="shared" si="762"/>
        <v>9.4597500000000001E-2</v>
      </c>
      <c r="AG77" s="558">
        <f t="shared" si="762"/>
        <v>9.4669000000000003E-2</v>
      </c>
      <c r="AH77" s="558">
        <f t="shared" si="762"/>
        <v>9.4737299999999997E-2</v>
      </c>
      <c r="AI77" s="558">
        <f t="shared" si="762"/>
        <v>9.4810099999999994E-2</v>
      </c>
      <c r="AJ77" s="558">
        <f t="shared" si="763"/>
        <v>9.4888E-2</v>
      </c>
      <c r="AK77" s="558">
        <f t="shared" si="763"/>
        <v>9.4968899999999995E-2</v>
      </c>
      <c r="AL77" s="558">
        <f t="shared" si="763"/>
        <v>9.5056499999999988E-2</v>
      </c>
      <c r="AM77" s="558">
        <f t="shared" si="763"/>
        <v>9.5140100000000005E-2</v>
      </c>
      <c r="AN77" s="558">
        <f t="shared" si="763"/>
        <v>9.5228199999999999E-2</v>
      </c>
      <c r="AO77" s="558">
        <f t="shared" si="763"/>
        <v>9.5321400000000001E-2</v>
      </c>
      <c r="AP77" s="558">
        <f t="shared" si="763"/>
        <v>9.5418100000000006E-2</v>
      </c>
      <c r="AQ77" s="558">
        <f t="shared" si="763"/>
        <v>9.5511399999999996E-2</v>
      </c>
      <c r="AR77" s="558">
        <f t="shared" si="763"/>
        <v>9.5614199999999996E-2</v>
      </c>
      <c r="AS77" s="558">
        <f t="shared" si="763"/>
        <v>9.5718899999999996E-2</v>
      </c>
      <c r="AT77" s="558">
        <f t="shared" si="763"/>
        <v>9.5810699999999999E-2</v>
      </c>
      <c r="AU77" s="558">
        <f t="shared" si="763"/>
        <v>9.5911899999999994E-2</v>
      </c>
      <c r="AV77" s="558">
        <f t="shared" si="763"/>
        <v>9.600149999999999E-2</v>
      </c>
      <c r="AW77" s="558">
        <f t="shared" si="763"/>
        <v>9.6088000000000007E-2</v>
      </c>
      <c r="AX77" s="558">
        <f t="shared" si="763"/>
        <v>9.61727E-2</v>
      </c>
      <c r="AY77" s="558">
        <f t="shared" si="763"/>
        <v>9.6250000000000002E-2</v>
      </c>
      <c r="AZ77" s="558">
        <f t="shared" si="764"/>
        <v>9.6332699999999993E-2</v>
      </c>
      <c r="BA77" s="558">
        <f t="shared" si="764"/>
        <v>9.64E-2</v>
      </c>
      <c r="BB77" s="558">
        <f t="shared" si="764"/>
        <v>9.6465899999999993E-2</v>
      </c>
      <c r="BC77" s="558">
        <f t="shared" si="764"/>
        <v>9.6529799999999999E-2</v>
      </c>
      <c r="BD77" s="558">
        <f t="shared" si="764"/>
        <v>9.6579399999999996E-2</v>
      </c>
      <c r="BE77" s="558">
        <f t="shared" si="764"/>
        <v>9.6637799999999996E-2</v>
      </c>
      <c r="BF77" s="558">
        <f t="shared" si="764"/>
        <v>9.6688799999999991E-2</v>
      </c>
      <c r="BG77" s="558">
        <f t="shared" si="764"/>
        <v>9.6746200000000004E-2</v>
      </c>
      <c r="BH77" s="558">
        <f t="shared" si="764"/>
        <v>9.680069999999999E-2</v>
      </c>
      <c r="BI77" s="558">
        <f t="shared" si="764"/>
        <v>9.686539999999999E-2</v>
      </c>
      <c r="BJ77" s="558">
        <f t="shared" si="764"/>
        <v>9.6922499999999995E-2</v>
      </c>
      <c r="BK77" s="558">
        <f t="shared" si="764"/>
        <v>9.6975599999999995E-2</v>
      </c>
      <c r="BL77" s="558">
        <f t="shared" si="764"/>
        <v>9.7039999999999987E-2</v>
      </c>
      <c r="BM77" s="558">
        <f t="shared" si="764"/>
        <v>9.7097699999999995E-2</v>
      </c>
      <c r="BN77" s="558">
        <f t="shared" si="764"/>
        <v>9.71669E-2</v>
      </c>
      <c r="BO77" s="558">
        <f t="shared" si="764"/>
        <v>9.7222100000000006E-2</v>
      </c>
      <c r="BP77" s="558">
        <f t="shared" si="765"/>
        <v>9.7277299999999997E-2</v>
      </c>
      <c r="BQ77" s="558">
        <f t="shared" si="765"/>
        <v>9.7344399999999998E-2</v>
      </c>
      <c r="BR77" s="558">
        <f t="shared" si="765"/>
        <v>9.7414000000000001E-2</v>
      </c>
      <c r="BS77" s="558">
        <f t="shared" si="765"/>
        <v>9.7474699999999997E-2</v>
      </c>
      <c r="BT77" s="558">
        <f t="shared" si="765"/>
        <v>9.7527299999999997E-2</v>
      </c>
      <c r="BU77" s="558">
        <f t="shared" si="765"/>
        <v>9.7591600000000001E-2</v>
      </c>
      <c r="BV77" s="558">
        <f t="shared" si="765"/>
        <v>9.7650000000000001E-2</v>
      </c>
      <c r="BW77" s="558">
        <f t="shared" si="765"/>
        <v>9.7703399999999996E-2</v>
      </c>
      <c r="BX77" s="558">
        <f t="shared" si="765"/>
        <v>9.7761700000000007E-2</v>
      </c>
      <c r="BY77" s="558">
        <f t="shared" si="765"/>
        <v>9.7817799999999996E-2</v>
      </c>
      <c r="BZ77" s="558">
        <f t="shared" si="765"/>
        <v>9.7875600000000007E-2</v>
      </c>
      <c r="CA77" s="558">
        <f t="shared" si="765"/>
        <v>9.7928399999999999E-2</v>
      </c>
      <c r="CB77" s="558">
        <f t="shared" si="765"/>
        <v>9.7969200000000006E-2</v>
      </c>
      <c r="CC77" s="558">
        <f t="shared" si="765"/>
        <v>9.8024500000000001E-2</v>
      </c>
      <c r="CD77" s="558">
        <f t="shared" si="765"/>
        <v>9.8078100000000001E-2</v>
      </c>
      <c r="CE77" s="558">
        <f t="shared" si="765"/>
        <v>9.8126500000000005E-2</v>
      </c>
      <c r="CF77" s="558">
        <f t="shared" si="766"/>
        <v>9.8169099999999995E-2</v>
      </c>
      <c r="CG77" s="558">
        <f t="shared" si="766"/>
        <v>9.8217799999999994E-2</v>
      </c>
      <c r="CH77" s="558">
        <f t="shared" si="766"/>
        <v>9.8264199999999996E-2</v>
      </c>
      <c r="CI77" s="558">
        <f t="shared" si="766"/>
        <v>9.8312299999999991E-2</v>
      </c>
      <c r="CJ77" s="558">
        <f t="shared" si="766"/>
        <v>9.8357899999999998E-2</v>
      </c>
      <c r="CK77" s="558">
        <f t="shared" si="766"/>
        <v>9.8395399999999994E-2</v>
      </c>
      <c r="CL77" s="558">
        <f t="shared" si="766"/>
        <v>9.8437499999999997E-2</v>
      </c>
      <c r="CM77" s="558">
        <f t="shared" si="766"/>
        <v>9.8478399999999994E-2</v>
      </c>
      <c r="CN77" s="558">
        <f t="shared" si="766"/>
        <v>9.8511600000000005E-2</v>
      </c>
      <c r="CO77" s="558">
        <f t="shared" si="766"/>
        <v>9.8556199999999997E-2</v>
      </c>
      <c r="CP77" s="558">
        <f t="shared" si="766"/>
        <v>9.8591299999999993E-2</v>
      </c>
      <c r="CQ77" s="558">
        <f t="shared" si="766"/>
        <v>9.8631099999999999E-2</v>
      </c>
      <c r="CR77" s="558">
        <f t="shared" si="766"/>
        <v>9.8671099999999998E-2</v>
      </c>
      <c r="CS77" s="558">
        <f t="shared" si="766"/>
        <v>9.8711599999999997E-2</v>
      </c>
      <c r="CT77" s="558">
        <f t="shared" si="766"/>
        <v>9.87566E-2</v>
      </c>
      <c r="CU77" s="558">
        <f t="shared" si="766"/>
        <v>9.87923E-2</v>
      </c>
      <c r="CV77" s="558">
        <f t="shared" si="767"/>
        <v>9.883539999999999E-2</v>
      </c>
      <c r="CW77" s="558">
        <f t="shared" si="767"/>
        <v>9.8876099999999995E-2</v>
      </c>
      <c r="CX77" s="558">
        <f t="shared" si="767"/>
        <v>9.8918499999999993E-2</v>
      </c>
      <c r="CY77" s="558">
        <f t="shared" si="767"/>
        <v>9.8958600000000008E-2</v>
      </c>
      <c r="CZ77" s="558">
        <f t="shared" si="767"/>
        <v>9.8993499999999998E-2</v>
      </c>
      <c r="DA77" s="558">
        <f t="shared" si="767"/>
        <v>9.9041299999999999E-2</v>
      </c>
      <c r="DB77" s="558">
        <f t="shared" si="767"/>
        <v>9.908249999999999E-2</v>
      </c>
      <c r="DC77" s="558">
        <f t="shared" si="767"/>
        <v>9.9134100000000003E-2</v>
      </c>
      <c r="DD77" s="558">
        <f t="shared" si="767"/>
        <v>9.9173299999999992E-2</v>
      </c>
      <c r="DE77" s="558">
        <f t="shared" si="767"/>
        <v>9.9217E-2</v>
      </c>
      <c r="DF77" s="558">
        <f t="shared" si="767"/>
        <v>9.9265500000000007E-2</v>
      </c>
      <c r="DG77" s="558">
        <f t="shared" si="767"/>
        <v>9.9307300000000001E-2</v>
      </c>
      <c r="DH77" s="558">
        <f t="shared" si="767"/>
        <v>9.93536E-2</v>
      </c>
      <c r="DI77" s="558">
        <f t="shared" si="767"/>
        <v>9.9403400000000003E-2</v>
      </c>
      <c r="DJ77" s="558">
        <f t="shared" si="767"/>
        <v>9.944929999999999E-2</v>
      </c>
      <c r="DK77" s="558">
        <f t="shared" si="767"/>
        <v>9.9499799999999999E-2</v>
      </c>
      <c r="DL77" s="558">
        <f t="shared" si="768"/>
        <v>9.9536199999999991E-2</v>
      </c>
      <c r="DM77" s="558">
        <f t="shared" si="768"/>
        <v>9.9588800000000005E-2</v>
      </c>
      <c r="DN77" s="558">
        <f t="shared" si="768"/>
        <v>9.9631600000000001E-2</v>
      </c>
      <c r="DO77" s="558">
        <f t="shared" si="768"/>
        <v>9.9685200000000002E-2</v>
      </c>
      <c r="DP77" s="558">
        <f t="shared" si="768"/>
        <v>9.97305E-2</v>
      </c>
      <c r="DQ77" s="558">
        <f t="shared" si="768"/>
        <v>9.9780299999999988E-2</v>
      </c>
      <c r="DR77" s="558">
        <f t="shared" si="768"/>
        <v>9.9830699999999994E-2</v>
      </c>
      <c r="DS77" s="558">
        <f t="shared" si="768"/>
        <v>9.9878499999999995E-2</v>
      </c>
      <c r="DT77" s="558">
        <f t="shared" si="768"/>
        <v>9.9937300000000007E-2</v>
      </c>
      <c r="DU77" s="558">
        <f t="shared" si="768"/>
        <v>9.9983099999999991E-2</v>
      </c>
      <c r="DV77" s="558">
        <f t="shared" si="768"/>
        <v>0.1000349</v>
      </c>
      <c r="DW77" s="558">
        <f t="shared" si="768"/>
        <v>0.10008880000000001</v>
      </c>
      <c r="DX77" s="558">
        <f t="shared" si="768"/>
        <v>0.100131</v>
      </c>
      <c r="DY77" s="558">
        <f t="shared" si="768"/>
        <v>0.1001881</v>
      </c>
      <c r="DZ77" s="558">
        <f t="shared" si="768"/>
        <v>9.2831200000000003E-2</v>
      </c>
      <c r="EA77" s="558">
        <f t="shared" si="768"/>
        <v>9.2884099999999997E-2</v>
      </c>
      <c r="EB77" s="558">
        <f t="shared" si="769"/>
        <v>9.2935099999999993E-2</v>
      </c>
      <c r="EC77" s="558">
        <f t="shared" si="769"/>
        <v>9.2984399999999995E-2</v>
      </c>
      <c r="ED77" s="558">
        <f t="shared" si="769"/>
        <v>9.30309E-2</v>
      </c>
      <c r="EE77" s="558">
        <f t="shared" si="769"/>
        <v>9.3087400000000001E-2</v>
      </c>
      <c r="EF77" s="558">
        <f t="shared" si="769"/>
        <v>9.3140500000000001E-2</v>
      </c>
      <c r="EG77" s="558">
        <f t="shared" si="769"/>
        <v>9.3205099999999999E-2</v>
      </c>
      <c r="EH77" s="558">
        <f t="shared" si="769"/>
        <v>9.3258599999999997E-2</v>
      </c>
      <c r="EI77" s="558">
        <f t="shared" si="769"/>
        <v>9.3311699999999997E-2</v>
      </c>
      <c r="EJ77" s="558">
        <f t="shared" si="769"/>
        <v>9.3311699999999997E-2</v>
      </c>
      <c r="EK77" s="558">
        <f t="shared" si="769"/>
        <v>9.3311699999999997E-2</v>
      </c>
      <c r="EL77" s="558">
        <f t="shared" si="769"/>
        <v>9.3311699999999997E-2</v>
      </c>
      <c r="EM77" s="558">
        <f t="shared" si="769"/>
        <v>9.3311699999999997E-2</v>
      </c>
      <c r="EN77" s="558">
        <f t="shared" si="769"/>
        <v>9.3311699999999997E-2</v>
      </c>
      <c r="EO77" s="558">
        <f t="shared" si="769"/>
        <v>9.3311699999999997E-2</v>
      </c>
      <c r="EP77" s="558">
        <f t="shared" si="769"/>
        <v>9.3311699999999997E-2</v>
      </c>
      <c r="EQ77" s="558">
        <f t="shared" si="769"/>
        <v>9.3311699999999997E-2</v>
      </c>
      <c r="ER77" s="558">
        <f t="shared" si="770"/>
        <v>9.3311699999999997E-2</v>
      </c>
      <c r="ES77" s="558">
        <f t="shared" si="770"/>
        <v>9.3311699999999997E-2</v>
      </c>
      <c r="ET77" s="558">
        <f t="shared" si="770"/>
        <v>9.3311699999999997E-2</v>
      </c>
      <c r="EU77" s="558">
        <f t="shared" si="770"/>
        <v>9.3311699999999997E-2</v>
      </c>
      <c r="EW77" s="199" t="s">
        <v>115</v>
      </c>
      <c r="EX77" s="219"/>
      <c r="EY77" s="219"/>
      <c r="EZ77" s="219"/>
      <c r="FA77" s="220"/>
      <c r="FB77" s="220"/>
      <c r="FC77" s="204">
        <v>0</v>
      </c>
      <c r="FD77" s="204">
        <f>+FC77+1</f>
        <v>1</v>
      </c>
      <c r="FE77" s="204">
        <f t="shared" ref="FE77" si="772">+FD77+1</f>
        <v>2</v>
      </c>
      <c r="FF77" s="204">
        <f t="shared" ref="FF77" si="773">+FE77+1</f>
        <v>3</v>
      </c>
      <c r="FG77" s="204">
        <f t="shared" ref="FG77" si="774">+FF77+1</f>
        <v>4</v>
      </c>
      <c r="FH77" s="204">
        <f t="shared" ref="FH77" si="775">+FG77+1</f>
        <v>5</v>
      </c>
      <c r="FI77" s="204">
        <f t="shared" ref="FI77" si="776">+FH77+1</f>
        <v>6</v>
      </c>
      <c r="FJ77" s="204">
        <f t="shared" ref="FJ77" si="777">+FI77+1</f>
        <v>7</v>
      </c>
      <c r="FK77" s="204">
        <f t="shared" ref="FK77" si="778">+FJ77+1</f>
        <v>8</v>
      </c>
      <c r="FL77" s="204">
        <f t="shared" ref="FL77" si="779">+FK77+1</f>
        <v>9</v>
      </c>
      <c r="FM77" s="204">
        <f t="shared" ref="FM77" si="780">+FL77+1</f>
        <v>10</v>
      </c>
      <c r="FN77" s="204">
        <f t="shared" ref="FN77" si="781">+FM77+1</f>
        <v>11</v>
      </c>
      <c r="FO77" s="204">
        <f t="shared" ref="FO77" si="782">+FN77+1</f>
        <v>12</v>
      </c>
      <c r="FP77" s="204">
        <f t="shared" ref="FP77" si="783">+FO77+1</f>
        <v>13</v>
      </c>
      <c r="FQ77" s="204">
        <f t="shared" ref="FQ77" si="784">+FP77+1</f>
        <v>14</v>
      </c>
      <c r="FR77" s="204">
        <f t="shared" ref="FR77" si="785">+FQ77+1</f>
        <v>15</v>
      </c>
      <c r="FS77" s="204">
        <f t="shared" ref="FS77" si="786">+FR77+1</f>
        <v>16</v>
      </c>
      <c r="FT77" s="204">
        <f t="shared" ref="FT77" si="787">+FS77+1</f>
        <v>17</v>
      </c>
      <c r="FU77" s="204">
        <f t="shared" ref="FU77" si="788">+FT77+1</f>
        <v>18</v>
      </c>
      <c r="FV77" s="204">
        <f t="shared" ref="FV77" si="789">+FU77+1</f>
        <v>19</v>
      </c>
      <c r="FW77" s="204">
        <f t="shared" ref="FW77" si="790">+FV77+1</f>
        <v>20</v>
      </c>
      <c r="FX77" s="204">
        <f t="shared" ref="FX77" si="791">+FW77+1</f>
        <v>21</v>
      </c>
      <c r="FY77" s="204">
        <f t="shared" ref="FY77" si="792">+FX77+1</f>
        <v>22</v>
      </c>
      <c r="FZ77" s="204">
        <f t="shared" ref="FZ77" si="793">+FY77+1</f>
        <v>23</v>
      </c>
      <c r="GA77" s="204">
        <f t="shared" ref="GA77" si="794">+FZ77+1</f>
        <v>24</v>
      </c>
      <c r="GB77" s="204">
        <f t="shared" ref="GB77" si="795">+GA77+1</f>
        <v>25</v>
      </c>
      <c r="GC77" s="204">
        <f t="shared" ref="GC77" si="796">+GB77+1</f>
        <v>26</v>
      </c>
      <c r="GD77" s="204">
        <f t="shared" ref="GD77" si="797">+GC77+1</f>
        <v>27</v>
      </c>
      <c r="GE77" s="204">
        <f t="shared" ref="GE77" si="798">+GD77+1</f>
        <v>28</v>
      </c>
      <c r="GF77" s="204">
        <f t="shared" ref="GF77" si="799">+GE77+1</f>
        <v>29</v>
      </c>
      <c r="GG77" s="204">
        <f t="shared" ref="GG77" si="800">+GF77+1</f>
        <v>30</v>
      </c>
      <c r="GH77" s="204">
        <f t="shared" ref="GH77" si="801">+GG77+1</f>
        <v>31</v>
      </c>
      <c r="GI77" s="204">
        <f t="shared" ref="GI77" si="802">+GH77+1</f>
        <v>32</v>
      </c>
      <c r="GJ77" s="204">
        <f t="shared" ref="GJ77" si="803">+GI77+1</f>
        <v>33</v>
      </c>
      <c r="GK77" s="204">
        <f t="shared" ref="GK77" si="804">+GJ77+1</f>
        <v>34</v>
      </c>
      <c r="GL77" s="204">
        <f t="shared" ref="GL77" si="805">+GK77+1</f>
        <v>35</v>
      </c>
      <c r="GM77" s="204">
        <f t="shared" ref="GM77" si="806">+GL77+1</f>
        <v>36</v>
      </c>
      <c r="GN77" s="204">
        <f t="shared" ref="GN77" si="807">+GM77+1</f>
        <v>37</v>
      </c>
      <c r="GO77" s="204">
        <f t="shared" ref="GO77" si="808">+GN77+1</f>
        <v>38</v>
      </c>
      <c r="GP77" s="204">
        <f t="shared" ref="GP77" si="809">+GO77+1</f>
        <v>39</v>
      </c>
      <c r="GQ77" s="204">
        <f t="shared" ref="GQ77" si="810">+GP77+1</f>
        <v>40</v>
      </c>
      <c r="GR77" s="204">
        <f t="shared" ref="GR77" si="811">+GQ77+1</f>
        <v>41</v>
      </c>
      <c r="GS77" s="204">
        <f t="shared" ref="GS77" si="812">+GR77+1</f>
        <v>42</v>
      </c>
      <c r="GT77" s="204">
        <f t="shared" ref="GT77" si="813">+GS77+1</f>
        <v>43</v>
      </c>
      <c r="GU77" s="204">
        <f t="shared" ref="GU77" si="814">+GT77+1</f>
        <v>44</v>
      </c>
      <c r="GV77" s="204">
        <f t="shared" ref="GV77" si="815">+GU77+1</f>
        <v>45</v>
      </c>
      <c r="GW77" s="204">
        <f t="shared" ref="GW77" si="816">+GV77+1</f>
        <v>46</v>
      </c>
      <c r="GX77" s="204">
        <f t="shared" ref="GX77" si="817">+GW77+1</f>
        <v>47</v>
      </c>
      <c r="GY77" s="204">
        <f t="shared" ref="GY77" si="818">+GX77+1</f>
        <v>48</v>
      </c>
      <c r="GZ77" s="204">
        <f t="shared" ref="GZ77" si="819">+GY77+1</f>
        <v>49</v>
      </c>
      <c r="HA77" s="204">
        <f t="shared" ref="HA77" si="820">+GZ77+1</f>
        <v>50</v>
      </c>
      <c r="HB77" s="204">
        <f t="shared" ref="HB77" si="821">+HA77+1</f>
        <v>51</v>
      </c>
      <c r="HC77" s="204">
        <f t="shared" ref="HC77" si="822">+HB77+1</f>
        <v>52</v>
      </c>
      <c r="HD77" s="204">
        <f t="shared" ref="HD77" si="823">+HC77+1</f>
        <v>53</v>
      </c>
      <c r="HE77" s="204">
        <f t="shared" ref="HE77" si="824">+HD77+1</f>
        <v>54</v>
      </c>
      <c r="HF77" s="204">
        <f t="shared" ref="HF77" si="825">+HE77+1</f>
        <v>55</v>
      </c>
      <c r="HG77" s="204">
        <f t="shared" ref="HG77" si="826">+HF77+1</f>
        <v>56</v>
      </c>
      <c r="HH77" s="204">
        <f t="shared" ref="HH77" si="827">+HG77+1</f>
        <v>57</v>
      </c>
      <c r="HI77" s="204">
        <f t="shared" ref="HI77" si="828">+HH77+1</f>
        <v>58</v>
      </c>
      <c r="HJ77" s="204">
        <f t="shared" ref="HJ77" si="829">+HI77+1</f>
        <v>59</v>
      </c>
      <c r="HK77" s="204">
        <f t="shared" ref="HK77" si="830">+HJ77+1</f>
        <v>60</v>
      </c>
      <c r="HL77" s="204">
        <f t="shared" ref="HL77" si="831">+HK77+1</f>
        <v>61</v>
      </c>
      <c r="HM77" s="204">
        <f t="shared" ref="HM77" si="832">+HL77+1</f>
        <v>62</v>
      </c>
      <c r="HN77" s="204">
        <f t="shared" ref="HN77" si="833">+HM77+1</f>
        <v>63</v>
      </c>
      <c r="HO77" s="204">
        <f t="shared" ref="HO77" si="834">+HN77+1</f>
        <v>64</v>
      </c>
      <c r="HP77" s="204">
        <f t="shared" ref="HP77" si="835">+HO77+1</f>
        <v>65</v>
      </c>
      <c r="HQ77" s="204">
        <f t="shared" ref="HQ77" si="836">+HP77+1</f>
        <v>66</v>
      </c>
      <c r="HR77" s="204">
        <f t="shared" ref="HR77" si="837">+HQ77+1</f>
        <v>67</v>
      </c>
      <c r="HS77" s="204">
        <f t="shared" ref="HS77" si="838">+HR77+1</f>
        <v>68</v>
      </c>
      <c r="HT77" s="204">
        <f t="shared" ref="HT77" si="839">+HS77+1</f>
        <v>69</v>
      </c>
      <c r="HU77" s="204">
        <f t="shared" ref="HU77" si="840">+HT77+1</f>
        <v>70</v>
      </c>
      <c r="HV77" s="204">
        <f t="shared" ref="HV77" si="841">+HU77+1</f>
        <v>71</v>
      </c>
      <c r="HW77" s="204">
        <f t="shared" ref="HW77" si="842">+HV77+1</f>
        <v>72</v>
      </c>
      <c r="HX77" s="204">
        <f t="shared" ref="HX77" si="843">+HW77+1</f>
        <v>73</v>
      </c>
      <c r="HY77" s="204">
        <f t="shared" ref="HY77" si="844">+HX77+1</f>
        <v>74</v>
      </c>
      <c r="HZ77" s="204">
        <f t="shared" ref="HZ77" si="845">+HY77+1</f>
        <v>75</v>
      </c>
      <c r="IA77" s="204">
        <f t="shared" ref="IA77" si="846">+HZ77+1</f>
        <v>76</v>
      </c>
      <c r="IB77" s="204">
        <f t="shared" ref="IB77" si="847">+IA77+1</f>
        <v>77</v>
      </c>
      <c r="IC77" s="204">
        <f t="shared" ref="IC77" si="848">+IB77+1</f>
        <v>78</v>
      </c>
      <c r="ID77" s="204">
        <f t="shared" ref="ID77" si="849">+IC77+1</f>
        <v>79</v>
      </c>
      <c r="IE77" s="204">
        <f t="shared" ref="IE77" si="850">+ID77+1</f>
        <v>80</v>
      </c>
      <c r="IF77" s="204">
        <f t="shared" ref="IF77" si="851">+IE77+1</f>
        <v>81</v>
      </c>
      <c r="IG77" s="204">
        <f t="shared" ref="IG77" si="852">+IF77+1</f>
        <v>82</v>
      </c>
      <c r="IH77" s="204">
        <f t="shared" ref="IH77" si="853">+IG77+1</f>
        <v>83</v>
      </c>
      <c r="II77" s="204">
        <f t="shared" ref="II77" si="854">+IH77+1</f>
        <v>84</v>
      </c>
      <c r="IJ77" s="204">
        <f t="shared" ref="IJ77" si="855">+II77+1</f>
        <v>85</v>
      </c>
      <c r="IK77" s="204">
        <f t="shared" ref="IK77" si="856">+IJ77+1</f>
        <v>86</v>
      </c>
      <c r="IL77" s="204">
        <f t="shared" ref="IL77" si="857">+IK77+1</f>
        <v>87</v>
      </c>
      <c r="IM77" s="204">
        <f t="shared" ref="IM77" si="858">+IL77+1</f>
        <v>88</v>
      </c>
      <c r="IN77" s="204">
        <f t="shared" ref="IN77" si="859">+IM77+1</f>
        <v>89</v>
      </c>
      <c r="IO77" s="204">
        <f t="shared" ref="IO77" si="860">+IN77+1</f>
        <v>90</v>
      </c>
      <c r="IP77" s="204">
        <f t="shared" ref="IP77" si="861">+IO77+1</f>
        <v>91</v>
      </c>
      <c r="IQ77" s="204">
        <f t="shared" ref="IQ77" si="862">+IP77+1</f>
        <v>92</v>
      </c>
      <c r="IR77" s="204">
        <f t="shared" ref="IR77" si="863">+IQ77+1</f>
        <v>93</v>
      </c>
      <c r="IS77" s="204">
        <f t="shared" ref="IS77" si="864">+IR77+1</f>
        <v>94</v>
      </c>
      <c r="IT77" s="204">
        <f t="shared" ref="IT77" si="865">+IS77+1</f>
        <v>95</v>
      </c>
      <c r="IU77" s="204">
        <f t="shared" ref="IU77" si="866">+IT77+1</f>
        <v>96</v>
      </c>
      <c r="IV77" s="204">
        <f t="shared" ref="IV77" si="867">+IU77+1</f>
        <v>97</v>
      </c>
      <c r="IW77" s="204">
        <f t="shared" ref="IW77" si="868">+IV77+1</f>
        <v>98</v>
      </c>
      <c r="IX77" s="204">
        <f t="shared" ref="IX77" si="869">+IW77+1</f>
        <v>99</v>
      </c>
      <c r="IY77" s="204">
        <f t="shared" ref="IY77" si="870">+IX77+1</f>
        <v>100</v>
      </c>
      <c r="IZ77" s="204">
        <f t="shared" ref="IZ77" si="871">+IY77+1</f>
        <v>101</v>
      </c>
      <c r="JA77" s="204">
        <f t="shared" ref="JA77" si="872">+IZ77+1</f>
        <v>102</v>
      </c>
      <c r="JB77" s="204">
        <f t="shared" ref="JB77" si="873">+JA77+1</f>
        <v>103</v>
      </c>
      <c r="JC77" s="204">
        <f t="shared" ref="JC77" si="874">+JB77+1</f>
        <v>104</v>
      </c>
      <c r="JD77" s="204">
        <f t="shared" ref="JD77" si="875">+JC77+1</f>
        <v>105</v>
      </c>
      <c r="JE77" s="204">
        <f t="shared" ref="JE77" si="876">+JD77+1</f>
        <v>106</v>
      </c>
      <c r="JF77" s="204">
        <f t="shared" ref="JF77" si="877">+JE77+1</f>
        <v>107</v>
      </c>
      <c r="JG77" s="204">
        <f t="shared" ref="JG77" si="878">+JF77+1</f>
        <v>108</v>
      </c>
      <c r="JH77" s="204">
        <f t="shared" ref="JH77" si="879">+JG77+1</f>
        <v>109</v>
      </c>
      <c r="JI77" s="204">
        <f t="shared" ref="JI77" si="880">+JH77+1</f>
        <v>110</v>
      </c>
      <c r="JJ77" s="204">
        <f t="shared" ref="JJ77" si="881">+JI77+1</f>
        <v>111</v>
      </c>
      <c r="JK77" s="204">
        <f t="shared" ref="JK77" si="882">+JJ77+1</f>
        <v>112</v>
      </c>
      <c r="JL77" s="204">
        <f t="shared" ref="JL77" si="883">+JK77+1</f>
        <v>113</v>
      </c>
      <c r="JM77" s="204">
        <f t="shared" ref="JM77" si="884">+JL77+1</f>
        <v>114</v>
      </c>
      <c r="JN77" s="204">
        <f t="shared" ref="JN77" si="885">+JM77+1</f>
        <v>115</v>
      </c>
      <c r="JO77" s="204">
        <f t="shared" ref="JO77" si="886">+JN77+1</f>
        <v>116</v>
      </c>
      <c r="JP77" s="204">
        <f t="shared" ref="JP77" si="887">+JO77+1</f>
        <v>117</v>
      </c>
      <c r="JQ77" s="204">
        <f t="shared" ref="JQ77" si="888">+JP77+1</f>
        <v>118</v>
      </c>
      <c r="JR77" s="204">
        <f t="shared" ref="JR77" si="889">+JQ77+1</f>
        <v>119</v>
      </c>
      <c r="JS77" s="204">
        <f t="shared" ref="JS77" si="890">+JR77+1</f>
        <v>120</v>
      </c>
      <c r="JT77" s="204">
        <f t="shared" ref="JT77" si="891">+JS77+1</f>
        <v>121</v>
      </c>
      <c r="JU77" s="204">
        <f t="shared" ref="JU77" si="892">+JT77+1</f>
        <v>122</v>
      </c>
      <c r="JV77" s="204">
        <f t="shared" ref="JV77" si="893">+JU77+1</f>
        <v>123</v>
      </c>
      <c r="JW77" s="204">
        <f t="shared" ref="JW77" si="894">+JV77+1</f>
        <v>124</v>
      </c>
      <c r="JX77" s="204">
        <f t="shared" ref="JX77" si="895">+JW77+1</f>
        <v>125</v>
      </c>
      <c r="JY77" s="204">
        <f t="shared" ref="JY77" si="896">+JX77+1</f>
        <v>126</v>
      </c>
      <c r="JZ77" s="204">
        <f t="shared" ref="JZ77" si="897">+JY77+1</f>
        <v>127</v>
      </c>
      <c r="KA77" s="204">
        <f t="shared" ref="KA77" si="898">+JZ77+1</f>
        <v>128</v>
      </c>
      <c r="KB77" s="204">
        <f t="shared" ref="KB77" si="899">+KA77+1</f>
        <v>129</v>
      </c>
      <c r="KC77" s="204">
        <f t="shared" ref="KC77" si="900">+KB77+1</f>
        <v>130</v>
      </c>
      <c r="KD77" s="204">
        <f t="shared" ref="KD77" si="901">+KC77+1</f>
        <v>131</v>
      </c>
      <c r="KE77" s="204">
        <f t="shared" ref="KE77" si="902">+KD77+1</f>
        <v>132</v>
      </c>
      <c r="KF77" s="205"/>
      <c r="KH77" s="203"/>
      <c r="KI77" s="203"/>
      <c r="KJ77" s="203"/>
      <c r="KK77" s="203"/>
      <c r="KL77" s="203"/>
      <c r="KM77" s="204"/>
      <c r="KN77" s="204"/>
      <c r="KO77" s="204"/>
      <c r="KP77" s="204"/>
      <c r="KQ77" s="204"/>
      <c r="KR77" s="204"/>
      <c r="KS77" s="204"/>
      <c r="KT77" s="204"/>
      <c r="KU77" s="204"/>
      <c r="KV77" s="204"/>
      <c r="KW77" s="204"/>
      <c r="KX77" s="204"/>
      <c r="KY77" s="204"/>
      <c r="KZ77" s="204"/>
      <c r="LA77" s="204"/>
      <c r="LB77" s="204"/>
      <c r="LC77" s="204"/>
      <c r="LD77" s="204"/>
      <c r="LE77" s="204"/>
      <c r="LF77" s="204"/>
      <c r="LG77" s="204"/>
      <c r="LH77" s="204"/>
      <c r="LI77" s="204"/>
      <c r="LJ77" s="204"/>
      <c r="LK77" s="204"/>
      <c r="LL77" s="204"/>
      <c r="LM77" s="204"/>
      <c r="LN77" s="204"/>
      <c r="LO77" s="204"/>
      <c r="LP77" s="204"/>
      <c r="LQ77" s="204"/>
      <c r="LR77" s="204"/>
      <c r="LS77" s="204"/>
      <c r="LT77" s="204"/>
      <c r="LU77" s="204"/>
      <c r="LV77" s="204"/>
      <c r="LW77" s="204"/>
      <c r="LX77" s="204"/>
      <c r="LY77" s="204"/>
      <c r="LZ77" s="204"/>
      <c r="MA77" s="204"/>
      <c r="MB77" s="204"/>
      <c r="MC77" s="204"/>
      <c r="MD77" s="204"/>
      <c r="ME77" s="204"/>
      <c r="MF77" s="204"/>
      <c r="MG77" s="204"/>
      <c r="MH77" s="204"/>
      <c r="MI77" s="204"/>
      <c r="MJ77" s="204"/>
      <c r="MK77" s="204"/>
      <c r="ML77" s="204"/>
      <c r="MM77" s="204"/>
      <c r="MN77" s="204"/>
      <c r="MO77" s="204"/>
      <c r="MP77" s="204"/>
      <c r="MQ77" s="204"/>
      <c r="MR77" s="204"/>
      <c r="MS77" s="204"/>
      <c r="MT77" s="204"/>
      <c r="MU77" s="204"/>
      <c r="MV77" s="204"/>
      <c r="MW77" s="204"/>
      <c r="MX77" s="204"/>
      <c r="MY77" s="204"/>
      <c r="MZ77" s="204"/>
      <c r="NA77" s="204"/>
      <c r="NB77" s="204"/>
      <c r="NC77" s="204"/>
      <c r="ND77" s="204"/>
      <c r="NE77" s="204"/>
      <c r="NF77" s="204"/>
      <c r="NG77" s="204"/>
      <c r="NH77" s="204"/>
      <c r="NI77" s="204"/>
      <c r="NJ77" s="204"/>
      <c r="NK77" s="204"/>
      <c r="NL77" s="204"/>
      <c r="NM77" s="204"/>
      <c r="NN77" s="204"/>
      <c r="NO77" s="204"/>
      <c r="NP77" s="204"/>
      <c r="NQ77" s="204"/>
      <c r="NR77" s="204"/>
      <c r="NS77" s="204"/>
      <c r="NT77" s="204"/>
      <c r="NU77" s="204"/>
      <c r="NV77" s="204"/>
      <c r="NW77" s="204"/>
      <c r="NX77" s="204"/>
      <c r="NY77" s="204"/>
      <c r="NZ77" s="204"/>
      <c r="OA77" s="204"/>
      <c r="OB77" s="204"/>
      <c r="OC77" s="204"/>
      <c r="OD77" s="204"/>
      <c r="OE77" s="204"/>
      <c r="OF77" s="204"/>
      <c r="OG77" s="204"/>
      <c r="OH77" s="204"/>
      <c r="OI77" s="204"/>
      <c r="OJ77" s="204"/>
      <c r="OK77" s="204"/>
      <c r="OL77" s="204"/>
      <c r="OM77" s="204"/>
      <c r="ON77" s="204"/>
      <c r="OO77" s="204"/>
      <c r="OP77" s="204"/>
      <c r="OQ77" s="204"/>
      <c r="OR77" s="204"/>
      <c r="OS77" s="204"/>
      <c r="OT77" s="204"/>
      <c r="OU77" s="204"/>
      <c r="OV77" s="204"/>
      <c r="OW77" s="204"/>
      <c r="OX77" s="204"/>
      <c r="OY77" s="204"/>
      <c r="OZ77" s="204"/>
      <c r="PA77" s="204"/>
      <c r="PB77" s="204"/>
      <c r="PC77" s="204"/>
      <c r="PD77" s="204"/>
      <c r="PE77" s="204"/>
      <c r="PF77" s="204"/>
      <c r="PG77" s="204"/>
      <c r="PH77" s="204"/>
      <c r="PI77" s="204"/>
      <c r="PJ77" s="204"/>
      <c r="PK77" s="204"/>
      <c r="PL77" s="204"/>
      <c r="PM77" s="204"/>
      <c r="PN77" s="204"/>
      <c r="PO77" s="204"/>
      <c r="PQ77" s="201"/>
      <c r="PR77" s="201"/>
      <c r="PS77" s="201"/>
      <c r="PT77" s="201"/>
      <c r="PU77" s="201"/>
      <c r="PV77" s="201"/>
      <c r="PW77" s="201"/>
      <c r="PX77" s="201"/>
      <c r="PY77" s="201"/>
      <c r="PZ77" s="201"/>
      <c r="QA77" s="201"/>
      <c r="QB77" s="201"/>
      <c r="QC77" s="201"/>
      <c r="QD77" s="201"/>
      <c r="QE77" s="201"/>
      <c r="QF77" s="201"/>
      <c r="QG77" s="201"/>
      <c r="QH77" s="201"/>
      <c r="QI77" s="201"/>
      <c r="QJ77" s="201"/>
      <c r="QK77" s="201"/>
      <c r="QL77" s="201"/>
      <c r="QM77" s="201"/>
      <c r="QN77" s="201"/>
      <c r="QO77" s="201"/>
      <c r="QP77" s="201"/>
      <c r="QQ77" s="201"/>
      <c r="QR77" s="201"/>
      <c r="QS77" s="201"/>
      <c r="QT77" s="201"/>
      <c r="QU77" s="201"/>
      <c r="QV77" s="201"/>
      <c r="QW77" s="201"/>
      <c r="QX77" s="201"/>
      <c r="QY77" s="201"/>
      <c r="QZ77" s="201"/>
      <c r="RA77" s="201"/>
      <c r="RB77" s="201"/>
      <c r="RC77" s="201"/>
      <c r="RD77" s="201"/>
      <c r="RE77" s="201"/>
      <c r="RF77" s="201"/>
      <c r="RG77" s="201"/>
      <c r="RH77" s="201"/>
      <c r="RI77" s="201"/>
      <c r="RJ77" s="201"/>
      <c r="RK77" s="201"/>
      <c r="RL77" s="201"/>
      <c r="RM77" s="201"/>
      <c r="RN77" s="201"/>
      <c r="RO77" s="201"/>
      <c r="RP77" s="201"/>
      <c r="RQ77" s="201"/>
      <c r="RR77" s="201"/>
      <c r="RS77" s="201"/>
      <c r="RT77" s="201"/>
      <c r="RU77" s="201"/>
      <c r="RV77" s="201"/>
      <c r="RW77" s="201"/>
      <c r="RX77" s="201"/>
      <c r="RY77" s="201"/>
      <c r="RZ77" s="201"/>
      <c r="SA77" s="201"/>
      <c r="SB77" s="201"/>
      <c r="SC77" s="201"/>
      <c r="SD77" s="201"/>
      <c r="SE77" s="201"/>
      <c r="SF77" s="201"/>
      <c r="SG77" s="201"/>
      <c r="SH77" s="201"/>
      <c r="SI77" s="201"/>
      <c r="SJ77" s="201"/>
      <c r="SK77" s="201"/>
      <c r="SL77" s="201"/>
      <c r="SM77" s="201"/>
      <c r="SN77" s="201"/>
      <c r="SO77" s="201"/>
      <c r="SP77" s="201"/>
      <c r="SQ77" s="201"/>
      <c r="SR77" s="201"/>
      <c r="SS77" s="201"/>
      <c r="ST77" s="201"/>
      <c r="SU77" s="201"/>
      <c r="SV77" s="201"/>
      <c r="SW77" s="201"/>
      <c r="SX77" s="201"/>
      <c r="SY77" s="201"/>
      <c r="SZ77" s="201"/>
      <c r="TA77" s="201"/>
      <c r="TB77" s="201"/>
      <c r="TC77" s="201"/>
      <c r="TD77" s="201"/>
      <c r="TE77" s="201"/>
      <c r="TF77" s="201"/>
      <c r="TG77" s="201"/>
      <c r="TH77" s="201"/>
      <c r="TI77" s="201"/>
      <c r="TJ77" s="201"/>
      <c r="TK77" s="201"/>
      <c r="TL77" s="201"/>
      <c r="TM77" s="201"/>
      <c r="TN77" s="201"/>
      <c r="TO77" s="201"/>
      <c r="TP77" s="201"/>
      <c r="TQ77" s="201"/>
      <c r="TR77" s="201"/>
      <c r="TS77" s="201"/>
      <c r="TT77" s="201"/>
      <c r="TU77" s="201"/>
      <c r="TV77" s="201"/>
      <c r="TW77" s="201"/>
      <c r="TX77" s="201"/>
      <c r="TY77" s="201"/>
      <c r="TZ77" s="201"/>
      <c r="UA77" s="201"/>
      <c r="UB77" s="201"/>
      <c r="UC77" s="201"/>
      <c r="UD77" s="201"/>
      <c r="UE77" s="201"/>
      <c r="UF77" s="201"/>
      <c r="UG77" s="201"/>
      <c r="UH77" s="201"/>
      <c r="UI77" s="201"/>
      <c r="UJ77" s="201"/>
      <c r="UK77" s="201"/>
      <c r="UL77" s="201"/>
      <c r="UM77" s="201"/>
      <c r="UN77" s="201"/>
      <c r="UO77" s="201"/>
      <c r="UP77" s="201"/>
      <c r="UQ77" s="201"/>
      <c r="UR77" s="201"/>
      <c r="US77" s="201"/>
      <c r="UT77" s="201"/>
      <c r="UU77" s="201"/>
    </row>
    <row r="78" spans="2:567" ht="5.0999999999999996" customHeight="1" x14ac:dyDescent="0.25">
      <c r="B78" s="78"/>
      <c r="C78" s="56"/>
      <c r="D78" s="56"/>
      <c r="E78" s="26"/>
      <c r="F78" s="52"/>
      <c r="G78" s="58"/>
      <c r="H78" s="55"/>
      <c r="I78" s="36"/>
      <c r="J78" s="36"/>
      <c r="K78" s="26"/>
      <c r="EW78" s="199" t="str">
        <f>+B76</f>
        <v>Senior Loan</v>
      </c>
      <c r="EX78" s="219"/>
      <c r="EY78" s="219"/>
      <c r="EZ78" s="219"/>
      <c r="FA78" s="220"/>
      <c r="FB78" s="220"/>
      <c r="FC78" s="221">
        <f t="shared" ref="FC78:FL79" si="903">IF($J76="Fixed Rate",$I76,S76)</f>
        <v>5.6350899999999995E-2</v>
      </c>
      <c r="FD78" s="221">
        <f t="shared" si="903"/>
        <v>5.6067500000000006E-2</v>
      </c>
      <c r="FE78" s="221">
        <f t="shared" si="903"/>
        <v>5.5242200000000005E-2</v>
      </c>
      <c r="FF78" s="221">
        <f t="shared" si="903"/>
        <v>5.5237099999999997E-2</v>
      </c>
      <c r="FG78" s="221">
        <f t="shared" si="903"/>
        <v>5.5058899999999994E-2</v>
      </c>
      <c r="FH78" s="221">
        <f t="shared" si="903"/>
        <v>5.4621000000000003E-2</v>
      </c>
      <c r="FI78" s="221">
        <f t="shared" si="903"/>
        <v>5.4619399999999999E-2</v>
      </c>
      <c r="FJ78" s="221">
        <f t="shared" si="903"/>
        <v>5.4581500000000005E-2</v>
      </c>
      <c r="FK78" s="221">
        <f t="shared" si="903"/>
        <v>5.4479100000000003E-2</v>
      </c>
      <c r="FL78" s="221">
        <f t="shared" si="903"/>
        <v>5.4477100000000001E-2</v>
      </c>
      <c r="FM78" s="221">
        <f t="shared" ref="FM78:FV79" si="904">IF($J76="Fixed Rate",$I76,AC76)</f>
        <v>5.4489999999999997E-2</v>
      </c>
      <c r="FN78" s="221">
        <f t="shared" si="904"/>
        <v>5.4513800000000001E-2</v>
      </c>
      <c r="FO78" s="221">
        <f t="shared" si="904"/>
        <v>5.4550600000000005E-2</v>
      </c>
      <c r="FP78" s="221">
        <f t="shared" si="904"/>
        <v>5.4597500000000007E-2</v>
      </c>
      <c r="FQ78" s="221">
        <f t="shared" si="904"/>
        <v>5.4668999999999995E-2</v>
      </c>
      <c r="FR78" s="221">
        <f t="shared" si="904"/>
        <v>5.4737300000000003E-2</v>
      </c>
      <c r="FS78" s="221">
        <f t="shared" si="904"/>
        <v>5.48101E-2</v>
      </c>
      <c r="FT78" s="221">
        <f t="shared" si="904"/>
        <v>5.4888000000000006E-2</v>
      </c>
      <c r="FU78" s="221">
        <f t="shared" si="904"/>
        <v>5.4968900000000001E-2</v>
      </c>
      <c r="FV78" s="221">
        <f t="shared" si="904"/>
        <v>5.5056499999999994E-2</v>
      </c>
      <c r="FW78" s="221">
        <f t="shared" ref="FW78:GF79" si="905">IF($J76="Fixed Rate",$I76,AM76)</f>
        <v>5.5140099999999997E-2</v>
      </c>
      <c r="FX78" s="221">
        <f t="shared" si="905"/>
        <v>5.5228200000000005E-2</v>
      </c>
      <c r="FY78" s="221">
        <f t="shared" si="905"/>
        <v>5.5321400000000007E-2</v>
      </c>
      <c r="FZ78" s="221">
        <f t="shared" si="905"/>
        <v>5.5418099999999998E-2</v>
      </c>
      <c r="GA78" s="221">
        <f t="shared" si="905"/>
        <v>5.5511400000000002E-2</v>
      </c>
      <c r="GB78" s="221">
        <f t="shared" si="905"/>
        <v>5.5614200000000003E-2</v>
      </c>
      <c r="GC78" s="221">
        <f t="shared" si="905"/>
        <v>5.5718900000000002E-2</v>
      </c>
      <c r="GD78" s="221">
        <f t="shared" si="905"/>
        <v>5.5810700000000005E-2</v>
      </c>
      <c r="GE78" s="221">
        <f t="shared" si="905"/>
        <v>5.59119E-2</v>
      </c>
      <c r="GF78" s="221">
        <f t="shared" si="905"/>
        <v>5.6001499999999996E-2</v>
      </c>
      <c r="GG78" s="221">
        <f t="shared" ref="GG78:GP79" si="906">IF($J76="Fixed Rate",$I76,AW76)</f>
        <v>5.6087999999999999E-2</v>
      </c>
      <c r="GH78" s="221">
        <f t="shared" si="906"/>
        <v>5.6172700000000006E-2</v>
      </c>
      <c r="GI78" s="221">
        <f t="shared" si="906"/>
        <v>5.6249999999999994E-2</v>
      </c>
      <c r="GJ78" s="221">
        <f t="shared" si="906"/>
        <v>5.6332699999999999E-2</v>
      </c>
      <c r="GK78" s="221">
        <f t="shared" si="906"/>
        <v>5.6400000000000006E-2</v>
      </c>
      <c r="GL78" s="221">
        <f t="shared" si="906"/>
        <v>5.6465899999999999E-2</v>
      </c>
      <c r="GM78" s="221">
        <f t="shared" si="906"/>
        <v>5.6529800000000005E-2</v>
      </c>
      <c r="GN78" s="221">
        <f t="shared" si="906"/>
        <v>5.6579400000000002E-2</v>
      </c>
      <c r="GO78" s="221">
        <f t="shared" si="906"/>
        <v>5.6637800000000002E-2</v>
      </c>
      <c r="GP78" s="221">
        <f t="shared" si="906"/>
        <v>5.6688799999999998E-2</v>
      </c>
      <c r="GQ78" s="221">
        <f t="shared" ref="GQ78:GZ79" si="907">IF($J76="Fixed Rate",$I76,BG76)</f>
        <v>5.6746199999999997E-2</v>
      </c>
      <c r="GR78" s="221">
        <f t="shared" si="907"/>
        <v>5.6800699999999996E-2</v>
      </c>
      <c r="GS78" s="221">
        <f t="shared" si="907"/>
        <v>5.6865399999999997E-2</v>
      </c>
      <c r="GT78" s="221">
        <f t="shared" si="907"/>
        <v>5.6922500000000001E-2</v>
      </c>
      <c r="GU78" s="221">
        <f t="shared" si="907"/>
        <v>5.6975600000000001E-2</v>
      </c>
      <c r="GV78" s="221">
        <f t="shared" si="907"/>
        <v>5.7039999999999993E-2</v>
      </c>
      <c r="GW78" s="221">
        <f t="shared" si="907"/>
        <v>5.7097700000000001E-2</v>
      </c>
      <c r="GX78" s="221">
        <f t="shared" si="907"/>
        <v>5.7166900000000007E-2</v>
      </c>
      <c r="GY78" s="221">
        <f t="shared" si="907"/>
        <v>5.7222099999999998E-2</v>
      </c>
      <c r="GZ78" s="221">
        <f t="shared" si="907"/>
        <v>5.7277300000000003E-2</v>
      </c>
      <c r="HA78" s="221">
        <f t="shared" ref="HA78:HJ79" si="908">IF($J76="Fixed Rate",$I76,BQ76)</f>
        <v>5.7344400000000004E-2</v>
      </c>
      <c r="HB78" s="221">
        <f t="shared" si="908"/>
        <v>5.7414000000000007E-2</v>
      </c>
      <c r="HC78" s="221">
        <f t="shared" si="908"/>
        <v>5.7474700000000004E-2</v>
      </c>
      <c r="HD78" s="221">
        <f t="shared" si="908"/>
        <v>5.7527300000000003E-2</v>
      </c>
      <c r="HE78" s="221">
        <f t="shared" si="908"/>
        <v>5.7591600000000007E-2</v>
      </c>
      <c r="HF78" s="221">
        <f t="shared" si="908"/>
        <v>5.7650000000000007E-2</v>
      </c>
      <c r="HG78" s="221">
        <f t="shared" si="908"/>
        <v>5.7703400000000002E-2</v>
      </c>
      <c r="HH78" s="221">
        <f t="shared" si="908"/>
        <v>5.7761699999999999E-2</v>
      </c>
      <c r="HI78" s="221">
        <f t="shared" si="908"/>
        <v>5.7817800000000003E-2</v>
      </c>
      <c r="HJ78" s="221">
        <f t="shared" si="908"/>
        <v>5.7875599999999999E-2</v>
      </c>
      <c r="HK78" s="221">
        <f t="shared" ref="HK78:HT79" si="909">IF($J76="Fixed Rate",$I76,CA76)</f>
        <v>5.7928400000000005E-2</v>
      </c>
      <c r="HL78" s="221">
        <f t="shared" si="909"/>
        <v>5.7969199999999999E-2</v>
      </c>
      <c r="HM78" s="221">
        <f t="shared" si="909"/>
        <v>5.8024500000000007E-2</v>
      </c>
      <c r="HN78" s="221">
        <f t="shared" si="909"/>
        <v>5.8078099999999994E-2</v>
      </c>
      <c r="HO78" s="221">
        <f t="shared" si="909"/>
        <v>5.8126499999999998E-2</v>
      </c>
      <c r="HP78" s="221">
        <f t="shared" si="909"/>
        <v>5.8169100000000001E-2</v>
      </c>
      <c r="HQ78" s="221">
        <f t="shared" si="909"/>
        <v>5.82178E-2</v>
      </c>
      <c r="HR78" s="221">
        <f t="shared" si="909"/>
        <v>5.8264200000000002E-2</v>
      </c>
      <c r="HS78" s="221">
        <f t="shared" si="909"/>
        <v>5.8312299999999997E-2</v>
      </c>
      <c r="HT78" s="221">
        <f t="shared" si="909"/>
        <v>5.8357900000000004E-2</v>
      </c>
      <c r="HU78" s="221">
        <f t="shared" ref="HU78:ID79" si="910">IF($J76="Fixed Rate",$I76,CK76)</f>
        <v>5.83954E-2</v>
      </c>
      <c r="HV78" s="221">
        <f t="shared" si="910"/>
        <v>5.8437500000000003E-2</v>
      </c>
      <c r="HW78" s="221">
        <f t="shared" si="910"/>
        <v>5.84784E-2</v>
      </c>
      <c r="HX78" s="221">
        <f t="shared" si="910"/>
        <v>5.8511599999999997E-2</v>
      </c>
      <c r="HY78" s="221">
        <f t="shared" si="910"/>
        <v>5.8556200000000003E-2</v>
      </c>
      <c r="HZ78" s="221">
        <f t="shared" si="910"/>
        <v>5.8591299999999999E-2</v>
      </c>
      <c r="IA78" s="221">
        <f t="shared" si="910"/>
        <v>5.8631100000000005E-2</v>
      </c>
      <c r="IB78" s="221">
        <f t="shared" si="910"/>
        <v>5.8671100000000004E-2</v>
      </c>
      <c r="IC78" s="221">
        <f t="shared" si="910"/>
        <v>5.8711600000000003E-2</v>
      </c>
      <c r="ID78" s="221">
        <f t="shared" si="910"/>
        <v>5.8756600000000006E-2</v>
      </c>
      <c r="IE78" s="221">
        <f t="shared" ref="IE78:IN79" si="911">IF($J76="Fixed Rate",$I76,CU76)</f>
        <v>5.8792300000000006E-2</v>
      </c>
      <c r="IF78" s="221">
        <f t="shared" si="911"/>
        <v>5.8835399999999996E-2</v>
      </c>
      <c r="IG78" s="221">
        <f t="shared" si="911"/>
        <v>5.8876100000000001E-2</v>
      </c>
      <c r="IH78" s="221">
        <f t="shared" si="911"/>
        <v>5.8918499999999999E-2</v>
      </c>
      <c r="II78" s="221">
        <f t="shared" si="911"/>
        <v>5.89586E-2</v>
      </c>
      <c r="IJ78" s="221">
        <f t="shared" si="911"/>
        <v>5.8993500000000004E-2</v>
      </c>
      <c r="IK78" s="221">
        <f t="shared" si="911"/>
        <v>5.9041300000000005E-2</v>
      </c>
      <c r="IL78" s="221">
        <f t="shared" si="911"/>
        <v>5.9082499999999996E-2</v>
      </c>
      <c r="IM78" s="221">
        <f t="shared" si="911"/>
        <v>5.9134099999999995E-2</v>
      </c>
      <c r="IN78" s="221">
        <f t="shared" si="911"/>
        <v>5.9173299999999998E-2</v>
      </c>
      <c r="IO78" s="221">
        <f t="shared" ref="IO78:IX79" si="912">IF($J76="Fixed Rate",$I76,DE76)</f>
        <v>5.9217000000000006E-2</v>
      </c>
      <c r="IP78" s="221">
        <f t="shared" si="912"/>
        <v>5.9265499999999999E-2</v>
      </c>
      <c r="IQ78" s="221">
        <f t="shared" si="912"/>
        <v>5.9307300000000007E-2</v>
      </c>
      <c r="IR78" s="221">
        <f t="shared" si="912"/>
        <v>5.9353600000000006E-2</v>
      </c>
      <c r="IS78" s="221">
        <f t="shared" si="912"/>
        <v>5.9403399999999995E-2</v>
      </c>
      <c r="IT78" s="221">
        <f t="shared" si="912"/>
        <v>5.9449299999999997E-2</v>
      </c>
      <c r="IU78" s="221">
        <f t="shared" si="912"/>
        <v>5.9499800000000005E-2</v>
      </c>
      <c r="IV78" s="221">
        <f t="shared" si="912"/>
        <v>5.9536199999999997E-2</v>
      </c>
      <c r="IW78" s="221">
        <f t="shared" si="912"/>
        <v>5.9588799999999997E-2</v>
      </c>
      <c r="IX78" s="221">
        <f t="shared" si="912"/>
        <v>5.9631600000000007E-2</v>
      </c>
      <c r="IY78" s="221">
        <f t="shared" ref="IY78:JH79" si="913">IF($J76="Fixed Rate",$I76,DO76)</f>
        <v>5.9685199999999994E-2</v>
      </c>
      <c r="IZ78" s="221">
        <f t="shared" si="913"/>
        <v>5.9730500000000006E-2</v>
      </c>
      <c r="JA78" s="221">
        <f t="shared" si="913"/>
        <v>5.9780299999999995E-2</v>
      </c>
      <c r="JB78" s="221">
        <f t="shared" si="913"/>
        <v>5.9830700000000001E-2</v>
      </c>
      <c r="JC78" s="221">
        <f t="shared" si="913"/>
        <v>5.9878500000000001E-2</v>
      </c>
      <c r="JD78" s="221">
        <f t="shared" si="913"/>
        <v>5.9937299999999999E-2</v>
      </c>
      <c r="JE78" s="221">
        <f t="shared" si="913"/>
        <v>5.9983099999999998E-2</v>
      </c>
      <c r="JF78" s="221">
        <f t="shared" si="913"/>
        <v>6.0034900000000002E-2</v>
      </c>
      <c r="JG78" s="221">
        <f t="shared" si="913"/>
        <v>6.0088799999999998E-2</v>
      </c>
      <c r="JH78" s="221">
        <f t="shared" si="913"/>
        <v>6.0131000000000004E-2</v>
      </c>
      <c r="JI78" s="221">
        <f t="shared" ref="JI78:JR79" si="914">IF($J76="Fixed Rate",$I76,DY76)</f>
        <v>6.0188099999999994E-2</v>
      </c>
      <c r="JJ78" s="221">
        <f t="shared" si="914"/>
        <v>5.2831199999999995E-2</v>
      </c>
      <c r="JK78" s="221">
        <f t="shared" si="914"/>
        <v>5.2884100000000003E-2</v>
      </c>
      <c r="JL78" s="221">
        <f t="shared" si="914"/>
        <v>5.2935099999999999E-2</v>
      </c>
      <c r="JM78" s="221">
        <f t="shared" si="914"/>
        <v>5.2984400000000001E-2</v>
      </c>
      <c r="JN78" s="221">
        <f t="shared" si="914"/>
        <v>5.3030900000000006E-2</v>
      </c>
      <c r="JO78" s="221">
        <f t="shared" si="914"/>
        <v>5.3087400000000007E-2</v>
      </c>
      <c r="JP78" s="221">
        <f t="shared" si="914"/>
        <v>5.3140500000000007E-2</v>
      </c>
      <c r="JQ78" s="221">
        <f t="shared" si="914"/>
        <v>5.3205100000000005E-2</v>
      </c>
      <c r="JR78" s="221">
        <f t="shared" si="914"/>
        <v>5.3258600000000003E-2</v>
      </c>
      <c r="JS78" s="221">
        <f t="shared" ref="JS78:KB79" si="915">IF($J76="Fixed Rate",$I76,EI76)</f>
        <v>5.3311700000000004E-2</v>
      </c>
      <c r="JT78" s="221">
        <f t="shared" si="915"/>
        <v>5.3311700000000004E-2</v>
      </c>
      <c r="JU78" s="221">
        <f t="shared" si="915"/>
        <v>5.3311700000000004E-2</v>
      </c>
      <c r="JV78" s="221">
        <f t="shared" si="915"/>
        <v>5.3311700000000004E-2</v>
      </c>
      <c r="JW78" s="221">
        <f t="shared" si="915"/>
        <v>5.3311700000000004E-2</v>
      </c>
      <c r="JX78" s="221">
        <f t="shared" si="915"/>
        <v>5.3311700000000004E-2</v>
      </c>
      <c r="JY78" s="221">
        <f t="shared" si="915"/>
        <v>5.3311700000000004E-2</v>
      </c>
      <c r="JZ78" s="221">
        <f t="shared" si="915"/>
        <v>5.3311700000000004E-2</v>
      </c>
      <c r="KA78" s="221">
        <f t="shared" si="915"/>
        <v>5.3311700000000004E-2</v>
      </c>
      <c r="KB78" s="221">
        <f t="shared" si="915"/>
        <v>5.3311700000000004E-2</v>
      </c>
      <c r="KC78" s="221">
        <f t="shared" ref="KC78:KE79" si="916">IF($J76="Fixed Rate",$I76,ES76)</f>
        <v>5.3311700000000004E-2</v>
      </c>
      <c r="KD78" s="221">
        <f t="shared" si="916"/>
        <v>5.3311700000000004E-2</v>
      </c>
      <c r="KE78" s="221">
        <f t="shared" si="916"/>
        <v>5.3311700000000004E-2</v>
      </c>
      <c r="KH78" s="219"/>
      <c r="KI78" s="219"/>
      <c r="KJ78" s="219"/>
      <c r="KK78" s="220"/>
      <c r="KL78" s="220"/>
      <c r="KM78" s="207"/>
      <c r="KN78" s="207"/>
      <c r="KO78" s="207"/>
      <c r="KP78" s="207"/>
      <c r="KQ78" s="207"/>
      <c r="KR78" s="207"/>
      <c r="KS78" s="207"/>
      <c r="KT78" s="207"/>
      <c r="KU78" s="207"/>
      <c r="KV78" s="207"/>
      <c r="KW78" s="207"/>
      <c r="KX78" s="207"/>
      <c r="KY78" s="207"/>
      <c r="KZ78" s="207"/>
      <c r="LA78" s="207"/>
      <c r="LB78" s="207"/>
      <c r="LC78" s="207"/>
      <c r="LD78" s="207"/>
      <c r="LE78" s="207"/>
      <c r="LF78" s="207"/>
      <c r="LG78" s="207"/>
      <c r="LH78" s="207"/>
      <c r="LI78" s="207"/>
      <c r="LJ78" s="207"/>
      <c r="LK78" s="207"/>
      <c r="LL78" s="207"/>
      <c r="LM78" s="207"/>
      <c r="LN78" s="207"/>
      <c r="LO78" s="207"/>
      <c r="LP78" s="207"/>
      <c r="LQ78" s="207"/>
      <c r="LR78" s="207"/>
      <c r="LS78" s="207"/>
      <c r="LT78" s="207"/>
      <c r="LU78" s="207"/>
      <c r="LV78" s="207"/>
      <c r="LW78" s="207"/>
      <c r="LX78" s="207"/>
      <c r="LY78" s="207"/>
      <c r="LZ78" s="207"/>
      <c r="MA78" s="207"/>
      <c r="MB78" s="207"/>
      <c r="MC78" s="207"/>
      <c r="MD78" s="207"/>
      <c r="ME78" s="207"/>
      <c r="MF78" s="207"/>
      <c r="MG78" s="207"/>
      <c r="MH78" s="207"/>
      <c r="MI78" s="207"/>
      <c r="MJ78" s="207"/>
      <c r="MK78" s="207"/>
      <c r="ML78" s="207"/>
      <c r="MM78" s="207"/>
      <c r="MN78" s="207"/>
      <c r="MO78" s="207"/>
      <c r="MP78" s="207"/>
      <c r="MQ78" s="207"/>
      <c r="MR78" s="207"/>
      <c r="MS78" s="207"/>
      <c r="MT78" s="207"/>
      <c r="MU78" s="207"/>
      <c r="MV78" s="207"/>
      <c r="MW78" s="207"/>
      <c r="MX78" s="207"/>
      <c r="MY78" s="207"/>
      <c r="MZ78" s="207"/>
      <c r="NA78" s="207"/>
      <c r="NB78" s="207"/>
      <c r="NC78" s="207"/>
      <c r="ND78" s="207"/>
      <c r="NE78" s="207"/>
      <c r="NF78" s="207"/>
      <c r="NG78" s="207"/>
      <c r="NH78" s="207"/>
      <c r="NI78" s="207"/>
      <c r="NJ78" s="207"/>
      <c r="NK78" s="207"/>
      <c r="NL78" s="207"/>
      <c r="NM78" s="207"/>
      <c r="NN78" s="207"/>
      <c r="NO78" s="207"/>
      <c r="NP78" s="207"/>
      <c r="NQ78" s="207"/>
      <c r="NR78" s="207"/>
      <c r="NS78" s="207"/>
      <c r="NT78" s="207"/>
      <c r="NU78" s="207"/>
      <c r="NV78" s="207"/>
      <c r="NW78" s="207"/>
      <c r="NX78" s="207"/>
      <c r="NY78" s="207"/>
      <c r="NZ78" s="207"/>
      <c r="OA78" s="207"/>
      <c r="OB78" s="207"/>
      <c r="OC78" s="207"/>
      <c r="OD78" s="207"/>
      <c r="OE78" s="207"/>
      <c r="OF78" s="207"/>
      <c r="OG78" s="207"/>
      <c r="OH78" s="207"/>
      <c r="OI78" s="207"/>
      <c r="OJ78" s="207"/>
      <c r="OK78" s="207"/>
      <c r="OL78" s="207"/>
      <c r="OM78" s="207"/>
      <c r="ON78" s="207"/>
      <c r="OO78" s="207"/>
      <c r="OP78" s="207"/>
      <c r="OQ78" s="207"/>
      <c r="OR78" s="207"/>
      <c r="OS78" s="207"/>
      <c r="OT78" s="207"/>
      <c r="OU78" s="207"/>
      <c r="OV78" s="207"/>
      <c r="OW78" s="207"/>
      <c r="OX78" s="207"/>
      <c r="OY78" s="207"/>
      <c r="OZ78" s="207"/>
      <c r="PA78" s="207"/>
      <c r="PB78" s="207"/>
      <c r="PC78" s="207"/>
      <c r="PD78" s="207"/>
      <c r="PE78" s="207"/>
      <c r="PF78" s="207"/>
      <c r="PG78" s="207"/>
      <c r="PH78" s="207"/>
      <c r="PI78" s="207"/>
      <c r="PJ78" s="207"/>
      <c r="PK78" s="207"/>
      <c r="PL78" s="207"/>
      <c r="PM78" s="207"/>
      <c r="PN78" s="207"/>
      <c r="PO78" s="207"/>
      <c r="PQ78" s="201"/>
      <c r="PR78" s="201"/>
      <c r="PS78" s="201"/>
      <c r="PT78" s="201"/>
      <c r="PU78" s="201"/>
      <c r="PV78" s="201"/>
      <c r="PW78" s="201"/>
      <c r="PX78" s="201"/>
      <c r="PY78" s="201"/>
      <c r="PZ78" s="201"/>
      <c r="QA78" s="201"/>
      <c r="QB78" s="201"/>
      <c r="QC78" s="201"/>
      <c r="QD78" s="201"/>
      <c r="QE78" s="201"/>
      <c r="QF78" s="201"/>
      <c r="QG78" s="201"/>
      <c r="QH78" s="201"/>
      <c r="QI78" s="201"/>
      <c r="QJ78" s="201"/>
      <c r="QK78" s="201"/>
      <c r="QL78" s="201"/>
      <c r="QM78" s="201"/>
      <c r="QN78" s="201"/>
      <c r="QO78" s="201"/>
      <c r="QP78" s="201"/>
      <c r="QQ78" s="201"/>
      <c r="QR78" s="201"/>
      <c r="QS78" s="201"/>
      <c r="QT78" s="201"/>
      <c r="QU78" s="201"/>
      <c r="QV78" s="201"/>
      <c r="QW78" s="201"/>
      <c r="QX78" s="201"/>
      <c r="QY78" s="201"/>
      <c r="QZ78" s="201"/>
      <c r="RA78" s="201"/>
      <c r="RB78" s="201"/>
      <c r="RC78" s="201"/>
      <c r="RD78" s="201"/>
      <c r="RE78" s="201"/>
      <c r="RF78" s="201"/>
      <c r="RG78" s="201"/>
      <c r="RH78" s="201"/>
      <c r="RI78" s="201"/>
      <c r="RJ78" s="201"/>
      <c r="RK78" s="201"/>
      <c r="RL78" s="201"/>
      <c r="RM78" s="201"/>
      <c r="RN78" s="201"/>
      <c r="RO78" s="201"/>
      <c r="RP78" s="201"/>
      <c r="RQ78" s="201"/>
      <c r="RR78" s="201"/>
      <c r="RS78" s="201"/>
      <c r="RT78" s="201"/>
      <c r="RU78" s="201"/>
      <c r="RV78" s="201"/>
      <c r="RW78" s="201"/>
      <c r="RX78" s="201"/>
      <c r="RY78" s="201"/>
      <c r="RZ78" s="201"/>
      <c r="SA78" s="201"/>
      <c r="SB78" s="201"/>
      <c r="SC78" s="201"/>
      <c r="SD78" s="201"/>
      <c r="SE78" s="201"/>
      <c r="SF78" s="201"/>
      <c r="SG78" s="201"/>
      <c r="SH78" s="201"/>
      <c r="SI78" s="201"/>
      <c r="SJ78" s="201"/>
      <c r="SK78" s="201"/>
      <c r="SL78" s="201"/>
      <c r="SM78" s="201"/>
      <c r="SN78" s="201"/>
      <c r="SO78" s="201"/>
      <c r="SP78" s="201"/>
      <c r="SQ78" s="201"/>
      <c r="SR78" s="201"/>
      <c r="SS78" s="201"/>
      <c r="ST78" s="201"/>
      <c r="SU78" s="201"/>
      <c r="SV78" s="201"/>
      <c r="SW78" s="201"/>
      <c r="SX78" s="201"/>
      <c r="SY78" s="201"/>
      <c r="SZ78" s="201"/>
      <c r="TA78" s="201"/>
      <c r="TB78" s="201"/>
      <c r="TC78" s="201"/>
      <c r="TD78" s="201"/>
      <c r="TE78" s="201"/>
      <c r="TF78" s="201"/>
      <c r="TG78" s="201"/>
      <c r="TH78" s="201"/>
      <c r="TI78" s="201"/>
      <c r="TJ78" s="201"/>
      <c r="TK78" s="201"/>
      <c r="TL78" s="201"/>
      <c r="TM78" s="201"/>
      <c r="TN78" s="201"/>
      <c r="TO78" s="201"/>
      <c r="TP78" s="201"/>
      <c r="TQ78" s="201"/>
      <c r="TR78" s="201"/>
      <c r="TS78" s="201"/>
      <c r="TT78" s="201"/>
      <c r="TU78" s="201"/>
      <c r="TV78" s="201"/>
      <c r="TW78" s="201"/>
      <c r="TX78" s="201"/>
      <c r="TY78" s="201"/>
      <c r="TZ78" s="201"/>
      <c r="UA78" s="201"/>
      <c r="UB78" s="201"/>
      <c r="UC78" s="201"/>
      <c r="UD78" s="201"/>
      <c r="UE78" s="201"/>
      <c r="UF78" s="201"/>
      <c r="UG78" s="201"/>
      <c r="UH78" s="201"/>
      <c r="UI78" s="201"/>
      <c r="UJ78" s="201"/>
      <c r="UK78" s="201"/>
      <c r="UL78" s="201"/>
      <c r="UM78" s="201"/>
      <c r="UN78" s="201"/>
      <c r="UO78" s="201"/>
      <c r="UP78" s="201"/>
      <c r="UQ78" s="201"/>
      <c r="UR78" s="201"/>
      <c r="US78" s="201"/>
      <c r="UT78" s="201"/>
      <c r="UU78" s="201"/>
    </row>
    <row r="79" spans="2:567" ht="15.6" x14ac:dyDescent="0.4">
      <c r="B79" s="78" t="s">
        <v>333</v>
      </c>
      <c r="C79" s="52"/>
      <c r="D79" s="52"/>
      <c r="E79" s="52"/>
      <c r="F79" s="76"/>
      <c r="G79" s="76"/>
      <c r="H79" s="76" t="s">
        <v>107</v>
      </c>
      <c r="I79" s="79" t="s">
        <v>108</v>
      </c>
      <c r="J79" s="80" t="s">
        <v>98</v>
      </c>
      <c r="K79" s="80" t="s">
        <v>99</v>
      </c>
      <c r="R79" s="89" t="s">
        <v>80</v>
      </c>
      <c r="S79" s="87">
        <v>0</v>
      </c>
      <c r="T79" s="87">
        <f>S79+1</f>
        <v>1</v>
      </c>
      <c r="U79" s="87">
        <f t="shared" ref="U79" si="917">T79+1</f>
        <v>2</v>
      </c>
      <c r="V79" s="87">
        <f t="shared" ref="V79" si="918">U79+1</f>
        <v>3</v>
      </c>
      <c r="W79" s="87">
        <f t="shared" ref="W79" si="919">V79+1</f>
        <v>4</v>
      </c>
      <c r="X79" s="87">
        <f t="shared" ref="X79" si="920">W79+1</f>
        <v>5</v>
      </c>
      <c r="Y79" s="87">
        <f t="shared" ref="Y79" si="921">X79+1</f>
        <v>6</v>
      </c>
      <c r="Z79" s="87">
        <f t="shared" ref="Z79" si="922">Y79+1</f>
        <v>7</v>
      </c>
      <c r="AA79" s="87">
        <f t="shared" ref="AA79" si="923">Z79+1</f>
        <v>8</v>
      </c>
      <c r="AB79" s="87">
        <f t="shared" ref="AB79" si="924">AA79+1</f>
        <v>9</v>
      </c>
      <c r="AC79" s="87">
        <f t="shared" ref="AC79" si="925">AB79+1</f>
        <v>10</v>
      </c>
      <c r="AD79" s="87">
        <f t="shared" ref="AD79" si="926">AC79+1</f>
        <v>11</v>
      </c>
      <c r="AE79" s="87">
        <f t="shared" ref="AE79" si="927">AD79+1</f>
        <v>12</v>
      </c>
      <c r="AF79" s="87">
        <f t="shared" ref="AF79" si="928">AE79+1</f>
        <v>13</v>
      </c>
      <c r="AG79" s="87">
        <f t="shared" ref="AG79" si="929">AF79+1</f>
        <v>14</v>
      </c>
      <c r="AH79" s="87">
        <f t="shared" ref="AH79" si="930">AG79+1</f>
        <v>15</v>
      </c>
      <c r="AI79" s="87">
        <f t="shared" ref="AI79" si="931">AH79+1</f>
        <v>16</v>
      </c>
      <c r="AJ79" s="87">
        <f t="shared" ref="AJ79" si="932">AI79+1</f>
        <v>17</v>
      </c>
      <c r="AK79" s="87">
        <f t="shared" ref="AK79" si="933">AJ79+1</f>
        <v>18</v>
      </c>
      <c r="AL79" s="87">
        <f t="shared" ref="AL79" si="934">AK79+1</f>
        <v>19</v>
      </c>
      <c r="AM79" s="87">
        <f t="shared" ref="AM79" si="935">AL79+1</f>
        <v>20</v>
      </c>
      <c r="AN79" s="87">
        <f t="shared" ref="AN79" si="936">AM79+1</f>
        <v>21</v>
      </c>
      <c r="AO79" s="87">
        <f t="shared" ref="AO79" si="937">AN79+1</f>
        <v>22</v>
      </c>
      <c r="AP79" s="87">
        <f t="shared" ref="AP79" si="938">AO79+1</f>
        <v>23</v>
      </c>
      <c r="AQ79" s="87">
        <f t="shared" ref="AQ79" si="939">AP79+1</f>
        <v>24</v>
      </c>
      <c r="AR79" s="87">
        <f t="shared" ref="AR79" si="940">AQ79+1</f>
        <v>25</v>
      </c>
      <c r="AS79" s="87">
        <f t="shared" ref="AS79" si="941">AR79+1</f>
        <v>26</v>
      </c>
      <c r="AT79" s="87">
        <f t="shared" ref="AT79" si="942">AS79+1</f>
        <v>27</v>
      </c>
      <c r="AU79" s="87">
        <f t="shared" ref="AU79" si="943">AT79+1</f>
        <v>28</v>
      </c>
      <c r="AV79" s="87">
        <f t="shared" ref="AV79" si="944">AU79+1</f>
        <v>29</v>
      </c>
      <c r="AW79" s="87">
        <f t="shared" ref="AW79" si="945">AV79+1</f>
        <v>30</v>
      </c>
      <c r="AX79" s="87">
        <f t="shared" ref="AX79" si="946">AW79+1</f>
        <v>31</v>
      </c>
      <c r="AY79" s="87">
        <f t="shared" ref="AY79" si="947">AX79+1</f>
        <v>32</v>
      </c>
      <c r="AZ79" s="87">
        <f t="shared" ref="AZ79" si="948">AY79+1</f>
        <v>33</v>
      </c>
      <c r="BA79" s="87">
        <f t="shared" ref="BA79" si="949">AZ79+1</f>
        <v>34</v>
      </c>
      <c r="BB79" s="87">
        <f t="shared" ref="BB79" si="950">BA79+1</f>
        <v>35</v>
      </c>
      <c r="BC79" s="87">
        <f t="shared" ref="BC79" si="951">BB79+1</f>
        <v>36</v>
      </c>
      <c r="BD79" s="87">
        <f t="shared" ref="BD79" si="952">BC79+1</f>
        <v>37</v>
      </c>
      <c r="BE79" s="87">
        <f t="shared" ref="BE79" si="953">BD79+1</f>
        <v>38</v>
      </c>
      <c r="BF79" s="87">
        <f t="shared" ref="BF79" si="954">BE79+1</f>
        <v>39</v>
      </c>
      <c r="BG79" s="87">
        <f t="shared" ref="BG79" si="955">BF79+1</f>
        <v>40</v>
      </c>
      <c r="BH79" s="87">
        <f t="shared" ref="BH79" si="956">BG79+1</f>
        <v>41</v>
      </c>
      <c r="BI79" s="87">
        <f t="shared" ref="BI79" si="957">BH79+1</f>
        <v>42</v>
      </c>
      <c r="BJ79" s="87">
        <f t="shared" ref="BJ79" si="958">BI79+1</f>
        <v>43</v>
      </c>
      <c r="BK79" s="87">
        <f t="shared" ref="BK79" si="959">BJ79+1</f>
        <v>44</v>
      </c>
      <c r="BL79" s="87">
        <f t="shared" ref="BL79" si="960">BK79+1</f>
        <v>45</v>
      </c>
      <c r="BM79" s="87">
        <f t="shared" ref="BM79" si="961">BL79+1</f>
        <v>46</v>
      </c>
      <c r="BN79" s="87">
        <f t="shared" ref="BN79" si="962">BM79+1</f>
        <v>47</v>
      </c>
      <c r="BO79" s="87">
        <f t="shared" ref="BO79" si="963">BN79+1</f>
        <v>48</v>
      </c>
      <c r="BP79" s="87">
        <f t="shared" ref="BP79" si="964">BO79+1</f>
        <v>49</v>
      </c>
      <c r="BQ79" s="87">
        <f t="shared" ref="BQ79" si="965">BP79+1</f>
        <v>50</v>
      </c>
      <c r="BR79" s="87">
        <f t="shared" ref="BR79" si="966">BQ79+1</f>
        <v>51</v>
      </c>
      <c r="BS79" s="87">
        <f t="shared" ref="BS79" si="967">BR79+1</f>
        <v>52</v>
      </c>
      <c r="BT79" s="87">
        <f t="shared" ref="BT79" si="968">BS79+1</f>
        <v>53</v>
      </c>
      <c r="BU79" s="87">
        <f t="shared" ref="BU79" si="969">BT79+1</f>
        <v>54</v>
      </c>
      <c r="BV79" s="87">
        <f t="shared" ref="BV79" si="970">BU79+1</f>
        <v>55</v>
      </c>
      <c r="BW79" s="87">
        <f t="shared" ref="BW79" si="971">BV79+1</f>
        <v>56</v>
      </c>
      <c r="BX79" s="87">
        <f t="shared" ref="BX79" si="972">BW79+1</f>
        <v>57</v>
      </c>
      <c r="BY79" s="87">
        <f t="shared" ref="BY79" si="973">BX79+1</f>
        <v>58</v>
      </c>
      <c r="BZ79" s="87">
        <f t="shared" ref="BZ79" si="974">BY79+1</f>
        <v>59</v>
      </c>
      <c r="CA79" s="87">
        <f t="shared" ref="CA79" si="975">BZ79+1</f>
        <v>60</v>
      </c>
      <c r="CB79" s="87">
        <f t="shared" ref="CB79" si="976">CA79+1</f>
        <v>61</v>
      </c>
      <c r="CC79" s="87">
        <f t="shared" ref="CC79" si="977">CB79+1</f>
        <v>62</v>
      </c>
      <c r="CD79" s="87">
        <f t="shared" ref="CD79" si="978">CC79+1</f>
        <v>63</v>
      </c>
      <c r="CE79" s="87">
        <f t="shared" ref="CE79" si="979">CD79+1</f>
        <v>64</v>
      </c>
      <c r="CF79" s="87">
        <f t="shared" ref="CF79" si="980">CE79+1</f>
        <v>65</v>
      </c>
      <c r="CG79" s="87">
        <f t="shared" ref="CG79" si="981">CF79+1</f>
        <v>66</v>
      </c>
      <c r="CH79" s="87">
        <f t="shared" ref="CH79" si="982">CG79+1</f>
        <v>67</v>
      </c>
      <c r="CI79" s="87">
        <f t="shared" ref="CI79" si="983">CH79+1</f>
        <v>68</v>
      </c>
      <c r="CJ79" s="87">
        <f t="shared" ref="CJ79" si="984">CI79+1</f>
        <v>69</v>
      </c>
      <c r="CK79" s="87">
        <f t="shared" ref="CK79" si="985">CJ79+1</f>
        <v>70</v>
      </c>
      <c r="CL79" s="87">
        <f t="shared" ref="CL79" si="986">CK79+1</f>
        <v>71</v>
      </c>
      <c r="CM79" s="87">
        <f t="shared" ref="CM79" si="987">CL79+1</f>
        <v>72</v>
      </c>
      <c r="CN79" s="87">
        <f t="shared" ref="CN79" si="988">CM79+1</f>
        <v>73</v>
      </c>
      <c r="CO79" s="87">
        <f t="shared" ref="CO79" si="989">CN79+1</f>
        <v>74</v>
      </c>
      <c r="CP79" s="87">
        <f t="shared" ref="CP79" si="990">CO79+1</f>
        <v>75</v>
      </c>
      <c r="CQ79" s="87">
        <f t="shared" ref="CQ79" si="991">CP79+1</f>
        <v>76</v>
      </c>
      <c r="CR79" s="87">
        <f t="shared" ref="CR79" si="992">CQ79+1</f>
        <v>77</v>
      </c>
      <c r="CS79" s="87">
        <f t="shared" ref="CS79" si="993">CR79+1</f>
        <v>78</v>
      </c>
      <c r="CT79" s="87">
        <f t="shared" ref="CT79" si="994">CS79+1</f>
        <v>79</v>
      </c>
      <c r="CU79" s="87">
        <f t="shared" ref="CU79" si="995">CT79+1</f>
        <v>80</v>
      </c>
      <c r="CV79" s="87">
        <f t="shared" ref="CV79" si="996">CU79+1</f>
        <v>81</v>
      </c>
      <c r="CW79" s="87">
        <f t="shared" ref="CW79" si="997">CV79+1</f>
        <v>82</v>
      </c>
      <c r="CX79" s="87">
        <f t="shared" ref="CX79" si="998">CW79+1</f>
        <v>83</v>
      </c>
      <c r="CY79" s="87">
        <f t="shared" ref="CY79" si="999">CX79+1</f>
        <v>84</v>
      </c>
      <c r="CZ79" s="87">
        <f t="shared" ref="CZ79" si="1000">CY79+1</f>
        <v>85</v>
      </c>
      <c r="DA79" s="87">
        <f t="shared" ref="DA79" si="1001">CZ79+1</f>
        <v>86</v>
      </c>
      <c r="DB79" s="87">
        <f t="shared" ref="DB79" si="1002">DA79+1</f>
        <v>87</v>
      </c>
      <c r="DC79" s="87">
        <f t="shared" ref="DC79" si="1003">DB79+1</f>
        <v>88</v>
      </c>
      <c r="DD79" s="87">
        <f t="shared" ref="DD79" si="1004">DC79+1</f>
        <v>89</v>
      </c>
      <c r="DE79" s="87">
        <f t="shared" ref="DE79" si="1005">DD79+1</f>
        <v>90</v>
      </c>
      <c r="DF79" s="87">
        <f t="shared" ref="DF79" si="1006">DE79+1</f>
        <v>91</v>
      </c>
      <c r="DG79" s="87">
        <f t="shared" ref="DG79" si="1007">DF79+1</f>
        <v>92</v>
      </c>
      <c r="DH79" s="87">
        <f t="shared" ref="DH79" si="1008">DG79+1</f>
        <v>93</v>
      </c>
      <c r="DI79" s="87">
        <f t="shared" ref="DI79" si="1009">DH79+1</f>
        <v>94</v>
      </c>
      <c r="DJ79" s="87">
        <f t="shared" ref="DJ79" si="1010">DI79+1</f>
        <v>95</v>
      </c>
      <c r="DK79" s="87">
        <f t="shared" ref="DK79" si="1011">DJ79+1</f>
        <v>96</v>
      </c>
      <c r="DL79" s="87">
        <f t="shared" ref="DL79" si="1012">DK79+1</f>
        <v>97</v>
      </c>
      <c r="DM79" s="87">
        <f t="shared" ref="DM79" si="1013">DL79+1</f>
        <v>98</v>
      </c>
      <c r="DN79" s="87">
        <f t="shared" ref="DN79" si="1014">DM79+1</f>
        <v>99</v>
      </c>
      <c r="DO79" s="87">
        <f t="shared" ref="DO79" si="1015">DN79+1</f>
        <v>100</v>
      </c>
      <c r="DP79" s="87">
        <f t="shared" ref="DP79" si="1016">DO79+1</f>
        <v>101</v>
      </c>
      <c r="DQ79" s="87">
        <f t="shared" ref="DQ79" si="1017">DP79+1</f>
        <v>102</v>
      </c>
      <c r="DR79" s="87">
        <f t="shared" ref="DR79" si="1018">DQ79+1</f>
        <v>103</v>
      </c>
      <c r="DS79" s="87">
        <f t="shared" ref="DS79" si="1019">DR79+1</f>
        <v>104</v>
      </c>
      <c r="DT79" s="87">
        <f t="shared" ref="DT79" si="1020">DS79+1</f>
        <v>105</v>
      </c>
      <c r="DU79" s="87">
        <f t="shared" ref="DU79" si="1021">DT79+1</f>
        <v>106</v>
      </c>
      <c r="DV79" s="87">
        <f t="shared" ref="DV79" si="1022">DU79+1</f>
        <v>107</v>
      </c>
      <c r="DW79" s="87">
        <f t="shared" ref="DW79" si="1023">DV79+1</f>
        <v>108</v>
      </c>
      <c r="DX79" s="87">
        <f t="shared" ref="DX79" si="1024">DW79+1</f>
        <v>109</v>
      </c>
      <c r="DY79" s="87">
        <f t="shared" ref="DY79" si="1025">DX79+1</f>
        <v>110</v>
      </c>
      <c r="DZ79" s="87">
        <f t="shared" ref="DZ79" si="1026">DY79+1</f>
        <v>111</v>
      </c>
      <c r="EA79" s="87">
        <f t="shared" ref="EA79" si="1027">DZ79+1</f>
        <v>112</v>
      </c>
      <c r="EB79" s="87">
        <f t="shared" ref="EB79" si="1028">EA79+1</f>
        <v>113</v>
      </c>
      <c r="EC79" s="87">
        <f t="shared" ref="EC79" si="1029">EB79+1</f>
        <v>114</v>
      </c>
      <c r="ED79" s="87">
        <f t="shared" ref="ED79" si="1030">EC79+1</f>
        <v>115</v>
      </c>
      <c r="EE79" s="87">
        <f t="shared" ref="EE79" si="1031">ED79+1</f>
        <v>116</v>
      </c>
      <c r="EF79" s="87">
        <f t="shared" ref="EF79" si="1032">EE79+1</f>
        <v>117</v>
      </c>
      <c r="EG79" s="87">
        <f t="shared" ref="EG79" si="1033">EF79+1</f>
        <v>118</v>
      </c>
      <c r="EH79" s="87">
        <f t="shared" ref="EH79" si="1034">EG79+1</f>
        <v>119</v>
      </c>
      <c r="EI79" s="87">
        <f t="shared" ref="EI79" si="1035">EH79+1</f>
        <v>120</v>
      </c>
      <c r="EJ79" s="87">
        <f t="shared" ref="EJ79" si="1036">EI79+1</f>
        <v>121</v>
      </c>
      <c r="EK79" s="87">
        <f t="shared" ref="EK79" si="1037">EJ79+1</f>
        <v>122</v>
      </c>
      <c r="EL79" s="87">
        <f t="shared" ref="EL79" si="1038">EK79+1</f>
        <v>123</v>
      </c>
      <c r="EM79" s="87">
        <f t="shared" ref="EM79" si="1039">EL79+1</f>
        <v>124</v>
      </c>
      <c r="EN79" s="87">
        <f t="shared" ref="EN79" si="1040">EM79+1</f>
        <v>125</v>
      </c>
      <c r="EO79" s="87">
        <f t="shared" ref="EO79" si="1041">EN79+1</f>
        <v>126</v>
      </c>
      <c r="EP79" s="87">
        <f t="shared" ref="EP79" si="1042">EO79+1</f>
        <v>127</v>
      </c>
      <c r="EQ79" s="87">
        <f t="shared" ref="EQ79" si="1043">EP79+1</f>
        <v>128</v>
      </c>
      <c r="ER79" s="87">
        <f t="shared" ref="ER79" si="1044">EQ79+1</f>
        <v>129</v>
      </c>
      <c r="ES79" s="87">
        <f>ER79+1</f>
        <v>130</v>
      </c>
      <c r="ET79" s="87">
        <f>ES79+1</f>
        <v>131</v>
      </c>
      <c r="EU79" s="87">
        <f>ET79+1</f>
        <v>132</v>
      </c>
      <c r="EW79" s="199" t="str">
        <f>+B77</f>
        <v>Junior Loan</v>
      </c>
      <c r="EX79" s="219"/>
      <c r="EY79" s="219"/>
      <c r="EZ79" s="219"/>
      <c r="FA79" s="220"/>
      <c r="FB79" s="220"/>
      <c r="FC79" s="221">
        <f t="shared" si="903"/>
        <v>9.6350899999999989E-2</v>
      </c>
      <c r="FD79" s="221">
        <f t="shared" si="903"/>
        <v>9.60675E-2</v>
      </c>
      <c r="FE79" s="221">
        <f t="shared" si="903"/>
        <v>9.5242199999999999E-2</v>
      </c>
      <c r="FF79" s="221">
        <f t="shared" si="903"/>
        <v>9.5237099999999991E-2</v>
      </c>
      <c r="FG79" s="221">
        <f t="shared" si="903"/>
        <v>9.5058900000000002E-2</v>
      </c>
      <c r="FH79" s="221">
        <f t="shared" si="903"/>
        <v>9.4620999999999997E-2</v>
      </c>
      <c r="FI79" s="221">
        <f t="shared" si="903"/>
        <v>9.4619399999999992E-2</v>
      </c>
      <c r="FJ79" s="221">
        <f t="shared" si="903"/>
        <v>9.4581499999999999E-2</v>
      </c>
      <c r="FK79" s="221">
        <f t="shared" si="903"/>
        <v>9.4479099999999996E-2</v>
      </c>
      <c r="FL79" s="221">
        <f t="shared" si="903"/>
        <v>9.4477099999999994E-2</v>
      </c>
      <c r="FM79" s="221">
        <f t="shared" si="904"/>
        <v>9.4489999999999991E-2</v>
      </c>
      <c r="FN79" s="221">
        <f t="shared" si="904"/>
        <v>9.4513799999999995E-2</v>
      </c>
      <c r="FO79" s="221">
        <f t="shared" si="904"/>
        <v>9.4550599999999999E-2</v>
      </c>
      <c r="FP79" s="221">
        <f t="shared" si="904"/>
        <v>9.4597500000000001E-2</v>
      </c>
      <c r="FQ79" s="221">
        <f t="shared" si="904"/>
        <v>9.4669000000000003E-2</v>
      </c>
      <c r="FR79" s="221">
        <f t="shared" si="904"/>
        <v>9.4737299999999997E-2</v>
      </c>
      <c r="FS79" s="221">
        <f t="shared" si="904"/>
        <v>9.4810099999999994E-2</v>
      </c>
      <c r="FT79" s="221">
        <f t="shared" si="904"/>
        <v>9.4888E-2</v>
      </c>
      <c r="FU79" s="221">
        <f t="shared" si="904"/>
        <v>9.4968899999999995E-2</v>
      </c>
      <c r="FV79" s="221">
        <f t="shared" si="904"/>
        <v>9.5056499999999988E-2</v>
      </c>
      <c r="FW79" s="221">
        <f t="shared" si="905"/>
        <v>9.5140100000000005E-2</v>
      </c>
      <c r="FX79" s="221">
        <f t="shared" si="905"/>
        <v>9.5228199999999999E-2</v>
      </c>
      <c r="FY79" s="221">
        <f t="shared" si="905"/>
        <v>9.5321400000000001E-2</v>
      </c>
      <c r="FZ79" s="221">
        <f t="shared" si="905"/>
        <v>9.5418100000000006E-2</v>
      </c>
      <c r="GA79" s="221">
        <f t="shared" si="905"/>
        <v>9.5511399999999996E-2</v>
      </c>
      <c r="GB79" s="221">
        <f t="shared" si="905"/>
        <v>9.5614199999999996E-2</v>
      </c>
      <c r="GC79" s="221">
        <f t="shared" si="905"/>
        <v>9.5718899999999996E-2</v>
      </c>
      <c r="GD79" s="221">
        <f t="shared" si="905"/>
        <v>9.5810699999999999E-2</v>
      </c>
      <c r="GE79" s="221">
        <f t="shared" si="905"/>
        <v>9.5911899999999994E-2</v>
      </c>
      <c r="GF79" s="221">
        <f t="shared" si="905"/>
        <v>9.600149999999999E-2</v>
      </c>
      <c r="GG79" s="221">
        <f t="shared" si="906"/>
        <v>9.6088000000000007E-2</v>
      </c>
      <c r="GH79" s="221">
        <f t="shared" si="906"/>
        <v>9.61727E-2</v>
      </c>
      <c r="GI79" s="221">
        <f t="shared" si="906"/>
        <v>9.6250000000000002E-2</v>
      </c>
      <c r="GJ79" s="221">
        <f t="shared" si="906"/>
        <v>9.6332699999999993E-2</v>
      </c>
      <c r="GK79" s="221">
        <f t="shared" si="906"/>
        <v>9.64E-2</v>
      </c>
      <c r="GL79" s="221">
        <f t="shared" si="906"/>
        <v>9.6465899999999993E-2</v>
      </c>
      <c r="GM79" s="221">
        <f t="shared" si="906"/>
        <v>9.6529799999999999E-2</v>
      </c>
      <c r="GN79" s="221">
        <f t="shared" si="906"/>
        <v>9.6579399999999996E-2</v>
      </c>
      <c r="GO79" s="221">
        <f t="shared" si="906"/>
        <v>9.6637799999999996E-2</v>
      </c>
      <c r="GP79" s="221">
        <f t="shared" si="906"/>
        <v>9.6688799999999991E-2</v>
      </c>
      <c r="GQ79" s="221">
        <f t="shared" si="907"/>
        <v>9.6746200000000004E-2</v>
      </c>
      <c r="GR79" s="221">
        <f t="shared" si="907"/>
        <v>9.680069999999999E-2</v>
      </c>
      <c r="GS79" s="221">
        <f t="shared" si="907"/>
        <v>9.686539999999999E-2</v>
      </c>
      <c r="GT79" s="221">
        <f t="shared" si="907"/>
        <v>9.6922499999999995E-2</v>
      </c>
      <c r="GU79" s="221">
        <f t="shared" si="907"/>
        <v>9.6975599999999995E-2</v>
      </c>
      <c r="GV79" s="221">
        <f t="shared" si="907"/>
        <v>9.7039999999999987E-2</v>
      </c>
      <c r="GW79" s="221">
        <f t="shared" si="907"/>
        <v>9.7097699999999995E-2</v>
      </c>
      <c r="GX79" s="221">
        <f t="shared" si="907"/>
        <v>9.71669E-2</v>
      </c>
      <c r="GY79" s="221">
        <f t="shared" si="907"/>
        <v>9.7222100000000006E-2</v>
      </c>
      <c r="GZ79" s="221">
        <f t="shared" si="907"/>
        <v>9.7277299999999997E-2</v>
      </c>
      <c r="HA79" s="221">
        <f t="shared" si="908"/>
        <v>9.7344399999999998E-2</v>
      </c>
      <c r="HB79" s="221">
        <f t="shared" si="908"/>
        <v>9.7414000000000001E-2</v>
      </c>
      <c r="HC79" s="221">
        <f t="shared" si="908"/>
        <v>9.7474699999999997E-2</v>
      </c>
      <c r="HD79" s="221">
        <f t="shared" si="908"/>
        <v>9.7527299999999997E-2</v>
      </c>
      <c r="HE79" s="221">
        <f t="shared" si="908"/>
        <v>9.7591600000000001E-2</v>
      </c>
      <c r="HF79" s="221">
        <f t="shared" si="908"/>
        <v>9.7650000000000001E-2</v>
      </c>
      <c r="HG79" s="221">
        <f t="shared" si="908"/>
        <v>9.7703399999999996E-2</v>
      </c>
      <c r="HH79" s="221">
        <f t="shared" si="908"/>
        <v>9.7761700000000007E-2</v>
      </c>
      <c r="HI79" s="221">
        <f t="shared" si="908"/>
        <v>9.7817799999999996E-2</v>
      </c>
      <c r="HJ79" s="221">
        <f t="shared" si="908"/>
        <v>9.7875600000000007E-2</v>
      </c>
      <c r="HK79" s="221">
        <f t="shared" si="909"/>
        <v>9.7928399999999999E-2</v>
      </c>
      <c r="HL79" s="221">
        <f t="shared" si="909"/>
        <v>9.7969200000000006E-2</v>
      </c>
      <c r="HM79" s="221">
        <f t="shared" si="909"/>
        <v>9.8024500000000001E-2</v>
      </c>
      <c r="HN79" s="221">
        <f t="shared" si="909"/>
        <v>9.8078100000000001E-2</v>
      </c>
      <c r="HO79" s="221">
        <f t="shared" si="909"/>
        <v>9.8126500000000005E-2</v>
      </c>
      <c r="HP79" s="221">
        <f t="shared" si="909"/>
        <v>9.8169099999999995E-2</v>
      </c>
      <c r="HQ79" s="221">
        <f t="shared" si="909"/>
        <v>9.8217799999999994E-2</v>
      </c>
      <c r="HR79" s="221">
        <f t="shared" si="909"/>
        <v>9.8264199999999996E-2</v>
      </c>
      <c r="HS79" s="221">
        <f t="shared" si="909"/>
        <v>9.8312299999999991E-2</v>
      </c>
      <c r="HT79" s="221">
        <f t="shared" si="909"/>
        <v>9.8357899999999998E-2</v>
      </c>
      <c r="HU79" s="221">
        <f t="shared" si="910"/>
        <v>9.8395399999999994E-2</v>
      </c>
      <c r="HV79" s="221">
        <f t="shared" si="910"/>
        <v>9.8437499999999997E-2</v>
      </c>
      <c r="HW79" s="221">
        <f t="shared" si="910"/>
        <v>9.8478399999999994E-2</v>
      </c>
      <c r="HX79" s="221">
        <f t="shared" si="910"/>
        <v>9.8511600000000005E-2</v>
      </c>
      <c r="HY79" s="221">
        <f t="shared" si="910"/>
        <v>9.8556199999999997E-2</v>
      </c>
      <c r="HZ79" s="221">
        <f t="shared" si="910"/>
        <v>9.8591299999999993E-2</v>
      </c>
      <c r="IA79" s="221">
        <f t="shared" si="910"/>
        <v>9.8631099999999999E-2</v>
      </c>
      <c r="IB79" s="221">
        <f t="shared" si="910"/>
        <v>9.8671099999999998E-2</v>
      </c>
      <c r="IC79" s="221">
        <f t="shared" si="910"/>
        <v>9.8711599999999997E-2</v>
      </c>
      <c r="ID79" s="221">
        <f t="shared" si="910"/>
        <v>9.87566E-2</v>
      </c>
      <c r="IE79" s="221">
        <f t="shared" si="911"/>
        <v>9.87923E-2</v>
      </c>
      <c r="IF79" s="221">
        <f t="shared" si="911"/>
        <v>9.883539999999999E-2</v>
      </c>
      <c r="IG79" s="221">
        <f t="shared" si="911"/>
        <v>9.8876099999999995E-2</v>
      </c>
      <c r="IH79" s="221">
        <f t="shared" si="911"/>
        <v>9.8918499999999993E-2</v>
      </c>
      <c r="II79" s="221">
        <f t="shared" si="911"/>
        <v>9.8958600000000008E-2</v>
      </c>
      <c r="IJ79" s="221">
        <f t="shared" si="911"/>
        <v>9.8993499999999998E-2</v>
      </c>
      <c r="IK79" s="221">
        <f t="shared" si="911"/>
        <v>9.9041299999999999E-2</v>
      </c>
      <c r="IL79" s="221">
        <f t="shared" si="911"/>
        <v>9.908249999999999E-2</v>
      </c>
      <c r="IM79" s="221">
        <f t="shared" si="911"/>
        <v>9.9134100000000003E-2</v>
      </c>
      <c r="IN79" s="221">
        <f t="shared" si="911"/>
        <v>9.9173299999999992E-2</v>
      </c>
      <c r="IO79" s="221">
        <f t="shared" si="912"/>
        <v>9.9217E-2</v>
      </c>
      <c r="IP79" s="221">
        <f t="shared" si="912"/>
        <v>9.9265500000000007E-2</v>
      </c>
      <c r="IQ79" s="221">
        <f t="shared" si="912"/>
        <v>9.9307300000000001E-2</v>
      </c>
      <c r="IR79" s="221">
        <f t="shared" si="912"/>
        <v>9.93536E-2</v>
      </c>
      <c r="IS79" s="221">
        <f t="shared" si="912"/>
        <v>9.9403400000000003E-2</v>
      </c>
      <c r="IT79" s="221">
        <f t="shared" si="912"/>
        <v>9.944929999999999E-2</v>
      </c>
      <c r="IU79" s="221">
        <f t="shared" si="912"/>
        <v>9.9499799999999999E-2</v>
      </c>
      <c r="IV79" s="221">
        <f t="shared" si="912"/>
        <v>9.9536199999999991E-2</v>
      </c>
      <c r="IW79" s="221">
        <f t="shared" si="912"/>
        <v>9.9588800000000005E-2</v>
      </c>
      <c r="IX79" s="221">
        <f t="shared" si="912"/>
        <v>9.9631600000000001E-2</v>
      </c>
      <c r="IY79" s="221">
        <f t="shared" si="913"/>
        <v>9.9685200000000002E-2</v>
      </c>
      <c r="IZ79" s="221">
        <f t="shared" si="913"/>
        <v>9.97305E-2</v>
      </c>
      <c r="JA79" s="221">
        <f t="shared" si="913"/>
        <v>9.9780299999999988E-2</v>
      </c>
      <c r="JB79" s="221">
        <f t="shared" si="913"/>
        <v>9.9830699999999994E-2</v>
      </c>
      <c r="JC79" s="221">
        <f t="shared" si="913"/>
        <v>9.9878499999999995E-2</v>
      </c>
      <c r="JD79" s="221">
        <f t="shared" si="913"/>
        <v>9.9937300000000007E-2</v>
      </c>
      <c r="JE79" s="221">
        <f t="shared" si="913"/>
        <v>9.9983099999999991E-2</v>
      </c>
      <c r="JF79" s="221">
        <f t="shared" si="913"/>
        <v>0.1000349</v>
      </c>
      <c r="JG79" s="221">
        <f t="shared" si="913"/>
        <v>0.10008880000000001</v>
      </c>
      <c r="JH79" s="221">
        <f t="shared" si="913"/>
        <v>0.100131</v>
      </c>
      <c r="JI79" s="221">
        <f t="shared" si="914"/>
        <v>0.1001881</v>
      </c>
      <c r="JJ79" s="221">
        <f t="shared" si="914"/>
        <v>9.2831200000000003E-2</v>
      </c>
      <c r="JK79" s="221">
        <f t="shared" si="914"/>
        <v>9.2884099999999997E-2</v>
      </c>
      <c r="JL79" s="221">
        <f t="shared" si="914"/>
        <v>9.2935099999999993E-2</v>
      </c>
      <c r="JM79" s="221">
        <f t="shared" si="914"/>
        <v>9.2984399999999995E-2</v>
      </c>
      <c r="JN79" s="221">
        <f t="shared" si="914"/>
        <v>9.30309E-2</v>
      </c>
      <c r="JO79" s="221">
        <f t="shared" si="914"/>
        <v>9.3087400000000001E-2</v>
      </c>
      <c r="JP79" s="221">
        <f t="shared" si="914"/>
        <v>9.3140500000000001E-2</v>
      </c>
      <c r="JQ79" s="221">
        <f t="shared" si="914"/>
        <v>9.3205099999999999E-2</v>
      </c>
      <c r="JR79" s="221">
        <f t="shared" si="914"/>
        <v>9.3258599999999997E-2</v>
      </c>
      <c r="JS79" s="221">
        <f t="shared" si="915"/>
        <v>9.3311699999999997E-2</v>
      </c>
      <c r="JT79" s="221">
        <f t="shared" si="915"/>
        <v>9.3311699999999997E-2</v>
      </c>
      <c r="JU79" s="221">
        <f t="shared" si="915"/>
        <v>9.3311699999999997E-2</v>
      </c>
      <c r="JV79" s="221">
        <f t="shared" si="915"/>
        <v>9.3311699999999997E-2</v>
      </c>
      <c r="JW79" s="221">
        <f t="shared" si="915"/>
        <v>9.3311699999999997E-2</v>
      </c>
      <c r="JX79" s="221">
        <f t="shared" si="915"/>
        <v>9.3311699999999997E-2</v>
      </c>
      <c r="JY79" s="221">
        <f t="shared" si="915"/>
        <v>9.3311699999999997E-2</v>
      </c>
      <c r="JZ79" s="221">
        <f t="shared" si="915"/>
        <v>9.3311699999999997E-2</v>
      </c>
      <c r="KA79" s="221">
        <f t="shared" si="915"/>
        <v>9.3311699999999997E-2</v>
      </c>
      <c r="KB79" s="221">
        <f t="shared" si="915"/>
        <v>9.3311699999999997E-2</v>
      </c>
      <c r="KC79" s="221">
        <f t="shared" si="916"/>
        <v>9.3311699999999997E-2</v>
      </c>
      <c r="KD79" s="221">
        <f t="shared" si="916"/>
        <v>9.3311699999999997E-2</v>
      </c>
      <c r="KE79" s="221">
        <f t="shared" si="916"/>
        <v>9.3311699999999997E-2</v>
      </c>
      <c r="KH79" s="219"/>
      <c r="KI79" s="219"/>
      <c r="KJ79" s="219"/>
      <c r="KK79" s="220"/>
      <c r="KL79" s="220"/>
      <c r="KM79" s="207"/>
      <c r="KN79" s="207"/>
      <c r="KO79" s="207"/>
      <c r="KP79" s="207"/>
      <c r="KQ79" s="207"/>
      <c r="KR79" s="207"/>
      <c r="KS79" s="207"/>
      <c r="KT79" s="207"/>
      <c r="KU79" s="207"/>
      <c r="KV79" s="207"/>
      <c r="KW79" s="207"/>
      <c r="KX79" s="207"/>
      <c r="KY79" s="207"/>
      <c r="KZ79" s="207"/>
      <c r="LA79" s="207"/>
      <c r="LB79" s="207"/>
      <c r="LC79" s="207"/>
      <c r="LD79" s="207"/>
      <c r="LE79" s="207"/>
      <c r="LF79" s="207"/>
      <c r="LG79" s="207"/>
      <c r="LH79" s="207"/>
      <c r="LI79" s="207"/>
      <c r="LJ79" s="207"/>
      <c r="LK79" s="207"/>
      <c r="LL79" s="207"/>
      <c r="LM79" s="207"/>
      <c r="LN79" s="207"/>
      <c r="LO79" s="207"/>
      <c r="LP79" s="207"/>
      <c r="LQ79" s="207"/>
      <c r="LR79" s="207"/>
      <c r="LS79" s="207"/>
      <c r="LT79" s="207"/>
      <c r="LU79" s="207"/>
      <c r="LV79" s="207"/>
      <c r="LW79" s="207"/>
      <c r="LX79" s="207"/>
      <c r="LY79" s="207"/>
      <c r="LZ79" s="207"/>
      <c r="MA79" s="207"/>
      <c r="MB79" s="207"/>
      <c r="MC79" s="207"/>
      <c r="MD79" s="207"/>
      <c r="ME79" s="207"/>
      <c r="MF79" s="207"/>
      <c r="MG79" s="207"/>
      <c r="MH79" s="207"/>
      <c r="MI79" s="207"/>
      <c r="MJ79" s="207"/>
      <c r="MK79" s="207"/>
      <c r="ML79" s="207"/>
      <c r="MM79" s="207"/>
      <c r="MN79" s="207"/>
      <c r="MO79" s="207"/>
      <c r="MP79" s="207"/>
      <c r="MQ79" s="207"/>
      <c r="MR79" s="207"/>
      <c r="MS79" s="207"/>
      <c r="MT79" s="207"/>
      <c r="MU79" s="207"/>
      <c r="MV79" s="207"/>
      <c r="MW79" s="207"/>
      <c r="MX79" s="207"/>
      <c r="MY79" s="207"/>
      <c r="MZ79" s="207"/>
      <c r="NA79" s="207"/>
      <c r="NB79" s="207"/>
      <c r="NC79" s="207"/>
      <c r="ND79" s="207"/>
      <c r="NE79" s="207"/>
      <c r="NF79" s="207"/>
      <c r="NG79" s="207"/>
      <c r="NH79" s="207"/>
      <c r="NI79" s="207"/>
      <c r="NJ79" s="207"/>
      <c r="NK79" s="207"/>
      <c r="NL79" s="207"/>
      <c r="NM79" s="207"/>
      <c r="NN79" s="207"/>
      <c r="NO79" s="207"/>
      <c r="NP79" s="207"/>
      <c r="NQ79" s="207"/>
      <c r="NR79" s="207"/>
      <c r="NS79" s="207"/>
      <c r="NT79" s="207"/>
      <c r="NU79" s="207"/>
      <c r="NV79" s="207"/>
      <c r="NW79" s="207"/>
      <c r="NX79" s="207"/>
      <c r="NY79" s="207"/>
      <c r="NZ79" s="207"/>
      <c r="OA79" s="207"/>
      <c r="OB79" s="207"/>
      <c r="OC79" s="207"/>
      <c r="OD79" s="207"/>
      <c r="OE79" s="207"/>
      <c r="OF79" s="207"/>
      <c r="OG79" s="207"/>
      <c r="OH79" s="207"/>
      <c r="OI79" s="207"/>
      <c r="OJ79" s="207"/>
      <c r="OK79" s="207"/>
      <c r="OL79" s="207"/>
      <c r="OM79" s="207"/>
      <c r="ON79" s="207"/>
      <c r="OO79" s="207"/>
      <c r="OP79" s="207"/>
      <c r="OQ79" s="207"/>
      <c r="OR79" s="207"/>
      <c r="OS79" s="207"/>
      <c r="OT79" s="207"/>
      <c r="OU79" s="207"/>
      <c r="OV79" s="207"/>
      <c r="OW79" s="207"/>
      <c r="OX79" s="207"/>
      <c r="OY79" s="207"/>
      <c r="OZ79" s="207"/>
      <c r="PA79" s="207"/>
      <c r="PB79" s="207"/>
      <c r="PC79" s="207"/>
      <c r="PD79" s="207"/>
      <c r="PE79" s="207"/>
      <c r="PF79" s="207"/>
      <c r="PG79" s="207"/>
      <c r="PH79" s="207"/>
      <c r="PI79" s="207"/>
      <c r="PJ79" s="207"/>
      <c r="PK79" s="207"/>
      <c r="PL79" s="207"/>
      <c r="PM79" s="207"/>
      <c r="PN79" s="207"/>
      <c r="PO79" s="207"/>
      <c r="PQ79" s="201"/>
      <c r="PR79" s="201"/>
      <c r="PS79" s="201"/>
      <c r="PT79" s="201"/>
      <c r="PU79" s="201"/>
      <c r="PV79" s="201"/>
      <c r="PW79" s="201"/>
      <c r="PX79" s="201"/>
      <c r="PY79" s="201"/>
      <c r="PZ79" s="201"/>
      <c r="QA79" s="201"/>
      <c r="QB79" s="201"/>
      <c r="QC79" s="201"/>
      <c r="QD79" s="201"/>
      <c r="QE79" s="201"/>
      <c r="QF79" s="201"/>
      <c r="QG79" s="201"/>
      <c r="QH79" s="201"/>
      <c r="QI79" s="201"/>
      <c r="QJ79" s="201"/>
      <c r="QK79" s="201"/>
      <c r="QL79" s="201"/>
      <c r="QM79" s="201"/>
      <c r="QN79" s="201"/>
      <c r="QO79" s="201"/>
      <c r="QP79" s="201"/>
      <c r="QQ79" s="201"/>
      <c r="QR79" s="201"/>
      <c r="QS79" s="201"/>
      <c r="QT79" s="201"/>
      <c r="QU79" s="201"/>
      <c r="QV79" s="201"/>
      <c r="QW79" s="201"/>
      <c r="QX79" s="201"/>
      <c r="QY79" s="201"/>
      <c r="QZ79" s="201"/>
      <c r="RA79" s="201"/>
      <c r="RB79" s="201"/>
      <c r="RC79" s="201"/>
      <c r="RD79" s="201"/>
      <c r="RE79" s="201"/>
      <c r="RF79" s="201"/>
      <c r="RG79" s="201"/>
      <c r="RH79" s="201"/>
      <c r="RI79" s="201"/>
      <c r="RJ79" s="201"/>
      <c r="RK79" s="201"/>
      <c r="RL79" s="201"/>
      <c r="RM79" s="201"/>
      <c r="RN79" s="201"/>
      <c r="RO79" s="201"/>
      <c r="RP79" s="201"/>
      <c r="RQ79" s="201"/>
      <c r="RR79" s="201"/>
      <c r="RS79" s="201"/>
      <c r="RT79" s="201"/>
      <c r="RU79" s="201"/>
      <c r="RV79" s="201"/>
      <c r="RW79" s="201"/>
      <c r="RX79" s="201"/>
      <c r="RY79" s="201"/>
      <c r="RZ79" s="201"/>
      <c r="SA79" s="201"/>
      <c r="SB79" s="201"/>
      <c r="SC79" s="201"/>
      <c r="SD79" s="201"/>
      <c r="SE79" s="201"/>
      <c r="SF79" s="201"/>
      <c r="SG79" s="201"/>
      <c r="SH79" s="201"/>
      <c r="SI79" s="201"/>
      <c r="SJ79" s="201"/>
      <c r="SK79" s="201"/>
      <c r="SL79" s="201"/>
      <c r="SM79" s="201"/>
      <c r="SN79" s="201"/>
      <c r="SO79" s="201"/>
      <c r="SP79" s="201"/>
      <c r="SQ79" s="201"/>
      <c r="SR79" s="201"/>
      <c r="SS79" s="201"/>
      <c r="ST79" s="201"/>
      <c r="SU79" s="201"/>
      <c r="SV79" s="201"/>
      <c r="SW79" s="201"/>
      <c r="SX79" s="201"/>
      <c r="SY79" s="201"/>
      <c r="SZ79" s="201"/>
      <c r="TA79" s="201"/>
      <c r="TB79" s="201"/>
      <c r="TC79" s="201"/>
      <c r="TD79" s="201"/>
      <c r="TE79" s="201"/>
      <c r="TF79" s="201"/>
      <c r="TG79" s="201"/>
      <c r="TH79" s="201"/>
      <c r="TI79" s="201"/>
      <c r="TJ79" s="201"/>
      <c r="TK79" s="201"/>
      <c r="TL79" s="201"/>
      <c r="TM79" s="201"/>
      <c r="TN79" s="201"/>
      <c r="TO79" s="201"/>
      <c r="TP79" s="201"/>
      <c r="TQ79" s="201"/>
      <c r="TR79" s="201"/>
      <c r="TS79" s="201"/>
      <c r="TT79" s="201"/>
      <c r="TU79" s="201"/>
      <c r="TV79" s="201"/>
      <c r="TW79" s="201"/>
      <c r="TX79" s="201"/>
      <c r="TY79" s="201"/>
      <c r="TZ79" s="201"/>
      <c r="UA79" s="201"/>
      <c r="UB79" s="201"/>
      <c r="UC79" s="201"/>
      <c r="UD79" s="201"/>
      <c r="UE79" s="201"/>
      <c r="UF79" s="201"/>
      <c r="UG79" s="201"/>
      <c r="UH79" s="201"/>
      <c r="UI79" s="201"/>
      <c r="UJ79" s="201"/>
      <c r="UK79" s="201"/>
      <c r="UL79" s="201"/>
      <c r="UM79" s="201"/>
      <c r="UN79" s="201"/>
      <c r="UO79" s="201"/>
      <c r="UP79" s="201"/>
      <c r="UQ79" s="201"/>
      <c r="UR79" s="201"/>
      <c r="US79" s="201"/>
      <c r="UT79" s="201"/>
      <c r="UU79" s="201"/>
    </row>
    <row r="80" spans="2:567" x14ac:dyDescent="0.25">
      <c r="B80" s="54" t="str">
        <f>+B76</f>
        <v>Senior Loan</v>
      </c>
      <c r="C80" s="18"/>
      <c r="D80" s="18"/>
      <c r="E80" s="18"/>
      <c r="F80" s="61"/>
      <c r="G80" s="98"/>
      <c r="H80" s="81">
        <f>K67</f>
        <v>41476395</v>
      </c>
      <c r="I80" s="81">
        <f>INDEX(FD75:KE75,1,K80)</f>
        <v>41476395.000000291</v>
      </c>
      <c r="J80" s="82">
        <f>MAX(FC102:KE102)</f>
        <v>0</v>
      </c>
      <c r="K80" s="82">
        <f>MIN(Analysis_Period,F76)</f>
        <v>36</v>
      </c>
      <c r="R80" s="90" t="str">
        <f>IF(ROUND(SUM(S80:EU80),0)=ROUND(H80-I80-I80*E67,0),"OK","ERROR")</f>
        <v>OK</v>
      </c>
      <c r="S80" s="93">
        <f t="shared" ref="S80:BB80" si="1045">S67+(S$79=$K80)*(-FC75*(1+$E$67))</f>
        <v>36341093.958333336</v>
      </c>
      <c r="T80" s="92">
        <f t="shared" si="1045"/>
        <v>223273.95833333331</v>
      </c>
      <c r="U80" s="92">
        <f t="shared" si="1045"/>
        <v>223273.95833333331</v>
      </c>
      <c r="V80" s="92">
        <f t="shared" si="1045"/>
        <v>223273.9583333332</v>
      </c>
      <c r="W80" s="92">
        <f t="shared" si="1045"/>
        <v>223273.9583333334</v>
      </c>
      <c r="X80" s="92">
        <f t="shared" si="1045"/>
        <v>223273.9583333332</v>
      </c>
      <c r="Y80" s="92">
        <f t="shared" si="1045"/>
        <v>223273.9583333334</v>
      </c>
      <c r="Z80" s="92">
        <f t="shared" si="1045"/>
        <v>223273.95833333308</v>
      </c>
      <c r="AA80" s="92">
        <f t="shared" si="1045"/>
        <v>223273.9583333334</v>
      </c>
      <c r="AB80" s="92">
        <f t="shared" si="1045"/>
        <v>223273.9583333334</v>
      </c>
      <c r="AC80" s="92">
        <f t="shared" si="1045"/>
        <v>223273.95833333308</v>
      </c>
      <c r="AD80" s="92">
        <f t="shared" si="1045"/>
        <v>223273.9583333334</v>
      </c>
      <c r="AE80" s="92">
        <f t="shared" si="1045"/>
        <v>223273.95833333308</v>
      </c>
      <c r="AF80" s="92">
        <f t="shared" si="1045"/>
        <v>223273.95833333363</v>
      </c>
      <c r="AG80" s="92">
        <f t="shared" si="1045"/>
        <v>223273.95833333308</v>
      </c>
      <c r="AH80" s="92">
        <f t="shared" si="1045"/>
        <v>223273.95833333308</v>
      </c>
      <c r="AI80" s="92">
        <f t="shared" si="1045"/>
        <v>223273.95833333363</v>
      </c>
      <c r="AJ80" s="92">
        <f t="shared" si="1045"/>
        <v>223273.95833333308</v>
      </c>
      <c r="AK80" s="92">
        <f t="shared" si="1045"/>
        <v>223273.95833333308</v>
      </c>
      <c r="AL80" s="92">
        <f t="shared" si="1045"/>
        <v>223273.95833333363</v>
      </c>
      <c r="AM80" s="92">
        <f t="shared" si="1045"/>
        <v>223273.95833333308</v>
      </c>
      <c r="AN80" s="92">
        <f t="shared" si="1045"/>
        <v>223273.95833333308</v>
      </c>
      <c r="AO80" s="92">
        <f t="shared" si="1045"/>
        <v>223273.95833333363</v>
      </c>
      <c r="AP80" s="92">
        <f t="shared" si="1045"/>
        <v>223273.95833333308</v>
      </c>
      <c r="AQ80" s="92">
        <f t="shared" si="1045"/>
        <v>0</v>
      </c>
      <c r="AR80" s="92">
        <f t="shared" si="1045"/>
        <v>0</v>
      </c>
      <c r="AS80" s="92">
        <f t="shared" si="1045"/>
        <v>0</v>
      </c>
      <c r="AT80" s="92">
        <f t="shared" si="1045"/>
        <v>0</v>
      </c>
      <c r="AU80" s="92">
        <f t="shared" si="1045"/>
        <v>0</v>
      </c>
      <c r="AV80" s="92">
        <f t="shared" si="1045"/>
        <v>0</v>
      </c>
      <c r="AW80" s="92">
        <f t="shared" si="1045"/>
        <v>0</v>
      </c>
      <c r="AX80" s="92">
        <f t="shared" si="1045"/>
        <v>0</v>
      </c>
      <c r="AY80" s="92">
        <f t="shared" si="1045"/>
        <v>0</v>
      </c>
      <c r="AZ80" s="92">
        <f t="shared" si="1045"/>
        <v>0</v>
      </c>
      <c r="BA80" s="92">
        <f t="shared" si="1045"/>
        <v>0</v>
      </c>
      <c r="BB80" s="92">
        <f t="shared" si="1045"/>
        <v>0</v>
      </c>
      <c r="BC80" s="92">
        <f>BC67+(BC$79=$K80)*(-GM75*(1+$E$67))</f>
        <v>-41476395.000000291</v>
      </c>
      <c r="BD80" s="92">
        <f t="shared" ref="BD80:DO80" si="1046">BD67+(BD$79=$K80)*(-GN75*(1+$E$67))</f>
        <v>0</v>
      </c>
      <c r="BE80" s="92">
        <f t="shared" si="1046"/>
        <v>0</v>
      </c>
      <c r="BF80" s="92">
        <f t="shared" si="1046"/>
        <v>0</v>
      </c>
      <c r="BG80" s="92">
        <f t="shared" si="1046"/>
        <v>0</v>
      </c>
      <c r="BH80" s="92">
        <f t="shared" si="1046"/>
        <v>0</v>
      </c>
      <c r="BI80" s="92">
        <f t="shared" si="1046"/>
        <v>0</v>
      </c>
      <c r="BJ80" s="92">
        <f t="shared" si="1046"/>
        <v>0</v>
      </c>
      <c r="BK80" s="92">
        <f t="shared" si="1046"/>
        <v>0</v>
      </c>
      <c r="BL80" s="92">
        <f t="shared" si="1046"/>
        <v>0</v>
      </c>
      <c r="BM80" s="92">
        <f t="shared" si="1046"/>
        <v>0</v>
      </c>
      <c r="BN80" s="92">
        <f t="shared" si="1046"/>
        <v>0</v>
      </c>
      <c r="BO80" s="92">
        <f t="shared" si="1046"/>
        <v>0</v>
      </c>
      <c r="BP80" s="92">
        <f t="shared" si="1046"/>
        <v>0</v>
      </c>
      <c r="BQ80" s="92">
        <f t="shared" si="1046"/>
        <v>0</v>
      </c>
      <c r="BR80" s="92">
        <f t="shared" si="1046"/>
        <v>0</v>
      </c>
      <c r="BS80" s="92">
        <f t="shared" si="1046"/>
        <v>0</v>
      </c>
      <c r="BT80" s="92">
        <f t="shared" si="1046"/>
        <v>0</v>
      </c>
      <c r="BU80" s="92">
        <f t="shared" si="1046"/>
        <v>0</v>
      </c>
      <c r="BV80" s="92">
        <f t="shared" si="1046"/>
        <v>0</v>
      </c>
      <c r="BW80" s="92">
        <f t="shared" si="1046"/>
        <v>0</v>
      </c>
      <c r="BX80" s="92">
        <f t="shared" si="1046"/>
        <v>0</v>
      </c>
      <c r="BY80" s="92">
        <f t="shared" si="1046"/>
        <v>0</v>
      </c>
      <c r="BZ80" s="92">
        <f t="shared" si="1046"/>
        <v>0</v>
      </c>
      <c r="CA80" s="92">
        <f t="shared" si="1046"/>
        <v>0</v>
      </c>
      <c r="CB80" s="92">
        <f t="shared" si="1046"/>
        <v>0</v>
      </c>
      <c r="CC80" s="92">
        <f t="shared" si="1046"/>
        <v>0</v>
      </c>
      <c r="CD80" s="92">
        <f t="shared" si="1046"/>
        <v>0</v>
      </c>
      <c r="CE80" s="92">
        <f t="shared" si="1046"/>
        <v>0</v>
      </c>
      <c r="CF80" s="92">
        <f t="shared" si="1046"/>
        <v>0</v>
      </c>
      <c r="CG80" s="92">
        <f t="shared" si="1046"/>
        <v>0</v>
      </c>
      <c r="CH80" s="92">
        <f t="shared" si="1046"/>
        <v>0</v>
      </c>
      <c r="CI80" s="92">
        <f t="shared" si="1046"/>
        <v>0</v>
      </c>
      <c r="CJ80" s="92">
        <f t="shared" si="1046"/>
        <v>0</v>
      </c>
      <c r="CK80" s="92">
        <f t="shared" si="1046"/>
        <v>0</v>
      </c>
      <c r="CL80" s="92">
        <f t="shared" si="1046"/>
        <v>0</v>
      </c>
      <c r="CM80" s="92">
        <f t="shared" si="1046"/>
        <v>0</v>
      </c>
      <c r="CN80" s="92">
        <f t="shared" si="1046"/>
        <v>0</v>
      </c>
      <c r="CO80" s="92">
        <f t="shared" si="1046"/>
        <v>0</v>
      </c>
      <c r="CP80" s="92">
        <f t="shared" si="1046"/>
        <v>0</v>
      </c>
      <c r="CQ80" s="92">
        <f t="shared" si="1046"/>
        <v>0</v>
      </c>
      <c r="CR80" s="92">
        <f t="shared" si="1046"/>
        <v>0</v>
      </c>
      <c r="CS80" s="92">
        <f t="shared" si="1046"/>
        <v>0</v>
      </c>
      <c r="CT80" s="92">
        <f t="shared" si="1046"/>
        <v>0</v>
      </c>
      <c r="CU80" s="92">
        <f t="shared" si="1046"/>
        <v>0</v>
      </c>
      <c r="CV80" s="92">
        <f t="shared" si="1046"/>
        <v>0</v>
      </c>
      <c r="CW80" s="92">
        <f t="shared" si="1046"/>
        <v>0</v>
      </c>
      <c r="CX80" s="92">
        <f t="shared" si="1046"/>
        <v>0</v>
      </c>
      <c r="CY80" s="92">
        <f t="shared" si="1046"/>
        <v>0</v>
      </c>
      <c r="CZ80" s="92">
        <f t="shared" si="1046"/>
        <v>0</v>
      </c>
      <c r="DA80" s="92">
        <f t="shared" si="1046"/>
        <v>0</v>
      </c>
      <c r="DB80" s="92">
        <f t="shared" si="1046"/>
        <v>0</v>
      </c>
      <c r="DC80" s="92">
        <f t="shared" si="1046"/>
        <v>0</v>
      </c>
      <c r="DD80" s="92">
        <f t="shared" si="1046"/>
        <v>0</v>
      </c>
      <c r="DE80" s="92">
        <f t="shared" si="1046"/>
        <v>0</v>
      </c>
      <c r="DF80" s="92">
        <f t="shared" si="1046"/>
        <v>0</v>
      </c>
      <c r="DG80" s="92">
        <f t="shared" si="1046"/>
        <v>0</v>
      </c>
      <c r="DH80" s="92">
        <f t="shared" si="1046"/>
        <v>0</v>
      </c>
      <c r="DI80" s="92">
        <f t="shared" si="1046"/>
        <v>0</v>
      </c>
      <c r="DJ80" s="92">
        <f t="shared" si="1046"/>
        <v>0</v>
      </c>
      <c r="DK80" s="92">
        <f t="shared" si="1046"/>
        <v>0</v>
      </c>
      <c r="DL80" s="92">
        <f t="shared" si="1046"/>
        <v>0</v>
      </c>
      <c r="DM80" s="92">
        <f t="shared" si="1046"/>
        <v>0</v>
      </c>
      <c r="DN80" s="92">
        <f t="shared" si="1046"/>
        <v>0</v>
      </c>
      <c r="DO80" s="92">
        <f t="shared" si="1046"/>
        <v>0</v>
      </c>
      <c r="DP80" s="92">
        <f t="shared" ref="DP80:EU80" si="1047">DP67+(DP$79=$K80)*(-IZ75*(1+$E$67))</f>
        <v>0</v>
      </c>
      <c r="DQ80" s="92">
        <f t="shared" si="1047"/>
        <v>0</v>
      </c>
      <c r="DR80" s="92">
        <f t="shared" si="1047"/>
        <v>0</v>
      </c>
      <c r="DS80" s="92">
        <f t="shared" si="1047"/>
        <v>0</v>
      </c>
      <c r="DT80" s="92">
        <f t="shared" si="1047"/>
        <v>0</v>
      </c>
      <c r="DU80" s="92">
        <f t="shared" si="1047"/>
        <v>0</v>
      </c>
      <c r="DV80" s="92">
        <f t="shared" si="1047"/>
        <v>0</v>
      </c>
      <c r="DW80" s="92">
        <f t="shared" si="1047"/>
        <v>0</v>
      </c>
      <c r="DX80" s="92">
        <f t="shared" si="1047"/>
        <v>0</v>
      </c>
      <c r="DY80" s="92">
        <f t="shared" si="1047"/>
        <v>0</v>
      </c>
      <c r="DZ80" s="92">
        <f t="shared" si="1047"/>
        <v>0</v>
      </c>
      <c r="EA80" s="92">
        <f t="shared" si="1047"/>
        <v>0</v>
      </c>
      <c r="EB80" s="92">
        <f t="shared" si="1047"/>
        <v>0</v>
      </c>
      <c r="EC80" s="92">
        <f t="shared" si="1047"/>
        <v>0</v>
      </c>
      <c r="ED80" s="92">
        <f t="shared" si="1047"/>
        <v>0</v>
      </c>
      <c r="EE80" s="92">
        <f t="shared" si="1047"/>
        <v>0</v>
      </c>
      <c r="EF80" s="92">
        <f t="shared" si="1047"/>
        <v>0</v>
      </c>
      <c r="EG80" s="92">
        <f t="shared" si="1047"/>
        <v>0</v>
      </c>
      <c r="EH80" s="92">
        <f t="shared" si="1047"/>
        <v>0</v>
      </c>
      <c r="EI80" s="92">
        <f t="shared" si="1047"/>
        <v>0</v>
      </c>
      <c r="EJ80" s="92">
        <f t="shared" si="1047"/>
        <v>0</v>
      </c>
      <c r="EK80" s="92">
        <f t="shared" si="1047"/>
        <v>0</v>
      </c>
      <c r="EL80" s="92">
        <f t="shared" si="1047"/>
        <v>0</v>
      </c>
      <c r="EM80" s="92">
        <f t="shared" si="1047"/>
        <v>0</v>
      </c>
      <c r="EN80" s="92">
        <f t="shared" si="1047"/>
        <v>0</v>
      </c>
      <c r="EO80" s="92">
        <f t="shared" si="1047"/>
        <v>0</v>
      </c>
      <c r="EP80" s="92">
        <f t="shared" si="1047"/>
        <v>0</v>
      </c>
      <c r="EQ80" s="92">
        <f t="shared" si="1047"/>
        <v>0</v>
      </c>
      <c r="ER80" s="92">
        <f t="shared" si="1047"/>
        <v>0</v>
      </c>
      <c r="ES80" s="92">
        <f t="shared" si="1047"/>
        <v>0</v>
      </c>
      <c r="ET80" s="92">
        <f t="shared" si="1047"/>
        <v>0</v>
      </c>
      <c r="EU80" s="92">
        <f t="shared" si="1047"/>
        <v>0</v>
      </c>
      <c r="EW80" s="199" t="s">
        <v>97</v>
      </c>
      <c r="FC80" s="199"/>
      <c r="FD80" s="199"/>
      <c r="FE80" s="199"/>
      <c r="FF80" s="199"/>
      <c r="FG80" s="199"/>
      <c r="FH80" s="199"/>
      <c r="FI80" s="199"/>
      <c r="FJ80" s="199"/>
      <c r="FK80" s="199"/>
      <c r="FL80" s="199"/>
      <c r="FM80" s="199"/>
      <c r="FN80" s="199"/>
      <c r="FO80" s="199"/>
      <c r="FP80" s="199"/>
      <c r="FQ80" s="199"/>
      <c r="FR80" s="199"/>
      <c r="FS80" s="199"/>
      <c r="FT80" s="199"/>
      <c r="FU80" s="199"/>
      <c r="FV80" s="199"/>
      <c r="FW80" s="199"/>
      <c r="FX80" s="199"/>
      <c r="FY80" s="199"/>
      <c r="FZ80" s="199"/>
      <c r="GA80" s="199"/>
      <c r="GB80" s="199"/>
      <c r="GC80" s="199"/>
      <c r="GD80" s="199"/>
      <c r="GE80" s="199"/>
      <c r="GF80" s="199"/>
      <c r="GG80" s="199"/>
      <c r="GH80" s="199"/>
      <c r="GI80" s="199"/>
      <c r="GJ80" s="199"/>
      <c r="GK80" s="199"/>
      <c r="GL80" s="199"/>
      <c r="GM80" s="199"/>
      <c r="GN80" s="199"/>
      <c r="GO80" s="199"/>
      <c r="GP80" s="199"/>
      <c r="GQ80" s="199"/>
      <c r="GR80" s="199"/>
      <c r="GS80" s="199"/>
      <c r="GT80" s="199"/>
      <c r="GU80" s="199"/>
      <c r="GV80" s="199"/>
      <c r="GW80" s="199"/>
      <c r="GX80" s="199"/>
      <c r="GY80" s="199"/>
      <c r="GZ80" s="199"/>
      <c r="HA80" s="199"/>
      <c r="HB80" s="199"/>
      <c r="HC80" s="199"/>
      <c r="HD80" s="199"/>
      <c r="HE80" s="199"/>
      <c r="HF80" s="199"/>
      <c r="HG80" s="199"/>
      <c r="HH80" s="199"/>
      <c r="HI80" s="199"/>
      <c r="HJ80" s="199"/>
      <c r="HK80" s="199"/>
      <c r="HL80" s="199"/>
      <c r="HM80" s="199"/>
      <c r="HN80" s="199"/>
      <c r="HO80" s="199"/>
      <c r="HP80" s="199"/>
      <c r="HQ80" s="199"/>
      <c r="HR80" s="199"/>
      <c r="HS80" s="199"/>
      <c r="HT80" s="199"/>
      <c r="HU80" s="199"/>
      <c r="HV80" s="199"/>
      <c r="HW80" s="199"/>
      <c r="HX80" s="199"/>
      <c r="HY80" s="199"/>
      <c r="HZ80" s="199"/>
      <c r="IA80" s="199"/>
      <c r="IB80" s="199"/>
      <c r="IC80" s="199"/>
      <c r="ID80" s="199"/>
      <c r="IE80" s="199"/>
      <c r="IF80" s="199"/>
      <c r="IG80" s="199"/>
      <c r="IH80" s="199"/>
      <c r="II80" s="199"/>
      <c r="IJ80" s="199"/>
      <c r="IK80" s="199"/>
      <c r="IL80" s="199"/>
      <c r="IM80" s="199"/>
      <c r="IN80" s="199"/>
      <c r="IO80" s="199"/>
      <c r="IP80" s="199"/>
      <c r="IQ80" s="199"/>
      <c r="IR80" s="199"/>
      <c r="IS80" s="199"/>
      <c r="IT80" s="199"/>
      <c r="IU80" s="199"/>
      <c r="IV80" s="199"/>
      <c r="IW80" s="199"/>
      <c r="IX80" s="199"/>
      <c r="IY80" s="199"/>
      <c r="IZ80" s="199"/>
      <c r="JA80" s="199"/>
      <c r="JB80" s="199"/>
      <c r="JC80" s="199"/>
      <c r="JD80" s="199"/>
      <c r="JE80" s="199"/>
      <c r="JF80" s="199"/>
      <c r="JG80" s="199"/>
      <c r="JH80" s="199"/>
      <c r="JI80" s="199"/>
      <c r="JJ80" s="199"/>
      <c r="JK80" s="199"/>
      <c r="JL80" s="199"/>
      <c r="JM80" s="199"/>
      <c r="JN80" s="199"/>
      <c r="JO80" s="199"/>
      <c r="JP80" s="199"/>
      <c r="JQ80" s="199"/>
      <c r="JR80" s="199"/>
      <c r="JS80" s="199"/>
      <c r="JT80" s="199"/>
      <c r="JU80" s="199"/>
      <c r="JV80" s="199"/>
      <c r="JW80" s="199"/>
      <c r="JX80" s="199"/>
      <c r="JY80" s="199"/>
      <c r="JZ80" s="199"/>
      <c r="KA80" s="199"/>
      <c r="KB80" s="199"/>
      <c r="KC80" s="199"/>
      <c r="KD80" s="199"/>
      <c r="KE80" s="199"/>
      <c r="KF80" s="205"/>
      <c r="KH80" s="219"/>
      <c r="KI80" s="219"/>
      <c r="KJ80" s="219"/>
      <c r="KK80" s="220"/>
      <c r="KL80" s="220"/>
      <c r="KM80" s="204"/>
      <c r="KN80" s="204"/>
      <c r="KO80" s="204"/>
      <c r="KP80" s="204"/>
      <c r="KQ80" s="204"/>
      <c r="KR80" s="204"/>
      <c r="KS80" s="204"/>
      <c r="KT80" s="204"/>
      <c r="KU80" s="204"/>
      <c r="KV80" s="204"/>
      <c r="KW80" s="204"/>
      <c r="KX80" s="204"/>
      <c r="KY80" s="204"/>
      <c r="KZ80" s="204"/>
      <c r="LA80" s="204"/>
      <c r="LB80" s="204"/>
      <c r="LC80" s="204"/>
      <c r="LD80" s="204"/>
      <c r="LE80" s="204"/>
      <c r="LF80" s="204"/>
      <c r="LG80" s="204"/>
      <c r="LH80" s="204"/>
      <c r="LI80" s="204"/>
      <c r="LJ80" s="204"/>
      <c r="LK80" s="204"/>
      <c r="LL80" s="204"/>
      <c r="LM80" s="204"/>
      <c r="LN80" s="204"/>
      <c r="LO80" s="204"/>
      <c r="LP80" s="204"/>
      <c r="LQ80" s="204"/>
      <c r="LR80" s="204"/>
      <c r="LS80" s="204"/>
      <c r="LT80" s="204"/>
      <c r="LU80" s="204"/>
      <c r="LV80" s="204"/>
      <c r="LW80" s="204"/>
      <c r="LX80" s="204"/>
      <c r="LY80" s="204"/>
      <c r="LZ80" s="204"/>
      <c r="MA80" s="204"/>
      <c r="MB80" s="204"/>
      <c r="MC80" s="204"/>
      <c r="MD80" s="204"/>
      <c r="ME80" s="204"/>
      <c r="MF80" s="204"/>
      <c r="MG80" s="204"/>
      <c r="MH80" s="204"/>
      <c r="MI80" s="204"/>
      <c r="MJ80" s="204"/>
      <c r="MK80" s="204"/>
      <c r="ML80" s="204"/>
      <c r="MM80" s="204"/>
      <c r="MN80" s="204"/>
      <c r="MO80" s="204"/>
      <c r="MP80" s="204"/>
      <c r="MQ80" s="204"/>
      <c r="MR80" s="204"/>
      <c r="MS80" s="204"/>
      <c r="MT80" s="204"/>
      <c r="MU80" s="204"/>
      <c r="MV80" s="204"/>
      <c r="MW80" s="204"/>
      <c r="MX80" s="204"/>
      <c r="MY80" s="204"/>
      <c r="MZ80" s="204"/>
      <c r="NA80" s="204"/>
      <c r="NB80" s="204"/>
      <c r="NC80" s="204"/>
      <c r="ND80" s="204"/>
      <c r="NE80" s="204"/>
      <c r="NF80" s="204"/>
      <c r="NG80" s="204"/>
      <c r="NH80" s="204"/>
      <c r="NI80" s="204"/>
      <c r="NJ80" s="204"/>
      <c r="NK80" s="204"/>
      <c r="NL80" s="204"/>
      <c r="NM80" s="204"/>
      <c r="NN80" s="204"/>
      <c r="NO80" s="204"/>
      <c r="NP80" s="204"/>
      <c r="NQ80" s="204"/>
      <c r="NR80" s="204"/>
      <c r="NS80" s="204"/>
      <c r="NT80" s="204"/>
      <c r="NU80" s="204"/>
      <c r="NV80" s="204"/>
      <c r="NW80" s="204"/>
      <c r="NX80" s="204"/>
      <c r="NY80" s="204"/>
      <c r="NZ80" s="204"/>
      <c r="OA80" s="204"/>
      <c r="OB80" s="204"/>
      <c r="OC80" s="204"/>
      <c r="OD80" s="204"/>
      <c r="OE80" s="204"/>
      <c r="OF80" s="204"/>
      <c r="OG80" s="204"/>
      <c r="OH80" s="204"/>
      <c r="OI80" s="204"/>
      <c r="OJ80" s="204"/>
      <c r="OK80" s="204"/>
      <c r="OL80" s="204"/>
      <c r="OM80" s="204"/>
      <c r="ON80" s="204"/>
      <c r="OO80" s="204"/>
      <c r="OP80" s="204"/>
      <c r="OQ80" s="204"/>
      <c r="OR80" s="204"/>
      <c r="OS80" s="204"/>
      <c r="OT80" s="204"/>
      <c r="OU80" s="204"/>
      <c r="OV80" s="204"/>
      <c r="OW80" s="204"/>
      <c r="OX80" s="204"/>
      <c r="OY80" s="204"/>
      <c r="OZ80" s="204"/>
      <c r="PA80" s="204"/>
      <c r="PB80" s="204"/>
      <c r="PC80" s="204"/>
      <c r="PD80" s="204"/>
      <c r="PE80" s="204"/>
      <c r="PF80" s="204"/>
      <c r="PG80" s="204"/>
      <c r="PH80" s="204"/>
      <c r="PI80" s="204"/>
      <c r="PJ80" s="204"/>
      <c r="PK80" s="204"/>
      <c r="PL80" s="204"/>
      <c r="PM80" s="204"/>
      <c r="PN80" s="204"/>
      <c r="PO80" s="204"/>
      <c r="PQ80" s="201"/>
      <c r="PR80" s="201"/>
      <c r="PS80" s="201"/>
      <c r="PT80" s="201"/>
      <c r="PU80" s="201"/>
      <c r="PV80" s="201"/>
      <c r="PW80" s="201"/>
      <c r="PX80" s="201"/>
      <c r="PY80" s="201"/>
      <c r="PZ80" s="201"/>
      <c r="QA80" s="201"/>
      <c r="QB80" s="201"/>
      <c r="QC80" s="201"/>
      <c r="QD80" s="201"/>
      <c r="QE80" s="201"/>
      <c r="QF80" s="201"/>
      <c r="QG80" s="201"/>
      <c r="QH80" s="201"/>
      <c r="QI80" s="201"/>
      <c r="QJ80" s="201"/>
      <c r="QK80" s="201"/>
      <c r="QL80" s="201"/>
      <c r="QM80" s="201"/>
      <c r="QN80" s="201"/>
      <c r="QO80" s="201"/>
      <c r="QP80" s="201"/>
      <c r="QQ80" s="201"/>
      <c r="QR80" s="201"/>
      <c r="QS80" s="201"/>
      <c r="QT80" s="201"/>
      <c r="QU80" s="201"/>
      <c r="QV80" s="201"/>
      <c r="QW80" s="201"/>
      <c r="QX80" s="201"/>
      <c r="QY80" s="201"/>
      <c r="QZ80" s="201"/>
      <c r="RA80" s="201"/>
      <c r="RB80" s="201"/>
      <c r="RC80" s="201"/>
      <c r="RD80" s="201"/>
      <c r="RE80" s="201"/>
      <c r="RF80" s="201"/>
      <c r="RG80" s="201"/>
      <c r="RH80" s="201"/>
      <c r="RI80" s="201"/>
      <c r="RJ80" s="201"/>
      <c r="RK80" s="201"/>
      <c r="RL80" s="201"/>
      <c r="RM80" s="201"/>
      <c r="RN80" s="201"/>
      <c r="RO80" s="201"/>
      <c r="RP80" s="201"/>
      <c r="RQ80" s="201"/>
      <c r="RR80" s="201"/>
      <c r="RS80" s="201"/>
      <c r="RT80" s="201"/>
      <c r="RU80" s="201"/>
      <c r="RV80" s="201"/>
      <c r="RW80" s="201"/>
      <c r="RX80" s="201"/>
      <c r="RY80" s="201"/>
      <c r="RZ80" s="201"/>
      <c r="SA80" s="201"/>
      <c r="SB80" s="201"/>
      <c r="SC80" s="201"/>
      <c r="SD80" s="201"/>
      <c r="SE80" s="201"/>
      <c r="SF80" s="201"/>
      <c r="SG80" s="201"/>
      <c r="SH80" s="201"/>
      <c r="SI80" s="201"/>
      <c r="SJ80" s="201"/>
      <c r="SK80" s="201"/>
      <c r="SL80" s="201"/>
      <c r="SM80" s="201"/>
      <c r="SN80" s="201"/>
      <c r="SO80" s="201"/>
      <c r="SP80" s="201"/>
      <c r="SQ80" s="201"/>
      <c r="SR80" s="201"/>
      <c r="SS80" s="201"/>
      <c r="ST80" s="201"/>
      <c r="SU80" s="201"/>
      <c r="SV80" s="201"/>
      <c r="SW80" s="201"/>
      <c r="SX80" s="201"/>
      <c r="SY80" s="201"/>
      <c r="SZ80" s="201"/>
      <c r="TA80" s="201"/>
      <c r="TB80" s="201"/>
      <c r="TC80" s="201"/>
      <c r="TD80" s="201"/>
      <c r="TE80" s="201"/>
      <c r="TF80" s="201"/>
      <c r="TG80" s="201"/>
      <c r="TH80" s="201"/>
      <c r="TI80" s="201"/>
      <c r="TJ80" s="201"/>
      <c r="TK80" s="201"/>
      <c r="TL80" s="201"/>
      <c r="TM80" s="201"/>
      <c r="TN80" s="201"/>
      <c r="TO80" s="201"/>
      <c r="TP80" s="201"/>
      <c r="TQ80" s="201"/>
      <c r="TR80" s="201"/>
      <c r="TS80" s="201"/>
      <c r="TT80" s="201"/>
      <c r="TU80" s="201"/>
      <c r="TV80" s="201"/>
      <c r="TW80" s="201"/>
      <c r="TX80" s="201"/>
      <c r="TY80" s="201"/>
      <c r="TZ80" s="201"/>
      <c r="UA80" s="201"/>
      <c r="UB80" s="201"/>
      <c r="UC80" s="201"/>
      <c r="UD80" s="201"/>
      <c r="UE80" s="201"/>
      <c r="UF80" s="201"/>
      <c r="UG80" s="201"/>
      <c r="UH80" s="201"/>
      <c r="UI80" s="201"/>
      <c r="UJ80" s="201"/>
      <c r="UK80" s="201"/>
      <c r="UL80" s="201"/>
      <c r="UM80" s="201"/>
      <c r="UN80" s="201"/>
      <c r="UO80" s="201"/>
      <c r="UP80" s="201"/>
      <c r="UQ80" s="201"/>
      <c r="UR80" s="201"/>
      <c r="US80" s="201"/>
      <c r="UT80" s="201"/>
      <c r="UU80" s="201"/>
    </row>
    <row r="81" spans="1:567" ht="15.6" x14ac:dyDescent="0.4">
      <c r="B81" s="54" t="str">
        <f>+B77</f>
        <v>Junior Loan</v>
      </c>
      <c r="C81" s="18"/>
      <c r="D81" s="18"/>
      <c r="E81" s="18"/>
      <c r="F81" s="61"/>
      <c r="G81" s="99"/>
      <c r="H81" s="84">
        <f>K68</f>
        <v>0</v>
      </c>
      <c r="I81" s="84">
        <f>INDEX(FD76:KE76,1,K81)</f>
        <v>0</v>
      </c>
      <c r="J81" s="82">
        <f>MAX(FC103:KE103)</f>
        <v>0</v>
      </c>
      <c r="K81" s="82">
        <f>MIN(Analysis_Period,F77)</f>
        <v>36</v>
      </c>
      <c r="R81" s="90" t="str">
        <f>IF(ROUND(SUM(S81:EU81),0)=ROUND(H81-I81-I81*E68,0),"OK","ERROR")</f>
        <v>OK</v>
      </c>
      <c r="S81" s="96">
        <f t="shared" ref="S81:BB81" si="1048">S68+(S$79=$K81)*(-FC76*(1+$E$68))</f>
        <v>0</v>
      </c>
      <c r="T81" s="96">
        <f t="shared" si="1048"/>
        <v>0</v>
      </c>
      <c r="U81" s="96">
        <f t="shared" si="1048"/>
        <v>0</v>
      </c>
      <c r="V81" s="96">
        <f t="shared" si="1048"/>
        <v>0</v>
      </c>
      <c r="W81" s="96">
        <f t="shared" si="1048"/>
        <v>0</v>
      </c>
      <c r="X81" s="96">
        <f t="shared" si="1048"/>
        <v>0</v>
      </c>
      <c r="Y81" s="96">
        <f t="shared" si="1048"/>
        <v>0</v>
      </c>
      <c r="Z81" s="96">
        <f t="shared" si="1048"/>
        <v>0</v>
      </c>
      <c r="AA81" s="96">
        <f t="shared" si="1048"/>
        <v>0</v>
      </c>
      <c r="AB81" s="96">
        <f t="shared" si="1048"/>
        <v>0</v>
      </c>
      <c r="AC81" s="96">
        <f t="shared" si="1048"/>
        <v>0</v>
      </c>
      <c r="AD81" s="96">
        <f t="shared" si="1048"/>
        <v>0</v>
      </c>
      <c r="AE81" s="96">
        <f t="shared" si="1048"/>
        <v>0</v>
      </c>
      <c r="AF81" s="96">
        <f t="shared" si="1048"/>
        <v>0</v>
      </c>
      <c r="AG81" s="96">
        <f t="shared" si="1048"/>
        <v>0</v>
      </c>
      <c r="AH81" s="96">
        <f t="shared" si="1048"/>
        <v>0</v>
      </c>
      <c r="AI81" s="96">
        <f t="shared" si="1048"/>
        <v>0</v>
      </c>
      <c r="AJ81" s="96">
        <f t="shared" si="1048"/>
        <v>0</v>
      </c>
      <c r="AK81" s="96">
        <f t="shared" si="1048"/>
        <v>0</v>
      </c>
      <c r="AL81" s="96">
        <f t="shared" si="1048"/>
        <v>0</v>
      </c>
      <c r="AM81" s="96">
        <f t="shared" si="1048"/>
        <v>0</v>
      </c>
      <c r="AN81" s="96">
        <f t="shared" si="1048"/>
        <v>0</v>
      </c>
      <c r="AO81" s="96">
        <f t="shared" si="1048"/>
        <v>0</v>
      </c>
      <c r="AP81" s="96">
        <f t="shared" si="1048"/>
        <v>0</v>
      </c>
      <c r="AQ81" s="96">
        <f t="shared" si="1048"/>
        <v>0</v>
      </c>
      <c r="AR81" s="96">
        <f t="shared" si="1048"/>
        <v>0</v>
      </c>
      <c r="AS81" s="96">
        <f t="shared" si="1048"/>
        <v>0</v>
      </c>
      <c r="AT81" s="96">
        <f t="shared" si="1048"/>
        <v>0</v>
      </c>
      <c r="AU81" s="96">
        <f t="shared" si="1048"/>
        <v>0</v>
      </c>
      <c r="AV81" s="96">
        <f t="shared" si="1048"/>
        <v>0</v>
      </c>
      <c r="AW81" s="96">
        <f t="shared" si="1048"/>
        <v>0</v>
      </c>
      <c r="AX81" s="96">
        <f t="shared" si="1048"/>
        <v>0</v>
      </c>
      <c r="AY81" s="96">
        <f t="shared" si="1048"/>
        <v>0</v>
      </c>
      <c r="AZ81" s="96">
        <f t="shared" si="1048"/>
        <v>0</v>
      </c>
      <c r="BA81" s="96">
        <f t="shared" si="1048"/>
        <v>0</v>
      </c>
      <c r="BB81" s="96">
        <f t="shared" si="1048"/>
        <v>0</v>
      </c>
      <c r="BC81" s="96">
        <f>BC68+(BC$79=$K81)*(-GM76*(1+$E$68))</f>
        <v>0</v>
      </c>
      <c r="BD81" s="96">
        <f t="shared" ref="BD81:DO81" si="1049">BD68+(BD$79=$K81)*(-GN76*(1+$E$68))</f>
        <v>0</v>
      </c>
      <c r="BE81" s="96">
        <f t="shared" si="1049"/>
        <v>0</v>
      </c>
      <c r="BF81" s="96">
        <f t="shared" si="1049"/>
        <v>0</v>
      </c>
      <c r="BG81" s="96">
        <f t="shared" si="1049"/>
        <v>0</v>
      </c>
      <c r="BH81" s="96">
        <f t="shared" si="1049"/>
        <v>0</v>
      </c>
      <c r="BI81" s="96">
        <f t="shared" si="1049"/>
        <v>0</v>
      </c>
      <c r="BJ81" s="96">
        <f t="shared" si="1049"/>
        <v>0</v>
      </c>
      <c r="BK81" s="96">
        <f t="shared" si="1049"/>
        <v>0</v>
      </c>
      <c r="BL81" s="96">
        <f t="shared" si="1049"/>
        <v>0</v>
      </c>
      <c r="BM81" s="96">
        <f t="shared" si="1049"/>
        <v>0</v>
      </c>
      <c r="BN81" s="96">
        <f t="shared" si="1049"/>
        <v>0</v>
      </c>
      <c r="BO81" s="96">
        <f t="shared" si="1049"/>
        <v>0</v>
      </c>
      <c r="BP81" s="96">
        <f t="shared" si="1049"/>
        <v>0</v>
      </c>
      <c r="BQ81" s="96">
        <f t="shared" si="1049"/>
        <v>0</v>
      </c>
      <c r="BR81" s="96">
        <f t="shared" si="1049"/>
        <v>0</v>
      </c>
      <c r="BS81" s="96">
        <f t="shared" si="1049"/>
        <v>0</v>
      </c>
      <c r="BT81" s="96">
        <f t="shared" si="1049"/>
        <v>0</v>
      </c>
      <c r="BU81" s="96">
        <f t="shared" si="1049"/>
        <v>0</v>
      </c>
      <c r="BV81" s="96">
        <f t="shared" si="1049"/>
        <v>0</v>
      </c>
      <c r="BW81" s="96">
        <f t="shared" si="1049"/>
        <v>0</v>
      </c>
      <c r="BX81" s="96">
        <f t="shared" si="1049"/>
        <v>0</v>
      </c>
      <c r="BY81" s="96">
        <f t="shared" si="1049"/>
        <v>0</v>
      </c>
      <c r="BZ81" s="96">
        <f t="shared" si="1049"/>
        <v>0</v>
      </c>
      <c r="CA81" s="96">
        <f t="shared" si="1049"/>
        <v>0</v>
      </c>
      <c r="CB81" s="96">
        <f t="shared" si="1049"/>
        <v>0</v>
      </c>
      <c r="CC81" s="96">
        <f t="shared" si="1049"/>
        <v>0</v>
      </c>
      <c r="CD81" s="96">
        <f t="shared" si="1049"/>
        <v>0</v>
      </c>
      <c r="CE81" s="96">
        <f t="shared" si="1049"/>
        <v>0</v>
      </c>
      <c r="CF81" s="96">
        <f t="shared" si="1049"/>
        <v>0</v>
      </c>
      <c r="CG81" s="96">
        <f t="shared" si="1049"/>
        <v>0</v>
      </c>
      <c r="CH81" s="96">
        <f t="shared" si="1049"/>
        <v>0</v>
      </c>
      <c r="CI81" s="96">
        <f t="shared" si="1049"/>
        <v>0</v>
      </c>
      <c r="CJ81" s="96">
        <f t="shared" si="1049"/>
        <v>0</v>
      </c>
      <c r="CK81" s="96">
        <f t="shared" si="1049"/>
        <v>0</v>
      </c>
      <c r="CL81" s="96">
        <f t="shared" si="1049"/>
        <v>0</v>
      </c>
      <c r="CM81" s="96">
        <f t="shared" si="1049"/>
        <v>0</v>
      </c>
      <c r="CN81" s="96">
        <f t="shared" si="1049"/>
        <v>0</v>
      </c>
      <c r="CO81" s="96">
        <f t="shared" si="1049"/>
        <v>0</v>
      </c>
      <c r="CP81" s="96">
        <f t="shared" si="1049"/>
        <v>0</v>
      </c>
      <c r="CQ81" s="96">
        <f t="shared" si="1049"/>
        <v>0</v>
      </c>
      <c r="CR81" s="96">
        <f t="shared" si="1049"/>
        <v>0</v>
      </c>
      <c r="CS81" s="96">
        <f t="shared" si="1049"/>
        <v>0</v>
      </c>
      <c r="CT81" s="96">
        <f t="shared" si="1049"/>
        <v>0</v>
      </c>
      <c r="CU81" s="96">
        <f t="shared" si="1049"/>
        <v>0</v>
      </c>
      <c r="CV81" s="96">
        <f t="shared" si="1049"/>
        <v>0</v>
      </c>
      <c r="CW81" s="96">
        <f t="shared" si="1049"/>
        <v>0</v>
      </c>
      <c r="CX81" s="96">
        <f t="shared" si="1049"/>
        <v>0</v>
      </c>
      <c r="CY81" s="96">
        <f t="shared" si="1049"/>
        <v>0</v>
      </c>
      <c r="CZ81" s="96">
        <f t="shared" si="1049"/>
        <v>0</v>
      </c>
      <c r="DA81" s="96">
        <f t="shared" si="1049"/>
        <v>0</v>
      </c>
      <c r="DB81" s="96">
        <f t="shared" si="1049"/>
        <v>0</v>
      </c>
      <c r="DC81" s="96">
        <f t="shared" si="1049"/>
        <v>0</v>
      </c>
      <c r="DD81" s="96">
        <f t="shared" si="1049"/>
        <v>0</v>
      </c>
      <c r="DE81" s="96">
        <f t="shared" si="1049"/>
        <v>0</v>
      </c>
      <c r="DF81" s="96">
        <f t="shared" si="1049"/>
        <v>0</v>
      </c>
      <c r="DG81" s="96">
        <f t="shared" si="1049"/>
        <v>0</v>
      </c>
      <c r="DH81" s="96">
        <f t="shared" si="1049"/>
        <v>0</v>
      </c>
      <c r="DI81" s="96">
        <f t="shared" si="1049"/>
        <v>0</v>
      </c>
      <c r="DJ81" s="96">
        <f t="shared" si="1049"/>
        <v>0</v>
      </c>
      <c r="DK81" s="96">
        <f t="shared" si="1049"/>
        <v>0</v>
      </c>
      <c r="DL81" s="96">
        <f t="shared" si="1049"/>
        <v>0</v>
      </c>
      <c r="DM81" s="96">
        <f t="shared" si="1049"/>
        <v>0</v>
      </c>
      <c r="DN81" s="96">
        <f t="shared" si="1049"/>
        <v>0</v>
      </c>
      <c r="DO81" s="96">
        <f t="shared" si="1049"/>
        <v>0</v>
      </c>
      <c r="DP81" s="96">
        <f t="shared" ref="DP81:EU81" si="1050">DP68+(DP$79=$K81)*(-IZ76*(1+$E$68))</f>
        <v>0</v>
      </c>
      <c r="DQ81" s="96">
        <f t="shared" si="1050"/>
        <v>0</v>
      </c>
      <c r="DR81" s="96">
        <f t="shared" si="1050"/>
        <v>0</v>
      </c>
      <c r="DS81" s="96">
        <f t="shared" si="1050"/>
        <v>0</v>
      </c>
      <c r="DT81" s="96">
        <f t="shared" si="1050"/>
        <v>0</v>
      </c>
      <c r="DU81" s="96">
        <f t="shared" si="1050"/>
        <v>0</v>
      </c>
      <c r="DV81" s="96">
        <f t="shared" si="1050"/>
        <v>0</v>
      </c>
      <c r="DW81" s="96">
        <f t="shared" si="1050"/>
        <v>0</v>
      </c>
      <c r="DX81" s="96">
        <f t="shared" si="1050"/>
        <v>0</v>
      </c>
      <c r="DY81" s="96">
        <f t="shared" si="1050"/>
        <v>0</v>
      </c>
      <c r="DZ81" s="96">
        <f t="shared" si="1050"/>
        <v>0</v>
      </c>
      <c r="EA81" s="96">
        <f t="shared" si="1050"/>
        <v>0</v>
      </c>
      <c r="EB81" s="96">
        <f t="shared" si="1050"/>
        <v>0</v>
      </c>
      <c r="EC81" s="96">
        <f t="shared" si="1050"/>
        <v>0</v>
      </c>
      <c r="ED81" s="96">
        <f t="shared" si="1050"/>
        <v>0</v>
      </c>
      <c r="EE81" s="96">
        <f t="shared" si="1050"/>
        <v>0</v>
      </c>
      <c r="EF81" s="96">
        <f t="shared" si="1050"/>
        <v>0</v>
      </c>
      <c r="EG81" s="96">
        <f t="shared" si="1050"/>
        <v>0</v>
      </c>
      <c r="EH81" s="96">
        <f t="shared" si="1050"/>
        <v>0</v>
      </c>
      <c r="EI81" s="96">
        <f t="shared" si="1050"/>
        <v>0</v>
      </c>
      <c r="EJ81" s="96">
        <f t="shared" si="1050"/>
        <v>0</v>
      </c>
      <c r="EK81" s="96">
        <f t="shared" si="1050"/>
        <v>0</v>
      </c>
      <c r="EL81" s="96">
        <f t="shared" si="1050"/>
        <v>0</v>
      </c>
      <c r="EM81" s="96">
        <f t="shared" si="1050"/>
        <v>0</v>
      </c>
      <c r="EN81" s="96">
        <f t="shared" si="1050"/>
        <v>0</v>
      </c>
      <c r="EO81" s="96">
        <f t="shared" si="1050"/>
        <v>0</v>
      </c>
      <c r="EP81" s="96">
        <f t="shared" si="1050"/>
        <v>0</v>
      </c>
      <c r="EQ81" s="96">
        <f t="shared" si="1050"/>
        <v>0</v>
      </c>
      <c r="ER81" s="96">
        <f t="shared" si="1050"/>
        <v>0</v>
      </c>
      <c r="ES81" s="96">
        <f t="shared" si="1050"/>
        <v>0</v>
      </c>
      <c r="ET81" s="96">
        <f t="shared" si="1050"/>
        <v>0</v>
      </c>
      <c r="EU81" s="96">
        <f t="shared" si="1050"/>
        <v>0</v>
      </c>
      <c r="EW81" s="199" t="str">
        <f>B79</f>
        <v>Loan Cash Flows</v>
      </c>
      <c r="EX81" s="203" t="s">
        <v>91</v>
      </c>
      <c r="EY81" s="203" t="s">
        <v>92</v>
      </c>
      <c r="EZ81" s="203" t="s">
        <v>90</v>
      </c>
      <c r="FA81" s="203" t="s">
        <v>98</v>
      </c>
      <c r="FB81" s="203" t="s">
        <v>99</v>
      </c>
      <c r="FC81" s="204">
        <v>0</v>
      </c>
      <c r="FD81" s="204">
        <f>+FC81+1</f>
        <v>1</v>
      </c>
      <c r="FE81" s="204">
        <f t="shared" ref="FE81" si="1051">+FD81+1</f>
        <v>2</v>
      </c>
      <c r="FF81" s="204">
        <f t="shared" ref="FF81" si="1052">+FE81+1</f>
        <v>3</v>
      </c>
      <c r="FG81" s="204">
        <f t="shared" ref="FG81" si="1053">+FF81+1</f>
        <v>4</v>
      </c>
      <c r="FH81" s="204">
        <f t="shared" ref="FH81" si="1054">+FG81+1</f>
        <v>5</v>
      </c>
      <c r="FI81" s="204">
        <f t="shared" ref="FI81" si="1055">+FH81+1</f>
        <v>6</v>
      </c>
      <c r="FJ81" s="204">
        <f t="shared" ref="FJ81" si="1056">+FI81+1</f>
        <v>7</v>
      </c>
      <c r="FK81" s="204">
        <f t="shared" ref="FK81" si="1057">+FJ81+1</f>
        <v>8</v>
      </c>
      <c r="FL81" s="204">
        <f t="shared" ref="FL81" si="1058">+FK81+1</f>
        <v>9</v>
      </c>
      <c r="FM81" s="204">
        <f t="shared" ref="FM81" si="1059">+FL81+1</f>
        <v>10</v>
      </c>
      <c r="FN81" s="204">
        <f t="shared" ref="FN81" si="1060">+FM81+1</f>
        <v>11</v>
      </c>
      <c r="FO81" s="204">
        <f t="shared" ref="FO81" si="1061">+FN81+1</f>
        <v>12</v>
      </c>
      <c r="FP81" s="204">
        <f t="shared" ref="FP81" si="1062">+FO81+1</f>
        <v>13</v>
      </c>
      <c r="FQ81" s="204">
        <f t="shared" ref="FQ81" si="1063">+FP81+1</f>
        <v>14</v>
      </c>
      <c r="FR81" s="204">
        <f t="shared" ref="FR81" si="1064">+FQ81+1</f>
        <v>15</v>
      </c>
      <c r="FS81" s="204">
        <f t="shared" ref="FS81" si="1065">+FR81+1</f>
        <v>16</v>
      </c>
      <c r="FT81" s="204">
        <f t="shared" ref="FT81" si="1066">+FS81+1</f>
        <v>17</v>
      </c>
      <c r="FU81" s="204">
        <f t="shared" ref="FU81" si="1067">+FT81+1</f>
        <v>18</v>
      </c>
      <c r="FV81" s="204">
        <f t="shared" ref="FV81" si="1068">+FU81+1</f>
        <v>19</v>
      </c>
      <c r="FW81" s="204">
        <f t="shared" ref="FW81" si="1069">+FV81+1</f>
        <v>20</v>
      </c>
      <c r="FX81" s="204">
        <f t="shared" ref="FX81" si="1070">+FW81+1</f>
        <v>21</v>
      </c>
      <c r="FY81" s="204">
        <f t="shared" ref="FY81" si="1071">+FX81+1</f>
        <v>22</v>
      </c>
      <c r="FZ81" s="204">
        <f t="shared" ref="FZ81" si="1072">+FY81+1</f>
        <v>23</v>
      </c>
      <c r="GA81" s="204">
        <f t="shared" ref="GA81" si="1073">+FZ81+1</f>
        <v>24</v>
      </c>
      <c r="GB81" s="204">
        <f t="shared" ref="GB81" si="1074">+GA81+1</f>
        <v>25</v>
      </c>
      <c r="GC81" s="204">
        <f t="shared" ref="GC81" si="1075">+GB81+1</f>
        <v>26</v>
      </c>
      <c r="GD81" s="204">
        <f t="shared" ref="GD81" si="1076">+GC81+1</f>
        <v>27</v>
      </c>
      <c r="GE81" s="204">
        <f t="shared" ref="GE81" si="1077">+GD81+1</f>
        <v>28</v>
      </c>
      <c r="GF81" s="204">
        <f t="shared" ref="GF81" si="1078">+GE81+1</f>
        <v>29</v>
      </c>
      <c r="GG81" s="204">
        <f t="shared" ref="GG81" si="1079">+GF81+1</f>
        <v>30</v>
      </c>
      <c r="GH81" s="204">
        <f t="shared" ref="GH81" si="1080">+GG81+1</f>
        <v>31</v>
      </c>
      <c r="GI81" s="204">
        <f t="shared" ref="GI81" si="1081">+GH81+1</f>
        <v>32</v>
      </c>
      <c r="GJ81" s="204">
        <f t="shared" ref="GJ81" si="1082">+GI81+1</f>
        <v>33</v>
      </c>
      <c r="GK81" s="204">
        <f t="shared" ref="GK81" si="1083">+GJ81+1</f>
        <v>34</v>
      </c>
      <c r="GL81" s="204">
        <f t="shared" ref="GL81" si="1084">+GK81+1</f>
        <v>35</v>
      </c>
      <c r="GM81" s="204">
        <f t="shared" ref="GM81" si="1085">+GL81+1</f>
        <v>36</v>
      </c>
      <c r="GN81" s="204">
        <f t="shared" ref="GN81" si="1086">+GM81+1</f>
        <v>37</v>
      </c>
      <c r="GO81" s="204">
        <f t="shared" ref="GO81" si="1087">+GN81+1</f>
        <v>38</v>
      </c>
      <c r="GP81" s="204">
        <f t="shared" ref="GP81" si="1088">+GO81+1</f>
        <v>39</v>
      </c>
      <c r="GQ81" s="204">
        <f t="shared" ref="GQ81" si="1089">+GP81+1</f>
        <v>40</v>
      </c>
      <c r="GR81" s="204">
        <f t="shared" ref="GR81" si="1090">+GQ81+1</f>
        <v>41</v>
      </c>
      <c r="GS81" s="204">
        <f t="shared" ref="GS81" si="1091">+GR81+1</f>
        <v>42</v>
      </c>
      <c r="GT81" s="204">
        <f t="shared" ref="GT81" si="1092">+GS81+1</f>
        <v>43</v>
      </c>
      <c r="GU81" s="204">
        <f t="shared" ref="GU81" si="1093">+GT81+1</f>
        <v>44</v>
      </c>
      <c r="GV81" s="204">
        <f t="shared" ref="GV81" si="1094">+GU81+1</f>
        <v>45</v>
      </c>
      <c r="GW81" s="204">
        <f t="shared" ref="GW81" si="1095">+GV81+1</f>
        <v>46</v>
      </c>
      <c r="GX81" s="204">
        <f t="shared" ref="GX81" si="1096">+GW81+1</f>
        <v>47</v>
      </c>
      <c r="GY81" s="204">
        <f t="shared" ref="GY81" si="1097">+GX81+1</f>
        <v>48</v>
      </c>
      <c r="GZ81" s="204">
        <f t="shared" ref="GZ81" si="1098">+GY81+1</f>
        <v>49</v>
      </c>
      <c r="HA81" s="204">
        <f t="shared" ref="HA81" si="1099">+GZ81+1</f>
        <v>50</v>
      </c>
      <c r="HB81" s="204">
        <f t="shared" ref="HB81" si="1100">+HA81+1</f>
        <v>51</v>
      </c>
      <c r="HC81" s="204">
        <f t="shared" ref="HC81" si="1101">+HB81+1</f>
        <v>52</v>
      </c>
      <c r="HD81" s="204">
        <f t="shared" ref="HD81" si="1102">+HC81+1</f>
        <v>53</v>
      </c>
      <c r="HE81" s="204">
        <f t="shared" ref="HE81" si="1103">+HD81+1</f>
        <v>54</v>
      </c>
      <c r="HF81" s="204">
        <f t="shared" ref="HF81" si="1104">+HE81+1</f>
        <v>55</v>
      </c>
      <c r="HG81" s="204">
        <f t="shared" ref="HG81" si="1105">+HF81+1</f>
        <v>56</v>
      </c>
      <c r="HH81" s="204">
        <f t="shared" ref="HH81" si="1106">+HG81+1</f>
        <v>57</v>
      </c>
      <c r="HI81" s="204">
        <f t="shared" ref="HI81" si="1107">+HH81+1</f>
        <v>58</v>
      </c>
      <c r="HJ81" s="204">
        <f t="shared" ref="HJ81" si="1108">+HI81+1</f>
        <v>59</v>
      </c>
      <c r="HK81" s="204">
        <f t="shared" ref="HK81" si="1109">+HJ81+1</f>
        <v>60</v>
      </c>
      <c r="HL81" s="204">
        <f t="shared" ref="HL81" si="1110">+HK81+1</f>
        <v>61</v>
      </c>
      <c r="HM81" s="204">
        <f t="shared" ref="HM81" si="1111">+HL81+1</f>
        <v>62</v>
      </c>
      <c r="HN81" s="204">
        <f t="shared" ref="HN81" si="1112">+HM81+1</f>
        <v>63</v>
      </c>
      <c r="HO81" s="204">
        <f t="shared" ref="HO81" si="1113">+HN81+1</f>
        <v>64</v>
      </c>
      <c r="HP81" s="204">
        <f t="shared" ref="HP81" si="1114">+HO81+1</f>
        <v>65</v>
      </c>
      <c r="HQ81" s="204">
        <f t="shared" ref="HQ81" si="1115">+HP81+1</f>
        <v>66</v>
      </c>
      <c r="HR81" s="204">
        <f t="shared" ref="HR81" si="1116">+HQ81+1</f>
        <v>67</v>
      </c>
      <c r="HS81" s="204">
        <f t="shared" ref="HS81" si="1117">+HR81+1</f>
        <v>68</v>
      </c>
      <c r="HT81" s="204">
        <f t="shared" ref="HT81" si="1118">+HS81+1</f>
        <v>69</v>
      </c>
      <c r="HU81" s="204">
        <f t="shared" ref="HU81" si="1119">+HT81+1</f>
        <v>70</v>
      </c>
      <c r="HV81" s="204">
        <f t="shared" ref="HV81" si="1120">+HU81+1</f>
        <v>71</v>
      </c>
      <c r="HW81" s="204">
        <f t="shared" ref="HW81" si="1121">+HV81+1</f>
        <v>72</v>
      </c>
      <c r="HX81" s="204">
        <f t="shared" ref="HX81" si="1122">+HW81+1</f>
        <v>73</v>
      </c>
      <c r="HY81" s="204">
        <f t="shared" ref="HY81" si="1123">+HX81+1</f>
        <v>74</v>
      </c>
      <c r="HZ81" s="204">
        <f t="shared" ref="HZ81" si="1124">+HY81+1</f>
        <v>75</v>
      </c>
      <c r="IA81" s="204">
        <f t="shared" ref="IA81" si="1125">+HZ81+1</f>
        <v>76</v>
      </c>
      <c r="IB81" s="204">
        <f t="shared" ref="IB81" si="1126">+IA81+1</f>
        <v>77</v>
      </c>
      <c r="IC81" s="204">
        <f t="shared" ref="IC81" si="1127">+IB81+1</f>
        <v>78</v>
      </c>
      <c r="ID81" s="204">
        <f t="shared" ref="ID81" si="1128">+IC81+1</f>
        <v>79</v>
      </c>
      <c r="IE81" s="204">
        <f t="shared" ref="IE81" si="1129">+ID81+1</f>
        <v>80</v>
      </c>
      <c r="IF81" s="204">
        <f t="shared" ref="IF81" si="1130">+IE81+1</f>
        <v>81</v>
      </c>
      <c r="IG81" s="204">
        <f t="shared" ref="IG81" si="1131">+IF81+1</f>
        <v>82</v>
      </c>
      <c r="IH81" s="204">
        <f t="shared" ref="IH81" si="1132">+IG81+1</f>
        <v>83</v>
      </c>
      <c r="II81" s="204">
        <f t="shared" ref="II81" si="1133">+IH81+1</f>
        <v>84</v>
      </c>
      <c r="IJ81" s="204">
        <f t="shared" ref="IJ81" si="1134">+II81+1</f>
        <v>85</v>
      </c>
      <c r="IK81" s="204">
        <f t="shared" ref="IK81" si="1135">+IJ81+1</f>
        <v>86</v>
      </c>
      <c r="IL81" s="204">
        <f t="shared" ref="IL81" si="1136">+IK81+1</f>
        <v>87</v>
      </c>
      <c r="IM81" s="204">
        <f t="shared" ref="IM81" si="1137">+IL81+1</f>
        <v>88</v>
      </c>
      <c r="IN81" s="204">
        <f t="shared" ref="IN81" si="1138">+IM81+1</f>
        <v>89</v>
      </c>
      <c r="IO81" s="204">
        <f t="shared" ref="IO81" si="1139">+IN81+1</f>
        <v>90</v>
      </c>
      <c r="IP81" s="204">
        <f t="shared" ref="IP81" si="1140">+IO81+1</f>
        <v>91</v>
      </c>
      <c r="IQ81" s="204">
        <f t="shared" ref="IQ81" si="1141">+IP81+1</f>
        <v>92</v>
      </c>
      <c r="IR81" s="204">
        <f t="shared" ref="IR81" si="1142">+IQ81+1</f>
        <v>93</v>
      </c>
      <c r="IS81" s="204">
        <f t="shared" ref="IS81" si="1143">+IR81+1</f>
        <v>94</v>
      </c>
      <c r="IT81" s="204">
        <f t="shared" ref="IT81" si="1144">+IS81+1</f>
        <v>95</v>
      </c>
      <c r="IU81" s="204">
        <f t="shared" ref="IU81" si="1145">+IT81+1</f>
        <v>96</v>
      </c>
      <c r="IV81" s="204">
        <f t="shared" ref="IV81" si="1146">+IU81+1</f>
        <v>97</v>
      </c>
      <c r="IW81" s="204">
        <f t="shared" ref="IW81" si="1147">+IV81+1</f>
        <v>98</v>
      </c>
      <c r="IX81" s="204">
        <f t="shared" ref="IX81" si="1148">+IW81+1</f>
        <v>99</v>
      </c>
      <c r="IY81" s="204">
        <f t="shared" ref="IY81" si="1149">+IX81+1</f>
        <v>100</v>
      </c>
      <c r="IZ81" s="204">
        <f t="shared" ref="IZ81" si="1150">+IY81+1</f>
        <v>101</v>
      </c>
      <c r="JA81" s="204">
        <f t="shared" ref="JA81" si="1151">+IZ81+1</f>
        <v>102</v>
      </c>
      <c r="JB81" s="204">
        <f t="shared" ref="JB81" si="1152">+JA81+1</f>
        <v>103</v>
      </c>
      <c r="JC81" s="204">
        <f t="shared" ref="JC81" si="1153">+JB81+1</f>
        <v>104</v>
      </c>
      <c r="JD81" s="204">
        <f t="shared" ref="JD81" si="1154">+JC81+1</f>
        <v>105</v>
      </c>
      <c r="JE81" s="204">
        <f t="shared" ref="JE81" si="1155">+JD81+1</f>
        <v>106</v>
      </c>
      <c r="JF81" s="204">
        <f t="shared" ref="JF81" si="1156">+JE81+1</f>
        <v>107</v>
      </c>
      <c r="JG81" s="204">
        <f t="shared" ref="JG81" si="1157">+JF81+1</f>
        <v>108</v>
      </c>
      <c r="JH81" s="204">
        <f t="shared" ref="JH81" si="1158">+JG81+1</f>
        <v>109</v>
      </c>
      <c r="JI81" s="204">
        <f t="shared" ref="JI81" si="1159">+JH81+1</f>
        <v>110</v>
      </c>
      <c r="JJ81" s="204">
        <f t="shared" ref="JJ81" si="1160">+JI81+1</f>
        <v>111</v>
      </c>
      <c r="JK81" s="204">
        <f t="shared" ref="JK81" si="1161">+JJ81+1</f>
        <v>112</v>
      </c>
      <c r="JL81" s="204">
        <f t="shared" ref="JL81" si="1162">+JK81+1</f>
        <v>113</v>
      </c>
      <c r="JM81" s="204">
        <f t="shared" ref="JM81" si="1163">+JL81+1</f>
        <v>114</v>
      </c>
      <c r="JN81" s="204">
        <f t="shared" ref="JN81" si="1164">+JM81+1</f>
        <v>115</v>
      </c>
      <c r="JO81" s="204">
        <f t="shared" ref="JO81" si="1165">+JN81+1</f>
        <v>116</v>
      </c>
      <c r="JP81" s="204">
        <f t="shared" ref="JP81" si="1166">+JO81+1</f>
        <v>117</v>
      </c>
      <c r="JQ81" s="204">
        <f t="shared" ref="JQ81" si="1167">+JP81+1</f>
        <v>118</v>
      </c>
      <c r="JR81" s="204">
        <f t="shared" ref="JR81" si="1168">+JQ81+1</f>
        <v>119</v>
      </c>
      <c r="JS81" s="204">
        <f t="shared" ref="JS81" si="1169">+JR81+1</f>
        <v>120</v>
      </c>
      <c r="JT81" s="204">
        <f t="shared" ref="JT81" si="1170">+JS81+1</f>
        <v>121</v>
      </c>
      <c r="JU81" s="204">
        <f t="shared" ref="JU81" si="1171">+JT81+1</f>
        <v>122</v>
      </c>
      <c r="JV81" s="204">
        <f t="shared" ref="JV81" si="1172">+JU81+1</f>
        <v>123</v>
      </c>
      <c r="JW81" s="204">
        <f t="shared" ref="JW81" si="1173">+JV81+1</f>
        <v>124</v>
      </c>
      <c r="JX81" s="204">
        <f t="shared" ref="JX81" si="1174">+JW81+1</f>
        <v>125</v>
      </c>
      <c r="JY81" s="204">
        <f t="shared" ref="JY81" si="1175">+JX81+1</f>
        <v>126</v>
      </c>
      <c r="JZ81" s="204">
        <f t="shared" ref="JZ81" si="1176">+JY81+1</f>
        <v>127</v>
      </c>
      <c r="KA81" s="204">
        <f t="shared" ref="KA81" si="1177">+JZ81+1</f>
        <v>128</v>
      </c>
      <c r="KB81" s="204">
        <f t="shared" ref="KB81" si="1178">+KA81+1</f>
        <v>129</v>
      </c>
      <c r="KC81" s="204">
        <f t="shared" ref="KC81" si="1179">+KB81+1</f>
        <v>130</v>
      </c>
      <c r="KD81" s="204">
        <f t="shared" ref="KD81" si="1180">+KC81+1</f>
        <v>131</v>
      </c>
      <c r="KE81" s="204">
        <f t="shared" ref="KE81" si="1181">+KD81+1</f>
        <v>132</v>
      </c>
      <c r="KH81" s="219"/>
      <c r="KI81" s="219"/>
      <c r="KJ81" s="219"/>
      <c r="KK81" s="220"/>
      <c r="KL81" s="220"/>
      <c r="KM81" s="221"/>
      <c r="KN81" s="221"/>
      <c r="KO81" s="221"/>
      <c r="KP81" s="221"/>
      <c r="KQ81" s="221"/>
      <c r="KR81" s="221"/>
      <c r="KS81" s="221"/>
      <c r="KT81" s="221"/>
      <c r="KU81" s="221"/>
      <c r="KV81" s="221"/>
      <c r="KW81" s="221"/>
      <c r="KX81" s="221"/>
      <c r="KY81" s="221"/>
      <c r="KZ81" s="221"/>
      <c r="LA81" s="221"/>
      <c r="LB81" s="221"/>
      <c r="LC81" s="221"/>
      <c r="LD81" s="221"/>
      <c r="LE81" s="221"/>
      <c r="LF81" s="221"/>
      <c r="LG81" s="221"/>
      <c r="LH81" s="221"/>
      <c r="LI81" s="221"/>
      <c r="LJ81" s="221"/>
      <c r="LK81" s="221"/>
      <c r="LL81" s="221"/>
      <c r="LM81" s="221"/>
      <c r="LN81" s="221"/>
      <c r="LO81" s="221"/>
      <c r="LP81" s="221"/>
      <c r="LQ81" s="221"/>
      <c r="LR81" s="221"/>
      <c r="LS81" s="221"/>
      <c r="LT81" s="221"/>
      <c r="LU81" s="221"/>
      <c r="LV81" s="221"/>
      <c r="LW81" s="221"/>
      <c r="LX81" s="221"/>
      <c r="LY81" s="221"/>
      <c r="LZ81" s="221"/>
      <c r="MA81" s="221"/>
      <c r="MB81" s="221"/>
      <c r="MC81" s="221"/>
      <c r="MD81" s="221"/>
      <c r="ME81" s="221"/>
      <c r="MF81" s="221"/>
      <c r="MG81" s="221"/>
      <c r="MH81" s="221"/>
      <c r="MI81" s="221"/>
      <c r="MJ81" s="221"/>
      <c r="MK81" s="221"/>
      <c r="ML81" s="221"/>
      <c r="MM81" s="221"/>
      <c r="MN81" s="221"/>
      <c r="MO81" s="221"/>
      <c r="MP81" s="221"/>
      <c r="MQ81" s="221"/>
      <c r="MR81" s="221"/>
      <c r="MS81" s="221"/>
      <c r="MT81" s="221"/>
      <c r="MU81" s="221"/>
      <c r="MV81" s="221"/>
      <c r="MW81" s="221"/>
      <c r="MX81" s="221"/>
      <c r="MY81" s="221"/>
      <c r="MZ81" s="221"/>
      <c r="NA81" s="221"/>
      <c r="NB81" s="221"/>
      <c r="NC81" s="221"/>
      <c r="ND81" s="221"/>
      <c r="NE81" s="221"/>
      <c r="NF81" s="221"/>
      <c r="NG81" s="221"/>
      <c r="NH81" s="221"/>
      <c r="NI81" s="221"/>
      <c r="NJ81" s="221"/>
      <c r="NK81" s="221"/>
      <c r="NL81" s="221"/>
      <c r="NM81" s="221"/>
      <c r="NN81" s="221"/>
      <c r="NO81" s="221"/>
      <c r="NP81" s="221"/>
      <c r="NQ81" s="221"/>
      <c r="NR81" s="221"/>
      <c r="NS81" s="221"/>
      <c r="NT81" s="221"/>
      <c r="NU81" s="221"/>
      <c r="NV81" s="221"/>
      <c r="NW81" s="221"/>
      <c r="NX81" s="221"/>
      <c r="NY81" s="221"/>
      <c r="NZ81" s="221"/>
      <c r="OA81" s="221"/>
      <c r="OB81" s="221"/>
      <c r="OC81" s="221"/>
      <c r="OD81" s="221"/>
      <c r="OE81" s="221"/>
      <c r="OF81" s="221"/>
      <c r="OG81" s="221"/>
      <c r="OH81" s="221"/>
      <c r="OI81" s="221"/>
      <c r="OJ81" s="221"/>
      <c r="OK81" s="221"/>
      <c r="OL81" s="221"/>
      <c r="OM81" s="221"/>
      <c r="ON81" s="221"/>
      <c r="OO81" s="221"/>
      <c r="OP81" s="221"/>
      <c r="OQ81" s="221"/>
      <c r="OR81" s="221"/>
      <c r="OS81" s="221"/>
      <c r="OT81" s="221"/>
      <c r="OU81" s="221"/>
      <c r="OV81" s="221"/>
      <c r="OW81" s="221"/>
      <c r="OX81" s="221"/>
      <c r="OY81" s="221"/>
      <c r="OZ81" s="221"/>
      <c r="PA81" s="221"/>
      <c r="PB81" s="221"/>
      <c r="PC81" s="221"/>
      <c r="PD81" s="221"/>
      <c r="PE81" s="221"/>
      <c r="PF81" s="221"/>
      <c r="PG81" s="221"/>
      <c r="PH81" s="221"/>
      <c r="PI81" s="221"/>
      <c r="PJ81" s="221"/>
      <c r="PK81" s="221"/>
      <c r="PL81" s="221"/>
      <c r="PM81" s="221"/>
      <c r="PN81" s="221"/>
      <c r="PO81" s="221"/>
      <c r="PQ81" s="201"/>
      <c r="PR81" s="201"/>
      <c r="PS81" s="201"/>
      <c r="PT81" s="201"/>
      <c r="PU81" s="201"/>
      <c r="PV81" s="201"/>
      <c r="PW81" s="201"/>
      <c r="PX81" s="201"/>
      <c r="PY81" s="201"/>
      <c r="PZ81" s="201"/>
      <c r="QA81" s="201"/>
      <c r="QB81" s="201"/>
      <c r="QC81" s="201"/>
      <c r="QD81" s="201"/>
      <c r="QE81" s="201"/>
      <c r="QF81" s="201"/>
      <c r="QG81" s="201"/>
      <c r="QH81" s="201"/>
      <c r="QI81" s="201"/>
      <c r="QJ81" s="201"/>
      <c r="QK81" s="201"/>
      <c r="QL81" s="201"/>
      <c r="QM81" s="201"/>
      <c r="QN81" s="201"/>
      <c r="QO81" s="201"/>
      <c r="QP81" s="201"/>
      <c r="QQ81" s="201"/>
      <c r="QR81" s="201"/>
      <c r="QS81" s="201"/>
      <c r="QT81" s="201"/>
      <c r="QU81" s="201"/>
      <c r="QV81" s="201"/>
      <c r="QW81" s="201"/>
      <c r="QX81" s="201"/>
      <c r="QY81" s="201"/>
      <c r="QZ81" s="201"/>
      <c r="RA81" s="201"/>
      <c r="RB81" s="201"/>
      <c r="RC81" s="201"/>
      <c r="RD81" s="201"/>
      <c r="RE81" s="201"/>
      <c r="RF81" s="201"/>
      <c r="RG81" s="201"/>
      <c r="RH81" s="201"/>
      <c r="RI81" s="201"/>
      <c r="RJ81" s="201"/>
      <c r="RK81" s="201"/>
      <c r="RL81" s="201"/>
      <c r="RM81" s="201"/>
      <c r="RN81" s="201"/>
      <c r="RO81" s="201"/>
      <c r="RP81" s="201"/>
      <c r="RQ81" s="201"/>
      <c r="RR81" s="201"/>
      <c r="RS81" s="201"/>
      <c r="RT81" s="201"/>
      <c r="RU81" s="201"/>
      <c r="RV81" s="201"/>
      <c r="RW81" s="201"/>
      <c r="RX81" s="201"/>
      <c r="RY81" s="201"/>
      <c r="RZ81" s="201"/>
      <c r="SA81" s="201"/>
      <c r="SB81" s="201"/>
      <c r="SC81" s="201"/>
      <c r="SD81" s="201"/>
      <c r="SE81" s="201"/>
      <c r="SF81" s="201"/>
      <c r="SG81" s="201"/>
      <c r="SH81" s="201"/>
      <c r="SI81" s="201"/>
      <c r="SJ81" s="201"/>
      <c r="SK81" s="201"/>
      <c r="SL81" s="201"/>
      <c r="SM81" s="201"/>
      <c r="SN81" s="201"/>
      <c r="SO81" s="201"/>
      <c r="SP81" s="201"/>
      <c r="SQ81" s="201"/>
      <c r="SR81" s="201"/>
      <c r="SS81" s="201"/>
      <c r="ST81" s="201"/>
      <c r="SU81" s="201"/>
      <c r="SV81" s="201"/>
      <c r="SW81" s="201"/>
      <c r="SX81" s="201"/>
      <c r="SY81" s="201"/>
      <c r="SZ81" s="201"/>
      <c r="TA81" s="201"/>
      <c r="TB81" s="201"/>
      <c r="TC81" s="201"/>
      <c r="TD81" s="201"/>
      <c r="TE81" s="201"/>
      <c r="TF81" s="201"/>
      <c r="TG81" s="201"/>
      <c r="TH81" s="201"/>
      <c r="TI81" s="201"/>
      <c r="TJ81" s="201"/>
      <c r="TK81" s="201"/>
      <c r="TL81" s="201"/>
      <c r="TM81" s="201"/>
      <c r="TN81" s="201"/>
      <c r="TO81" s="201"/>
      <c r="TP81" s="201"/>
      <c r="TQ81" s="201"/>
      <c r="TR81" s="201"/>
      <c r="TS81" s="201"/>
      <c r="TT81" s="201"/>
      <c r="TU81" s="201"/>
      <c r="TV81" s="201"/>
      <c r="TW81" s="201"/>
      <c r="TX81" s="201"/>
      <c r="TY81" s="201"/>
      <c r="TZ81" s="201"/>
      <c r="UA81" s="201"/>
      <c r="UB81" s="201"/>
      <c r="UC81" s="201"/>
      <c r="UD81" s="201"/>
      <c r="UE81" s="201"/>
      <c r="UF81" s="201"/>
      <c r="UG81" s="201"/>
      <c r="UH81" s="201"/>
      <c r="UI81" s="201"/>
      <c r="UJ81" s="201"/>
      <c r="UK81" s="201"/>
      <c r="UL81" s="201"/>
      <c r="UM81" s="201"/>
      <c r="UN81" s="201"/>
      <c r="UO81" s="201"/>
      <c r="UP81" s="201"/>
      <c r="UQ81" s="201"/>
      <c r="UR81" s="201"/>
      <c r="US81" s="201"/>
      <c r="UT81" s="201"/>
      <c r="UU81" s="201"/>
    </row>
    <row r="82" spans="1:567" x14ac:dyDescent="0.25">
      <c r="B82" s="85" t="s">
        <v>105</v>
      </c>
      <c r="C82" s="59"/>
      <c r="D82" s="18"/>
      <c r="E82" s="59"/>
      <c r="F82" s="18"/>
      <c r="G82" s="98"/>
      <c r="H82" s="81">
        <f>SUM(H80:H81)</f>
        <v>41476395</v>
      </c>
      <c r="I82" s="81">
        <f>SUM(I80:I81)</f>
        <v>41476395.000000291</v>
      </c>
      <c r="J82" s="82"/>
      <c r="K82" s="82"/>
      <c r="R82" s="90" t="str">
        <f>IF(ROUND(SUM(S82:EU82),0)=ROUND(H82-I82-I81*E68-I80*E67,0),"OK","ERROR")</f>
        <v>OK</v>
      </c>
      <c r="S82" s="92">
        <f>SUM(S80:S81)</f>
        <v>36341093.958333336</v>
      </c>
      <c r="T82" s="92">
        <f t="shared" ref="T82:CE82" si="1182">SUM(T80:T81)</f>
        <v>223273.95833333331</v>
      </c>
      <c r="U82" s="92">
        <f t="shared" si="1182"/>
        <v>223273.95833333331</v>
      </c>
      <c r="V82" s="92">
        <f t="shared" si="1182"/>
        <v>223273.9583333332</v>
      </c>
      <c r="W82" s="92">
        <f t="shared" si="1182"/>
        <v>223273.9583333334</v>
      </c>
      <c r="X82" s="92">
        <f t="shared" si="1182"/>
        <v>223273.9583333332</v>
      </c>
      <c r="Y82" s="92">
        <f t="shared" si="1182"/>
        <v>223273.9583333334</v>
      </c>
      <c r="Z82" s="92">
        <f t="shared" si="1182"/>
        <v>223273.95833333308</v>
      </c>
      <c r="AA82" s="92">
        <f t="shared" si="1182"/>
        <v>223273.9583333334</v>
      </c>
      <c r="AB82" s="92">
        <f t="shared" si="1182"/>
        <v>223273.9583333334</v>
      </c>
      <c r="AC82" s="92">
        <f t="shared" si="1182"/>
        <v>223273.95833333308</v>
      </c>
      <c r="AD82" s="92">
        <f t="shared" si="1182"/>
        <v>223273.9583333334</v>
      </c>
      <c r="AE82" s="92">
        <f t="shared" si="1182"/>
        <v>223273.95833333308</v>
      </c>
      <c r="AF82" s="92">
        <f t="shared" si="1182"/>
        <v>223273.95833333363</v>
      </c>
      <c r="AG82" s="92">
        <f t="shared" si="1182"/>
        <v>223273.95833333308</v>
      </c>
      <c r="AH82" s="92">
        <f t="shared" si="1182"/>
        <v>223273.95833333308</v>
      </c>
      <c r="AI82" s="92">
        <f t="shared" si="1182"/>
        <v>223273.95833333363</v>
      </c>
      <c r="AJ82" s="92">
        <f t="shared" si="1182"/>
        <v>223273.95833333308</v>
      </c>
      <c r="AK82" s="92">
        <f t="shared" si="1182"/>
        <v>223273.95833333308</v>
      </c>
      <c r="AL82" s="92">
        <f t="shared" si="1182"/>
        <v>223273.95833333363</v>
      </c>
      <c r="AM82" s="92">
        <f t="shared" si="1182"/>
        <v>223273.95833333308</v>
      </c>
      <c r="AN82" s="92">
        <f t="shared" si="1182"/>
        <v>223273.95833333308</v>
      </c>
      <c r="AO82" s="92">
        <f t="shared" si="1182"/>
        <v>223273.95833333363</v>
      </c>
      <c r="AP82" s="92">
        <f t="shared" si="1182"/>
        <v>223273.95833333308</v>
      </c>
      <c r="AQ82" s="92">
        <f t="shared" si="1182"/>
        <v>0</v>
      </c>
      <c r="AR82" s="92">
        <f t="shared" si="1182"/>
        <v>0</v>
      </c>
      <c r="AS82" s="92">
        <f t="shared" si="1182"/>
        <v>0</v>
      </c>
      <c r="AT82" s="92">
        <f t="shared" si="1182"/>
        <v>0</v>
      </c>
      <c r="AU82" s="92">
        <f t="shared" si="1182"/>
        <v>0</v>
      </c>
      <c r="AV82" s="92">
        <f t="shared" si="1182"/>
        <v>0</v>
      </c>
      <c r="AW82" s="92">
        <f t="shared" si="1182"/>
        <v>0</v>
      </c>
      <c r="AX82" s="92">
        <f t="shared" si="1182"/>
        <v>0</v>
      </c>
      <c r="AY82" s="92">
        <f t="shared" si="1182"/>
        <v>0</v>
      </c>
      <c r="AZ82" s="92">
        <f t="shared" si="1182"/>
        <v>0</v>
      </c>
      <c r="BA82" s="92">
        <f t="shared" si="1182"/>
        <v>0</v>
      </c>
      <c r="BB82" s="92">
        <f t="shared" si="1182"/>
        <v>0</v>
      </c>
      <c r="BC82" s="92">
        <f t="shared" si="1182"/>
        <v>-41476395.000000291</v>
      </c>
      <c r="BD82" s="92">
        <f t="shared" si="1182"/>
        <v>0</v>
      </c>
      <c r="BE82" s="92">
        <f t="shared" si="1182"/>
        <v>0</v>
      </c>
      <c r="BF82" s="92">
        <f t="shared" si="1182"/>
        <v>0</v>
      </c>
      <c r="BG82" s="92">
        <f t="shared" si="1182"/>
        <v>0</v>
      </c>
      <c r="BH82" s="92">
        <f t="shared" si="1182"/>
        <v>0</v>
      </c>
      <c r="BI82" s="92">
        <f t="shared" si="1182"/>
        <v>0</v>
      </c>
      <c r="BJ82" s="92">
        <f t="shared" si="1182"/>
        <v>0</v>
      </c>
      <c r="BK82" s="92">
        <f t="shared" si="1182"/>
        <v>0</v>
      </c>
      <c r="BL82" s="92">
        <f t="shared" si="1182"/>
        <v>0</v>
      </c>
      <c r="BM82" s="92">
        <f t="shared" si="1182"/>
        <v>0</v>
      </c>
      <c r="BN82" s="92">
        <f t="shared" si="1182"/>
        <v>0</v>
      </c>
      <c r="BO82" s="92">
        <f t="shared" si="1182"/>
        <v>0</v>
      </c>
      <c r="BP82" s="92">
        <f t="shared" si="1182"/>
        <v>0</v>
      </c>
      <c r="BQ82" s="92">
        <f t="shared" si="1182"/>
        <v>0</v>
      </c>
      <c r="BR82" s="92">
        <f t="shared" si="1182"/>
        <v>0</v>
      </c>
      <c r="BS82" s="92">
        <f t="shared" si="1182"/>
        <v>0</v>
      </c>
      <c r="BT82" s="92">
        <f t="shared" si="1182"/>
        <v>0</v>
      </c>
      <c r="BU82" s="92">
        <f t="shared" si="1182"/>
        <v>0</v>
      </c>
      <c r="BV82" s="92">
        <f t="shared" si="1182"/>
        <v>0</v>
      </c>
      <c r="BW82" s="92">
        <f t="shared" si="1182"/>
        <v>0</v>
      </c>
      <c r="BX82" s="92">
        <f t="shared" si="1182"/>
        <v>0</v>
      </c>
      <c r="BY82" s="92">
        <f t="shared" si="1182"/>
        <v>0</v>
      </c>
      <c r="BZ82" s="92">
        <f t="shared" si="1182"/>
        <v>0</v>
      </c>
      <c r="CA82" s="92">
        <f t="shared" si="1182"/>
        <v>0</v>
      </c>
      <c r="CB82" s="92">
        <f t="shared" si="1182"/>
        <v>0</v>
      </c>
      <c r="CC82" s="92">
        <f t="shared" si="1182"/>
        <v>0</v>
      </c>
      <c r="CD82" s="92">
        <f t="shared" si="1182"/>
        <v>0</v>
      </c>
      <c r="CE82" s="92">
        <f t="shared" si="1182"/>
        <v>0</v>
      </c>
      <c r="CF82" s="92">
        <f t="shared" ref="CF82:EQ82" si="1183">SUM(CF80:CF81)</f>
        <v>0</v>
      </c>
      <c r="CG82" s="92">
        <f t="shared" si="1183"/>
        <v>0</v>
      </c>
      <c r="CH82" s="92">
        <f t="shared" si="1183"/>
        <v>0</v>
      </c>
      <c r="CI82" s="92">
        <f t="shared" si="1183"/>
        <v>0</v>
      </c>
      <c r="CJ82" s="92">
        <f t="shared" si="1183"/>
        <v>0</v>
      </c>
      <c r="CK82" s="92">
        <f t="shared" si="1183"/>
        <v>0</v>
      </c>
      <c r="CL82" s="92">
        <f t="shared" si="1183"/>
        <v>0</v>
      </c>
      <c r="CM82" s="92">
        <f t="shared" si="1183"/>
        <v>0</v>
      </c>
      <c r="CN82" s="92">
        <f t="shared" si="1183"/>
        <v>0</v>
      </c>
      <c r="CO82" s="92">
        <f t="shared" si="1183"/>
        <v>0</v>
      </c>
      <c r="CP82" s="92">
        <f t="shared" si="1183"/>
        <v>0</v>
      </c>
      <c r="CQ82" s="92">
        <f t="shared" si="1183"/>
        <v>0</v>
      </c>
      <c r="CR82" s="92">
        <f t="shared" si="1183"/>
        <v>0</v>
      </c>
      <c r="CS82" s="92">
        <f t="shared" si="1183"/>
        <v>0</v>
      </c>
      <c r="CT82" s="92">
        <f t="shared" si="1183"/>
        <v>0</v>
      </c>
      <c r="CU82" s="92">
        <f t="shared" si="1183"/>
        <v>0</v>
      </c>
      <c r="CV82" s="92">
        <f t="shared" si="1183"/>
        <v>0</v>
      </c>
      <c r="CW82" s="92">
        <f t="shared" si="1183"/>
        <v>0</v>
      </c>
      <c r="CX82" s="92">
        <f t="shared" si="1183"/>
        <v>0</v>
      </c>
      <c r="CY82" s="92">
        <f t="shared" si="1183"/>
        <v>0</v>
      </c>
      <c r="CZ82" s="92">
        <f t="shared" si="1183"/>
        <v>0</v>
      </c>
      <c r="DA82" s="92">
        <f t="shared" si="1183"/>
        <v>0</v>
      </c>
      <c r="DB82" s="92">
        <f t="shared" si="1183"/>
        <v>0</v>
      </c>
      <c r="DC82" s="92">
        <f t="shared" si="1183"/>
        <v>0</v>
      </c>
      <c r="DD82" s="92">
        <f t="shared" si="1183"/>
        <v>0</v>
      </c>
      <c r="DE82" s="92">
        <f t="shared" si="1183"/>
        <v>0</v>
      </c>
      <c r="DF82" s="92">
        <f t="shared" si="1183"/>
        <v>0</v>
      </c>
      <c r="DG82" s="92">
        <f t="shared" si="1183"/>
        <v>0</v>
      </c>
      <c r="DH82" s="92">
        <f t="shared" si="1183"/>
        <v>0</v>
      </c>
      <c r="DI82" s="92">
        <f t="shared" si="1183"/>
        <v>0</v>
      </c>
      <c r="DJ82" s="92">
        <f t="shared" si="1183"/>
        <v>0</v>
      </c>
      <c r="DK82" s="92">
        <f t="shared" si="1183"/>
        <v>0</v>
      </c>
      <c r="DL82" s="92">
        <f t="shared" si="1183"/>
        <v>0</v>
      </c>
      <c r="DM82" s="92">
        <f t="shared" si="1183"/>
        <v>0</v>
      </c>
      <c r="DN82" s="92">
        <f t="shared" si="1183"/>
        <v>0</v>
      </c>
      <c r="DO82" s="92">
        <f t="shared" si="1183"/>
        <v>0</v>
      </c>
      <c r="DP82" s="92">
        <f t="shared" si="1183"/>
        <v>0</v>
      </c>
      <c r="DQ82" s="92">
        <f t="shared" si="1183"/>
        <v>0</v>
      </c>
      <c r="DR82" s="92">
        <f t="shared" si="1183"/>
        <v>0</v>
      </c>
      <c r="DS82" s="92">
        <f t="shared" si="1183"/>
        <v>0</v>
      </c>
      <c r="DT82" s="92">
        <f t="shared" si="1183"/>
        <v>0</v>
      </c>
      <c r="DU82" s="92">
        <f t="shared" si="1183"/>
        <v>0</v>
      </c>
      <c r="DV82" s="92">
        <f t="shared" si="1183"/>
        <v>0</v>
      </c>
      <c r="DW82" s="92">
        <f t="shared" si="1183"/>
        <v>0</v>
      </c>
      <c r="DX82" s="92">
        <f t="shared" si="1183"/>
        <v>0</v>
      </c>
      <c r="DY82" s="92">
        <f t="shared" si="1183"/>
        <v>0</v>
      </c>
      <c r="DZ82" s="92">
        <f t="shared" si="1183"/>
        <v>0</v>
      </c>
      <c r="EA82" s="92">
        <f t="shared" si="1183"/>
        <v>0</v>
      </c>
      <c r="EB82" s="92">
        <f t="shared" si="1183"/>
        <v>0</v>
      </c>
      <c r="EC82" s="92">
        <f t="shared" si="1183"/>
        <v>0</v>
      </c>
      <c r="ED82" s="92">
        <f t="shared" si="1183"/>
        <v>0</v>
      </c>
      <c r="EE82" s="92">
        <f t="shared" si="1183"/>
        <v>0</v>
      </c>
      <c r="EF82" s="92">
        <f t="shared" si="1183"/>
        <v>0</v>
      </c>
      <c r="EG82" s="92">
        <f t="shared" si="1183"/>
        <v>0</v>
      </c>
      <c r="EH82" s="92">
        <f t="shared" si="1183"/>
        <v>0</v>
      </c>
      <c r="EI82" s="92">
        <f t="shared" si="1183"/>
        <v>0</v>
      </c>
      <c r="EJ82" s="92">
        <f t="shared" si="1183"/>
        <v>0</v>
      </c>
      <c r="EK82" s="92">
        <f t="shared" si="1183"/>
        <v>0</v>
      </c>
      <c r="EL82" s="92">
        <f t="shared" si="1183"/>
        <v>0</v>
      </c>
      <c r="EM82" s="92">
        <f t="shared" si="1183"/>
        <v>0</v>
      </c>
      <c r="EN82" s="92">
        <f t="shared" si="1183"/>
        <v>0</v>
      </c>
      <c r="EO82" s="92">
        <f t="shared" si="1183"/>
        <v>0</v>
      </c>
      <c r="EP82" s="92">
        <f t="shared" si="1183"/>
        <v>0</v>
      </c>
      <c r="EQ82" s="92">
        <f t="shared" si="1183"/>
        <v>0</v>
      </c>
      <c r="ER82" s="92">
        <f t="shared" ref="ER82:EU82" si="1184">SUM(ER80:ER81)</f>
        <v>0</v>
      </c>
      <c r="ES82" s="92">
        <f t="shared" si="1184"/>
        <v>0</v>
      </c>
      <c r="ET82" s="92">
        <f t="shared" si="1184"/>
        <v>0</v>
      </c>
      <c r="EU82" s="92">
        <f t="shared" si="1184"/>
        <v>0</v>
      </c>
      <c r="EW82" s="199" t="str">
        <f>B80</f>
        <v>Senior Loan</v>
      </c>
      <c r="EX82" s="219">
        <f t="shared" ref="EX82:FB83" si="1185">+EX75</f>
        <v>36</v>
      </c>
      <c r="EY82" s="219">
        <f t="shared" si="1185"/>
        <v>36</v>
      </c>
      <c r="EZ82" s="219">
        <f t="shared" si="1185"/>
        <v>360</v>
      </c>
      <c r="FA82" s="220">
        <f t="shared" si="1185"/>
        <v>0</v>
      </c>
      <c r="FB82" s="220">
        <f t="shared" si="1185"/>
        <v>36</v>
      </c>
      <c r="FC82" s="207">
        <f t="shared" ref="FC82:GH82" si="1186">AND(FC$81&gt;$FA75,FC$81&lt;=$FB75)*((FC$81&lt;=$EY75)*FC75*(FC78/12)+(FC$81&gt;$EY75)*PMT(FC78/12,$EZ75,-$H80))</f>
        <v>0</v>
      </c>
      <c r="FD82" s="207">
        <f t="shared" si="1186"/>
        <v>170839.39151397516</v>
      </c>
      <c r="FE82" s="207">
        <f t="shared" si="1186"/>
        <v>169352.52249892824</v>
      </c>
      <c r="FF82" s="207">
        <f t="shared" si="1186"/>
        <v>170364.63824811741</v>
      </c>
      <c r="FG82" s="207">
        <f t="shared" si="1186"/>
        <v>170839.46102670062</v>
      </c>
      <c r="FH82" s="207">
        <f t="shared" si="1186"/>
        <v>170497.01062406416</v>
      </c>
      <c r="FI82" s="207">
        <f t="shared" si="1186"/>
        <v>171508.27376554461</v>
      </c>
      <c r="FJ82" s="207">
        <f t="shared" si="1186"/>
        <v>172404.81773201394</v>
      </c>
      <c r="FK82" s="207">
        <f t="shared" si="1186"/>
        <v>173095.01719107726</v>
      </c>
      <c r="FL82" s="207">
        <f t="shared" si="1186"/>
        <v>174102.27245643389</v>
      </c>
      <c r="FM82" s="207">
        <f t="shared" si="1186"/>
        <v>175157.34914045248</v>
      </c>
      <c r="FN82" s="207">
        <f t="shared" si="1186"/>
        <v>176248.14656945746</v>
      </c>
      <c r="FO82" s="207">
        <f t="shared" si="1186"/>
        <v>177382.10173174771</v>
      </c>
      <c r="FP82" s="207">
        <f t="shared" si="1186"/>
        <v>178550.45638428757</v>
      </c>
      <c r="FQ82" s="207">
        <f t="shared" si="1186"/>
        <v>179801.46350015534</v>
      </c>
      <c r="FR82" s="207">
        <f t="shared" si="1186"/>
        <v>181044.54724313825</v>
      </c>
      <c r="FS82" s="207">
        <f t="shared" si="1186"/>
        <v>182305.14014200034</v>
      </c>
      <c r="FT82" s="207">
        <f t="shared" si="1186"/>
        <v>183585.50021750201</v>
      </c>
      <c r="FU82" s="207">
        <f t="shared" si="1186"/>
        <v>184878.84913953219</v>
      </c>
      <c r="FV82" s="207">
        <f t="shared" si="1186"/>
        <v>186197.8675474654</v>
      </c>
      <c r="FW82" s="207">
        <f t="shared" si="1186"/>
        <v>187506.54356414909</v>
      </c>
      <c r="FX82" s="207">
        <f t="shared" si="1186"/>
        <v>188833.71672398056</v>
      </c>
      <c r="FY82" s="207">
        <f t="shared" si="1186"/>
        <v>190181.70086620664</v>
      </c>
      <c r="FZ82" s="207">
        <f t="shared" si="1186"/>
        <v>191545.25047912708</v>
      </c>
      <c r="GA82" s="207">
        <f t="shared" si="1186"/>
        <v>191867.72945025112</v>
      </c>
      <c r="GB82" s="207">
        <f t="shared" si="1186"/>
        <v>192223.04390074947</v>
      </c>
      <c r="GC82" s="207">
        <f t="shared" si="1186"/>
        <v>192584.92544712353</v>
      </c>
      <c r="GD82" s="207">
        <f t="shared" si="1186"/>
        <v>192902.21986887616</v>
      </c>
      <c r="GE82" s="207">
        <f t="shared" si="1186"/>
        <v>193252.00413337519</v>
      </c>
      <c r="GF82" s="207">
        <f t="shared" si="1186"/>
        <v>193561.69454937655</v>
      </c>
      <c r="GG82" s="207">
        <f t="shared" si="1186"/>
        <v>193860.67023000124</v>
      </c>
      <c r="GH82" s="207">
        <f t="shared" si="1186"/>
        <v>194153.42445137672</v>
      </c>
      <c r="GI82" s="207">
        <f t="shared" ref="GI82:HN82" si="1187">AND(GI$81&gt;$FA75,GI$81&lt;=$FB75)*((GI$81&lt;=$EY75)*GI75*(GI78/12)+(GI$81&gt;$EY75)*PMT(GI78/12,$EZ75,-$H80))</f>
        <v>194420.60156249945</v>
      </c>
      <c r="GJ82" s="207">
        <f t="shared" si="1187"/>
        <v>194706.44305137469</v>
      </c>
      <c r="GK82" s="207">
        <f t="shared" si="1187"/>
        <v>194939.05649999995</v>
      </c>
      <c r="GL82" s="207">
        <f t="shared" si="1187"/>
        <v>195166.83103587519</v>
      </c>
      <c r="GM82" s="207">
        <f t="shared" si="1187"/>
        <v>195387.69283925137</v>
      </c>
      <c r="GN82" s="207">
        <f t="shared" si="1187"/>
        <v>0</v>
      </c>
      <c r="GO82" s="207">
        <f t="shared" si="1187"/>
        <v>0</v>
      </c>
      <c r="GP82" s="207">
        <f t="shared" si="1187"/>
        <v>0</v>
      </c>
      <c r="GQ82" s="207">
        <f t="shared" si="1187"/>
        <v>0</v>
      </c>
      <c r="GR82" s="207">
        <f t="shared" si="1187"/>
        <v>0</v>
      </c>
      <c r="GS82" s="207">
        <f t="shared" si="1187"/>
        <v>0</v>
      </c>
      <c r="GT82" s="207">
        <f t="shared" si="1187"/>
        <v>0</v>
      </c>
      <c r="GU82" s="207">
        <f t="shared" si="1187"/>
        <v>0</v>
      </c>
      <c r="GV82" s="207">
        <f t="shared" si="1187"/>
        <v>0</v>
      </c>
      <c r="GW82" s="207">
        <f t="shared" si="1187"/>
        <v>0</v>
      </c>
      <c r="GX82" s="207">
        <f t="shared" si="1187"/>
        <v>0</v>
      </c>
      <c r="GY82" s="207">
        <f t="shared" si="1187"/>
        <v>0</v>
      </c>
      <c r="GZ82" s="207">
        <f t="shared" si="1187"/>
        <v>0</v>
      </c>
      <c r="HA82" s="207">
        <f t="shared" si="1187"/>
        <v>0</v>
      </c>
      <c r="HB82" s="207">
        <f t="shared" si="1187"/>
        <v>0</v>
      </c>
      <c r="HC82" s="207">
        <f t="shared" si="1187"/>
        <v>0</v>
      </c>
      <c r="HD82" s="207">
        <f t="shared" si="1187"/>
        <v>0</v>
      </c>
      <c r="HE82" s="207">
        <f t="shared" si="1187"/>
        <v>0</v>
      </c>
      <c r="HF82" s="207">
        <f t="shared" si="1187"/>
        <v>0</v>
      </c>
      <c r="HG82" s="207">
        <f t="shared" si="1187"/>
        <v>0</v>
      </c>
      <c r="HH82" s="207">
        <f t="shared" si="1187"/>
        <v>0</v>
      </c>
      <c r="HI82" s="207">
        <f t="shared" si="1187"/>
        <v>0</v>
      </c>
      <c r="HJ82" s="207">
        <f t="shared" si="1187"/>
        <v>0</v>
      </c>
      <c r="HK82" s="207">
        <f t="shared" si="1187"/>
        <v>0</v>
      </c>
      <c r="HL82" s="207">
        <f t="shared" si="1187"/>
        <v>0</v>
      </c>
      <c r="HM82" s="207">
        <f t="shared" si="1187"/>
        <v>0</v>
      </c>
      <c r="HN82" s="207">
        <f t="shared" si="1187"/>
        <v>0</v>
      </c>
      <c r="HO82" s="207">
        <f t="shared" ref="HO82:IT82" si="1188">AND(HO$81&gt;$FA75,HO$81&lt;=$FB75)*((HO$81&lt;=$EY75)*HO75*(HO78/12)+(HO$81&gt;$EY75)*PMT(HO78/12,$EZ75,-$H80))</f>
        <v>0</v>
      </c>
      <c r="HP82" s="207">
        <f t="shared" si="1188"/>
        <v>0</v>
      </c>
      <c r="HQ82" s="207">
        <f t="shared" si="1188"/>
        <v>0</v>
      </c>
      <c r="HR82" s="207">
        <f t="shared" si="1188"/>
        <v>0</v>
      </c>
      <c r="HS82" s="207">
        <f t="shared" si="1188"/>
        <v>0</v>
      </c>
      <c r="HT82" s="207">
        <f t="shared" si="1188"/>
        <v>0</v>
      </c>
      <c r="HU82" s="207">
        <f t="shared" si="1188"/>
        <v>0</v>
      </c>
      <c r="HV82" s="207">
        <f t="shared" si="1188"/>
        <v>0</v>
      </c>
      <c r="HW82" s="207">
        <f t="shared" si="1188"/>
        <v>0</v>
      </c>
      <c r="HX82" s="207">
        <f t="shared" si="1188"/>
        <v>0</v>
      </c>
      <c r="HY82" s="207">
        <f t="shared" si="1188"/>
        <v>0</v>
      </c>
      <c r="HZ82" s="207">
        <f t="shared" si="1188"/>
        <v>0</v>
      </c>
      <c r="IA82" s="207">
        <f t="shared" si="1188"/>
        <v>0</v>
      </c>
      <c r="IB82" s="207">
        <f t="shared" si="1188"/>
        <v>0</v>
      </c>
      <c r="IC82" s="207">
        <f t="shared" si="1188"/>
        <v>0</v>
      </c>
      <c r="ID82" s="207">
        <f t="shared" si="1188"/>
        <v>0</v>
      </c>
      <c r="IE82" s="207">
        <f t="shared" si="1188"/>
        <v>0</v>
      </c>
      <c r="IF82" s="207">
        <f t="shared" si="1188"/>
        <v>0</v>
      </c>
      <c r="IG82" s="207">
        <f t="shared" si="1188"/>
        <v>0</v>
      </c>
      <c r="IH82" s="207">
        <f t="shared" si="1188"/>
        <v>0</v>
      </c>
      <c r="II82" s="207">
        <f t="shared" si="1188"/>
        <v>0</v>
      </c>
      <c r="IJ82" s="207">
        <f t="shared" si="1188"/>
        <v>0</v>
      </c>
      <c r="IK82" s="207">
        <f t="shared" si="1188"/>
        <v>0</v>
      </c>
      <c r="IL82" s="207">
        <f t="shared" si="1188"/>
        <v>0</v>
      </c>
      <c r="IM82" s="207">
        <f t="shared" si="1188"/>
        <v>0</v>
      </c>
      <c r="IN82" s="207">
        <f t="shared" si="1188"/>
        <v>0</v>
      </c>
      <c r="IO82" s="207">
        <f t="shared" si="1188"/>
        <v>0</v>
      </c>
      <c r="IP82" s="207">
        <f t="shared" si="1188"/>
        <v>0</v>
      </c>
      <c r="IQ82" s="207">
        <f t="shared" si="1188"/>
        <v>0</v>
      </c>
      <c r="IR82" s="207">
        <f t="shared" si="1188"/>
        <v>0</v>
      </c>
      <c r="IS82" s="207">
        <f t="shared" si="1188"/>
        <v>0</v>
      </c>
      <c r="IT82" s="207">
        <f t="shared" si="1188"/>
        <v>0</v>
      </c>
      <c r="IU82" s="207">
        <f t="shared" ref="IU82:KE82" si="1189">AND(IU$81&gt;$FA75,IU$81&lt;=$FB75)*((IU$81&lt;=$EY75)*IU75*(IU78/12)+(IU$81&gt;$EY75)*PMT(IU78/12,$EZ75,-$H80))</f>
        <v>0</v>
      </c>
      <c r="IV82" s="207">
        <f t="shared" si="1189"/>
        <v>0</v>
      </c>
      <c r="IW82" s="207">
        <f t="shared" si="1189"/>
        <v>0</v>
      </c>
      <c r="IX82" s="207">
        <f t="shared" si="1189"/>
        <v>0</v>
      </c>
      <c r="IY82" s="207">
        <f t="shared" si="1189"/>
        <v>0</v>
      </c>
      <c r="IZ82" s="207">
        <f t="shared" si="1189"/>
        <v>0</v>
      </c>
      <c r="JA82" s="207">
        <f t="shared" si="1189"/>
        <v>0</v>
      </c>
      <c r="JB82" s="207">
        <f t="shared" si="1189"/>
        <v>0</v>
      </c>
      <c r="JC82" s="207">
        <f t="shared" si="1189"/>
        <v>0</v>
      </c>
      <c r="JD82" s="207">
        <f t="shared" si="1189"/>
        <v>0</v>
      </c>
      <c r="JE82" s="207">
        <f t="shared" si="1189"/>
        <v>0</v>
      </c>
      <c r="JF82" s="207">
        <f t="shared" si="1189"/>
        <v>0</v>
      </c>
      <c r="JG82" s="207">
        <f t="shared" si="1189"/>
        <v>0</v>
      </c>
      <c r="JH82" s="207">
        <f t="shared" si="1189"/>
        <v>0</v>
      </c>
      <c r="JI82" s="207">
        <f t="shared" si="1189"/>
        <v>0</v>
      </c>
      <c r="JJ82" s="207">
        <f t="shared" si="1189"/>
        <v>0</v>
      </c>
      <c r="JK82" s="207">
        <f t="shared" si="1189"/>
        <v>0</v>
      </c>
      <c r="JL82" s="207">
        <f t="shared" si="1189"/>
        <v>0</v>
      </c>
      <c r="JM82" s="207">
        <f t="shared" si="1189"/>
        <v>0</v>
      </c>
      <c r="JN82" s="207">
        <f t="shared" si="1189"/>
        <v>0</v>
      </c>
      <c r="JO82" s="207">
        <f t="shared" si="1189"/>
        <v>0</v>
      </c>
      <c r="JP82" s="207">
        <f t="shared" si="1189"/>
        <v>0</v>
      </c>
      <c r="JQ82" s="207">
        <f t="shared" si="1189"/>
        <v>0</v>
      </c>
      <c r="JR82" s="207">
        <f t="shared" si="1189"/>
        <v>0</v>
      </c>
      <c r="JS82" s="207">
        <f t="shared" si="1189"/>
        <v>0</v>
      </c>
      <c r="JT82" s="207">
        <f t="shared" si="1189"/>
        <v>0</v>
      </c>
      <c r="JU82" s="207">
        <f t="shared" si="1189"/>
        <v>0</v>
      </c>
      <c r="JV82" s="207">
        <f t="shared" si="1189"/>
        <v>0</v>
      </c>
      <c r="JW82" s="207">
        <f t="shared" si="1189"/>
        <v>0</v>
      </c>
      <c r="JX82" s="207">
        <f t="shared" si="1189"/>
        <v>0</v>
      </c>
      <c r="JY82" s="207">
        <f t="shared" si="1189"/>
        <v>0</v>
      </c>
      <c r="JZ82" s="207">
        <f t="shared" si="1189"/>
        <v>0</v>
      </c>
      <c r="KA82" s="207">
        <f t="shared" si="1189"/>
        <v>0</v>
      </c>
      <c r="KB82" s="207">
        <f t="shared" si="1189"/>
        <v>0</v>
      </c>
      <c r="KC82" s="207">
        <f t="shared" si="1189"/>
        <v>0</v>
      </c>
      <c r="KD82" s="207">
        <f t="shared" si="1189"/>
        <v>0</v>
      </c>
      <c r="KE82" s="207">
        <f t="shared" si="1189"/>
        <v>0</v>
      </c>
      <c r="KH82" s="219"/>
      <c r="KI82" s="219"/>
      <c r="KJ82" s="219"/>
      <c r="KK82" s="220"/>
      <c r="KL82" s="220"/>
      <c r="KM82" s="221"/>
      <c r="KN82" s="221"/>
      <c r="KO82" s="221"/>
      <c r="KP82" s="221"/>
      <c r="KQ82" s="221"/>
      <c r="KR82" s="221"/>
      <c r="KS82" s="221"/>
      <c r="KT82" s="221"/>
      <c r="KU82" s="221"/>
      <c r="KV82" s="221"/>
      <c r="KW82" s="221"/>
      <c r="KX82" s="221"/>
      <c r="KY82" s="221"/>
      <c r="KZ82" s="221"/>
      <c r="LA82" s="221"/>
      <c r="LB82" s="221"/>
      <c r="LC82" s="221"/>
      <c r="LD82" s="221"/>
      <c r="LE82" s="221"/>
      <c r="LF82" s="221"/>
      <c r="LG82" s="221"/>
      <c r="LH82" s="221"/>
      <c r="LI82" s="221"/>
      <c r="LJ82" s="221"/>
      <c r="LK82" s="221"/>
      <c r="LL82" s="221"/>
      <c r="LM82" s="221"/>
      <c r="LN82" s="221"/>
      <c r="LO82" s="221"/>
      <c r="LP82" s="221"/>
      <c r="LQ82" s="221"/>
      <c r="LR82" s="221"/>
      <c r="LS82" s="221"/>
      <c r="LT82" s="221"/>
      <c r="LU82" s="221"/>
      <c r="LV82" s="221"/>
      <c r="LW82" s="221"/>
      <c r="LX82" s="221"/>
      <c r="LY82" s="221"/>
      <c r="LZ82" s="221"/>
      <c r="MA82" s="221"/>
      <c r="MB82" s="221"/>
      <c r="MC82" s="221"/>
      <c r="MD82" s="221"/>
      <c r="ME82" s="221"/>
      <c r="MF82" s="221"/>
      <c r="MG82" s="221"/>
      <c r="MH82" s="221"/>
      <c r="MI82" s="221"/>
      <c r="MJ82" s="221"/>
      <c r="MK82" s="221"/>
      <c r="ML82" s="221"/>
      <c r="MM82" s="221"/>
      <c r="MN82" s="221"/>
      <c r="MO82" s="221"/>
      <c r="MP82" s="221"/>
      <c r="MQ82" s="221"/>
      <c r="MR82" s="221"/>
      <c r="MS82" s="221"/>
      <c r="MT82" s="221"/>
      <c r="MU82" s="221"/>
      <c r="MV82" s="221"/>
      <c r="MW82" s="221"/>
      <c r="MX82" s="221"/>
      <c r="MY82" s="221"/>
      <c r="MZ82" s="221"/>
      <c r="NA82" s="221"/>
      <c r="NB82" s="221"/>
      <c r="NC82" s="221"/>
      <c r="ND82" s="221"/>
      <c r="NE82" s="221"/>
      <c r="NF82" s="221"/>
      <c r="NG82" s="221"/>
      <c r="NH82" s="221"/>
      <c r="NI82" s="221"/>
      <c r="NJ82" s="221"/>
      <c r="NK82" s="221"/>
      <c r="NL82" s="221"/>
      <c r="NM82" s="221"/>
      <c r="NN82" s="221"/>
      <c r="NO82" s="221"/>
      <c r="NP82" s="221"/>
      <c r="NQ82" s="221"/>
      <c r="NR82" s="221"/>
      <c r="NS82" s="221"/>
      <c r="NT82" s="221"/>
      <c r="NU82" s="221"/>
      <c r="NV82" s="221"/>
      <c r="NW82" s="221"/>
      <c r="NX82" s="221"/>
      <c r="NY82" s="221"/>
      <c r="NZ82" s="221"/>
      <c r="OA82" s="221"/>
      <c r="OB82" s="221"/>
      <c r="OC82" s="221"/>
      <c r="OD82" s="221"/>
      <c r="OE82" s="221"/>
      <c r="OF82" s="221"/>
      <c r="OG82" s="221"/>
      <c r="OH82" s="221"/>
      <c r="OI82" s="221"/>
      <c r="OJ82" s="221"/>
      <c r="OK82" s="221"/>
      <c r="OL82" s="221"/>
      <c r="OM82" s="221"/>
      <c r="ON82" s="221"/>
      <c r="OO82" s="221"/>
      <c r="OP82" s="221"/>
      <c r="OQ82" s="221"/>
      <c r="OR82" s="221"/>
      <c r="OS82" s="221"/>
      <c r="OT82" s="221"/>
      <c r="OU82" s="221"/>
      <c r="OV82" s="221"/>
      <c r="OW82" s="221"/>
      <c r="OX82" s="221"/>
      <c r="OY82" s="221"/>
      <c r="OZ82" s="221"/>
      <c r="PA82" s="221"/>
      <c r="PB82" s="221"/>
      <c r="PC82" s="221"/>
      <c r="PD82" s="221"/>
      <c r="PE82" s="221"/>
      <c r="PF82" s="221"/>
      <c r="PG82" s="221"/>
      <c r="PH82" s="221"/>
      <c r="PI82" s="221"/>
      <c r="PJ82" s="221"/>
      <c r="PK82" s="221"/>
      <c r="PL82" s="221"/>
      <c r="PM82" s="221"/>
      <c r="PN82" s="221"/>
      <c r="PO82" s="221"/>
      <c r="PQ82" s="201"/>
      <c r="PR82" s="201"/>
      <c r="PS82" s="201"/>
      <c r="PT82" s="201"/>
      <c r="PU82" s="201"/>
      <c r="PV82" s="201"/>
      <c r="PW82" s="201"/>
      <c r="PX82" s="201"/>
      <c r="PY82" s="201"/>
      <c r="PZ82" s="201"/>
      <c r="QA82" s="201"/>
      <c r="QB82" s="201"/>
      <c r="QC82" s="201"/>
      <c r="QD82" s="201"/>
      <c r="QE82" s="201"/>
      <c r="QF82" s="201"/>
      <c r="QG82" s="201"/>
      <c r="QH82" s="201"/>
      <c r="QI82" s="201"/>
      <c r="QJ82" s="201"/>
      <c r="QK82" s="201"/>
      <c r="QL82" s="201"/>
      <c r="QM82" s="201"/>
      <c r="QN82" s="201"/>
      <c r="QO82" s="201"/>
      <c r="QP82" s="201"/>
      <c r="QQ82" s="201"/>
      <c r="QR82" s="201"/>
      <c r="QS82" s="201"/>
      <c r="QT82" s="201"/>
      <c r="QU82" s="201"/>
      <c r="QV82" s="201"/>
      <c r="QW82" s="201"/>
      <c r="QX82" s="201"/>
      <c r="QY82" s="201"/>
      <c r="QZ82" s="201"/>
      <c r="RA82" s="201"/>
      <c r="RB82" s="201"/>
      <c r="RC82" s="201"/>
      <c r="RD82" s="201"/>
      <c r="RE82" s="201"/>
      <c r="RF82" s="201"/>
      <c r="RG82" s="201"/>
      <c r="RH82" s="201"/>
      <c r="RI82" s="201"/>
      <c r="RJ82" s="201"/>
      <c r="RK82" s="201"/>
      <c r="RL82" s="201"/>
      <c r="RM82" s="201"/>
      <c r="RN82" s="201"/>
      <c r="RO82" s="201"/>
      <c r="RP82" s="201"/>
      <c r="RQ82" s="201"/>
      <c r="RR82" s="201"/>
      <c r="RS82" s="201"/>
      <c r="RT82" s="201"/>
      <c r="RU82" s="201"/>
      <c r="RV82" s="201"/>
      <c r="RW82" s="201"/>
      <c r="RX82" s="201"/>
      <c r="RY82" s="201"/>
      <c r="RZ82" s="201"/>
      <c r="SA82" s="201"/>
      <c r="SB82" s="201"/>
      <c r="SC82" s="201"/>
      <c r="SD82" s="201"/>
      <c r="SE82" s="201"/>
      <c r="SF82" s="201"/>
      <c r="SG82" s="201"/>
      <c r="SH82" s="201"/>
      <c r="SI82" s="201"/>
      <c r="SJ82" s="201"/>
      <c r="SK82" s="201"/>
      <c r="SL82" s="201"/>
      <c r="SM82" s="201"/>
      <c r="SN82" s="201"/>
      <c r="SO82" s="201"/>
      <c r="SP82" s="201"/>
      <c r="SQ82" s="201"/>
      <c r="SR82" s="201"/>
      <c r="SS82" s="201"/>
      <c r="ST82" s="201"/>
      <c r="SU82" s="201"/>
      <c r="SV82" s="201"/>
      <c r="SW82" s="201"/>
      <c r="SX82" s="201"/>
      <c r="SY82" s="201"/>
      <c r="SZ82" s="201"/>
      <c r="TA82" s="201"/>
      <c r="TB82" s="201"/>
      <c r="TC82" s="201"/>
      <c r="TD82" s="201"/>
      <c r="TE82" s="201"/>
      <c r="TF82" s="201"/>
      <c r="TG82" s="201"/>
      <c r="TH82" s="201"/>
      <c r="TI82" s="201"/>
      <c r="TJ82" s="201"/>
      <c r="TK82" s="201"/>
      <c r="TL82" s="201"/>
      <c r="TM82" s="201"/>
      <c r="TN82" s="201"/>
      <c r="TO82" s="201"/>
      <c r="TP82" s="201"/>
      <c r="TQ82" s="201"/>
      <c r="TR82" s="201"/>
      <c r="TS82" s="201"/>
      <c r="TT82" s="201"/>
      <c r="TU82" s="201"/>
      <c r="TV82" s="201"/>
      <c r="TW82" s="201"/>
      <c r="TX82" s="201"/>
      <c r="TY82" s="201"/>
      <c r="TZ82" s="201"/>
      <c r="UA82" s="201"/>
      <c r="UB82" s="201"/>
      <c r="UC82" s="201"/>
      <c r="UD82" s="201"/>
      <c r="UE82" s="201"/>
      <c r="UF82" s="201"/>
      <c r="UG82" s="201"/>
      <c r="UH82" s="201"/>
      <c r="UI82" s="201"/>
      <c r="UJ82" s="201"/>
      <c r="UK82" s="201"/>
      <c r="UL82" s="201"/>
      <c r="UM82" s="201"/>
      <c r="UN82" s="201"/>
      <c r="UO82" s="201"/>
      <c r="UP82" s="201"/>
      <c r="UQ82" s="201"/>
      <c r="UR82" s="201"/>
      <c r="US82" s="201"/>
      <c r="UT82" s="201"/>
      <c r="UU82" s="201"/>
    </row>
    <row r="83" spans="1:567" ht="5.0999999999999996" customHeight="1" x14ac:dyDescent="0.25">
      <c r="B83" s="85"/>
      <c r="C83" s="59"/>
      <c r="D83" s="18"/>
      <c r="E83" s="59"/>
      <c r="F83" s="18"/>
      <c r="G83" s="98"/>
      <c r="H83" s="81"/>
      <c r="I83" s="81"/>
      <c r="J83" s="82"/>
      <c r="K83" s="82"/>
      <c r="R83" s="90"/>
      <c r="EW83" s="199" t="str">
        <f>B81</f>
        <v>Junior Loan</v>
      </c>
      <c r="EX83" s="219">
        <f t="shared" si="1185"/>
        <v>36</v>
      </c>
      <c r="EY83" s="219">
        <f t="shared" si="1185"/>
        <v>36</v>
      </c>
      <c r="EZ83" s="219">
        <f t="shared" si="1185"/>
        <v>360</v>
      </c>
      <c r="FA83" s="220">
        <f t="shared" si="1185"/>
        <v>0</v>
      </c>
      <c r="FB83" s="220">
        <f t="shared" si="1185"/>
        <v>36</v>
      </c>
      <c r="FC83" s="207">
        <f t="shared" ref="FC83:GH83" si="1190">AND(FC$81&gt;$FA76,FC$81&lt;=$FB76)*((FC$81&lt;=$EY76)*FC76*(FC79/12)+(FC$81&gt;$EY76)*PMT(FC79/12,$EZ76,-$H81))</f>
        <v>0</v>
      </c>
      <c r="FD83" s="207">
        <f t="shared" si="1190"/>
        <v>0</v>
      </c>
      <c r="FE83" s="207">
        <f t="shared" si="1190"/>
        <v>0</v>
      </c>
      <c r="FF83" s="207">
        <f t="shared" si="1190"/>
        <v>0</v>
      </c>
      <c r="FG83" s="207">
        <f t="shared" si="1190"/>
        <v>0</v>
      </c>
      <c r="FH83" s="207">
        <f t="shared" si="1190"/>
        <v>0</v>
      </c>
      <c r="FI83" s="207">
        <f t="shared" si="1190"/>
        <v>0</v>
      </c>
      <c r="FJ83" s="207">
        <f t="shared" si="1190"/>
        <v>0</v>
      </c>
      <c r="FK83" s="207">
        <f t="shared" si="1190"/>
        <v>0</v>
      </c>
      <c r="FL83" s="207">
        <f t="shared" si="1190"/>
        <v>0</v>
      </c>
      <c r="FM83" s="207">
        <f t="shared" si="1190"/>
        <v>0</v>
      </c>
      <c r="FN83" s="207">
        <f t="shared" si="1190"/>
        <v>0</v>
      </c>
      <c r="FO83" s="207">
        <f t="shared" si="1190"/>
        <v>0</v>
      </c>
      <c r="FP83" s="207">
        <f t="shared" si="1190"/>
        <v>0</v>
      </c>
      <c r="FQ83" s="207">
        <f t="shared" si="1190"/>
        <v>0</v>
      </c>
      <c r="FR83" s="207">
        <f t="shared" si="1190"/>
        <v>0</v>
      </c>
      <c r="FS83" s="207">
        <f t="shared" si="1190"/>
        <v>0</v>
      </c>
      <c r="FT83" s="207">
        <f t="shared" si="1190"/>
        <v>0</v>
      </c>
      <c r="FU83" s="207">
        <f t="shared" si="1190"/>
        <v>0</v>
      </c>
      <c r="FV83" s="207">
        <f t="shared" si="1190"/>
        <v>0</v>
      </c>
      <c r="FW83" s="207">
        <f t="shared" si="1190"/>
        <v>0</v>
      </c>
      <c r="FX83" s="207">
        <f t="shared" si="1190"/>
        <v>0</v>
      </c>
      <c r="FY83" s="207">
        <f t="shared" si="1190"/>
        <v>0</v>
      </c>
      <c r="FZ83" s="207">
        <f t="shared" si="1190"/>
        <v>0</v>
      </c>
      <c r="GA83" s="207">
        <f t="shared" si="1190"/>
        <v>0</v>
      </c>
      <c r="GB83" s="207">
        <f t="shared" si="1190"/>
        <v>0</v>
      </c>
      <c r="GC83" s="207">
        <f t="shared" si="1190"/>
        <v>0</v>
      </c>
      <c r="GD83" s="207">
        <f t="shared" si="1190"/>
        <v>0</v>
      </c>
      <c r="GE83" s="207">
        <f t="shared" si="1190"/>
        <v>0</v>
      </c>
      <c r="GF83" s="207">
        <f t="shared" si="1190"/>
        <v>0</v>
      </c>
      <c r="GG83" s="207">
        <f t="shared" si="1190"/>
        <v>0</v>
      </c>
      <c r="GH83" s="207">
        <f t="shared" si="1190"/>
        <v>0</v>
      </c>
      <c r="GI83" s="207">
        <f t="shared" ref="GI83:HN83" si="1191">AND(GI$81&gt;$FA76,GI$81&lt;=$FB76)*((GI$81&lt;=$EY76)*GI76*(GI79/12)+(GI$81&gt;$EY76)*PMT(GI79/12,$EZ76,-$H81))</f>
        <v>0</v>
      </c>
      <c r="GJ83" s="207">
        <f t="shared" si="1191"/>
        <v>0</v>
      </c>
      <c r="GK83" s="207">
        <f t="shared" si="1191"/>
        <v>0</v>
      </c>
      <c r="GL83" s="207">
        <f t="shared" si="1191"/>
        <v>0</v>
      </c>
      <c r="GM83" s="207">
        <f t="shared" si="1191"/>
        <v>0</v>
      </c>
      <c r="GN83" s="207">
        <f t="shared" si="1191"/>
        <v>0</v>
      </c>
      <c r="GO83" s="207">
        <f t="shared" si="1191"/>
        <v>0</v>
      </c>
      <c r="GP83" s="207">
        <f t="shared" si="1191"/>
        <v>0</v>
      </c>
      <c r="GQ83" s="207">
        <f t="shared" si="1191"/>
        <v>0</v>
      </c>
      <c r="GR83" s="207">
        <f t="shared" si="1191"/>
        <v>0</v>
      </c>
      <c r="GS83" s="207">
        <f t="shared" si="1191"/>
        <v>0</v>
      </c>
      <c r="GT83" s="207">
        <f t="shared" si="1191"/>
        <v>0</v>
      </c>
      <c r="GU83" s="207">
        <f t="shared" si="1191"/>
        <v>0</v>
      </c>
      <c r="GV83" s="207">
        <f t="shared" si="1191"/>
        <v>0</v>
      </c>
      <c r="GW83" s="207">
        <f t="shared" si="1191"/>
        <v>0</v>
      </c>
      <c r="GX83" s="207">
        <f t="shared" si="1191"/>
        <v>0</v>
      </c>
      <c r="GY83" s="207">
        <f t="shared" si="1191"/>
        <v>0</v>
      </c>
      <c r="GZ83" s="207">
        <f t="shared" si="1191"/>
        <v>0</v>
      </c>
      <c r="HA83" s="207">
        <f t="shared" si="1191"/>
        <v>0</v>
      </c>
      <c r="HB83" s="207">
        <f t="shared" si="1191"/>
        <v>0</v>
      </c>
      <c r="HC83" s="207">
        <f t="shared" si="1191"/>
        <v>0</v>
      </c>
      <c r="HD83" s="207">
        <f t="shared" si="1191"/>
        <v>0</v>
      </c>
      <c r="HE83" s="207">
        <f t="shared" si="1191"/>
        <v>0</v>
      </c>
      <c r="HF83" s="207">
        <f t="shared" si="1191"/>
        <v>0</v>
      </c>
      <c r="HG83" s="207">
        <f t="shared" si="1191"/>
        <v>0</v>
      </c>
      <c r="HH83" s="207">
        <f t="shared" si="1191"/>
        <v>0</v>
      </c>
      <c r="HI83" s="207">
        <f t="shared" si="1191"/>
        <v>0</v>
      </c>
      <c r="HJ83" s="207">
        <f t="shared" si="1191"/>
        <v>0</v>
      </c>
      <c r="HK83" s="207">
        <f t="shared" si="1191"/>
        <v>0</v>
      </c>
      <c r="HL83" s="207">
        <f t="shared" si="1191"/>
        <v>0</v>
      </c>
      <c r="HM83" s="207">
        <f t="shared" si="1191"/>
        <v>0</v>
      </c>
      <c r="HN83" s="207">
        <f t="shared" si="1191"/>
        <v>0</v>
      </c>
      <c r="HO83" s="207">
        <f t="shared" ref="HO83:IT83" si="1192">AND(HO$81&gt;$FA76,HO$81&lt;=$FB76)*((HO$81&lt;=$EY76)*HO76*(HO79/12)+(HO$81&gt;$EY76)*PMT(HO79/12,$EZ76,-$H81))</f>
        <v>0</v>
      </c>
      <c r="HP83" s="207">
        <f t="shared" si="1192"/>
        <v>0</v>
      </c>
      <c r="HQ83" s="207">
        <f t="shared" si="1192"/>
        <v>0</v>
      </c>
      <c r="HR83" s="207">
        <f t="shared" si="1192"/>
        <v>0</v>
      </c>
      <c r="HS83" s="207">
        <f t="shared" si="1192"/>
        <v>0</v>
      </c>
      <c r="HT83" s="207">
        <f t="shared" si="1192"/>
        <v>0</v>
      </c>
      <c r="HU83" s="207">
        <f t="shared" si="1192"/>
        <v>0</v>
      </c>
      <c r="HV83" s="207">
        <f t="shared" si="1192"/>
        <v>0</v>
      </c>
      <c r="HW83" s="207">
        <f t="shared" si="1192"/>
        <v>0</v>
      </c>
      <c r="HX83" s="207">
        <f t="shared" si="1192"/>
        <v>0</v>
      </c>
      <c r="HY83" s="207">
        <f t="shared" si="1192"/>
        <v>0</v>
      </c>
      <c r="HZ83" s="207">
        <f t="shared" si="1192"/>
        <v>0</v>
      </c>
      <c r="IA83" s="207">
        <f t="shared" si="1192"/>
        <v>0</v>
      </c>
      <c r="IB83" s="207">
        <f t="shared" si="1192"/>
        <v>0</v>
      </c>
      <c r="IC83" s="207">
        <f t="shared" si="1192"/>
        <v>0</v>
      </c>
      <c r="ID83" s="207">
        <f t="shared" si="1192"/>
        <v>0</v>
      </c>
      <c r="IE83" s="207">
        <f t="shared" si="1192"/>
        <v>0</v>
      </c>
      <c r="IF83" s="207">
        <f t="shared" si="1192"/>
        <v>0</v>
      </c>
      <c r="IG83" s="207">
        <f t="shared" si="1192"/>
        <v>0</v>
      </c>
      <c r="IH83" s="207">
        <f t="shared" si="1192"/>
        <v>0</v>
      </c>
      <c r="II83" s="207">
        <f t="shared" si="1192"/>
        <v>0</v>
      </c>
      <c r="IJ83" s="207">
        <f t="shared" si="1192"/>
        <v>0</v>
      </c>
      <c r="IK83" s="207">
        <f t="shared" si="1192"/>
        <v>0</v>
      </c>
      <c r="IL83" s="207">
        <f t="shared" si="1192"/>
        <v>0</v>
      </c>
      <c r="IM83" s="207">
        <f t="shared" si="1192"/>
        <v>0</v>
      </c>
      <c r="IN83" s="207">
        <f t="shared" si="1192"/>
        <v>0</v>
      </c>
      <c r="IO83" s="207">
        <f t="shared" si="1192"/>
        <v>0</v>
      </c>
      <c r="IP83" s="207">
        <f t="shared" si="1192"/>
        <v>0</v>
      </c>
      <c r="IQ83" s="207">
        <f t="shared" si="1192"/>
        <v>0</v>
      </c>
      <c r="IR83" s="207">
        <f t="shared" si="1192"/>
        <v>0</v>
      </c>
      <c r="IS83" s="207">
        <f t="shared" si="1192"/>
        <v>0</v>
      </c>
      <c r="IT83" s="207">
        <f t="shared" si="1192"/>
        <v>0</v>
      </c>
      <c r="IU83" s="207">
        <f t="shared" ref="IU83:KE83" si="1193">AND(IU$81&gt;$FA76,IU$81&lt;=$FB76)*((IU$81&lt;=$EY76)*IU76*(IU79/12)+(IU$81&gt;$EY76)*PMT(IU79/12,$EZ76,-$H81))</f>
        <v>0</v>
      </c>
      <c r="IV83" s="207">
        <f t="shared" si="1193"/>
        <v>0</v>
      </c>
      <c r="IW83" s="207">
        <f t="shared" si="1193"/>
        <v>0</v>
      </c>
      <c r="IX83" s="207">
        <f t="shared" si="1193"/>
        <v>0</v>
      </c>
      <c r="IY83" s="207">
        <f t="shared" si="1193"/>
        <v>0</v>
      </c>
      <c r="IZ83" s="207">
        <f t="shared" si="1193"/>
        <v>0</v>
      </c>
      <c r="JA83" s="207">
        <f t="shared" si="1193"/>
        <v>0</v>
      </c>
      <c r="JB83" s="207">
        <f t="shared" si="1193"/>
        <v>0</v>
      </c>
      <c r="JC83" s="207">
        <f t="shared" si="1193"/>
        <v>0</v>
      </c>
      <c r="JD83" s="207">
        <f t="shared" si="1193"/>
        <v>0</v>
      </c>
      <c r="JE83" s="207">
        <f t="shared" si="1193"/>
        <v>0</v>
      </c>
      <c r="JF83" s="207">
        <f t="shared" si="1193"/>
        <v>0</v>
      </c>
      <c r="JG83" s="207">
        <f t="shared" si="1193"/>
        <v>0</v>
      </c>
      <c r="JH83" s="207">
        <f t="shared" si="1193"/>
        <v>0</v>
      </c>
      <c r="JI83" s="207">
        <f t="shared" si="1193"/>
        <v>0</v>
      </c>
      <c r="JJ83" s="207">
        <f t="shared" si="1193"/>
        <v>0</v>
      </c>
      <c r="JK83" s="207">
        <f t="shared" si="1193"/>
        <v>0</v>
      </c>
      <c r="JL83" s="207">
        <f t="shared" si="1193"/>
        <v>0</v>
      </c>
      <c r="JM83" s="207">
        <f t="shared" si="1193"/>
        <v>0</v>
      </c>
      <c r="JN83" s="207">
        <f t="shared" si="1193"/>
        <v>0</v>
      </c>
      <c r="JO83" s="207">
        <f t="shared" si="1193"/>
        <v>0</v>
      </c>
      <c r="JP83" s="207">
        <f t="shared" si="1193"/>
        <v>0</v>
      </c>
      <c r="JQ83" s="207">
        <f t="shared" si="1193"/>
        <v>0</v>
      </c>
      <c r="JR83" s="207">
        <f t="shared" si="1193"/>
        <v>0</v>
      </c>
      <c r="JS83" s="207">
        <f t="shared" si="1193"/>
        <v>0</v>
      </c>
      <c r="JT83" s="207">
        <f t="shared" si="1193"/>
        <v>0</v>
      </c>
      <c r="JU83" s="207">
        <f t="shared" si="1193"/>
        <v>0</v>
      </c>
      <c r="JV83" s="207">
        <f t="shared" si="1193"/>
        <v>0</v>
      </c>
      <c r="JW83" s="207">
        <f t="shared" si="1193"/>
        <v>0</v>
      </c>
      <c r="JX83" s="207">
        <f t="shared" si="1193"/>
        <v>0</v>
      </c>
      <c r="JY83" s="207">
        <f t="shared" si="1193"/>
        <v>0</v>
      </c>
      <c r="JZ83" s="207">
        <f t="shared" si="1193"/>
        <v>0</v>
      </c>
      <c r="KA83" s="207">
        <f t="shared" si="1193"/>
        <v>0</v>
      </c>
      <c r="KB83" s="207">
        <f t="shared" si="1193"/>
        <v>0</v>
      </c>
      <c r="KC83" s="207">
        <f t="shared" si="1193"/>
        <v>0</v>
      </c>
      <c r="KD83" s="207">
        <f t="shared" si="1193"/>
        <v>0</v>
      </c>
      <c r="KE83" s="207">
        <f t="shared" si="1193"/>
        <v>0</v>
      </c>
      <c r="KH83" s="219"/>
      <c r="KI83" s="219"/>
      <c r="KJ83" s="219"/>
      <c r="KK83" s="220"/>
      <c r="KL83" s="220"/>
      <c r="KM83" s="221"/>
      <c r="KN83" s="221"/>
      <c r="KO83" s="221"/>
      <c r="KP83" s="221"/>
      <c r="KQ83" s="221"/>
      <c r="KR83" s="221"/>
      <c r="KS83" s="221"/>
      <c r="KT83" s="221"/>
      <c r="KU83" s="221"/>
      <c r="KV83" s="221"/>
      <c r="KW83" s="221"/>
      <c r="KX83" s="221"/>
      <c r="KY83" s="221"/>
      <c r="KZ83" s="221"/>
      <c r="LA83" s="221"/>
      <c r="LB83" s="221"/>
      <c r="LC83" s="221"/>
      <c r="LD83" s="221"/>
      <c r="LE83" s="221"/>
      <c r="LF83" s="221"/>
      <c r="LG83" s="221"/>
      <c r="LH83" s="221"/>
      <c r="LI83" s="221"/>
      <c r="LJ83" s="221"/>
      <c r="LK83" s="221"/>
      <c r="LL83" s="221"/>
      <c r="LM83" s="221"/>
      <c r="LN83" s="221"/>
      <c r="LO83" s="221"/>
      <c r="LP83" s="221"/>
      <c r="LQ83" s="221"/>
      <c r="LR83" s="221"/>
      <c r="LS83" s="221"/>
      <c r="LT83" s="221"/>
      <c r="LU83" s="221"/>
      <c r="LV83" s="221"/>
      <c r="LW83" s="221"/>
      <c r="LX83" s="221"/>
      <c r="LY83" s="221"/>
      <c r="LZ83" s="221"/>
      <c r="MA83" s="221"/>
      <c r="MB83" s="221"/>
      <c r="MC83" s="221"/>
      <c r="MD83" s="221"/>
      <c r="ME83" s="221"/>
      <c r="MF83" s="221"/>
      <c r="MG83" s="221"/>
      <c r="MH83" s="221"/>
      <c r="MI83" s="221"/>
      <c r="MJ83" s="221"/>
      <c r="MK83" s="221"/>
      <c r="ML83" s="221"/>
      <c r="MM83" s="221"/>
      <c r="MN83" s="221"/>
      <c r="MO83" s="221"/>
      <c r="MP83" s="221"/>
      <c r="MQ83" s="221"/>
      <c r="MR83" s="221"/>
      <c r="MS83" s="221"/>
      <c r="MT83" s="221"/>
      <c r="MU83" s="221"/>
      <c r="MV83" s="221"/>
      <c r="MW83" s="221"/>
      <c r="MX83" s="221"/>
      <c r="MY83" s="221"/>
      <c r="MZ83" s="221"/>
      <c r="NA83" s="221"/>
      <c r="NB83" s="221"/>
      <c r="NC83" s="221"/>
      <c r="ND83" s="221"/>
      <c r="NE83" s="221"/>
      <c r="NF83" s="221"/>
      <c r="NG83" s="221"/>
      <c r="NH83" s="221"/>
      <c r="NI83" s="221"/>
      <c r="NJ83" s="221"/>
      <c r="NK83" s="221"/>
      <c r="NL83" s="221"/>
      <c r="NM83" s="221"/>
      <c r="NN83" s="221"/>
      <c r="NO83" s="221"/>
      <c r="NP83" s="221"/>
      <c r="NQ83" s="221"/>
      <c r="NR83" s="221"/>
      <c r="NS83" s="221"/>
      <c r="NT83" s="221"/>
      <c r="NU83" s="221"/>
      <c r="NV83" s="221"/>
      <c r="NW83" s="221"/>
      <c r="NX83" s="221"/>
      <c r="NY83" s="221"/>
      <c r="NZ83" s="221"/>
      <c r="OA83" s="221"/>
      <c r="OB83" s="221"/>
      <c r="OC83" s="221"/>
      <c r="OD83" s="221"/>
      <c r="OE83" s="221"/>
      <c r="OF83" s="221"/>
      <c r="OG83" s="221"/>
      <c r="OH83" s="221"/>
      <c r="OI83" s="221"/>
      <c r="OJ83" s="221"/>
      <c r="OK83" s="221"/>
      <c r="OL83" s="221"/>
      <c r="OM83" s="221"/>
      <c r="ON83" s="221"/>
      <c r="OO83" s="221"/>
      <c r="OP83" s="221"/>
      <c r="OQ83" s="221"/>
      <c r="OR83" s="221"/>
      <c r="OS83" s="221"/>
      <c r="OT83" s="221"/>
      <c r="OU83" s="221"/>
      <c r="OV83" s="221"/>
      <c r="OW83" s="221"/>
      <c r="OX83" s="221"/>
      <c r="OY83" s="221"/>
      <c r="OZ83" s="221"/>
      <c r="PA83" s="221"/>
      <c r="PB83" s="221"/>
      <c r="PC83" s="221"/>
      <c r="PD83" s="221"/>
      <c r="PE83" s="221"/>
      <c r="PF83" s="221"/>
      <c r="PG83" s="221"/>
      <c r="PH83" s="221"/>
      <c r="PI83" s="221"/>
      <c r="PJ83" s="221"/>
      <c r="PK83" s="221"/>
      <c r="PL83" s="221"/>
      <c r="PM83" s="221"/>
      <c r="PN83" s="221"/>
      <c r="PO83" s="221"/>
      <c r="PQ83" s="201"/>
      <c r="PR83" s="201"/>
      <c r="PS83" s="201"/>
      <c r="PT83" s="201"/>
      <c r="PU83" s="201"/>
      <c r="PV83" s="201"/>
      <c r="PW83" s="201"/>
      <c r="PX83" s="201"/>
      <c r="PY83" s="201"/>
      <c r="PZ83" s="201"/>
      <c r="QA83" s="201"/>
      <c r="QB83" s="201"/>
      <c r="QC83" s="201"/>
      <c r="QD83" s="201"/>
      <c r="QE83" s="201"/>
      <c r="QF83" s="201"/>
      <c r="QG83" s="201"/>
      <c r="QH83" s="201"/>
      <c r="QI83" s="201"/>
      <c r="QJ83" s="201"/>
      <c r="QK83" s="201"/>
      <c r="QL83" s="201"/>
      <c r="QM83" s="201"/>
      <c r="QN83" s="201"/>
      <c r="QO83" s="201"/>
      <c r="QP83" s="201"/>
      <c r="QQ83" s="201"/>
      <c r="QR83" s="201"/>
      <c r="QS83" s="201"/>
      <c r="QT83" s="201"/>
      <c r="QU83" s="201"/>
      <c r="QV83" s="201"/>
      <c r="QW83" s="201"/>
      <c r="QX83" s="201"/>
      <c r="QY83" s="201"/>
      <c r="QZ83" s="201"/>
      <c r="RA83" s="201"/>
      <c r="RB83" s="201"/>
      <c r="RC83" s="201"/>
      <c r="RD83" s="201"/>
      <c r="RE83" s="201"/>
      <c r="RF83" s="201"/>
      <c r="RG83" s="201"/>
      <c r="RH83" s="201"/>
      <c r="RI83" s="201"/>
      <c r="RJ83" s="201"/>
      <c r="RK83" s="201"/>
      <c r="RL83" s="201"/>
      <c r="RM83" s="201"/>
      <c r="RN83" s="201"/>
      <c r="RO83" s="201"/>
      <c r="RP83" s="201"/>
      <c r="RQ83" s="201"/>
      <c r="RR83" s="201"/>
      <c r="RS83" s="201"/>
      <c r="RT83" s="201"/>
      <c r="RU83" s="201"/>
      <c r="RV83" s="201"/>
      <c r="RW83" s="201"/>
      <c r="RX83" s="201"/>
      <c r="RY83" s="201"/>
      <c r="RZ83" s="201"/>
      <c r="SA83" s="201"/>
      <c r="SB83" s="201"/>
      <c r="SC83" s="201"/>
      <c r="SD83" s="201"/>
      <c r="SE83" s="201"/>
      <c r="SF83" s="201"/>
      <c r="SG83" s="201"/>
      <c r="SH83" s="201"/>
      <c r="SI83" s="201"/>
      <c r="SJ83" s="201"/>
      <c r="SK83" s="201"/>
      <c r="SL83" s="201"/>
      <c r="SM83" s="201"/>
      <c r="SN83" s="201"/>
      <c r="SO83" s="201"/>
      <c r="SP83" s="201"/>
      <c r="SQ83" s="201"/>
      <c r="SR83" s="201"/>
      <c r="SS83" s="201"/>
      <c r="ST83" s="201"/>
      <c r="SU83" s="201"/>
      <c r="SV83" s="201"/>
      <c r="SW83" s="201"/>
      <c r="SX83" s="201"/>
      <c r="SY83" s="201"/>
      <c r="SZ83" s="201"/>
      <c r="TA83" s="201"/>
      <c r="TB83" s="201"/>
      <c r="TC83" s="201"/>
      <c r="TD83" s="201"/>
      <c r="TE83" s="201"/>
      <c r="TF83" s="201"/>
      <c r="TG83" s="201"/>
      <c r="TH83" s="201"/>
      <c r="TI83" s="201"/>
      <c r="TJ83" s="201"/>
      <c r="TK83" s="201"/>
      <c r="TL83" s="201"/>
      <c r="TM83" s="201"/>
      <c r="TN83" s="201"/>
      <c r="TO83" s="201"/>
      <c r="TP83" s="201"/>
      <c r="TQ83" s="201"/>
      <c r="TR83" s="201"/>
      <c r="TS83" s="201"/>
      <c r="TT83" s="201"/>
      <c r="TU83" s="201"/>
      <c r="TV83" s="201"/>
      <c r="TW83" s="201"/>
      <c r="TX83" s="201"/>
      <c r="TY83" s="201"/>
      <c r="TZ83" s="201"/>
      <c r="UA83" s="201"/>
      <c r="UB83" s="201"/>
      <c r="UC83" s="201"/>
      <c r="UD83" s="201"/>
      <c r="UE83" s="201"/>
      <c r="UF83" s="201"/>
      <c r="UG83" s="201"/>
      <c r="UH83" s="201"/>
      <c r="UI83" s="201"/>
      <c r="UJ83" s="201"/>
      <c r="UK83" s="201"/>
      <c r="UL83" s="201"/>
      <c r="UM83" s="201"/>
      <c r="UN83" s="201"/>
      <c r="UO83" s="201"/>
      <c r="UP83" s="201"/>
      <c r="UQ83" s="201"/>
      <c r="UR83" s="201"/>
      <c r="US83" s="201"/>
      <c r="UT83" s="201"/>
      <c r="UU83" s="201"/>
    </row>
    <row r="84" spans="1:567" x14ac:dyDescent="0.25">
      <c r="A84" s="175">
        <v>0</v>
      </c>
      <c r="B84" s="28"/>
      <c r="C84" s="52"/>
      <c r="D84" s="52"/>
      <c r="E84" s="379" t="s">
        <v>329</v>
      </c>
      <c r="F84" s="379" t="s">
        <v>330</v>
      </c>
      <c r="G84" s="52"/>
      <c r="H84" s="45"/>
      <c r="I84" s="55"/>
      <c r="J84" s="36"/>
      <c r="K84" s="36"/>
      <c r="S84" s="101"/>
      <c r="T84" s="101"/>
      <c r="U84" s="101"/>
      <c r="V84" s="101"/>
      <c r="W84" s="101"/>
      <c r="X84" s="101"/>
      <c r="Y84" s="101"/>
      <c r="Z84" s="101"/>
      <c r="AA84" s="101"/>
      <c r="AB84" s="101"/>
      <c r="AC84" s="101"/>
      <c r="AD84" s="101"/>
      <c r="AE84" s="101"/>
      <c r="AF84" s="101"/>
      <c r="AG84" s="101"/>
      <c r="AH84" s="101"/>
      <c r="AI84" s="101"/>
      <c r="AJ84" s="101"/>
      <c r="AK84" s="101"/>
      <c r="AL84" s="101"/>
      <c r="AM84" s="101"/>
      <c r="AN84" s="101"/>
      <c r="AO84" s="101"/>
      <c r="AP84" s="101"/>
      <c r="AQ84" s="101"/>
      <c r="AR84" s="101"/>
      <c r="AS84" s="101"/>
      <c r="AT84" s="101"/>
      <c r="AU84" s="101"/>
      <c r="AV84" s="101"/>
      <c r="AW84" s="101"/>
      <c r="AX84" s="101"/>
      <c r="AY84" s="101"/>
      <c r="AZ84" s="101"/>
      <c r="BA84" s="101"/>
      <c r="BB84" s="101"/>
      <c r="BC84" s="554"/>
      <c r="BD84" s="554"/>
      <c r="BE84" s="101"/>
      <c r="BF84" s="101"/>
      <c r="BG84" s="101"/>
      <c r="BH84" s="101"/>
      <c r="BI84" s="101"/>
      <c r="BJ84" s="101"/>
      <c r="BK84" s="101"/>
      <c r="BL84" s="101"/>
      <c r="BM84" s="101"/>
      <c r="BN84" s="101"/>
      <c r="BO84" s="101"/>
      <c r="BP84" s="101"/>
      <c r="BQ84" s="101"/>
      <c r="BR84" s="101"/>
      <c r="BS84" s="101"/>
      <c r="BT84" s="101"/>
      <c r="BU84" s="101"/>
      <c r="BV84" s="101"/>
      <c r="BW84" s="101"/>
      <c r="BX84" s="101"/>
      <c r="BY84" s="101"/>
      <c r="BZ84" s="101"/>
      <c r="CA84" s="101"/>
      <c r="CB84" s="101"/>
      <c r="CC84" s="101"/>
      <c r="CD84" s="101"/>
      <c r="CE84" s="101"/>
      <c r="CF84" s="101"/>
      <c r="CG84" s="101"/>
      <c r="CH84" s="101"/>
      <c r="CI84" s="101"/>
      <c r="CJ84" s="101"/>
      <c r="CK84" s="101"/>
      <c r="CL84" s="101"/>
      <c r="CM84" s="101"/>
      <c r="CN84" s="101"/>
      <c r="CO84" s="101"/>
      <c r="CP84" s="101"/>
      <c r="CQ84" s="101"/>
      <c r="CR84" s="101"/>
      <c r="CS84" s="101"/>
      <c r="CT84" s="101"/>
      <c r="CU84" s="101"/>
      <c r="CV84" s="101"/>
      <c r="CW84" s="101"/>
      <c r="CX84" s="101"/>
      <c r="CY84" s="101"/>
      <c r="CZ84" s="101"/>
      <c r="DA84" s="101"/>
      <c r="DB84" s="101"/>
      <c r="DC84" s="101"/>
      <c r="DD84" s="101"/>
      <c r="DE84" s="101"/>
      <c r="DF84" s="101"/>
      <c r="DG84" s="101"/>
      <c r="DH84" s="101"/>
      <c r="DI84" s="101"/>
      <c r="DJ84" s="101"/>
      <c r="DK84" s="101"/>
      <c r="DL84" s="101"/>
      <c r="DM84" s="101"/>
      <c r="DN84" s="101"/>
      <c r="DO84" s="101"/>
      <c r="DP84" s="101"/>
      <c r="DQ84" s="101"/>
      <c r="DR84" s="101"/>
      <c r="DS84" s="101"/>
      <c r="DT84" s="101"/>
      <c r="DU84" s="101"/>
      <c r="DV84" s="101"/>
      <c r="DW84" s="101"/>
      <c r="DX84" s="101"/>
      <c r="DY84" s="101"/>
      <c r="DZ84" s="101"/>
      <c r="EA84" s="101"/>
      <c r="EB84" s="101"/>
      <c r="EC84" s="101"/>
      <c r="ED84" s="101"/>
      <c r="EE84" s="101"/>
      <c r="EF84" s="101"/>
      <c r="EG84" s="101"/>
      <c r="EH84" s="101"/>
      <c r="EI84" s="101"/>
      <c r="EJ84" s="101"/>
      <c r="EK84" s="101"/>
      <c r="EL84" s="101"/>
      <c r="EM84" s="101"/>
      <c r="EN84" s="101"/>
      <c r="EO84" s="101"/>
      <c r="EP84" s="101"/>
      <c r="EQ84" s="101"/>
      <c r="ER84" s="101"/>
      <c r="ES84" s="101"/>
      <c r="ET84" s="101"/>
      <c r="EU84" s="101"/>
      <c r="EW84" s="199" t="s">
        <v>396</v>
      </c>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D84" s="2"/>
      <c r="IE84" s="2"/>
      <c r="IF84" s="2"/>
      <c r="IG84" s="2"/>
      <c r="IH84" s="2"/>
      <c r="II84" s="2"/>
      <c r="IJ84" s="2"/>
      <c r="IK84" s="2"/>
      <c r="IL84" s="2"/>
      <c r="IM84" s="2"/>
      <c r="IN84" s="2"/>
      <c r="IO84" s="2"/>
      <c r="IP84" s="2"/>
      <c r="IQ84" s="2"/>
      <c r="IR84" s="2"/>
      <c r="IS84" s="2"/>
      <c r="IT84" s="2"/>
      <c r="IU84" s="2"/>
      <c r="IV84" s="2"/>
      <c r="IW84" s="2"/>
      <c r="IX84" s="2"/>
      <c r="IY84" s="2"/>
      <c r="IZ84" s="2"/>
      <c r="JA84" s="2"/>
      <c r="JB84" s="2"/>
      <c r="JC84" s="2"/>
      <c r="JD84" s="2"/>
      <c r="JE84" s="2"/>
      <c r="JF84" s="2"/>
      <c r="JG84" s="2"/>
      <c r="JH84" s="2"/>
      <c r="JI84" s="2"/>
      <c r="JJ84" s="2"/>
      <c r="JK84" s="2"/>
      <c r="JL84" s="2"/>
      <c r="JM84" s="2"/>
      <c r="JN84" s="2"/>
      <c r="JO84" s="2"/>
      <c r="JP84" s="2"/>
      <c r="JQ84" s="2"/>
      <c r="JR84" s="2"/>
      <c r="JS84" s="2"/>
      <c r="JT84" s="2"/>
      <c r="JU84" s="2"/>
      <c r="JV84" s="2"/>
      <c r="JW84" s="2"/>
      <c r="JX84" s="2"/>
      <c r="JY84" s="2"/>
      <c r="JZ84" s="2"/>
      <c r="KA84" s="2"/>
      <c r="KB84" s="2"/>
      <c r="KC84" s="2"/>
      <c r="KD84" s="2"/>
      <c r="KE84" s="2"/>
      <c r="KH84" s="219"/>
      <c r="KI84" s="219"/>
      <c r="KJ84" s="219"/>
      <c r="KK84" s="220"/>
      <c r="KL84" s="220"/>
      <c r="KM84" s="221"/>
      <c r="KN84" s="221"/>
      <c r="KO84" s="221"/>
      <c r="KP84" s="221"/>
      <c r="KQ84" s="221"/>
      <c r="KR84" s="221"/>
      <c r="KS84" s="221"/>
      <c r="KT84" s="221"/>
      <c r="KU84" s="221"/>
      <c r="KV84" s="221"/>
      <c r="KW84" s="221"/>
      <c r="KX84" s="221"/>
      <c r="KY84" s="221"/>
      <c r="KZ84" s="221"/>
      <c r="LA84" s="221"/>
      <c r="LB84" s="221"/>
      <c r="LC84" s="221"/>
      <c r="LD84" s="221"/>
      <c r="LE84" s="221"/>
      <c r="LF84" s="221"/>
      <c r="LG84" s="221"/>
      <c r="LH84" s="221"/>
      <c r="LI84" s="221"/>
      <c r="LJ84" s="221"/>
      <c r="LK84" s="221"/>
      <c r="LL84" s="221"/>
      <c r="LM84" s="221"/>
      <c r="LN84" s="221"/>
      <c r="LO84" s="221"/>
      <c r="LP84" s="221"/>
      <c r="LQ84" s="221"/>
      <c r="LR84" s="221"/>
      <c r="LS84" s="221"/>
      <c r="LT84" s="221"/>
      <c r="LU84" s="221"/>
      <c r="LV84" s="221"/>
      <c r="LW84" s="221"/>
      <c r="LX84" s="221"/>
      <c r="LY84" s="221"/>
      <c r="LZ84" s="221"/>
      <c r="MA84" s="221"/>
      <c r="MB84" s="221"/>
      <c r="MC84" s="221"/>
      <c r="MD84" s="221"/>
      <c r="ME84" s="221"/>
      <c r="MF84" s="221"/>
      <c r="MG84" s="221"/>
      <c r="MH84" s="221"/>
      <c r="MI84" s="221"/>
      <c r="MJ84" s="221"/>
      <c r="MK84" s="221"/>
      <c r="ML84" s="221"/>
      <c r="MM84" s="221"/>
      <c r="MN84" s="221"/>
      <c r="MO84" s="221"/>
      <c r="MP84" s="221"/>
      <c r="MQ84" s="221"/>
      <c r="MR84" s="221"/>
      <c r="MS84" s="221"/>
      <c r="MT84" s="221"/>
      <c r="MU84" s="221"/>
      <c r="MV84" s="221"/>
      <c r="MW84" s="221"/>
      <c r="MX84" s="221"/>
      <c r="MY84" s="221"/>
      <c r="MZ84" s="221"/>
      <c r="NA84" s="221"/>
      <c r="NB84" s="221"/>
      <c r="NC84" s="221"/>
      <c r="ND84" s="221"/>
      <c r="NE84" s="221"/>
      <c r="NF84" s="221"/>
      <c r="NG84" s="221"/>
      <c r="NH84" s="221"/>
      <c r="NI84" s="221"/>
      <c r="NJ84" s="221"/>
      <c r="NK84" s="221"/>
      <c r="NL84" s="221"/>
      <c r="NM84" s="221"/>
      <c r="NN84" s="221"/>
      <c r="NO84" s="221"/>
      <c r="NP84" s="221"/>
      <c r="NQ84" s="221"/>
      <c r="NR84" s="221"/>
      <c r="NS84" s="221"/>
      <c r="NT84" s="221"/>
      <c r="NU84" s="221"/>
      <c r="NV84" s="221"/>
      <c r="NW84" s="221"/>
      <c r="NX84" s="221"/>
      <c r="NY84" s="221"/>
      <c r="NZ84" s="221"/>
      <c r="OA84" s="221"/>
      <c r="OB84" s="221"/>
      <c r="OC84" s="221"/>
      <c r="OD84" s="221"/>
      <c r="OE84" s="221"/>
      <c r="OF84" s="221"/>
      <c r="OG84" s="221"/>
      <c r="OH84" s="221"/>
      <c r="OI84" s="221"/>
      <c r="OJ84" s="221"/>
      <c r="OK84" s="221"/>
      <c r="OL84" s="221"/>
      <c r="OM84" s="221"/>
      <c r="ON84" s="221"/>
      <c r="OO84" s="221"/>
      <c r="OP84" s="221"/>
      <c r="OQ84" s="221"/>
      <c r="OR84" s="221"/>
      <c r="OS84" s="221"/>
      <c r="OT84" s="221"/>
      <c r="OU84" s="221"/>
      <c r="OV84" s="221"/>
      <c r="OW84" s="221"/>
      <c r="OX84" s="221"/>
      <c r="OY84" s="221"/>
      <c r="OZ84" s="221"/>
      <c r="PA84" s="221"/>
      <c r="PB84" s="221"/>
      <c r="PC84" s="221"/>
      <c r="PD84" s="221"/>
      <c r="PE84" s="221"/>
      <c r="PF84" s="221"/>
      <c r="PG84" s="221"/>
      <c r="PH84" s="221"/>
      <c r="PI84" s="221"/>
      <c r="PJ84" s="221"/>
      <c r="PK84" s="221"/>
      <c r="PL84" s="221"/>
      <c r="PM84" s="221"/>
      <c r="PN84" s="221"/>
      <c r="PO84" s="221"/>
      <c r="PQ84" s="201"/>
      <c r="PR84" s="201"/>
      <c r="PS84" s="201"/>
      <c r="PT84" s="201"/>
      <c r="PU84" s="201"/>
      <c r="PV84" s="201"/>
      <c r="PW84" s="201"/>
      <c r="PX84" s="201"/>
      <c r="PY84" s="201"/>
      <c r="PZ84" s="201"/>
      <c r="QA84" s="201"/>
      <c r="QB84" s="201"/>
      <c r="QC84" s="201"/>
      <c r="QD84" s="201"/>
      <c r="QE84" s="201"/>
      <c r="QF84" s="201"/>
      <c r="QG84" s="201"/>
      <c r="QH84" s="201"/>
      <c r="QI84" s="201"/>
      <c r="QJ84" s="201"/>
      <c r="QK84" s="201"/>
      <c r="QL84" s="201"/>
      <c r="QM84" s="201"/>
      <c r="QN84" s="201"/>
      <c r="QO84" s="201"/>
      <c r="QP84" s="201"/>
      <c r="QQ84" s="201"/>
      <c r="QR84" s="201"/>
      <c r="QS84" s="201"/>
      <c r="QT84" s="201"/>
      <c r="QU84" s="201"/>
      <c r="QV84" s="201"/>
      <c r="QW84" s="201"/>
      <c r="QX84" s="201"/>
      <c r="QY84" s="201"/>
      <c r="QZ84" s="201"/>
      <c r="RA84" s="201"/>
      <c r="RB84" s="201"/>
      <c r="RC84" s="201"/>
      <c r="RD84" s="201"/>
      <c r="RE84" s="201"/>
      <c r="RF84" s="201"/>
      <c r="RG84" s="201"/>
      <c r="RH84" s="201"/>
      <c r="RI84" s="201"/>
      <c r="RJ84" s="201"/>
      <c r="RK84" s="201"/>
      <c r="RL84" s="201"/>
      <c r="RM84" s="201"/>
      <c r="RN84" s="201"/>
      <c r="RO84" s="201"/>
      <c r="RP84" s="201"/>
      <c r="RQ84" s="201"/>
      <c r="RR84" s="201"/>
      <c r="RS84" s="201"/>
      <c r="RT84" s="201"/>
      <c r="RU84" s="201"/>
      <c r="RV84" s="201"/>
      <c r="RW84" s="201"/>
      <c r="RX84" s="201"/>
      <c r="RY84" s="201"/>
      <c r="RZ84" s="201"/>
      <c r="SA84" s="201"/>
      <c r="SB84" s="201"/>
      <c r="SC84" s="201"/>
      <c r="SD84" s="201"/>
      <c r="SE84" s="201"/>
      <c r="SF84" s="201"/>
      <c r="SG84" s="201"/>
      <c r="SH84" s="201"/>
      <c r="SI84" s="201"/>
      <c r="SJ84" s="201"/>
      <c r="SK84" s="201"/>
      <c r="SL84" s="201"/>
      <c r="SM84" s="201"/>
      <c r="SN84" s="201"/>
      <c r="SO84" s="201"/>
      <c r="SP84" s="201"/>
      <c r="SQ84" s="201"/>
      <c r="SR84" s="201"/>
      <c r="SS84" s="201"/>
      <c r="ST84" s="201"/>
      <c r="SU84" s="201"/>
      <c r="SV84" s="201"/>
      <c r="SW84" s="201"/>
      <c r="SX84" s="201"/>
      <c r="SY84" s="201"/>
      <c r="SZ84" s="201"/>
      <c r="TA84" s="201"/>
      <c r="TB84" s="201"/>
      <c r="TC84" s="201"/>
      <c r="TD84" s="201"/>
      <c r="TE84" s="201"/>
      <c r="TF84" s="201"/>
      <c r="TG84" s="201"/>
      <c r="TH84" s="201"/>
      <c r="TI84" s="201"/>
      <c r="TJ84" s="201"/>
      <c r="TK84" s="201"/>
      <c r="TL84" s="201"/>
      <c r="TM84" s="201"/>
      <c r="TN84" s="201"/>
      <c r="TO84" s="201"/>
      <c r="TP84" s="201"/>
      <c r="TQ84" s="201"/>
      <c r="TR84" s="201"/>
      <c r="TS84" s="201"/>
      <c r="TT84" s="201"/>
      <c r="TU84" s="201"/>
      <c r="TV84" s="201"/>
      <c r="TW84" s="201"/>
      <c r="TX84" s="201"/>
      <c r="TY84" s="201"/>
      <c r="TZ84" s="201"/>
      <c r="UA84" s="201"/>
      <c r="UB84" s="201"/>
      <c r="UC84" s="201"/>
      <c r="UD84" s="201"/>
      <c r="UE84" s="201"/>
      <c r="UF84" s="201"/>
      <c r="UG84" s="201"/>
      <c r="UH84" s="201"/>
      <c r="UI84" s="201"/>
      <c r="UJ84" s="201"/>
      <c r="UK84" s="201"/>
      <c r="UL84" s="201"/>
      <c r="UM84" s="201"/>
      <c r="UN84" s="201"/>
      <c r="UO84" s="201"/>
      <c r="UP84" s="201"/>
      <c r="UQ84" s="201"/>
      <c r="UR84" s="201"/>
      <c r="US84" s="201"/>
      <c r="UT84" s="201"/>
      <c r="UU84" s="201"/>
    </row>
    <row r="85" spans="1:567" ht="5.0999999999999996" customHeight="1" x14ac:dyDescent="0.25">
      <c r="B85" s="380" t="b">
        <f>AND(Toggle_Refi_Sell=1,OR(F76&lt;Analysis_Period,F77&lt;Analysis_Period))</f>
        <v>0</v>
      </c>
      <c r="C85" s="59"/>
      <c r="D85" s="18"/>
      <c r="E85" s="59"/>
      <c r="F85" s="18"/>
      <c r="G85" s="98"/>
      <c r="H85" s="81"/>
      <c r="I85" s="81"/>
      <c r="J85" s="82"/>
      <c r="K85" s="82"/>
      <c r="S85" s="101"/>
      <c r="T85" s="101"/>
      <c r="U85" s="101"/>
      <c r="V85" s="101"/>
      <c r="W85" s="101"/>
      <c r="X85" s="101"/>
      <c r="Y85" s="101"/>
      <c r="Z85" s="101"/>
      <c r="AA85" s="101"/>
      <c r="AB85" s="101"/>
      <c r="AC85" s="101"/>
      <c r="AD85" s="101"/>
      <c r="AE85" s="101"/>
      <c r="AF85" s="101"/>
      <c r="AG85" s="101"/>
      <c r="AH85" s="101"/>
      <c r="AI85" s="101"/>
      <c r="AJ85" s="101"/>
      <c r="AK85" s="101"/>
      <c r="AL85" s="101"/>
      <c r="AM85" s="101"/>
      <c r="AN85" s="101"/>
      <c r="AO85" s="101"/>
      <c r="AP85" s="101"/>
      <c r="AQ85" s="101"/>
      <c r="AR85" s="101"/>
      <c r="AS85" s="101"/>
      <c r="AT85" s="101"/>
      <c r="AU85" s="101"/>
      <c r="AV85" s="101"/>
      <c r="AW85" s="101"/>
      <c r="AX85" s="101"/>
      <c r="AY85" s="101"/>
      <c r="AZ85" s="101"/>
      <c r="BA85" s="101"/>
      <c r="BB85" s="101"/>
      <c r="BC85" s="101"/>
      <c r="BD85" s="101"/>
      <c r="BE85" s="101"/>
      <c r="BF85" s="101"/>
      <c r="BG85" s="101"/>
      <c r="BH85" s="101"/>
      <c r="BI85" s="101"/>
      <c r="BJ85" s="101"/>
      <c r="BK85" s="101"/>
      <c r="BL85" s="101"/>
      <c r="BM85" s="101"/>
      <c r="BN85" s="101"/>
      <c r="BO85" s="101"/>
      <c r="BP85" s="101"/>
      <c r="BQ85" s="101"/>
      <c r="BR85" s="101"/>
      <c r="BS85" s="101"/>
      <c r="BT85" s="101"/>
      <c r="BU85" s="101"/>
      <c r="BV85" s="101"/>
      <c r="BW85" s="101"/>
      <c r="BX85" s="101"/>
      <c r="BY85" s="101"/>
      <c r="BZ85" s="101"/>
      <c r="CA85" s="101"/>
      <c r="CB85" s="101"/>
      <c r="CC85" s="101"/>
      <c r="CD85" s="101"/>
      <c r="CE85" s="101"/>
      <c r="CF85" s="101"/>
      <c r="CG85" s="101"/>
      <c r="CH85" s="101"/>
      <c r="CI85" s="101"/>
      <c r="CJ85" s="101"/>
      <c r="CK85" s="101"/>
      <c r="CL85" s="101"/>
      <c r="CM85" s="101"/>
      <c r="CN85" s="101"/>
      <c r="CO85" s="101"/>
      <c r="CP85" s="101"/>
      <c r="CQ85" s="101"/>
      <c r="CR85" s="101"/>
      <c r="CS85" s="101"/>
      <c r="CT85" s="101"/>
      <c r="CU85" s="101"/>
      <c r="CV85" s="101"/>
      <c r="CW85" s="101"/>
      <c r="CX85" s="101"/>
      <c r="CY85" s="101"/>
      <c r="CZ85" s="101"/>
      <c r="DA85" s="101"/>
      <c r="DB85" s="101"/>
      <c r="DC85" s="101"/>
      <c r="DD85" s="101"/>
      <c r="DE85" s="101"/>
      <c r="DF85" s="101"/>
      <c r="DG85" s="101"/>
      <c r="DH85" s="101"/>
      <c r="DI85" s="101"/>
      <c r="DJ85" s="101"/>
      <c r="DK85" s="101"/>
      <c r="DL85" s="101"/>
      <c r="DM85" s="101"/>
      <c r="DN85" s="101"/>
      <c r="DO85" s="101"/>
      <c r="DP85" s="101"/>
      <c r="DQ85" s="101"/>
      <c r="DR85" s="101"/>
      <c r="DS85" s="101"/>
      <c r="DT85" s="101"/>
      <c r="DU85" s="101"/>
      <c r="DV85" s="101"/>
      <c r="DW85" s="101"/>
      <c r="DX85" s="101"/>
      <c r="DY85" s="101"/>
      <c r="DZ85" s="101"/>
      <c r="EA85" s="101"/>
      <c r="EB85" s="101"/>
      <c r="EC85" s="101"/>
      <c r="ED85" s="101"/>
      <c r="EE85" s="101"/>
      <c r="EF85" s="101"/>
      <c r="EG85" s="101"/>
      <c r="EH85" s="101"/>
      <c r="EI85" s="101"/>
      <c r="EJ85" s="101"/>
      <c r="EK85" s="101"/>
      <c r="EL85" s="101"/>
      <c r="EM85" s="101"/>
      <c r="EN85" s="101"/>
      <c r="EO85" s="101"/>
      <c r="EP85" s="101"/>
      <c r="EQ85" s="101"/>
      <c r="ER85" s="101"/>
      <c r="ES85" s="101"/>
      <c r="ET85" s="101"/>
      <c r="EU85" s="101"/>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D85" s="2"/>
      <c r="IE85" s="2"/>
      <c r="IF85" s="2"/>
      <c r="IG85" s="2"/>
      <c r="IH85" s="2"/>
      <c r="II85" s="2"/>
      <c r="IJ85" s="2"/>
      <c r="IK85" s="2"/>
      <c r="IL85" s="2"/>
      <c r="IM85" s="2"/>
      <c r="IN85" s="2"/>
      <c r="IO85" s="2"/>
      <c r="IP85" s="2"/>
      <c r="IQ85" s="2"/>
      <c r="IR85" s="2"/>
      <c r="IS85" s="2"/>
      <c r="IT85" s="2"/>
      <c r="IU85" s="2"/>
      <c r="IV85" s="2"/>
      <c r="IW85" s="2"/>
      <c r="IX85" s="2"/>
      <c r="IY85" s="2"/>
      <c r="IZ85" s="2"/>
      <c r="JA85" s="2"/>
      <c r="JB85" s="2"/>
      <c r="JC85" s="2"/>
      <c r="JD85" s="2"/>
      <c r="JE85" s="2"/>
      <c r="JF85" s="2"/>
      <c r="JG85" s="2"/>
      <c r="JH85" s="2"/>
      <c r="JI85" s="2"/>
      <c r="JJ85" s="2"/>
      <c r="JK85" s="2"/>
      <c r="JL85" s="2"/>
      <c r="JM85" s="2"/>
      <c r="JN85" s="2"/>
      <c r="JO85" s="2"/>
      <c r="JP85" s="2"/>
      <c r="JQ85" s="2"/>
      <c r="JR85" s="2"/>
      <c r="JS85" s="2"/>
      <c r="JT85" s="2"/>
      <c r="JU85" s="2"/>
      <c r="JV85" s="2"/>
      <c r="JW85" s="2"/>
      <c r="JX85" s="2"/>
      <c r="JY85" s="2"/>
      <c r="JZ85" s="2"/>
      <c r="KA85" s="2"/>
      <c r="KB85" s="2"/>
      <c r="KC85" s="2"/>
      <c r="KD85" s="2"/>
      <c r="KE85" s="2"/>
      <c r="KH85" s="219"/>
      <c r="KI85" s="219"/>
      <c r="KJ85" s="219"/>
      <c r="KK85" s="220"/>
      <c r="KL85" s="220"/>
      <c r="KM85" s="221"/>
      <c r="KN85" s="221"/>
      <c r="KO85" s="221"/>
      <c r="KP85" s="221"/>
      <c r="KQ85" s="221"/>
      <c r="KR85" s="221"/>
      <c r="KS85" s="221"/>
      <c r="KT85" s="221"/>
      <c r="KU85" s="221"/>
      <c r="KV85" s="221"/>
      <c r="KW85" s="221"/>
      <c r="KX85" s="221"/>
      <c r="KY85" s="221"/>
      <c r="KZ85" s="221"/>
      <c r="LA85" s="221"/>
      <c r="LB85" s="221"/>
      <c r="LC85" s="221"/>
      <c r="LD85" s="221"/>
      <c r="LE85" s="221"/>
      <c r="LF85" s="221"/>
      <c r="LG85" s="221"/>
      <c r="LH85" s="221"/>
      <c r="LI85" s="221"/>
      <c r="LJ85" s="221"/>
      <c r="LK85" s="221"/>
      <c r="LL85" s="221"/>
      <c r="LM85" s="221"/>
      <c r="LN85" s="221"/>
      <c r="LO85" s="221"/>
      <c r="LP85" s="221"/>
      <c r="LQ85" s="221"/>
      <c r="LR85" s="221"/>
      <c r="LS85" s="221"/>
      <c r="LT85" s="221"/>
      <c r="LU85" s="221"/>
      <c r="LV85" s="221"/>
      <c r="LW85" s="221"/>
      <c r="LX85" s="221"/>
      <c r="LY85" s="221"/>
      <c r="LZ85" s="221"/>
      <c r="MA85" s="221"/>
      <c r="MB85" s="221"/>
      <c r="MC85" s="221"/>
      <c r="MD85" s="221"/>
      <c r="ME85" s="221"/>
      <c r="MF85" s="221"/>
      <c r="MG85" s="221"/>
      <c r="MH85" s="221"/>
      <c r="MI85" s="221"/>
      <c r="MJ85" s="221"/>
      <c r="MK85" s="221"/>
      <c r="ML85" s="221"/>
      <c r="MM85" s="221"/>
      <c r="MN85" s="221"/>
      <c r="MO85" s="221"/>
      <c r="MP85" s="221"/>
      <c r="MQ85" s="221"/>
      <c r="MR85" s="221"/>
      <c r="MS85" s="221"/>
      <c r="MT85" s="221"/>
      <c r="MU85" s="221"/>
      <c r="MV85" s="221"/>
      <c r="MW85" s="221"/>
      <c r="MX85" s="221"/>
      <c r="MY85" s="221"/>
      <c r="MZ85" s="221"/>
      <c r="NA85" s="221"/>
      <c r="NB85" s="221"/>
      <c r="NC85" s="221"/>
      <c r="ND85" s="221"/>
      <c r="NE85" s="221"/>
      <c r="NF85" s="221"/>
      <c r="NG85" s="221"/>
      <c r="NH85" s="221"/>
      <c r="NI85" s="221"/>
      <c r="NJ85" s="221"/>
      <c r="NK85" s="221"/>
      <c r="NL85" s="221"/>
      <c r="NM85" s="221"/>
      <c r="NN85" s="221"/>
      <c r="NO85" s="221"/>
      <c r="NP85" s="221"/>
      <c r="NQ85" s="221"/>
      <c r="NR85" s="221"/>
      <c r="NS85" s="221"/>
      <c r="NT85" s="221"/>
      <c r="NU85" s="221"/>
      <c r="NV85" s="221"/>
      <c r="NW85" s="221"/>
      <c r="NX85" s="221"/>
      <c r="NY85" s="221"/>
      <c r="NZ85" s="221"/>
      <c r="OA85" s="221"/>
      <c r="OB85" s="221"/>
      <c r="OC85" s="221"/>
      <c r="OD85" s="221"/>
      <c r="OE85" s="221"/>
      <c r="OF85" s="221"/>
      <c r="OG85" s="221"/>
      <c r="OH85" s="221"/>
      <c r="OI85" s="221"/>
      <c r="OJ85" s="221"/>
      <c r="OK85" s="221"/>
      <c r="OL85" s="221"/>
      <c r="OM85" s="221"/>
      <c r="ON85" s="221"/>
      <c r="OO85" s="221"/>
      <c r="OP85" s="221"/>
      <c r="OQ85" s="221"/>
      <c r="OR85" s="221"/>
      <c r="OS85" s="221"/>
      <c r="OT85" s="221"/>
      <c r="OU85" s="221"/>
      <c r="OV85" s="221"/>
      <c r="OW85" s="221"/>
      <c r="OX85" s="221"/>
      <c r="OY85" s="221"/>
      <c r="OZ85" s="221"/>
      <c r="PA85" s="221"/>
      <c r="PB85" s="221"/>
      <c r="PC85" s="221"/>
      <c r="PD85" s="221"/>
      <c r="PE85" s="221"/>
      <c r="PF85" s="221"/>
      <c r="PG85" s="221"/>
      <c r="PH85" s="221"/>
      <c r="PI85" s="221"/>
      <c r="PJ85" s="221"/>
      <c r="PK85" s="221"/>
      <c r="PL85" s="221"/>
      <c r="PM85" s="221"/>
      <c r="PN85" s="221"/>
      <c r="PO85" s="221"/>
      <c r="PQ85" s="201"/>
      <c r="PR85" s="201"/>
      <c r="PS85" s="201"/>
      <c r="PT85" s="201"/>
      <c r="PU85" s="201"/>
      <c r="PV85" s="201"/>
      <c r="PW85" s="201"/>
      <c r="PX85" s="201"/>
      <c r="PY85" s="201"/>
      <c r="PZ85" s="201"/>
      <c r="QA85" s="201"/>
      <c r="QB85" s="201"/>
      <c r="QC85" s="201"/>
      <c r="QD85" s="201"/>
      <c r="QE85" s="201"/>
      <c r="QF85" s="201"/>
      <c r="QG85" s="201"/>
      <c r="QH85" s="201"/>
      <c r="QI85" s="201"/>
      <c r="QJ85" s="201"/>
      <c r="QK85" s="201"/>
      <c r="QL85" s="201"/>
      <c r="QM85" s="201"/>
      <c r="QN85" s="201"/>
      <c r="QO85" s="201"/>
      <c r="QP85" s="201"/>
      <c r="QQ85" s="201"/>
      <c r="QR85" s="201"/>
      <c r="QS85" s="201"/>
      <c r="QT85" s="201"/>
      <c r="QU85" s="201"/>
      <c r="QV85" s="201"/>
      <c r="QW85" s="201"/>
      <c r="QX85" s="201"/>
      <c r="QY85" s="201"/>
      <c r="QZ85" s="201"/>
      <c r="RA85" s="201"/>
      <c r="RB85" s="201"/>
      <c r="RC85" s="201"/>
      <c r="RD85" s="201"/>
      <c r="RE85" s="201"/>
      <c r="RF85" s="201"/>
      <c r="RG85" s="201"/>
      <c r="RH85" s="201"/>
      <c r="RI85" s="201"/>
      <c r="RJ85" s="201"/>
      <c r="RK85" s="201"/>
      <c r="RL85" s="201"/>
      <c r="RM85" s="201"/>
      <c r="RN85" s="201"/>
      <c r="RO85" s="201"/>
      <c r="RP85" s="201"/>
      <c r="RQ85" s="201"/>
      <c r="RR85" s="201"/>
      <c r="RS85" s="201"/>
      <c r="RT85" s="201"/>
      <c r="RU85" s="201"/>
      <c r="RV85" s="201"/>
      <c r="RW85" s="201"/>
      <c r="RX85" s="201"/>
      <c r="RY85" s="201"/>
      <c r="RZ85" s="201"/>
      <c r="SA85" s="201"/>
      <c r="SB85" s="201"/>
      <c r="SC85" s="201"/>
      <c r="SD85" s="201"/>
      <c r="SE85" s="201"/>
      <c r="SF85" s="201"/>
      <c r="SG85" s="201"/>
      <c r="SH85" s="201"/>
      <c r="SI85" s="201"/>
      <c r="SJ85" s="201"/>
      <c r="SK85" s="201"/>
      <c r="SL85" s="201"/>
      <c r="SM85" s="201"/>
      <c r="SN85" s="201"/>
      <c r="SO85" s="201"/>
      <c r="SP85" s="201"/>
      <c r="SQ85" s="201"/>
      <c r="SR85" s="201"/>
      <c r="SS85" s="201"/>
      <c r="ST85" s="201"/>
      <c r="SU85" s="201"/>
      <c r="SV85" s="201"/>
      <c r="SW85" s="201"/>
      <c r="SX85" s="201"/>
      <c r="SY85" s="201"/>
      <c r="SZ85" s="201"/>
      <c r="TA85" s="201"/>
      <c r="TB85" s="201"/>
      <c r="TC85" s="201"/>
      <c r="TD85" s="201"/>
      <c r="TE85" s="201"/>
      <c r="TF85" s="201"/>
      <c r="TG85" s="201"/>
      <c r="TH85" s="201"/>
      <c r="TI85" s="201"/>
      <c r="TJ85" s="201"/>
      <c r="TK85" s="201"/>
      <c r="TL85" s="201"/>
      <c r="TM85" s="201"/>
      <c r="TN85" s="201"/>
      <c r="TO85" s="201"/>
      <c r="TP85" s="201"/>
      <c r="TQ85" s="201"/>
      <c r="TR85" s="201"/>
      <c r="TS85" s="201"/>
      <c r="TT85" s="201"/>
      <c r="TU85" s="201"/>
      <c r="TV85" s="201"/>
      <c r="TW85" s="201"/>
      <c r="TX85" s="201"/>
      <c r="TY85" s="201"/>
      <c r="TZ85" s="201"/>
      <c r="UA85" s="201"/>
      <c r="UB85" s="201"/>
      <c r="UC85" s="201"/>
      <c r="UD85" s="201"/>
      <c r="UE85" s="201"/>
      <c r="UF85" s="201"/>
      <c r="UG85" s="201"/>
      <c r="UH85" s="201"/>
      <c r="UI85" s="201"/>
      <c r="UJ85" s="201"/>
      <c r="UK85" s="201"/>
      <c r="UL85" s="201"/>
      <c r="UM85" s="201"/>
      <c r="UN85" s="201"/>
      <c r="UO85" s="201"/>
      <c r="UP85" s="201"/>
      <c r="UQ85" s="201"/>
      <c r="UR85" s="201"/>
      <c r="US85" s="201"/>
      <c r="UT85" s="201"/>
      <c r="UU85" s="201"/>
    </row>
    <row r="86" spans="1:567" ht="14.25" hidden="1" customHeight="1" x14ac:dyDescent="0.25">
      <c r="B86" s="28" t="s">
        <v>102</v>
      </c>
      <c r="C86" s="59"/>
      <c r="D86" s="381" t="str">
        <f>IF(REFI?=FALSE,"To use Subsequent Financing, Initial Financing Loan Term must end prior to analysis end month","")</f>
        <v>To use Subsequent Financing, Initial Financing Loan Term must end prior to analysis end month</v>
      </c>
      <c r="E86" s="59"/>
      <c r="F86" s="18"/>
      <c r="G86" s="98"/>
      <c r="H86" s="81"/>
      <c r="I86" s="81"/>
      <c r="J86" s="82"/>
      <c r="K86" s="82"/>
      <c r="S86" s="101"/>
      <c r="T86" s="101"/>
      <c r="U86" s="101"/>
      <c r="V86" s="101"/>
      <c r="W86" s="101"/>
      <c r="X86" s="101"/>
      <c r="Y86" s="101"/>
      <c r="Z86" s="101"/>
      <c r="AA86" s="101"/>
      <c r="AB86" s="101"/>
      <c r="AC86" s="101"/>
      <c r="AD86" s="101"/>
      <c r="AE86" s="101"/>
      <c r="AF86" s="101"/>
      <c r="AG86" s="101"/>
      <c r="AH86" s="101"/>
      <c r="AI86" s="101"/>
      <c r="AJ86" s="101"/>
      <c r="AK86" s="101"/>
      <c r="AL86" s="101"/>
      <c r="AM86" s="101"/>
      <c r="AN86" s="101"/>
      <c r="AO86" s="101"/>
      <c r="AP86" s="101"/>
      <c r="AQ86" s="101"/>
      <c r="AR86" s="101"/>
      <c r="AS86" s="101"/>
      <c r="AT86" s="101"/>
      <c r="AU86" s="101"/>
      <c r="AV86" s="101"/>
      <c r="AW86" s="101"/>
      <c r="AX86" s="101"/>
      <c r="AY86" s="101"/>
      <c r="AZ86" s="101"/>
      <c r="BA86" s="101"/>
      <c r="BB86" s="101"/>
      <c r="BC86" s="101"/>
      <c r="BD86" s="101"/>
      <c r="BE86" s="101"/>
      <c r="BF86" s="101"/>
      <c r="BG86" s="101"/>
      <c r="BH86" s="101"/>
      <c r="BI86" s="101"/>
      <c r="BJ86" s="101"/>
      <c r="BK86" s="101"/>
      <c r="BL86" s="101"/>
      <c r="BM86" s="101"/>
      <c r="BN86" s="101"/>
      <c r="BO86" s="101"/>
      <c r="BP86" s="101"/>
      <c r="BQ86" s="101"/>
      <c r="BR86" s="101"/>
      <c r="BS86" s="101"/>
      <c r="BT86" s="101"/>
      <c r="BU86" s="101"/>
      <c r="BV86" s="101"/>
      <c r="BW86" s="101"/>
      <c r="BX86" s="101"/>
      <c r="BY86" s="101"/>
      <c r="BZ86" s="101"/>
      <c r="CA86" s="101"/>
      <c r="CB86" s="101"/>
      <c r="CC86" s="101"/>
      <c r="CD86" s="101"/>
      <c r="CE86" s="101"/>
      <c r="CF86" s="101"/>
      <c r="CG86" s="101"/>
      <c r="CH86" s="101"/>
      <c r="CI86" s="101"/>
      <c r="CJ86" s="101"/>
      <c r="CK86" s="101"/>
      <c r="CL86" s="101"/>
      <c r="CM86" s="101"/>
      <c r="CN86" s="101"/>
      <c r="CO86" s="101"/>
      <c r="CP86" s="101"/>
      <c r="CQ86" s="101"/>
      <c r="CR86" s="101"/>
      <c r="CS86" s="101"/>
      <c r="CT86" s="101"/>
      <c r="CU86" s="101"/>
      <c r="CV86" s="101"/>
      <c r="CW86" s="101"/>
      <c r="CX86" s="101"/>
      <c r="CY86" s="101"/>
      <c r="CZ86" s="101"/>
      <c r="DA86" s="101"/>
      <c r="DB86" s="101"/>
      <c r="DC86" s="101"/>
      <c r="DD86" s="101"/>
      <c r="DE86" s="101"/>
      <c r="DF86" s="101"/>
      <c r="DG86" s="101"/>
      <c r="DH86" s="101"/>
      <c r="DI86" s="101"/>
      <c r="DJ86" s="101"/>
      <c r="DK86" s="101"/>
      <c r="DL86" s="101"/>
      <c r="DM86" s="101"/>
      <c r="DN86" s="101"/>
      <c r="DO86" s="101"/>
      <c r="DP86" s="101"/>
      <c r="DQ86" s="101"/>
      <c r="DR86" s="101"/>
      <c r="DS86" s="101"/>
      <c r="DT86" s="101"/>
      <c r="DU86" s="101"/>
      <c r="DV86" s="101"/>
      <c r="DW86" s="101"/>
      <c r="DX86" s="101"/>
      <c r="DY86" s="101"/>
      <c r="DZ86" s="101"/>
      <c r="EA86" s="101"/>
      <c r="EB86" s="101"/>
      <c r="EC86" s="101"/>
      <c r="ED86" s="101"/>
      <c r="EE86" s="101"/>
      <c r="EF86" s="101"/>
      <c r="EG86" s="101"/>
      <c r="EH86" s="101"/>
      <c r="EI86" s="101"/>
      <c r="EJ86" s="101"/>
      <c r="EK86" s="101"/>
      <c r="EL86" s="101"/>
      <c r="EM86" s="101"/>
      <c r="EN86" s="101"/>
      <c r="EO86" s="101"/>
      <c r="EP86" s="101"/>
      <c r="EQ86" s="101"/>
      <c r="ER86" s="101"/>
      <c r="ES86" s="101"/>
      <c r="ET86" s="101"/>
      <c r="EU86" s="101"/>
      <c r="EW86" s="199" t="s">
        <v>102</v>
      </c>
      <c r="EX86" s="219"/>
      <c r="EY86" s="219"/>
      <c r="EZ86" s="219"/>
      <c r="FA86" s="220"/>
      <c r="FB86" s="220"/>
      <c r="FC86" s="221"/>
      <c r="FD86" s="221"/>
      <c r="FE86" s="221"/>
      <c r="FF86" s="221"/>
      <c r="FG86" s="221"/>
      <c r="FH86" s="221"/>
      <c r="FI86" s="221"/>
      <c r="FJ86" s="221"/>
      <c r="FK86" s="221"/>
      <c r="FL86" s="221"/>
      <c r="FM86" s="221"/>
      <c r="FN86" s="221"/>
      <c r="FO86" s="221"/>
      <c r="FP86" s="221"/>
      <c r="FQ86" s="221"/>
      <c r="FR86" s="221"/>
      <c r="FS86" s="221"/>
      <c r="FT86" s="221"/>
      <c r="FU86" s="221"/>
      <c r="FV86" s="221"/>
      <c r="FW86" s="221"/>
      <c r="FX86" s="221"/>
      <c r="FY86" s="221"/>
      <c r="FZ86" s="221"/>
      <c r="GA86" s="221"/>
      <c r="GB86" s="221"/>
      <c r="GC86" s="221"/>
      <c r="GD86" s="221"/>
      <c r="GE86" s="221"/>
      <c r="GF86" s="221"/>
      <c r="GG86" s="221"/>
      <c r="GH86" s="221"/>
      <c r="GI86" s="221"/>
      <c r="GJ86" s="221"/>
      <c r="GK86" s="221"/>
      <c r="GL86" s="221"/>
      <c r="GM86" s="221"/>
      <c r="GN86" s="221"/>
      <c r="GO86" s="221"/>
      <c r="GP86" s="221"/>
      <c r="GQ86" s="221"/>
      <c r="GR86" s="221"/>
      <c r="GS86" s="221"/>
      <c r="GT86" s="221"/>
      <c r="GU86" s="221"/>
      <c r="GV86" s="221"/>
      <c r="GW86" s="221"/>
      <c r="GX86" s="221"/>
      <c r="GY86" s="221"/>
      <c r="GZ86" s="221"/>
      <c r="HA86" s="221"/>
      <c r="HB86" s="221"/>
      <c r="HC86" s="221"/>
      <c r="HD86" s="221"/>
      <c r="HE86" s="221"/>
      <c r="HF86" s="221"/>
      <c r="HG86" s="221"/>
      <c r="HH86" s="221"/>
      <c r="HI86" s="221"/>
      <c r="HJ86" s="221"/>
      <c r="HK86" s="221"/>
      <c r="HL86" s="221"/>
      <c r="HM86" s="221"/>
      <c r="HN86" s="221"/>
      <c r="HO86" s="221"/>
      <c r="HP86" s="221"/>
      <c r="HQ86" s="221"/>
      <c r="HR86" s="221"/>
      <c r="HS86" s="221"/>
      <c r="HT86" s="221"/>
      <c r="HU86" s="221"/>
      <c r="HV86" s="221"/>
      <c r="HW86" s="221"/>
      <c r="HX86" s="221"/>
      <c r="HY86" s="221"/>
      <c r="HZ86" s="221"/>
      <c r="IA86" s="221"/>
      <c r="IB86" s="221"/>
      <c r="IC86" s="221"/>
      <c r="ID86" s="221"/>
      <c r="IE86" s="221"/>
      <c r="IF86" s="221"/>
      <c r="IG86" s="221"/>
      <c r="IH86" s="221"/>
      <c r="II86" s="221"/>
      <c r="IJ86" s="221"/>
      <c r="IK86" s="221"/>
      <c r="IL86" s="221"/>
      <c r="IM86" s="221"/>
      <c r="IN86" s="221"/>
      <c r="IO86" s="221"/>
      <c r="IP86" s="221"/>
      <c r="IQ86" s="221"/>
      <c r="IR86" s="221"/>
      <c r="IS86" s="221"/>
      <c r="IT86" s="221"/>
      <c r="IU86" s="221"/>
      <c r="IV86" s="221"/>
      <c r="IW86" s="221"/>
      <c r="IX86" s="221"/>
      <c r="IY86" s="221"/>
      <c r="IZ86" s="221"/>
      <c r="JA86" s="221"/>
      <c r="JB86" s="221"/>
      <c r="JC86" s="221"/>
      <c r="JD86" s="221"/>
      <c r="JE86" s="221"/>
      <c r="JF86" s="221"/>
      <c r="JG86" s="221"/>
      <c r="JH86" s="221"/>
      <c r="JI86" s="221"/>
      <c r="JJ86" s="221"/>
      <c r="JK86" s="221"/>
      <c r="JL86" s="221"/>
      <c r="JM86" s="221"/>
      <c r="JN86" s="221"/>
      <c r="JO86" s="221"/>
      <c r="JP86" s="221"/>
      <c r="JQ86" s="221"/>
      <c r="JR86" s="221"/>
      <c r="JS86" s="221"/>
      <c r="JT86" s="221"/>
      <c r="JU86" s="221"/>
      <c r="JV86" s="221"/>
      <c r="JW86" s="221"/>
      <c r="JX86" s="221"/>
      <c r="JY86" s="221"/>
      <c r="JZ86" s="221"/>
      <c r="KA86" s="221"/>
      <c r="KB86" s="221"/>
      <c r="KC86" s="221"/>
      <c r="KD86" s="221"/>
      <c r="KE86" s="221"/>
      <c r="KH86" s="219"/>
      <c r="KI86" s="219"/>
      <c r="KJ86" s="219"/>
      <c r="KK86" s="220"/>
      <c r="KL86" s="220"/>
      <c r="KM86" s="221"/>
      <c r="KN86" s="221"/>
      <c r="KO86" s="221"/>
      <c r="KP86" s="221"/>
      <c r="KQ86" s="221"/>
      <c r="KR86" s="221"/>
      <c r="KS86" s="221"/>
      <c r="KT86" s="221"/>
      <c r="KU86" s="221"/>
      <c r="KV86" s="221"/>
      <c r="KW86" s="221"/>
      <c r="KX86" s="221"/>
      <c r="KY86" s="221"/>
      <c r="KZ86" s="221"/>
      <c r="LA86" s="221"/>
      <c r="LB86" s="221"/>
      <c r="LC86" s="221"/>
      <c r="LD86" s="221"/>
      <c r="LE86" s="221"/>
      <c r="LF86" s="221"/>
      <c r="LG86" s="221"/>
      <c r="LH86" s="221"/>
      <c r="LI86" s="221"/>
      <c r="LJ86" s="221"/>
      <c r="LK86" s="221"/>
      <c r="LL86" s="221"/>
      <c r="LM86" s="221"/>
      <c r="LN86" s="221"/>
      <c r="LO86" s="221"/>
      <c r="LP86" s="221"/>
      <c r="LQ86" s="221"/>
      <c r="LR86" s="221"/>
      <c r="LS86" s="221"/>
      <c r="LT86" s="221"/>
      <c r="LU86" s="221"/>
      <c r="LV86" s="221"/>
      <c r="LW86" s="221"/>
      <c r="LX86" s="221"/>
      <c r="LY86" s="221"/>
      <c r="LZ86" s="221"/>
      <c r="MA86" s="221"/>
      <c r="MB86" s="221"/>
      <c r="MC86" s="221"/>
      <c r="MD86" s="221"/>
      <c r="ME86" s="221"/>
      <c r="MF86" s="221"/>
      <c r="MG86" s="221"/>
      <c r="MH86" s="221"/>
      <c r="MI86" s="221"/>
      <c r="MJ86" s="221"/>
      <c r="MK86" s="221"/>
      <c r="ML86" s="221"/>
      <c r="MM86" s="221"/>
      <c r="MN86" s="221"/>
      <c r="MO86" s="221"/>
      <c r="MP86" s="221"/>
      <c r="MQ86" s="221"/>
      <c r="MR86" s="221"/>
      <c r="MS86" s="221"/>
      <c r="MT86" s="221"/>
      <c r="MU86" s="221"/>
      <c r="MV86" s="221"/>
      <c r="MW86" s="221"/>
      <c r="MX86" s="221"/>
      <c r="MY86" s="221"/>
      <c r="MZ86" s="221"/>
      <c r="NA86" s="221"/>
      <c r="NB86" s="221"/>
      <c r="NC86" s="221"/>
      <c r="ND86" s="221"/>
      <c r="NE86" s="221"/>
      <c r="NF86" s="221"/>
      <c r="NG86" s="221"/>
      <c r="NH86" s="221"/>
      <c r="NI86" s="221"/>
      <c r="NJ86" s="221"/>
      <c r="NK86" s="221"/>
      <c r="NL86" s="221"/>
      <c r="NM86" s="221"/>
      <c r="NN86" s="221"/>
      <c r="NO86" s="221"/>
      <c r="NP86" s="221"/>
      <c r="NQ86" s="221"/>
      <c r="NR86" s="221"/>
      <c r="NS86" s="221"/>
      <c r="NT86" s="221"/>
      <c r="NU86" s="221"/>
      <c r="NV86" s="221"/>
      <c r="NW86" s="221"/>
      <c r="NX86" s="221"/>
      <c r="NY86" s="221"/>
      <c r="NZ86" s="221"/>
      <c r="OA86" s="221"/>
      <c r="OB86" s="221"/>
      <c r="OC86" s="221"/>
      <c r="OD86" s="221"/>
      <c r="OE86" s="221"/>
      <c r="OF86" s="221"/>
      <c r="OG86" s="221"/>
      <c r="OH86" s="221"/>
      <c r="OI86" s="221"/>
      <c r="OJ86" s="221"/>
      <c r="OK86" s="221"/>
      <c r="OL86" s="221"/>
      <c r="OM86" s="221"/>
      <c r="ON86" s="221"/>
      <c r="OO86" s="221"/>
      <c r="OP86" s="221"/>
      <c r="OQ86" s="221"/>
      <c r="OR86" s="221"/>
      <c r="OS86" s="221"/>
      <c r="OT86" s="221"/>
      <c r="OU86" s="221"/>
      <c r="OV86" s="221"/>
      <c r="OW86" s="221"/>
      <c r="OX86" s="221"/>
      <c r="OY86" s="221"/>
      <c r="OZ86" s="221"/>
      <c r="PA86" s="221"/>
      <c r="PB86" s="221"/>
      <c r="PC86" s="221"/>
      <c r="PD86" s="221"/>
      <c r="PE86" s="221"/>
      <c r="PF86" s="221"/>
      <c r="PG86" s="221"/>
      <c r="PH86" s="221"/>
      <c r="PI86" s="221"/>
      <c r="PJ86" s="221"/>
      <c r="PK86" s="221"/>
      <c r="PL86" s="221"/>
      <c r="PM86" s="221"/>
      <c r="PN86" s="221"/>
      <c r="PO86" s="221"/>
      <c r="PQ86" s="201"/>
      <c r="PR86" s="201"/>
      <c r="PS86" s="201"/>
      <c r="PT86" s="201"/>
      <c r="PU86" s="201"/>
      <c r="PV86" s="201"/>
      <c r="PW86" s="201"/>
      <c r="PX86" s="201"/>
      <c r="PY86" s="201"/>
      <c r="PZ86" s="201"/>
      <c r="QA86" s="201"/>
      <c r="QB86" s="201"/>
      <c r="QC86" s="201"/>
      <c r="QD86" s="201"/>
      <c r="QE86" s="201"/>
      <c r="QF86" s="201"/>
      <c r="QG86" s="201"/>
      <c r="QH86" s="201"/>
      <c r="QI86" s="201"/>
      <c r="QJ86" s="201"/>
      <c r="QK86" s="201"/>
      <c r="QL86" s="201"/>
      <c r="QM86" s="201"/>
      <c r="QN86" s="201"/>
      <c r="QO86" s="201"/>
      <c r="QP86" s="201"/>
      <c r="QQ86" s="201"/>
      <c r="QR86" s="201"/>
      <c r="QS86" s="201"/>
      <c r="QT86" s="201"/>
      <c r="QU86" s="201"/>
      <c r="QV86" s="201"/>
      <c r="QW86" s="201"/>
      <c r="QX86" s="201"/>
      <c r="QY86" s="201"/>
      <c r="QZ86" s="201"/>
      <c r="RA86" s="201"/>
      <c r="RB86" s="201"/>
      <c r="RC86" s="201"/>
      <c r="RD86" s="201"/>
      <c r="RE86" s="201"/>
      <c r="RF86" s="201"/>
      <c r="RG86" s="201"/>
      <c r="RH86" s="201"/>
      <c r="RI86" s="201"/>
      <c r="RJ86" s="201"/>
      <c r="RK86" s="201"/>
      <c r="RL86" s="201"/>
      <c r="RM86" s="201"/>
      <c r="RN86" s="201"/>
      <c r="RO86" s="201"/>
      <c r="RP86" s="201"/>
      <c r="RQ86" s="201"/>
      <c r="RR86" s="201"/>
      <c r="RS86" s="201"/>
      <c r="RT86" s="201"/>
      <c r="RU86" s="201"/>
      <c r="RV86" s="201"/>
      <c r="RW86" s="201"/>
      <c r="RX86" s="201"/>
      <c r="RY86" s="201"/>
      <c r="RZ86" s="201"/>
      <c r="SA86" s="201"/>
      <c r="SB86" s="201"/>
      <c r="SC86" s="201"/>
      <c r="SD86" s="201"/>
      <c r="SE86" s="201"/>
      <c r="SF86" s="201"/>
      <c r="SG86" s="201"/>
      <c r="SH86" s="201"/>
      <c r="SI86" s="201"/>
      <c r="SJ86" s="201"/>
      <c r="SK86" s="201"/>
      <c r="SL86" s="201"/>
      <c r="SM86" s="201"/>
      <c r="SN86" s="201"/>
      <c r="SO86" s="201"/>
      <c r="SP86" s="201"/>
      <c r="SQ86" s="201"/>
      <c r="SR86" s="201"/>
      <c r="SS86" s="201"/>
      <c r="ST86" s="201"/>
      <c r="SU86" s="201"/>
      <c r="SV86" s="201"/>
      <c r="SW86" s="201"/>
      <c r="SX86" s="201"/>
      <c r="SY86" s="201"/>
      <c r="SZ86" s="201"/>
      <c r="TA86" s="201"/>
      <c r="TB86" s="201"/>
      <c r="TC86" s="201"/>
      <c r="TD86" s="201"/>
      <c r="TE86" s="201"/>
      <c r="TF86" s="201"/>
      <c r="TG86" s="201"/>
      <c r="TH86" s="201"/>
      <c r="TI86" s="201"/>
      <c r="TJ86" s="201"/>
      <c r="TK86" s="201"/>
      <c r="TL86" s="201"/>
      <c r="TM86" s="201"/>
      <c r="TN86" s="201"/>
      <c r="TO86" s="201"/>
      <c r="TP86" s="201"/>
      <c r="TQ86" s="201"/>
      <c r="TR86" s="201"/>
      <c r="TS86" s="201"/>
      <c r="TT86" s="201"/>
      <c r="TU86" s="201"/>
      <c r="TV86" s="201"/>
      <c r="TW86" s="201"/>
      <c r="TX86" s="201"/>
      <c r="TY86" s="201"/>
      <c r="TZ86" s="201"/>
      <c r="UA86" s="201"/>
      <c r="UB86" s="201"/>
      <c r="UC86" s="201"/>
      <c r="UD86" s="201"/>
      <c r="UE86" s="201"/>
      <c r="UF86" s="201"/>
      <c r="UG86" s="201"/>
      <c r="UH86" s="201"/>
      <c r="UI86" s="201"/>
      <c r="UJ86" s="201"/>
      <c r="UK86" s="201"/>
      <c r="UL86" s="201"/>
      <c r="UM86" s="201"/>
      <c r="UN86" s="201"/>
      <c r="UO86" s="201"/>
      <c r="UP86" s="201"/>
      <c r="UQ86" s="201"/>
      <c r="UR86" s="201"/>
      <c r="US86" s="201"/>
      <c r="UT86" s="201"/>
      <c r="UU86" s="201"/>
    </row>
    <row r="87" spans="1:567" ht="14.25" hidden="1" customHeight="1" x14ac:dyDescent="0.25">
      <c r="B87" s="28" t="s">
        <v>332</v>
      </c>
      <c r="C87" s="76" t="s">
        <v>100</v>
      </c>
      <c r="D87" s="65" t="s">
        <v>45</v>
      </c>
      <c r="E87" s="76" t="s">
        <v>75</v>
      </c>
      <c r="F87" s="59" t="s">
        <v>91</v>
      </c>
      <c r="G87" s="59" t="s">
        <v>92</v>
      </c>
      <c r="H87" s="59" t="s">
        <v>90</v>
      </c>
      <c r="I87" s="59" t="s">
        <v>85</v>
      </c>
      <c r="J87" s="59" t="s">
        <v>86</v>
      </c>
      <c r="K87" s="29" t="s">
        <v>644</v>
      </c>
      <c r="R87" s="555" t="str">
        <f t="shared" ref="R87" si="1194">R75</f>
        <v>30-Day Term SOFR</v>
      </c>
      <c r="S87" s="556">
        <f>S75</f>
        <v>3.6350899999999998E-2</v>
      </c>
      <c r="T87" s="556">
        <f t="shared" ref="T87:CE87" si="1195">T75</f>
        <v>3.6067500000000002E-2</v>
      </c>
      <c r="U87" s="556">
        <f t="shared" si="1195"/>
        <v>3.5242200000000001E-2</v>
      </c>
      <c r="V87" s="556">
        <f t="shared" si="1195"/>
        <v>3.52371E-2</v>
      </c>
      <c r="W87" s="556">
        <f t="shared" si="1195"/>
        <v>3.5058899999999997E-2</v>
      </c>
      <c r="X87" s="556">
        <f t="shared" si="1195"/>
        <v>3.4620999999999999E-2</v>
      </c>
      <c r="Y87" s="556">
        <f t="shared" si="1195"/>
        <v>3.4619400000000002E-2</v>
      </c>
      <c r="Z87" s="556">
        <f t="shared" si="1195"/>
        <v>3.4581500000000001E-2</v>
      </c>
      <c r="AA87" s="556">
        <f t="shared" si="1195"/>
        <v>3.4479099999999999E-2</v>
      </c>
      <c r="AB87" s="556">
        <f t="shared" si="1195"/>
        <v>3.4477099999999997E-2</v>
      </c>
      <c r="AC87" s="556">
        <f t="shared" si="1195"/>
        <v>3.449E-2</v>
      </c>
      <c r="AD87" s="556">
        <f t="shared" si="1195"/>
        <v>3.4513799999999997E-2</v>
      </c>
      <c r="AE87" s="556">
        <f t="shared" si="1195"/>
        <v>3.4550600000000001E-2</v>
      </c>
      <c r="AF87" s="556">
        <f t="shared" si="1195"/>
        <v>3.4597500000000003E-2</v>
      </c>
      <c r="AG87" s="556">
        <f t="shared" si="1195"/>
        <v>3.4668999999999998E-2</v>
      </c>
      <c r="AH87" s="556">
        <f t="shared" si="1195"/>
        <v>3.4737299999999999E-2</v>
      </c>
      <c r="AI87" s="556">
        <f t="shared" si="1195"/>
        <v>3.4810099999999997E-2</v>
      </c>
      <c r="AJ87" s="556">
        <f t="shared" si="1195"/>
        <v>3.4888000000000002E-2</v>
      </c>
      <c r="AK87" s="556">
        <f t="shared" si="1195"/>
        <v>3.4968899999999997E-2</v>
      </c>
      <c r="AL87" s="556">
        <f t="shared" si="1195"/>
        <v>3.5056499999999997E-2</v>
      </c>
      <c r="AM87" s="556">
        <f t="shared" si="1195"/>
        <v>3.5140100000000001E-2</v>
      </c>
      <c r="AN87" s="556">
        <f t="shared" si="1195"/>
        <v>3.5228200000000001E-2</v>
      </c>
      <c r="AO87" s="556">
        <f t="shared" si="1195"/>
        <v>3.5321400000000003E-2</v>
      </c>
      <c r="AP87" s="556">
        <f t="shared" si="1195"/>
        <v>3.5418100000000001E-2</v>
      </c>
      <c r="AQ87" s="556">
        <f t="shared" si="1195"/>
        <v>3.5511399999999999E-2</v>
      </c>
      <c r="AR87" s="556">
        <f t="shared" si="1195"/>
        <v>3.5614199999999999E-2</v>
      </c>
      <c r="AS87" s="556">
        <f t="shared" si="1195"/>
        <v>3.5718899999999998E-2</v>
      </c>
      <c r="AT87" s="556">
        <f t="shared" si="1195"/>
        <v>3.5810700000000001E-2</v>
      </c>
      <c r="AU87" s="556">
        <f t="shared" si="1195"/>
        <v>3.5911899999999997E-2</v>
      </c>
      <c r="AV87" s="556">
        <f t="shared" si="1195"/>
        <v>3.6001499999999999E-2</v>
      </c>
      <c r="AW87" s="556">
        <f t="shared" si="1195"/>
        <v>3.6088000000000002E-2</v>
      </c>
      <c r="AX87" s="556">
        <f t="shared" si="1195"/>
        <v>3.6172700000000002E-2</v>
      </c>
      <c r="AY87" s="556">
        <f t="shared" si="1195"/>
        <v>3.6249999999999998E-2</v>
      </c>
      <c r="AZ87" s="556">
        <f t="shared" si="1195"/>
        <v>3.6332700000000002E-2</v>
      </c>
      <c r="BA87" s="556">
        <f t="shared" si="1195"/>
        <v>3.6400000000000002E-2</v>
      </c>
      <c r="BB87" s="556">
        <f t="shared" si="1195"/>
        <v>3.6465900000000002E-2</v>
      </c>
      <c r="BC87" s="556">
        <f t="shared" si="1195"/>
        <v>3.6529800000000001E-2</v>
      </c>
      <c r="BD87" s="556">
        <f t="shared" si="1195"/>
        <v>3.6579399999999998E-2</v>
      </c>
      <c r="BE87" s="556">
        <f t="shared" si="1195"/>
        <v>3.6637799999999998E-2</v>
      </c>
      <c r="BF87" s="556">
        <f t="shared" si="1195"/>
        <v>3.6688800000000001E-2</v>
      </c>
      <c r="BG87" s="556">
        <f t="shared" si="1195"/>
        <v>3.67462E-2</v>
      </c>
      <c r="BH87" s="556">
        <f t="shared" si="1195"/>
        <v>3.6800699999999999E-2</v>
      </c>
      <c r="BI87" s="556">
        <f t="shared" si="1195"/>
        <v>3.68654E-2</v>
      </c>
      <c r="BJ87" s="556">
        <f t="shared" si="1195"/>
        <v>3.6922499999999997E-2</v>
      </c>
      <c r="BK87" s="556">
        <f t="shared" si="1195"/>
        <v>3.6975599999999997E-2</v>
      </c>
      <c r="BL87" s="556">
        <f t="shared" si="1195"/>
        <v>3.7039999999999997E-2</v>
      </c>
      <c r="BM87" s="556">
        <f t="shared" si="1195"/>
        <v>3.7097699999999997E-2</v>
      </c>
      <c r="BN87" s="556">
        <f t="shared" si="1195"/>
        <v>3.7166900000000003E-2</v>
      </c>
      <c r="BO87" s="556">
        <f t="shared" si="1195"/>
        <v>3.7222100000000001E-2</v>
      </c>
      <c r="BP87" s="556">
        <f t="shared" si="1195"/>
        <v>3.7277299999999999E-2</v>
      </c>
      <c r="BQ87" s="556">
        <f t="shared" si="1195"/>
        <v>3.73444E-2</v>
      </c>
      <c r="BR87" s="556">
        <f t="shared" si="1195"/>
        <v>3.7414000000000003E-2</v>
      </c>
      <c r="BS87" s="556">
        <f t="shared" si="1195"/>
        <v>3.74747E-2</v>
      </c>
      <c r="BT87" s="556">
        <f t="shared" si="1195"/>
        <v>3.75273E-2</v>
      </c>
      <c r="BU87" s="556">
        <f t="shared" si="1195"/>
        <v>3.7591600000000003E-2</v>
      </c>
      <c r="BV87" s="556">
        <f t="shared" si="1195"/>
        <v>3.7650000000000003E-2</v>
      </c>
      <c r="BW87" s="556">
        <f t="shared" si="1195"/>
        <v>3.7703399999999998E-2</v>
      </c>
      <c r="BX87" s="556">
        <f t="shared" si="1195"/>
        <v>3.7761700000000002E-2</v>
      </c>
      <c r="BY87" s="556">
        <f t="shared" si="1195"/>
        <v>3.7817799999999999E-2</v>
      </c>
      <c r="BZ87" s="556">
        <f t="shared" si="1195"/>
        <v>3.7875600000000002E-2</v>
      </c>
      <c r="CA87" s="556">
        <f t="shared" si="1195"/>
        <v>3.7928400000000001E-2</v>
      </c>
      <c r="CB87" s="556">
        <f t="shared" si="1195"/>
        <v>3.7969200000000002E-2</v>
      </c>
      <c r="CC87" s="556">
        <f t="shared" si="1195"/>
        <v>3.8024500000000003E-2</v>
      </c>
      <c r="CD87" s="556">
        <f t="shared" si="1195"/>
        <v>3.8078099999999997E-2</v>
      </c>
      <c r="CE87" s="556">
        <f t="shared" si="1195"/>
        <v>3.8126500000000001E-2</v>
      </c>
      <c r="CF87" s="556">
        <f t="shared" ref="CF87:EQ87" si="1196">CF75</f>
        <v>3.8169099999999997E-2</v>
      </c>
      <c r="CG87" s="556">
        <f t="shared" si="1196"/>
        <v>3.8217800000000003E-2</v>
      </c>
      <c r="CH87" s="556">
        <f t="shared" si="1196"/>
        <v>3.8264199999999998E-2</v>
      </c>
      <c r="CI87" s="556">
        <f t="shared" si="1196"/>
        <v>3.8312300000000001E-2</v>
      </c>
      <c r="CJ87" s="556">
        <f t="shared" si="1196"/>
        <v>3.83579E-2</v>
      </c>
      <c r="CK87" s="556">
        <f t="shared" si="1196"/>
        <v>3.8395400000000003E-2</v>
      </c>
      <c r="CL87" s="556">
        <f t="shared" si="1196"/>
        <v>3.8437499999999999E-2</v>
      </c>
      <c r="CM87" s="556">
        <f t="shared" si="1196"/>
        <v>3.8478400000000003E-2</v>
      </c>
      <c r="CN87" s="556">
        <f t="shared" si="1196"/>
        <v>3.85116E-2</v>
      </c>
      <c r="CO87" s="556">
        <f t="shared" si="1196"/>
        <v>3.8556199999999999E-2</v>
      </c>
      <c r="CP87" s="556">
        <f t="shared" si="1196"/>
        <v>3.8591300000000002E-2</v>
      </c>
      <c r="CQ87" s="556">
        <f t="shared" si="1196"/>
        <v>3.8631100000000002E-2</v>
      </c>
      <c r="CR87" s="556">
        <f t="shared" si="1196"/>
        <v>3.86711E-2</v>
      </c>
      <c r="CS87" s="556">
        <f t="shared" si="1196"/>
        <v>3.8711599999999999E-2</v>
      </c>
      <c r="CT87" s="556">
        <f t="shared" si="1196"/>
        <v>3.8756600000000002E-2</v>
      </c>
      <c r="CU87" s="556">
        <f t="shared" si="1196"/>
        <v>3.8792300000000002E-2</v>
      </c>
      <c r="CV87" s="556">
        <f t="shared" si="1196"/>
        <v>3.8835399999999999E-2</v>
      </c>
      <c r="CW87" s="556">
        <f t="shared" si="1196"/>
        <v>3.8876099999999997E-2</v>
      </c>
      <c r="CX87" s="556">
        <f t="shared" si="1196"/>
        <v>3.8918500000000002E-2</v>
      </c>
      <c r="CY87" s="556">
        <f t="shared" si="1196"/>
        <v>3.8958600000000003E-2</v>
      </c>
      <c r="CZ87" s="556">
        <f t="shared" si="1196"/>
        <v>3.89935E-2</v>
      </c>
      <c r="DA87" s="556">
        <f t="shared" si="1196"/>
        <v>3.9041300000000001E-2</v>
      </c>
      <c r="DB87" s="556">
        <f t="shared" si="1196"/>
        <v>3.9082499999999999E-2</v>
      </c>
      <c r="DC87" s="556">
        <f t="shared" si="1196"/>
        <v>3.9134099999999998E-2</v>
      </c>
      <c r="DD87" s="556">
        <f t="shared" si="1196"/>
        <v>3.9173300000000001E-2</v>
      </c>
      <c r="DE87" s="556">
        <f t="shared" si="1196"/>
        <v>3.9217000000000002E-2</v>
      </c>
      <c r="DF87" s="556">
        <f t="shared" si="1196"/>
        <v>3.9265500000000002E-2</v>
      </c>
      <c r="DG87" s="556">
        <f t="shared" si="1196"/>
        <v>3.9307300000000003E-2</v>
      </c>
      <c r="DH87" s="556">
        <f t="shared" si="1196"/>
        <v>3.9353600000000002E-2</v>
      </c>
      <c r="DI87" s="556">
        <f t="shared" si="1196"/>
        <v>3.9403399999999998E-2</v>
      </c>
      <c r="DJ87" s="556">
        <f t="shared" si="1196"/>
        <v>3.94493E-2</v>
      </c>
      <c r="DK87" s="556">
        <f t="shared" si="1196"/>
        <v>3.9499800000000002E-2</v>
      </c>
      <c r="DL87" s="556">
        <f t="shared" si="1196"/>
        <v>3.9536200000000001E-2</v>
      </c>
      <c r="DM87" s="556">
        <f t="shared" si="1196"/>
        <v>3.95888E-2</v>
      </c>
      <c r="DN87" s="556">
        <f t="shared" si="1196"/>
        <v>3.9631600000000003E-2</v>
      </c>
      <c r="DO87" s="556">
        <f t="shared" si="1196"/>
        <v>3.9685199999999997E-2</v>
      </c>
      <c r="DP87" s="556">
        <f t="shared" si="1196"/>
        <v>3.9730500000000002E-2</v>
      </c>
      <c r="DQ87" s="556">
        <f t="shared" si="1196"/>
        <v>3.9780299999999998E-2</v>
      </c>
      <c r="DR87" s="556">
        <f t="shared" si="1196"/>
        <v>3.9830699999999997E-2</v>
      </c>
      <c r="DS87" s="556">
        <f t="shared" si="1196"/>
        <v>3.9878499999999997E-2</v>
      </c>
      <c r="DT87" s="556">
        <f t="shared" si="1196"/>
        <v>3.9937300000000002E-2</v>
      </c>
      <c r="DU87" s="556">
        <f t="shared" si="1196"/>
        <v>3.9983100000000001E-2</v>
      </c>
      <c r="DV87" s="556">
        <f t="shared" si="1196"/>
        <v>4.0034899999999998E-2</v>
      </c>
      <c r="DW87" s="556">
        <f t="shared" si="1196"/>
        <v>4.0088800000000001E-2</v>
      </c>
      <c r="DX87" s="556">
        <f t="shared" si="1196"/>
        <v>4.0131E-2</v>
      </c>
      <c r="DY87" s="556">
        <f t="shared" si="1196"/>
        <v>4.0188099999999997E-2</v>
      </c>
      <c r="DZ87" s="556">
        <f t="shared" si="1196"/>
        <v>3.2831199999999998E-2</v>
      </c>
      <c r="EA87" s="556">
        <f t="shared" si="1196"/>
        <v>3.2884099999999999E-2</v>
      </c>
      <c r="EB87" s="556">
        <f t="shared" si="1196"/>
        <v>3.2935100000000002E-2</v>
      </c>
      <c r="EC87" s="556">
        <f t="shared" si="1196"/>
        <v>3.2984399999999997E-2</v>
      </c>
      <c r="ED87" s="556">
        <f t="shared" si="1196"/>
        <v>3.3030900000000002E-2</v>
      </c>
      <c r="EE87" s="556">
        <f t="shared" si="1196"/>
        <v>3.3087400000000003E-2</v>
      </c>
      <c r="EF87" s="556">
        <f t="shared" si="1196"/>
        <v>3.3140500000000003E-2</v>
      </c>
      <c r="EG87" s="556">
        <f t="shared" si="1196"/>
        <v>3.3205100000000001E-2</v>
      </c>
      <c r="EH87" s="556">
        <f t="shared" si="1196"/>
        <v>3.3258599999999999E-2</v>
      </c>
      <c r="EI87" s="556">
        <f t="shared" si="1196"/>
        <v>3.33117E-2</v>
      </c>
      <c r="EJ87" s="556">
        <f t="shared" si="1196"/>
        <v>3.33117E-2</v>
      </c>
      <c r="EK87" s="556">
        <f t="shared" si="1196"/>
        <v>3.33117E-2</v>
      </c>
      <c r="EL87" s="556">
        <f t="shared" si="1196"/>
        <v>3.33117E-2</v>
      </c>
      <c r="EM87" s="556">
        <f t="shared" si="1196"/>
        <v>3.33117E-2</v>
      </c>
      <c r="EN87" s="556">
        <f t="shared" si="1196"/>
        <v>3.33117E-2</v>
      </c>
      <c r="EO87" s="556">
        <f t="shared" si="1196"/>
        <v>3.33117E-2</v>
      </c>
      <c r="EP87" s="556">
        <f t="shared" si="1196"/>
        <v>3.33117E-2</v>
      </c>
      <c r="EQ87" s="556">
        <f t="shared" si="1196"/>
        <v>3.33117E-2</v>
      </c>
      <c r="ER87" s="556">
        <f t="shared" ref="ER87:EU87" si="1197">ER75</f>
        <v>3.33117E-2</v>
      </c>
      <c r="ES87" s="556">
        <f t="shared" si="1197"/>
        <v>3.33117E-2</v>
      </c>
      <c r="ET87" s="556">
        <f t="shared" si="1197"/>
        <v>3.33117E-2</v>
      </c>
      <c r="EU87" s="556">
        <f t="shared" si="1197"/>
        <v>3.33117E-2</v>
      </c>
      <c r="EW87" s="199" t="s">
        <v>334</v>
      </c>
      <c r="EX87" s="203" t="s">
        <v>91</v>
      </c>
      <c r="EY87" s="203" t="s">
        <v>92</v>
      </c>
      <c r="EZ87" s="203" t="s">
        <v>90</v>
      </c>
      <c r="FA87" s="203" t="s">
        <v>98</v>
      </c>
      <c r="FB87" s="203" t="s">
        <v>99</v>
      </c>
      <c r="FC87" s="204">
        <v>0</v>
      </c>
      <c r="FD87" s="204">
        <f>+FC87+1</f>
        <v>1</v>
      </c>
      <c r="FE87" s="204">
        <f t="shared" ref="FE87:HP87" si="1198">+FD87+1</f>
        <v>2</v>
      </c>
      <c r="FF87" s="204">
        <f t="shared" si="1198"/>
        <v>3</v>
      </c>
      <c r="FG87" s="204">
        <f t="shared" si="1198"/>
        <v>4</v>
      </c>
      <c r="FH87" s="204">
        <f t="shared" si="1198"/>
        <v>5</v>
      </c>
      <c r="FI87" s="204">
        <f t="shared" si="1198"/>
        <v>6</v>
      </c>
      <c r="FJ87" s="204">
        <f t="shared" si="1198"/>
        <v>7</v>
      </c>
      <c r="FK87" s="204">
        <f t="shared" si="1198"/>
        <v>8</v>
      </c>
      <c r="FL87" s="204">
        <f t="shared" si="1198"/>
        <v>9</v>
      </c>
      <c r="FM87" s="204">
        <f t="shared" si="1198"/>
        <v>10</v>
      </c>
      <c r="FN87" s="204">
        <f t="shared" si="1198"/>
        <v>11</v>
      </c>
      <c r="FO87" s="204">
        <f t="shared" si="1198"/>
        <v>12</v>
      </c>
      <c r="FP87" s="204">
        <f t="shared" si="1198"/>
        <v>13</v>
      </c>
      <c r="FQ87" s="204">
        <f t="shared" si="1198"/>
        <v>14</v>
      </c>
      <c r="FR87" s="204">
        <f t="shared" si="1198"/>
        <v>15</v>
      </c>
      <c r="FS87" s="204">
        <f t="shared" si="1198"/>
        <v>16</v>
      </c>
      <c r="FT87" s="204">
        <f t="shared" si="1198"/>
        <v>17</v>
      </c>
      <c r="FU87" s="204">
        <f t="shared" si="1198"/>
        <v>18</v>
      </c>
      <c r="FV87" s="204">
        <f t="shared" si="1198"/>
        <v>19</v>
      </c>
      <c r="FW87" s="204">
        <f t="shared" si="1198"/>
        <v>20</v>
      </c>
      <c r="FX87" s="204">
        <f t="shared" si="1198"/>
        <v>21</v>
      </c>
      <c r="FY87" s="204">
        <f t="shared" si="1198"/>
        <v>22</v>
      </c>
      <c r="FZ87" s="204">
        <f t="shared" si="1198"/>
        <v>23</v>
      </c>
      <c r="GA87" s="204">
        <f t="shared" si="1198"/>
        <v>24</v>
      </c>
      <c r="GB87" s="204">
        <f t="shared" si="1198"/>
        <v>25</v>
      </c>
      <c r="GC87" s="204">
        <f t="shared" si="1198"/>
        <v>26</v>
      </c>
      <c r="GD87" s="204">
        <f t="shared" si="1198"/>
        <v>27</v>
      </c>
      <c r="GE87" s="204">
        <f t="shared" si="1198"/>
        <v>28</v>
      </c>
      <c r="GF87" s="204">
        <f t="shared" si="1198"/>
        <v>29</v>
      </c>
      <c r="GG87" s="204">
        <f t="shared" si="1198"/>
        <v>30</v>
      </c>
      <c r="GH87" s="204">
        <f t="shared" si="1198"/>
        <v>31</v>
      </c>
      <c r="GI87" s="204">
        <f t="shared" si="1198"/>
        <v>32</v>
      </c>
      <c r="GJ87" s="204">
        <f t="shared" si="1198"/>
        <v>33</v>
      </c>
      <c r="GK87" s="204">
        <f t="shared" si="1198"/>
        <v>34</v>
      </c>
      <c r="GL87" s="204">
        <f t="shared" si="1198"/>
        <v>35</v>
      </c>
      <c r="GM87" s="204">
        <f t="shared" si="1198"/>
        <v>36</v>
      </c>
      <c r="GN87" s="204">
        <f t="shared" si="1198"/>
        <v>37</v>
      </c>
      <c r="GO87" s="204">
        <f t="shared" si="1198"/>
        <v>38</v>
      </c>
      <c r="GP87" s="204">
        <f t="shared" si="1198"/>
        <v>39</v>
      </c>
      <c r="GQ87" s="204">
        <f t="shared" si="1198"/>
        <v>40</v>
      </c>
      <c r="GR87" s="204">
        <f t="shared" si="1198"/>
        <v>41</v>
      </c>
      <c r="GS87" s="204">
        <f t="shared" si="1198"/>
        <v>42</v>
      </c>
      <c r="GT87" s="204">
        <f t="shared" si="1198"/>
        <v>43</v>
      </c>
      <c r="GU87" s="204">
        <f t="shared" si="1198"/>
        <v>44</v>
      </c>
      <c r="GV87" s="204">
        <f t="shared" si="1198"/>
        <v>45</v>
      </c>
      <c r="GW87" s="204">
        <f t="shared" si="1198"/>
        <v>46</v>
      </c>
      <c r="GX87" s="204">
        <f t="shared" si="1198"/>
        <v>47</v>
      </c>
      <c r="GY87" s="204">
        <f t="shared" si="1198"/>
        <v>48</v>
      </c>
      <c r="GZ87" s="204">
        <f t="shared" si="1198"/>
        <v>49</v>
      </c>
      <c r="HA87" s="204">
        <f t="shared" si="1198"/>
        <v>50</v>
      </c>
      <c r="HB87" s="204">
        <f t="shared" si="1198"/>
        <v>51</v>
      </c>
      <c r="HC87" s="204">
        <f t="shared" si="1198"/>
        <v>52</v>
      </c>
      <c r="HD87" s="204">
        <f t="shared" si="1198"/>
        <v>53</v>
      </c>
      <c r="HE87" s="204">
        <f t="shared" si="1198"/>
        <v>54</v>
      </c>
      <c r="HF87" s="204">
        <f t="shared" si="1198"/>
        <v>55</v>
      </c>
      <c r="HG87" s="204">
        <f t="shared" si="1198"/>
        <v>56</v>
      </c>
      <c r="HH87" s="204">
        <f t="shared" si="1198"/>
        <v>57</v>
      </c>
      <c r="HI87" s="204">
        <f t="shared" si="1198"/>
        <v>58</v>
      </c>
      <c r="HJ87" s="204">
        <f t="shared" si="1198"/>
        <v>59</v>
      </c>
      <c r="HK87" s="204">
        <f t="shared" si="1198"/>
        <v>60</v>
      </c>
      <c r="HL87" s="204">
        <f t="shared" si="1198"/>
        <v>61</v>
      </c>
      <c r="HM87" s="204">
        <f t="shared" si="1198"/>
        <v>62</v>
      </c>
      <c r="HN87" s="204">
        <f t="shared" si="1198"/>
        <v>63</v>
      </c>
      <c r="HO87" s="204">
        <f t="shared" si="1198"/>
        <v>64</v>
      </c>
      <c r="HP87" s="204">
        <f t="shared" si="1198"/>
        <v>65</v>
      </c>
      <c r="HQ87" s="204">
        <f t="shared" ref="HQ87:KB87" si="1199">+HP87+1</f>
        <v>66</v>
      </c>
      <c r="HR87" s="204">
        <f t="shared" si="1199"/>
        <v>67</v>
      </c>
      <c r="HS87" s="204">
        <f t="shared" si="1199"/>
        <v>68</v>
      </c>
      <c r="HT87" s="204">
        <f t="shared" si="1199"/>
        <v>69</v>
      </c>
      <c r="HU87" s="204">
        <f t="shared" si="1199"/>
        <v>70</v>
      </c>
      <c r="HV87" s="204">
        <f t="shared" si="1199"/>
        <v>71</v>
      </c>
      <c r="HW87" s="204">
        <f t="shared" si="1199"/>
        <v>72</v>
      </c>
      <c r="HX87" s="204">
        <f t="shared" si="1199"/>
        <v>73</v>
      </c>
      <c r="HY87" s="204">
        <f t="shared" si="1199"/>
        <v>74</v>
      </c>
      <c r="HZ87" s="204">
        <f t="shared" si="1199"/>
        <v>75</v>
      </c>
      <c r="IA87" s="204">
        <f t="shared" si="1199"/>
        <v>76</v>
      </c>
      <c r="IB87" s="204">
        <f t="shared" si="1199"/>
        <v>77</v>
      </c>
      <c r="IC87" s="204">
        <f t="shared" si="1199"/>
        <v>78</v>
      </c>
      <c r="ID87" s="204">
        <f t="shared" si="1199"/>
        <v>79</v>
      </c>
      <c r="IE87" s="204">
        <f t="shared" si="1199"/>
        <v>80</v>
      </c>
      <c r="IF87" s="204">
        <f t="shared" si="1199"/>
        <v>81</v>
      </c>
      <c r="IG87" s="204">
        <f t="shared" si="1199"/>
        <v>82</v>
      </c>
      <c r="IH87" s="204">
        <f t="shared" si="1199"/>
        <v>83</v>
      </c>
      <c r="II87" s="204">
        <f t="shared" si="1199"/>
        <v>84</v>
      </c>
      <c r="IJ87" s="204">
        <f t="shared" si="1199"/>
        <v>85</v>
      </c>
      <c r="IK87" s="204">
        <f t="shared" si="1199"/>
        <v>86</v>
      </c>
      <c r="IL87" s="204">
        <f t="shared" si="1199"/>
        <v>87</v>
      </c>
      <c r="IM87" s="204">
        <f t="shared" si="1199"/>
        <v>88</v>
      </c>
      <c r="IN87" s="204">
        <f t="shared" si="1199"/>
        <v>89</v>
      </c>
      <c r="IO87" s="204">
        <f t="shared" si="1199"/>
        <v>90</v>
      </c>
      <c r="IP87" s="204">
        <f t="shared" si="1199"/>
        <v>91</v>
      </c>
      <c r="IQ87" s="204">
        <f t="shared" si="1199"/>
        <v>92</v>
      </c>
      <c r="IR87" s="204">
        <f t="shared" si="1199"/>
        <v>93</v>
      </c>
      <c r="IS87" s="204">
        <f t="shared" si="1199"/>
        <v>94</v>
      </c>
      <c r="IT87" s="204">
        <f t="shared" si="1199"/>
        <v>95</v>
      </c>
      <c r="IU87" s="204">
        <f t="shared" si="1199"/>
        <v>96</v>
      </c>
      <c r="IV87" s="204">
        <f t="shared" si="1199"/>
        <v>97</v>
      </c>
      <c r="IW87" s="204">
        <f t="shared" si="1199"/>
        <v>98</v>
      </c>
      <c r="IX87" s="204">
        <f t="shared" si="1199"/>
        <v>99</v>
      </c>
      <c r="IY87" s="204">
        <f t="shared" si="1199"/>
        <v>100</v>
      </c>
      <c r="IZ87" s="204">
        <f t="shared" si="1199"/>
        <v>101</v>
      </c>
      <c r="JA87" s="204">
        <f t="shared" si="1199"/>
        <v>102</v>
      </c>
      <c r="JB87" s="204">
        <f t="shared" si="1199"/>
        <v>103</v>
      </c>
      <c r="JC87" s="204">
        <f t="shared" si="1199"/>
        <v>104</v>
      </c>
      <c r="JD87" s="204">
        <f t="shared" si="1199"/>
        <v>105</v>
      </c>
      <c r="JE87" s="204">
        <f t="shared" si="1199"/>
        <v>106</v>
      </c>
      <c r="JF87" s="204">
        <f t="shared" si="1199"/>
        <v>107</v>
      </c>
      <c r="JG87" s="204">
        <f t="shared" si="1199"/>
        <v>108</v>
      </c>
      <c r="JH87" s="204">
        <f t="shared" si="1199"/>
        <v>109</v>
      </c>
      <c r="JI87" s="204">
        <f t="shared" si="1199"/>
        <v>110</v>
      </c>
      <c r="JJ87" s="204">
        <f t="shared" si="1199"/>
        <v>111</v>
      </c>
      <c r="JK87" s="204">
        <f t="shared" si="1199"/>
        <v>112</v>
      </c>
      <c r="JL87" s="204">
        <f t="shared" si="1199"/>
        <v>113</v>
      </c>
      <c r="JM87" s="204">
        <f t="shared" si="1199"/>
        <v>114</v>
      </c>
      <c r="JN87" s="204">
        <f t="shared" si="1199"/>
        <v>115</v>
      </c>
      <c r="JO87" s="204">
        <f t="shared" si="1199"/>
        <v>116</v>
      </c>
      <c r="JP87" s="204">
        <f t="shared" si="1199"/>
        <v>117</v>
      </c>
      <c r="JQ87" s="204">
        <f t="shared" si="1199"/>
        <v>118</v>
      </c>
      <c r="JR87" s="204">
        <f t="shared" si="1199"/>
        <v>119</v>
      </c>
      <c r="JS87" s="204">
        <f t="shared" si="1199"/>
        <v>120</v>
      </c>
      <c r="JT87" s="204">
        <f t="shared" si="1199"/>
        <v>121</v>
      </c>
      <c r="JU87" s="204">
        <f t="shared" si="1199"/>
        <v>122</v>
      </c>
      <c r="JV87" s="204">
        <f t="shared" si="1199"/>
        <v>123</v>
      </c>
      <c r="JW87" s="204">
        <f t="shared" si="1199"/>
        <v>124</v>
      </c>
      <c r="JX87" s="204">
        <f t="shared" si="1199"/>
        <v>125</v>
      </c>
      <c r="JY87" s="204">
        <f t="shared" si="1199"/>
        <v>126</v>
      </c>
      <c r="JZ87" s="204">
        <f t="shared" si="1199"/>
        <v>127</v>
      </c>
      <c r="KA87" s="204">
        <f t="shared" si="1199"/>
        <v>128</v>
      </c>
      <c r="KB87" s="204">
        <f t="shared" si="1199"/>
        <v>129</v>
      </c>
      <c r="KC87" s="204">
        <f t="shared" ref="KC87:KE87" si="1200">+KB87+1</f>
        <v>130</v>
      </c>
      <c r="KD87" s="204">
        <f t="shared" si="1200"/>
        <v>131</v>
      </c>
      <c r="KE87" s="204">
        <f t="shared" si="1200"/>
        <v>132</v>
      </c>
      <c r="PQ87" s="201"/>
      <c r="PR87" s="201"/>
      <c r="PS87" s="201"/>
      <c r="PT87" s="201"/>
      <c r="PU87" s="201"/>
      <c r="PV87" s="201"/>
      <c r="PW87" s="201"/>
      <c r="PX87" s="201"/>
      <c r="PY87" s="201"/>
      <c r="PZ87" s="201"/>
      <c r="QA87" s="201"/>
      <c r="QB87" s="201"/>
      <c r="QC87" s="201"/>
      <c r="QD87" s="201"/>
      <c r="QE87" s="201"/>
      <c r="QF87" s="201"/>
      <c r="QG87" s="201"/>
      <c r="QH87" s="201"/>
      <c r="QI87" s="201"/>
      <c r="QJ87" s="201"/>
      <c r="QK87" s="201"/>
      <c r="QL87" s="201"/>
      <c r="QM87" s="201"/>
      <c r="QN87" s="201"/>
      <c r="QO87" s="201"/>
      <c r="QP87" s="201"/>
      <c r="QQ87" s="201"/>
      <c r="QR87" s="201"/>
      <c r="QS87" s="201"/>
      <c r="QT87" s="201"/>
      <c r="QU87" s="201"/>
      <c r="QV87" s="201"/>
      <c r="QW87" s="201"/>
      <c r="QX87" s="201"/>
      <c r="QY87" s="201"/>
      <c r="QZ87" s="201"/>
      <c r="RA87" s="201"/>
      <c r="RB87" s="201"/>
      <c r="RC87" s="201"/>
      <c r="RD87" s="201"/>
      <c r="RE87" s="201"/>
      <c r="RF87" s="201"/>
      <c r="RG87" s="201"/>
      <c r="RH87" s="201"/>
      <c r="RI87" s="201"/>
      <c r="RJ87" s="201"/>
      <c r="RK87" s="201"/>
      <c r="RL87" s="201"/>
      <c r="RM87" s="201"/>
      <c r="RN87" s="201"/>
      <c r="RO87" s="201"/>
      <c r="RP87" s="201"/>
      <c r="RQ87" s="201"/>
      <c r="RR87" s="201"/>
      <c r="RS87" s="201"/>
      <c r="RT87" s="201"/>
      <c r="RU87" s="201"/>
      <c r="RV87" s="201"/>
      <c r="RW87" s="201"/>
      <c r="RX87" s="201"/>
      <c r="RY87" s="201"/>
      <c r="RZ87" s="201"/>
      <c r="SA87" s="201"/>
      <c r="SB87" s="201"/>
      <c r="SC87" s="201"/>
      <c r="SD87" s="201"/>
      <c r="SE87" s="201"/>
      <c r="SF87" s="201"/>
      <c r="SG87" s="201"/>
      <c r="SH87" s="201"/>
      <c r="SI87" s="201"/>
      <c r="SJ87" s="201"/>
      <c r="SK87" s="201"/>
      <c r="SL87" s="201"/>
      <c r="SM87" s="201"/>
      <c r="SN87" s="201"/>
      <c r="SO87" s="201"/>
      <c r="SP87" s="201"/>
      <c r="SQ87" s="201"/>
      <c r="SR87" s="201"/>
      <c r="SS87" s="201"/>
      <c r="ST87" s="201"/>
      <c r="SU87" s="201"/>
      <c r="SV87" s="201"/>
      <c r="SW87" s="201"/>
      <c r="SX87" s="201"/>
      <c r="SY87" s="201"/>
      <c r="SZ87" s="201"/>
      <c r="TA87" s="201"/>
      <c r="TB87" s="201"/>
      <c r="TC87" s="201"/>
      <c r="TD87" s="201"/>
      <c r="TE87" s="201"/>
      <c r="TF87" s="201"/>
      <c r="TG87" s="201"/>
      <c r="TH87" s="201"/>
      <c r="TI87" s="201"/>
      <c r="TJ87" s="201"/>
      <c r="TK87" s="201"/>
      <c r="TL87" s="201"/>
      <c r="TM87" s="201"/>
      <c r="TN87" s="201"/>
      <c r="TO87" s="201"/>
      <c r="TP87" s="201"/>
      <c r="TQ87" s="201"/>
      <c r="TR87" s="201"/>
      <c r="TS87" s="201"/>
      <c r="TT87" s="201"/>
      <c r="TU87" s="201"/>
      <c r="TV87" s="201"/>
      <c r="TW87" s="201"/>
      <c r="TX87" s="201"/>
      <c r="TY87" s="201"/>
      <c r="TZ87" s="201"/>
      <c r="UA87" s="201"/>
      <c r="UB87" s="201"/>
      <c r="UC87" s="201"/>
      <c r="UD87" s="201"/>
      <c r="UE87" s="201"/>
      <c r="UF87" s="201"/>
      <c r="UG87" s="201"/>
      <c r="UH87" s="201"/>
      <c r="UI87" s="201"/>
      <c r="UJ87" s="201"/>
      <c r="UK87" s="201"/>
      <c r="UL87" s="201"/>
      <c r="UM87" s="201"/>
      <c r="UN87" s="201"/>
      <c r="UO87" s="201"/>
      <c r="UP87" s="201"/>
      <c r="UQ87" s="201"/>
      <c r="UR87" s="201"/>
      <c r="US87" s="201"/>
      <c r="UT87" s="201"/>
      <c r="UU87" s="201"/>
    </row>
    <row r="88" spans="1:567" ht="14.25" hidden="1" customHeight="1" x14ac:dyDescent="0.25">
      <c r="B88" s="31" t="s">
        <v>103</v>
      </c>
      <c r="C88" s="45" t="str">
        <f>IF(E88=0,"NA",E88/J210)</f>
        <v>NA</v>
      </c>
      <c r="D88" s="68">
        <v>0.66</v>
      </c>
      <c r="E88" s="77">
        <f>D88*$K$49*REFI?</f>
        <v>0</v>
      </c>
      <c r="F88" s="173">
        <f>Analysis_Period-J93</f>
        <v>0</v>
      </c>
      <c r="G88" s="66">
        <v>0</v>
      </c>
      <c r="H88" s="66">
        <v>360</v>
      </c>
      <c r="I88" s="67">
        <v>0.06</v>
      </c>
      <c r="J88" s="19" t="s">
        <v>643</v>
      </c>
      <c r="K88" s="557">
        <v>250</v>
      </c>
      <c r="R88" s="159" t="s">
        <v>110</v>
      </c>
      <c r="S88" s="558">
        <f>S$75+($K88/10000)</f>
        <v>6.13509E-2</v>
      </c>
      <c r="T88" s="558">
        <f t="shared" ref="T88:AI89" si="1201">T$75+($K88/10000)</f>
        <v>6.1067500000000004E-2</v>
      </c>
      <c r="U88" s="558">
        <f t="shared" si="1201"/>
        <v>6.0242200000000003E-2</v>
      </c>
      <c r="V88" s="558">
        <f t="shared" si="1201"/>
        <v>6.0237100000000002E-2</v>
      </c>
      <c r="W88" s="558">
        <f t="shared" si="1201"/>
        <v>6.0058899999999998E-2</v>
      </c>
      <c r="X88" s="558">
        <f t="shared" si="1201"/>
        <v>5.9621E-2</v>
      </c>
      <c r="Y88" s="558">
        <f t="shared" si="1201"/>
        <v>5.9619400000000003E-2</v>
      </c>
      <c r="Z88" s="558">
        <f t="shared" si="1201"/>
        <v>5.9581500000000003E-2</v>
      </c>
      <c r="AA88" s="558">
        <f t="shared" si="1201"/>
        <v>5.94791E-2</v>
      </c>
      <c r="AB88" s="558">
        <f t="shared" si="1201"/>
        <v>5.9477099999999998E-2</v>
      </c>
      <c r="AC88" s="558">
        <f t="shared" si="1201"/>
        <v>5.9490000000000001E-2</v>
      </c>
      <c r="AD88" s="558">
        <f t="shared" si="1201"/>
        <v>5.9513799999999999E-2</v>
      </c>
      <c r="AE88" s="558">
        <f t="shared" si="1201"/>
        <v>5.9550600000000002E-2</v>
      </c>
      <c r="AF88" s="558">
        <f t="shared" si="1201"/>
        <v>5.9597500000000005E-2</v>
      </c>
      <c r="AG88" s="558">
        <f t="shared" si="1201"/>
        <v>5.9669E-2</v>
      </c>
      <c r="AH88" s="558">
        <f t="shared" si="1201"/>
        <v>5.97373E-2</v>
      </c>
      <c r="AI88" s="558">
        <f t="shared" si="1201"/>
        <v>5.9810099999999998E-2</v>
      </c>
      <c r="AJ88" s="558">
        <f t="shared" ref="AJ88:AY89" si="1202">AJ$75+($K88/10000)</f>
        <v>5.9888000000000004E-2</v>
      </c>
      <c r="AK88" s="558">
        <f t="shared" si="1202"/>
        <v>5.9968899999999999E-2</v>
      </c>
      <c r="AL88" s="558">
        <f t="shared" si="1202"/>
        <v>6.0056499999999999E-2</v>
      </c>
      <c r="AM88" s="558">
        <f t="shared" si="1202"/>
        <v>6.0140100000000002E-2</v>
      </c>
      <c r="AN88" s="558">
        <f t="shared" si="1202"/>
        <v>6.0228200000000003E-2</v>
      </c>
      <c r="AO88" s="558">
        <f t="shared" si="1202"/>
        <v>6.0321400000000004E-2</v>
      </c>
      <c r="AP88" s="558">
        <f t="shared" si="1202"/>
        <v>6.0418100000000002E-2</v>
      </c>
      <c r="AQ88" s="558">
        <f t="shared" si="1202"/>
        <v>6.05114E-2</v>
      </c>
      <c r="AR88" s="558">
        <f t="shared" si="1202"/>
        <v>6.06142E-2</v>
      </c>
      <c r="AS88" s="558">
        <f t="shared" si="1202"/>
        <v>6.0718899999999999E-2</v>
      </c>
      <c r="AT88" s="558">
        <f t="shared" si="1202"/>
        <v>6.0810700000000002E-2</v>
      </c>
      <c r="AU88" s="558">
        <f t="shared" si="1202"/>
        <v>6.0911899999999998E-2</v>
      </c>
      <c r="AV88" s="558">
        <f t="shared" si="1202"/>
        <v>6.10015E-2</v>
      </c>
      <c r="AW88" s="558">
        <f t="shared" si="1202"/>
        <v>6.1088000000000003E-2</v>
      </c>
      <c r="AX88" s="558">
        <f t="shared" si="1202"/>
        <v>6.1172700000000003E-2</v>
      </c>
      <c r="AY88" s="558">
        <f t="shared" si="1202"/>
        <v>6.1249999999999999E-2</v>
      </c>
      <c r="AZ88" s="558">
        <f t="shared" ref="AZ88:BO89" si="1203">AZ$75+($K88/10000)</f>
        <v>6.1332700000000004E-2</v>
      </c>
      <c r="BA88" s="558">
        <f t="shared" si="1203"/>
        <v>6.1400000000000003E-2</v>
      </c>
      <c r="BB88" s="558">
        <f t="shared" si="1203"/>
        <v>6.1465900000000004E-2</v>
      </c>
      <c r="BC88" s="558">
        <f t="shared" si="1203"/>
        <v>6.1529800000000003E-2</v>
      </c>
      <c r="BD88" s="558">
        <f t="shared" si="1203"/>
        <v>6.1579399999999999E-2</v>
      </c>
      <c r="BE88" s="558">
        <f t="shared" si="1203"/>
        <v>6.16378E-2</v>
      </c>
      <c r="BF88" s="558">
        <f t="shared" si="1203"/>
        <v>6.1688800000000002E-2</v>
      </c>
      <c r="BG88" s="558">
        <f t="shared" si="1203"/>
        <v>6.1746200000000001E-2</v>
      </c>
      <c r="BH88" s="558">
        <f t="shared" si="1203"/>
        <v>6.18007E-2</v>
      </c>
      <c r="BI88" s="558">
        <f t="shared" si="1203"/>
        <v>6.1865400000000001E-2</v>
      </c>
      <c r="BJ88" s="558">
        <f t="shared" si="1203"/>
        <v>6.1922499999999998E-2</v>
      </c>
      <c r="BK88" s="558">
        <f t="shared" si="1203"/>
        <v>6.1975599999999999E-2</v>
      </c>
      <c r="BL88" s="558">
        <f t="shared" si="1203"/>
        <v>6.2039999999999998E-2</v>
      </c>
      <c r="BM88" s="558">
        <f t="shared" si="1203"/>
        <v>6.2097699999999999E-2</v>
      </c>
      <c r="BN88" s="558">
        <f t="shared" si="1203"/>
        <v>6.2166900000000004E-2</v>
      </c>
      <c r="BO88" s="558">
        <f t="shared" si="1203"/>
        <v>6.2222100000000002E-2</v>
      </c>
      <c r="BP88" s="558">
        <f t="shared" ref="BP88:CE89" si="1204">BP$75+($K88/10000)</f>
        <v>6.2277300000000001E-2</v>
      </c>
      <c r="BQ88" s="558">
        <f t="shared" si="1204"/>
        <v>6.2344400000000001E-2</v>
      </c>
      <c r="BR88" s="558">
        <f t="shared" si="1204"/>
        <v>6.2414000000000004E-2</v>
      </c>
      <c r="BS88" s="558">
        <f t="shared" si="1204"/>
        <v>6.2474700000000001E-2</v>
      </c>
      <c r="BT88" s="558">
        <f t="shared" si="1204"/>
        <v>6.2527300000000008E-2</v>
      </c>
      <c r="BU88" s="558">
        <f t="shared" si="1204"/>
        <v>6.2591599999999997E-2</v>
      </c>
      <c r="BV88" s="558">
        <f t="shared" si="1204"/>
        <v>6.2650000000000011E-2</v>
      </c>
      <c r="BW88" s="558">
        <f t="shared" si="1204"/>
        <v>6.2703399999999992E-2</v>
      </c>
      <c r="BX88" s="558">
        <f t="shared" si="1204"/>
        <v>6.2761700000000004E-2</v>
      </c>
      <c r="BY88" s="558">
        <f t="shared" si="1204"/>
        <v>6.2817800000000007E-2</v>
      </c>
      <c r="BZ88" s="558">
        <f t="shared" si="1204"/>
        <v>6.2875600000000004E-2</v>
      </c>
      <c r="CA88" s="558">
        <f t="shared" si="1204"/>
        <v>6.2928399999999995E-2</v>
      </c>
      <c r="CB88" s="558">
        <f t="shared" si="1204"/>
        <v>6.2969200000000003E-2</v>
      </c>
      <c r="CC88" s="558">
        <f t="shared" si="1204"/>
        <v>6.3024500000000011E-2</v>
      </c>
      <c r="CD88" s="558">
        <f t="shared" si="1204"/>
        <v>6.3078099999999998E-2</v>
      </c>
      <c r="CE88" s="558">
        <f t="shared" si="1204"/>
        <v>6.3126500000000002E-2</v>
      </c>
      <c r="CF88" s="558">
        <f t="shared" ref="CF88:CU89" si="1205">CF$75+($K88/10000)</f>
        <v>6.3169100000000006E-2</v>
      </c>
      <c r="CG88" s="558">
        <f t="shared" si="1205"/>
        <v>6.3217800000000005E-2</v>
      </c>
      <c r="CH88" s="558">
        <f t="shared" si="1205"/>
        <v>6.3264199999999993E-2</v>
      </c>
      <c r="CI88" s="558">
        <f t="shared" si="1205"/>
        <v>6.3312300000000002E-2</v>
      </c>
      <c r="CJ88" s="558">
        <f t="shared" si="1205"/>
        <v>6.3357899999999995E-2</v>
      </c>
      <c r="CK88" s="558">
        <f t="shared" si="1205"/>
        <v>6.3395400000000005E-2</v>
      </c>
      <c r="CL88" s="558">
        <f t="shared" si="1205"/>
        <v>6.3437500000000008E-2</v>
      </c>
      <c r="CM88" s="558">
        <f t="shared" si="1205"/>
        <v>6.3478400000000004E-2</v>
      </c>
      <c r="CN88" s="558">
        <f t="shared" si="1205"/>
        <v>6.3511600000000001E-2</v>
      </c>
      <c r="CO88" s="558">
        <f t="shared" si="1205"/>
        <v>6.3556200000000007E-2</v>
      </c>
      <c r="CP88" s="558">
        <f t="shared" si="1205"/>
        <v>6.3591300000000003E-2</v>
      </c>
      <c r="CQ88" s="558">
        <f t="shared" si="1205"/>
        <v>6.3631099999999996E-2</v>
      </c>
      <c r="CR88" s="558">
        <f t="shared" si="1205"/>
        <v>6.3671100000000008E-2</v>
      </c>
      <c r="CS88" s="558">
        <f t="shared" si="1205"/>
        <v>6.3711600000000007E-2</v>
      </c>
      <c r="CT88" s="558">
        <f t="shared" si="1205"/>
        <v>6.3756599999999997E-2</v>
      </c>
      <c r="CU88" s="558">
        <f t="shared" si="1205"/>
        <v>6.3792299999999996E-2</v>
      </c>
      <c r="CV88" s="558">
        <f t="shared" ref="CV88:DK89" si="1206">CV$75+($K88/10000)</f>
        <v>6.38354E-2</v>
      </c>
      <c r="CW88" s="558">
        <f t="shared" si="1206"/>
        <v>6.3876099999999991E-2</v>
      </c>
      <c r="CX88" s="558">
        <f t="shared" si="1206"/>
        <v>6.3918500000000003E-2</v>
      </c>
      <c r="CY88" s="558">
        <f t="shared" si="1206"/>
        <v>6.3958600000000004E-2</v>
      </c>
      <c r="CZ88" s="558">
        <f t="shared" si="1206"/>
        <v>6.3993500000000009E-2</v>
      </c>
      <c r="DA88" s="558">
        <f t="shared" si="1206"/>
        <v>6.4041299999999995E-2</v>
      </c>
      <c r="DB88" s="558">
        <f t="shared" si="1206"/>
        <v>6.4082500000000001E-2</v>
      </c>
      <c r="DC88" s="558">
        <f t="shared" si="1206"/>
        <v>6.4134099999999999E-2</v>
      </c>
      <c r="DD88" s="558">
        <f t="shared" si="1206"/>
        <v>6.4173300000000003E-2</v>
      </c>
      <c r="DE88" s="558">
        <f t="shared" si="1206"/>
        <v>6.4216999999999996E-2</v>
      </c>
      <c r="DF88" s="558">
        <f t="shared" si="1206"/>
        <v>6.4265500000000003E-2</v>
      </c>
      <c r="DG88" s="558">
        <f t="shared" si="1206"/>
        <v>6.4307300000000012E-2</v>
      </c>
      <c r="DH88" s="558">
        <f t="shared" si="1206"/>
        <v>6.4353600000000011E-2</v>
      </c>
      <c r="DI88" s="558">
        <f t="shared" si="1206"/>
        <v>6.44034E-2</v>
      </c>
      <c r="DJ88" s="558">
        <f t="shared" si="1206"/>
        <v>6.4449300000000001E-2</v>
      </c>
      <c r="DK88" s="558">
        <f t="shared" si="1206"/>
        <v>6.4499799999999996E-2</v>
      </c>
      <c r="DL88" s="558">
        <f t="shared" ref="DL88:EA89" si="1207">DL$75+($K88/10000)</f>
        <v>6.4536200000000002E-2</v>
      </c>
      <c r="DM88" s="558">
        <f t="shared" si="1207"/>
        <v>6.4588800000000002E-2</v>
      </c>
      <c r="DN88" s="558">
        <f t="shared" si="1207"/>
        <v>6.4631600000000011E-2</v>
      </c>
      <c r="DO88" s="558">
        <f t="shared" si="1207"/>
        <v>6.4685199999999998E-2</v>
      </c>
      <c r="DP88" s="558">
        <f t="shared" si="1207"/>
        <v>6.4730499999999996E-2</v>
      </c>
      <c r="DQ88" s="558">
        <f t="shared" si="1207"/>
        <v>6.4780299999999999E-2</v>
      </c>
      <c r="DR88" s="558">
        <f t="shared" si="1207"/>
        <v>6.4830699999999991E-2</v>
      </c>
      <c r="DS88" s="558">
        <f t="shared" si="1207"/>
        <v>6.4878500000000006E-2</v>
      </c>
      <c r="DT88" s="558">
        <f t="shared" si="1207"/>
        <v>6.4937300000000003E-2</v>
      </c>
      <c r="DU88" s="558">
        <f t="shared" si="1207"/>
        <v>6.4983100000000002E-2</v>
      </c>
      <c r="DV88" s="558">
        <f t="shared" si="1207"/>
        <v>6.5034900000000007E-2</v>
      </c>
      <c r="DW88" s="558">
        <f t="shared" si="1207"/>
        <v>6.5088800000000002E-2</v>
      </c>
      <c r="DX88" s="558">
        <f t="shared" si="1207"/>
        <v>6.5130999999999994E-2</v>
      </c>
      <c r="DY88" s="558">
        <f t="shared" si="1207"/>
        <v>6.5188099999999999E-2</v>
      </c>
      <c r="DZ88" s="558">
        <f t="shared" si="1207"/>
        <v>5.7831199999999999E-2</v>
      </c>
      <c r="EA88" s="558">
        <f t="shared" si="1207"/>
        <v>5.7884100000000001E-2</v>
      </c>
      <c r="EB88" s="558">
        <f t="shared" ref="EB88:EQ89" si="1208">EB$75+($K88/10000)</f>
        <v>5.7935100000000003E-2</v>
      </c>
      <c r="EC88" s="558">
        <f t="shared" si="1208"/>
        <v>5.7984399999999998E-2</v>
      </c>
      <c r="ED88" s="558">
        <f t="shared" si="1208"/>
        <v>5.8030900000000003E-2</v>
      </c>
      <c r="EE88" s="558">
        <f t="shared" si="1208"/>
        <v>5.8087400000000004E-2</v>
      </c>
      <c r="EF88" s="558">
        <f t="shared" si="1208"/>
        <v>5.8140500000000005E-2</v>
      </c>
      <c r="EG88" s="558">
        <f t="shared" si="1208"/>
        <v>5.8205100000000003E-2</v>
      </c>
      <c r="EH88" s="558">
        <f t="shared" si="1208"/>
        <v>5.8258600000000001E-2</v>
      </c>
      <c r="EI88" s="558">
        <f t="shared" si="1208"/>
        <v>5.8311700000000001E-2</v>
      </c>
      <c r="EJ88" s="558">
        <f t="shared" si="1208"/>
        <v>5.8311700000000001E-2</v>
      </c>
      <c r="EK88" s="558">
        <f t="shared" si="1208"/>
        <v>5.8311700000000001E-2</v>
      </c>
      <c r="EL88" s="558">
        <f t="shared" si="1208"/>
        <v>5.8311700000000001E-2</v>
      </c>
      <c r="EM88" s="558">
        <f t="shared" si="1208"/>
        <v>5.8311700000000001E-2</v>
      </c>
      <c r="EN88" s="558">
        <f t="shared" si="1208"/>
        <v>5.8311700000000001E-2</v>
      </c>
      <c r="EO88" s="558">
        <f t="shared" si="1208"/>
        <v>5.8311700000000001E-2</v>
      </c>
      <c r="EP88" s="558">
        <f t="shared" si="1208"/>
        <v>5.8311700000000001E-2</v>
      </c>
      <c r="EQ88" s="558">
        <f t="shared" si="1208"/>
        <v>5.8311700000000001E-2</v>
      </c>
      <c r="ER88" s="558">
        <f t="shared" ref="ER88:EU89" si="1209">ER$75+($K88/10000)</f>
        <v>5.8311700000000001E-2</v>
      </c>
      <c r="ES88" s="558">
        <f t="shared" si="1209"/>
        <v>5.8311700000000001E-2</v>
      </c>
      <c r="ET88" s="558">
        <f t="shared" si="1209"/>
        <v>5.8311700000000001E-2</v>
      </c>
      <c r="EU88" s="558">
        <f t="shared" si="1209"/>
        <v>5.8311700000000001E-2</v>
      </c>
      <c r="EW88" s="199" t="str">
        <f>B88</f>
        <v>Senior Loan 2</v>
      </c>
      <c r="EX88" s="219">
        <f t="shared" ref="EX88:EZ89" si="1210">+F88</f>
        <v>0</v>
      </c>
      <c r="EY88" s="219">
        <f t="shared" si="1210"/>
        <v>0</v>
      </c>
      <c r="EZ88" s="219">
        <f t="shared" si="1210"/>
        <v>360</v>
      </c>
      <c r="FA88" s="220">
        <f>J93</f>
        <v>36</v>
      </c>
      <c r="FB88" s="220">
        <f>K93</f>
        <v>36</v>
      </c>
      <c r="FC88" s="207">
        <f t="shared" ref="FC88:GH88" si="1211">AND(FC$73&gt;=$FA88,FC$73&lt;=$FB88)*PV(FC91/12,$EZ88-FC$87+$FA88+MIN(FC$87-$FA88,$EY88),PMT(FC91/12,$EZ88,$E88))</f>
        <v>0</v>
      </c>
      <c r="FD88" s="207">
        <f t="shared" si="1211"/>
        <v>0</v>
      </c>
      <c r="FE88" s="207">
        <f t="shared" si="1211"/>
        <v>0</v>
      </c>
      <c r="FF88" s="207">
        <f t="shared" si="1211"/>
        <v>0</v>
      </c>
      <c r="FG88" s="207">
        <f t="shared" si="1211"/>
        <v>0</v>
      </c>
      <c r="FH88" s="207">
        <f t="shared" si="1211"/>
        <v>0</v>
      </c>
      <c r="FI88" s="207">
        <f t="shared" si="1211"/>
        <v>0</v>
      </c>
      <c r="FJ88" s="207">
        <f t="shared" si="1211"/>
        <v>0</v>
      </c>
      <c r="FK88" s="207">
        <f t="shared" si="1211"/>
        <v>0</v>
      </c>
      <c r="FL88" s="207">
        <f t="shared" si="1211"/>
        <v>0</v>
      </c>
      <c r="FM88" s="207">
        <f t="shared" si="1211"/>
        <v>0</v>
      </c>
      <c r="FN88" s="207">
        <f t="shared" si="1211"/>
        <v>0</v>
      </c>
      <c r="FO88" s="207">
        <f t="shared" si="1211"/>
        <v>0</v>
      </c>
      <c r="FP88" s="207">
        <f t="shared" si="1211"/>
        <v>0</v>
      </c>
      <c r="FQ88" s="207">
        <f t="shared" si="1211"/>
        <v>0</v>
      </c>
      <c r="FR88" s="207">
        <f t="shared" si="1211"/>
        <v>0</v>
      </c>
      <c r="FS88" s="207">
        <f t="shared" si="1211"/>
        <v>0</v>
      </c>
      <c r="FT88" s="207">
        <f t="shared" si="1211"/>
        <v>0</v>
      </c>
      <c r="FU88" s="207">
        <f t="shared" si="1211"/>
        <v>0</v>
      </c>
      <c r="FV88" s="207">
        <f t="shared" si="1211"/>
        <v>0</v>
      </c>
      <c r="FW88" s="207">
        <f t="shared" si="1211"/>
        <v>0</v>
      </c>
      <c r="FX88" s="207">
        <f t="shared" si="1211"/>
        <v>0</v>
      </c>
      <c r="FY88" s="207">
        <f t="shared" si="1211"/>
        <v>0</v>
      </c>
      <c r="FZ88" s="207">
        <f t="shared" si="1211"/>
        <v>0</v>
      </c>
      <c r="GA88" s="207">
        <f t="shared" si="1211"/>
        <v>0</v>
      </c>
      <c r="GB88" s="207">
        <f t="shared" si="1211"/>
        <v>0</v>
      </c>
      <c r="GC88" s="207">
        <f t="shared" si="1211"/>
        <v>0</v>
      </c>
      <c r="GD88" s="207">
        <f t="shared" si="1211"/>
        <v>0</v>
      </c>
      <c r="GE88" s="207">
        <f t="shared" si="1211"/>
        <v>0</v>
      </c>
      <c r="GF88" s="207">
        <f t="shared" si="1211"/>
        <v>0</v>
      </c>
      <c r="GG88" s="207">
        <f t="shared" si="1211"/>
        <v>0</v>
      </c>
      <c r="GH88" s="207">
        <f t="shared" si="1211"/>
        <v>0</v>
      </c>
      <c r="GI88" s="207">
        <f t="shared" ref="GI88:HN88" si="1212">AND(GI$73&gt;=$FA88,GI$73&lt;=$FB88)*PV(GI91/12,$EZ88-GI$87+$FA88+MIN(GI$87-$FA88,$EY88),PMT(GI91/12,$EZ88,$E88))</f>
        <v>0</v>
      </c>
      <c r="GJ88" s="207">
        <f t="shared" si="1212"/>
        <v>0</v>
      </c>
      <c r="GK88" s="207">
        <f t="shared" si="1212"/>
        <v>0</v>
      </c>
      <c r="GL88" s="207">
        <f t="shared" si="1212"/>
        <v>0</v>
      </c>
      <c r="GM88" s="207">
        <f t="shared" si="1212"/>
        <v>0</v>
      </c>
      <c r="GN88" s="207">
        <f t="shared" si="1212"/>
        <v>0</v>
      </c>
      <c r="GO88" s="207">
        <f t="shared" si="1212"/>
        <v>0</v>
      </c>
      <c r="GP88" s="207">
        <f t="shared" si="1212"/>
        <v>0</v>
      </c>
      <c r="GQ88" s="207">
        <f t="shared" si="1212"/>
        <v>0</v>
      </c>
      <c r="GR88" s="207">
        <f t="shared" si="1212"/>
        <v>0</v>
      </c>
      <c r="GS88" s="207">
        <f t="shared" si="1212"/>
        <v>0</v>
      </c>
      <c r="GT88" s="207">
        <f t="shared" si="1212"/>
        <v>0</v>
      </c>
      <c r="GU88" s="207">
        <f t="shared" si="1212"/>
        <v>0</v>
      </c>
      <c r="GV88" s="207">
        <f t="shared" si="1212"/>
        <v>0</v>
      </c>
      <c r="GW88" s="207">
        <f t="shared" si="1212"/>
        <v>0</v>
      </c>
      <c r="GX88" s="207">
        <f t="shared" si="1212"/>
        <v>0</v>
      </c>
      <c r="GY88" s="207">
        <f t="shared" si="1212"/>
        <v>0</v>
      </c>
      <c r="GZ88" s="207">
        <f t="shared" si="1212"/>
        <v>0</v>
      </c>
      <c r="HA88" s="207">
        <f t="shared" si="1212"/>
        <v>0</v>
      </c>
      <c r="HB88" s="207">
        <f t="shared" si="1212"/>
        <v>0</v>
      </c>
      <c r="HC88" s="207">
        <f t="shared" si="1212"/>
        <v>0</v>
      </c>
      <c r="HD88" s="207">
        <f t="shared" si="1212"/>
        <v>0</v>
      </c>
      <c r="HE88" s="207">
        <f t="shared" si="1212"/>
        <v>0</v>
      </c>
      <c r="HF88" s="207">
        <f t="shared" si="1212"/>
        <v>0</v>
      </c>
      <c r="HG88" s="207">
        <f t="shared" si="1212"/>
        <v>0</v>
      </c>
      <c r="HH88" s="207">
        <f t="shared" si="1212"/>
        <v>0</v>
      </c>
      <c r="HI88" s="207">
        <f t="shared" si="1212"/>
        <v>0</v>
      </c>
      <c r="HJ88" s="207">
        <f t="shared" si="1212"/>
        <v>0</v>
      </c>
      <c r="HK88" s="207">
        <f t="shared" si="1212"/>
        <v>0</v>
      </c>
      <c r="HL88" s="207">
        <f t="shared" si="1212"/>
        <v>0</v>
      </c>
      <c r="HM88" s="207">
        <f t="shared" si="1212"/>
        <v>0</v>
      </c>
      <c r="HN88" s="207">
        <f t="shared" si="1212"/>
        <v>0</v>
      </c>
      <c r="HO88" s="207">
        <f t="shared" ref="HO88:IT88" si="1213">AND(HO$73&gt;=$FA88,HO$73&lt;=$FB88)*PV(HO91/12,$EZ88-HO$87+$FA88+MIN(HO$87-$FA88,$EY88),PMT(HO91/12,$EZ88,$E88))</f>
        <v>0</v>
      </c>
      <c r="HP88" s="207">
        <f t="shared" si="1213"/>
        <v>0</v>
      </c>
      <c r="HQ88" s="207">
        <f t="shared" si="1213"/>
        <v>0</v>
      </c>
      <c r="HR88" s="207">
        <f t="shared" si="1213"/>
        <v>0</v>
      </c>
      <c r="HS88" s="207">
        <f t="shared" si="1213"/>
        <v>0</v>
      </c>
      <c r="HT88" s="207">
        <f t="shared" si="1213"/>
        <v>0</v>
      </c>
      <c r="HU88" s="207">
        <f t="shared" si="1213"/>
        <v>0</v>
      </c>
      <c r="HV88" s="207">
        <f t="shared" si="1213"/>
        <v>0</v>
      </c>
      <c r="HW88" s="207">
        <f t="shared" si="1213"/>
        <v>0</v>
      </c>
      <c r="HX88" s="207">
        <f t="shared" si="1213"/>
        <v>0</v>
      </c>
      <c r="HY88" s="207">
        <f t="shared" si="1213"/>
        <v>0</v>
      </c>
      <c r="HZ88" s="207">
        <f t="shared" si="1213"/>
        <v>0</v>
      </c>
      <c r="IA88" s="207">
        <f t="shared" si="1213"/>
        <v>0</v>
      </c>
      <c r="IB88" s="207">
        <f t="shared" si="1213"/>
        <v>0</v>
      </c>
      <c r="IC88" s="207">
        <f t="shared" si="1213"/>
        <v>0</v>
      </c>
      <c r="ID88" s="207">
        <f t="shared" si="1213"/>
        <v>0</v>
      </c>
      <c r="IE88" s="207">
        <f t="shared" si="1213"/>
        <v>0</v>
      </c>
      <c r="IF88" s="207">
        <f t="shared" si="1213"/>
        <v>0</v>
      </c>
      <c r="IG88" s="207">
        <f t="shared" si="1213"/>
        <v>0</v>
      </c>
      <c r="IH88" s="207">
        <f t="shared" si="1213"/>
        <v>0</v>
      </c>
      <c r="II88" s="207">
        <f t="shared" si="1213"/>
        <v>0</v>
      </c>
      <c r="IJ88" s="207">
        <f t="shared" si="1213"/>
        <v>0</v>
      </c>
      <c r="IK88" s="207">
        <f t="shared" si="1213"/>
        <v>0</v>
      </c>
      <c r="IL88" s="207">
        <f t="shared" si="1213"/>
        <v>0</v>
      </c>
      <c r="IM88" s="207">
        <f t="shared" si="1213"/>
        <v>0</v>
      </c>
      <c r="IN88" s="207">
        <f t="shared" si="1213"/>
        <v>0</v>
      </c>
      <c r="IO88" s="207">
        <f t="shared" si="1213"/>
        <v>0</v>
      </c>
      <c r="IP88" s="207">
        <f t="shared" si="1213"/>
        <v>0</v>
      </c>
      <c r="IQ88" s="207">
        <f t="shared" si="1213"/>
        <v>0</v>
      </c>
      <c r="IR88" s="207">
        <f t="shared" si="1213"/>
        <v>0</v>
      </c>
      <c r="IS88" s="207">
        <f t="shared" si="1213"/>
        <v>0</v>
      </c>
      <c r="IT88" s="207">
        <f t="shared" si="1213"/>
        <v>0</v>
      </c>
      <c r="IU88" s="207">
        <f t="shared" ref="IU88:KE88" si="1214">AND(IU$73&gt;=$FA88,IU$73&lt;=$FB88)*PV(IU91/12,$EZ88-IU$87+$FA88+MIN(IU$87-$FA88,$EY88),PMT(IU91/12,$EZ88,$E88))</f>
        <v>0</v>
      </c>
      <c r="IV88" s="207">
        <f t="shared" si="1214"/>
        <v>0</v>
      </c>
      <c r="IW88" s="207">
        <f t="shared" si="1214"/>
        <v>0</v>
      </c>
      <c r="IX88" s="207">
        <f t="shared" si="1214"/>
        <v>0</v>
      </c>
      <c r="IY88" s="207">
        <f t="shared" si="1214"/>
        <v>0</v>
      </c>
      <c r="IZ88" s="207">
        <f t="shared" si="1214"/>
        <v>0</v>
      </c>
      <c r="JA88" s="207">
        <f t="shared" si="1214"/>
        <v>0</v>
      </c>
      <c r="JB88" s="207">
        <f t="shared" si="1214"/>
        <v>0</v>
      </c>
      <c r="JC88" s="207">
        <f t="shared" si="1214"/>
        <v>0</v>
      </c>
      <c r="JD88" s="207">
        <f t="shared" si="1214"/>
        <v>0</v>
      </c>
      <c r="JE88" s="207">
        <f t="shared" si="1214"/>
        <v>0</v>
      </c>
      <c r="JF88" s="207">
        <f t="shared" si="1214"/>
        <v>0</v>
      </c>
      <c r="JG88" s="207">
        <f t="shared" si="1214"/>
        <v>0</v>
      </c>
      <c r="JH88" s="207">
        <f t="shared" si="1214"/>
        <v>0</v>
      </c>
      <c r="JI88" s="207">
        <f t="shared" si="1214"/>
        <v>0</v>
      </c>
      <c r="JJ88" s="207">
        <f t="shared" si="1214"/>
        <v>0</v>
      </c>
      <c r="JK88" s="207">
        <f t="shared" si="1214"/>
        <v>0</v>
      </c>
      <c r="JL88" s="207">
        <f t="shared" si="1214"/>
        <v>0</v>
      </c>
      <c r="JM88" s="207">
        <f t="shared" si="1214"/>
        <v>0</v>
      </c>
      <c r="JN88" s="207">
        <f t="shared" si="1214"/>
        <v>0</v>
      </c>
      <c r="JO88" s="207">
        <f t="shared" si="1214"/>
        <v>0</v>
      </c>
      <c r="JP88" s="207">
        <f t="shared" si="1214"/>
        <v>0</v>
      </c>
      <c r="JQ88" s="207">
        <f t="shared" si="1214"/>
        <v>0</v>
      </c>
      <c r="JR88" s="207">
        <f t="shared" si="1214"/>
        <v>0</v>
      </c>
      <c r="JS88" s="207">
        <f t="shared" si="1214"/>
        <v>0</v>
      </c>
      <c r="JT88" s="207">
        <f t="shared" si="1214"/>
        <v>0</v>
      </c>
      <c r="JU88" s="207">
        <f t="shared" si="1214"/>
        <v>0</v>
      </c>
      <c r="JV88" s="207">
        <f t="shared" si="1214"/>
        <v>0</v>
      </c>
      <c r="JW88" s="207">
        <f t="shared" si="1214"/>
        <v>0</v>
      </c>
      <c r="JX88" s="207">
        <f t="shared" si="1214"/>
        <v>0</v>
      </c>
      <c r="JY88" s="207">
        <f t="shared" si="1214"/>
        <v>0</v>
      </c>
      <c r="JZ88" s="207">
        <f t="shared" si="1214"/>
        <v>0</v>
      </c>
      <c r="KA88" s="207">
        <f t="shared" si="1214"/>
        <v>0</v>
      </c>
      <c r="KB88" s="207">
        <f t="shared" si="1214"/>
        <v>0</v>
      </c>
      <c r="KC88" s="207">
        <f t="shared" si="1214"/>
        <v>0</v>
      </c>
      <c r="KD88" s="207">
        <f t="shared" si="1214"/>
        <v>0</v>
      </c>
      <c r="KE88" s="207">
        <f t="shared" si="1214"/>
        <v>0</v>
      </c>
      <c r="KF88" s="205"/>
      <c r="KH88" s="203"/>
      <c r="KI88" s="203"/>
      <c r="KJ88" s="203"/>
      <c r="KK88" s="203"/>
      <c r="KL88" s="203"/>
      <c r="KM88" s="204"/>
      <c r="KN88" s="204"/>
      <c r="KO88" s="204"/>
      <c r="KP88" s="204"/>
      <c r="KQ88" s="204"/>
      <c r="KR88" s="204"/>
      <c r="KS88" s="204"/>
      <c r="KT88" s="204"/>
      <c r="KU88" s="204"/>
      <c r="KV88" s="204"/>
      <c r="KW88" s="204"/>
      <c r="KX88" s="204"/>
      <c r="KY88" s="204"/>
      <c r="KZ88" s="204"/>
      <c r="LA88" s="204"/>
      <c r="LB88" s="204"/>
      <c r="LC88" s="204"/>
      <c r="LD88" s="204"/>
      <c r="LE88" s="204"/>
      <c r="LF88" s="204"/>
      <c r="LG88" s="204"/>
      <c r="LH88" s="204"/>
      <c r="LI88" s="204"/>
      <c r="LJ88" s="204"/>
      <c r="LK88" s="204"/>
      <c r="LL88" s="204"/>
      <c r="LM88" s="204"/>
      <c r="LN88" s="204"/>
      <c r="LO88" s="204"/>
      <c r="LP88" s="204"/>
      <c r="LQ88" s="204"/>
      <c r="LR88" s="204"/>
      <c r="LS88" s="204"/>
      <c r="LT88" s="204"/>
      <c r="LU88" s="204"/>
      <c r="LV88" s="204"/>
      <c r="LW88" s="204"/>
      <c r="LX88" s="204"/>
      <c r="LY88" s="204"/>
      <c r="LZ88" s="204"/>
      <c r="MA88" s="204"/>
      <c r="MB88" s="204"/>
      <c r="MC88" s="204"/>
      <c r="MD88" s="204"/>
      <c r="ME88" s="204"/>
      <c r="MF88" s="204"/>
      <c r="MG88" s="204"/>
      <c r="MH88" s="204"/>
      <c r="MI88" s="204"/>
      <c r="MJ88" s="204"/>
      <c r="MK88" s="204"/>
      <c r="ML88" s="204"/>
      <c r="MM88" s="204"/>
      <c r="MN88" s="204"/>
      <c r="MO88" s="204"/>
      <c r="MP88" s="204"/>
      <c r="MQ88" s="204"/>
      <c r="MR88" s="204"/>
      <c r="MS88" s="204"/>
      <c r="MT88" s="204"/>
      <c r="MU88" s="204"/>
      <c r="MV88" s="204"/>
      <c r="MW88" s="204"/>
      <c r="MX88" s="204"/>
      <c r="MY88" s="204"/>
      <c r="MZ88" s="204"/>
      <c r="NA88" s="204"/>
      <c r="NB88" s="204"/>
      <c r="NC88" s="204"/>
      <c r="ND88" s="204"/>
      <c r="NE88" s="204"/>
      <c r="NF88" s="204"/>
      <c r="NG88" s="204"/>
      <c r="NH88" s="204"/>
      <c r="NI88" s="204"/>
      <c r="NJ88" s="204"/>
      <c r="NK88" s="204"/>
      <c r="NL88" s="204"/>
      <c r="NM88" s="204"/>
      <c r="NN88" s="204"/>
      <c r="NO88" s="204"/>
      <c r="NP88" s="204"/>
      <c r="NQ88" s="204"/>
      <c r="NR88" s="204"/>
      <c r="NS88" s="204"/>
      <c r="NT88" s="204"/>
      <c r="NU88" s="204"/>
      <c r="NV88" s="204"/>
      <c r="NW88" s="204"/>
      <c r="NX88" s="204"/>
      <c r="NY88" s="204"/>
      <c r="NZ88" s="204"/>
      <c r="OA88" s="204"/>
      <c r="OB88" s="204"/>
      <c r="OC88" s="204"/>
      <c r="OD88" s="204"/>
      <c r="OE88" s="204"/>
      <c r="OF88" s="204"/>
      <c r="OG88" s="204"/>
      <c r="OH88" s="204"/>
      <c r="OI88" s="204"/>
      <c r="OJ88" s="204"/>
      <c r="OK88" s="204"/>
      <c r="OL88" s="204"/>
      <c r="OM88" s="204"/>
      <c r="ON88" s="204"/>
      <c r="OO88" s="204"/>
      <c r="OP88" s="204"/>
      <c r="OQ88" s="204"/>
      <c r="OR88" s="204"/>
      <c r="OS88" s="204"/>
      <c r="OT88" s="204"/>
      <c r="OU88" s="204"/>
      <c r="OV88" s="204"/>
      <c r="OW88" s="204"/>
      <c r="OX88" s="204"/>
      <c r="OY88" s="204"/>
      <c r="OZ88" s="204"/>
      <c r="PA88" s="204"/>
      <c r="PB88" s="204"/>
      <c r="PC88" s="204"/>
      <c r="PD88" s="204"/>
      <c r="PE88" s="204"/>
      <c r="PF88" s="204"/>
      <c r="PG88" s="204"/>
      <c r="PH88" s="204"/>
      <c r="PI88" s="204"/>
      <c r="PJ88" s="204"/>
      <c r="PK88" s="204"/>
      <c r="PL88" s="204"/>
      <c r="PM88" s="204"/>
      <c r="PN88" s="204"/>
      <c r="PO88" s="204"/>
      <c r="PQ88" s="201"/>
      <c r="PR88" s="201"/>
      <c r="PS88" s="201"/>
      <c r="PT88" s="201"/>
      <c r="PU88" s="201"/>
      <c r="PV88" s="201"/>
      <c r="PW88" s="201"/>
      <c r="PX88" s="201"/>
      <c r="PY88" s="201"/>
      <c r="PZ88" s="201"/>
      <c r="QA88" s="201"/>
      <c r="QB88" s="201"/>
      <c r="QC88" s="201"/>
      <c r="QD88" s="201"/>
      <c r="QE88" s="201"/>
      <c r="QF88" s="201"/>
      <c r="QG88" s="201"/>
      <c r="QH88" s="201"/>
      <c r="QI88" s="201"/>
      <c r="QJ88" s="201"/>
      <c r="QK88" s="201"/>
      <c r="QL88" s="201"/>
      <c r="QM88" s="201"/>
      <c r="QN88" s="201"/>
      <c r="QO88" s="201"/>
      <c r="QP88" s="201"/>
      <c r="QQ88" s="201"/>
      <c r="QR88" s="201"/>
      <c r="QS88" s="201"/>
      <c r="QT88" s="201"/>
      <c r="QU88" s="201"/>
      <c r="QV88" s="201"/>
      <c r="QW88" s="201"/>
      <c r="QX88" s="201"/>
      <c r="QY88" s="201"/>
      <c r="QZ88" s="201"/>
      <c r="RA88" s="201"/>
      <c r="RB88" s="201"/>
      <c r="RC88" s="201"/>
      <c r="RD88" s="201"/>
      <c r="RE88" s="201"/>
      <c r="RF88" s="201"/>
      <c r="RG88" s="201"/>
      <c r="RH88" s="201"/>
      <c r="RI88" s="201"/>
      <c r="RJ88" s="201"/>
      <c r="RK88" s="201"/>
      <c r="RL88" s="201"/>
      <c r="RM88" s="201"/>
      <c r="RN88" s="201"/>
      <c r="RO88" s="201"/>
      <c r="RP88" s="201"/>
      <c r="RQ88" s="201"/>
      <c r="RR88" s="201"/>
      <c r="RS88" s="201"/>
      <c r="RT88" s="201"/>
      <c r="RU88" s="201"/>
      <c r="RV88" s="201"/>
      <c r="RW88" s="201"/>
      <c r="RX88" s="201"/>
      <c r="RY88" s="201"/>
      <c r="RZ88" s="201"/>
      <c r="SA88" s="201"/>
      <c r="SB88" s="201"/>
      <c r="SC88" s="201"/>
      <c r="SD88" s="201"/>
      <c r="SE88" s="201"/>
      <c r="SF88" s="201"/>
      <c r="SG88" s="201"/>
      <c r="SH88" s="201"/>
      <c r="SI88" s="201"/>
      <c r="SJ88" s="201"/>
      <c r="SK88" s="201"/>
      <c r="SL88" s="201"/>
      <c r="SM88" s="201"/>
      <c r="SN88" s="201"/>
      <c r="SO88" s="201"/>
      <c r="SP88" s="201"/>
      <c r="SQ88" s="201"/>
      <c r="SR88" s="201"/>
      <c r="SS88" s="201"/>
      <c r="ST88" s="201"/>
      <c r="SU88" s="201"/>
      <c r="SV88" s="201"/>
      <c r="SW88" s="201"/>
      <c r="SX88" s="201"/>
      <c r="SY88" s="201"/>
      <c r="SZ88" s="201"/>
      <c r="TA88" s="201"/>
      <c r="TB88" s="201"/>
      <c r="TC88" s="201"/>
      <c r="TD88" s="201"/>
      <c r="TE88" s="201"/>
      <c r="TF88" s="201"/>
      <c r="TG88" s="201"/>
      <c r="TH88" s="201"/>
      <c r="TI88" s="201"/>
      <c r="TJ88" s="201"/>
      <c r="TK88" s="201"/>
      <c r="TL88" s="201"/>
      <c r="TM88" s="201"/>
      <c r="TN88" s="201"/>
      <c r="TO88" s="201"/>
      <c r="TP88" s="201"/>
      <c r="TQ88" s="201"/>
      <c r="TR88" s="201"/>
      <c r="TS88" s="201"/>
      <c r="TT88" s="201"/>
      <c r="TU88" s="201"/>
      <c r="TV88" s="201"/>
      <c r="TW88" s="201"/>
      <c r="TX88" s="201"/>
      <c r="TY88" s="201"/>
      <c r="TZ88" s="201"/>
      <c r="UA88" s="201"/>
      <c r="UB88" s="201"/>
      <c r="UC88" s="201"/>
      <c r="UD88" s="201"/>
      <c r="UE88" s="201"/>
      <c r="UF88" s="201"/>
      <c r="UG88" s="201"/>
      <c r="UH88" s="201"/>
      <c r="UI88" s="201"/>
      <c r="UJ88" s="201"/>
      <c r="UK88" s="201"/>
      <c r="UL88" s="201"/>
      <c r="UM88" s="201"/>
      <c r="UN88" s="201"/>
      <c r="UO88" s="201"/>
      <c r="UP88" s="201"/>
      <c r="UQ88" s="201"/>
      <c r="UR88" s="201"/>
      <c r="US88" s="201"/>
      <c r="UT88" s="201"/>
      <c r="UU88" s="201"/>
    </row>
    <row r="89" spans="1:567" ht="14.25" hidden="1" customHeight="1" x14ac:dyDescent="0.4">
      <c r="B89" s="31" t="s">
        <v>104</v>
      </c>
      <c r="C89" s="76" t="str">
        <f>IF(E89=0,"NA",E89/J210)</f>
        <v>NA</v>
      </c>
      <c r="D89" s="69">
        <v>0</v>
      </c>
      <c r="E89" s="346">
        <f>D89*$K$49*REFI?</f>
        <v>0</v>
      </c>
      <c r="F89" s="173">
        <f>Analysis_Period-J94</f>
        <v>0</v>
      </c>
      <c r="G89" s="66">
        <v>0</v>
      </c>
      <c r="H89" s="66">
        <v>360</v>
      </c>
      <c r="I89" s="67">
        <v>0.08</v>
      </c>
      <c r="J89" s="19" t="s">
        <v>643</v>
      </c>
      <c r="K89" s="557">
        <v>400</v>
      </c>
      <c r="R89" s="159" t="s">
        <v>110</v>
      </c>
      <c r="S89" s="558">
        <f t="shared" ref="S89" si="1215">S$75+($K89/10000)</f>
        <v>7.6350899999999999E-2</v>
      </c>
      <c r="T89" s="558">
        <f t="shared" si="1201"/>
        <v>7.606750000000001E-2</v>
      </c>
      <c r="U89" s="558">
        <f t="shared" si="1201"/>
        <v>7.5242200000000009E-2</v>
      </c>
      <c r="V89" s="558">
        <f t="shared" si="1201"/>
        <v>7.5237100000000001E-2</v>
      </c>
      <c r="W89" s="558">
        <f t="shared" si="1201"/>
        <v>7.5058899999999998E-2</v>
      </c>
      <c r="X89" s="558">
        <f t="shared" si="1201"/>
        <v>7.4620999999999993E-2</v>
      </c>
      <c r="Y89" s="558">
        <f t="shared" si="1201"/>
        <v>7.4619400000000002E-2</v>
      </c>
      <c r="Z89" s="558">
        <f t="shared" si="1201"/>
        <v>7.4581499999999995E-2</v>
      </c>
      <c r="AA89" s="558">
        <f t="shared" si="1201"/>
        <v>7.4479099999999993E-2</v>
      </c>
      <c r="AB89" s="558">
        <f t="shared" si="1201"/>
        <v>7.4477099999999991E-2</v>
      </c>
      <c r="AC89" s="558">
        <f t="shared" si="1201"/>
        <v>7.4490000000000001E-2</v>
      </c>
      <c r="AD89" s="558">
        <f t="shared" si="1201"/>
        <v>7.4513799999999991E-2</v>
      </c>
      <c r="AE89" s="558">
        <f t="shared" si="1201"/>
        <v>7.4550599999999995E-2</v>
      </c>
      <c r="AF89" s="558">
        <f t="shared" si="1201"/>
        <v>7.4597500000000011E-2</v>
      </c>
      <c r="AG89" s="558">
        <f t="shared" si="1201"/>
        <v>7.4668999999999999E-2</v>
      </c>
      <c r="AH89" s="558">
        <f t="shared" si="1201"/>
        <v>7.4737300000000007E-2</v>
      </c>
      <c r="AI89" s="558">
        <f t="shared" si="1201"/>
        <v>7.481009999999999E-2</v>
      </c>
      <c r="AJ89" s="558">
        <f t="shared" si="1202"/>
        <v>7.488800000000001E-2</v>
      </c>
      <c r="AK89" s="558">
        <f t="shared" si="1202"/>
        <v>7.4968900000000005E-2</v>
      </c>
      <c r="AL89" s="558">
        <f t="shared" si="1202"/>
        <v>7.5056499999999998E-2</v>
      </c>
      <c r="AM89" s="558">
        <f t="shared" si="1202"/>
        <v>7.5140100000000001E-2</v>
      </c>
      <c r="AN89" s="558">
        <f t="shared" si="1202"/>
        <v>7.5228199999999995E-2</v>
      </c>
      <c r="AO89" s="558">
        <f t="shared" si="1202"/>
        <v>7.5321400000000011E-2</v>
      </c>
      <c r="AP89" s="558">
        <f t="shared" si="1202"/>
        <v>7.5418100000000002E-2</v>
      </c>
      <c r="AQ89" s="558">
        <f t="shared" si="1202"/>
        <v>7.5511400000000006E-2</v>
      </c>
      <c r="AR89" s="558">
        <f t="shared" si="1202"/>
        <v>7.5614199999999993E-2</v>
      </c>
      <c r="AS89" s="558">
        <f t="shared" si="1202"/>
        <v>7.5718900000000006E-2</v>
      </c>
      <c r="AT89" s="558">
        <f t="shared" si="1202"/>
        <v>7.5810700000000009E-2</v>
      </c>
      <c r="AU89" s="558">
        <f t="shared" si="1202"/>
        <v>7.5911900000000004E-2</v>
      </c>
      <c r="AV89" s="558">
        <f t="shared" si="1202"/>
        <v>7.60015E-2</v>
      </c>
      <c r="AW89" s="558">
        <f t="shared" si="1202"/>
        <v>7.6088000000000003E-2</v>
      </c>
      <c r="AX89" s="558">
        <f t="shared" si="1202"/>
        <v>7.617270000000001E-2</v>
      </c>
      <c r="AY89" s="558">
        <f t="shared" si="1202"/>
        <v>7.6249999999999998E-2</v>
      </c>
      <c r="AZ89" s="558">
        <f t="shared" si="1203"/>
        <v>7.6332700000000003E-2</v>
      </c>
      <c r="BA89" s="558">
        <f t="shared" si="1203"/>
        <v>7.6399999999999996E-2</v>
      </c>
      <c r="BB89" s="558">
        <f t="shared" si="1203"/>
        <v>7.6465900000000003E-2</v>
      </c>
      <c r="BC89" s="558">
        <f t="shared" si="1203"/>
        <v>7.6529800000000009E-2</v>
      </c>
      <c r="BD89" s="558">
        <f t="shared" si="1203"/>
        <v>7.6579399999999992E-2</v>
      </c>
      <c r="BE89" s="558">
        <f t="shared" si="1203"/>
        <v>7.6637800000000006E-2</v>
      </c>
      <c r="BF89" s="558">
        <f t="shared" si="1203"/>
        <v>7.6688800000000001E-2</v>
      </c>
      <c r="BG89" s="558">
        <f t="shared" si="1203"/>
        <v>7.6746200000000001E-2</v>
      </c>
      <c r="BH89" s="558">
        <f t="shared" si="1203"/>
        <v>7.68007E-2</v>
      </c>
      <c r="BI89" s="558">
        <f t="shared" si="1203"/>
        <v>7.68654E-2</v>
      </c>
      <c r="BJ89" s="558">
        <f t="shared" si="1203"/>
        <v>7.6922500000000005E-2</v>
      </c>
      <c r="BK89" s="558">
        <f t="shared" si="1203"/>
        <v>7.6975600000000005E-2</v>
      </c>
      <c r="BL89" s="558">
        <f t="shared" si="1203"/>
        <v>7.7039999999999997E-2</v>
      </c>
      <c r="BM89" s="558">
        <f t="shared" si="1203"/>
        <v>7.7097699999999991E-2</v>
      </c>
      <c r="BN89" s="558">
        <f t="shared" si="1203"/>
        <v>7.716690000000001E-2</v>
      </c>
      <c r="BO89" s="558">
        <f t="shared" si="1203"/>
        <v>7.7222100000000002E-2</v>
      </c>
      <c r="BP89" s="558">
        <f t="shared" si="1204"/>
        <v>7.7277299999999993E-2</v>
      </c>
      <c r="BQ89" s="558">
        <f t="shared" si="1204"/>
        <v>7.7344400000000008E-2</v>
      </c>
      <c r="BR89" s="558">
        <f t="shared" si="1204"/>
        <v>7.7414000000000011E-2</v>
      </c>
      <c r="BS89" s="558">
        <f t="shared" si="1204"/>
        <v>7.7474700000000007E-2</v>
      </c>
      <c r="BT89" s="558">
        <f t="shared" si="1204"/>
        <v>7.7527299999999993E-2</v>
      </c>
      <c r="BU89" s="558">
        <f t="shared" si="1204"/>
        <v>7.7591600000000011E-2</v>
      </c>
      <c r="BV89" s="558">
        <f t="shared" si="1204"/>
        <v>7.7649999999999997E-2</v>
      </c>
      <c r="BW89" s="558">
        <f t="shared" si="1204"/>
        <v>7.7703400000000006E-2</v>
      </c>
      <c r="BX89" s="558">
        <f t="shared" si="1204"/>
        <v>7.7761700000000003E-2</v>
      </c>
      <c r="BY89" s="558">
        <f t="shared" si="1204"/>
        <v>7.7817799999999993E-2</v>
      </c>
      <c r="BZ89" s="558">
        <f t="shared" si="1204"/>
        <v>7.7875600000000003E-2</v>
      </c>
      <c r="CA89" s="558">
        <f t="shared" si="1204"/>
        <v>7.7928400000000009E-2</v>
      </c>
      <c r="CB89" s="558">
        <f t="shared" si="1204"/>
        <v>7.7969200000000002E-2</v>
      </c>
      <c r="CC89" s="558">
        <f t="shared" si="1204"/>
        <v>7.8024499999999997E-2</v>
      </c>
      <c r="CD89" s="558">
        <f t="shared" si="1204"/>
        <v>7.8078099999999998E-2</v>
      </c>
      <c r="CE89" s="558">
        <f t="shared" si="1204"/>
        <v>7.8126500000000002E-2</v>
      </c>
      <c r="CF89" s="558">
        <f t="shared" si="1205"/>
        <v>7.8169099999999991E-2</v>
      </c>
      <c r="CG89" s="558">
        <f t="shared" si="1205"/>
        <v>7.8217800000000004E-2</v>
      </c>
      <c r="CH89" s="558">
        <f t="shared" si="1205"/>
        <v>7.8264200000000006E-2</v>
      </c>
      <c r="CI89" s="558">
        <f t="shared" si="1205"/>
        <v>7.8312300000000001E-2</v>
      </c>
      <c r="CJ89" s="558">
        <f t="shared" si="1205"/>
        <v>7.8357900000000008E-2</v>
      </c>
      <c r="CK89" s="558">
        <f t="shared" si="1205"/>
        <v>7.8395400000000004E-2</v>
      </c>
      <c r="CL89" s="558">
        <f t="shared" si="1205"/>
        <v>7.8437499999999993E-2</v>
      </c>
      <c r="CM89" s="558">
        <f t="shared" si="1205"/>
        <v>7.8478400000000004E-2</v>
      </c>
      <c r="CN89" s="558">
        <f t="shared" si="1205"/>
        <v>7.8511600000000001E-2</v>
      </c>
      <c r="CO89" s="558">
        <f t="shared" si="1205"/>
        <v>7.8556199999999993E-2</v>
      </c>
      <c r="CP89" s="558">
        <f t="shared" si="1205"/>
        <v>7.8591300000000003E-2</v>
      </c>
      <c r="CQ89" s="558">
        <f t="shared" si="1205"/>
        <v>7.8631100000000009E-2</v>
      </c>
      <c r="CR89" s="558">
        <f t="shared" si="1205"/>
        <v>7.8671099999999994E-2</v>
      </c>
      <c r="CS89" s="558">
        <f t="shared" si="1205"/>
        <v>7.8711599999999993E-2</v>
      </c>
      <c r="CT89" s="558">
        <f t="shared" si="1205"/>
        <v>7.875660000000001E-2</v>
      </c>
      <c r="CU89" s="558">
        <f t="shared" si="1205"/>
        <v>7.879230000000001E-2</v>
      </c>
      <c r="CV89" s="558">
        <f t="shared" si="1206"/>
        <v>7.88354E-2</v>
      </c>
      <c r="CW89" s="558">
        <f t="shared" si="1206"/>
        <v>7.8876100000000005E-2</v>
      </c>
      <c r="CX89" s="558">
        <f t="shared" si="1206"/>
        <v>7.8918500000000003E-2</v>
      </c>
      <c r="CY89" s="558">
        <f t="shared" si="1206"/>
        <v>7.8958600000000004E-2</v>
      </c>
      <c r="CZ89" s="558">
        <f t="shared" si="1206"/>
        <v>7.8993499999999994E-2</v>
      </c>
      <c r="DA89" s="558">
        <f t="shared" si="1206"/>
        <v>7.9041300000000009E-2</v>
      </c>
      <c r="DB89" s="558">
        <f t="shared" si="1206"/>
        <v>7.90825E-2</v>
      </c>
      <c r="DC89" s="558">
        <f t="shared" si="1206"/>
        <v>7.9134099999999999E-2</v>
      </c>
      <c r="DD89" s="558">
        <f t="shared" si="1206"/>
        <v>7.9173300000000002E-2</v>
      </c>
      <c r="DE89" s="558">
        <f t="shared" si="1206"/>
        <v>7.921700000000001E-2</v>
      </c>
      <c r="DF89" s="558">
        <f t="shared" si="1206"/>
        <v>7.9265500000000003E-2</v>
      </c>
      <c r="DG89" s="558">
        <f t="shared" si="1206"/>
        <v>7.9307299999999997E-2</v>
      </c>
      <c r="DH89" s="558">
        <f t="shared" si="1206"/>
        <v>7.9353599999999996E-2</v>
      </c>
      <c r="DI89" s="558">
        <f t="shared" si="1206"/>
        <v>7.9403399999999999E-2</v>
      </c>
      <c r="DJ89" s="558">
        <f t="shared" si="1206"/>
        <v>7.94493E-2</v>
      </c>
      <c r="DK89" s="558">
        <f t="shared" si="1206"/>
        <v>7.9499800000000009E-2</v>
      </c>
      <c r="DL89" s="558">
        <f t="shared" si="1207"/>
        <v>7.9536200000000001E-2</v>
      </c>
      <c r="DM89" s="558">
        <f t="shared" si="1207"/>
        <v>7.9588800000000001E-2</v>
      </c>
      <c r="DN89" s="558">
        <f t="shared" si="1207"/>
        <v>7.9631599999999997E-2</v>
      </c>
      <c r="DO89" s="558">
        <f t="shared" si="1207"/>
        <v>7.9685199999999998E-2</v>
      </c>
      <c r="DP89" s="558">
        <f t="shared" si="1207"/>
        <v>7.973050000000001E-2</v>
      </c>
      <c r="DQ89" s="558">
        <f t="shared" si="1207"/>
        <v>7.9780299999999998E-2</v>
      </c>
      <c r="DR89" s="558">
        <f t="shared" si="1207"/>
        <v>7.9830700000000004E-2</v>
      </c>
      <c r="DS89" s="558">
        <f t="shared" si="1207"/>
        <v>7.9878499999999991E-2</v>
      </c>
      <c r="DT89" s="558">
        <f t="shared" si="1207"/>
        <v>7.9937300000000003E-2</v>
      </c>
      <c r="DU89" s="558">
        <f t="shared" si="1207"/>
        <v>7.9983100000000001E-2</v>
      </c>
      <c r="DV89" s="558">
        <f t="shared" si="1207"/>
        <v>8.0034899999999992E-2</v>
      </c>
      <c r="DW89" s="558">
        <f t="shared" si="1207"/>
        <v>8.0088800000000002E-2</v>
      </c>
      <c r="DX89" s="558">
        <f t="shared" si="1207"/>
        <v>8.0131000000000008E-2</v>
      </c>
      <c r="DY89" s="558">
        <f t="shared" si="1207"/>
        <v>8.0188099999999998E-2</v>
      </c>
      <c r="DZ89" s="558">
        <f t="shared" si="1207"/>
        <v>7.2831199999999999E-2</v>
      </c>
      <c r="EA89" s="558">
        <f t="shared" si="1207"/>
        <v>7.2884100000000007E-2</v>
      </c>
      <c r="EB89" s="558">
        <f t="shared" si="1208"/>
        <v>7.2935100000000003E-2</v>
      </c>
      <c r="EC89" s="558">
        <f t="shared" si="1208"/>
        <v>7.2984400000000005E-2</v>
      </c>
      <c r="ED89" s="558">
        <f t="shared" si="1208"/>
        <v>7.303090000000001E-2</v>
      </c>
      <c r="EE89" s="558">
        <f t="shared" si="1208"/>
        <v>7.3087399999999997E-2</v>
      </c>
      <c r="EF89" s="558">
        <f t="shared" si="1208"/>
        <v>7.3140499999999997E-2</v>
      </c>
      <c r="EG89" s="558">
        <f t="shared" si="1208"/>
        <v>7.3205099999999995E-2</v>
      </c>
      <c r="EH89" s="558">
        <f t="shared" si="1208"/>
        <v>7.3258600000000007E-2</v>
      </c>
      <c r="EI89" s="558">
        <f t="shared" si="1208"/>
        <v>7.3311700000000007E-2</v>
      </c>
      <c r="EJ89" s="558">
        <f t="shared" si="1208"/>
        <v>7.3311700000000007E-2</v>
      </c>
      <c r="EK89" s="558">
        <f t="shared" si="1208"/>
        <v>7.3311700000000007E-2</v>
      </c>
      <c r="EL89" s="558">
        <f t="shared" si="1208"/>
        <v>7.3311700000000007E-2</v>
      </c>
      <c r="EM89" s="558">
        <f t="shared" si="1208"/>
        <v>7.3311700000000007E-2</v>
      </c>
      <c r="EN89" s="558">
        <f t="shared" si="1208"/>
        <v>7.3311700000000007E-2</v>
      </c>
      <c r="EO89" s="558">
        <f t="shared" si="1208"/>
        <v>7.3311700000000007E-2</v>
      </c>
      <c r="EP89" s="558">
        <f t="shared" si="1208"/>
        <v>7.3311700000000007E-2</v>
      </c>
      <c r="EQ89" s="558">
        <f t="shared" si="1208"/>
        <v>7.3311700000000007E-2</v>
      </c>
      <c r="ER89" s="558">
        <f t="shared" si="1209"/>
        <v>7.3311700000000007E-2</v>
      </c>
      <c r="ES89" s="558">
        <f t="shared" si="1209"/>
        <v>7.3311700000000007E-2</v>
      </c>
      <c r="ET89" s="558">
        <f t="shared" si="1209"/>
        <v>7.3311700000000007E-2</v>
      </c>
      <c r="EU89" s="558">
        <f t="shared" si="1209"/>
        <v>7.3311700000000007E-2</v>
      </c>
      <c r="EW89" s="199" t="str">
        <f>B89</f>
        <v>Junior Loan 2</v>
      </c>
      <c r="EX89" s="219">
        <f t="shared" si="1210"/>
        <v>0</v>
      </c>
      <c r="EY89" s="219">
        <f t="shared" si="1210"/>
        <v>0</v>
      </c>
      <c r="EZ89" s="219">
        <f t="shared" si="1210"/>
        <v>360</v>
      </c>
      <c r="FA89" s="220">
        <f>J94</f>
        <v>36</v>
      </c>
      <c r="FB89" s="220">
        <f>K94</f>
        <v>36</v>
      </c>
      <c r="FC89" s="207">
        <f t="shared" ref="FC89:GH89" si="1216">AND(FC$73&gt;=$FA89,FC$73&lt;=$FB89)*PV(FC92/12,$EZ89-FC$87+$FA89+MIN(FC$87-$FA89,$EY89),PMT(FC92/12,$EZ89,$E89))</f>
        <v>0</v>
      </c>
      <c r="FD89" s="207">
        <f t="shared" si="1216"/>
        <v>0</v>
      </c>
      <c r="FE89" s="207">
        <f t="shared" si="1216"/>
        <v>0</v>
      </c>
      <c r="FF89" s="207">
        <f t="shared" si="1216"/>
        <v>0</v>
      </c>
      <c r="FG89" s="207">
        <f t="shared" si="1216"/>
        <v>0</v>
      </c>
      <c r="FH89" s="207">
        <f t="shared" si="1216"/>
        <v>0</v>
      </c>
      <c r="FI89" s="207">
        <f t="shared" si="1216"/>
        <v>0</v>
      </c>
      <c r="FJ89" s="207">
        <f t="shared" si="1216"/>
        <v>0</v>
      </c>
      <c r="FK89" s="207">
        <f t="shared" si="1216"/>
        <v>0</v>
      </c>
      <c r="FL89" s="207">
        <f t="shared" si="1216"/>
        <v>0</v>
      </c>
      <c r="FM89" s="207">
        <f t="shared" si="1216"/>
        <v>0</v>
      </c>
      <c r="FN89" s="207">
        <f t="shared" si="1216"/>
        <v>0</v>
      </c>
      <c r="FO89" s="207">
        <f t="shared" si="1216"/>
        <v>0</v>
      </c>
      <c r="FP89" s="207">
        <f t="shared" si="1216"/>
        <v>0</v>
      </c>
      <c r="FQ89" s="207">
        <f t="shared" si="1216"/>
        <v>0</v>
      </c>
      <c r="FR89" s="207">
        <f t="shared" si="1216"/>
        <v>0</v>
      </c>
      <c r="FS89" s="207">
        <f t="shared" si="1216"/>
        <v>0</v>
      </c>
      <c r="FT89" s="207">
        <f t="shared" si="1216"/>
        <v>0</v>
      </c>
      <c r="FU89" s="207">
        <f t="shared" si="1216"/>
        <v>0</v>
      </c>
      <c r="FV89" s="207">
        <f t="shared" si="1216"/>
        <v>0</v>
      </c>
      <c r="FW89" s="207">
        <f t="shared" si="1216"/>
        <v>0</v>
      </c>
      <c r="FX89" s="207">
        <f t="shared" si="1216"/>
        <v>0</v>
      </c>
      <c r="FY89" s="207">
        <f t="shared" si="1216"/>
        <v>0</v>
      </c>
      <c r="FZ89" s="207">
        <f t="shared" si="1216"/>
        <v>0</v>
      </c>
      <c r="GA89" s="207">
        <f t="shared" si="1216"/>
        <v>0</v>
      </c>
      <c r="GB89" s="207">
        <f t="shared" si="1216"/>
        <v>0</v>
      </c>
      <c r="GC89" s="207">
        <f t="shared" si="1216"/>
        <v>0</v>
      </c>
      <c r="GD89" s="207">
        <f t="shared" si="1216"/>
        <v>0</v>
      </c>
      <c r="GE89" s="207">
        <f t="shared" si="1216"/>
        <v>0</v>
      </c>
      <c r="GF89" s="207">
        <f t="shared" si="1216"/>
        <v>0</v>
      </c>
      <c r="GG89" s="207">
        <f t="shared" si="1216"/>
        <v>0</v>
      </c>
      <c r="GH89" s="207">
        <f t="shared" si="1216"/>
        <v>0</v>
      </c>
      <c r="GI89" s="207">
        <f t="shared" ref="GI89:HN89" si="1217">AND(GI$73&gt;=$FA89,GI$73&lt;=$FB89)*PV(GI92/12,$EZ89-GI$87+$FA89+MIN(GI$87-$FA89,$EY89),PMT(GI92/12,$EZ89,$E89))</f>
        <v>0</v>
      </c>
      <c r="GJ89" s="207">
        <f t="shared" si="1217"/>
        <v>0</v>
      </c>
      <c r="GK89" s="207">
        <f t="shared" si="1217"/>
        <v>0</v>
      </c>
      <c r="GL89" s="207">
        <f t="shared" si="1217"/>
        <v>0</v>
      </c>
      <c r="GM89" s="207">
        <f t="shared" si="1217"/>
        <v>0</v>
      </c>
      <c r="GN89" s="207">
        <f t="shared" si="1217"/>
        <v>0</v>
      </c>
      <c r="GO89" s="207">
        <f t="shared" si="1217"/>
        <v>0</v>
      </c>
      <c r="GP89" s="207">
        <f t="shared" si="1217"/>
        <v>0</v>
      </c>
      <c r="GQ89" s="207">
        <f t="shared" si="1217"/>
        <v>0</v>
      </c>
      <c r="GR89" s="207">
        <f t="shared" si="1217"/>
        <v>0</v>
      </c>
      <c r="GS89" s="207">
        <f t="shared" si="1217"/>
        <v>0</v>
      </c>
      <c r="GT89" s="207">
        <f t="shared" si="1217"/>
        <v>0</v>
      </c>
      <c r="GU89" s="207">
        <f t="shared" si="1217"/>
        <v>0</v>
      </c>
      <c r="GV89" s="207">
        <f t="shared" si="1217"/>
        <v>0</v>
      </c>
      <c r="GW89" s="207">
        <f t="shared" si="1217"/>
        <v>0</v>
      </c>
      <c r="GX89" s="207">
        <f t="shared" si="1217"/>
        <v>0</v>
      </c>
      <c r="GY89" s="207">
        <f t="shared" si="1217"/>
        <v>0</v>
      </c>
      <c r="GZ89" s="207">
        <f t="shared" si="1217"/>
        <v>0</v>
      </c>
      <c r="HA89" s="207">
        <f t="shared" si="1217"/>
        <v>0</v>
      </c>
      <c r="HB89" s="207">
        <f t="shared" si="1217"/>
        <v>0</v>
      </c>
      <c r="HC89" s="207">
        <f t="shared" si="1217"/>
        <v>0</v>
      </c>
      <c r="HD89" s="207">
        <f t="shared" si="1217"/>
        <v>0</v>
      </c>
      <c r="HE89" s="207">
        <f t="shared" si="1217"/>
        <v>0</v>
      </c>
      <c r="HF89" s="207">
        <f t="shared" si="1217"/>
        <v>0</v>
      </c>
      <c r="HG89" s="207">
        <f t="shared" si="1217"/>
        <v>0</v>
      </c>
      <c r="HH89" s="207">
        <f t="shared" si="1217"/>
        <v>0</v>
      </c>
      <c r="HI89" s="207">
        <f t="shared" si="1217"/>
        <v>0</v>
      </c>
      <c r="HJ89" s="207">
        <f t="shared" si="1217"/>
        <v>0</v>
      </c>
      <c r="HK89" s="207">
        <f t="shared" si="1217"/>
        <v>0</v>
      </c>
      <c r="HL89" s="207">
        <f t="shared" si="1217"/>
        <v>0</v>
      </c>
      <c r="HM89" s="207">
        <f t="shared" si="1217"/>
        <v>0</v>
      </c>
      <c r="HN89" s="207">
        <f t="shared" si="1217"/>
        <v>0</v>
      </c>
      <c r="HO89" s="207">
        <f t="shared" ref="HO89:IT89" si="1218">AND(HO$73&gt;=$FA89,HO$73&lt;=$FB89)*PV(HO92/12,$EZ89-HO$87+$FA89+MIN(HO$87-$FA89,$EY89),PMT(HO92/12,$EZ89,$E89))</f>
        <v>0</v>
      </c>
      <c r="HP89" s="207">
        <f t="shared" si="1218"/>
        <v>0</v>
      </c>
      <c r="HQ89" s="207">
        <f t="shared" si="1218"/>
        <v>0</v>
      </c>
      <c r="HR89" s="207">
        <f t="shared" si="1218"/>
        <v>0</v>
      </c>
      <c r="HS89" s="207">
        <f t="shared" si="1218"/>
        <v>0</v>
      </c>
      <c r="HT89" s="207">
        <f t="shared" si="1218"/>
        <v>0</v>
      </c>
      <c r="HU89" s="207">
        <f t="shared" si="1218"/>
        <v>0</v>
      </c>
      <c r="HV89" s="207">
        <f t="shared" si="1218"/>
        <v>0</v>
      </c>
      <c r="HW89" s="207">
        <f t="shared" si="1218"/>
        <v>0</v>
      </c>
      <c r="HX89" s="207">
        <f t="shared" si="1218"/>
        <v>0</v>
      </c>
      <c r="HY89" s="207">
        <f t="shared" si="1218"/>
        <v>0</v>
      </c>
      <c r="HZ89" s="207">
        <f t="shared" si="1218"/>
        <v>0</v>
      </c>
      <c r="IA89" s="207">
        <f t="shared" si="1218"/>
        <v>0</v>
      </c>
      <c r="IB89" s="207">
        <f t="shared" si="1218"/>
        <v>0</v>
      </c>
      <c r="IC89" s="207">
        <f t="shared" si="1218"/>
        <v>0</v>
      </c>
      <c r="ID89" s="207">
        <f t="shared" si="1218"/>
        <v>0</v>
      </c>
      <c r="IE89" s="207">
        <f t="shared" si="1218"/>
        <v>0</v>
      </c>
      <c r="IF89" s="207">
        <f t="shared" si="1218"/>
        <v>0</v>
      </c>
      <c r="IG89" s="207">
        <f t="shared" si="1218"/>
        <v>0</v>
      </c>
      <c r="IH89" s="207">
        <f t="shared" si="1218"/>
        <v>0</v>
      </c>
      <c r="II89" s="207">
        <f t="shared" si="1218"/>
        <v>0</v>
      </c>
      <c r="IJ89" s="207">
        <f t="shared" si="1218"/>
        <v>0</v>
      </c>
      <c r="IK89" s="207">
        <f t="shared" si="1218"/>
        <v>0</v>
      </c>
      <c r="IL89" s="207">
        <f t="shared" si="1218"/>
        <v>0</v>
      </c>
      <c r="IM89" s="207">
        <f t="shared" si="1218"/>
        <v>0</v>
      </c>
      <c r="IN89" s="207">
        <f t="shared" si="1218"/>
        <v>0</v>
      </c>
      <c r="IO89" s="207">
        <f t="shared" si="1218"/>
        <v>0</v>
      </c>
      <c r="IP89" s="207">
        <f t="shared" si="1218"/>
        <v>0</v>
      </c>
      <c r="IQ89" s="207">
        <f t="shared" si="1218"/>
        <v>0</v>
      </c>
      <c r="IR89" s="207">
        <f t="shared" si="1218"/>
        <v>0</v>
      </c>
      <c r="IS89" s="207">
        <f t="shared" si="1218"/>
        <v>0</v>
      </c>
      <c r="IT89" s="207">
        <f t="shared" si="1218"/>
        <v>0</v>
      </c>
      <c r="IU89" s="207">
        <f t="shared" ref="IU89:KE89" si="1219">AND(IU$73&gt;=$FA89,IU$73&lt;=$FB89)*PV(IU92/12,$EZ89-IU$87+$FA89+MIN(IU$87-$FA89,$EY89),PMT(IU92/12,$EZ89,$E89))</f>
        <v>0</v>
      </c>
      <c r="IV89" s="207">
        <f t="shared" si="1219"/>
        <v>0</v>
      </c>
      <c r="IW89" s="207">
        <f t="shared" si="1219"/>
        <v>0</v>
      </c>
      <c r="IX89" s="207">
        <f t="shared" si="1219"/>
        <v>0</v>
      </c>
      <c r="IY89" s="207">
        <f t="shared" si="1219"/>
        <v>0</v>
      </c>
      <c r="IZ89" s="207">
        <f t="shared" si="1219"/>
        <v>0</v>
      </c>
      <c r="JA89" s="207">
        <f t="shared" si="1219"/>
        <v>0</v>
      </c>
      <c r="JB89" s="207">
        <f t="shared" si="1219"/>
        <v>0</v>
      </c>
      <c r="JC89" s="207">
        <f t="shared" si="1219"/>
        <v>0</v>
      </c>
      <c r="JD89" s="207">
        <f t="shared" si="1219"/>
        <v>0</v>
      </c>
      <c r="JE89" s="207">
        <f t="shared" si="1219"/>
        <v>0</v>
      </c>
      <c r="JF89" s="207">
        <f t="shared" si="1219"/>
        <v>0</v>
      </c>
      <c r="JG89" s="207">
        <f t="shared" si="1219"/>
        <v>0</v>
      </c>
      <c r="JH89" s="207">
        <f t="shared" si="1219"/>
        <v>0</v>
      </c>
      <c r="JI89" s="207">
        <f t="shared" si="1219"/>
        <v>0</v>
      </c>
      <c r="JJ89" s="207">
        <f t="shared" si="1219"/>
        <v>0</v>
      </c>
      <c r="JK89" s="207">
        <f t="shared" si="1219"/>
        <v>0</v>
      </c>
      <c r="JL89" s="207">
        <f t="shared" si="1219"/>
        <v>0</v>
      </c>
      <c r="JM89" s="207">
        <f t="shared" si="1219"/>
        <v>0</v>
      </c>
      <c r="JN89" s="207">
        <f t="shared" si="1219"/>
        <v>0</v>
      </c>
      <c r="JO89" s="207">
        <f t="shared" si="1219"/>
        <v>0</v>
      </c>
      <c r="JP89" s="207">
        <f t="shared" si="1219"/>
        <v>0</v>
      </c>
      <c r="JQ89" s="207">
        <f t="shared" si="1219"/>
        <v>0</v>
      </c>
      <c r="JR89" s="207">
        <f t="shared" si="1219"/>
        <v>0</v>
      </c>
      <c r="JS89" s="207">
        <f t="shared" si="1219"/>
        <v>0</v>
      </c>
      <c r="JT89" s="207">
        <f t="shared" si="1219"/>
        <v>0</v>
      </c>
      <c r="JU89" s="207">
        <f t="shared" si="1219"/>
        <v>0</v>
      </c>
      <c r="JV89" s="207">
        <f t="shared" si="1219"/>
        <v>0</v>
      </c>
      <c r="JW89" s="207">
        <f t="shared" si="1219"/>
        <v>0</v>
      </c>
      <c r="JX89" s="207">
        <f t="shared" si="1219"/>
        <v>0</v>
      </c>
      <c r="JY89" s="207">
        <f t="shared" si="1219"/>
        <v>0</v>
      </c>
      <c r="JZ89" s="207">
        <f t="shared" si="1219"/>
        <v>0</v>
      </c>
      <c r="KA89" s="207">
        <f t="shared" si="1219"/>
        <v>0</v>
      </c>
      <c r="KB89" s="207">
        <f t="shared" si="1219"/>
        <v>0</v>
      </c>
      <c r="KC89" s="207">
        <f t="shared" si="1219"/>
        <v>0</v>
      </c>
      <c r="KD89" s="207">
        <f t="shared" si="1219"/>
        <v>0</v>
      </c>
      <c r="KE89" s="207">
        <f t="shared" si="1219"/>
        <v>0</v>
      </c>
      <c r="KH89" s="219"/>
      <c r="KI89" s="219"/>
      <c r="KJ89" s="219"/>
      <c r="KK89" s="220"/>
      <c r="KL89" s="220"/>
      <c r="KM89" s="207"/>
      <c r="KN89" s="207"/>
      <c r="KO89" s="207"/>
      <c r="KP89" s="207"/>
      <c r="KQ89" s="207"/>
      <c r="KR89" s="207"/>
      <c r="KS89" s="207"/>
      <c r="KT89" s="207"/>
      <c r="KU89" s="207"/>
      <c r="KV89" s="207"/>
      <c r="KW89" s="207"/>
      <c r="KX89" s="207"/>
      <c r="KY89" s="207"/>
      <c r="KZ89" s="207"/>
      <c r="LA89" s="207"/>
      <c r="LB89" s="207"/>
      <c r="LC89" s="207"/>
      <c r="LD89" s="207"/>
      <c r="LE89" s="207"/>
      <c r="LF89" s="207"/>
      <c r="LG89" s="207"/>
      <c r="LH89" s="207"/>
      <c r="LI89" s="207"/>
      <c r="LJ89" s="207"/>
      <c r="LK89" s="207"/>
      <c r="LL89" s="207"/>
      <c r="LM89" s="207"/>
      <c r="LN89" s="207"/>
      <c r="LO89" s="207"/>
      <c r="LP89" s="207"/>
      <c r="LQ89" s="207"/>
      <c r="LR89" s="207"/>
      <c r="LS89" s="207"/>
      <c r="LT89" s="207"/>
      <c r="LU89" s="207"/>
      <c r="LV89" s="207"/>
      <c r="LW89" s="207"/>
      <c r="LX89" s="207"/>
      <c r="LY89" s="207"/>
      <c r="LZ89" s="207"/>
      <c r="MA89" s="207"/>
      <c r="MB89" s="207"/>
      <c r="MC89" s="207"/>
      <c r="MD89" s="207"/>
      <c r="ME89" s="207"/>
      <c r="MF89" s="207"/>
      <c r="MG89" s="207"/>
      <c r="MH89" s="207"/>
      <c r="MI89" s="207"/>
      <c r="MJ89" s="207"/>
      <c r="MK89" s="207"/>
      <c r="ML89" s="207"/>
      <c r="MM89" s="207"/>
      <c r="MN89" s="207"/>
      <c r="MO89" s="207"/>
      <c r="MP89" s="207"/>
      <c r="MQ89" s="207"/>
      <c r="MR89" s="207"/>
      <c r="MS89" s="207"/>
      <c r="MT89" s="207"/>
      <c r="MU89" s="207"/>
      <c r="MV89" s="207"/>
      <c r="MW89" s="207"/>
      <c r="MX89" s="207"/>
      <c r="MY89" s="207"/>
      <c r="MZ89" s="207"/>
      <c r="NA89" s="207"/>
      <c r="NB89" s="207"/>
      <c r="NC89" s="207"/>
      <c r="ND89" s="207"/>
      <c r="NE89" s="207"/>
      <c r="NF89" s="207"/>
      <c r="NG89" s="207"/>
      <c r="NH89" s="207"/>
      <c r="NI89" s="207"/>
      <c r="NJ89" s="207"/>
      <c r="NK89" s="207"/>
      <c r="NL89" s="207"/>
      <c r="NM89" s="207"/>
      <c r="NN89" s="207"/>
      <c r="NO89" s="207"/>
      <c r="NP89" s="207"/>
      <c r="NQ89" s="207"/>
      <c r="NR89" s="207"/>
      <c r="NS89" s="207"/>
      <c r="NT89" s="207"/>
      <c r="NU89" s="207"/>
      <c r="NV89" s="207"/>
      <c r="NW89" s="207"/>
      <c r="NX89" s="207"/>
      <c r="NY89" s="207"/>
      <c r="NZ89" s="207"/>
      <c r="OA89" s="207"/>
      <c r="OB89" s="207"/>
      <c r="OC89" s="207"/>
      <c r="OD89" s="207"/>
      <c r="OE89" s="207"/>
      <c r="OF89" s="207"/>
      <c r="OG89" s="207"/>
      <c r="OH89" s="207"/>
      <c r="OI89" s="207"/>
      <c r="OJ89" s="207"/>
      <c r="OK89" s="207"/>
      <c r="OL89" s="207"/>
      <c r="OM89" s="207"/>
      <c r="ON89" s="207"/>
      <c r="OO89" s="207"/>
      <c r="OP89" s="207"/>
      <c r="OQ89" s="207"/>
      <c r="OR89" s="207"/>
      <c r="OS89" s="207"/>
      <c r="OT89" s="207"/>
      <c r="OU89" s="207"/>
      <c r="OV89" s="207"/>
      <c r="OW89" s="207"/>
      <c r="OX89" s="207"/>
      <c r="OY89" s="207"/>
      <c r="OZ89" s="207"/>
      <c r="PA89" s="207"/>
      <c r="PB89" s="207"/>
      <c r="PC89" s="207"/>
      <c r="PD89" s="207"/>
      <c r="PE89" s="207"/>
      <c r="PF89" s="207"/>
      <c r="PG89" s="207"/>
      <c r="PH89" s="207"/>
      <c r="PI89" s="207"/>
      <c r="PJ89" s="207"/>
      <c r="PK89" s="207"/>
      <c r="PL89" s="207"/>
      <c r="PM89" s="207"/>
      <c r="PN89" s="207"/>
      <c r="PO89" s="207"/>
      <c r="PQ89" s="201"/>
      <c r="PR89" s="201"/>
      <c r="PS89" s="201"/>
      <c r="PT89" s="201"/>
      <c r="PU89" s="201"/>
      <c r="PV89" s="201"/>
      <c r="PW89" s="201"/>
      <c r="PX89" s="201"/>
      <c r="PY89" s="201"/>
      <c r="PZ89" s="201"/>
      <c r="QA89" s="201"/>
      <c r="QB89" s="201"/>
      <c r="QC89" s="201"/>
      <c r="QD89" s="201"/>
      <c r="QE89" s="201"/>
      <c r="QF89" s="201"/>
      <c r="QG89" s="201"/>
      <c r="QH89" s="201"/>
      <c r="QI89" s="201"/>
      <c r="QJ89" s="201"/>
      <c r="QK89" s="201"/>
      <c r="QL89" s="201"/>
      <c r="QM89" s="201"/>
      <c r="QN89" s="201"/>
      <c r="QO89" s="201"/>
      <c r="QP89" s="201"/>
      <c r="QQ89" s="201"/>
      <c r="QR89" s="201"/>
      <c r="QS89" s="201"/>
      <c r="QT89" s="201"/>
      <c r="QU89" s="201"/>
      <c r="QV89" s="201"/>
      <c r="QW89" s="201"/>
      <c r="QX89" s="201"/>
      <c r="QY89" s="201"/>
      <c r="QZ89" s="201"/>
      <c r="RA89" s="201"/>
      <c r="RB89" s="201"/>
      <c r="RC89" s="201"/>
      <c r="RD89" s="201"/>
      <c r="RE89" s="201"/>
      <c r="RF89" s="201"/>
      <c r="RG89" s="201"/>
      <c r="RH89" s="201"/>
      <c r="RI89" s="201"/>
      <c r="RJ89" s="201"/>
      <c r="RK89" s="201"/>
      <c r="RL89" s="201"/>
      <c r="RM89" s="201"/>
      <c r="RN89" s="201"/>
      <c r="RO89" s="201"/>
      <c r="RP89" s="201"/>
      <c r="RQ89" s="201"/>
      <c r="RR89" s="201"/>
      <c r="RS89" s="201"/>
      <c r="RT89" s="201"/>
      <c r="RU89" s="201"/>
      <c r="RV89" s="201"/>
      <c r="RW89" s="201"/>
      <c r="RX89" s="201"/>
      <c r="RY89" s="201"/>
      <c r="RZ89" s="201"/>
      <c r="SA89" s="201"/>
      <c r="SB89" s="201"/>
      <c r="SC89" s="201"/>
      <c r="SD89" s="201"/>
      <c r="SE89" s="201"/>
      <c r="SF89" s="201"/>
      <c r="SG89" s="201"/>
      <c r="SH89" s="201"/>
      <c r="SI89" s="201"/>
      <c r="SJ89" s="201"/>
      <c r="SK89" s="201"/>
      <c r="SL89" s="201"/>
      <c r="SM89" s="201"/>
      <c r="SN89" s="201"/>
      <c r="SO89" s="201"/>
      <c r="SP89" s="201"/>
      <c r="SQ89" s="201"/>
      <c r="SR89" s="201"/>
      <c r="SS89" s="201"/>
      <c r="ST89" s="201"/>
      <c r="SU89" s="201"/>
      <c r="SV89" s="201"/>
      <c r="SW89" s="201"/>
      <c r="SX89" s="201"/>
      <c r="SY89" s="201"/>
      <c r="SZ89" s="201"/>
      <c r="TA89" s="201"/>
      <c r="TB89" s="201"/>
      <c r="TC89" s="201"/>
      <c r="TD89" s="201"/>
      <c r="TE89" s="201"/>
      <c r="TF89" s="201"/>
      <c r="TG89" s="201"/>
      <c r="TH89" s="201"/>
      <c r="TI89" s="201"/>
      <c r="TJ89" s="201"/>
      <c r="TK89" s="201"/>
      <c r="TL89" s="201"/>
      <c r="TM89" s="201"/>
      <c r="TN89" s="201"/>
      <c r="TO89" s="201"/>
      <c r="TP89" s="201"/>
      <c r="TQ89" s="201"/>
      <c r="TR89" s="201"/>
      <c r="TS89" s="201"/>
      <c r="TT89" s="201"/>
      <c r="TU89" s="201"/>
      <c r="TV89" s="201"/>
      <c r="TW89" s="201"/>
      <c r="TX89" s="201"/>
      <c r="TY89" s="201"/>
      <c r="TZ89" s="201"/>
      <c r="UA89" s="201"/>
      <c r="UB89" s="201"/>
      <c r="UC89" s="201"/>
      <c r="UD89" s="201"/>
      <c r="UE89" s="201"/>
      <c r="UF89" s="201"/>
      <c r="UG89" s="201"/>
      <c r="UH89" s="201"/>
      <c r="UI89" s="201"/>
      <c r="UJ89" s="201"/>
      <c r="UK89" s="201"/>
      <c r="UL89" s="201"/>
      <c r="UM89" s="201"/>
      <c r="UN89" s="201"/>
      <c r="UO89" s="201"/>
      <c r="UP89" s="201"/>
      <c r="UQ89" s="201"/>
      <c r="UR89" s="201"/>
      <c r="US89" s="201"/>
      <c r="UT89" s="201"/>
      <c r="UU89" s="201"/>
    </row>
    <row r="90" spans="1:567" ht="14.25" hidden="1" customHeight="1" x14ac:dyDescent="0.4">
      <c r="B90" s="78"/>
      <c r="C90" s="57">
        <f>SUM(C88:C89)</f>
        <v>0</v>
      </c>
      <c r="D90" s="57">
        <f>SUM(D88:D89)</f>
        <v>0.66</v>
      </c>
      <c r="E90" s="77">
        <f>SUM(E88:E89)</f>
        <v>0</v>
      </c>
      <c r="F90" s="52"/>
      <c r="G90" s="57"/>
      <c r="H90" s="33"/>
      <c r="I90" s="158" t="s">
        <v>626</v>
      </c>
      <c r="J90" s="34">
        <f>IF(OR(J93&gt;Stabilization_Month,J94&gt;Stabilization_Month),K64,K64+((E88&gt;0)*(I80-E88)+(E89&gt;0)*(I81-E89)))</f>
        <v>27650930</v>
      </c>
      <c r="K90" s="571"/>
      <c r="EW90" s="199" t="s">
        <v>115</v>
      </c>
      <c r="FC90" s="199"/>
      <c r="FD90" s="199"/>
      <c r="FE90" s="199"/>
      <c r="FF90" s="199"/>
      <c r="FG90" s="199"/>
      <c r="FH90" s="199"/>
      <c r="FI90" s="199"/>
      <c r="FJ90" s="199"/>
      <c r="FK90" s="199"/>
      <c r="FL90" s="199"/>
      <c r="FM90" s="199"/>
      <c r="FN90" s="199"/>
      <c r="FO90" s="199"/>
      <c r="FP90" s="199"/>
      <c r="FQ90" s="199"/>
      <c r="FR90" s="199"/>
      <c r="FS90" s="199"/>
      <c r="FT90" s="199"/>
      <c r="FU90" s="199"/>
      <c r="FV90" s="199"/>
      <c r="FW90" s="199"/>
      <c r="FX90" s="199"/>
      <c r="FY90" s="199"/>
      <c r="FZ90" s="199"/>
      <c r="GA90" s="199"/>
      <c r="GB90" s="199"/>
      <c r="GC90" s="199"/>
      <c r="GD90" s="199"/>
      <c r="GE90" s="199"/>
      <c r="GF90" s="199"/>
      <c r="GG90" s="199"/>
      <c r="GH90" s="199"/>
      <c r="GI90" s="199"/>
      <c r="GJ90" s="199"/>
      <c r="GK90" s="199"/>
      <c r="GL90" s="199"/>
      <c r="GM90" s="199"/>
      <c r="GN90" s="199"/>
      <c r="GO90" s="199"/>
      <c r="GP90" s="199"/>
      <c r="GQ90" s="199"/>
      <c r="GR90" s="199"/>
      <c r="GS90" s="199"/>
      <c r="GT90" s="199"/>
      <c r="GU90" s="199"/>
      <c r="GV90" s="199"/>
      <c r="GW90" s="199"/>
      <c r="GX90" s="199"/>
      <c r="GY90" s="199"/>
      <c r="GZ90" s="199"/>
      <c r="HA90" s="199"/>
      <c r="HB90" s="199"/>
      <c r="HC90" s="199"/>
      <c r="HD90" s="199"/>
      <c r="HE90" s="199"/>
      <c r="HF90" s="199"/>
      <c r="HG90" s="199"/>
      <c r="HH90" s="199"/>
      <c r="HI90" s="199"/>
      <c r="HJ90" s="199"/>
      <c r="HK90" s="199"/>
      <c r="HL90" s="199"/>
      <c r="HM90" s="199"/>
      <c r="HN90" s="199"/>
      <c r="HO90" s="199"/>
      <c r="HP90" s="199"/>
      <c r="HQ90" s="199"/>
      <c r="HR90" s="199"/>
      <c r="HS90" s="199"/>
      <c r="HT90" s="199"/>
      <c r="HU90" s="199"/>
      <c r="HV90" s="199"/>
      <c r="HW90" s="199"/>
      <c r="HX90" s="199"/>
      <c r="HY90" s="199"/>
      <c r="HZ90" s="199"/>
      <c r="IA90" s="199"/>
      <c r="IB90" s="199"/>
      <c r="IC90" s="199"/>
      <c r="ID90" s="199"/>
      <c r="IE90" s="199"/>
      <c r="IF90" s="199"/>
      <c r="IG90" s="199"/>
      <c r="IH90" s="199"/>
      <c r="II90" s="199"/>
      <c r="IJ90" s="199"/>
      <c r="IK90" s="199"/>
      <c r="IL90" s="199"/>
      <c r="IM90" s="199"/>
      <c r="IN90" s="199"/>
      <c r="IO90" s="199"/>
      <c r="IP90" s="199"/>
      <c r="IQ90" s="199"/>
      <c r="IR90" s="199"/>
      <c r="IS90" s="199"/>
      <c r="IT90" s="199"/>
      <c r="IU90" s="199"/>
      <c r="IV90" s="199"/>
      <c r="IW90" s="199"/>
      <c r="IX90" s="199"/>
      <c r="IY90" s="199"/>
      <c r="IZ90" s="199"/>
      <c r="JA90" s="199"/>
      <c r="JB90" s="199"/>
      <c r="JC90" s="199"/>
      <c r="JD90" s="199"/>
      <c r="JE90" s="199"/>
      <c r="JF90" s="199"/>
      <c r="JG90" s="199"/>
      <c r="JH90" s="199"/>
      <c r="JI90" s="199"/>
      <c r="JJ90" s="199"/>
      <c r="JK90" s="199"/>
      <c r="JL90" s="199"/>
      <c r="JM90" s="199"/>
      <c r="JN90" s="199"/>
      <c r="JO90" s="199"/>
      <c r="JP90" s="199"/>
      <c r="JQ90" s="199"/>
      <c r="JR90" s="199"/>
      <c r="JS90" s="199"/>
      <c r="JT90" s="199"/>
      <c r="JU90" s="199"/>
      <c r="JV90" s="199"/>
      <c r="JW90" s="199"/>
      <c r="JX90" s="199"/>
      <c r="JY90" s="199"/>
      <c r="JZ90" s="199"/>
      <c r="KA90" s="199"/>
      <c r="KB90" s="199"/>
      <c r="KC90" s="199"/>
      <c r="KD90" s="199"/>
      <c r="KE90" s="199"/>
      <c r="PQ90" s="201"/>
      <c r="PR90" s="201"/>
      <c r="PS90" s="201"/>
      <c r="PT90" s="201"/>
      <c r="PU90" s="201"/>
      <c r="PV90" s="201"/>
      <c r="PW90" s="201"/>
      <c r="PX90" s="201"/>
      <c r="PY90" s="201"/>
      <c r="PZ90" s="201"/>
      <c r="QA90" s="201"/>
      <c r="QB90" s="201"/>
      <c r="QC90" s="201"/>
      <c r="QD90" s="201"/>
      <c r="QE90" s="201"/>
      <c r="QF90" s="201"/>
      <c r="QG90" s="201"/>
      <c r="QH90" s="201"/>
      <c r="QI90" s="201"/>
      <c r="QJ90" s="201"/>
      <c r="QK90" s="201"/>
      <c r="QL90" s="201"/>
      <c r="QM90" s="201"/>
      <c r="QN90" s="201"/>
      <c r="QO90" s="201"/>
      <c r="QP90" s="201"/>
      <c r="QQ90" s="201"/>
      <c r="QR90" s="201"/>
      <c r="QS90" s="201"/>
      <c r="QT90" s="201"/>
      <c r="QU90" s="201"/>
      <c r="QV90" s="201"/>
      <c r="QW90" s="201"/>
      <c r="QX90" s="201"/>
      <c r="QY90" s="201"/>
      <c r="QZ90" s="201"/>
      <c r="RA90" s="201"/>
      <c r="RB90" s="201"/>
      <c r="RC90" s="201"/>
      <c r="RD90" s="201"/>
      <c r="RE90" s="201"/>
      <c r="RF90" s="201"/>
      <c r="RG90" s="201"/>
      <c r="RH90" s="201"/>
      <c r="RI90" s="201"/>
      <c r="RJ90" s="201"/>
      <c r="RK90" s="201"/>
      <c r="RL90" s="201"/>
      <c r="RM90" s="201"/>
      <c r="RN90" s="201"/>
      <c r="RO90" s="201"/>
      <c r="RP90" s="201"/>
      <c r="RQ90" s="201"/>
      <c r="RR90" s="201"/>
      <c r="RS90" s="201"/>
      <c r="RT90" s="201"/>
      <c r="RU90" s="201"/>
      <c r="RV90" s="201"/>
      <c r="RW90" s="201"/>
      <c r="RX90" s="201"/>
      <c r="RY90" s="201"/>
      <c r="RZ90" s="201"/>
      <c r="SA90" s="201"/>
      <c r="SB90" s="201"/>
      <c r="SC90" s="201"/>
      <c r="SD90" s="201"/>
      <c r="SE90" s="201"/>
      <c r="SF90" s="201"/>
      <c r="SG90" s="201"/>
      <c r="SH90" s="201"/>
      <c r="SI90" s="201"/>
      <c r="SJ90" s="201"/>
      <c r="SK90" s="201"/>
      <c r="SL90" s="201"/>
      <c r="SM90" s="201"/>
      <c r="SN90" s="201"/>
      <c r="SO90" s="201"/>
      <c r="SP90" s="201"/>
      <c r="SQ90" s="201"/>
      <c r="SR90" s="201"/>
      <c r="SS90" s="201"/>
      <c r="ST90" s="201"/>
      <c r="SU90" s="201"/>
      <c r="SV90" s="201"/>
      <c r="SW90" s="201"/>
      <c r="SX90" s="201"/>
      <c r="SY90" s="201"/>
      <c r="SZ90" s="201"/>
      <c r="TA90" s="201"/>
      <c r="TB90" s="201"/>
      <c r="TC90" s="201"/>
      <c r="TD90" s="201"/>
      <c r="TE90" s="201"/>
      <c r="TF90" s="201"/>
      <c r="TG90" s="201"/>
      <c r="TH90" s="201"/>
      <c r="TI90" s="201"/>
      <c r="TJ90" s="201"/>
      <c r="TK90" s="201"/>
      <c r="TL90" s="201"/>
      <c r="TM90" s="201"/>
      <c r="TN90" s="201"/>
      <c r="TO90" s="201"/>
      <c r="TP90" s="201"/>
      <c r="TQ90" s="201"/>
      <c r="TR90" s="201"/>
      <c r="TS90" s="201"/>
      <c r="TT90" s="201"/>
      <c r="TU90" s="201"/>
      <c r="TV90" s="201"/>
      <c r="TW90" s="201"/>
      <c r="TX90" s="201"/>
      <c r="TY90" s="201"/>
      <c r="TZ90" s="201"/>
      <c r="UA90" s="201"/>
      <c r="UB90" s="201"/>
      <c r="UC90" s="201"/>
      <c r="UD90" s="201"/>
      <c r="UE90" s="201"/>
      <c r="UF90" s="201"/>
      <c r="UG90" s="201"/>
      <c r="UH90" s="201"/>
      <c r="UI90" s="201"/>
      <c r="UJ90" s="201"/>
      <c r="UK90" s="201"/>
      <c r="UL90" s="201"/>
      <c r="UM90" s="201"/>
      <c r="UN90" s="201"/>
      <c r="UO90" s="201"/>
      <c r="UP90" s="201"/>
      <c r="UQ90" s="201"/>
      <c r="UR90" s="201"/>
      <c r="US90" s="201"/>
      <c r="UT90" s="201"/>
      <c r="UU90" s="201"/>
    </row>
    <row r="91" spans="1:567" ht="14.25" hidden="1" customHeight="1" x14ac:dyDescent="0.25">
      <c r="B91" s="78"/>
      <c r="C91" s="52"/>
      <c r="D91" s="57"/>
      <c r="E91" s="57"/>
      <c r="F91" s="77"/>
      <c r="G91" s="52"/>
      <c r="H91" s="57"/>
      <c r="I91" s="158"/>
      <c r="J91" s="158"/>
      <c r="K91" s="572"/>
      <c r="EW91" s="199" t="str">
        <f>+B88</f>
        <v>Senior Loan 2</v>
      </c>
      <c r="EX91" s="219"/>
      <c r="EY91" s="219"/>
      <c r="EZ91" s="219"/>
      <c r="FA91" s="220"/>
      <c r="FB91" s="220"/>
      <c r="FC91" s="221">
        <f t="shared" ref="FC91:FL91" si="1220">IF($J88="Fixed Rate",$I88,S88)</f>
        <v>0.06</v>
      </c>
      <c r="FD91" s="221">
        <f t="shared" si="1220"/>
        <v>0.06</v>
      </c>
      <c r="FE91" s="221">
        <f t="shared" si="1220"/>
        <v>0.06</v>
      </c>
      <c r="FF91" s="221">
        <f t="shared" si="1220"/>
        <v>0.06</v>
      </c>
      <c r="FG91" s="221">
        <f t="shared" si="1220"/>
        <v>0.06</v>
      </c>
      <c r="FH91" s="221">
        <f t="shared" si="1220"/>
        <v>0.06</v>
      </c>
      <c r="FI91" s="221">
        <f t="shared" si="1220"/>
        <v>0.06</v>
      </c>
      <c r="FJ91" s="221">
        <f t="shared" si="1220"/>
        <v>0.06</v>
      </c>
      <c r="FK91" s="221">
        <f t="shared" si="1220"/>
        <v>0.06</v>
      </c>
      <c r="FL91" s="221">
        <f t="shared" si="1220"/>
        <v>0.06</v>
      </c>
      <c r="FM91" s="221">
        <f t="shared" ref="FM91:FV91" si="1221">IF($J88="Fixed Rate",$I88,AC88)</f>
        <v>0.06</v>
      </c>
      <c r="FN91" s="221">
        <f t="shared" si="1221"/>
        <v>0.06</v>
      </c>
      <c r="FO91" s="221">
        <f t="shared" si="1221"/>
        <v>0.06</v>
      </c>
      <c r="FP91" s="221">
        <f t="shared" si="1221"/>
        <v>0.06</v>
      </c>
      <c r="FQ91" s="221">
        <f t="shared" si="1221"/>
        <v>0.06</v>
      </c>
      <c r="FR91" s="221">
        <f t="shared" si="1221"/>
        <v>0.06</v>
      </c>
      <c r="FS91" s="221">
        <f t="shared" si="1221"/>
        <v>0.06</v>
      </c>
      <c r="FT91" s="221">
        <f t="shared" si="1221"/>
        <v>0.06</v>
      </c>
      <c r="FU91" s="221">
        <f t="shared" si="1221"/>
        <v>0.06</v>
      </c>
      <c r="FV91" s="221">
        <f t="shared" si="1221"/>
        <v>0.06</v>
      </c>
      <c r="FW91" s="221">
        <f t="shared" ref="FW91:GF91" si="1222">IF($J88="Fixed Rate",$I88,AM88)</f>
        <v>0.06</v>
      </c>
      <c r="FX91" s="221">
        <f t="shared" si="1222"/>
        <v>0.06</v>
      </c>
      <c r="FY91" s="221">
        <f t="shared" si="1222"/>
        <v>0.06</v>
      </c>
      <c r="FZ91" s="221">
        <f t="shared" si="1222"/>
        <v>0.06</v>
      </c>
      <c r="GA91" s="221">
        <f t="shared" si="1222"/>
        <v>0.06</v>
      </c>
      <c r="GB91" s="221">
        <f t="shared" si="1222"/>
        <v>0.06</v>
      </c>
      <c r="GC91" s="221">
        <f t="shared" si="1222"/>
        <v>0.06</v>
      </c>
      <c r="GD91" s="221">
        <f t="shared" si="1222"/>
        <v>0.06</v>
      </c>
      <c r="GE91" s="221">
        <f t="shared" si="1222"/>
        <v>0.06</v>
      </c>
      <c r="GF91" s="221">
        <f t="shared" si="1222"/>
        <v>0.06</v>
      </c>
      <c r="GG91" s="221">
        <f t="shared" ref="GG91:GP91" si="1223">IF($J88="Fixed Rate",$I88,AW88)</f>
        <v>0.06</v>
      </c>
      <c r="GH91" s="221">
        <f t="shared" si="1223"/>
        <v>0.06</v>
      </c>
      <c r="GI91" s="221">
        <f t="shared" si="1223"/>
        <v>0.06</v>
      </c>
      <c r="GJ91" s="221">
        <f t="shared" si="1223"/>
        <v>0.06</v>
      </c>
      <c r="GK91" s="221">
        <f t="shared" si="1223"/>
        <v>0.06</v>
      </c>
      <c r="GL91" s="221">
        <f t="shared" si="1223"/>
        <v>0.06</v>
      </c>
      <c r="GM91" s="221">
        <f t="shared" si="1223"/>
        <v>0.06</v>
      </c>
      <c r="GN91" s="221">
        <f t="shared" si="1223"/>
        <v>0.06</v>
      </c>
      <c r="GO91" s="221">
        <f t="shared" si="1223"/>
        <v>0.06</v>
      </c>
      <c r="GP91" s="221">
        <f t="shared" si="1223"/>
        <v>0.06</v>
      </c>
      <c r="GQ91" s="221">
        <f t="shared" ref="GQ91:GZ91" si="1224">IF($J88="Fixed Rate",$I88,BG88)</f>
        <v>0.06</v>
      </c>
      <c r="GR91" s="221">
        <f t="shared" si="1224"/>
        <v>0.06</v>
      </c>
      <c r="GS91" s="221">
        <f t="shared" si="1224"/>
        <v>0.06</v>
      </c>
      <c r="GT91" s="221">
        <f t="shared" si="1224"/>
        <v>0.06</v>
      </c>
      <c r="GU91" s="221">
        <f t="shared" si="1224"/>
        <v>0.06</v>
      </c>
      <c r="GV91" s="221">
        <f t="shared" si="1224"/>
        <v>0.06</v>
      </c>
      <c r="GW91" s="221">
        <f t="shared" si="1224"/>
        <v>0.06</v>
      </c>
      <c r="GX91" s="221">
        <f t="shared" si="1224"/>
        <v>0.06</v>
      </c>
      <c r="GY91" s="221">
        <f t="shared" si="1224"/>
        <v>0.06</v>
      </c>
      <c r="GZ91" s="221">
        <f t="shared" si="1224"/>
        <v>0.06</v>
      </c>
      <c r="HA91" s="221">
        <f t="shared" ref="HA91:HJ91" si="1225">IF($J88="Fixed Rate",$I88,BQ88)</f>
        <v>0.06</v>
      </c>
      <c r="HB91" s="221">
        <f t="shared" si="1225"/>
        <v>0.06</v>
      </c>
      <c r="HC91" s="221">
        <f t="shared" si="1225"/>
        <v>0.06</v>
      </c>
      <c r="HD91" s="221">
        <f t="shared" si="1225"/>
        <v>0.06</v>
      </c>
      <c r="HE91" s="221">
        <f t="shared" si="1225"/>
        <v>0.06</v>
      </c>
      <c r="HF91" s="221">
        <f t="shared" si="1225"/>
        <v>0.06</v>
      </c>
      <c r="HG91" s="221">
        <f t="shared" si="1225"/>
        <v>0.06</v>
      </c>
      <c r="HH91" s="221">
        <f t="shared" si="1225"/>
        <v>0.06</v>
      </c>
      <c r="HI91" s="221">
        <f t="shared" si="1225"/>
        <v>0.06</v>
      </c>
      <c r="HJ91" s="221">
        <f t="shared" si="1225"/>
        <v>0.06</v>
      </c>
      <c r="HK91" s="221">
        <f t="shared" ref="HK91:HT91" si="1226">IF($J88="Fixed Rate",$I88,CA88)</f>
        <v>0.06</v>
      </c>
      <c r="HL91" s="221">
        <f t="shared" si="1226"/>
        <v>0.06</v>
      </c>
      <c r="HM91" s="221">
        <f t="shared" si="1226"/>
        <v>0.06</v>
      </c>
      <c r="HN91" s="221">
        <f t="shared" si="1226"/>
        <v>0.06</v>
      </c>
      <c r="HO91" s="221">
        <f t="shared" si="1226"/>
        <v>0.06</v>
      </c>
      <c r="HP91" s="221">
        <f t="shared" si="1226"/>
        <v>0.06</v>
      </c>
      <c r="HQ91" s="221">
        <f t="shared" si="1226"/>
        <v>0.06</v>
      </c>
      <c r="HR91" s="221">
        <f t="shared" si="1226"/>
        <v>0.06</v>
      </c>
      <c r="HS91" s="221">
        <f t="shared" si="1226"/>
        <v>0.06</v>
      </c>
      <c r="HT91" s="221">
        <f t="shared" si="1226"/>
        <v>0.06</v>
      </c>
      <c r="HU91" s="221">
        <f t="shared" ref="HU91:ID91" si="1227">IF($J88="Fixed Rate",$I88,CK88)</f>
        <v>0.06</v>
      </c>
      <c r="HV91" s="221">
        <f t="shared" si="1227"/>
        <v>0.06</v>
      </c>
      <c r="HW91" s="221">
        <f t="shared" si="1227"/>
        <v>0.06</v>
      </c>
      <c r="HX91" s="221">
        <f t="shared" si="1227"/>
        <v>0.06</v>
      </c>
      <c r="HY91" s="221">
        <f t="shared" si="1227"/>
        <v>0.06</v>
      </c>
      <c r="HZ91" s="221">
        <f t="shared" si="1227"/>
        <v>0.06</v>
      </c>
      <c r="IA91" s="221">
        <f t="shared" si="1227"/>
        <v>0.06</v>
      </c>
      <c r="IB91" s="221">
        <f t="shared" si="1227"/>
        <v>0.06</v>
      </c>
      <c r="IC91" s="221">
        <f t="shared" si="1227"/>
        <v>0.06</v>
      </c>
      <c r="ID91" s="221">
        <f t="shared" si="1227"/>
        <v>0.06</v>
      </c>
      <c r="IE91" s="221">
        <f t="shared" ref="IE91:IN91" si="1228">IF($J88="Fixed Rate",$I88,CU88)</f>
        <v>0.06</v>
      </c>
      <c r="IF91" s="221">
        <f t="shared" si="1228"/>
        <v>0.06</v>
      </c>
      <c r="IG91" s="221">
        <f t="shared" si="1228"/>
        <v>0.06</v>
      </c>
      <c r="IH91" s="221">
        <f t="shared" si="1228"/>
        <v>0.06</v>
      </c>
      <c r="II91" s="221">
        <f t="shared" si="1228"/>
        <v>0.06</v>
      </c>
      <c r="IJ91" s="221">
        <f t="shared" si="1228"/>
        <v>0.06</v>
      </c>
      <c r="IK91" s="221">
        <f t="shared" si="1228"/>
        <v>0.06</v>
      </c>
      <c r="IL91" s="221">
        <f t="shared" si="1228"/>
        <v>0.06</v>
      </c>
      <c r="IM91" s="221">
        <f t="shared" si="1228"/>
        <v>0.06</v>
      </c>
      <c r="IN91" s="221">
        <f t="shared" si="1228"/>
        <v>0.06</v>
      </c>
      <c r="IO91" s="221">
        <f t="shared" ref="IO91:IX91" si="1229">IF($J88="Fixed Rate",$I88,DE88)</f>
        <v>0.06</v>
      </c>
      <c r="IP91" s="221">
        <f t="shared" si="1229"/>
        <v>0.06</v>
      </c>
      <c r="IQ91" s="221">
        <f t="shared" si="1229"/>
        <v>0.06</v>
      </c>
      <c r="IR91" s="221">
        <f t="shared" si="1229"/>
        <v>0.06</v>
      </c>
      <c r="IS91" s="221">
        <f t="shared" si="1229"/>
        <v>0.06</v>
      </c>
      <c r="IT91" s="221">
        <f t="shared" si="1229"/>
        <v>0.06</v>
      </c>
      <c r="IU91" s="221">
        <f t="shared" si="1229"/>
        <v>0.06</v>
      </c>
      <c r="IV91" s="221">
        <f t="shared" si="1229"/>
        <v>0.06</v>
      </c>
      <c r="IW91" s="221">
        <f t="shared" si="1229"/>
        <v>0.06</v>
      </c>
      <c r="IX91" s="221">
        <f t="shared" si="1229"/>
        <v>0.06</v>
      </c>
      <c r="IY91" s="221">
        <f t="shared" ref="IY91:JH91" si="1230">IF($J88="Fixed Rate",$I88,DO88)</f>
        <v>0.06</v>
      </c>
      <c r="IZ91" s="221">
        <f t="shared" si="1230"/>
        <v>0.06</v>
      </c>
      <c r="JA91" s="221">
        <f t="shared" si="1230"/>
        <v>0.06</v>
      </c>
      <c r="JB91" s="221">
        <f t="shared" si="1230"/>
        <v>0.06</v>
      </c>
      <c r="JC91" s="221">
        <f t="shared" si="1230"/>
        <v>0.06</v>
      </c>
      <c r="JD91" s="221">
        <f t="shared" si="1230"/>
        <v>0.06</v>
      </c>
      <c r="JE91" s="221">
        <f t="shared" si="1230"/>
        <v>0.06</v>
      </c>
      <c r="JF91" s="221">
        <f t="shared" si="1230"/>
        <v>0.06</v>
      </c>
      <c r="JG91" s="221">
        <f t="shared" si="1230"/>
        <v>0.06</v>
      </c>
      <c r="JH91" s="221">
        <f t="shared" si="1230"/>
        <v>0.06</v>
      </c>
      <c r="JI91" s="221">
        <f t="shared" ref="JI91:JR91" si="1231">IF($J88="Fixed Rate",$I88,DY88)</f>
        <v>0.06</v>
      </c>
      <c r="JJ91" s="221">
        <f t="shared" si="1231"/>
        <v>0.06</v>
      </c>
      <c r="JK91" s="221">
        <f t="shared" si="1231"/>
        <v>0.06</v>
      </c>
      <c r="JL91" s="221">
        <f t="shared" si="1231"/>
        <v>0.06</v>
      </c>
      <c r="JM91" s="221">
        <f t="shared" si="1231"/>
        <v>0.06</v>
      </c>
      <c r="JN91" s="221">
        <f t="shared" si="1231"/>
        <v>0.06</v>
      </c>
      <c r="JO91" s="221">
        <f t="shared" si="1231"/>
        <v>0.06</v>
      </c>
      <c r="JP91" s="221">
        <f t="shared" si="1231"/>
        <v>0.06</v>
      </c>
      <c r="JQ91" s="221">
        <f t="shared" si="1231"/>
        <v>0.06</v>
      </c>
      <c r="JR91" s="221">
        <f t="shared" si="1231"/>
        <v>0.06</v>
      </c>
      <c r="JS91" s="221">
        <f t="shared" ref="JS91:KB91" si="1232">IF($J88="Fixed Rate",$I88,EI88)</f>
        <v>0.06</v>
      </c>
      <c r="JT91" s="221">
        <f t="shared" si="1232"/>
        <v>0.06</v>
      </c>
      <c r="JU91" s="221">
        <f t="shared" si="1232"/>
        <v>0.06</v>
      </c>
      <c r="JV91" s="221">
        <f t="shared" si="1232"/>
        <v>0.06</v>
      </c>
      <c r="JW91" s="221">
        <f t="shared" si="1232"/>
        <v>0.06</v>
      </c>
      <c r="JX91" s="221">
        <f t="shared" si="1232"/>
        <v>0.06</v>
      </c>
      <c r="JY91" s="221">
        <f t="shared" si="1232"/>
        <v>0.06</v>
      </c>
      <c r="JZ91" s="221">
        <f t="shared" si="1232"/>
        <v>0.06</v>
      </c>
      <c r="KA91" s="221">
        <f t="shared" si="1232"/>
        <v>0.06</v>
      </c>
      <c r="KB91" s="221">
        <f t="shared" si="1232"/>
        <v>0.06</v>
      </c>
      <c r="KC91" s="221">
        <f t="shared" ref="KC91:KE91" si="1233">IF($J88="Fixed Rate",$I88,ES88)</f>
        <v>0.06</v>
      </c>
      <c r="KD91" s="221">
        <f t="shared" si="1233"/>
        <v>0.06</v>
      </c>
      <c r="KE91" s="221">
        <f t="shared" si="1233"/>
        <v>0.06</v>
      </c>
      <c r="PQ91" s="201"/>
      <c r="PR91" s="201"/>
      <c r="PS91" s="201"/>
      <c r="PT91" s="201"/>
      <c r="PU91" s="201"/>
      <c r="PV91" s="201"/>
      <c r="PW91" s="201"/>
      <c r="PX91" s="201"/>
      <c r="PY91" s="201"/>
      <c r="PZ91" s="201"/>
      <c r="QA91" s="201"/>
      <c r="QB91" s="201"/>
      <c r="QC91" s="201"/>
      <c r="QD91" s="201"/>
      <c r="QE91" s="201"/>
      <c r="QF91" s="201"/>
      <c r="QG91" s="201"/>
      <c r="QH91" s="201"/>
      <c r="QI91" s="201"/>
      <c r="QJ91" s="201"/>
      <c r="QK91" s="201"/>
      <c r="QL91" s="201"/>
      <c r="QM91" s="201"/>
      <c r="QN91" s="201"/>
      <c r="QO91" s="201"/>
      <c r="QP91" s="201"/>
      <c r="QQ91" s="201"/>
      <c r="QR91" s="201"/>
      <c r="QS91" s="201"/>
      <c r="QT91" s="201"/>
      <c r="QU91" s="201"/>
      <c r="QV91" s="201"/>
      <c r="QW91" s="201"/>
      <c r="QX91" s="201"/>
      <c r="QY91" s="201"/>
      <c r="QZ91" s="201"/>
      <c r="RA91" s="201"/>
      <c r="RB91" s="201"/>
      <c r="RC91" s="201"/>
      <c r="RD91" s="201"/>
      <c r="RE91" s="201"/>
      <c r="RF91" s="201"/>
      <c r="RG91" s="201"/>
      <c r="RH91" s="201"/>
      <c r="RI91" s="201"/>
      <c r="RJ91" s="201"/>
      <c r="RK91" s="201"/>
      <c r="RL91" s="201"/>
      <c r="RM91" s="201"/>
      <c r="RN91" s="201"/>
      <c r="RO91" s="201"/>
      <c r="RP91" s="201"/>
      <c r="RQ91" s="201"/>
      <c r="RR91" s="201"/>
      <c r="RS91" s="201"/>
      <c r="RT91" s="201"/>
      <c r="RU91" s="201"/>
      <c r="RV91" s="201"/>
      <c r="RW91" s="201"/>
      <c r="RX91" s="201"/>
      <c r="RY91" s="201"/>
      <c r="RZ91" s="201"/>
      <c r="SA91" s="201"/>
      <c r="SB91" s="201"/>
      <c r="SC91" s="201"/>
      <c r="SD91" s="201"/>
      <c r="SE91" s="201"/>
      <c r="SF91" s="201"/>
      <c r="SG91" s="201"/>
      <c r="SH91" s="201"/>
      <c r="SI91" s="201"/>
      <c r="SJ91" s="201"/>
      <c r="SK91" s="201"/>
      <c r="SL91" s="201"/>
      <c r="SM91" s="201"/>
      <c r="SN91" s="201"/>
      <c r="SO91" s="201"/>
      <c r="SP91" s="201"/>
      <c r="SQ91" s="201"/>
      <c r="SR91" s="201"/>
      <c r="SS91" s="201"/>
      <c r="ST91" s="201"/>
      <c r="SU91" s="201"/>
      <c r="SV91" s="201"/>
      <c r="SW91" s="201"/>
      <c r="SX91" s="201"/>
      <c r="SY91" s="201"/>
      <c r="SZ91" s="201"/>
      <c r="TA91" s="201"/>
      <c r="TB91" s="201"/>
      <c r="TC91" s="201"/>
      <c r="TD91" s="201"/>
      <c r="TE91" s="201"/>
      <c r="TF91" s="201"/>
      <c r="TG91" s="201"/>
      <c r="TH91" s="201"/>
      <c r="TI91" s="201"/>
      <c r="TJ91" s="201"/>
      <c r="TK91" s="201"/>
      <c r="TL91" s="201"/>
      <c r="TM91" s="201"/>
      <c r="TN91" s="201"/>
      <c r="TO91" s="201"/>
      <c r="TP91" s="201"/>
      <c r="TQ91" s="201"/>
      <c r="TR91" s="201"/>
      <c r="TS91" s="201"/>
      <c r="TT91" s="201"/>
      <c r="TU91" s="201"/>
      <c r="TV91" s="201"/>
      <c r="TW91" s="201"/>
      <c r="TX91" s="201"/>
      <c r="TY91" s="201"/>
      <c r="TZ91" s="201"/>
      <c r="UA91" s="201"/>
      <c r="UB91" s="201"/>
      <c r="UC91" s="201"/>
      <c r="UD91" s="201"/>
      <c r="UE91" s="201"/>
      <c r="UF91" s="201"/>
      <c r="UG91" s="201"/>
      <c r="UH91" s="201"/>
      <c r="UI91" s="201"/>
      <c r="UJ91" s="201"/>
      <c r="UK91" s="201"/>
      <c r="UL91" s="201"/>
      <c r="UM91" s="201"/>
      <c r="UN91" s="201"/>
      <c r="UO91" s="201"/>
      <c r="UP91" s="201"/>
      <c r="UQ91" s="201"/>
      <c r="UR91" s="201"/>
      <c r="US91" s="201"/>
      <c r="UT91" s="201"/>
      <c r="UU91" s="201"/>
    </row>
    <row r="92" spans="1:567" ht="14.25" hidden="1" customHeight="1" x14ac:dyDescent="0.4">
      <c r="B92" s="78" t="s">
        <v>333</v>
      </c>
      <c r="C92" s="60"/>
      <c r="D92" s="154" t="s">
        <v>316</v>
      </c>
      <c r="E92" s="344" t="s">
        <v>315</v>
      </c>
      <c r="F92" s="76" t="s">
        <v>112</v>
      </c>
      <c r="G92" s="76" t="s">
        <v>111</v>
      </c>
      <c r="H92" s="76" t="s">
        <v>107</v>
      </c>
      <c r="I92" s="79" t="s">
        <v>108</v>
      </c>
      <c r="J92" s="80" t="s">
        <v>98</v>
      </c>
      <c r="K92" s="80" t="s">
        <v>99</v>
      </c>
      <c r="EW92" s="199" t="str">
        <f>+B89</f>
        <v>Junior Loan 2</v>
      </c>
      <c r="EX92" s="219"/>
      <c r="EY92" s="219"/>
      <c r="EZ92" s="219"/>
      <c r="FA92" s="220"/>
      <c r="FB92" s="220"/>
      <c r="FC92" s="221">
        <f t="shared" ref="FC92:GH92" si="1234">IF($J89="Fixed Rate",$I89,S89)</f>
        <v>0.08</v>
      </c>
      <c r="FD92" s="221">
        <f t="shared" si="1234"/>
        <v>0.08</v>
      </c>
      <c r="FE92" s="221">
        <f t="shared" si="1234"/>
        <v>0.08</v>
      </c>
      <c r="FF92" s="221">
        <f t="shared" si="1234"/>
        <v>0.08</v>
      </c>
      <c r="FG92" s="221">
        <f t="shared" si="1234"/>
        <v>0.08</v>
      </c>
      <c r="FH92" s="221">
        <f t="shared" si="1234"/>
        <v>0.08</v>
      </c>
      <c r="FI92" s="221">
        <f t="shared" si="1234"/>
        <v>0.08</v>
      </c>
      <c r="FJ92" s="221">
        <f t="shared" si="1234"/>
        <v>0.08</v>
      </c>
      <c r="FK92" s="221">
        <f t="shared" si="1234"/>
        <v>0.08</v>
      </c>
      <c r="FL92" s="221">
        <f t="shared" si="1234"/>
        <v>0.08</v>
      </c>
      <c r="FM92" s="221">
        <f t="shared" si="1234"/>
        <v>0.08</v>
      </c>
      <c r="FN92" s="221">
        <f t="shared" si="1234"/>
        <v>0.08</v>
      </c>
      <c r="FO92" s="221">
        <f t="shared" si="1234"/>
        <v>0.08</v>
      </c>
      <c r="FP92" s="221">
        <f t="shared" si="1234"/>
        <v>0.08</v>
      </c>
      <c r="FQ92" s="221">
        <f t="shared" si="1234"/>
        <v>0.08</v>
      </c>
      <c r="FR92" s="221">
        <f t="shared" si="1234"/>
        <v>0.08</v>
      </c>
      <c r="FS92" s="221">
        <f t="shared" si="1234"/>
        <v>0.08</v>
      </c>
      <c r="FT92" s="221">
        <f t="shared" si="1234"/>
        <v>0.08</v>
      </c>
      <c r="FU92" s="221">
        <f t="shared" si="1234"/>
        <v>0.08</v>
      </c>
      <c r="FV92" s="221">
        <f t="shared" si="1234"/>
        <v>0.08</v>
      </c>
      <c r="FW92" s="221">
        <f t="shared" si="1234"/>
        <v>0.08</v>
      </c>
      <c r="FX92" s="221">
        <f t="shared" si="1234"/>
        <v>0.08</v>
      </c>
      <c r="FY92" s="221">
        <f t="shared" si="1234"/>
        <v>0.08</v>
      </c>
      <c r="FZ92" s="221">
        <f t="shared" si="1234"/>
        <v>0.08</v>
      </c>
      <c r="GA92" s="221">
        <f t="shared" si="1234"/>
        <v>0.08</v>
      </c>
      <c r="GB92" s="221">
        <f t="shared" si="1234"/>
        <v>0.08</v>
      </c>
      <c r="GC92" s="221">
        <f t="shared" si="1234"/>
        <v>0.08</v>
      </c>
      <c r="GD92" s="221">
        <f t="shared" si="1234"/>
        <v>0.08</v>
      </c>
      <c r="GE92" s="221">
        <f t="shared" si="1234"/>
        <v>0.08</v>
      </c>
      <c r="GF92" s="221">
        <f t="shared" si="1234"/>
        <v>0.08</v>
      </c>
      <c r="GG92" s="221">
        <f t="shared" si="1234"/>
        <v>0.08</v>
      </c>
      <c r="GH92" s="221">
        <f t="shared" si="1234"/>
        <v>0.08</v>
      </c>
      <c r="GI92" s="221">
        <f t="shared" ref="GI92:HN92" si="1235">IF($J89="Fixed Rate",$I89,AY89)</f>
        <v>0.08</v>
      </c>
      <c r="GJ92" s="221">
        <f t="shared" si="1235"/>
        <v>0.08</v>
      </c>
      <c r="GK92" s="221">
        <f t="shared" si="1235"/>
        <v>0.08</v>
      </c>
      <c r="GL92" s="221">
        <f t="shared" si="1235"/>
        <v>0.08</v>
      </c>
      <c r="GM92" s="221">
        <f t="shared" si="1235"/>
        <v>0.08</v>
      </c>
      <c r="GN92" s="221">
        <f t="shared" si="1235"/>
        <v>0.08</v>
      </c>
      <c r="GO92" s="221">
        <f t="shared" si="1235"/>
        <v>0.08</v>
      </c>
      <c r="GP92" s="221">
        <f t="shared" si="1235"/>
        <v>0.08</v>
      </c>
      <c r="GQ92" s="221">
        <f t="shared" si="1235"/>
        <v>0.08</v>
      </c>
      <c r="GR92" s="221">
        <f t="shared" si="1235"/>
        <v>0.08</v>
      </c>
      <c r="GS92" s="221">
        <f t="shared" si="1235"/>
        <v>0.08</v>
      </c>
      <c r="GT92" s="221">
        <f t="shared" si="1235"/>
        <v>0.08</v>
      </c>
      <c r="GU92" s="221">
        <f t="shared" si="1235"/>
        <v>0.08</v>
      </c>
      <c r="GV92" s="221">
        <f t="shared" si="1235"/>
        <v>0.08</v>
      </c>
      <c r="GW92" s="221">
        <f t="shared" si="1235"/>
        <v>0.08</v>
      </c>
      <c r="GX92" s="221">
        <f t="shared" si="1235"/>
        <v>0.08</v>
      </c>
      <c r="GY92" s="221">
        <f t="shared" si="1235"/>
        <v>0.08</v>
      </c>
      <c r="GZ92" s="221">
        <f t="shared" si="1235"/>
        <v>0.08</v>
      </c>
      <c r="HA92" s="221">
        <f t="shared" si="1235"/>
        <v>0.08</v>
      </c>
      <c r="HB92" s="221">
        <f t="shared" si="1235"/>
        <v>0.08</v>
      </c>
      <c r="HC92" s="221">
        <f t="shared" si="1235"/>
        <v>0.08</v>
      </c>
      <c r="HD92" s="221">
        <f t="shared" si="1235"/>
        <v>0.08</v>
      </c>
      <c r="HE92" s="221">
        <f t="shared" si="1235"/>
        <v>0.08</v>
      </c>
      <c r="HF92" s="221">
        <f t="shared" si="1235"/>
        <v>0.08</v>
      </c>
      <c r="HG92" s="221">
        <f t="shared" si="1235"/>
        <v>0.08</v>
      </c>
      <c r="HH92" s="221">
        <f t="shared" si="1235"/>
        <v>0.08</v>
      </c>
      <c r="HI92" s="221">
        <f t="shared" si="1235"/>
        <v>0.08</v>
      </c>
      <c r="HJ92" s="221">
        <f t="shared" si="1235"/>
        <v>0.08</v>
      </c>
      <c r="HK92" s="221">
        <f t="shared" si="1235"/>
        <v>0.08</v>
      </c>
      <c r="HL92" s="221">
        <f t="shared" si="1235"/>
        <v>0.08</v>
      </c>
      <c r="HM92" s="221">
        <f t="shared" si="1235"/>
        <v>0.08</v>
      </c>
      <c r="HN92" s="221">
        <f t="shared" si="1235"/>
        <v>0.08</v>
      </c>
      <c r="HO92" s="221">
        <f t="shared" ref="HO92:IT92" si="1236">IF($J89="Fixed Rate",$I89,CE89)</f>
        <v>0.08</v>
      </c>
      <c r="HP92" s="221">
        <f t="shared" si="1236"/>
        <v>0.08</v>
      </c>
      <c r="HQ92" s="221">
        <f t="shared" si="1236"/>
        <v>0.08</v>
      </c>
      <c r="HR92" s="221">
        <f t="shared" si="1236"/>
        <v>0.08</v>
      </c>
      <c r="HS92" s="221">
        <f t="shared" si="1236"/>
        <v>0.08</v>
      </c>
      <c r="HT92" s="221">
        <f t="shared" si="1236"/>
        <v>0.08</v>
      </c>
      <c r="HU92" s="221">
        <f t="shared" si="1236"/>
        <v>0.08</v>
      </c>
      <c r="HV92" s="221">
        <f t="shared" si="1236"/>
        <v>0.08</v>
      </c>
      <c r="HW92" s="221">
        <f t="shared" si="1236"/>
        <v>0.08</v>
      </c>
      <c r="HX92" s="221">
        <f t="shared" si="1236"/>
        <v>0.08</v>
      </c>
      <c r="HY92" s="221">
        <f t="shared" si="1236"/>
        <v>0.08</v>
      </c>
      <c r="HZ92" s="221">
        <f t="shared" si="1236"/>
        <v>0.08</v>
      </c>
      <c r="IA92" s="221">
        <f t="shared" si="1236"/>
        <v>0.08</v>
      </c>
      <c r="IB92" s="221">
        <f t="shared" si="1236"/>
        <v>0.08</v>
      </c>
      <c r="IC92" s="221">
        <f t="shared" si="1236"/>
        <v>0.08</v>
      </c>
      <c r="ID92" s="221">
        <f t="shared" si="1236"/>
        <v>0.08</v>
      </c>
      <c r="IE92" s="221">
        <f t="shared" si="1236"/>
        <v>0.08</v>
      </c>
      <c r="IF92" s="221">
        <f t="shared" si="1236"/>
        <v>0.08</v>
      </c>
      <c r="IG92" s="221">
        <f t="shared" si="1236"/>
        <v>0.08</v>
      </c>
      <c r="IH92" s="221">
        <f t="shared" si="1236"/>
        <v>0.08</v>
      </c>
      <c r="II92" s="221">
        <f t="shared" si="1236"/>
        <v>0.08</v>
      </c>
      <c r="IJ92" s="221">
        <f t="shared" si="1236"/>
        <v>0.08</v>
      </c>
      <c r="IK92" s="221">
        <f t="shared" si="1236"/>
        <v>0.08</v>
      </c>
      <c r="IL92" s="221">
        <f t="shared" si="1236"/>
        <v>0.08</v>
      </c>
      <c r="IM92" s="221">
        <f t="shared" si="1236"/>
        <v>0.08</v>
      </c>
      <c r="IN92" s="221">
        <f t="shared" si="1236"/>
        <v>0.08</v>
      </c>
      <c r="IO92" s="221">
        <f t="shared" si="1236"/>
        <v>0.08</v>
      </c>
      <c r="IP92" s="221">
        <f t="shared" si="1236"/>
        <v>0.08</v>
      </c>
      <c r="IQ92" s="221">
        <f t="shared" si="1236"/>
        <v>0.08</v>
      </c>
      <c r="IR92" s="221">
        <f t="shared" si="1236"/>
        <v>0.08</v>
      </c>
      <c r="IS92" s="221">
        <f t="shared" si="1236"/>
        <v>0.08</v>
      </c>
      <c r="IT92" s="221">
        <f t="shared" si="1236"/>
        <v>0.08</v>
      </c>
      <c r="IU92" s="221">
        <f t="shared" ref="IU92:JZ92" si="1237">IF($J89="Fixed Rate",$I89,DK89)</f>
        <v>0.08</v>
      </c>
      <c r="IV92" s="221">
        <f t="shared" si="1237"/>
        <v>0.08</v>
      </c>
      <c r="IW92" s="221">
        <f t="shared" si="1237"/>
        <v>0.08</v>
      </c>
      <c r="IX92" s="221">
        <f t="shared" si="1237"/>
        <v>0.08</v>
      </c>
      <c r="IY92" s="221">
        <f t="shared" si="1237"/>
        <v>0.08</v>
      </c>
      <c r="IZ92" s="221">
        <f t="shared" si="1237"/>
        <v>0.08</v>
      </c>
      <c r="JA92" s="221">
        <f t="shared" si="1237"/>
        <v>0.08</v>
      </c>
      <c r="JB92" s="221">
        <f t="shared" si="1237"/>
        <v>0.08</v>
      </c>
      <c r="JC92" s="221">
        <f t="shared" si="1237"/>
        <v>0.08</v>
      </c>
      <c r="JD92" s="221">
        <f t="shared" si="1237"/>
        <v>0.08</v>
      </c>
      <c r="JE92" s="221">
        <f t="shared" si="1237"/>
        <v>0.08</v>
      </c>
      <c r="JF92" s="221">
        <f t="shared" si="1237"/>
        <v>0.08</v>
      </c>
      <c r="JG92" s="221">
        <f t="shared" si="1237"/>
        <v>0.08</v>
      </c>
      <c r="JH92" s="221">
        <f t="shared" si="1237"/>
        <v>0.08</v>
      </c>
      <c r="JI92" s="221">
        <f t="shared" si="1237"/>
        <v>0.08</v>
      </c>
      <c r="JJ92" s="221">
        <f t="shared" si="1237"/>
        <v>0.08</v>
      </c>
      <c r="JK92" s="221">
        <f t="shared" si="1237"/>
        <v>0.08</v>
      </c>
      <c r="JL92" s="221">
        <f t="shared" si="1237"/>
        <v>0.08</v>
      </c>
      <c r="JM92" s="221">
        <f t="shared" si="1237"/>
        <v>0.08</v>
      </c>
      <c r="JN92" s="221">
        <f t="shared" si="1237"/>
        <v>0.08</v>
      </c>
      <c r="JO92" s="221">
        <f t="shared" si="1237"/>
        <v>0.08</v>
      </c>
      <c r="JP92" s="221">
        <f t="shared" si="1237"/>
        <v>0.08</v>
      </c>
      <c r="JQ92" s="221">
        <f t="shared" si="1237"/>
        <v>0.08</v>
      </c>
      <c r="JR92" s="221">
        <f t="shared" si="1237"/>
        <v>0.08</v>
      </c>
      <c r="JS92" s="221">
        <f t="shared" si="1237"/>
        <v>0.08</v>
      </c>
      <c r="JT92" s="221">
        <f t="shared" si="1237"/>
        <v>0.08</v>
      </c>
      <c r="JU92" s="221">
        <f t="shared" si="1237"/>
        <v>0.08</v>
      </c>
      <c r="JV92" s="221">
        <f t="shared" si="1237"/>
        <v>0.08</v>
      </c>
      <c r="JW92" s="221">
        <f t="shared" si="1237"/>
        <v>0.08</v>
      </c>
      <c r="JX92" s="221">
        <f t="shared" si="1237"/>
        <v>0.08</v>
      </c>
      <c r="JY92" s="221">
        <f t="shared" si="1237"/>
        <v>0.08</v>
      </c>
      <c r="JZ92" s="221">
        <f t="shared" si="1237"/>
        <v>0.08</v>
      </c>
      <c r="KA92" s="221">
        <f t="shared" ref="KA92:KE92" si="1238">IF($J89="Fixed Rate",$I89,EQ89)</f>
        <v>0.08</v>
      </c>
      <c r="KB92" s="221">
        <f t="shared" si="1238"/>
        <v>0.08</v>
      </c>
      <c r="KC92" s="221">
        <f t="shared" si="1238"/>
        <v>0.08</v>
      </c>
      <c r="KD92" s="221">
        <f t="shared" si="1238"/>
        <v>0.08</v>
      </c>
      <c r="KE92" s="221">
        <f t="shared" si="1238"/>
        <v>0.08</v>
      </c>
      <c r="PQ92" s="201"/>
      <c r="PR92" s="201"/>
      <c r="PS92" s="201"/>
      <c r="PT92" s="201"/>
      <c r="PU92" s="201"/>
      <c r="PV92" s="201"/>
      <c r="PW92" s="201"/>
      <c r="PX92" s="201"/>
      <c r="PY92" s="201"/>
      <c r="PZ92" s="201"/>
      <c r="QA92" s="201"/>
      <c r="QB92" s="201"/>
      <c r="QC92" s="201"/>
      <c r="QD92" s="201"/>
      <c r="QE92" s="201"/>
      <c r="QF92" s="201"/>
      <c r="QG92" s="201"/>
      <c r="QH92" s="201"/>
      <c r="QI92" s="201"/>
      <c r="QJ92" s="201"/>
      <c r="QK92" s="201"/>
      <c r="QL92" s="201"/>
      <c r="QM92" s="201"/>
      <c r="QN92" s="201"/>
      <c r="QO92" s="201"/>
      <c r="QP92" s="201"/>
      <c r="QQ92" s="201"/>
      <c r="QR92" s="201"/>
      <c r="QS92" s="201"/>
      <c r="QT92" s="201"/>
      <c r="QU92" s="201"/>
      <c r="QV92" s="201"/>
      <c r="QW92" s="201"/>
      <c r="QX92" s="201"/>
      <c r="QY92" s="201"/>
      <c r="QZ92" s="201"/>
      <c r="RA92" s="201"/>
      <c r="RB92" s="201"/>
      <c r="RC92" s="201"/>
      <c r="RD92" s="201"/>
      <c r="RE92" s="201"/>
      <c r="RF92" s="201"/>
      <c r="RG92" s="201"/>
      <c r="RH92" s="201"/>
      <c r="RI92" s="201"/>
      <c r="RJ92" s="201"/>
      <c r="RK92" s="201"/>
      <c r="RL92" s="201"/>
      <c r="RM92" s="201"/>
      <c r="RN92" s="201"/>
      <c r="RO92" s="201"/>
      <c r="RP92" s="201"/>
      <c r="RQ92" s="201"/>
      <c r="RR92" s="201"/>
      <c r="RS92" s="201"/>
      <c r="RT92" s="201"/>
      <c r="RU92" s="201"/>
      <c r="RV92" s="201"/>
      <c r="RW92" s="201"/>
      <c r="RX92" s="201"/>
      <c r="RY92" s="201"/>
      <c r="RZ92" s="201"/>
      <c r="SA92" s="201"/>
      <c r="SB92" s="201"/>
      <c r="SC92" s="201"/>
      <c r="SD92" s="201"/>
      <c r="SE92" s="201"/>
      <c r="SF92" s="201"/>
      <c r="SG92" s="201"/>
      <c r="SH92" s="201"/>
      <c r="SI92" s="201"/>
      <c r="SJ92" s="201"/>
      <c r="SK92" s="201"/>
      <c r="SL92" s="201"/>
      <c r="SM92" s="201"/>
      <c r="SN92" s="201"/>
      <c r="SO92" s="201"/>
      <c r="SP92" s="201"/>
      <c r="SQ92" s="201"/>
      <c r="SR92" s="201"/>
      <c r="SS92" s="201"/>
      <c r="ST92" s="201"/>
      <c r="SU92" s="201"/>
      <c r="SV92" s="201"/>
      <c r="SW92" s="201"/>
      <c r="SX92" s="201"/>
      <c r="SY92" s="201"/>
      <c r="SZ92" s="201"/>
      <c r="TA92" s="201"/>
      <c r="TB92" s="201"/>
      <c r="TC92" s="201"/>
      <c r="TD92" s="201"/>
      <c r="TE92" s="201"/>
      <c r="TF92" s="201"/>
      <c r="TG92" s="201"/>
      <c r="TH92" s="201"/>
      <c r="TI92" s="201"/>
      <c r="TJ92" s="201"/>
      <c r="TK92" s="201"/>
      <c r="TL92" s="201"/>
      <c r="TM92" s="201"/>
      <c r="TN92" s="201"/>
      <c r="TO92" s="201"/>
      <c r="TP92" s="201"/>
      <c r="TQ92" s="201"/>
      <c r="TR92" s="201"/>
      <c r="TS92" s="201"/>
      <c r="TT92" s="201"/>
      <c r="TU92" s="201"/>
      <c r="TV92" s="201"/>
      <c r="TW92" s="201"/>
      <c r="TX92" s="201"/>
      <c r="TY92" s="201"/>
      <c r="TZ92" s="201"/>
      <c r="UA92" s="201"/>
      <c r="UB92" s="201"/>
      <c r="UC92" s="201"/>
      <c r="UD92" s="201"/>
      <c r="UE92" s="201"/>
      <c r="UF92" s="201"/>
      <c r="UG92" s="201"/>
      <c r="UH92" s="201"/>
      <c r="UI92" s="201"/>
      <c r="UJ92" s="201"/>
      <c r="UK92" s="201"/>
      <c r="UL92" s="201"/>
      <c r="UM92" s="201"/>
      <c r="UN92" s="201"/>
      <c r="UO92" s="201"/>
      <c r="UP92" s="201"/>
      <c r="UQ92" s="201"/>
      <c r="UR92" s="201"/>
      <c r="US92" s="201"/>
      <c r="UT92" s="201"/>
      <c r="UU92" s="201"/>
    </row>
    <row r="93" spans="1:567" ht="14.25" hidden="1" customHeight="1" x14ac:dyDescent="0.25">
      <c r="B93" s="54" t="str">
        <f>+B88</f>
        <v>Senior Loan 2</v>
      </c>
      <c r="C93" s="60"/>
      <c r="D93" s="121" t="str" cm="1">
        <f t="array" ref="D93">IFERROR((INDEX(T148:EU148,1,J93+1)*12)/H93,"NA")</f>
        <v>NA</v>
      </c>
      <c r="E93" s="249" t="str" cm="1">
        <f t="array" ref="E93">IFERROR(INDEX(T148:EU148,1,J93+1)/INDEX(T158:EU158,1,J93+1),"NA")</f>
        <v>NA</v>
      </c>
      <c r="F93" s="61">
        <v>0.01</v>
      </c>
      <c r="G93" s="98">
        <f>+F93*H93</f>
        <v>0</v>
      </c>
      <c r="H93" s="81">
        <f>+E88</f>
        <v>0</v>
      </c>
      <c r="I93" s="81">
        <f>-INDEX($T93:$EU93,1,K93)</f>
        <v>0</v>
      </c>
      <c r="J93" s="570">
        <f>K80</f>
        <v>36</v>
      </c>
      <c r="K93" s="82">
        <f>Analysis_Period</f>
        <v>36</v>
      </c>
      <c r="R93" s="90" t="str">
        <f>IF(ROUND(SUM(S93:EU93),0)=ROUND(H93-I93-G93,0),"OK","ERROR")</f>
        <v>OK</v>
      </c>
      <c r="S93" s="92">
        <f t="shared" ref="S93:AB94" si="1239">(S$79=$J93)*-$G93+(S$79=$J93)*FC88+(S$79=$K93)*-FC88</f>
        <v>0</v>
      </c>
      <c r="T93" s="92">
        <f t="shared" si="1239"/>
        <v>0</v>
      </c>
      <c r="U93" s="92">
        <f t="shared" si="1239"/>
        <v>0</v>
      </c>
      <c r="V93" s="92">
        <f t="shared" si="1239"/>
        <v>0</v>
      </c>
      <c r="W93" s="92">
        <f t="shared" si="1239"/>
        <v>0</v>
      </c>
      <c r="X93" s="92">
        <f t="shared" si="1239"/>
        <v>0</v>
      </c>
      <c r="Y93" s="92">
        <f t="shared" si="1239"/>
        <v>0</v>
      </c>
      <c r="Z93" s="92">
        <f t="shared" si="1239"/>
        <v>0</v>
      </c>
      <c r="AA93" s="92">
        <f t="shared" si="1239"/>
        <v>0</v>
      </c>
      <c r="AB93" s="92">
        <f t="shared" si="1239"/>
        <v>0</v>
      </c>
      <c r="AC93" s="92">
        <f t="shared" ref="AC93:AL94" si="1240">(AC$79=$J93)*-$G93+(AC$79=$J93)*FM88+(AC$79=$K93)*-FM88</f>
        <v>0</v>
      </c>
      <c r="AD93" s="92">
        <f t="shared" si="1240"/>
        <v>0</v>
      </c>
      <c r="AE93" s="92">
        <f t="shared" si="1240"/>
        <v>0</v>
      </c>
      <c r="AF93" s="92">
        <f t="shared" si="1240"/>
        <v>0</v>
      </c>
      <c r="AG93" s="92">
        <f t="shared" si="1240"/>
        <v>0</v>
      </c>
      <c r="AH93" s="92">
        <f t="shared" si="1240"/>
        <v>0</v>
      </c>
      <c r="AI93" s="92">
        <f t="shared" si="1240"/>
        <v>0</v>
      </c>
      <c r="AJ93" s="92">
        <f t="shared" si="1240"/>
        <v>0</v>
      </c>
      <c r="AK93" s="92">
        <f t="shared" si="1240"/>
        <v>0</v>
      </c>
      <c r="AL93" s="92">
        <f t="shared" si="1240"/>
        <v>0</v>
      </c>
      <c r="AM93" s="92">
        <f t="shared" ref="AM93:AV94" si="1241">(AM$79=$J93)*-$G93+(AM$79=$J93)*FW88+(AM$79=$K93)*-FW88</f>
        <v>0</v>
      </c>
      <c r="AN93" s="92">
        <f t="shared" si="1241"/>
        <v>0</v>
      </c>
      <c r="AO93" s="92">
        <f t="shared" si="1241"/>
        <v>0</v>
      </c>
      <c r="AP93" s="92">
        <f t="shared" si="1241"/>
        <v>0</v>
      </c>
      <c r="AQ93" s="92">
        <f t="shared" si="1241"/>
        <v>0</v>
      </c>
      <c r="AR93" s="92">
        <f t="shared" si="1241"/>
        <v>0</v>
      </c>
      <c r="AS93" s="92">
        <f t="shared" si="1241"/>
        <v>0</v>
      </c>
      <c r="AT93" s="92">
        <f t="shared" si="1241"/>
        <v>0</v>
      </c>
      <c r="AU93" s="92">
        <f t="shared" si="1241"/>
        <v>0</v>
      </c>
      <c r="AV93" s="92">
        <f t="shared" si="1241"/>
        <v>0</v>
      </c>
      <c r="AW93" s="92">
        <f t="shared" ref="AW93:BF94" si="1242">(AW$79=$J93)*-$G93+(AW$79=$J93)*GG88+(AW$79=$K93)*-GG88</f>
        <v>0</v>
      </c>
      <c r="AX93" s="92">
        <f t="shared" si="1242"/>
        <v>0</v>
      </c>
      <c r="AY93" s="92">
        <f t="shared" si="1242"/>
        <v>0</v>
      </c>
      <c r="AZ93" s="92">
        <f t="shared" si="1242"/>
        <v>0</v>
      </c>
      <c r="BA93" s="92">
        <f t="shared" si="1242"/>
        <v>0</v>
      </c>
      <c r="BB93" s="92">
        <f t="shared" si="1242"/>
        <v>0</v>
      </c>
      <c r="BC93" s="92">
        <f t="shared" si="1242"/>
        <v>0</v>
      </c>
      <c r="BD93" s="92">
        <f t="shared" si="1242"/>
        <v>0</v>
      </c>
      <c r="BE93" s="92">
        <f t="shared" si="1242"/>
        <v>0</v>
      </c>
      <c r="BF93" s="92">
        <f t="shared" si="1242"/>
        <v>0</v>
      </c>
      <c r="BG93" s="92">
        <f t="shared" ref="BG93:BP94" si="1243">(BG$79=$J93)*-$G93+(BG$79=$J93)*GQ88+(BG$79=$K93)*-GQ88</f>
        <v>0</v>
      </c>
      <c r="BH93" s="92">
        <f t="shared" si="1243"/>
        <v>0</v>
      </c>
      <c r="BI93" s="92">
        <f t="shared" si="1243"/>
        <v>0</v>
      </c>
      <c r="BJ93" s="92">
        <f t="shared" si="1243"/>
        <v>0</v>
      </c>
      <c r="BK93" s="92">
        <f t="shared" si="1243"/>
        <v>0</v>
      </c>
      <c r="BL93" s="92">
        <f t="shared" si="1243"/>
        <v>0</v>
      </c>
      <c r="BM93" s="92">
        <f t="shared" si="1243"/>
        <v>0</v>
      </c>
      <c r="BN93" s="92">
        <f t="shared" si="1243"/>
        <v>0</v>
      </c>
      <c r="BO93" s="92">
        <f t="shared" si="1243"/>
        <v>0</v>
      </c>
      <c r="BP93" s="92">
        <f t="shared" si="1243"/>
        <v>0</v>
      </c>
      <c r="BQ93" s="92">
        <f t="shared" ref="BQ93:BZ94" si="1244">(BQ$79=$J93)*-$G93+(BQ$79=$J93)*HA88+(BQ$79=$K93)*-HA88</f>
        <v>0</v>
      </c>
      <c r="BR93" s="92">
        <f t="shared" si="1244"/>
        <v>0</v>
      </c>
      <c r="BS93" s="92">
        <f t="shared" si="1244"/>
        <v>0</v>
      </c>
      <c r="BT93" s="92">
        <f t="shared" si="1244"/>
        <v>0</v>
      </c>
      <c r="BU93" s="92">
        <f t="shared" si="1244"/>
        <v>0</v>
      </c>
      <c r="BV93" s="92">
        <f t="shared" si="1244"/>
        <v>0</v>
      </c>
      <c r="BW93" s="92">
        <f t="shared" si="1244"/>
        <v>0</v>
      </c>
      <c r="BX93" s="92">
        <f t="shared" si="1244"/>
        <v>0</v>
      </c>
      <c r="BY93" s="92">
        <f t="shared" si="1244"/>
        <v>0</v>
      </c>
      <c r="BZ93" s="92">
        <f t="shared" si="1244"/>
        <v>0</v>
      </c>
      <c r="CA93" s="92">
        <f t="shared" ref="CA93:CJ94" si="1245">(CA$79=$J93)*-$G93+(CA$79=$J93)*HK88+(CA$79=$K93)*-HK88</f>
        <v>0</v>
      </c>
      <c r="CB93" s="92">
        <f t="shared" si="1245"/>
        <v>0</v>
      </c>
      <c r="CC93" s="92">
        <f t="shared" si="1245"/>
        <v>0</v>
      </c>
      <c r="CD93" s="92">
        <f t="shared" si="1245"/>
        <v>0</v>
      </c>
      <c r="CE93" s="92">
        <f t="shared" si="1245"/>
        <v>0</v>
      </c>
      <c r="CF93" s="92">
        <f t="shared" si="1245"/>
        <v>0</v>
      </c>
      <c r="CG93" s="92">
        <f t="shared" si="1245"/>
        <v>0</v>
      </c>
      <c r="CH93" s="92">
        <f t="shared" si="1245"/>
        <v>0</v>
      </c>
      <c r="CI93" s="92">
        <f t="shared" si="1245"/>
        <v>0</v>
      </c>
      <c r="CJ93" s="92">
        <f t="shared" si="1245"/>
        <v>0</v>
      </c>
      <c r="CK93" s="92">
        <f t="shared" ref="CK93:CT94" si="1246">(CK$79=$J93)*-$G93+(CK$79=$J93)*HU88+(CK$79=$K93)*-HU88</f>
        <v>0</v>
      </c>
      <c r="CL93" s="92">
        <f t="shared" si="1246"/>
        <v>0</v>
      </c>
      <c r="CM93" s="92">
        <f t="shared" si="1246"/>
        <v>0</v>
      </c>
      <c r="CN93" s="92">
        <f t="shared" si="1246"/>
        <v>0</v>
      </c>
      <c r="CO93" s="92">
        <f t="shared" si="1246"/>
        <v>0</v>
      </c>
      <c r="CP93" s="92">
        <f t="shared" si="1246"/>
        <v>0</v>
      </c>
      <c r="CQ93" s="92">
        <f t="shared" si="1246"/>
        <v>0</v>
      </c>
      <c r="CR93" s="92">
        <f t="shared" si="1246"/>
        <v>0</v>
      </c>
      <c r="CS93" s="92">
        <f t="shared" si="1246"/>
        <v>0</v>
      </c>
      <c r="CT93" s="92">
        <f t="shared" si="1246"/>
        <v>0</v>
      </c>
      <c r="CU93" s="92">
        <f t="shared" ref="CU93:DD94" si="1247">(CU$79=$J93)*-$G93+(CU$79=$J93)*IE88+(CU$79=$K93)*-IE88</f>
        <v>0</v>
      </c>
      <c r="CV93" s="92">
        <f t="shared" si="1247"/>
        <v>0</v>
      </c>
      <c r="CW93" s="92">
        <f t="shared" si="1247"/>
        <v>0</v>
      </c>
      <c r="CX93" s="92">
        <f t="shared" si="1247"/>
        <v>0</v>
      </c>
      <c r="CY93" s="92">
        <f t="shared" si="1247"/>
        <v>0</v>
      </c>
      <c r="CZ93" s="92">
        <f t="shared" si="1247"/>
        <v>0</v>
      </c>
      <c r="DA93" s="92">
        <f t="shared" si="1247"/>
        <v>0</v>
      </c>
      <c r="DB93" s="92">
        <f t="shared" si="1247"/>
        <v>0</v>
      </c>
      <c r="DC93" s="92">
        <f t="shared" si="1247"/>
        <v>0</v>
      </c>
      <c r="DD93" s="92">
        <f t="shared" si="1247"/>
        <v>0</v>
      </c>
      <c r="DE93" s="92">
        <f t="shared" ref="DE93:DN94" si="1248">(DE$79=$J93)*-$G93+(DE$79=$J93)*IO88+(DE$79=$K93)*-IO88</f>
        <v>0</v>
      </c>
      <c r="DF93" s="92">
        <f t="shared" si="1248"/>
        <v>0</v>
      </c>
      <c r="DG93" s="92">
        <f t="shared" si="1248"/>
        <v>0</v>
      </c>
      <c r="DH93" s="92">
        <f t="shared" si="1248"/>
        <v>0</v>
      </c>
      <c r="DI93" s="92">
        <f t="shared" si="1248"/>
        <v>0</v>
      </c>
      <c r="DJ93" s="92">
        <f t="shared" si="1248"/>
        <v>0</v>
      </c>
      <c r="DK93" s="92">
        <f t="shared" si="1248"/>
        <v>0</v>
      </c>
      <c r="DL93" s="92">
        <f t="shared" si="1248"/>
        <v>0</v>
      </c>
      <c r="DM93" s="92">
        <f t="shared" si="1248"/>
        <v>0</v>
      </c>
      <c r="DN93" s="92">
        <f t="shared" si="1248"/>
        <v>0</v>
      </c>
      <c r="DO93" s="92">
        <f t="shared" ref="DO93:DX94" si="1249">(DO$79=$J93)*-$G93+(DO$79=$J93)*IY88+(DO$79=$K93)*-IY88</f>
        <v>0</v>
      </c>
      <c r="DP93" s="92">
        <f t="shared" si="1249"/>
        <v>0</v>
      </c>
      <c r="DQ93" s="92">
        <f t="shared" si="1249"/>
        <v>0</v>
      </c>
      <c r="DR93" s="92">
        <f t="shared" si="1249"/>
        <v>0</v>
      </c>
      <c r="DS93" s="92">
        <f t="shared" si="1249"/>
        <v>0</v>
      </c>
      <c r="DT93" s="92">
        <f t="shared" si="1249"/>
        <v>0</v>
      </c>
      <c r="DU93" s="92">
        <f t="shared" si="1249"/>
        <v>0</v>
      </c>
      <c r="DV93" s="92">
        <f t="shared" si="1249"/>
        <v>0</v>
      </c>
      <c r="DW93" s="92">
        <f t="shared" si="1249"/>
        <v>0</v>
      </c>
      <c r="DX93" s="92">
        <f t="shared" si="1249"/>
        <v>0</v>
      </c>
      <c r="DY93" s="92">
        <f t="shared" ref="DY93:EH94" si="1250">(DY$79=$J93)*-$G93+(DY$79=$J93)*JI88+(DY$79=$K93)*-JI88</f>
        <v>0</v>
      </c>
      <c r="DZ93" s="92">
        <f t="shared" si="1250"/>
        <v>0</v>
      </c>
      <c r="EA93" s="92">
        <f t="shared" si="1250"/>
        <v>0</v>
      </c>
      <c r="EB93" s="92">
        <f t="shared" si="1250"/>
        <v>0</v>
      </c>
      <c r="EC93" s="92">
        <f t="shared" si="1250"/>
        <v>0</v>
      </c>
      <c r="ED93" s="92">
        <f t="shared" si="1250"/>
        <v>0</v>
      </c>
      <c r="EE93" s="92">
        <f t="shared" si="1250"/>
        <v>0</v>
      </c>
      <c r="EF93" s="92">
        <f t="shared" si="1250"/>
        <v>0</v>
      </c>
      <c r="EG93" s="92">
        <f t="shared" si="1250"/>
        <v>0</v>
      </c>
      <c r="EH93" s="92">
        <f t="shared" si="1250"/>
        <v>0</v>
      </c>
      <c r="EI93" s="92">
        <f t="shared" ref="EI93:ER94" si="1251">(EI$79=$J93)*-$G93+(EI$79=$J93)*JS88+(EI$79=$K93)*-JS88</f>
        <v>0</v>
      </c>
      <c r="EJ93" s="92">
        <f t="shared" si="1251"/>
        <v>0</v>
      </c>
      <c r="EK93" s="92">
        <f t="shared" si="1251"/>
        <v>0</v>
      </c>
      <c r="EL93" s="92">
        <f t="shared" si="1251"/>
        <v>0</v>
      </c>
      <c r="EM93" s="92">
        <f t="shared" si="1251"/>
        <v>0</v>
      </c>
      <c r="EN93" s="92">
        <f t="shared" si="1251"/>
        <v>0</v>
      </c>
      <c r="EO93" s="92">
        <f t="shared" si="1251"/>
        <v>0</v>
      </c>
      <c r="EP93" s="92">
        <f t="shared" si="1251"/>
        <v>0</v>
      </c>
      <c r="EQ93" s="92">
        <f t="shared" si="1251"/>
        <v>0</v>
      </c>
      <c r="ER93" s="92">
        <f t="shared" si="1251"/>
        <v>0</v>
      </c>
      <c r="ES93" s="92">
        <f t="shared" ref="ES93:EU94" si="1252">(ES$79=$J93)*-$G93+(ES$79=$J93)*KC88+(ES$79=$K93)*-KC88</f>
        <v>0</v>
      </c>
      <c r="ET93" s="92">
        <f t="shared" si="1252"/>
        <v>0</v>
      </c>
      <c r="EU93" s="92">
        <f t="shared" si="1252"/>
        <v>0</v>
      </c>
      <c r="EW93" s="199" t="s">
        <v>97</v>
      </c>
      <c r="EX93" s="203" t="s">
        <v>91</v>
      </c>
      <c r="EY93" s="203" t="s">
        <v>114</v>
      </c>
      <c r="EZ93" s="203" t="s">
        <v>90</v>
      </c>
      <c r="FA93" s="203" t="s">
        <v>98</v>
      </c>
      <c r="FB93" s="203" t="s">
        <v>99</v>
      </c>
      <c r="FC93" s="204">
        <v>0</v>
      </c>
      <c r="FD93" s="204">
        <f>+FC93+1</f>
        <v>1</v>
      </c>
      <c r="FE93" s="204">
        <f t="shared" ref="FE93" si="1253">+FD93+1</f>
        <v>2</v>
      </c>
      <c r="FF93" s="204">
        <f t="shared" ref="FF93" si="1254">+FE93+1</f>
        <v>3</v>
      </c>
      <c r="FG93" s="204">
        <f t="shared" ref="FG93" si="1255">+FF93+1</f>
        <v>4</v>
      </c>
      <c r="FH93" s="204">
        <f t="shared" ref="FH93" si="1256">+FG93+1</f>
        <v>5</v>
      </c>
      <c r="FI93" s="204">
        <f t="shared" ref="FI93" si="1257">+FH93+1</f>
        <v>6</v>
      </c>
      <c r="FJ93" s="204">
        <f t="shared" ref="FJ93" si="1258">+FI93+1</f>
        <v>7</v>
      </c>
      <c r="FK93" s="204">
        <f t="shared" ref="FK93" si="1259">+FJ93+1</f>
        <v>8</v>
      </c>
      <c r="FL93" s="204">
        <f t="shared" ref="FL93" si="1260">+FK93+1</f>
        <v>9</v>
      </c>
      <c r="FM93" s="204">
        <f t="shared" ref="FM93" si="1261">+FL93+1</f>
        <v>10</v>
      </c>
      <c r="FN93" s="204">
        <f t="shared" ref="FN93" si="1262">+FM93+1</f>
        <v>11</v>
      </c>
      <c r="FO93" s="204">
        <f t="shared" ref="FO93" si="1263">+FN93+1</f>
        <v>12</v>
      </c>
      <c r="FP93" s="204">
        <f t="shared" ref="FP93" si="1264">+FO93+1</f>
        <v>13</v>
      </c>
      <c r="FQ93" s="204">
        <f t="shared" ref="FQ93" si="1265">+FP93+1</f>
        <v>14</v>
      </c>
      <c r="FR93" s="204">
        <f t="shared" ref="FR93" si="1266">+FQ93+1</f>
        <v>15</v>
      </c>
      <c r="FS93" s="204">
        <f t="shared" ref="FS93" si="1267">+FR93+1</f>
        <v>16</v>
      </c>
      <c r="FT93" s="204">
        <f t="shared" ref="FT93" si="1268">+FS93+1</f>
        <v>17</v>
      </c>
      <c r="FU93" s="204">
        <f t="shared" ref="FU93" si="1269">+FT93+1</f>
        <v>18</v>
      </c>
      <c r="FV93" s="204">
        <f t="shared" ref="FV93" si="1270">+FU93+1</f>
        <v>19</v>
      </c>
      <c r="FW93" s="204">
        <f t="shared" ref="FW93" si="1271">+FV93+1</f>
        <v>20</v>
      </c>
      <c r="FX93" s="204">
        <f t="shared" ref="FX93" si="1272">+FW93+1</f>
        <v>21</v>
      </c>
      <c r="FY93" s="204">
        <f t="shared" ref="FY93" si="1273">+FX93+1</f>
        <v>22</v>
      </c>
      <c r="FZ93" s="204">
        <f t="shared" ref="FZ93" si="1274">+FY93+1</f>
        <v>23</v>
      </c>
      <c r="GA93" s="204">
        <f t="shared" ref="GA93" si="1275">+FZ93+1</f>
        <v>24</v>
      </c>
      <c r="GB93" s="204">
        <f t="shared" ref="GB93" si="1276">+GA93+1</f>
        <v>25</v>
      </c>
      <c r="GC93" s="204">
        <f t="shared" ref="GC93" si="1277">+GB93+1</f>
        <v>26</v>
      </c>
      <c r="GD93" s="204">
        <f t="shared" ref="GD93" si="1278">+GC93+1</f>
        <v>27</v>
      </c>
      <c r="GE93" s="204">
        <f t="shared" ref="GE93" si="1279">+GD93+1</f>
        <v>28</v>
      </c>
      <c r="GF93" s="204">
        <f t="shared" ref="GF93" si="1280">+GE93+1</f>
        <v>29</v>
      </c>
      <c r="GG93" s="204">
        <f t="shared" ref="GG93" si="1281">+GF93+1</f>
        <v>30</v>
      </c>
      <c r="GH93" s="204">
        <f t="shared" ref="GH93" si="1282">+GG93+1</f>
        <v>31</v>
      </c>
      <c r="GI93" s="204">
        <f t="shared" ref="GI93" si="1283">+GH93+1</f>
        <v>32</v>
      </c>
      <c r="GJ93" s="204">
        <f t="shared" ref="GJ93" si="1284">+GI93+1</f>
        <v>33</v>
      </c>
      <c r="GK93" s="204">
        <f t="shared" ref="GK93" si="1285">+GJ93+1</f>
        <v>34</v>
      </c>
      <c r="GL93" s="204">
        <f t="shared" ref="GL93" si="1286">+GK93+1</f>
        <v>35</v>
      </c>
      <c r="GM93" s="204">
        <f t="shared" ref="GM93" si="1287">+GL93+1</f>
        <v>36</v>
      </c>
      <c r="GN93" s="204">
        <f t="shared" ref="GN93" si="1288">+GM93+1</f>
        <v>37</v>
      </c>
      <c r="GO93" s="204">
        <f t="shared" ref="GO93" si="1289">+GN93+1</f>
        <v>38</v>
      </c>
      <c r="GP93" s="204">
        <f t="shared" ref="GP93" si="1290">+GO93+1</f>
        <v>39</v>
      </c>
      <c r="GQ93" s="204">
        <f t="shared" ref="GQ93" si="1291">+GP93+1</f>
        <v>40</v>
      </c>
      <c r="GR93" s="204">
        <f t="shared" ref="GR93" si="1292">+GQ93+1</f>
        <v>41</v>
      </c>
      <c r="GS93" s="204">
        <f t="shared" ref="GS93" si="1293">+GR93+1</f>
        <v>42</v>
      </c>
      <c r="GT93" s="204">
        <f t="shared" ref="GT93" si="1294">+GS93+1</f>
        <v>43</v>
      </c>
      <c r="GU93" s="204">
        <f t="shared" ref="GU93" si="1295">+GT93+1</f>
        <v>44</v>
      </c>
      <c r="GV93" s="204">
        <f t="shared" ref="GV93" si="1296">+GU93+1</f>
        <v>45</v>
      </c>
      <c r="GW93" s="204">
        <f t="shared" ref="GW93" si="1297">+GV93+1</f>
        <v>46</v>
      </c>
      <c r="GX93" s="204">
        <f t="shared" ref="GX93" si="1298">+GW93+1</f>
        <v>47</v>
      </c>
      <c r="GY93" s="204">
        <f t="shared" ref="GY93" si="1299">+GX93+1</f>
        <v>48</v>
      </c>
      <c r="GZ93" s="204">
        <f t="shared" ref="GZ93" si="1300">+GY93+1</f>
        <v>49</v>
      </c>
      <c r="HA93" s="204">
        <f t="shared" ref="HA93" si="1301">+GZ93+1</f>
        <v>50</v>
      </c>
      <c r="HB93" s="204">
        <f t="shared" ref="HB93" si="1302">+HA93+1</f>
        <v>51</v>
      </c>
      <c r="HC93" s="204">
        <f t="shared" ref="HC93" si="1303">+HB93+1</f>
        <v>52</v>
      </c>
      <c r="HD93" s="204">
        <f t="shared" ref="HD93" si="1304">+HC93+1</f>
        <v>53</v>
      </c>
      <c r="HE93" s="204">
        <f t="shared" ref="HE93" si="1305">+HD93+1</f>
        <v>54</v>
      </c>
      <c r="HF93" s="204">
        <f t="shared" ref="HF93" si="1306">+HE93+1</f>
        <v>55</v>
      </c>
      <c r="HG93" s="204">
        <f t="shared" ref="HG93" si="1307">+HF93+1</f>
        <v>56</v>
      </c>
      <c r="HH93" s="204">
        <f t="shared" ref="HH93" si="1308">+HG93+1</f>
        <v>57</v>
      </c>
      <c r="HI93" s="204">
        <f t="shared" ref="HI93" si="1309">+HH93+1</f>
        <v>58</v>
      </c>
      <c r="HJ93" s="204">
        <f t="shared" ref="HJ93" si="1310">+HI93+1</f>
        <v>59</v>
      </c>
      <c r="HK93" s="204">
        <f t="shared" ref="HK93" si="1311">+HJ93+1</f>
        <v>60</v>
      </c>
      <c r="HL93" s="204">
        <f t="shared" ref="HL93" si="1312">+HK93+1</f>
        <v>61</v>
      </c>
      <c r="HM93" s="204">
        <f t="shared" ref="HM93" si="1313">+HL93+1</f>
        <v>62</v>
      </c>
      <c r="HN93" s="204">
        <f t="shared" ref="HN93" si="1314">+HM93+1</f>
        <v>63</v>
      </c>
      <c r="HO93" s="204">
        <f t="shared" ref="HO93" si="1315">+HN93+1</f>
        <v>64</v>
      </c>
      <c r="HP93" s="204">
        <f t="shared" ref="HP93" si="1316">+HO93+1</f>
        <v>65</v>
      </c>
      <c r="HQ93" s="204">
        <f t="shared" ref="HQ93" si="1317">+HP93+1</f>
        <v>66</v>
      </c>
      <c r="HR93" s="204">
        <f t="shared" ref="HR93" si="1318">+HQ93+1</f>
        <v>67</v>
      </c>
      <c r="HS93" s="204">
        <f t="shared" ref="HS93" si="1319">+HR93+1</f>
        <v>68</v>
      </c>
      <c r="HT93" s="204">
        <f t="shared" ref="HT93" si="1320">+HS93+1</f>
        <v>69</v>
      </c>
      <c r="HU93" s="204">
        <f t="shared" ref="HU93" si="1321">+HT93+1</f>
        <v>70</v>
      </c>
      <c r="HV93" s="204">
        <f t="shared" ref="HV93" si="1322">+HU93+1</f>
        <v>71</v>
      </c>
      <c r="HW93" s="204">
        <f t="shared" ref="HW93" si="1323">+HV93+1</f>
        <v>72</v>
      </c>
      <c r="HX93" s="204">
        <f t="shared" ref="HX93" si="1324">+HW93+1</f>
        <v>73</v>
      </c>
      <c r="HY93" s="204">
        <f t="shared" ref="HY93" si="1325">+HX93+1</f>
        <v>74</v>
      </c>
      <c r="HZ93" s="204">
        <f t="shared" ref="HZ93" si="1326">+HY93+1</f>
        <v>75</v>
      </c>
      <c r="IA93" s="204">
        <f t="shared" ref="IA93" si="1327">+HZ93+1</f>
        <v>76</v>
      </c>
      <c r="IB93" s="204">
        <f t="shared" ref="IB93" si="1328">+IA93+1</f>
        <v>77</v>
      </c>
      <c r="IC93" s="204">
        <f t="shared" ref="IC93" si="1329">+IB93+1</f>
        <v>78</v>
      </c>
      <c r="ID93" s="204">
        <f t="shared" ref="ID93" si="1330">+IC93+1</f>
        <v>79</v>
      </c>
      <c r="IE93" s="204">
        <f t="shared" ref="IE93" si="1331">+ID93+1</f>
        <v>80</v>
      </c>
      <c r="IF93" s="204">
        <f t="shared" ref="IF93" si="1332">+IE93+1</f>
        <v>81</v>
      </c>
      <c r="IG93" s="204">
        <f t="shared" ref="IG93" si="1333">+IF93+1</f>
        <v>82</v>
      </c>
      <c r="IH93" s="204">
        <f t="shared" ref="IH93" si="1334">+IG93+1</f>
        <v>83</v>
      </c>
      <c r="II93" s="204">
        <f t="shared" ref="II93" si="1335">+IH93+1</f>
        <v>84</v>
      </c>
      <c r="IJ93" s="204">
        <f t="shared" ref="IJ93" si="1336">+II93+1</f>
        <v>85</v>
      </c>
      <c r="IK93" s="204">
        <f t="shared" ref="IK93" si="1337">+IJ93+1</f>
        <v>86</v>
      </c>
      <c r="IL93" s="204">
        <f t="shared" ref="IL93" si="1338">+IK93+1</f>
        <v>87</v>
      </c>
      <c r="IM93" s="204">
        <f t="shared" ref="IM93" si="1339">+IL93+1</f>
        <v>88</v>
      </c>
      <c r="IN93" s="204">
        <f t="shared" ref="IN93" si="1340">+IM93+1</f>
        <v>89</v>
      </c>
      <c r="IO93" s="204">
        <f t="shared" ref="IO93" si="1341">+IN93+1</f>
        <v>90</v>
      </c>
      <c r="IP93" s="204">
        <f t="shared" ref="IP93" si="1342">+IO93+1</f>
        <v>91</v>
      </c>
      <c r="IQ93" s="204">
        <f t="shared" ref="IQ93" si="1343">+IP93+1</f>
        <v>92</v>
      </c>
      <c r="IR93" s="204">
        <f t="shared" ref="IR93" si="1344">+IQ93+1</f>
        <v>93</v>
      </c>
      <c r="IS93" s="204">
        <f t="shared" ref="IS93" si="1345">+IR93+1</f>
        <v>94</v>
      </c>
      <c r="IT93" s="204">
        <f t="shared" ref="IT93" si="1346">+IS93+1</f>
        <v>95</v>
      </c>
      <c r="IU93" s="204">
        <f t="shared" ref="IU93" si="1347">+IT93+1</f>
        <v>96</v>
      </c>
      <c r="IV93" s="204">
        <f t="shared" ref="IV93" si="1348">+IU93+1</f>
        <v>97</v>
      </c>
      <c r="IW93" s="204">
        <f t="shared" ref="IW93" si="1349">+IV93+1</f>
        <v>98</v>
      </c>
      <c r="IX93" s="204">
        <f t="shared" ref="IX93" si="1350">+IW93+1</f>
        <v>99</v>
      </c>
      <c r="IY93" s="204">
        <f t="shared" ref="IY93" si="1351">+IX93+1</f>
        <v>100</v>
      </c>
      <c r="IZ93" s="204">
        <f t="shared" ref="IZ93" si="1352">+IY93+1</f>
        <v>101</v>
      </c>
      <c r="JA93" s="204">
        <f t="shared" ref="JA93" si="1353">+IZ93+1</f>
        <v>102</v>
      </c>
      <c r="JB93" s="204">
        <f t="shared" ref="JB93" si="1354">+JA93+1</f>
        <v>103</v>
      </c>
      <c r="JC93" s="204">
        <f t="shared" ref="JC93" si="1355">+JB93+1</f>
        <v>104</v>
      </c>
      <c r="JD93" s="204">
        <f t="shared" ref="JD93" si="1356">+JC93+1</f>
        <v>105</v>
      </c>
      <c r="JE93" s="204">
        <f t="shared" ref="JE93" si="1357">+JD93+1</f>
        <v>106</v>
      </c>
      <c r="JF93" s="204">
        <f t="shared" ref="JF93" si="1358">+JE93+1</f>
        <v>107</v>
      </c>
      <c r="JG93" s="204">
        <f t="shared" ref="JG93" si="1359">+JF93+1</f>
        <v>108</v>
      </c>
      <c r="JH93" s="204">
        <f t="shared" ref="JH93" si="1360">+JG93+1</f>
        <v>109</v>
      </c>
      <c r="JI93" s="204">
        <f t="shared" ref="JI93" si="1361">+JH93+1</f>
        <v>110</v>
      </c>
      <c r="JJ93" s="204">
        <f t="shared" ref="JJ93" si="1362">+JI93+1</f>
        <v>111</v>
      </c>
      <c r="JK93" s="204">
        <f t="shared" ref="JK93" si="1363">+JJ93+1</f>
        <v>112</v>
      </c>
      <c r="JL93" s="204">
        <f t="shared" ref="JL93" si="1364">+JK93+1</f>
        <v>113</v>
      </c>
      <c r="JM93" s="204">
        <f t="shared" ref="JM93" si="1365">+JL93+1</f>
        <v>114</v>
      </c>
      <c r="JN93" s="204">
        <f t="shared" ref="JN93" si="1366">+JM93+1</f>
        <v>115</v>
      </c>
      <c r="JO93" s="204">
        <f t="shared" ref="JO93" si="1367">+JN93+1</f>
        <v>116</v>
      </c>
      <c r="JP93" s="204">
        <f t="shared" ref="JP93" si="1368">+JO93+1</f>
        <v>117</v>
      </c>
      <c r="JQ93" s="204">
        <f t="shared" ref="JQ93" si="1369">+JP93+1</f>
        <v>118</v>
      </c>
      <c r="JR93" s="204">
        <f t="shared" ref="JR93" si="1370">+JQ93+1</f>
        <v>119</v>
      </c>
      <c r="JS93" s="204">
        <f t="shared" ref="JS93" si="1371">+JR93+1</f>
        <v>120</v>
      </c>
      <c r="JT93" s="204">
        <f t="shared" ref="JT93" si="1372">+JS93+1</f>
        <v>121</v>
      </c>
      <c r="JU93" s="204">
        <f t="shared" ref="JU93" si="1373">+JT93+1</f>
        <v>122</v>
      </c>
      <c r="JV93" s="204">
        <f t="shared" ref="JV93" si="1374">+JU93+1</f>
        <v>123</v>
      </c>
      <c r="JW93" s="204">
        <f t="shared" ref="JW93" si="1375">+JV93+1</f>
        <v>124</v>
      </c>
      <c r="JX93" s="204">
        <f t="shared" ref="JX93" si="1376">+JW93+1</f>
        <v>125</v>
      </c>
      <c r="JY93" s="204">
        <f t="shared" ref="JY93" si="1377">+JX93+1</f>
        <v>126</v>
      </c>
      <c r="JZ93" s="204">
        <f t="shared" ref="JZ93" si="1378">+JY93+1</f>
        <v>127</v>
      </c>
      <c r="KA93" s="204">
        <f t="shared" ref="KA93" si="1379">+JZ93+1</f>
        <v>128</v>
      </c>
      <c r="KB93" s="204">
        <f t="shared" ref="KB93" si="1380">+KA93+1</f>
        <v>129</v>
      </c>
      <c r="KC93" s="204">
        <f t="shared" ref="KC93" si="1381">+KB93+1</f>
        <v>130</v>
      </c>
      <c r="KD93" s="204">
        <f t="shared" ref="KD93" si="1382">+KC93+1</f>
        <v>131</v>
      </c>
      <c r="KE93" s="204">
        <f t="shared" ref="KE93" si="1383">+KD93+1</f>
        <v>132</v>
      </c>
      <c r="KH93" s="219"/>
      <c r="KI93" s="219"/>
      <c r="KJ93" s="219"/>
      <c r="KK93" s="220"/>
      <c r="KL93" s="220"/>
      <c r="KM93" s="207"/>
      <c r="KN93" s="207"/>
      <c r="KO93" s="207"/>
      <c r="KP93" s="207"/>
      <c r="KQ93" s="207"/>
      <c r="KR93" s="207"/>
      <c r="KS93" s="207"/>
      <c r="KT93" s="207"/>
      <c r="KU93" s="207"/>
      <c r="KV93" s="207"/>
      <c r="KW93" s="207"/>
      <c r="KX93" s="207"/>
      <c r="KY93" s="207"/>
      <c r="KZ93" s="207"/>
      <c r="LA93" s="207"/>
      <c r="LB93" s="207"/>
      <c r="LC93" s="207"/>
      <c r="LD93" s="207"/>
      <c r="LE93" s="207"/>
      <c r="LF93" s="207"/>
      <c r="LG93" s="207"/>
      <c r="LH93" s="207"/>
      <c r="LI93" s="207"/>
      <c r="LJ93" s="207"/>
      <c r="LK93" s="207"/>
      <c r="LL93" s="207"/>
      <c r="LM93" s="207"/>
      <c r="LN93" s="207"/>
      <c r="LO93" s="207"/>
      <c r="LP93" s="207"/>
      <c r="LQ93" s="207"/>
      <c r="LR93" s="207"/>
      <c r="LS93" s="207"/>
      <c r="LT93" s="207"/>
      <c r="LU93" s="207"/>
      <c r="LV93" s="207"/>
      <c r="LW93" s="207"/>
      <c r="LX93" s="207"/>
      <c r="LY93" s="207"/>
      <c r="LZ93" s="207"/>
      <c r="MA93" s="207"/>
      <c r="MB93" s="207"/>
      <c r="MC93" s="207"/>
      <c r="MD93" s="207"/>
      <c r="ME93" s="207"/>
      <c r="MF93" s="207"/>
      <c r="MG93" s="207"/>
      <c r="MH93" s="207"/>
      <c r="MI93" s="207"/>
      <c r="MJ93" s="207"/>
      <c r="MK93" s="207"/>
      <c r="ML93" s="207"/>
      <c r="MM93" s="207"/>
      <c r="MN93" s="207"/>
      <c r="MO93" s="207"/>
      <c r="MP93" s="207"/>
      <c r="MQ93" s="207"/>
      <c r="MR93" s="207"/>
      <c r="MS93" s="207"/>
      <c r="MT93" s="207"/>
      <c r="MU93" s="207"/>
      <c r="MV93" s="207"/>
      <c r="MW93" s="207"/>
      <c r="MX93" s="207"/>
      <c r="MY93" s="207"/>
      <c r="MZ93" s="207"/>
      <c r="NA93" s="207"/>
      <c r="NB93" s="207"/>
      <c r="NC93" s="207"/>
      <c r="ND93" s="207"/>
      <c r="NE93" s="207"/>
      <c r="NF93" s="207"/>
      <c r="NG93" s="207"/>
      <c r="NH93" s="207"/>
      <c r="NI93" s="207"/>
      <c r="NJ93" s="207"/>
      <c r="NK93" s="207"/>
      <c r="NL93" s="207"/>
      <c r="NM93" s="207"/>
      <c r="NN93" s="207"/>
      <c r="NO93" s="207"/>
      <c r="NP93" s="207"/>
      <c r="NQ93" s="207"/>
      <c r="NR93" s="207"/>
      <c r="NS93" s="207"/>
      <c r="NT93" s="207"/>
      <c r="NU93" s="207"/>
      <c r="NV93" s="207"/>
      <c r="NW93" s="207"/>
      <c r="NX93" s="207"/>
      <c r="NY93" s="207"/>
      <c r="NZ93" s="207"/>
      <c r="OA93" s="207"/>
      <c r="OB93" s="207"/>
      <c r="OC93" s="207"/>
      <c r="OD93" s="207"/>
      <c r="OE93" s="207"/>
      <c r="OF93" s="207"/>
      <c r="OG93" s="207"/>
      <c r="OH93" s="207"/>
      <c r="OI93" s="207"/>
      <c r="OJ93" s="207"/>
      <c r="OK93" s="207"/>
      <c r="OL93" s="207"/>
      <c r="OM93" s="207"/>
      <c r="ON93" s="207"/>
      <c r="OO93" s="207"/>
      <c r="OP93" s="207"/>
      <c r="OQ93" s="207"/>
      <c r="OR93" s="207"/>
      <c r="OS93" s="207"/>
      <c r="OT93" s="207"/>
      <c r="OU93" s="207"/>
      <c r="OV93" s="207"/>
      <c r="OW93" s="207"/>
      <c r="OX93" s="207"/>
      <c r="OY93" s="207"/>
      <c r="OZ93" s="207"/>
      <c r="PA93" s="207"/>
      <c r="PB93" s="207"/>
      <c r="PC93" s="207"/>
      <c r="PD93" s="207"/>
      <c r="PE93" s="207"/>
      <c r="PF93" s="207"/>
      <c r="PG93" s="207"/>
      <c r="PH93" s="207"/>
      <c r="PI93" s="207"/>
      <c r="PJ93" s="207"/>
      <c r="PK93" s="207"/>
      <c r="PL93" s="207"/>
      <c r="PM93" s="207"/>
      <c r="PN93" s="207"/>
      <c r="PO93" s="207"/>
      <c r="PQ93" s="201"/>
      <c r="PR93" s="201"/>
      <c r="PS93" s="201"/>
      <c r="PT93" s="201"/>
      <c r="PU93" s="201"/>
      <c r="PV93" s="201"/>
      <c r="PW93" s="201"/>
      <c r="PX93" s="201"/>
      <c r="PY93" s="201"/>
      <c r="PZ93" s="201"/>
      <c r="QA93" s="201"/>
      <c r="QB93" s="201"/>
      <c r="QC93" s="201"/>
      <c r="QD93" s="201"/>
      <c r="QE93" s="201"/>
      <c r="QF93" s="201"/>
      <c r="QG93" s="201"/>
      <c r="QH93" s="201"/>
      <c r="QI93" s="201"/>
      <c r="QJ93" s="201"/>
      <c r="QK93" s="201"/>
      <c r="QL93" s="201"/>
      <c r="QM93" s="201"/>
      <c r="QN93" s="201"/>
      <c r="QO93" s="201"/>
      <c r="QP93" s="201"/>
      <c r="QQ93" s="201"/>
      <c r="QR93" s="201"/>
      <c r="QS93" s="201"/>
      <c r="QT93" s="201"/>
      <c r="QU93" s="201"/>
      <c r="QV93" s="201"/>
      <c r="QW93" s="201"/>
      <c r="QX93" s="201"/>
      <c r="QY93" s="201"/>
      <c r="QZ93" s="201"/>
      <c r="RA93" s="201"/>
      <c r="RB93" s="201"/>
      <c r="RC93" s="201"/>
      <c r="RD93" s="201"/>
      <c r="RE93" s="201"/>
      <c r="RF93" s="201"/>
      <c r="RG93" s="201"/>
      <c r="RH93" s="201"/>
      <c r="RI93" s="201"/>
      <c r="RJ93" s="201"/>
      <c r="RK93" s="201"/>
      <c r="RL93" s="201"/>
      <c r="RM93" s="201"/>
      <c r="RN93" s="201"/>
      <c r="RO93" s="201"/>
      <c r="RP93" s="201"/>
      <c r="RQ93" s="201"/>
      <c r="RR93" s="201"/>
      <c r="RS93" s="201"/>
      <c r="RT93" s="201"/>
      <c r="RU93" s="201"/>
      <c r="RV93" s="201"/>
      <c r="RW93" s="201"/>
      <c r="RX93" s="201"/>
      <c r="RY93" s="201"/>
      <c r="RZ93" s="201"/>
      <c r="SA93" s="201"/>
      <c r="SB93" s="201"/>
      <c r="SC93" s="201"/>
      <c r="SD93" s="201"/>
      <c r="SE93" s="201"/>
      <c r="SF93" s="201"/>
      <c r="SG93" s="201"/>
      <c r="SH93" s="201"/>
      <c r="SI93" s="201"/>
      <c r="SJ93" s="201"/>
      <c r="SK93" s="201"/>
      <c r="SL93" s="201"/>
      <c r="SM93" s="201"/>
      <c r="SN93" s="201"/>
      <c r="SO93" s="201"/>
      <c r="SP93" s="201"/>
      <c r="SQ93" s="201"/>
      <c r="SR93" s="201"/>
      <c r="SS93" s="201"/>
      <c r="ST93" s="201"/>
      <c r="SU93" s="201"/>
      <c r="SV93" s="201"/>
      <c r="SW93" s="201"/>
      <c r="SX93" s="201"/>
      <c r="SY93" s="201"/>
      <c r="SZ93" s="201"/>
      <c r="TA93" s="201"/>
      <c r="TB93" s="201"/>
      <c r="TC93" s="201"/>
      <c r="TD93" s="201"/>
      <c r="TE93" s="201"/>
      <c r="TF93" s="201"/>
      <c r="TG93" s="201"/>
      <c r="TH93" s="201"/>
      <c r="TI93" s="201"/>
      <c r="TJ93" s="201"/>
      <c r="TK93" s="201"/>
      <c r="TL93" s="201"/>
      <c r="TM93" s="201"/>
      <c r="TN93" s="201"/>
      <c r="TO93" s="201"/>
      <c r="TP93" s="201"/>
      <c r="TQ93" s="201"/>
      <c r="TR93" s="201"/>
      <c r="TS93" s="201"/>
      <c r="TT93" s="201"/>
      <c r="TU93" s="201"/>
      <c r="TV93" s="201"/>
      <c r="TW93" s="201"/>
      <c r="TX93" s="201"/>
      <c r="TY93" s="201"/>
      <c r="TZ93" s="201"/>
      <c r="UA93" s="201"/>
      <c r="UB93" s="201"/>
      <c r="UC93" s="201"/>
      <c r="UD93" s="201"/>
      <c r="UE93" s="201"/>
      <c r="UF93" s="201"/>
      <c r="UG93" s="201"/>
      <c r="UH93" s="201"/>
      <c r="UI93" s="201"/>
      <c r="UJ93" s="201"/>
      <c r="UK93" s="201"/>
      <c r="UL93" s="201"/>
      <c r="UM93" s="201"/>
      <c r="UN93" s="201"/>
      <c r="UO93" s="201"/>
      <c r="UP93" s="201"/>
      <c r="UQ93" s="201"/>
      <c r="UR93" s="201"/>
      <c r="US93" s="201"/>
      <c r="UT93" s="201"/>
      <c r="UU93" s="201"/>
    </row>
    <row r="94" spans="1:567" ht="14.25" hidden="1" customHeight="1" x14ac:dyDescent="0.4">
      <c r="B94" s="54" t="str">
        <f>+B89</f>
        <v>Junior Loan 2</v>
      </c>
      <c r="C94" s="63"/>
      <c r="D94" s="121" t="str" cm="1">
        <f t="array" ref="D94">IFERROR((INDEX(T148:EU148,1,J94+1)*12)/H95,"NA")</f>
        <v>NA</v>
      </c>
      <c r="E94" s="249" t="str" cm="1">
        <f t="array" ref="E94">IFERROR(INDEX(T148:EU148,1,J94+1)/INDEX(T160:EU160,1,J94+1),"NA")</f>
        <v>NA</v>
      </c>
      <c r="F94" s="61">
        <v>0.01</v>
      </c>
      <c r="G94" s="99">
        <f>+F94*H94</f>
        <v>0</v>
      </c>
      <c r="H94" s="84">
        <f>+E89</f>
        <v>0</v>
      </c>
      <c r="I94" s="84">
        <f>-INDEX($T94:$EU94,1,K94)</f>
        <v>0</v>
      </c>
      <c r="J94" s="570">
        <f>K81</f>
        <v>36</v>
      </c>
      <c r="K94" s="82">
        <f>Analysis_Period</f>
        <v>36</v>
      </c>
      <c r="R94" s="90" t="str">
        <f t="shared" ref="R94:R95" si="1384">IF(ROUND(SUM(S94:EU94),0)=ROUND(H94-I94-G94,0),"OK","ERROR")</f>
        <v>OK</v>
      </c>
      <c r="S94" s="96">
        <f t="shared" si="1239"/>
        <v>0</v>
      </c>
      <c r="T94" s="96">
        <f t="shared" si="1239"/>
        <v>0</v>
      </c>
      <c r="U94" s="96">
        <f t="shared" si="1239"/>
        <v>0</v>
      </c>
      <c r="V94" s="96">
        <f t="shared" si="1239"/>
        <v>0</v>
      </c>
      <c r="W94" s="96">
        <f t="shared" si="1239"/>
        <v>0</v>
      </c>
      <c r="X94" s="96">
        <f t="shared" si="1239"/>
        <v>0</v>
      </c>
      <c r="Y94" s="96">
        <f t="shared" si="1239"/>
        <v>0</v>
      </c>
      <c r="Z94" s="96">
        <f t="shared" si="1239"/>
        <v>0</v>
      </c>
      <c r="AA94" s="96">
        <f t="shared" si="1239"/>
        <v>0</v>
      </c>
      <c r="AB94" s="96">
        <f t="shared" si="1239"/>
        <v>0</v>
      </c>
      <c r="AC94" s="96">
        <f t="shared" si="1240"/>
        <v>0</v>
      </c>
      <c r="AD94" s="96">
        <f t="shared" si="1240"/>
        <v>0</v>
      </c>
      <c r="AE94" s="96">
        <f t="shared" si="1240"/>
        <v>0</v>
      </c>
      <c r="AF94" s="96">
        <f t="shared" si="1240"/>
        <v>0</v>
      </c>
      <c r="AG94" s="96">
        <f t="shared" si="1240"/>
        <v>0</v>
      </c>
      <c r="AH94" s="96">
        <f t="shared" si="1240"/>
        <v>0</v>
      </c>
      <c r="AI94" s="96">
        <f t="shared" si="1240"/>
        <v>0</v>
      </c>
      <c r="AJ94" s="96">
        <f t="shared" si="1240"/>
        <v>0</v>
      </c>
      <c r="AK94" s="96">
        <f t="shared" si="1240"/>
        <v>0</v>
      </c>
      <c r="AL94" s="96">
        <f t="shared" si="1240"/>
        <v>0</v>
      </c>
      <c r="AM94" s="96">
        <f t="shared" si="1241"/>
        <v>0</v>
      </c>
      <c r="AN94" s="96">
        <f t="shared" si="1241"/>
        <v>0</v>
      </c>
      <c r="AO94" s="96">
        <f t="shared" si="1241"/>
        <v>0</v>
      </c>
      <c r="AP94" s="96">
        <f t="shared" si="1241"/>
        <v>0</v>
      </c>
      <c r="AQ94" s="96">
        <f t="shared" si="1241"/>
        <v>0</v>
      </c>
      <c r="AR94" s="96">
        <f t="shared" si="1241"/>
        <v>0</v>
      </c>
      <c r="AS94" s="96">
        <f t="shared" si="1241"/>
        <v>0</v>
      </c>
      <c r="AT94" s="96">
        <f t="shared" si="1241"/>
        <v>0</v>
      </c>
      <c r="AU94" s="96">
        <f t="shared" si="1241"/>
        <v>0</v>
      </c>
      <c r="AV94" s="96">
        <f t="shared" si="1241"/>
        <v>0</v>
      </c>
      <c r="AW94" s="96">
        <f t="shared" si="1242"/>
        <v>0</v>
      </c>
      <c r="AX94" s="96">
        <f t="shared" si="1242"/>
        <v>0</v>
      </c>
      <c r="AY94" s="96">
        <f t="shared" si="1242"/>
        <v>0</v>
      </c>
      <c r="AZ94" s="96">
        <f t="shared" si="1242"/>
        <v>0</v>
      </c>
      <c r="BA94" s="96">
        <f t="shared" si="1242"/>
        <v>0</v>
      </c>
      <c r="BB94" s="96">
        <f t="shared" si="1242"/>
        <v>0</v>
      </c>
      <c r="BC94" s="96">
        <f t="shared" si="1242"/>
        <v>0</v>
      </c>
      <c r="BD94" s="96">
        <f t="shared" si="1242"/>
        <v>0</v>
      </c>
      <c r="BE94" s="96">
        <f t="shared" si="1242"/>
        <v>0</v>
      </c>
      <c r="BF94" s="96">
        <f t="shared" si="1242"/>
        <v>0</v>
      </c>
      <c r="BG94" s="96">
        <f t="shared" si="1243"/>
        <v>0</v>
      </c>
      <c r="BH94" s="96">
        <f t="shared" si="1243"/>
        <v>0</v>
      </c>
      <c r="BI94" s="96">
        <f t="shared" si="1243"/>
        <v>0</v>
      </c>
      <c r="BJ94" s="96">
        <f t="shared" si="1243"/>
        <v>0</v>
      </c>
      <c r="BK94" s="96">
        <f t="shared" si="1243"/>
        <v>0</v>
      </c>
      <c r="BL94" s="96">
        <f t="shared" si="1243"/>
        <v>0</v>
      </c>
      <c r="BM94" s="96">
        <f t="shared" si="1243"/>
        <v>0</v>
      </c>
      <c r="BN94" s="96">
        <f t="shared" si="1243"/>
        <v>0</v>
      </c>
      <c r="BO94" s="96">
        <f t="shared" si="1243"/>
        <v>0</v>
      </c>
      <c r="BP94" s="96">
        <f t="shared" si="1243"/>
        <v>0</v>
      </c>
      <c r="BQ94" s="96">
        <f t="shared" si="1244"/>
        <v>0</v>
      </c>
      <c r="BR94" s="96">
        <f t="shared" si="1244"/>
        <v>0</v>
      </c>
      <c r="BS94" s="96">
        <f t="shared" si="1244"/>
        <v>0</v>
      </c>
      <c r="BT94" s="96">
        <f t="shared" si="1244"/>
        <v>0</v>
      </c>
      <c r="BU94" s="96">
        <f t="shared" si="1244"/>
        <v>0</v>
      </c>
      <c r="BV94" s="96">
        <f t="shared" si="1244"/>
        <v>0</v>
      </c>
      <c r="BW94" s="96">
        <f t="shared" si="1244"/>
        <v>0</v>
      </c>
      <c r="BX94" s="96">
        <f t="shared" si="1244"/>
        <v>0</v>
      </c>
      <c r="BY94" s="96">
        <f t="shared" si="1244"/>
        <v>0</v>
      </c>
      <c r="BZ94" s="96">
        <f t="shared" si="1244"/>
        <v>0</v>
      </c>
      <c r="CA94" s="96">
        <f t="shared" si="1245"/>
        <v>0</v>
      </c>
      <c r="CB94" s="96">
        <f t="shared" si="1245"/>
        <v>0</v>
      </c>
      <c r="CC94" s="96">
        <f t="shared" si="1245"/>
        <v>0</v>
      </c>
      <c r="CD94" s="96">
        <f t="shared" si="1245"/>
        <v>0</v>
      </c>
      <c r="CE94" s="96">
        <f t="shared" si="1245"/>
        <v>0</v>
      </c>
      <c r="CF94" s="96">
        <f t="shared" si="1245"/>
        <v>0</v>
      </c>
      <c r="CG94" s="96">
        <f t="shared" si="1245"/>
        <v>0</v>
      </c>
      <c r="CH94" s="96">
        <f t="shared" si="1245"/>
        <v>0</v>
      </c>
      <c r="CI94" s="96">
        <f t="shared" si="1245"/>
        <v>0</v>
      </c>
      <c r="CJ94" s="96">
        <f t="shared" si="1245"/>
        <v>0</v>
      </c>
      <c r="CK94" s="96">
        <f t="shared" si="1246"/>
        <v>0</v>
      </c>
      <c r="CL94" s="96">
        <f t="shared" si="1246"/>
        <v>0</v>
      </c>
      <c r="CM94" s="96">
        <f t="shared" si="1246"/>
        <v>0</v>
      </c>
      <c r="CN94" s="96">
        <f t="shared" si="1246"/>
        <v>0</v>
      </c>
      <c r="CO94" s="96">
        <f t="shared" si="1246"/>
        <v>0</v>
      </c>
      <c r="CP94" s="96">
        <f t="shared" si="1246"/>
        <v>0</v>
      </c>
      <c r="CQ94" s="96">
        <f t="shared" si="1246"/>
        <v>0</v>
      </c>
      <c r="CR94" s="96">
        <f t="shared" si="1246"/>
        <v>0</v>
      </c>
      <c r="CS94" s="96">
        <f t="shared" si="1246"/>
        <v>0</v>
      </c>
      <c r="CT94" s="96">
        <f t="shared" si="1246"/>
        <v>0</v>
      </c>
      <c r="CU94" s="96">
        <f t="shared" si="1247"/>
        <v>0</v>
      </c>
      <c r="CV94" s="96">
        <f t="shared" si="1247"/>
        <v>0</v>
      </c>
      <c r="CW94" s="96">
        <f t="shared" si="1247"/>
        <v>0</v>
      </c>
      <c r="CX94" s="96">
        <f t="shared" si="1247"/>
        <v>0</v>
      </c>
      <c r="CY94" s="96">
        <f t="shared" si="1247"/>
        <v>0</v>
      </c>
      <c r="CZ94" s="96">
        <f t="shared" si="1247"/>
        <v>0</v>
      </c>
      <c r="DA94" s="96">
        <f t="shared" si="1247"/>
        <v>0</v>
      </c>
      <c r="DB94" s="96">
        <f t="shared" si="1247"/>
        <v>0</v>
      </c>
      <c r="DC94" s="96">
        <f t="shared" si="1247"/>
        <v>0</v>
      </c>
      <c r="DD94" s="96">
        <f t="shared" si="1247"/>
        <v>0</v>
      </c>
      <c r="DE94" s="96">
        <f t="shared" si="1248"/>
        <v>0</v>
      </c>
      <c r="DF94" s="96">
        <f t="shared" si="1248"/>
        <v>0</v>
      </c>
      <c r="DG94" s="96">
        <f t="shared" si="1248"/>
        <v>0</v>
      </c>
      <c r="DH94" s="96">
        <f t="shared" si="1248"/>
        <v>0</v>
      </c>
      <c r="DI94" s="96">
        <f t="shared" si="1248"/>
        <v>0</v>
      </c>
      <c r="DJ94" s="96">
        <f t="shared" si="1248"/>
        <v>0</v>
      </c>
      <c r="DK94" s="96">
        <f t="shared" si="1248"/>
        <v>0</v>
      </c>
      <c r="DL94" s="96">
        <f t="shared" si="1248"/>
        <v>0</v>
      </c>
      <c r="DM94" s="96">
        <f t="shared" si="1248"/>
        <v>0</v>
      </c>
      <c r="DN94" s="96">
        <f t="shared" si="1248"/>
        <v>0</v>
      </c>
      <c r="DO94" s="96">
        <f t="shared" si="1249"/>
        <v>0</v>
      </c>
      <c r="DP94" s="96">
        <f t="shared" si="1249"/>
        <v>0</v>
      </c>
      <c r="DQ94" s="96">
        <f t="shared" si="1249"/>
        <v>0</v>
      </c>
      <c r="DR94" s="96">
        <f t="shared" si="1249"/>
        <v>0</v>
      </c>
      <c r="DS94" s="96">
        <f t="shared" si="1249"/>
        <v>0</v>
      </c>
      <c r="DT94" s="96">
        <f t="shared" si="1249"/>
        <v>0</v>
      </c>
      <c r="DU94" s="96">
        <f t="shared" si="1249"/>
        <v>0</v>
      </c>
      <c r="DV94" s="96">
        <f t="shared" si="1249"/>
        <v>0</v>
      </c>
      <c r="DW94" s="96">
        <f t="shared" si="1249"/>
        <v>0</v>
      </c>
      <c r="DX94" s="96">
        <f t="shared" si="1249"/>
        <v>0</v>
      </c>
      <c r="DY94" s="96">
        <f t="shared" si="1250"/>
        <v>0</v>
      </c>
      <c r="DZ94" s="96">
        <f t="shared" si="1250"/>
        <v>0</v>
      </c>
      <c r="EA94" s="96">
        <f t="shared" si="1250"/>
        <v>0</v>
      </c>
      <c r="EB94" s="96">
        <f t="shared" si="1250"/>
        <v>0</v>
      </c>
      <c r="EC94" s="96">
        <f t="shared" si="1250"/>
        <v>0</v>
      </c>
      <c r="ED94" s="96">
        <f t="shared" si="1250"/>
        <v>0</v>
      </c>
      <c r="EE94" s="96">
        <f t="shared" si="1250"/>
        <v>0</v>
      </c>
      <c r="EF94" s="96">
        <f t="shared" si="1250"/>
        <v>0</v>
      </c>
      <c r="EG94" s="96">
        <f t="shared" si="1250"/>
        <v>0</v>
      </c>
      <c r="EH94" s="96">
        <f t="shared" si="1250"/>
        <v>0</v>
      </c>
      <c r="EI94" s="96">
        <f t="shared" si="1251"/>
        <v>0</v>
      </c>
      <c r="EJ94" s="96">
        <f t="shared" si="1251"/>
        <v>0</v>
      </c>
      <c r="EK94" s="96">
        <f t="shared" si="1251"/>
        <v>0</v>
      </c>
      <c r="EL94" s="96">
        <f t="shared" si="1251"/>
        <v>0</v>
      </c>
      <c r="EM94" s="96">
        <f t="shared" si="1251"/>
        <v>0</v>
      </c>
      <c r="EN94" s="96">
        <f t="shared" si="1251"/>
        <v>0</v>
      </c>
      <c r="EO94" s="96">
        <f t="shared" si="1251"/>
        <v>0</v>
      </c>
      <c r="EP94" s="96">
        <f t="shared" si="1251"/>
        <v>0</v>
      </c>
      <c r="EQ94" s="96">
        <f t="shared" si="1251"/>
        <v>0</v>
      </c>
      <c r="ER94" s="96">
        <f t="shared" si="1251"/>
        <v>0</v>
      </c>
      <c r="ES94" s="96">
        <f t="shared" si="1252"/>
        <v>0</v>
      </c>
      <c r="ET94" s="96">
        <f t="shared" si="1252"/>
        <v>0</v>
      </c>
      <c r="EU94" s="96">
        <f t="shared" si="1252"/>
        <v>0</v>
      </c>
      <c r="EW94" s="199" t="str">
        <f>B93</f>
        <v>Senior Loan 2</v>
      </c>
      <c r="EX94" s="219">
        <f>+EX88</f>
        <v>0</v>
      </c>
      <c r="EY94" s="219">
        <f>+EY88+FA94</f>
        <v>36</v>
      </c>
      <c r="EZ94" s="219">
        <f t="shared" ref="EZ94:FB95" si="1385">+EZ88</f>
        <v>360</v>
      </c>
      <c r="FA94" s="220">
        <f t="shared" si="1385"/>
        <v>36</v>
      </c>
      <c r="FB94" s="220">
        <f t="shared" si="1385"/>
        <v>36</v>
      </c>
      <c r="FC94" s="207">
        <f t="shared" ref="FC94:FL95" si="1386">AND(FC$81&gt;$FA94,FC$81&lt;=$FB94)*((FC$81&lt;=$EY94)*FC88*(FC91/12)+(FC$81&gt;$EY94)*PMT(FC91/12,$EZ94,-$H93))</f>
        <v>0</v>
      </c>
      <c r="FD94" s="207">
        <f t="shared" si="1386"/>
        <v>0</v>
      </c>
      <c r="FE94" s="207">
        <f t="shared" si="1386"/>
        <v>0</v>
      </c>
      <c r="FF94" s="207">
        <f t="shared" si="1386"/>
        <v>0</v>
      </c>
      <c r="FG94" s="207">
        <f t="shared" si="1386"/>
        <v>0</v>
      </c>
      <c r="FH94" s="207">
        <f t="shared" si="1386"/>
        <v>0</v>
      </c>
      <c r="FI94" s="207">
        <f t="shared" si="1386"/>
        <v>0</v>
      </c>
      <c r="FJ94" s="207">
        <f t="shared" si="1386"/>
        <v>0</v>
      </c>
      <c r="FK94" s="207">
        <f t="shared" si="1386"/>
        <v>0</v>
      </c>
      <c r="FL94" s="207">
        <f t="shared" si="1386"/>
        <v>0</v>
      </c>
      <c r="FM94" s="207">
        <f t="shared" ref="FM94:FV95" si="1387">AND(FM$81&gt;$FA94,FM$81&lt;=$FB94)*((FM$81&lt;=$EY94)*FM88*(FM91/12)+(FM$81&gt;$EY94)*PMT(FM91/12,$EZ94,-$H93))</f>
        <v>0</v>
      </c>
      <c r="FN94" s="207">
        <f t="shared" si="1387"/>
        <v>0</v>
      </c>
      <c r="FO94" s="207">
        <f t="shared" si="1387"/>
        <v>0</v>
      </c>
      <c r="FP94" s="207">
        <f t="shared" si="1387"/>
        <v>0</v>
      </c>
      <c r="FQ94" s="207">
        <f t="shared" si="1387"/>
        <v>0</v>
      </c>
      <c r="FR94" s="207">
        <f t="shared" si="1387"/>
        <v>0</v>
      </c>
      <c r="FS94" s="207">
        <f t="shared" si="1387"/>
        <v>0</v>
      </c>
      <c r="FT94" s="207">
        <f t="shared" si="1387"/>
        <v>0</v>
      </c>
      <c r="FU94" s="207">
        <f t="shared" si="1387"/>
        <v>0</v>
      </c>
      <c r="FV94" s="207">
        <f t="shared" si="1387"/>
        <v>0</v>
      </c>
      <c r="FW94" s="207">
        <f t="shared" ref="FW94:GF95" si="1388">AND(FW$81&gt;$FA94,FW$81&lt;=$FB94)*((FW$81&lt;=$EY94)*FW88*(FW91/12)+(FW$81&gt;$EY94)*PMT(FW91/12,$EZ94,-$H93))</f>
        <v>0</v>
      </c>
      <c r="FX94" s="207">
        <f t="shared" si="1388"/>
        <v>0</v>
      </c>
      <c r="FY94" s="207">
        <f t="shared" si="1388"/>
        <v>0</v>
      </c>
      <c r="FZ94" s="207">
        <f t="shared" si="1388"/>
        <v>0</v>
      </c>
      <c r="GA94" s="207">
        <f t="shared" si="1388"/>
        <v>0</v>
      </c>
      <c r="GB94" s="207">
        <f t="shared" si="1388"/>
        <v>0</v>
      </c>
      <c r="GC94" s="207">
        <f t="shared" si="1388"/>
        <v>0</v>
      </c>
      <c r="GD94" s="207">
        <f t="shared" si="1388"/>
        <v>0</v>
      </c>
      <c r="GE94" s="207">
        <f t="shared" si="1388"/>
        <v>0</v>
      </c>
      <c r="GF94" s="207">
        <f t="shared" si="1388"/>
        <v>0</v>
      </c>
      <c r="GG94" s="207">
        <f t="shared" ref="GG94:GP95" si="1389">AND(GG$81&gt;$FA94,GG$81&lt;=$FB94)*((GG$81&lt;=$EY94)*GG88*(GG91/12)+(GG$81&gt;$EY94)*PMT(GG91/12,$EZ94,-$H93))</f>
        <v>0</v>
      </c>
      <c r="GH94" s="207">
        <f t="shared" si="1389"/>
        <v>0</v>
      </c>
      <c r="GI94" s="207">
        <f t="shared" si="1389"/>
        <v>0</v>
      </c>
      <c r="GJ94" s="207">
        <f t="shared" si="1389"/>
        <v>0</v>
      </c>
      <c r="GK94" s="207">
        <f t="shared" si="1389"/>
        <v>0</v>
      </c>
      <c r="GL94" s="207">
        <f t="shared" si="1389"/>
        <v>0</v>
      </c>
      <c r="GM94" s="207">
        <f t="shared" si="1389"/>
        <v>0</v>
      </c>
      <c r="GN94" s="207">
        <f t="shared" si="1389"/>
        <v>0</v>
      </c>
      <c r="GO94" s="207">
        <f t="shared" si="1389"/>
        <v>0</v>
      </c>
      <c r="GP94" s="207">
        <f t="shared" si="1389"/>
        <v>0</v>
      </c>
      <c r="GQ94" s="207">
        <f t="shared" ref="GQ94:GZ95" si="1390">AND(GQ$81&gt;$FA94,GQ$81&lt;=$FB94)*((GQ$81&lt;=$EY94)*GQ88*(GQ91/12)+(GQ$81&gt;$EY94)*PMT(GQ91/12,$EZ94,-$H93))</f>
        <v>0</v>
      </c>
      <c r="GR94" s="207">
        <f t="shared" si="1390"/>
        <v>0</v>
      </c>
      <c r="GS94" s="207">
        <f t="shared" si="1390"/>
        <v>0</v>
      </c>
      <c r="GT94" s="207">
        <f t="shared" si="1390"/>
        <v>0</v>
      </c>
      <c r="GU94" s="207">
        <f t="shared" si="1390"/>
        <v>0</v>
      </c>
      <c r="GV94" s="207">
        <f t="shared" si="1390"/>
        <v>0</v>
      </c>
      <c r="GW94" s="207">
        <f t="shared" si="1390"/>
        <v>0</v>
      </c>
      <c r="GX94" s="207">
        <f t="shared" si="1390"/>
        <v>0</v>
      </c>
      <c r="GY94" s="207">
        <f t="shared" si="1390"/>
        <v>0</v>
      </c>
      <c r="GZ94" s="207">
        <f t="shared" si="1390"/>
        <v>0</v>
      </c>
      <c r="HA94" s="207">
        <f t="shared" ref="HA94:HJ95" si="1391">AND(HA$81&gt;$FA94,HA$81&lt;=$FB94)*((HA$81&lt;=$EY94)*HA88*(HA91/12)+(HA$81&gt;$EY94)*PMT(HA91/12,$EZ94,-$H93))</f>
        <v>0</v>
      </c>
      <c r="HB94" s="207">
        <f t="shared" si="1391"/>
        <v>0</v>
      </c>
      <c r="HC94" s="207">
        <f t="shared" si="1391"/>
        <v>0</v>
      </c>
      <c r="HD94" s="207">
        <f t="shared" si="1391"/>
        <v>0</v>
      </c>
      <c r="HE94" s="207">
        <f t="shared" si="1391"/>
        <v>0</v>
      </c>
      <c r="HF94" s="207">
        <f t="shared" si="1391"/>
        <v>0</v>
      </c>
      <c r="HG94" s="207">
        <f t="shared" si="1391"/>
        <v>0</v>
      </c>
      <c r="HH94" s="207">
        <f t="shared" si="1391"/>
        <v>0</v>
      </c>
      <c r="HI94" s="207">
        <f t="shared" si="1391"/>
        <v>0</v>
      </c>
      <c r="HJ94" s="207">
        <f t="shared" si="1391"/>
        <v>0</v>
      </c>
      <c r="HK94" s="207">
        <f t="shared" ref="HK94:HT95" si="1392">AND(HK$81&gt;$FA94,HK$81&lt;=$FB94)*((HK$81&lt;=$EY94)*HK88*(HK91/12)+(HK$81&gt;$EY94)*PMT(HK91/12,$EZ94,-$H93))</f>
        <v>0</v>
      </c>
      <c r="HL94" s="207">
        <f t="shared" si="1392"/>
        <v>0</v>
      </c>
      <c r="HM94" s="207">
        <f t="shared" si="1392"/>
        <v>0</v>
      </c>
      <c r="HN94" s="207">
        <f t="shared" si="1392"/>
        <v>0</v>
      </c>
      <c r="HO94" s="207">
        <f t="shared" si="1392"/>
        <v>0</v>
      </c>
      <c r="HP94" s="207">
        <f t="shared" si="1392"/>
        <v>0</v>
      </c>
      <c r="HQ94" s="207">
        <f t="shared" si="1392"/>
        <v>0</v>
      </c>
      <c r="HR94" s="207">
        <f t="shared" si="1392"/>
        <v>0</v>
      </c>
      <c r="HS94" s="207">
        <f t="shared" si="1392"/>
        <v>0</v>
      </c>
      <c r="HT94" s="207">
        <f t="shared" si="1392"/>
        <v>0</v>
      </c>
      <c r="HU94" s="207">
        <f t="shared" ref="HU94:ID95" si="1393">AND(HU$81&gt;$FA94,HU$81&lt;=$FB94)*((HU$81&lt;=$EY94)*HU88*(HU91/12)+(HU$81&gt;$EY94)*PMT(HU91/12,$EZ94,-$H93))</f>
        <v>0</v>
      </c>
      <c r="HV94" s="207">
        <f t="shared" si="1393"/>
        <v>0</v>
      </c>
      <c r="HW94" s="207">
        <f t="shared" si="1393"/>
        <v>0</v>
      </c>
      <c r="HX94" s="207">
        <f t="shared" si="1393"/>
        <v>0</v>
      </c>
      <c r="HY94" s="207">
        <f t="shared" si="1393"/>
        <v>0</v>
      </c>
      <c r="HZ94" s="207">
        <f t="shared" si="1393"/>
        <v>0</v>
      </c>
      <c r="IA94" s="207">
        <f t="shared" si="1393"/>
        <v>0</v>
      </c>
      <c r="IB94" s="207">
        <f t="shared" si="1393"/>
        <v>0</v>
      </c>
      <c r="IC94" s="207">
        <f t="shared" si="1393"/>
        <v>0</v>
      </c>
      <c r="ID94" s="207">
        <f t="shared" si="1393"/>
        <v>0</v>
      </c>
      <c r="IE94" s="207">
        <f t="shared" ref="IE94:IN95" si="1394">AND(IE$81&gt;$FA94,IE$81&lt;=$FB94)*((IE$81&lt;=$EY94)*IE88*(IE91/12)+(IE$81&gt;$EY94)*PMT(IE91/12,$EZ94,-$H93))</f>
        <v>0</v>
      </c>
      <c r="IF94" s="207">
        <f t="shared" si="1394"/>
        <v>0</v>
      </c>
      <c r="IG94" s="207">
        <f t="shared" si="1394"/>
        <v>0</v>
      </c>
      <c r="IH94" s="207">
        <f t="shared" si="1394"/>
        <v>0</v>
      </c>
      <c r="II94" s="207">
        <f t="shared" si="1394"/>
        <v>0</v>
      </c>
      <c r="IJ94" s="207">
        <f t="shared" si="1394"/>
        <v>0</v>
      </c>
      <c r="IK94" s="207">
        <f t="shared" si="1394"/>
        <v>0</v>
      </c>
      <c r="IL94" s="207">
        <f t="shared" si="1394"/>
        <v>0</v>
      </c>
      <c r="IM94" s="207">
        <f t="shared" si="1394"/>
        <v>0</v>
      </c>
      <c r="IN94" s="207">
        <f t="shared" si="1394"/>
        <v>0</v>
      </c>
      <c r="IO94" s="207">
        <f t="shared" ref="IO94:IX95" si="1395">AND(IO$81&gt;$FA94,IO$81&lt;=$FB94)*((IO$81&lt;=$EY94)*IO88*(IO91/12)+(IO$81&gt;$EY94)*PMT(IO91/12,$EZ94,-$H93))</f>
        <v>0</v>
      </c>
      <c r="IP94" s="207">
        <f t="shared" si="1395"/>
        <v>0</v>
      </c>
      <c r="IQ94" s="207">
        <f t="shared" si="1395"/>
        <v>0</v>
      </c>
      <c r="IR94" s="207">
        <f t="shared" si="1395"/>
        <v>0</v>
      </c>
      <c r="IS94" s="207">
        <f t="shared" si="1395"/>
        <v>0</v>
      </c>
      <c r="IT94" s="207">
        <f t="shared" si="1395"/>
        <v>0</v>
      </c>
      <c r="IU94" s="207">
        <f t="shared" si="1395"/>
        <v>0</v>
      </c>
      <c r="IV94" s="207">
        <f t="shared" si="1395"/>
        <v>0</v>
      </c>
      <c r="IW94" s="207">
        <f t="shared" si="1395"/>
        <v>0</v>
      </c>
      <c r="IX94" s="207">
        <f t="shared" si="1395"/>
        <v>0</v>
      </c>
      <c r="IY94" s="207">
        <f t="shared" ref="IY94:JH95" si="1396">AND(IY$81&gt;$FA94,IY$81&lt;=$FB94)*((IY$81&lt;=$EY94)*IY88*(IY91/12)+(IY$81&gt;$EY94)*PMT(IY91/12,$EZ94,-$H93))</f>
        <v>0</v>
      </c>
      <c r="IZ94" s="207">
        <f t="shared" si="1396"/>
        <v>0</v>
      </c>
      <c r="JA94" s="207">
        <f t="shared" si="1396"/>
        <v>0</v>
      </c>
      <c r="JB94" s="207">
        <f t="shared" si="1396"/>
        <v>0</v>
      </c>
      <c r="JC94" s="207">
        <f t="shared" si="1396"/>
        <v>0</v>
      </c>
      <c r="JD94" s="207">
        <f t="shared" si="1396"/>
        <v>0</v>
      </c>
      <c r="JE94" s="207">
        <f t="shared" si="1396"/>
        <v>0</v>
      </c>
      <c r="JF94" s="207">
        <f t="shared" si="1396"/>
        <v>0</v>
      </c>
      <c r="JG94" s="207">
        <f t="shared" si="1396"/>
        <v>0</v>
      </c>
      <c r="JH94" s="207">
        <f t="shared" si="1396"/>
        <v>0</v>
      </c>
      <c r="JI94" s="207">
        <f t="shared" ref="JI94:JR95" si="1397">AND(JI$81&gt;$FA94,JI$81&lt;=$FB94)*((JI$81&lt;=$EY94)*JI88*(JI91/12)+(JI$81&gt;$EY94)*PMT(JI91/12,$EZ94,-$H93))</f>
        <v>0</v>
      </c>
      <c r="JJ94" s="207">
        <f t="shared" si="1397"/>
        <v>0</v>
      </c>
      <c r="JK94" s="207">
        <f t="shared" si="1397"/>
        <v>0</v>
      </c>
      <c r="JL94" s="207">
        <f t="shared" si="1397"/>
        <v>0</v>
      </c>
      <c r="JM94" s="207">
        <f t="shared" si="1397"/>
        <v>0</v>
      </c>
      <c r="JN94" s="207">
        <f t="shared" si="1397"/>
        <v>0</v>
      </c>
      <c r="JO94" s="207">
        <f t="shared" si="1397"/>
        <v>0</v>
      </c>
      <c r="JP94" s="207">
        <f t="shared" si="1397"/>
        <v>0</v>
      </c>
      <c r="JQ94" s="207">
        <f t="shared" si="1397"/>
        <v>0</v>
      </c>
      <c r="JR94" s="207">
        <f t="shared" si="1397"/>
        <v>0</v>
      </c>
      <c r="JS94" s="207">
        <f t="shared" ref="JS94:KB95" si="1398">AND(JS$81&gt;$FA94,JS$81&lt;=$FB94)*((JS$81&lt;=$EY94)*JS88*(JS91/12)+(JS$81&gt;$EY94)*PMT(JS91/12,$EZ94,-$H93))</f>
        <v>0</v>
      </c>
      <c r="JT94" s="207">
        <f t="shared" si="1398"/>
        <v>0</v>
      </c>
      <c r="JU94" s="207">
        <f t="shared" si="1398"/>
        <v>0</v>
      </c>
      <c r="JV94" s="207">
        <f t="shared" si="1398"/>
        <v>0</v>
      </c>
      <c r="JW94" s="207">
        <f t="shared" si="1398"/>
        <v>0</v>
      </c>
      <c r="JX94" s="207">
        <f t="shared" si="1398"/>
        <v>0</v>
      </c>
      <c r="JY94" s="207">
        <f t="shared" si="1398"/>
        <v>0</v>
      </c>
      <c r="JZ94" s="207">
        <f t="shared" si="1398"/>
        <v>0</v>
      </c>
      <c r="KA94" s="207">
        <f t="shared" si="1398"/>
        <v>0</v>
      </c>
      <c r="KB94" s="207">
        <f t="shared" si="1398"/>
        <v>0</v>
      </c>
      <c r="KC94" s="207">
        <f t="shared" ref="KC94:KE95" si="1399">AND(KC$81&gt;$FA94,KC$81&lt;=$FB94)*((KC$81&lt;=$EY94)*KC88*(KC91/12)+(KC$81&gt;$EY94)*PMT(KC91/12,$EZ94,-$H93))</f>
        <v>0</v>
      </c>
      <c r="KD94" s="207">
        <f t="shared" si="1399"/>
        <v>0</v>
      </c>
      <c r="KE94" s="207">
        <f t="shared" si="1399"/>
        <v>0</v>
      </c>
      <c r="KH94" s="219"/>
      <c r="KI94" s="219"/>
      <c r="KJ94" s="219"/>
      <c r="KK94" s="220"/>
      <c r="KL94" s="220"/>
      <c r="KM94" s="207"/>
      <c r="KN94" s="207"/>
      <c r="KO94" s="207"/>
      <c r="KP94" s="207"/>
      <c r="KQ94" s="207"/>
      <c r="KR94" s="207"/>
      <c r="KS94" s="207"/>
      <c r="KT94" s="207"/>
      <c r="KU94" s="207"/>
      <c r="KV94" s="207"/>
      <c r="KW94" s="207"/>
      <c r="KX94" s="207"/>
      <c r="KY94" s="207"/>
      <c r="KZ94" s="207"/>
      <c r="LA94" s="207"/>
      <c r="LB94" s="207"/>
      <c r="LC94" s="207"/>
      <c r="LD94" s="207"/>
      <c r="LE94" s="207"/>
      <c r="LF94" s="207"/>
      <c r="LG94" s="207"/>
      <c r="LH94" s="207"/>
      <c r="LI94" s="207"/>
      <c r="LJ94" s="207"/>
      <c r="LK94" s="207"/>
      <c r="LL94" s="207"/>
      <c r="LM94" s="207"/>
      <c r="LN94" s="207"/>
      <c r="LO94" s="207"/>
      <c r="LP94" s="207"/>
      <c r="LQ94" s="207"/>
      <c r="LR94" s="207"/>
      <c r="LS94" s="207"/>
      <c r="LT94" s="207"/>
      <c r="LU94" s="207"/>
      <c r="LV94" s="207"/>
      <c r="LW94" s="207"/>
      <c r="LX94" s="207"/>
      <c r="LY94" s="207"/>
      <c r="LZ94" s="207"/>
      <c r="MA94" s="207"/>
      <c r="MB94" s="207"/>
      <c r="MC94" s="207"/>
      <c r="MD94" s="207"/>
      <c r="ME94" s="207"/>
      <c r="MF94" s="207"/>
      <c r="MG94" s="207"/>
      <c r="MH94" s="207"/>
      <c r="MI94" s="207"/>
      <c r="MJ94" s="207"/>
      <c r="MK94" s="207"/>
      <c r="ML94" s="207"/>
      <c r="MM94" s="207"/>
      <c r="MN94" s="207"/>
      <c r="MO94" s="207"/>
      <c r="MP94" s="207"/>
      <c r="MQ94" s="207"/>
      <c r="MR94" s="207"/>
      <c r="MS94" s="207"/>
      <c r="MT94" s="207"/>
      <c r="MU94" s="207"/>
      <c r="MV94" s="207"/>
      <c r="MW94" s="207"/>
      <c r="MX94" s="207"/>
      <c r="MY94" s="207"/>
      <c r="MZ94" s="207"/>
      <c r="NA94" s="207"/>
      <c r="NB94" s="207"/>
      <c r="NC94" s="207"/>
      <c r="ND94" s="207"/>
      <c r="NE94" s="207"/>
      <c r="NF94" s="207"/>
      <c r="NG94" s="207"/>
      <c r="NH94" s="207"/>
      <c r="NI94" s="207"/>
      <c r="NJ94" s="207"/>
      <c r="NK94" s="207"/>
      <c r="NL94" s="207"/>
      <c r="NM94" s="207"/>
      <c r="NN94" s="207"/>
      <c r="NO94" s="207"/>
      <c r="NP94" s="207"/>
      <c r="NQ94" s="207"/>
      <c r="NR94" s="207"/>
      <c r="NS94" s="207"/>
      <c r="NT94" s="207"/>
      <c r="NU94" s="207"/>
      <c r="NV94" s="207"/>
      <c r="NW94" s="207"/>
      <c r="NX94" s="207"/>
      <c r="NY94" s="207"/>
      <c r="NZ94" s="207"/>
      <c r="OA94" s="207"/>
      <c r="OB94" s="207"/>
      <c r="OC94" s="207"/>
      <c r="OD94" s="207"/>
      <c r="OE94" s="207"/>
      <c r="OF94" s="207"/>
      <c r="OG94" s="207"/>
      <c r="OH94" s="207"/>
      <c r="OI94" s="207"/>
      <c r="OJ94" s="207"/>
      <c r="OK94" s="207"/>
      <c r="OL94" s="207"/>
      <c r="OM94" s="207"/>
      <c r="ON94" s="207"/>
      <c r="OO94" s="207"/>
      <c r="OP94" s="207"/>
      <c r="OQ94" s="207"/>
      <c r="OR94" s="207"/>
      <c r="OS94" s="207"/>
      <c r="OT94" s="207"/>
      <c r="OU94" s="207"/>
      <c r="OV94" s="207"/>
      <c r="OW94" s="207"/>
      <c r="OX94" s="207"/>
      <c r="OY94" s="207"/>
      <c r="OZ94" s="207"/>
      <c r="PA94" s="207"/>
      <c r="PB94" s="207"/>
      <c r="PC94" s="207"/>
      <c r="PD94" s="207"/>
      <c r="PE94" s="207"/>
      <c r="PF94" s="207"/>
      <c r="PG94" s="207"/>
      <c r="PH94" s="207"/>
      <c r="PI94" s="207"/>
      <c r="PJ94" s="207"/>
      <c r="PK94" s="207"/>
      <c r="PL94" s="207"/>
      <c r="PM94" s="207"/>
      <c r="PN94" s="207"/>
      <c r="PO94" s="207"/>
      <c r="PQ94" s="201"/>
      <c r="PR94" s="201"/>
      <c r="PS94" s="201"/>
      <c r="PT94" s="201"/>
      <c r="PU94" s="201"/>
      <c r="PV94" s="201"/>
      <c r="PW94" s="201"/>
      <c r="PX94" s="201"/>
      <c r="PY94" s="201"/>
      <c r="PZ94" s="201"/>
      <c r="QA94" s="201"/>
      <c r="QB94" s="201"/>
      <c r="QC94" s="201"/>
      <c r="QD94" s="201"/>
      <c r="QE94" s="201"/>
      <c r="QF94" s="201"/>
      <c r="QG94" s="201"/>
      <c r="QH94" s="201"/>
      <c r="QI94" s="201"/>
      <c r="QJ94" s="201"/>
      <c r="QK94" s="201"/>
      <c r="QL94" s="201"/>
      <c r="QM94" s="201"/>
      <c r="QN94" s="201"/>
      <c r="QO94" s="201"/>
      <c r="QP94" s="201"/>
      <c r="QQ94" s="201"/>
      <c r="QR94" s="201"/>
      <c r="QS94" s="201"/>
      <c r="QT94" s="201"/>
      <c r="QU94" s="201"/>
      <c r="QV94" s="201"/>
      <c r="QW94" s="201"/>
      <c r="QX94" s="201"/>
      <c r="QY94" s="201"/>
      <c r="QZ94" s="201"/>
      <c r="RA94" s="201"/>
      <c r="RB94" s="201"/>
      <c r="RC94" s="201"/>
      <c r="RD94" s="201"/>
      <c r="RE94" s="201"/>
      <c r="RF94" s="201"/>
      <c r="RG94" s="201"/>
      <c r="RH94" s="201"/>
      <c r="RI94" s="201"/>
      <c r="RJ94" s="201"/>
      <c r="RK94" s="201"/>
      <c r="RL94" s="201"/>
      <c r="RM94" s="201"/>
      <c r="RN94" s="201"/>
      <c r="RO94" s="201"/>
      <c r="RP94" s="201"/>
      <c r="RQ94" s="201"/>
      <c r="RR94" s="201"/>
      <c r="RS94" s="201"/>
      <c r="RT94" s="201"/>
      <c r="RU94" s="201"/>
      <c r="RV94" s="201"/>
      <c r="RW94" s="201"/>
      <c r="RX94" s="201"/>
      <c r="RY94" s="201"/>
      <c r="RZ94" s="201"/>
      <c r="SA94" s="201"/>
      <c r="SB94" s="201"/>
      <c r="SC94" s="201"/>
      <c r="SD94" s="201"/>
      <c r="SE94" s="201"/>
      <c r="SF94" s="201"/>
      <c r="SG94" s="201"/>
      <c r="SH94" s="201"/>
      <c r="SI94" s="201"/>
      <c r="SJ94" s="201"/>
      <c r="SK94" s="201"/>
      <c r="SL94" s="201"/>
      <c r="SM94" s="201"/>
      <c r="SN94" s="201"/>
      <c r="SO94" s="201"/>
      <c r="SP94" s="201"/>
      <c r="SQ94" s="201"/>
      <c r="SR94" s="201"/>
      <c r="SS94" s="201"/>
      <c r="ST94" s="201"/>
      <c r="SU94" s="201"/>
      <c r="SV94" s="201"/>
      <c r="SW94" s="201"/>
      <c r="SX94" s="201"/>
      <c r="SY94" s="201"/>
      <c r="SZ94" s="201"/>
      <c r="TA94" s="201"/>
      <c r="TB94" s="201"/>
      <c r="TC94" s="201"/>
      <c r="TD94" s="201"/>
      <c r="TE94" s="201"/>
      <c r="TF94" s="201"/>
      <c r="TG94" s="201"/>
      <c r="TH94" s="201"/>
      <c r="TI94" s="201"/>
      <c r="TJ94" s="201"/>
      <c r="TK94" s="201"/>
      <c r="TL94" s="201"/>
      <c r="TM94" s="201"/>
      <c r="TN94" s="201"/>
      <c r="TO94" s="201"/>
      <c r="TP94" s="201"/>
      <c r="TQ94" s="201"/>
      <c r="TR94" s="201"/>
      <c r="TS94" s="201"/>
      <c r="TT94" s="201"/>
      <c r="TU94" s="201"/>
      <c r="TV94" s="201"/>
      <c r="TW94" s="201"/>
      <c r="TX94" s="201"/>
      <c r="TY94" s="201"/>
      <c r="TZ94" s="201"/>
      <c r="UA94" s="201"/>
      <c r="UB94" s="201"/>
      <c r="UC94" s="201"/>
      <c r="UD94" s="201"/>
      <c r="UE94" s="201"/>
      <c r="UF94" s="201"/>
      <c r="UG94" s="201"/>
      <c r="UH94" s="201"/>
      <c r="UI94" s="201"/>
      <c r="UJ94" s="201"/>
      <c r="UK94" s="201"/>
      <c r="UL94" s="201"/>
      <c r="UM94" s="201"/>
      <c r="UN94" s="201"/>
      <c r="UO94" s="201"/>
      <c r="UP94" s="201"/>
      <c r="UQ94" s="201"/>
      <c r="UR94" s="201"/>
      <c r="US94" s="201"/>
      <c r="UT94" s="201"/>
      <c r="UU94" s="201"/>
    </row>
    <row r="95" spans="1:567" ht="14.25" hidden="1" customHeight="1" x14ac:dyDescent="0.25">
      <c r="B95" s="18" t="s">
        <v>106</v>
      </c>
      <c r="C95" s="63"/>
      <c r="D95" s="347"/>
      <c r="E95" s="345"/>
      <c r="F95" s="18"/>
      <c r="G95" s="98">
        <f>SUM(G93:G94)</f>
        <v>0</v>
      </c>
      <c r="H95" s="81">
        <f>SUM(H93:H94)</f>
        <v>0</v>
      </c>
      <c r="I95" s="81">
        <f>SUM(I93:I94)</f>
        <v>0</v>
      </c>
      <c r="J95" s="82"/>
      <c r="K95" s="82"/>
      <c r="R95" s="90" t="str">
        <f t="shared" si="1384"/>
        <v>OK</v>
      </c>
      <c r="S95" s="92">
        <f>SUM(S93:S94)</f>
        <v>0</v>
      </c>
      <c r="T95" s="92">
        <f t="shared" ref="T95" si="1400">SUM(T93:T94)</f>
        <v>0</v>
      </c>
      <c r="U95" s="92">
        <f t="shared" ref="U95" si="1401">SUM(U93:U94)</f>
        <v>0</v>
      </c>
      <c r="V95" s="92">
        <f t="shared" ref="V95" si="1402">SUM(V93:V94)</f>
        <v>0</v>
      </c>
      <c r="W95" s="92">
        <f t="shared" ref="W95" si="1403">SUM(W93:W94)</f>
        <v>0</v>
      </c>
      <c r="X95" s="92">
        <f t="shared" ref="X95" si="1404">SUM(X93:X94)</f>
        <v>0</v>
      </c>
      <c r="Y95" s="92">
        <f t="shared" ref="Y95" si="1405">SUM(Y93:Y94)</f>
        <v>0</v>
      </c>
      <c r="Z95" s="92">
        <f t="shared" ref="Z95" si="1406">SUM(Z93:Z94)</f>
        <v>0</v>
      </c>
      <c r="AA95" s="92">
        <f t="shared" ref="AA95" si="1407">SUM(AA93:AA94)</f>
        <v>0</v>
      </c>
      <c r="AB95" s="92">
        <f t="shared" ref="AB95" si="1408">SUM(AB93:AB94)</f>
        <v>0</v>
      </c>
      <c r="AC95" s="92">
        <f t="shared" ref="AC95" si="1409">SUM(AC93:AC94)</f>
        <v>0</v>
      </c>
      <c r="AD95" s="92">
        <f t="shared" ref="AD95" si="1410">SUM(AD93:AD94)</f>
        <v>0</v>
      </c>
      <c r="AE95" s="92">
        <f t="shared" ref="AE95" si="1411">SUM(AE93:AE94)</f>
        <v>0</v>
      </c>
      <c r="AF95" s="92">
        <f t="shared" ref="AF95" si="1412">SUM(AF93:AF94)</f>
        <v>0</v>
      </c>
      <c r="AG95" s="92">
        <f t="shared" ref="AG95" si="1413">SUM(AG93:AG94)</f>
        <v>0</v>
      </c>
      <c r="AH95" s="92">
        <f t="shared" ref="AH95" si="1414">SUM(AH93:AH94)</f>
        <v>0</v>
      </c>
      <c r="AI95" s="92">
        <f t="shared" ref="AI95" si="1415">SUM(AI93:AI94)</f>
        <v>0</v>
      </c>
      <c r="AJ95" s="92">
        <f t="shared" ref="AJ95" si="1416">SUM(AJ93:AJ94)</f>
        <v>0</v>
      </c>
      <c r="AK95" s="92">
        <f t="shared" ref="AK95" si="1417">SUM(AK93:AK94)</f>
        <v>0</v>
      </c>
      <c r="AL95" s="92">
        <f t="shared" ref="AL95" si="1418">SUM(AL93:AL94)</f>
        <v>0</v>
      </c>
      <c r="AM95" s="92">
        <f t="shared" ref="AM95" si="1419">SUM(AM93:AM94)</f>
        <v>0</v>
      </c>
      <c r="AN95" s="92">
        <f t="shared" ref="AN95" si="1420">SUM(AN93:AN94)</f>
        <v>0</v>
      </c>
      <c r="AO95" s="92">
        <f t="shared" ref="AO95" si="1421">SUM(AO93:AO94)</f>
        <v>0</v>
      </c>
      <c r="AP95" s="92">
        <f t="shared" ref="AP95" si="1422">SUM(AP93:AP94)</f>
        <v>0</v>
      </c>
      <c r="AQ95" s="92">
        <f t="shared" ref="AQ95" si="1423">SUM(AQ93:AQ94)</f>
        <v>0</v>
      </c>
      <c r="AR95" s="92">
        <f t="shared" ref="AR95" si="1424">SUM(AR93:AR94)</f>
        <v>0</v>
      </c>
      <c r="AS95" s="92">
        <f t="shared" ref="AS95" si="1425">SUM(AS93:AS94)</f>
        <v>0</v>
      </c>
      <c r="AT95" s="92">
        <f t="shared" ref="AT95" si="1426">SUM(AT93:AT94)</f>
        <v>0</v>
      </c>
      <c r="AU95" s="92">
        <f t="shared" ref="AU95" si="1427">SUM(AU93:AU94)</f>
        <v>0</v>
      </c>
      <c r="AV95" s="92">
        <f t="shared" ref="AV95" si="1428">SUM(AV93:AV94)</f>
        <v>0</v>
      </c>
      <c r="AW95" s="92">
        <f t="shared" ref="AW95" si="1429">SUM(AW93:AW94)</f>
        <v>0</v>
      </c>
      <c r="AX95" s="92">
        <f t="shared" ref="AX95" si="1430">SUM(AX93:AX94)</f>
        <v>0</v>
      </c>
      <c r="AY95" s="92">
        <f t="shared" ref="AY95" si="1431">SUM(AY93:AY94)</f>
        <v>0</v>
      </c>
      <c r="AZ95" s="92">
        <f t="shared" ref="AZ95" si="1432">SUM(AZ93:AZ94)</f>
        <v>0</v>
      </c>
      <c r="BA95" s="92">
        <f t="shared" ref="BA95" si="1433">SUM(BA93:BA94)</f>
        <v>0</v>
      </c>
      <c r="BB95" s="92">
        <f t="shared" ref="BB95" si="1434">SUM(BB93:BB94)</f>
        <v>0</v>
      </c>
      <c r="BC95" s="92">
        <f t="shared" ref="BC95" si="1435">SUM(BC93:BC94)</f>
        <v>0</v>
      </c>
      <c r="BD95" s="92">
        <f t="shared" ref="BD95" si="1436">SUM(BD93:BD94)</f>
        <v>0</v>
      </c>
      <c r="BE95" s="92">
        <f t="shared" ref="BE95" si="1437">SUM(BE93:BE94)</f>
        <v>0</v>
      </c>
      <c r="BF95" s="92">
        <f t="shared" ref="BF95" si="1438">SUM(BF93:BF94)</f>
        <v>0</v>
      </c>
      <c r="BG95" s="92">
        <f t="shared" ref="BG95" si="1439">SUM(BG93:BG94)</f>
        <v>0</v>
      </c>
      <c r="BH95" s="92">
        <f t="shared" ref="BH95" si="1440">SUM(BH93:BH94)</f>
        <v>0</v>
      </c>
      <c r="BI95" s="92">
        <f t="shared" ref="BI95" si="1441">SUM(BI93:BI94)</f>
        <v>0</v>
      </c>
      <c r="BJ95" s="92">
        <f t="shared" ref="BJ95" si="1442">SUM(BJ93:BJ94)</f>
        <v>0</v>
      </c>
      <c r="BK95" s="92">
        <f t="shared" ref="BK95" si="1443">SUM(BK93:BK94)</f>
        <v>0</v>
      </c>
      <c r="BL95" s="92">
        <f t="shared" ref="BL95" si="1444">SUM(BL93:BL94)</f>
        <v>0</v>
      </c>
      <c r="BM95" s="92">
        <f t="shared" ref="BM95" si="1445">SUM(BM93:BM94)</f>
        <v>0</v>
      </c>
      <c r="BN95" s="92">
        <f t="shared" ref="BN95" si="1446">SUM(BN93:BN94)</f>
        <v>0</v>
      </c>
      <c r="BO95" s="92">
        <f t="shared" ref="BO95" si="1447">SUM(BO93:BO94)</f>
        <v>0</v>
      </c>
      <c r="BP95" s="92">
        <f t="shared" ref="BP95" si="1448">SUM(BP93:BP94)</f>
        <v>0</v>
      </c>
      <c r="BQ95" s="92">
        <f t="shared" ref="BQ95" si="1449">SUM(BQ93:BQ94)</f>
        <v>0</v>
      </c>
      <c r="BR95" s="92">
        <f t="shared" ref="BR95" si="1450">SUM(BR93:BR94)</f>
        <v>0</v>
      </c>
      <c r="BS95" s="92">
        <f t="shared" ref="BS95" si="1451">SUM(BS93:BS94)</f>
        <v>0</v>
      </c>
      <c r="BT95" s="92">
        <f t="shared" ref="BT95" si="1452">SUM(BT93:BT94)</f>
        <v>0</v>
      </c>
      <c r="BU95" s="92">
        <f t="shared" ref="BU95" si="1453">SUM(BU93:BU94)</f>
        <v>0</v>
      </c>
      <c r="BV95" s="92">
        <f t="shared" ref="BV95" si="1454">SUM(BV93:BV94)</f>
        <v>0</v>
      </c>
      <c r="BW95" s="92">
        <f t="shared" ref="BW95" si="1455">SUM(BW93:BW94)</f>
        <v>0</v>
      </c>
      <c r="BX95" s="92">
        <f t="shared" ref="BX95" si="1456">SUM(BX93:BX94)</f>
        <v>0</v>
      </c>
      <c r="BY95" s="92">
        <f t="shared" ref="BY95" si="1457">SUM(BY93:BY94)</f>
        <v>0</v>
      </c>
      <c r="BZ95" s="92">
        <f t="shared" ref="BZ95" si="1458">SUM(BZ93:BZ94)</f>
        <v>0</v>
      </c>
      <c r="CA95" s="92">
        <f t="shared" ref="CA95" si="1459">SUM(CA93:CA94)</f>
        <v>0</v>
      </c>
      <c r="CB95" s="92">
        <f t="shared" ref="CB95" si="1460">SUM(CB93:CB94)</f>
        <v>0</v>
      </c>
      <c r="CC95" s="92">
        <f t="shared" ref="CC95" si="1461">SUM(CC93:CC94)</f>
        <v>0</v>
      </c>
      <c r="CD95" s="92">
        <f t="shared" ref="CD95" si="1462">SUM(CD93:CD94)</f>
        <v>0</v>
      </c>
      <c r="CE95" s="92">
        <f t="shared" ref="CE95" si="1463">SUM(CE93:CE94)</f>
        <v>0</v>
      </c>
      <c r="CF95" s="92">
        <f t="shared" ref="CF95" si="1464">SUM(CF93:CF94)</f>
        <v>0</v>
      </c>
      <c r="CG95" s="92">
        <f t="shared" ref="CG95" si="1465">SUM(CG93:CG94)</f>
        <v>0</v>
      </c>
      <c r="CH95" s="92">
        <f t="shared" ref="CH95" si="1466">SUM(CH93:CH94)</f>
        <v>0</v>
      </c>
      <c r="CI95" s="92">
        <f t="shared" ref="CI95" si="1467">SUM(CI93:CI94)</f>
        <v>0</v>
      </c>
      <c r="CJ95" s="92">
        <f t="shared" ref="CJ95" si="1468">SUM(CJ93:CJ94)</f>
        <v>0</v>
      </c>
      <c r="CK95" s="92">
        <f t="shared" ref="CK95" si="1469">SUM(CK93:CK94)</f>
        <v>0</v>
      </c>
      <c r="CL95" s="92">
        <f t="shared" ref="CL95" si="1470">SUM(CL93:CL94)</f>
        <v>0</v>
      </c>
      <c r="CM95" s="92">
        <f t="shared" ref="CM95" si="1471">SUM(CM93:CM94)</f>
        <v>0</v>
      </c>
      <c r="CN95" s="92">
        <f t="shared" ref="CN95" si="1472">SUM(CN93:CN94)</f>
        <v>0</v>
      </c>
      <c r="CO95" s="92">
        <f t="shared" ref="CO95" si="1473">SUM(CO93:CO94)</f>
        <v>0</v>
      </c>
      <c r="CP95" s="92">
        <f t="shared" ref="CP95" si="1474">SUM(CP93:CP94)</f>
        <v>0</v>
      </c>
      <c r="CQ95" s="92">
        <f t="shared" ref="CQ95" si="1475">SUM(CQ93:CQ94)</f>
        <v>0</v>
      </c>
      <c r="CR95" s="92">
        <f t="shared" ref="CR95" si="1476">SUM(CR93:CR94)</f>
        <v>0</v>
      </c>
      <c r="CS95" s="92">
        <f t="shared" ref="CS95" si="1477">SUM(CS93:CS94)</f>
        <v>0</v>
      </c>
      <c r="CT95" s="92">
        <f t="shared" ref="CT95" si="1478">SUM(CT93:CT94)</f>
        <v>0</v>
      </c>
      <c r="CU95" s="92">
        <f t="shared" ref="CU95" si="1479">SUM(CU93:CU94)</f>
        <v>0</v>
      </c>
      <c r="CV95" s="92">
        <f t="shared" ref="CV95" si="1480">SUM(CV93:CV94)</f>
        <v>0</v>
      </c>
      <c r="CW95" s="92">
        <f t="shared" ref="CW95" si="1481">SUM(CW93:CW94)</f>
        <v>0</v>
      </c>
      <c r="CX95" s="92">
        <f t="shared" ref="CX95" si="1482">SUM(CX93:CX94)</f>
        <v>0</v>
      </c>
      <c r="CY95" s="92">
        <f t="shared" ref="CY95" si="1483">SUM(CY93:CY94)</f>
        <v>0</v>
      </c>
      <c r="CZ95" s="92">
        <f t="shared" ref="CZ95" si="1484">SUM(CZ93:CZ94)</f>
        <v>0</v>
      </c>
      <c r="DA95" s="92">
        <f t="shared" ref="DA95" si="1485">SUM(DA93:DA94)</f>
        <v>0</v>
      </c>
      <c r="DB95" s="92">
        <f t="shared" ref="DB95" si="1486">SUM(DB93:DB94)</f>
        <v>0</v>
      </c>
      <c r="DC95" s="92">
        <f t="shared" ref="DC95" si="1487">SUM(DC93:DC94)</f>
        <v>0</v>
      </c>
      <c r="DD95" s="92">
        <f t="shared" ref="DD95" si="1488">SUM(DD93:DD94)</f>
        <v>0</v>
      </c>
      <c r="DE95" s="92">
        <f t="shared" ref="DE95" si="1489">SUM(DE93:DE94)</f>
        <v>0</v>
      </c>
      <c r="DF95" s="92">
        <f t="shared" ref="DF95" si="1490">SUM(DF93:DF94)</f>
        <v>0</v>
      </c>
      <c r="DG95" s="92">
        <f t="shared" ref="DG95" si="1491">SUM(DG93:DG94)</f>
        <v>0</v>
      </c>
      <c r="DH95" s="92">
        <f t="shared" ref="DH95" si="1492">SUM(DH93:DH94)</f>
        <v>0</v>
      </c>
      <c r="DI95" s="92">
        <f t="shared" ref="DI95" si="1493">SUM(DI93:DI94)</f>
        <v>0</v>
      </c>
      <c r="DJ95" s="92">
        <f t="shared" ref="DJ95" si="1494">SUM(DJ93:DJ94)</f>
        <v>0</v>
      </c>
      <c r="DK95" s="92">
        <f t="shared" ref="DK95" si="1495">SUM(DK93:DK94)</f>
        <v>0</v>
      </c>
      <c r="DL95" s="92">
        <f t="shared" ref="DL95" si="1496">SUM(DL93:DL94)</f>
        <v>0</v>
      </c>
      <c r="DM95" s="92">
        <f t="shared" ref="DM95" si="1497">SUM(DM93:DM94)</f>
        <v>0</v>
      </c>
      <c r="DN95" s="92">
        <f t="shared" ref="DN95" si="1498">SUM(DN93:DN94)</f>
        <v>0</v>
      </c>
      <c r="DO95" s="92">
        <f t="shared" ref="DO95" si="1499">SUM(DO93:DO94)</f>
        <v>0</v>
      </c>
      <c r="DP95" s="92">
        <f t="shared" ref="DP95" si="1500">SUM(DP93:DP94)</f>
        <v>0</v>
      </c>
      <c r="DQ95" s="92">
        <f t="shared" ref="DQ95" si="1501">SUM(DQ93:DQ94)</f>
        <v>0</v>
      </c>
      <c r="DR95" s="92">
        <f t="shared" ref="DR95" si="1502">SUM(DR93:DR94)</f>
        <v>0</v>
      </c>
      <c r="DS95" s="92">
        <f t="shared" ref="DS95" si="1503">SUM(DS93:DS94)</f>
        <v>0</v>
      </c>
      <c r="DT95" s="92">
        <f t="shared" ref="DT95" si="1504">SUM(DT93:DT94)</f>
        <v>0</v>
      </c>
      <c r="DU95" s="92">
        <f t="shared" ref="DU95" si="1505">SUM(DU93:DU94)</f>
        <v>0</v>
      </c>
      <c r="DV95" s="92">
        <f t="shared" ref="DV95" si="1506">SUM(DV93:DV94)</f>
        <v>0</v>
      </c>
      <c r="DW95" s="92">
        <f t="shared" ref="DW95" si="1507">SUM(DW93:DW94)</f>
        <v>0</v>
      </c>
      <c r="DX95" s="92">
        <f t="shared" ref="DX95" si="1508">SUM(DX93:DX94)</f>
        <v>0</v>
      </c>
      <c r="DY95" s="92">
        <f t="shared" ref="DY95" si="1509">SUM(DY93:DY94)</f>
        <v>0</v>
      </c>
      <c r="DZ95" s="92">
        <f t="shared" ref="DZ95" si="1510">SUM(DZ93:DZ94)</f>
        <v>0</v>
      </c>
      <c r="EA95" s="92">
        <f t="shared" ref="EA95" si="1511">SUM(EA93:EA94)</f>
        <v>0</v>
      </c>
      <c r="EB95" s="92">
        <f t="shared" ref="EB95" si="1512">SUM(EB93:EB94)</f>
        <v>0</v>
      </c>
      <c r="EC95" s="92">
        <f t="shared" ref="EC95" si="1513">SUM(EC93:EC94)</f>
        <v>0</v>
      </c>
      <c r="ED95" s="92">
        <f t="shared" ref="ED95" si="1514">SUM(ED93:ED94)</f>
        <v>0</v>
      </c>
      <c r="EE95" s="92">
        <f t="shared" ref="EE95" si="1515">SUM(EE93:EE94)</f>
        <v>0</v>
      </c>
      <c r="EF95" s="92">
        <f t="shared" ref="EF95" si="1516">SUM(EF93:EF94)</f>
        <v>0</v>
      </c>
      <c r="EG95" s="92">
        <f t="shared" ref="EG95" si="1517">SUM(EG93:EG94)</f>
        <v>0</v>
      </c>
      <c r="EH95" s="92">
        <f t="shared" ref="EH95" si="1518">SUM(EH93:EH94)</f>
        <v>0</v>
      </c>
      <c r="EI95" s="92">
        <f t="shared" ref="EI95" si="1519">SUM(EI93:EI94)</f>
        <v>0</v>
      </c>
      <c r="EJ95" s="92">
        <f t="shared" ref="EJ95" si="1520">SUM(EJ93:EJ94)</f>
        <v>0</v>
      </c>
      <c r="EK95" s="92">
        <f t="shared" ref="EK95" si="1521">SUM(EK93:EK94)</f>
        <v>0</v>
      </c>
      <c r="EL95" s="92">
        <f t="shared" ref="EL95" si="1522">SUM(EL93:EL94)</f>
        <v>0</v>
      </c>
      <c r="EM95" s="92">
        <f t="shared" ref="EM95" si="1523">SUM(EM93:EM94)</f>
        <v>0</v>
      </c>
      <c r="EN95" s="92">
        <f t="shared" ref="EN95" si="1524">SUM(EN93:EN94)</f>
        <v>0</v>
      </c>
      <c r="EO95" s="92">
        <f t="shared" ref="EO95" si="1525">SUM(EO93:EO94)</f>
        <v>0</v>
      </c>
      <c r="EP95" s="92">
        <f t="shared" ref="EP95" si="1526">SUM(EP93:EP94)</f>
        <v>0</v>
      </c>
      <c r="EQ95" s="92">
        <f t="shared" ref="EQ95" si="1527">SUM(EQ93:EQ94)</f>
        <v>0</v>
      </c>
      <c r="ER95" s="92">
        <f t="shared" ref="ER95" si="1528">SUM(ER93:ER94)</f>
        <v>0</v>
      </c>
      <c r="ES95" s="92">
        <f t="shared" ref="ES95" si="1529">SUM(ES93:ES94)</f>
        <v>0</v>
      </c>
      <c r="ET95" s="92">
        <f t="shared" ref="ET95" si="1530">SUM(ET93:ET94)</f>
        <v>0</v>
      </c>
      <c r="EU95" s="92">
        <f t="shared" ref="EU95" si="1531">SUM(EU93:EU94)</f>
        <v>0</v>
      </c>
      <c r="EW95" s="199" t="str">
        <f>B94</f>
        <v>Junior Loan 2</v>
      </c>
      <c r="EX95" s="219">
        <f>+EX89</f>
        <v>0</v>
      </c>
      <c r="EY95" s="219">
        <f>+EY89+FA95</f>
        <v>36</v>
      </c>
      <c r="EZ95" s="219">
        <f t="shared" si="1385"/>
        <v>360</v>
      </c>
      <c r="FA95" s="220">
        <f t="shared" si="1385"/>
        <v>36</v>
      </c>
      <c r="FB95" s="220">
        <f t="shared" si="1385"/>
        <v>36</v>
      </c>
      <c r="FC95" s="207">
        <f t="shared" si="1386"/>
        <v>0</v>
      </c>
      <c r="FD95" s="207">
        <f t="shared" si="1386"/>
        <v>0</v>
      </c>
      <c r="FE95" s="207">
        <f t="shared" si="1386"/>
        <v>0</v>
      </c>
      <c r="FF95" s="207">
        <f t="shared" si="1386"/>
        <v>0</v>
      </c>
      <c r="FG95" s="207">
        <f t="shared" si="1386"/>
        <v>0</v>
      </c>
      <c r="FH95" s="207">
        <f t="shared" si="1386"/>
        <v>0</v>
      </c>
      <c r="FI95" s="207">
        <f t="shared" si="1386"/>
        <v>0</v>
      </c>
      <c r="FJ95" s="207">
        <f t="shared" si="1386"/>
        <v>0</v>
      </c>
      <c r="FK95" s="207">
        <f t="shared" si="1386"/>
        <v>0</v>
      </c>
      <c r="FL95" s="207">
        <f t="shared" si="1386"/>
        <v>0</v>
      </c>
      <c r="FM95" s="207">
        <f t="shared" si="1387"/>
        <v>0</v>
      </c>
      <c r="FN95" s="207">
        <f t="shared" si="1387"/>
        <v>0</v>
      </c>
      <c r="FO95" s="207">
        <f t="shared" si="1387"/>
        <v>0</v>
      </c>
      <c r="FP95" s="207">
        <f t="shared" si="1387"/>
        <v>0</v>
      </c>
      <c r="FQ95" s="207">
        <f t="shared" si="1387"/>
        <v>0</v>
      </c>
      <c r="FR95" s="207">
        <f t="shared" si="1387"/>
        <v>0</v>
      </c>
      <c r="FS95" s="207">
        <f t="shared" si="1387"/>
        <v>0</v>
      </c>
      <c r="FT95" s="207">
        <f t="shared" si="1387"/>
        <v>0</v>
      </c>
      <c r="FU95" s="207">
        <f t="shared" si="1387"/>
        <v>0</v>
      </c>
      <c r="FV95" s="207">
        <f t="shared" si="1387"/>
        <v>0</v>
      </c>
      <c r="FW95" s="207">
        <f t="shared" si="1388"/>
        <v>0</v>
      </c>
      <c r="FX95" s="207">
        <f t="shared" si="1388"/>
        <v>0</v>
      </c>
      <c r="FY95" s="207">
        <f t="shared" si="1388"/>
        <v>0</v>
      </c>
      <c r="FZ95" s="207">
        <f t="shared" si="1388"/>
        <v>0</v>
      </c>
      <c r="GA95" s="207">
        <f t="shared" si="1388"/>
        <v>0</v>
      </c>
      <c r="GB95" s="207">
        <f t="shared" si="1388"/>
        <v>0</v>
      </c>
      <c r="GC95" s="207">
        <f t="shared" si="1388"/>
        <v>0</v>
      </c>
      <c r="GD95" s="207">
        <f t="shared" si="1388"/>
        <v>0</v>
      </c>
      <c r="GE95" s="207">
        <f t="shared" si="1388"/>
        <v>0</v>
      </c>
      <c r="GF95" s="207">
        <f t="shared" si="1388"/>
        <v>0</v>
      </c>
      <c r="GG95" s="207">
        <f t="shared" si="1389"/>
        <v>0</v>
      </c>
      <c r="GH95" s="207">
        <f t="shared" si="1389"/>
        <v>0</v>
      </c>
      <c r="GI95" s="207">
        <f t="shared" si="1389"/>
        <v>0</v>
      </c>
      <c r="GJ95" s="207">
        <f t="shared" si="1389"/>
        <v>0</v>
      </c>
      <c r="GK95" s="207">
        <f t="shared" si="1389"/>
        <v>0</v>
      </c>
      <c r="GL95" s="207">
        <f t="shared" si="1389"/>
        <v>0</v>
      </c>
      <c r="GM95" s="207">
        <f t="shared" si="1389"/>
        <v>0</v>
      </c>
      <c r="GN95" s="207">
        <f t="shared" si="1389"/>
        <v>0</v>
      </c>
      <c r="GO95" s="207">
        <f t="shared" si="1389"/>
        <v>0</v>
      </c>
      <c r="GP95" s="207">
        <f t="shared" si="1389"/>
        <v>0</v>
      </c>
      <c r="GQ95" s="207">
        <f t="shared" si="1390"/>
        <v>0</v>
      </c>
      <c r="GR95" s="207">
        <f t="shared" si="1390"/>
        <v>0</v>
      </c>
      <c r="GS95" s="207">
        <f t="shared" si="1390"/>
        <v>0</v>
      </c>
      <c r="GT95" s="207">
        <f t="shared" si="1390"/>
        <v>0</v>
      </c>
      <c r="GU95" s="207">
        <f t="shared" si="1390"/>
        <v>0</v>
      </c>
      <c r="GV95" s="207">
        <f t="shared" si="1390"/>
        <v>0</v>
      </c>
      <c r="GW95" s="207">
        <f t="shared" si="1390"/>
        <v>0</v>
      </c>
      <c r="GX95" s="207">
        <f t="shared" si="1390"/>
        <v>0</v>
      </c>
      <c r="GY95" s="207">
        <f t="shared" si="1390"/>
        <v>0</v>
      </c>
      <c r="GZ95" s="207">
        <f t="shared" si="1390"/>
        <v>0</v>
      </c>
      <c r="HA95" s="207">
        <f t="shared" si="1391"/>
        <v>0</v>
      </c>
      <c r="HB95" s="207">
        <f t="shared" si="1391"/>
        <v>0</v>
      </c>
      <c r="HC95" s="207">
        <f t="shared" si="1391"/>
        <v>0</v>
      </c>
      <c r="HD95" s="207">
        <f t="shared" si="1391"/>
        <v>0</v>
      </c>
      <c r="HE95" s="207">
        <f t="shared" si="1391"/>
        <v>0</v>
      </c>
      <c r="HF95" s="207">
        <f t="shared" si="1391"/>
        <v>0</v>
      </c>
      <c r="HG95" s="207">
        <f t="shared" si="1391"/>
        <v>0</v>
      </c>
      <c r="HH95" s="207">
        <f t="shared" si="1391"/>
        <v>0</v>
      </c>
      <c r="HI95" s="207">
        <f t="shared" si="1391"/>
        <v>0</v>
      </c>
      <c r="HJ95" s="207">
        <f t="shared" si="1391"/>
        <v>0</v>
      </c>
      <c r="HK95" s="207">
        <f t="shared" si="1392"/>
        <v>0</v>
      </c>
      <c r="HL95" s="207">
        <f t="shared" si="1392"/>
        <v>0</v>
      </c>
      <c r="HM95" s="207">
        <f t="shared" si="1392"/>
        <v>0</v>
      </c>
      <c r="HN95" s="207">
        <f t="shared" si="1392"/>
        <v>0</v>
      </c>
      <c r="HO95" s="207">
        <f t="shared" si="1392"/>
        <v>0</v>
      </c>
      <c r="HP95" s="207">
        <f t="shared" si="1392"/>
        <v>0</v>
      </c>
      <c r="HQ95" s="207">
        <f t="shared" si="1392"/>
        <v>0</v>
      </c>
      <c r="HR95" s="207">
        <f t="shared" si="1392"/>
        <v>0</v>
      </c>
      <c r="HS95" s="207">
        <f t="shared" si="1392"/>
        <v>0</v>
      </c>
      <c r="HT95" s="207">
        <f t="shared" si="1392"/>
        <v>0</v>
      </c>
      <c r="HU95" s="207">
        <f t="shared" si="1393"/>
        <v>0</v>
      </c>
      <c r="HV95" s="207">
        <f t="shared" si="1393"/>
        <v>0</v>
      </c>
      <c r="HW95" s="207">
        <f t="shared" si="1393"/>
        <v>0</v>
      </c>
      <c r="HX95" s="207">
        <f t="shared" si="1393"/>
        <v>0</v>
      </c>
      <c r="HY95" s="207">
        <f t="shared" si="1393"/>
        <v>0</v>
      </c>
      <c r="HZ95" s="207">
        <f t="shared" si="1393"/>
        <v>0</v>
      </c>
      <c r="IA95" s="207">
        <f t="shared" si="1393"/>
        <v>0</v>
      </c>
      <c r="IB95" s="207">
        <f t="shared" si="1393"/>
        <v>0</v>
      </c>
      <c r="IC95" s="207">
        <f t="shared" si="1393"/>
        <v>0</v>
      </c>
      <c r="ID95" s="207">
        <f t="shared" si="1393"/>
        <v>0</v>
      </c>
      <c r="IE95" s="207">
        <f t="shared" si="1394"/>
        <v>0</v>
      </c>
      <c r="IF95" s="207">
        <f t="shared" si="1394"/>
        <v>0</v>
      </c>
      <c r="IG95" s="207">
        <f t="shared" si="1394"/>
        <v>0</v>
      </c>
      <c r="IH95" s="207">
        <f t="shared" si="1394"/>
        <v>0</v>
      </c>
      <c r="II95" s="207">
        <f t="shared" si="1394"/>
        <v>0</v>
      </c>
      <c r="IJ95" s="207">
        <f t="shared" si="1394"/>
        <v>0</v>
      </c>
      <c r="IK95" s="207">
        <f t="shared" si="1394"/>
        <v>0</v>
      </c>
      <c r="IL95" s="207">
        <f t="shared" si="1394"/>
        <v>0</v>
      </c>
      <c r="IM95" s="207">
        <f t="shared" si="1394"/>
        <v>0</v>
      </c>
      <c r="IN95" s="207">
        <f t="shared" si="1394"/>
        <v>0</v>
      </c>
      <c r="IO95" s="207">
        <f t="shared" si="1395"/>
        <v>0</v>
      </c>
      <c r="IP95" s="207">
        <f t="shared" si="1395"/>
        <v>0</v>
      </c>
      <c r="IQ95" s="207">
        <f t="shared" si="1395"/>
        <v>0</v>
      </c>
      <c r="IR95" s="207">
        <f t="shared" si="1395"/>
        <v>0</v>
      </c>
      <c r="IS95" s="207">
        <f t="shared" si="1395"/>
        <v>0</v>
      </c>
      <c r="IT95" s="207">
        <f t="shared" si="1395"/>
        <v>0</v>
      </c>
      <c r="IU95" s="207">
        <f t="shared" si="1395"/>
        <v>0</v>
      </c>
      <c r="IV95" s="207">
        <f t="shared" si="1395"/>
        <v>0</v>
      </c>
      <c r="IW95" s="207">
        <f t="shared" si="1395"/>
        <v>0</v>
      </c>
      <c r="IX95" s="207">
        <f t="shared" si="1395"/>
        <v>0</v>
      </c>
      <c r="IY95" s="207">
        <f t="shared" si="1396"/>
        <v>0</v>
      </c>
      <c r="IZ95" s="207">
        <f t="shared" si="1396"/>
        <v>0</v>
      </c>
      <c r="JA95" s="207">
        <f t="shared" si="1396"/>
        <v>0</v>
      </c>
      <c r="JB95" s="207">
        <f t="shared" si="1396"/>
        <v>0</v>
      </c>
      <c r="JC95" s="207">
        <f t="shared" si="1396"/>
        <v>0</v>
      </c>
      <c r="JD95" s="207">
        <f t="shared" si="1396"/>
        <v>0</v>
      </c>
      <c r="JE95" s="207">
        <f t="shared" si="1396"/>
        <v>0</v>
      </c>
      <c r="JF95" s="207">
        <f t="shared" si="1396"/>
        <v>0</v>
      </c>
      <c r="JG95" s="207">
        <f t="shared" si="1396"/>
        <v>0</v>
      </c>
      <c r="JH95" s="207">
        <f t="shared" si="1396"/>
        <v>0</v>
      </c>
      <c r="JI95" s="207">
        <f t="shared" si="1397"/>
        <v>0</v>
      </c>
      <c r="JJ95" s="207">
        <f t="shared" si="1397"/>
        <v>0</v>
      </c>
      <c r="JK95" s="207">
        <f t="shared" si="1397"/>
        <v>0</v>
      </c>
      <c r="JL95" s="207">
        <f t="shared" si="1397"/>
        <v>0</v>
      </c>
      <c r="JM95" s="207">
        <f t="shared" si="1397"/>
        <v>0</v>
      </c>
      <c r="JN95" s="207">
        <f t="shared" si="1397"/>
        <v>0</v>
      </c>
      <c r="JO95" s="207">
        <f t="shared" si="1397"/>
        <v>0</v>
      </c>
      <c r="JP95" s="207">
        <f t="shared" si="1397"/>
        <v>0</v>
      </c>
      <c r="JQ95" s="207">
        <f t="shared" si="1397"/>
        <v>0</v>
      </c>
      <c r="JR95" s="207">
        <f t="shared" si="1397"/>
        <v>0</v>
      </c>
      <c r="JS95" s="207">
        <f t="shared" si="1398"/>
        <v>0</v>
      </c>
      <c r="JT95" s="207">
        <f t="shared" si="1398"/>
        <v>0</v>
      </c>
      <c r="JU95" s="207">
        <f t="shared" si="1398"/>
        <v>0</v>
      </c>
      <c r="JV95" s="207">
        <f t="shared" si="1398"/>
        <v>0</v>
      </c>
      <c r="JW95" s="207">
        <f t="shared" si="1398"/>
        <v>0</v>
      </c>
      <c r="JX95" s="207">
        <f t="shared" si="1398"/>
        <v>0</v>
      </c>
      <c r="JY95" s="207">
        <f t="shared" si="1398"/>
        <v>0</v>
      </c>
      <c r="JZ95" s="207">
        <f t="shared" si="1398"/>
        <v>0</v>
      </c>
      <c r="KA95" s="207">
        <f t="shared" si="1398"/>
        <v>0</v>
      </c>
      <c r="KB95" s="207">
        <f t="shared" si="1398"/>
        <v>0</v>
      </c>
      <c r="KC95" s="207">
        <f t="shared" si="1399"/>
        <v>0</v>
      </c>
      <c r="KD95" s="207">
        <f t="shared" si="1399"/>
        <v>0</v>
      </c>
      <c r="KE95" s="207">
        <f t="shared" si="1399"/>
        <v>0</v>
      </c>
      <c r="PQ95" s="201"/>
      <c r="PR95" s="201"/>
      <c r="PS95" s="201"/>
      <c r="PT95" s="201"/>
      <c r="PU95" s="201"/>
      <c r="PV95" s="201"/>
      <c r="PW95" s="201"/>
      <c r="PX95" s="201"/>
      <c r="PY95" s="201"/>
      <c r="PZ95" s="201"/>
      <c r="QA95" s="201"/>
      <c r="QB95" s="201"/>
      <c r="QC95" s="201"/>
      <c r="QD95" s="201"/>
      <c r="QE95" s="201"/>
      <c r="QF95" s="201"/>
      <c r="QG95" s="201"/>
      <c r="QH95" s="201"/>
      <c r="QI95" s="201"/>
      <c r="QJ95" s="201"/>
      <c r="QK95" s="201"/>
      <c r="QL95" s="201"/>
      <c r="QM95" s="201"/>
      <c r="QN95" s="201"/>
      <c r="QO95" s="201"/>
      <c r="QP95" s="201"/>
      <c r="QQ95" s="201"/>
      <c r="QR95" s="201"/>
      <c r="QS95" s="201"/>
      <c r="QT95" s="201"/>
      <c r="QU95" s="201"/>
      <c r="QV95" s="201"/>
      <c r="QW95" s="201"/>
      <c r="QX95" s="201"/>
      <c r="QY95" s="201"/>
      <c r="QZ95" s="201"/>
      <c r="RA95" s="201"/>
      <c r="RB95" s="201"/>
      <c r="RC95" s="201"/>
      <c r="RD95" s="201"/>
      <c r="RE95" s="201"/>
      <c r="RF95" s="201"/>
      <c r="RG95" s="201"/>
      <c r="RH95" s="201"/>
      <c r="RI95" s="201"/>
      <c r="RJ95" s="201"/>
      <c r="RK95" s="201"/>
      <c r="RL95" s="201"/>
      <c r="RM95" s="201"/>
      <c r="RN95" s="201"/>
      <c r="RO95" s="201"/>
      <c r="RP95" s="201"/>
      <c r="RQ95" s="201"/>
      <c r="RR95" s="201"/>
      <c r="RS95" s="201"/>
      <c r="RT95" s="201"/>
      <c r="RU95" s="201"/>
      <c r="RV95" s="201"/>
      <c r="RW95" s="201"/>
      <c r="RX95" s="201"/>
      <c r="RY95" s="201"/>
      <c r="RZ95" s="201"/>
      <c r="SA95" s="201"/>
      <c r="SB95" s="201"/>
      <c r="SC95" s="201"/>
      <c r="SD95" s="201"/>
      <c r="SE95" s="201"/>
      <c r="SF95" s="201"/>
      <c r="SG95" s="201"/>
      <c r="SH95" s="201"/>
      <c r="SI95" s="201"/>
      <c r="SJ95" s="201"/>
      <c r="SK95" s="201"/>
      <c r="SL95" s="201"/>
      <c r="SM95" s="201"/>
      <c r="SN95" s="201"/>
      <c r="SO95" s="201"/>
      <c r="SP95" s="201"/>
      <c r="SQ95" s="201"/>
      <c r="SR95" s="201"/>
      <c r="SS95" s="201"/>
      <c r="ST95" s="201"/>
      <c r="SU95" s="201"/>
      <c r="SV95" s="201"/>
      <c r="SW95" s="201"/>
      <c r="SX95" s="201"/>
      <c r="SY95" s="201"/>
      <c r="SZ95" s="201"/>
      <c r="TA95" s="201"/>
      <c r="TB95" s="201"/>
      <c r="TC95" s="201"/>
      <c r="TD95" s="201"/>
      <c r="TE95" s="201"/>
      <c r="TF95" s="201"/>
      <c r="TG95" s="201"/>
      <c r="TH95" s="201"/>
      <c r="TI95" s="201"/>
      <c r="TJ95" s="201"/>
      <c r="TK95" s="201"/>
      <c r="TL95" s="201"/>
      <c r="TM95" s="201"/>
      <c r="TN95" s="201"/>
      <c r="TO95" s="201"/>
      <c r="TP95" s="201"/>
      <c r="TQ95" s="201"/>
      <c r="TR95" s="201"/>
      <c r="TS95" s="201"/>
      <c r="TT95" s="201"/>
      <c r="TU95" s="201"/>
      <c r="TV95" s="201"/>
      <c r="TW95" s="201"/>
      <c r="TX95" s="201"/>
      <c r="TY95" s="201"/>
      <c r="TZ95" s="201"/>
      <c r="UA95" s="201"/>
      <c r="UB95" s="201"/>
      <c r="UC95" s="201"/>
      <c r="UD95" s="201"/>
      <c r="UE95" s="201"/>
      <c r="UF95" s="201"/>
      <c r="UG95" s="201"/>
      <c r="UH95" s="201"/>
      <c r="UI95" s="201"/>
      <c r="UJ95" s="201"/>
      <c r="UK95" s="201"/>
      <c r="UL95" s="201"/>
      <c r="UM95" s="201"/>
      <c r="UN95" s="201"/>
      <c r="UO95" s="201"/>
      <c r="UP95" s="201"/>
      <c r="UQ95" s="201"/>
      <c r="UR95" s="201"/>
      <c r="US95" s="201"/>
      <c r="UT95" s="201"/>
      <c r="UU95" s="201"/>
    </row>
    <row r="96" spans="1:567" ht="14.25" hidden="1" customHeight="1" x14ac:dyDescent="0.25">
      <c r="B96" s="18"/>
      <c r="C96" s="63"/>
      <c r="D96" s="347"/>
      <c r="E96" s="345"/>
      <c r="F96" s="18"/>
      <c r="G96" s="98"/>
      <c r="H96" s="81"/>
      <c r="I96" s="81"/>
      <c r="J96" s="82"/>
      <c r="K96" s="82"/>
      <c r="R96" s="90"/>
      <c r="EX96" s="219"/>
      <c r="EY96" s="219"/>
      <c r="EZ96" s="219"/>
      <c r="FA96" s="220"/>
      <c r="FB96" s="220"/>
      <c r="PQ96" s="201"/>
      <c r="PR96" s="201"/>
      <c r="PS96" s="201"/>
      <c r="PT96" s="201"/>
      <c r="PU96" s="201"/>
      <c r="PV96" s="201"/>
      <c r="PW96" s="201"/>
      <c r="PX96" s="201"/>
      <c r="PY96" s="201"/>
      <c r="PZ96" s="201"/>
      <c r="QA96" s="201"/>
      <c r="QB96" s="201"/>
      <c r="QC96" s="201"/>
      <c r="QD96" s="201"/>
      <c r="QE96" s="201"/>
      <c r="QF96" s="201"/>
      <c r="QG96" s="201"/>
      <c r="QH96" s="201"/>
      <c r="QI96" s="201"/>
      <c r="QJ96" s="201"/>
      <c r="QK96" s="201"/>
      <c r="QL96" s="201"/>
      <c r="QM96" s="201"/>
      <c r="QN96" s="201"/>
      <c r="QO96" s="201"/>
      <c r="QP96" s="201"/>
      <c r="QQ96" s="201"/>
      <c r="QR96" s="201"/>
      <c r="QS96" s="201"/>
      <c r="QT96" s="201"/>
      <c r="QU96" s="201"/>
      <c r="QV96" s="201"/>
      <c r="QW96" s="201"/>
      <c r="QX96" s="201"/>
      <c r="QY96" s="201"/>
      <c r="QZ96" s="201"/>
      <c r="RA96" s="201"/>
      <c r="RB96" s="201"/>
      <c r="RC96" s="201"/>
      <c r="RD96" s="201"/>
      <c r="RE96" s="201"/>
      <c r="RF96" s="201"/>
      <c r="RG96" s="201"/>
      <c r="RH96" s="201"/>
      <c r="RI96" s="201"/>
      <c r="RJ96" s="201"/>
      <c r="RK96" s="201"/>
      <c r="RL96" s="201"/>
      <c r="RM96" s="201"/>
      <c r="RN96" s="201"/>
      <c r="RO96" s="201"/>
      <c r="RP96" s="201"/>
      <c r="RQ96" s="201"/>
      <c r="RR96" s="201"/>
      <c r="RS96" s="201"/>
      <c r="RT96" s="201"/>
      <c r="RU96" s="201"/>
      <c r="RV96" s="201"/>
      <c r="RW96" s="201"/>
      <c r="RX96" s="201"/>
      <c r="RY96" s="201"/>
      <c r="RZ96" s="201"/>
      <c r="SA96" s="201"/>
      <c r="SB96" s="201"/>
      <c r="SC96" s="201"/>
      <c r="SD96" s="201"/>
      <c r="SE96" s="201"/>
      <c r="SF96" s="201"/>
      <c r="SG96" s="201"/>
      <c r="SH96" s="201"/>
      <c r="SI96" s="201"/>
      <c r="SJ96" s="201"/>
      <c r="SK96" s="201"/>
      <c r="SL96" s="201"/>
      <c r="SM96" s="201"/>
      <c r="SN96" s="201"/>
      <c r="SO96" s="201"/>
      <c r="SP96" s="201"/>
      <c r="SQ96" s="201"/>
      <c r="SR96" s="201"/>
      <c r="SS96" s="201"/>
      <c r="ST96" s="201"/>
      <c r="SU96" s="201"/>
      <c r="SV96" s="201"/>
      <c r="SW96" s="201"/>
      <c r="SX96" s="201"/>
      <c r="SY96" s="201"/>
      <c r="SZ96" s="201"/>
      <c r="TA96" s="201"/>
      <c r="TB96" s="201"/>
      <c r="TC96" s="201"/>
      <c r="TD96" s="201"/>
      <c r="TE96" s="201"/>
      <c r="TF96" s="201"/>
      <c r="TG96" s="201"/>
      <c r="TH96" s="201"/>
      <c r="TI96" s="201"/>
      <c r="TJ96" s="201"/>
      <c r="TK96" s="201"/>
      <c r="TL96" s="201"/>
      <c r="TM96" s="201"/>
      <c r="TN96" s="201"/>
      <c r="TO96" s="201"/>
      <c r="TP96" s="201"/>
      <c r="TQ96" s="201"/>
      <c r="TR96" s="201"/>
      <c r="TS96" s="201"/>
      <c r="TT96" s="201"/>
      <c r="TU96" s="201"/>
      <c r="TV96" s="201"/>
      <c r="TW96" s="201"/>
      <c r="TX96" s="201"/>
      <c r="TY96" s="201"/>
      <c r="TZ96" s="201"/>
      <c r="UA96" s="201"/>
      <c r="UB96" s="201"/>
      <c r="UC96" s="201"/>
      <c r="UD96" s="201"/>
      <c r="UE96" s="201"/>
      <c r="UF96" s="201"/>
      <c r="UG96" s="201"/>
      <c r="UH96" s="201"/>
      <c r="UI96" s="201"/>
      <c r="UJ96" s="201"/>
      <c r="UK96" s="201"/>
      <c r="UL96" s="201"/>
      <c r="UM96" s="201"/>
      <c r="UN96" s="201"/>
      <c r="UO96" s="201"/>
      <c r="UP96" s="201"/>
      <c r="UQ96" s="201"/>
      <c r="UR96" s="201"/>
      <c r="US96" s="201"/>
      <c r="UT96" s="201"/>
      <c r="UU96" s="201"/>
    </row>
    <row r="97" spans="2:567" ht="14.25" hidden="1" customHeight="1" x14ac:dyDescent="0.25">
      <c r="B97" s="28" t="s">
        <v>697</v>
      </c>
      <c r="C97" s="63"/>
      <c r="D97" s="347"/>
      <c r="E97" s="250" t="s">
        <v>75</v>
      </c>
      <c r="F97" s="251" t="s">
        <v>698</v>
      </c>
      <c r="G97" s="98"/>
      <c r="H97" s="81"/>
      <c r="I97" s="81"/>
      <c r="J97" s="82"/>
      <c r="K97" s="82"/>
      <c r="R97" s="90"/>
      <c r="EX97" s="219"/>
      <c r="EY97" s="219"/>
      <c r="EZ97" s="219"/>
      <c r="FA97" s="220"/>
      <c r="FB97" s="220"/>
      <c r="PQ97" s="201"/>
      <c r="PR97" s="201"/>
      <c r="PS97" s="201"/>
      <c r="PT97" s="201"/>
      <c r="PU97" s="201"/>
      <c r="PV97" s="201"/>
      <c r="PW97" s="201"/>
      <c r="PX97" s="201"/>
      <c r="PY97" s="201"/>
      <c r="PZ97" s="201"/>
      <c r="QA97" s="201"/>
      <c r="QB97" s="201"/>
      <c r="QC97" s="201"/>
      <c r="QD97" s="201"/>
      <c r="QE97" s="201"/>
      <c r="QF97" s="201"/>
      <c r="QG97" s="201"/>
      <c r="QH97" s="201"/>
      <c r="QI97" s="201"/>
      <c r="QJ97" s="201"/>
      <c r="QK97" s="201"/>
      <c r="QL97" s="201"/>
      <c r="QM97" s="201"/>
      <c r="QN97" s="201"/>
      <c r="QO97" s="201"/>
      <c r="QP97" s="201"/>
      <c r="QQ97" s="201"/>
      <c r="QR97" s="201"/>
      <c r="QS97" s="201"/>
      <c r="QT97" s="201"/>
      <c r="QU97" s="201"/>
      <c r="QV97" s="201"/>
      <c r="QW97" s="201"/>
      <c r="QX97" s="201"/>
      <c r="QY97" s="201"/>
      <c r="QZ97" s="201"/>
      <c r="RA97" s="201"/>
      <c r="RB97" s="201"/>
      <c r="RC97" s="201"/>
      <c r="RD97" s="201"/>
      <c r="RE97" s="201"/>
      <c r="RF97" s="201"/>
      <c r="RG97" s="201"/>
      <c r="RH97" s="201"/>
      <c r="RI97" s="201"/>
      <c r="RJ97" s="201"/>
      <c r="RK97" s="201"/>
      <c r="RL97" s="201"/>
      <c r="RM97" s="201"/>
      <c r="RN97" s="201"/>
      <c r="RO97" s="201"/>
      <c r="RP97" s="201"/>
      <c r="RQ97" s="201"/>
      <c r="RR97" s="201"/>
      <c r="RS97" s="201"/>
      <c r="RT97" s="201"/>
      <c r="RU97" s="201"/>
      <c r="RV97" s="201"/>
      <c r="RW97" s="201"/>
      <c r="RX97" s="201"/>
      <c r="RY97" s="201"/>
      <c r="RZ97" s="201"/>
      <c r="SA97" s="201"/>
      <c r="SB97" s="201"/>
      <c r="SC97" s="201"/>
      <c r="SD97" s="201"/>
      <c r="SE97" s="201"/>
      <c r="SF97" s="201"/>
      <c r="SG97" s="201"/>
      <c r="SH97" s="201"/>
      <c r="SI97" s="201"/>
      <c r="SJ97" s="201"/>
      <c r="SK97" s="201"/>
      <c r="SL97" s="201"/>
      <c r="SM97" s="201"/>
      <c r="SN97" s="201"/>
      <c r="SO97" s="201"/>
      <c r="SP97" s="201"/>
      <c r="SQ97" s="201"/>
      <c r="SR97" s="201"/>
      <c r="SS97" s="201"/>
      <c r="ST97" s="201"/>
      <c r="SU97" s="201"/>
      <c r="SV97" s="201"/>
      <c r="SW97" s="201"/>
      <c r="SX97" s="201"/>
      <c r="SY97" s="201"/>
      <c r="SZ97" s="201"/>
      <c r="TA97" s="201"/>
      <c r="TB97" s="201"/>
      <c r="TC97" s="201"/>
      <c r="TD97" s="201"/>
      <c r="TE97" s="201"/>
      <c r="TF97" s="201"/>
      <c r="TG97" s="201"/>
      <c r="TH97" s="201"/>
      <c r="TI97" s="201"/>
      <c r="TJ97" s="201"/>
      <c r="TK97" s="201"/>
      <c r="TL97" s="201"/>
      <c r="TM97" s="201"/>
      <c r="TN97" s="201"/>
      <c r="TO97" s="201"/>
      <c r="TP97" s="201"/>
      <c r="TQ97" s="201"/>
      <c r="TR97" s="201"/>
      <c r="TS97" s="201"/>
      <c r="TT97" s="201"/>
      <c r="TU97" s="201"/>
      <c r="TV97" s="201"/>
      <c r="TW97" s="201"/>
      <c r="TX97" s="201"/>
      <c r="TY97" s="201"/>
      <c r="TZ97" s="201"/>
      <c r="UA97" s="201"/>
      <c r="UB97" s="201"/>
      <c r="UC97" s="201"/>
      <c r="UD97" s="201"/>
      <c r="UE97" s="201"/>
      <c r="UF97" s="201"/>
      <c r="UG97" s="201"/>
      <c r="UH97" s="201"/>
      <c r="UI97" s="201"/>
      <c r="UJ97" s="201"/>
      <c r="UK97" s="201"/>
      <c r="UL97" s="201"/>
      <c r="UM97" s="201"/>
      <c r="UN97" s="201"/>
      <c r="UO97" s="201"/>
      <c r="UP97" s="201"/>
      <c r="UQ97" s="201"/>
      <c r="UR97" s="201"/>
      <c r="US97" s="201"/>
      <c r="UT97" s="201"/>
      <c r="UU97" s="201"/>
    </row>
    <row r="98" spans="2:567" ht="14.25" hidden="1" customHeight="1" x14ac:dyDescent="0.25">
      <c r="B98" s="18" t="s">
        <v>703</v>
      </c>
      <c r="C98" s="63"/>
      <c r="D98" s="347"/>
      <c r="E98" s="34" t="str">
        <f>IF(Toggle_Refi_Sell=0,"NA",E90-I82-(E64-K64))</f>
        <v>NA</v>
      </c>
      <c r="F98" s="45" t="str">
        <f>IF(Toggle_Refi_Sell=0,"NA",E98/$E$100)</f>
        <v>NA</v>
      </c>
      <c r="G98" s="98"/>
      <c r="H98" s="81"/>
      <c r="I98" s="81"/>
      <c r="J98" s="82"/>
      <c r="K98" s="82"/>
      <c r="R98" s="90"/>
      <c r="EX98" s="219"/>
      <c r="EY98" s="219"/>
      <c r="EZ98" s="219"/>
      <c r="FA98" s="220"/>
      <c r="FB98" s="220"/>
      <c r="PQ98" s="201"/>
      <c r="PR98" s="201"/>
      <c r="PS98" s="201"/>
      <c r="PT98" s="201"/>
      <c r="PU98" s="201"/>
      <c r="PV98" s="201"/>
      <c r="PW98" s="201"/>
      <c r="PX98" s="201"/>
      <c r="PY98" s="201"/>
      <c r="PZ98" s="201"/>
      <c r="QA98" s="201"/>
      <c r="QB98" s="201"/>
      <c r="QC98" s="201"/>
      <c r="QD98" s="201"/>
      <c r="QE98" s="201"/>
      <c r="QF98" s="201"/>
      <c r="QG98" s="201"/>
      <c r="QH98" s="201"/>
      <c r="QI98" s="201"/>
      <c r="QJ98" s="201"/>
      <c r="QK98" s="201"/>
      <c r="QL98" s="201"/>
      <c r="QM98" s="201"/>
      <c r="QN98" s="201"/>
      <c r="QO98" s="201"/>
      <c r="QP98" s="201"/>
      <c r="QQ98" s="201"/>
      <c r="QR98" s="201"/>
      <c r="QS98" s="201"/>
      <c r="QT98" s="201"/>
      <c r="QU98" s="201"/>
      <c r="QV98" s="201"/>
      <c r="QW98" s="201"/>
      <c r="QX98" s="201"/>
      <c r="QY98" s="201"/>
      <c r="QZ98" s="201"/>
      <c r="RA98" s="201"/>
      <c r="RB98" s="201"/>
      <c r="RC98" s="201"/>
      <c r="RD98" s="201"/>
      <c r="RE98" s="201"/>
      <c r="RF98" s="201"/>
      <c r="RG98" s="201"/>
      <c r="RH98" s="201"/>
      <c r="RI98" s="201"/>
      <c r="RJ98" s="201"/>
      <c r="RK98" s="201"/>
      <c r="RL98" s="201"/>
      <c r="RM98" s="201"/>
      <c r="RN98" s="201"/>
      <c r="RO98" s="201"/>
      <c r="RP98" s="201"/>
      <c r="RQ98" s="201"/>
      <c r="RR98" s="201"/>
      <c r="RS98" s="201"/>
      <c r="RT98" s="201"/>
      <c r="RU98" s="201"/>
      <c r="RV98" s="201"/>
      <c r="RW98" s="201"/>
      <c r="RX98" s="201"/>
      <c r="RY98" s="201"/>
      <c r="RZ98" s="201"/>
      <c r="SA98" s="201"/>
      <c r="SB98" s="201"/>
      <c r="SC98" s="201"/>
      <c r="SD98" s="201"/>
      <c r="SE98" s="201"/>
      <c r="SF98" s="201"/>
      <c r="SG98" s="201"/>
      <c r="SH98" s="201"/>
      <c r="SI98" s="201"/>
      <c r="SJ98" s="201"/>
      <c r="SK98" s="201"/>
      <c r="SL98" s="201"/>
      <c r="SM98" s="201"/>
      <c r="SN98" s="201"/>
      <c r="SO98" s="201"/>
      <c r="SP98" s="201"/>
      <c r="SQ98" s="201"/>
      <c r="SR98" s="201"/>
      <c r="SS98" s="201"/>
      <c r="ST98" s="201"/>
      <c r="SU98" s="201"/>
      <c r="SV98" s="201"/>
      <c r="SW98" s="201"/>
      <c r="SX98" s="201"/>
      <c r="SY98" s="201"/>
      <c r="SZ98" s="201"/>
      <c r="TA98" s="201"/>
      <c r="TB98" s="201"/>
      <c r="TC98" s="201"/>
      <c r="TD98" s="201"/>
      <c r="TE98" s="201"/>
      <c r="TF98" s="201"/>
      <c r="TG98" s="201"/>
      <c r="TH98" s="201"/>
      <c r="TI98" s="201"/>
      <c r="TJ98" s="201"/>
      <c r="TK98" s="201"/>
      <c r="TL98" s="201"/>
      <c r="TM98" s="201"/>
      <c r="TN98" s="201"/>
      <c r="TO98" s="201"/>
      <c r="TP98" s="201"/>
      <c r="TQ98" s="201"/>
      <c r="TR98" s="201"/>
      <c r="TS98" s="201"/>
      <c r="TT98" s="201"/>
      <c r="TU98" s="201"/>
      <c r="TV98" s="201"/>
      <c r="TW98" s="201"/>
      <c r="TX98" s="201"/>
      <c r="TY98" s="201"/>
      <c r="TZ98" s="201"/>
      <c r="UA98" s="201"/>
      <c r="UB98" s="201"/>
      <c r="UC98" s="201"/>
      <c r="UD98" s="201"/>
      <c r="UE98" s="201"/>
      <c r="UF98" s="201"/>
      <c r="UG98" s="201"/>
      <c r="UH98" s="201"/>
      <c r="UI98" s="201"/>
      <c r="UJ98" s="201"/>
      <c r="UK98" s="201"/>
      <c r="UL98" s="201"/>
      <c r="UM98" s="201"/>
      <c r="UN98" s="201"/>
      <c r="UO98" s="201"/>
      <c r="UP98" s="201"/>
      <c r="UQ98" s="201"/>
      <c r="UR98" s="201"/>
      <c r="US98" s="201"/>
      <c r="UT98" s="201"/>
      <c r="UU98" s="201"/>
    </row>
    <row r="99" spans="2:567" ht="14.25" hidden="1" customHeight="1" x14ac:dyDescent="0.4">
      <c r="B99" s="18" t="s">
        <v>704</v>
      </c>
      <c r="C99" s="63"/>
      <c r="D99" s="347"/>
      <c r="E99" s="80" t="str">
        <f>IF(Toggle_Refi_Sell=0,"NA",E64-E98)</f>
        <v>NA</v>
      </c>
      <c r="F99" s="76" t="str">
        <f>IF(Toggle_Refi_Sell=0,"NA",E99/$E$100)</f>
        <v>NA</v>
      </c>
      <c r="G99" s="98"/>
      <c r="H99" s="81"/>
      <c r="I99" s="81"/>
      <c r="J99" s="82"/>
      <c r="K99" s="82"/>
      <c r="R99" s="90"/>
      <c r="EX99" s="219"/>
      <c r="EY99" s="219"/>
      <c r="EZ99" s="219"/>
      <c r="FA99" s="220"/>
      <c r="FB99" s="220"/>
      <c r="PQ99" s="201"/>
      <c r="PR99" s="201"/>
      <c r="PS99" s="201"/>
      <c r="PT99" s="201"/>
      <c r="PU99" s="201"/>
      <c r="PV99" s="201"/>
      <c r="PW99" s="201"/>
      <c r="PX99" s="201"/>
      <c r="PY99" s="201"/>
      <c r="PZ99" s="201"/>
      <c r="QA99" s="201"/>
      <c r="QB99" s="201"/>
      <c r="QC99" s="201"/>
      <c r="QD99" s="201"/>
      <c r="QE99" s="201"/>
      <c r="QF99" s="201"/>
      <c r="QG99" s="201"/>
      <c r="QH99" s="201"/>
      <c r="QI99" s="201"/>
      <c r="QJ99" s="201"/>
      <c r="QK99" s="201"/>
      <c r="QL99" s="201"/>
      <c r="QM99" s="201"/>
      <c r="QN99" s="201"/>
      <c r="QO99" s="201"/>
      <c r="QP99" s="201"/>
      <c r="QQ99" s="201"/>
      <c r="QR99" s="201"/>
      <c r="QS99" s="201"/>
      <c r="QT99" s="201"/>
      <c r="QU99" s="201"/>
      <c r="QV99" s="201"/>
      <c r="QW99" s="201"/>
      <c r="QX99" s="201"/>
      <c r="QY99" s="201"/>
      <c r="QZ99" s="201"/>
      <c r="RA99" s="201"/>
      <c r="RB99" s="201"/>
      <c r="RC99" s="201"/>
      <c r="RD99" s="201"/>
      <c r="RE99" s="201"/>
      <c r="RF99" s="201"/>
      <c r="RG99" s="201"/>
      <c r="RH99" s="201"/>
      <c r="RI99" s="201"/>
      <c r="RJ99" s="201"/>
      <c r="RK99" s="201"/>
      <c r="RL99" s="201"/>
      <c r="RM99" s="201"/>
      <c r="RN99" s="201"/>
      <c r="RO99" s="201"/>
      <c r="RP99" s="201"/>
      <c r="RQ99" s="201"/>
      <c r="RR99" s="201"/>
      <c r="RS99" s="201"/>
      <c r="RT99" s="201"/>
      <c r="RU99" s="201"/>
      <c r="RV99" s="201"/>
      <c r="RW99" s="201"/>
      <c r="RX99" s="201"/>
      <c r="RY99" s="201"/>
      <c r="RZ99" s="201"/>
      <c r="SA99" s="201"/>
      <c r="SB99" s="201"/>
      <c r="SC99" s="201"/>
      <c r="SD99" s="201"/>
      <c r="SE99" s="201"/>
      <c r="SF99" s="201"/>
      <c r="SG99" s="201"/>
      <c r="SH99" s="201"/>
      <c r="SI99" s="201"/>
      <c r="SJ99" s="201"/>
      <c r="SK99" s="201"/>
      <c r="SL99" s="201"/>
      <c r="SM99" s="201"/>
      <c r="SN99" s="201"/>
      <c r="SO99" s="201"/>
      <c r="SP99" s="201"/>
      <c r="SQ99" s="201"/>
      <c r="SR99" s="201"/>
      <c r="SS99" s="201"/>
      <c r="ST99" s="201"/>
      <c r="SU99" s="201"/>
      <c r="SV99" s="201"/>
      <c r="SW99" s="201"/>
      <c r="SX99" s="201"/>
      <c r="SY99" s="201"/>
      <c r="SZ99" s="201"/>
      <c r="TA99" s="201"/>
      <c r="TB99" s="201"/>
      <c r="TC99" s="201"/>
      <c r="TD99" s="201"/>
      <c r="TE99" s="201"/>
      <c r="TF99" s="201"/>
      <c r="TG99" s="201"/>
      <c r="TH99" s="201"/>
      <c r="TI99" s="201"/>
      <c r="TJ99" s="201"/>
      <c r="TK99" s="201"/>
      <c r="TL99" s="201"/>
      <c r="TM99" s="201"/>
      <c r="TN99" s="201"/>
      <c r="TO99" s="201"/>
      <c r="TP99" s="201"/>
      <c r="TQ99" s="201"/>
      <c r="TR99" s="201"/>
      <c r="TS99" s="201"/>
      <c r="TT99" s="201"/>
      <c r="TU99" s="201"/>
      <c r="TV99" s="201"/>
      <c r="TW99" s="201"/>
      <c r="TX99" s="201"/>
      <c r="TY99" s="201"/>
      <c r="TZ99" s="201"/>
      <c r="UA99" s="201"/>
      <c r="UB99" s="201"/>
      <c r="UC99" s="201"/>
      <c r="UD99" s="201"/>
      <c r="UE99" s="201"/>
      <c r="UF99" s="201"/>
      <c r="UG99" s="201"/>
      <c r="UH99" s="201"/>
      <c r="UI99" s="201"/>
      <c r="UJ99" s="201"/>
      <c r="UK99" s="201"/>
      <c r="UL99" s="201"/>
      <c r="UM99" s="201"/>
      <c r="UN99" s="201"/>
      <c r="UO99" s="201"/>
      <c r="UP99" s="201"/>
      <c r="UQ99" s="201"/>
      <c r="UR99" s="201"/>
      <c r="US99" s="201"/>
      <c r="UT99" s="201"/>
      <c r="UU99" s="201"/>
    </row>
    <row r="100" spans="2:567" ht="14.25" hidden="1" customHeight="1" x14ac:dyDescent="0.25">
      <c r="B100" s="18" t="s">
        <v>699</v>
      </c>
      <c r="C100" s="63"/>
      <c r="D100" s="347"/>
      <c r="E100" s="34" t="str">
        <f>IF(Toggle_Refi_Sell=0,"NA",SUM(E98:E99))</f>
        <v>NA</v>
      </c>
      <c r="F100" s="45" t="str">
        <f>IF(Toggle_Refi_Sell=0,"NA",E100/$E$100)</f>
        <v>NA</v>
      </c>
      <c r="G100" s="98"/>
      <c r="H100" s="81"/>
      <c r="I100" s="81"/>
      <c r="J100" s="82"/>
      <c r="K100" s="82"/>
      <c r="R100" s="90"/>
      <c r="EX100" s="219"/>
      <c r="EY100" s="219"/>
      <c r="EZ100" s="219"/>
      <c r="FA100" s="220"/>
      <c r="FB100" s="220"/>
      <c r="PQ100" s="201"/>
      <c r="PR100" s="201"/>
      <c r="PS100" s="201"/>
      <c r="PT100" s="201"/>
      <c r="PU100" s="201"/>
      <c r="PV100" s="201"/>
      <c r="PW100" s="201"/>
      <c r="PX100" s="201"/>
      <c r="PY100" s="201"/>
      <c r="PZ100" s="201"/>
      <c r="QA100" s="201"/>
      <c r="QB100" s="201"/>
      <c r="QC100" s="201"/>
      <c r="QD100" s="201"/>
      <c r="QE100" s="201"/>
      <c r="QF100" s="201"/>
      <c r="QG100" s="201"/>
      <c r="QH100" s="201"/>
      <c r="QI100" s="201"/>
      <c r="QJ100" s="201"/>
      <c r="QK100" s="201"/>
      <c r="QL100" s="201"/>
      <c r="QM100" s="201"/>
      <c r="QN100" s="201"/>
      <c r="QO100" s="201"/>
      <c r="QP100" s="201"/>
      <c r="QQ100" s="201"/>
      <c r="QR100" s="201"/>
      <c r="QS100" s="201"/>
      <c r="QT100" s="201"/>
      <c r="QU100" s="201"/>
      <c r="QV100" s="201"/>
      <c r="QW100" s="201"/>
      <c r="QX100" s="201"/>
      <c r="QY100" s="201"/>
      <c r="QZ100" s="201"/>
      <c r="RA100" s="201"/>
      <c r="RB100" s="201"/>
      <c r="RC100" s="201"/>
      <c r="RD100" s="201"/>
      <c r="RE100" s="201"/>
      <c r="RF100" s="201"/>
      <c r="RG100" s="201"/>
      <c r="RH100" s="201"/>
      <c r="RI100" s="201"/>
      <c r="RJ100" s="201"/>
      <c r="RK100" s="201"/>
      <c r="RL100" s="201"/>
      <c r="RM100" s="201"/>
      <c r="RN100" s="201"/>
      <c r="RO100" s="201"/>
      <c r="RP100" s="201"/>
      <c r="RQ100" s="201"/>
      <c r="RR100" s="201"/>
      <c r="RS100" s="201"/>
      <c r="RT100" s="201"/>
      <c r="RU100" s="201"/>
      <c r="RV100" s="201"/>
      <c r="RW100" s="201"/>
      <c r="RX100" s="201"/>
      <c r="RY100" s="201"/>
      <c r="RZ100" s="201"/>
      <c r="SA100" s="201"/>
      <c r="SB100" s="201"/>
      <c r="SC100" s="201"/>
      <c r="SD100" s="201"/>
      <c r="SE100" s="201"/>
      <c r="SF100" s="201"/>
      <c r="SG100" s="201"/>
      <c r="SH100" s="201"/>
      <c r="SI100" s="201"/>
      <c r="SJ100" s="201"/>
      <c r="SK100" s="201"/>
      <c r="SL100" s="201"/>
      <c r="SM100" s="201"/>
      <c r="SN100" s="201"/>
      <c r="SO100" s="201"/>
      <c r="SP100" s="201"/>
      <c r="SQ100" s="201"/>
      <c r="SR100" s="201"/>
      <c r="SS100" s="201"/>
      <c r="ST100" s="201"/>
      <c r="SU100" s="201"/>
      <c r="SV100" s="201"/>
      <c r="SW100" s="201"/>
      <c r="SX100" s="201"/>
      <c r="SY100" s="201"/>
      <c r="SZ100" s="201"/>
      <c r="TA100" s="201"/>
      <c r="TB100" s="201"/>
      <c r="TC100" s="201"/>
      <c r="TD100" s="201"/>
      <c r="TE100" s="201"/>
      <c r="TF100" s="201"/>
      <c r="TG100" s="201"/>
      <c r="TH100" s="201"/>
      <c r="TI100" s="201"/>
      <c r="TJ100" s="201"/>
      <c r="TK100" s="201"/>
      <c r="TL100" s="201"/>
      <c r="TM100" s="201"/>
      <c r="TN100" s="201"/>
      <c r="TO100" s="201"/>
      <c r="TP100" s="201"/>
      <c r="TQ100" s="201"/>
      <c r="TR100" s="201"/>
      <c r="TS100" s="201"/>
      <c r="TT100" s="201"/>
      <c r="TU100" s="201"/>
      <c r="TV100" s="201"/>
      <c r="TW100" s="201"/>
      <c r="TX100" s="201"/>
      <c r="TY100" s="201"/>
      <c r="TZ100" s="201"/>
      <c r="UA100" s="201"/>
      <c r="UB100" s="201"/>
      <c r="UC100" s="201"/>
      <c r="UD100" s="201"/>
      <c r="UE100" s="201"/>
      <c r="UF100" s="201"/>
      <c r="UG100" s="201"/>
      <c r="UH100" s="201"/>
      <c r="UI100" s="201"/>
      <c r="UJ100" s="201"/>
      <c r="UK100" s="201"/>
      <c r="UL100" s="201"/>
      <c r="UM100" s="201"/>
      <c r="UN100" s="201"/>
      <c r="UO100" s="201"/>
      <c r="UP100" s="201"/>
      <c r="UQ100" s="201"/>
      <c r="UR100" s="201"/>
      <c r="US100" s="201"/>
      <c r="UT100" s="201"/>
      <c r="UU100" s="201"/>
    </row>
    <row r="101" spans="2:567" ht="5.0999999999999996" customHeight="1" x14ac:dyDescent="0.25">
      <c r="B101" s="14"/>
      <c r="C101" s="15"/>
      <c r="D101" s="15"/>
      <c r="E101" s="15"/>
      <c r="F101" s="15"/>
      <c r="G101" s="15"/>
      <c r="H101" s="15"/>
      <c r="I101" s="15"/>
      <c r="J101" s="192"/>
      <c r="K101" s="192"/>
      <c r="L101" s="15"/>
      <c r="M101" s="497"/>
      <c r="N101" s="497"/>
      <c r="O101" s="497"/>
      <c r="P101" s="497"/>
      <c r="Q101" s="497"/>
      <c r="R101" s="258"/>
      <c r="S101" s="259"/>
      <c r="T101" s="259"/>
      <c r="U101" s="259"/>
      <c r="V101" s="259"/>
      <c r="W101" s="259"/>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59"/>
      <c r="BK101" s="259"/>
      <c r="BL101" s="259"/>
      <c r="BM101" s="259"/>
      <c r="BN101" s="259"/>
      <c r="BO101" s="259"/>
      <c r="BP101" s="259"/>
      <c r="BQ101" s="259"/>
      <c r="BR101" s="259"/>
      <c r="BS101" s="259"/>
      <c r="BT101" s="259"/>
      <c r="BU101" s="259"/>
      <c r="BV101" s="259"/>
      <c r="BW101" s="259"/>
      <c r="BX101" s="259"/>
      <c r="BY101" s="259"/>
      <c r="BZ101" s="259"/>
      <c r="CA101" s="259"/>
      <c r="CB101" s="259"/>
      <c r="CC101" s="259"/>
      <c r="CD101" s="259"/>
      <c r="CE101" s="259"/>
      <c r="CF101" s="259"/>
      <c r="CG101" s="259"/>
      <c r="CH101" s="259"/>
      <c r="CI101" s="259"/>
      <c r="CJ101" s="259"/>
      <c r="CK101" s="259"/>
      <c r="CL101" s="259"/>
      <c r="CM101" s="259"/>
      <c r="CN101" s="259"/>
      <c r="CO101" s="259"/>
      <c r="CP101" s="259"/>
      <c r="CQ101" s="259"/>
      <c r="CR101" s="259"/>
      <c r="CS101" s="259"/>
      <c r="CT101" s="259"/>
      <c r="CU101" s="259"/>
      <c r="CV101" s="259"/>
      <c r="CW101" s="259"/>
      <c r="CX101" s="259"/>
      <c r="CY101" s="259"/>
      <c r="CZ101" s="259"/>
      <c r="DA101" s="259"/>
      <c r="DB101" s="259"/>
      <c r="DC101" s="259"/>
      <c r="DD101" s="259"/>
      <c r="DE101" s="259"/>
      <c r="DF101" s="259"/>
      <c r="DG101" s="259"/>
      <c r="DH101" s="259"/>
      <c r="DI101" s="259"/>
      <c r="DJ101" s="259"/>
      <c r="DK101" s="259"/>
      <c r="DL101" s="259"/>
      <c r="DM101" s="259"/>
      <c r="DN101" s="259"/>
      <c r="DO101" s="259"/>
      <c r="DP101" s="259"/>
      <c r="DQ101" s="259"/>
      <c r="DR101" s="259"/>
      <c r="DS101" s="259"/>
      <c r="DT101" s="259"/>
      <c r="DU101" s="259"/>
      <c r="DV101" s="259"/>
      <c r="DW101" s="259"/>
      <c r="DX101" s="259"/>
      <c r="DY101" s="259"/>
      <c r="DZ101" s="259"/>
      <c r="EA101" s="259"/>
      <c r="EB101" s="259"/>
      <c r="EC101" s="259"/>
      <c r="ED101" s="259"/>
      <c r="EE101" s="259"/>
      <c r="EF101" s="259"/>
      <c r="EG101" s="259"/>
      <c r="EH101" s="259"/>
      <c r="EI101" s="259"/>
      <c r="EJ101" s="259"/>
      <c r="EK101" s="259"/>
      <c r="EL101" s="259"/>
      <c r="EM101" s="259"/>
      <c r="EN101" s="259"/>
      <c r="EO101" s="259"/>
      <c r="EP101" s="259"/>
      <c r="EQ101" s="259"/>
      <c r="ER101" s="259"/>
      <c r="ES101" s="259"/>
      <c r="ET101" s="259"/>
      <c r="EU101" s="259"/>
      <c r="FC101" s="199"/>
      <c r="FD101" s="199"/>
      <c r="FE101" s="199"/>
      <c r="FF101" s="199"/>
      <c r="FG101" s="199"/>
      <c r="FH101" s="199"/>
      <c r="FI101" s="199"/>
      <c r="FJ101" s="199"/>
      <c r="FK101" s="199"/>
      <c r="FL101" s="199"/>
      <c r="FM101" s="199"/>
      <c r="FN101" s="199"/>
      <c r="FO101" s="199"/>
      <c r="FP101" s="199"/>
      <c r="FQ101" s="199"/>
      <c r="FR101" s="199"/>
      <c r="FS101" s="199"/>
      <c r="FT101" s="199"/>
      <c r="FU101" s="199"/>
      <c r="FV101" s="199"/>
      <c r="FW101" s="199"/>
      <c r="FX101" s="199"/>
      <c r="FY101" s="199"/>
      <c r="FZ101" s="199"/>
      <c r="GA101" s="199"/>
      <c r="GB101" s="199"/>
      <c r="GC101" s="199"/>
      <c r="GD101" s="199"/>
      <c r="GE101" s="199"/>
      <c r="GF101" s="199"/>
      <c r="GG101" s="199"/>
      <c r="GH101" s="199"/>
      <c r="GI101" s="199"/>
      <c r="GJ101" s="199"/>
      <c r="GK101" s="199"/>
      <c r="GL101" s="199"/>
      <c r="GM101" s="199"/>
      <c r="GN101" s="199"/>
      <c r="GO101" s="199"/>
      <c r="GP101" s="199"/>
      <c r="GQ101" s="199"/>
      <c r="GR101" s="199"/>
      <c r="GS101" s="199"/>
      <c r="GT101" s="199"/>
      <c r="GU101" s="199"/>
      <c r="GV101" s="199"/>
      <c r="GW101" s="199"/>
      <c r="GX101" s="199"/>
      <c r="GY101" s="199"/>
      <c r="GZ101" s="199"/>
      <c r="HA101" s="199"/>
      <c r="HB101" s="199"/>
      <c r="HC101" s="199"/>
      <c r="HD101" s="199"/>
      <c r="HE101" s="199"/>
      <c r="HF101" s="199"/>
      <c r="HG101" s="199"/>
      <c r="HH101" s="199"/>
      <c r="HI101" s="199"/>
      <c r="HJ101" s="199"/>
      <c r="HK101" s="199"/>
      <c r="HL101" s="199"/>
      <c r="HM101" s="199"/>
      <c r="HN101" s="199"/>
      <c r="HO101" s="199"/>
      <c r="HP101" s="199"/>
      <c r="HQ101" s="199"/>
      <c r="HR101" s="199"/>
      <c r="HS101" s="199"/>
      <c r="HT101" s="199"/>
      <c r="HU101" s="199"/>
      <c r="HV101" s="199"/>
      <c r="HW101" s="199"/>
      <c r="HX101" s="199"/>
      <c r="HY101" s="199"/>
      <c r="HZ101" s="199"/>
      <c r="IA101" s="199"/>
      <c r="IB101" s="199"/>
      <c r="IC101" s="199"/>
      <c r="ID101" s="199"/>
      <c r="IE101" s="199"/>
      <c r="IF101" s="199"/>
      <c r="IG101" s="199"/>
      <c r="IH101" s="199"/>
      <c r="II101" s="199"/>
      <c r="IJ101" s="199"/>
      <c r="IK101" s="199"/>
      <c r="IL101" s="199"/>
      <c r="IM101" s="199"/>
      <c r="IN101" s="199"/>
      <c r="IO101" s="199"/>
      <c r="IP101" s="199"/>
      <c r="IQ101" s="199"/>
      <c r="IR101" s="199"/>
      <c r="IS101" s="199"/>
      <c r="IT101" s="199"/>
      <c r="IU101" s="199"/>
      <c r="IV101" s="199"/>
      <c r="IW101" s="199"/>
      <c r="IX101" s="199"/>
      <c r="IY101" s="199"/>
      <c r="IZ101" s="199"/>
      <c r="JA101" s="199"/>
      <c r="JB101" s="199"/>
      <c r="JC101" s="199"/>
      <c r="JD101" s="199"/>
      <c r="JE101" s="199"/>
      <c r="JF101" s="199"/>
      <c r="JG101" s="199"/>
      <c r="JH101" s="199"/>
      <c r="JI101" s="199"/>
      <c r="JJ101" s="199"/>
      <c r="JK101" s="199"/>
      <c r="JL101" s="199"/>
      <c r="JM101" s="199"/>
      <c r="JN101" s="199"/>
      <c r="JO101" s="199"/>
      <c r="JP101" s="199"/>
      <c r="JQ101" s="199"/>
      <c r="JR101" s="199"/>
      <c r="JS101" s="199"/>
      <c r="JT101" s="199"/>
      <c r="JU101" s="199"/>
      <c r="JV101" s="199"/>
      <c r="JW101" s="199"/>
      <c r="JX101" s="199"/>
      <c r="JY101" s="199"/>
      <c r="JZ101" s="199"/>
      <c r="KA101" s="199"/>
      <c r="KB101" s="199"/>
      <c r="KC101" s="199"/>
      <c r="KD101" s="199"/>
      <c r="KE101" s="199"/>
      <c r="PQ101" s="201"/>
      <c r="PR101" s="201"/>
      <c r="PS101" s="201"/>
      <c r="PT101" s="201"/>
      <c r="PU101" s="201"/>
      <c r="PV101" s="201"/>
      <c r="PW101" s="201"/>
      <c r="PX101" s="201"/>
      <c r="PY101" s="201"/>
      <c r="PZ101" s="201"/>
      <c r="QA101" s="201"/>
      <c r="QB101" s="201"/>
      <c r="QC101" s="201"/>
      <c r="QD101" s="201"/>
      <c r="QE101" s="201"/>
      <c r="QF101" s="201"/>
      <c r="QG101" s="201"/>
      <c r="QH101" s="201"/>
      <c r="QI101" s="201"/>
      <c r="QJ101" s="201"/>
      <c r="QK101" s="201"/>
      <c r="QL101" s="201"/>
      <c r="QM101" s="201"/>
      <c r="QN101" s="201"/>
      <c r="QO101" s="201"/>
      <c r="QP101" s="201"/>
      <c r="QQ101" s="201"/>
      <c r="QR101" s="201"/>
      <c r="QS101" s="201"/>
      <c r="QT101" s="201"/>
      <c r="QU101" s="201"/>
      <c r="QV101" s="201"/>
      <c r="QW101" s="201"/>
      <c r="QX101" s="201"/>
      <c r="QY101" s="201"/>
      <c r="QZ101" s="201"/>
      <c r="RA101" s="201"/>
      <c r="RB101" s="201"/>
      <c r="RC101" s="201"/>
      <c r="RD101" s="201"/>
      <c r="RE101" s="201"/>
      <c r="RF101" s="201"/>
      <c r="RG101" s="201"/>
      <c r="RH101" s="201"/>
      <c r="RI101" s="201"/>
      <c r="RJ101" s="201"/>
      <c r="RK101" s="201"/>
      <c r="RL101" s="201"/>
      <c r="RM101" s="201"/>
      <c r="RN101" s="201"/>
      <c r="RO101" s="201"/>
      <c r="RP101" s="201"/>
      <c r="RQ101" s="201"/>
      <c r="RR101" s="201"/>
      <c r="RS101" s="201"/>
      <c r="RT101" s="201"/>
      <c r="RU101" s="201"/>
      <c r="RV101" s="201"/>
      <c r="RW101" s="201"/>
      <c r="RX101" s="201"/>
      <c r="RY101" s="201"/>
      <c r="RZ101" s="201"/>
      <c r="SA101" s="201"/>
      <c r="SB101" s="201"/>
      <c r="SC101" s="201"/>
      <c r="SD101" s="201"/>
      <c r="SE101" s="201"/>
      <c r="SF101" s="201"/>
      <c r="SG101" s="201"/>
      <c r="SH101" s="201"/>
      <c r="SI101" s="201"/>
      <c r="SJ101" s="201"/>
      <c r="SK101" s="201"/>
      <c r="SL101" s="201"/>
      <c r="SM101" s="201"/>
      <c r="SN101" s="201"/>
      <c r="SO101" s="201"/>
      <c r="SP101" s="201"/>
      <c r="SQ101" s="201"/>
      <c r="SR101" s="201"/>
      <c r="SS101" s="201"/>
      <c r="ST101" s="201"/>
      <c r="SU101" s="201"/>
      <c r="SV101" s="201"/>
      <c r="SW101" s="201"/>
      <c r="SX101" s="201"/>
      <c r="SY101" s="201"/>
      <c r="SZ101" s="201"/>
      <c r="TA101" s="201"/>
      <c r="TB101" s="201"/>
      <c r="TC101" s="201"/>
      <c r="TD101" s="201"/>
      <c r="TE101" s="201"/>
      <c r="TF101" s="201"/>
      <c r="TG101" s="201"/>
      <c r="TH101" s="201"/>
      <c r="TI101" s="201"/>
      <c r="TJ101" s="201"/>
      <c r="TK101" s="201"/>
      <c r="TL101" s="201"/>
      <c r="TM101" s="201"/>
      <c r="TN101" s="201"/>
      <c r="TO101" s="201"/>
      <c r="TP101" s="201"/>
      <c r="TQ101" s="201"/>
      <c r="TR101" s="201"/>
      <c r="TS101" s="201"/>
      <c r="TT101" s="201"/>
      <c r="TU101" s="201"/>
      <c r="TV101" s="201"/>
      <c r="TW101" s="201"/>
      <c r="TX101" s="201"/>
      <c r="TY101" s="201"/>
      <c r="TZ101" s="201"/>
      <c r="UA101" s="201"/>
      <c r="UB101" s="201"/>
      <c r="UC101" s="201"/>
      <c r="UD101" s="201"/>
      <c r="UE101" s="201"/>
      <c r="UF101" s="201"/>
      <c r="UG101" s="201"/>
      <c r="UH101" s="201"/>
      <c r="UI101" s="201"/>
      <c r="UJ101" s="201"/>
      <c r="UK101" s="201"/>
      <c r="UL101" s="201"/>
      <c r="UM101" s="201"/>
      <c r="UN101" s="201"/>
      <c r="UO101" s="201"/>
      <c r="UP101" s="201"/>
      <c r="UQ101" s="201"/>
      <c r="UR101" s="201"/>
      <c r="US101" s="201"/>
      <c r="UT101" s="201"/>
      <c r="UU101" s="201"/>
    </row>
    <row r="102" spans="2:567" x14ac:dyDescent="0.25">
      <c r="B102" s="102" t="s">
        <v>113</v>
      </c>
      <c r="C102" s="15"/>
      <c r="D102" s="15"/>
      <c r="E102" s="15"/>
      <c r="F102" s="15"/>
      <c r="G102" s="15"/>
      <c r="H102" s="15"/>
      <c r="I102" s="15"/>
      <c r="J102" s="192"/>
      <c r="K102" s="192"/>
      <c r="L102" s="15"/>
      <c r="M102" s="497"/>
      <c r="N102" s="497"/>
      <c r="O102" s="497"/>
      <c r="P102" s="497"/>
      <c r="Q102" s="497"/>
      <c r="R102" s="258"/>
      <c r="S102" s="259"/>
      <c r="T102" s="259"/>
      <c r="U102" s="259"/>
      <c r="V102" s="259"/>
      <c r="W102" s="259"/>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59"/>
      <c r="BK102" s="259"/>
      <c r="BL102" s="259"/>
      <c r="BM102" s="259"/>
      <c r="BN102" s="259"/>
      <c r="BO102" s="259"/>
      <c r="BP102" s="259"/>
      <c r="BQ102" s="259"/>
      <c r="BR102" s="259"/>
      <c r="BS102" s="259"/>
      <c r="BT102" s="259"/>
      <c r="BU102" s="259"/>
      <c r="BV102" s="259"/>
      <c r="BW102" s="259"/>
      <c r="BX102" s="259"/>
      <c r="BY102" s="259"/>
      <c r="BZ102" s="259"/>
      <c r="CA102" s="259"/>
      <c r="CB102" s="259"/>
      <c r="CC102" s="259"/>
      <c r="CD102" s="259"/>
      <c r="CE102" s="259"/>
      <c r="CF102" s="259"/>
      <c r="CG102" s="259"/>
      <c r="CH102" s="259"/>
      <c r="CI102" s="259"/>
      <c r="CJ102" s="259"/>
      <c r="CK102" s="259"/>
      <c r="CL102" s="259"/>
      <c r="CM102" s="259"/>
      <c r="CN102" s="259"/>
      <c r="CO102" s="259"/>
      <c r="CP102" s="259"/>
      <c r="CQ102" s="259"/>
      <c r="CR102" s="259"/>
      <c r="CS102" s="259"/>
      <c r="CT102" s="259"/>
      <c r="CU102" s="259"/>
      <c r="CV102" s="259"/>
      <c r="CW102" s="259"/>
      <c r="CX102" s="259"/>
      <c r="CY102" s="259"/>
      <c r="CZ102" s="259"/>
      <c r="DA102" s="259"/>
      <c r="DB102" s="259"/>
      <c r="DC102" s="259"/>
      <c r="DD102" s="259"/>
      <c r="DE102" s="259"/>
      <c r="DF102" s="259"/>
      <c r="DG102" s="259"/>
      <c r="DH102" s="259"/>
      <c r="DI102" s="259"/>
      <c r="DJ102" s="259"/>
      <c r="DK102" s="259"/>
      <c r="DL102" s="259"/>
      <c r="DM102" s="259"/>
      <c r="DN102" s="259"/>
      <c r="DO102" s="259"/>
      <c r="DP102" s="259"/>
      <c r="DQ102" s="259"/>
      <c r="DR102" s="259"/>
      <c r="DS102" s="259"/>
      <c r="DT102" s="259"/>
      <c r="DU102" s="259"/>
      <c r="DV102" s="259"/>
      <c r="DW102" s="259"/>
      <c r="DX102" s="259"/>
      <c r="DY102" s="259"/>
      <c r="DZ102" s="259"/>
      <c r="EA102" s="259"/>
      <c r="EB102" s="259"/>
      <c r="EC102" s="259"/>
      <c r="ED102" s="259"/>
      <c r="EE102" s="259"/>
      <c r="EF102" s="259"/>
      <c r="EG102" s="259"/>
      <c r="EH102" s="259"/>
      <c r="EI102" s="259"/>
      <c r="EJ102" s="259"/>
      <c r="EK102" s="259"/>
      <c r="EL102" s="259"/>
      <c r="EM102" s="259"/>
      <c r="EN102" s="259"/>
      <c r="EO102" s="259"/>
      <c r="EP102" s="259"/>
      <c r="EQ102" s="259"/>
      <c r="ER102" s="259"/>
      <c r="ES102" s="259"/>
      <c r="ET102" s="259"/>
      <c r="EU102" s="259"/>
      <c r="EW102" s="199" t="str">
        <f>+EW75</f>
        <v>Senior Loan</v>
      </c>
      <c r="FC102" s="199">
        <f t="shared" ref="FC102:GH102" si="1532">IF(ISNUMBER(FB102),FB102,IF(AND(FB102="",FC75&gt;0),FC73,""))</f>
        <v>0</v>
      </c>
      <c r="FD102" s="199">
        <f t="shared" si="1532"/>
        <v>0</v>
      </c>
      <c r="FE102" s="199">
        <f t="shared" si="1532"/>
        <v>0</v>
      </c>
      <c r="FF102" s="199">
        <f t="shared" si="1532"/>
        <v>0</v>
      </c>
      <c r="FG102" s="199">
        <f t="shared" si="1532"/>
        <v>0</v>
      </c>
      <c r="FH102" s="199">
        <f t="shared" si="1532"/>
        <v>0</v>
      </c>
      <c r="FI102" s="199">
        <f t="shared" si="1532"/>
        <v>0</v>
      </c>
      <c r="FJ102" s="199">
        <f t="shared" si="1532"/>
        <v>0</v>
      </c>
      <c r="FK102" s="199">
        <f t="shared" si="1532"/>
        <v>0</v>
      </c>
      <c r="FL102" s="199">
        <f t="shared" si="1532"/>
        <v>0</v>
      </c>
      <c r="FM102" s="199">
        <f t="shared" si="1532"/>
        <v>0</v>
      </c>
      <c r="FN102" s="199">
        <f t="shared" si="1532"/>
        <v>0</v>
      </c>
      <c r="FO102" s="199">
        <f t="shared" si="1532"/>
        <v>0</v>
      </c>
      <c r="FP102" s="199">
        <f t="shared" si="1532"/>
        <v>0</v>
      </c>
      <c r="FQ102" s="199">
        <f t="shared" si="1532"/>
        <v>0</v>
      </c>
      <c r="FR102" s="199">
        <f t="shared" si="1532"/>
        <v>0</v>
      </c>
      <c r="FS102" s="199">
        <f t="shared" si="1532"/>
        <v>0</v>
      </c>
      <c r="FT102" s="199">
        <f t="shared" si="1532"/>
        <v>0</v>
      </c>
      <c r="FU102" s="199">
        <f t="shared" si="1532"/>
        <v>0</v>
      </c>
      <c r="FV102" s="199">
        <f t="shared" si="1532"/>
        <v>0</v>
      </c>
      <c r="FW102" s="199">
        <f t="shared" si="1532"/>
        <v>0</v>
      </c>
      <c r="FX102" s="199">
        <f t="shared" si="1532"/>
        <v>0</v>
      </c>
      <c r="FY102" s="199">
        <f t="shared" si="1532"/>
        <v>0</v>
      </c>
      <c r="FZ102" s="199">
        <f t="shared" si="1532"/>
        <v>0</v>
      </c>
      <c r="GA102" s="199">
        <f t="shared" si="1532"/>
        <v>0</v>
      </c>
      <c r="GB102" s="199">
        <f t="shared" si="1532"/>
        <v>0</v>
      </c>
      <c r="GC102" s="199">
        <f t="shared" si="1532"/>
        <v>0</v>
      </c>
      <c r="GD102" s="199">
        <f t="shared" si="1532"/>
        <v>0</v>
      </c>
      <c r="GE102" s="199">
        <f t="shared" si="1532"/>
        <v>0</v>
      </c>
      <c r="GF102" s="199">
        <f t="shared" si="1532"/>
        <v>0</v>
      </c>
      <c r="GG102" s="199">
        <f t="shared" si="1532"/>
        <v>0</v>
      </c>
      <c r="GH102" s="199">
        <f t="shared" si="1532"/>
        <v>0</v>
      </c>
      <c r="GI102" s="199">
        <f t="shared" ref="GI102:HN102" si="1533">IF(ISNUMBER(GH102),GH102,IF(AND(GH102="",GI75&gt;0),GI73,""))</f>
        <v>0</v>
      </c>
      <c r="GJ102" s="199">
        <f t="shared" si="1533"/>
        <v>0</v>
      </c>
      <c r="GK102" s="199">
        <f t="shared" si="1533"/>
        <v>0</v>
      </c>
      <c r="GL102" s="199">
        <f t="shared" si="1533"/>
        <v>0</v>
      </c>
      <c r="GM102" s="199">
        <f t="shared" si="1533"/>
        <v>0</v>
      </c>
      <c r="GN102" s="199">
        <f t="shared" si="1533"/>
        <v>0</v>
      </c>
      <c r="GO102" s="199">
        <f t="shared" si="1533"/>
        <v>0</v>
      </c>
      <c r="GP102" s="199">
        <f t="shared" si="1533"/>
        <v>0</v>
      </c>
      <c r="GQ102" s="199">
        <f t="shared" si="1533"/>
        <v>0</v>
      </c>
      <c r="GR102" s="199">
        <f t="shared" si="1533"/>
        <v>0</v>
      </c>
      <c r="GS102" s="199">
        <f t="shared" si="1533"/>
        <v>0</v>
      </c>
      <c r="GT102" s="199">
        <f t="shared" si="1533"/>
        <v>0</v>
      </c>
      <c r="GU102" s="199">
        <f t="shared" si="1533"/>
        <v>0</v>
      </c>
      <c r="GV102" s="199">
        <f t="shared" si="1533"/>
        <v>0</v>
      </c>
      <c r="GW102" s="199">
        <f t="shared" si="1533"/>
        <v>0</v>
      </c>
      <c r="GX102" s="199">
        <f t="shared" si="1533"/>
        <v>0</v>
      </c>
      <c r="GY102" s="199">
        <f t="shared" si="1533"/>
        <v>0</v>
      </c>
      <c r="GZ102" s="199">
        <f t="shared" si="1533"/>
        <v>0</v>
      </c>
      <c r="HA102" s="199">
        <f t="shared" si="1533"/>
        <v>0</v>
      </c>
      <c r="HB102" s="199">
        <f t="shared" si="1533"/>
        <v>0</v>
      </c>
      <c r="HC102" s="199">
        <f t="shared" si="1533"/>
        <v>0</v>
      </c>
      <c r="HD102" s="199">
        <f t="shared" si="1533"/>
        <v>0</v>
      </c>
      <c r="HE102" s="199">
        <f t="shared" si="1533"/>
        <v>0</v>
      </c>
      <c r="HF102" s="199">
        <f t="shared" si="1533"/>
        <v>0</v>
      </c>
      <c r="HG102" s="199">
        <f t="shared" si="1533"/>
        <v>0</v>
      </c>
      <c r="HH102" s="199">
        <f t="shared" si="1533"/>
        <v>0</v>
      </c>
      <c r="HI102" s="199">
        <f t="shared" si="1533"/>
        <v>0</v>
      </c>
      <c r="HJ102" s="199">
        <f t="shared" si="1533"/>
        <v>0</v>
      </c>
      <c r="HK102" s="199">
        <f t="shared" si="1533"/>
        <v>0</v>
      </c>
      <c r="HL102" s="199">
        <f t="shared" si="1533"/>
        <v>0</v>
      </c>
      <c r="HM102" s="199">
        <f t="shared" si="1533"/>
        <v>0</v>
      </c>
      <c r="HN102" s="199">
        <f t="shared" si="1533"/>
        <v>0</v>
      </c>
      <c r="HO102" s="199">
        <f t="shared" ref="HO102:IT102" si="1534">IF(ISNUMBER(HN102),HN102,IF(AND(HN102="",HO75&gt;0),HO73,""))</f>
        <v>0</v>
      </c>
      <c r="HP102" s="199">
        <f t="shared" si="1534"/>
        <v>0</v>
      </c>
      <c r="HQ102" s="199">
        <f t="shared" si="1534"/>
        <v>0</v>
      </c>
      <c r="HR102" s="199">
        <f t="shared" si="1534"/>
        <v>0</v>
      </c>
      <c r="HS102" s="199">
        <f t="shared" si="1534"/>
        <v>0</v>
      </c>
      <c r="HT102" s="199">
        <f t="shared" si="1534"/>
        <v>0</v>
      </c>
      <c r="HU102" s="199">
        <f t="shared" si="1534"/>
        <v>0</v>
      </c>
      <c r="HV102" s="199">
        <f t="shared" si="1534"/>
        <v>0</v>
      </c>
      <c r="HW102" s="199">
        <f t="shared" si="1534"/>
        <v>0</v>
      </c>
      <c r="HX102" s="199">
        <f t="shared" si="1534"/>
        <v>0</v>
      </c>
      <c r="HY102" s="199">
        <f t="shared" si="1534"/>
        <v>0</v>
      </c>
      <c r="HZ102" s="199">
        <f t="shared" si="1534"/>
        <v>0</v>
      </c>
      <c r="IA102" s="199">
        <f t="shared" si="1534"/>
        <v>0</v>
      </c>
      <c r="IB102" s="199">
        <f t="shared" si="1534"/>
        <v>0</v>
      </c>
      <c r="IC102" s="199">
        <f t="shared" si="1534"/>
        <v>0</v>
      </c>
      <c r="ID102" s="199">
        <f t="shared" si="1534"/>
        <v>0</v>
      </c>
      <c r="IE102" s="199">
        <f t="shared" si="1534"/>
        <v>0</v>
      </c>
      <c r="IF102" s="199">
        <f t="shared" si="1534"/>
        <v>0</v>
      </c>
      <c r="IG102" s="199">
        <f t="shared" si="1534"/>
        <v>0</v>
      </c>
      <c r="IH102" s="199">
        <f t="shared" si="1534"/>
        <v>0</v>
      </c>
      <c r="II102" s="199">
        <f t="shared" si="1534"/>
        <v>0</v>
      </c>
      <c r="IJ102" s="199">
        <f t="shared" si="1534"/>
        <v>0</v>
      </c>
      <c r="IK102" s="199">
        <f t="shared" si="1534"/>
        <v>0</v>
      </c>
      <c r="IL102" s="199">
        <f t="shared" si="1534"/>
        <v>0</v>
      </c>
      <c r="IM102" s="199">
        <f t="shared" si="1534"/>
        <v>0</v>
      </c>
      <c r="IN102" s="199">
        <f t="shared" si="1534"/>
        <v>0</v>
      </c>
      <c r="IO102" s="199">
        <f t="shared" si="1534"/>
        <v>0</v>
      </c>
      <c r="IP102" s="199">
        <f t="shared" si="1534"/>
        <v>0</v>
      </c>
      <c r="IQ102" s="199">
        <f t="shared" si="1534"/>
        <v>0</v>
      </c>
      <c r="IR102" s="199">
        <f t="shared" si="1534"/>
        <v>0</v>
      </c>
      <c r="IS102" s="199">
        <f t="shared" si="1534"/>
        <v>0</v>
      </c>
      <c r="IT102" s="199">
        <f t="shared" si="1534"/>
        <v>0</v>
      </c>
      <c r="IU102" s="199">
        <f t="shared" ref="IU102:KE102" si="1535">IF(ISNUMBER(IT102),IT102,IF(AND(IT102="",IU75&gt;0),IU73,""))</f>
        <v>0</v>
      </c>
      <c r="IV102" s="199">
        <f t="shared" si="1535"/>
        <v>0</v>
      </c>
      <c r="IW102" s="199">
        <f t="shared" si="1535"/>
        <v>0</v>
      </c>
      <c r="IX102" s="199">
        <f t="shared" si="1535"/>
        <v>0</v>
      </c>
      <c r="IY102" s="199">
        <f t="shared" si="1535"/>
        <v>0</v>
      </c>
      <c r="IZ102" s="199">
        <f t="shared" si="1535"/>
        <v>0</v>
      </c>
      <c r="JA102" s="199">
        <f t="shared" si="1535"/>
        <v>0</v>
      </c>
      <c r="JB102" s="199">
        <f t="shared" si="1535"/>
        <v>0</v>
      </c>
      <c r="JC102" s="199">
        <f t="shared" si="1535"/>
        <v>0</v>
      </c>
      <c r="JD102" s="199">
        <f t="shared" si="1535"/>
        <v>0</v>
      </c>
      <c r="JE102" s="199">
        <f t="shared" si="1535"/>
        <v>0</v>
      </c>
      <c r="JF102" s="199">
        <f t="shared" si="1535"/>
        <v>0</v>
      </c>
      <c r="JG102" s="199">
        <f t="shared" si="1535"/>
        <v>0</v>
      </c>
      <c r="JH102" s="199">
        <f t="shared" si="1535"/>
        <v>0</v>
      </c>
      <c r="JI102" s="199">
        <f t="shared" si="1535"/>
        <v>0</v>
      </c>
      <c r="JJ102" s="199">
        <f t="shared" si="1535"/>
        <v>0</v>
      </c>
      <c r="JK102" s="199">
        <f t="shared" si="1535"/>
        <v>0</v>
      </c>
      <c r="JL102" s="199">
        <f t="shared" si="1535"/>
        <v>0</v>
      </c>
      <c r="JM102" s="199">
        <f t="shared" si="1535"/>
        <v>0</v>
      </c>
      <c r="JN102" s="199">
        <f t="shared" si="1535"/>
        <v>0</v>
      </c>
      <c r="JO102" s="199">
        <f t="shared" si="1535"/>
        <v>0</v>
      </c>
      <c r="JP102" s="199">
        <f t="shared" si="1535"/>
        <v>0</v>
      </c>
      <c r="JQ102" s="199">
        <f t="shared" si="1535"/>
        <v>0</v>
      </c>
      <c r="JR102" s="199">
        <f t="shared" si="1535"/>
        <v>0</v>
      </c>
      <c r="JS102" s="199">
        <f t="shared" si="1535"/>
        <v>0</v>
      </c>
      <c r="JT102" s="199">
        <f t="shared" si="1535"/>
        <v>0</v>
      </c>
      <c r="JU102" s="199">
        <f t="shared" si="1535"/>
        <v>0</v>
      </c>
      <c r="JV102" s="199">
        <f t="shared" si="1535"/>
        <v>0</v>
      </c>
      <c r="JW102" s="199">
        <f t="shared" si="1535"/>
        <v>0</v>
      </c>
      <c r="JX102" s="199">
        <f t="shared" si="1535"/>
        <v>0</v>
      </c>
      <c r="JY102" s="199">
        <f t="shared" si="1535"/>
        <v>0</v>
      </c>
      <c r="JZ102" s="199">
        <f t="shared" si="1535"/>
        <v>0</v>
      </c>
      <c r="KA102" s="199">
        <f t="shared" si="1535"/>
        <v>0</v>
      </c>
      <c r="KB102" s="199">
        <f t="shared" si="1535"/>
        <v>0</v>
      </c>
      <c r="KC102" s="199">
        <f t="shared" si="1535"/>
        <v>0</v>
      </c>
      <c r="KD102" s="199">
        <f t="shared" si="1535"/>
        <v>0</v>
      </c>
      <c r="KE102" s="199">
        <f t="shared" si="1535"/>
        <v>0</v>
      </c>
      <c r="PQ102" s="201"/>
      <c r="PR102" s="201"/>
      <c r="PS102" s="201"/>
      <c r="PT102" s="201"/>
      <c r="PU102" s="201"/>
      <c r="PV102" s="201"/>
      <c r="PW102" s="201"/>
      <c r="PX102" s="201"/>
      <c r="PY102" s="201"/>
      <c r="PZ102" s="201"/>
      <c r="QA102" s="201"/>
      <c r="QB102" s="201"/>
      <c r="QC102" s="201"/>
      <c r="QD102" s="201"/>
      <c r="QE102" s="201"/>
      <c r="QF102" s="201"/>
      <c r="QG102" s="201"/>
      <c r="QH102" s="201"/>
      <c r="QI102" s="201"/>
      <c r="QJ102" s="201"/>
      <c r="QK102" s="201"/>
      <c r="QL102" s="201"/>
      <c r="QM102" s="201"/>
      <c r="QN102" s="201"/>
      <c r="QO102" s="201"/>
      <c r="QP102" s="201"/>
      <c r="QQ102" s="201"/>
      <c r="QR102" s="201"/>
      <c r="QS102" s="201"/>
      <c r="QT102" s="201"/>
      <c r="QU102" s="201"/>
      <c r="QV102" s="201"/>
      <c r="QW102" s="201"/>
      <c r="QX102" s="201"/>
      <c r="QY102" s="201"/>
      <c r="QZ102" s="201"/>
      <c r="RA102" s="201"/>
      <c r="RB102" s="201"/>
      <c r="RC102" s="201"/>
      <c r="RD102" s="201"/>
      <c r="RE102" s="201"/>
      <c r="RF102" s="201"/>
      <c r="RG102" s="201"/>
      <c r="RH102" s="201"/>
      <c r="RI102" s="201"/>
      <c r="RJ102" s="201"/>
      <c r="RK102" s="201"/>
      <c r="RL102" s="201"/>
      <c r="RM102" s="201"/>
      <c r="RN102" s="201"/>
      <c r="RO102" s="201"/>
      <c r="RP102" s="201"/>
      <c r="RQ102" s="201"/>
      <c r="RR102" s="201"/>
      <c r="RS102" s="201"/>
      <c r="RT102" s="201"/>
      <c r="RU102" s="201"/>
      <c r="RV102" s="201"/>
      <c r="RW102" s="201"/>
      <c r="RX102" s="201"/>
      <c r="RY102" s="201"/>
      <c r="RZ102" s="201"/>
      <c r="SA102" s="201"/>
      <c r="SB102" s="201"/>
      <c r="SC102" s="201"/>
      <c r="SD102" s="201"/>
      <c r="SE102" s="201"/>
      <c r="SF102" s="201"/>
      <c r="SG102" s="201"/>
      <c r="SH102" s="201"/>
      <c r="SI102" s="201"/>
      <c r="SJ102" s="201"/>
      <c r="SK102" s="201"/>
      <c r="SL102" s="201"/>
      <c r="SM102" s="201"/>
      <c r="SN102" s="201"/>
      <c r="SO102" s="201"/>
      <c r="SP102" s="201"/>
      <c r="SQ102" s="201"/>
      <c r="SR102" s="201"/>
      <c r="SS102" s="201"/>
      <c r="ST102" s="201"/>
      <c r="SU102" s="201"/>
      <c r="SV102" s="201"/>
      <c r="SW102" s="201"/>
      <c r="SX102" s="201"/>
      <c r="SY102" s="201"/>
      <c r="SZ102" s="201"/>
      <c r="TA102" s="201"/>
      <c r="TB102" s="201"/>
      <c r="TC102" s="201"/>
      <c r="TD102" s="201"/>
      <c r="TE102" s="201"/>
      <c r="TF102" s="201"/>
      <c r="TG102" s="201"/>
      <c r="TH102" s="201"/>
      <c r="TI102" s="201"/>
      <c r="TJ102" s="201"/>
      <c r="TK102" s="201"/>
      <c r="TL102" s="201"/>
      <c r="TM102" s="201"/>
      <c r="TN102" s="201"/>
      <c r="TO102" s="201"/>
      <c r="TP102" s="201"/>
      <c r="TQ102" s="201"/>
      <c r="TR102" s="201"/>
      <c r="TS102" s="201"/>
      <c r="TT102" s="201"/>
      <c r="TU102" s="201"/>
      <c r="TV102" s="201"/>
      <c r="TW102" s="201"/>
      <c r="TX102" s="201"/>
      <c r="TY102" s="201"/>
      <c r="TZ102" s="201"/>
      <c r="UA102" s="201"/>
      <c r="UB102" s="201"/>
      <c r="UC102" s="201"/>
      <c r="UD102" s="201"/>
      <c r="UE102" s="201"/>
      <c r="UF102" s="201"/>
      <c r="UG102" s="201"/>
      <c r="UH102" s="201"/>
      <c r="UI102" s="201"/>
      <c r="UJ102" s="201"/>
      <c r="UK102" s="201"/>
      <c r="UL102" s="201"/>
      <c r="UM102" s="201"/>
      <c r="UN102" s="201"/>
      <c r="UO102" s="201"/>
      <c r="UP102" s="201"/>
      <c r="UQ102" s="201"/>
      <c r="UR102" s="201"/>
      <c r="US102" s="201"/>
      <c r="UT102" s="201"/>
      <c r="UU102" s="201"/>
    </row>
    <row r="103" spans="2:567" x14ac:dyDescent="0.25">
      <c r="B103" s="106" t="s">
        <v>117</v>
      </c>
      <c r="C103" s="123">
        <v>1</v>
      </c>
      <c r="D103" s="123">
        <v>2</v>
      </c>
      <c r="E103" s="123">
        <v>3</v>
      </c>
      <c r="F103" s="123">
        <v>4</v>
      </c>
      <c r="G103" s="123">
        <v>5</v>
      </c>
      <c r="H103" s="124">
        <v>6</v>
      </c>
      <c r="I103" s="160" t="s">
        <v>173</v>
      </c>
      <c r="J103" s="103"/>
      <c r="K103" s="103"/>
      <c r="R103" s="263" t="s">
        <v>191</v>
      </c>
      <c r="S103" s="159"/>
      <c r="T103" s="264">
        <f t="shared" ref="T103:AY103" si="1536">-SUM(T122:T123,T132)/SUM(T120,T130)</f>
        <v>0.1386689368401737</v>
      </c>
      <c r="U103" s="264">
        <f t="shared" si="1536"/>
        <v>0.135013055089653</v>
      </c>
      <c r="V103" s="264">
        <f t="shared" si="1536"/>
        <v>0.13135548451484053</v>
      </c>
      <c r="W103" s="264">
        <f t="shared" si="1536"/>
        <v>0.12769616440487702</v>
      </c>
      <c r="X103" s="264">
        <f t="shared" si="1536"/>
        <v>0.12403503564599425</v>
      </c>
      <c r="Y103" s="264">
        <f t="shared" si="1536"/>
        <v>0.12037204066934117</v>
      </c>
      <c r="Z103" s="264">
        <f t="shared" si="1536"/>
        <v>0.11670712340084154</v>
      </c>
      <c r="AA103" s="264">
        <f t="shared" si="1536"/>
        <v>0.1130402292129921</v>
      </c>
      <c r="AB103" s="264">
        <f t="shared" si="1536"/>
        <v>0.10937130487851394</v>
      </c>
      <c r="AC103" s="264">
        <f t="shared" si="1536"/>
        <v>0.10570029852577464</v>
      </c>
      <c r="AD103" s="264">
        <f t="shared" si="1536"/>
        <v>0.10202715959590256</v>
      </c>
      <c r="AE103" s="264">
        <f t="shared" si="1536"/>
        <v>9.8351838801518848E-2</v>
      </c>
      <c r="AF103" s="264">
        <f t="shared" si="1536"/>
        <v>9.4674288087016806E-2</v>
      </c>
      <c r="AG103" s="264">
        <f t="shared" si="1536"/>
        <v>9.0994460590320722E-2</v>
      </c>
      <c r="AH103" s="264">
        <f t="shared" si="1536"/>
        <v>8.7312310606060609E-2</v>
      </c>
      <c r="AI103" s="264">
        <f t="shared" si="1536"/>
        <v>8.3627793550102192E-2</v>
      </c>
      <c r="AJ103" s="264">
        <f t="shared" si="1536"/>
        <v>7.994086592537393E-2</v>
      </c>
      <c r="AK103" s="264">
        <f t="shared" si="1536"/>
        <v>7.6251485288936618E-2</v>
      </c>
      <c r="AL103" s="264">
        <f t="shared" si="1536"/>
        <v>7.2559610220242418E-2</v>
      </c>
      <c r="AM103" s="264">
        <f t="shared" si="1536"/>
        <v>6.8865200290534348E-2</v>
      </c>
      <c r="AN103" s="264">
        <f t="shared" si="1536"/>
        <v>6.5168216033337986E-2</v>
      </c>
      <c r="AO103" s="264">
        <f t="shared" si="1536"/>
        <v>6.1468618916000604E-2</v>
      </c>
      <c r="AP103" s="264">
        <f t="shared" si="1536"/>
        <v>5.7766371312234603E-2</v>
      </c>
      <c r="AQ103" s="264">
        <f t="shared" si="1536"/>
        <v>5.406143647562376E-2</v>
      </c>
      <c r="AR103" s="264">
        <f t="shared" si="1536"/>
        <v>5.6052336708772667E-2</v>
      </c>
      <c r="AS103" s="264">
        <f t="shared" si="1536"/>
        <v>5.6052336708772667E-2</v>
      </c>
      <c r="AT103" s="264">
        <f t="shared" si="1536"/>
        <v>5.605233670877266E-2</v>
      </c>
      <c r="AU103" s="264">
        <f t="shared" si="1536"/>
        <v>5.6052336708772667E-2</v>
      </c>
      <c r="AV103" s="264">
        <f t="shared" si="1536"/>
        <v>5.6052336708772667E-2</v>
      </c>
      <c r="AW103" s="264">
        <f t="shared" si="1536"/>
        <v>5.6052336708772674E-2</v>
      </c>
      <c r="AX103" s="264">
        <f t="shared" si="1536"/>
        <v>5.6052336708772674E-2</v>
      </c>
      <c r="AY103" s="264">
        <f t="shared" si="1536"/>
        <v>5.6052336708772653E-2</v>
      </c>
      <c r="AZ103" s="264">
        <f t="shared" ref="AZ103:CE103" si="1537">-SUM(AZ122:AZ123,AZ132)/SUM(AZ120,AZ130)</f>
        <v>5.6052336708772667E-2</v>
      </c>
      <c r="BA103" s="264">
        <f t="shared" si="1537"/>
        <v>5.6052336708772667E-2</v>
      </c>
      <c r="BB103" s="264">
        <f t="shared" si="1537"/>
        <v>5.605233670877266E-2</v>
      </c>
      <c r="BC103" s="264">
        <f t="shared" si="1537"/>
        <v>5.6052336708772674E-2</v>
      </c>
      <c r="BD103" s="264">
        <f t="shared" si="1537"/>
        <v>5.6052336708772653E-2</v>
      </c>
      <c r="BE103" s="264">
        <f t="shared" si="1537"/>
        <v>5.6052336708772653E-2</v>
      </c>
      <c r="BF103" s="264">
        <f t="shared" si="1537"/>
        <v>5.6052336708772674E-2</v>
      </c>
      <c r="BG103" s="264">
        <f t="shared" si="1537"/>
        <v>5.605233670877266E-2</v>
      </c>
      <c r="BH103" s="264">
        <f t="shared" si="1537"/>
        <v>5.605233670877266E-2</v>
      </c>
      <c r="BI103" s="264">
        <f t="shared" si="1537"/>
        <v>5.6052336708772674E-2</v>
      </c>
      <c r="BJ103" s="264">
        <f t="shared" si="1537"/>
        <v>5.6052336708772667E-2</v>
      </c>
      <c r="BK103" s="264">
        <f t="shared" si="1537"/>
        <v>5.6052336708772667E-2</v>
      </c>
      <c r="BL103" s="264">
        <f t="shared" si="1537"/>
        <v>5.6052336708772667E-2</v>
      </c>
      <c r="BM103" s="264">
        <f t="shared" si="1537"/>
        <v>5.605233670877266E-2</v>
      </c>
      <c r="BN103" s="264">
        <f t="shared" si="1537"/>
        <v>5.6052336708772667E-2</v>
      </c>
      <c r="BO103" s="264">
        <f t="shared" si="1537"/>
        <v>5.6052336708772667E-2</v>
      </c>
      <c r="BP103" s="264">
        <f t="shared" si="1537"/>
        <v>5.6052336708772667E-2</v>
      </c>
      <c r="BQ103" s="264">
        <f t="shared" si="1537"/>
        <v>5.6052336708772667E-2</v>
      </c>
      <c r="BR103" s="264">
        <f t="shared" si="1537"/>
        <v>5.605233670877266E-2</v>
      </c>
      <c r="BS103" s="264">
        <f t="shared" si="1537"/>
        <v>5.605233670877266E-2</v>
      </c>
      <c r="BT103" s="264">
        <f t="shared" si="1537"/>
        <v>5.6052336708772667E-2</v>
      </c>
      <c r="BU103" s="264">
        <f t="shared" si="1537"/>
        <v>5.6052336708772667E-2</v>
      </c>
      <c r="BV103" s="264">
        <f t="shared" si="1537"/>
        <v>5.605233670877266E-2</v>
      </c>
      <c r="BW103" s="264">
        <f t="shared" si="1537"/>
        <v>5.6052336708772667E-2</v>
      </c>
      <c r="BX103" s="264">
        <f t="shared" si="1537"/>
        <v>5.605233670877266E-2</v>
      </c>
      <c r="BY103" s="264">
        <f t="shared" si="1537"/>
        <v>5.6052336708772667E-2</v>
      </c>
      <c r="BZ103" s="264">
        <f t="shared" si="1537"/>
        <v>5.605233670877266E-2</v>
      </c>
      <c r="CA103" s="264">
        <f t="shared" si="1537"/>
        <v>5.605233670877266E-2</v>
      </c>
      <c r="CB103" s="264">
        <f t="shared" si="1537"/>
        <v>5.605233670877266E-2</v>
      </c>
      <c r="CC103" s="264">
        <f t="shared" si="1537"/>
        <v>5.6052336708772674E-2</v>
      </c>
      <c r="CD103" s="264">
        <f t="shared" si="1537"/>
        <v>5.605233670877266E-2</v>
      </c>
      <c r="CE103" s="264">
        <f t="shared" si="1537"/>
        <v>5.6052336708772653E-2</v>
      </c>
      <c r="CF103" s="264">
        <f t="shared" ref="CF103:DK103" si="1538">-SUM(CF122:CF123,CF132)/SUM(CF120,CF130)</f>
        <v>5.6052336708772667E-2</v>
      </c>
      <c r="CG103" s="264">
        <f t="shared" si="1538"/>
        <v>5.605233670877266E-2</v>
      </c>
      <c r="CH103" s="264">
        <f t="shared" si="1538"/>
        <v>5.605233670877266E-2</v>
      </c>
      <c r="CI103" s="264">
        <f t="shared" si="1538"/>
        <v>5.6052336708772667E-2</v>
      </c>
      <c r="CJ103" s="264">
        <f t="shared" si="1538"/>
        <v>5.6052336708772667E-2</v>
      </c>
      <c r="CK103" s="264">
        <f t="shared" si="1538"/>
        <v>5.6052336708772674E-2</v>
      </c>
      <c r="CL103" s="264">
        <f t="shared" si="1538"/>
        <v>5.6052336708772667E-2</v>
      </c>
      <c r="CM103" s="264">
        <f t="shared" si="1538"/>
        <v>5.6052336708772667E-2</v>
      </c>
      <c r="CN103" s="264">
        <f t="shared" si="1538"/>
        <v>5.6052336708772653E-2</v>
      </c>
      <c r="CO103" s="264">
        <f t="shared" si="1538"/>
        <v>5.605233670877266E-2</v>
      </c>
      <c r="CP103" s="264">
        <f t="shared" si="1538"/>
        <v>5.605233670877266E-2</v>
      </c>
      <c r="CQ103" s="264">
        <f t="shared" si="1538"/>
        <v>5.6052336708772667E-2</v>
      </c>
      <c r="CR103" s="264">
        <f t="shared" si="1538"/>
        <v>5.605233670877266E-2</v>
      </c>
      <c r="CS103" s="264">
        <f t="shared" si="1538"/>
        <v>5.6052336708772674E-2</v>
      </c>
      <c r="CT103" s="264">
        <f t="shared" si="1538"/>
        <v>5.605233670877266E-2</v>
      </c>
      <c r="CU103" s="264">
        <f t="shared" si="1538"/>
        <v>5.6052336708772667E-2</v>
      </c>
      <c r="CV103" s="264">
        <f t="shared" si="1538"/>
        <v>5.6052336708772667E-2</v>
      </c>
      <c r="CW103" s="264">
        <f t="shared" si="1538"/>
        <v>5.6052336708772667E-2</v>
      </c>
      <c r="CX103" s="264">
        <f t="shared" si="1538"/>
        <v>5.6052336708772667E-2</v>
      </c>
      <c r="CY103" s="264">
        <f t="shared" si="1538"/>
        <v>5.6052336708772667E-2</v>
      </c>
      <c r="CZ103" s="264">
        <f t="shared" si="1538"/>
        <v>5.605233670877266E-2</v>
      </c>
      <c r="DA103" s="264">
        <f t="shared" si="1538"/>
        <v>5.6052336708772667E-2</v>
      </c>
      <c r="DB103" s="264">
        <f t="shared" si="1538"/>
        <v>5.605233670877266E-2</v>
      </c>
      <c r="DC103" s="264">
        <f t="shared" si="1538"/>
        <v>5.6052336708772674E-2</v>
      </c>
      <c r="DD103" s="264">
        <f t="shared" si="1538"/>
        <v>5.6052336708772667E-2</v>
      </c>
      <c r="DE103" s="264">
        <f t="shared" si="1538"/>
        <v>5.605233670877266E-2</v>
      </c>
      <c r="DF103" s="264">
        <f t="shared" si="1538"/>
        <v>5.605233670877266E-2</v>
      </c>
      <c r="DG103" s="264">
        <f t="shared" si="1538"/>
        <v>5.605233670877266E-2</v>
      </c>
      <c r="DH103" s="264">
        <f t="shared" si="1538"/>
        <v>5.6052336708772667E-2</v>
      </c>
      <c r="DI103" s="264">
        <f t="shared" si="1538"/>
        <v>5.6052336708772667E-2</v>
      </c>
      <c r="DJ103" s="264">
        <f t="shared" si="1538"/>
        <v>5.605233670877266E-2</v>
      </c>
      <c r="DK103" s="264">
        <f t="shared" si="1538"/>
        <v>5.6052336708772667E-2</v>
      </c>
      <c r="DL103" s="264">
        <f t="shared" ref="DL103:EU103" si="1539">-SUM(DL122:DL123,DL132)/SUM(DL120,DL130)</f>
        <v>5.605233670877266E-2</v>
      </c>
      <c r="DM103" s="264">
        <f t="shared" si="1539"/>
        <v>5.605233670877266E-2</v>
      </c>
      <c r="DN103" s="264">
        <f t="shared" si="1539"/>
        <v>5.6052336708772674E-2</v>
      </c>
      <c r="DO103" s="264">
        <f t="shared" si="1539"/>
        <v>5.6052336708772674E-2</v>
      </c>
      <c r="DP103" s="264">
        <f t="shared" si="1539"/>
        <v>5.605233670877266E-2</v>
      </c>
      <c r="DQ103" s="264">
        <f t="shared" si="1539"/>
        <v>5.6052336708772667E-2</v>
      </c>
      <c r="DR103" s="264">
        <f t="shared" si="1539"/>
        <v>5.605233670877266E-2</v>
      </c>
      <c r="DS103" s="264">
        <f t="shared" si="1539"/>
        <v>5.6052336708772667E-2</v>
      </c>
      <c r="DT103" s="264">
        <f t="shared" si="1539"/>
        <v>5.605233670877266E-2</v>
      </c>
      <c r="DU103" s="264">
        <f t="shared" si="1539"/>
        <v>5.6052336708772674E-2</v>
      </c>
      <c r="DV103" s="264">
        <f t="shared" si="1539"/>
        <v>5.6052336708772667E-2</v>
      </c>
      <c r="DW103" s="264">
        <f t="shared" si="1539"/>
        <v>5.6052336708772667E-2</v>
      </c>
      <c r="DX103" s="264">
        <f t="shared" si="1539"/>
        <v>5.6052336708772653E-2</v>
      </c>
      <c r="DY103" s="264">
        <f t="shared" si="1539"/>
        <v>5.6052336708772667E-2</v>
      </c>
      <c r="DZ103" s="264">
        <f t="shared" si="1539"/>
        <v>5.605233670877266E-2</v>
      </c>
      <c r="EA103" s="264">
        <f t="shared" si="1539"/>
        <v>5.6052336708772667E-2</v>
      </c>
      <c r="EB103" s="264">
        <f t="shared" si="1539"/>
        <v>5.605233670877266E-2</v>
      </c>
      <c r="EC103" s="264">
        <f t="shared" si="1539"/>
        <v>5.6052336708772667E-2</v>
      </c>
      <c r="ED103" s="264">
        <f t="shared" si="1539"/>
        <v>5.6052336708772674E-2</v>
      </c>
      <c r="EE103" s="264">
        <f t="shared" si="1539"/>
        <v>5.6052336708772653E-2</v>
      </c>
      <c r="EF103" s="264">
        <f t="shared" si="1539"/>
        <v>5.6052336708772667E-2</v>
      </c>
      <c r="EG103" s="264">
        <f t="shared" si="1539"/>
        <v>5.6052336708772667E-2</v>
      </c>
      <c r="EH103" s="264">
        <f t="shared" si="1539"/>
        <v>5.6052336708772667E-2</v>
      </c>
      <c r="EI103" s="264">
        <f t="shared" si="1539"/>
        <v>5.6052336708772674E-2</v>
      </c>
      <c r="EJ103" s="264">
        <f t="shared" si="1539"/>
        <v>5.6052336708772674E-2</v>
      </c>
      <c r="EK103" s="264">
        <f t="shared" si="1539"/>
        <v>5.6052336708772667E-2</v>
      </c>
      <c r="EL103" s="264">
        <f t="shared" si="1539"/>
        <v>5.6052336708772653E-2</v>
      </c>
      <c r="EM103" s="264">
        <f t="shared" si="1539"/>
        <v>5.605233670877266E-2</v>
      </c>
      <c r="EN103" s="264">
        <f t="shared" si="1539"/>
        <v>5.6052336708772667E-2</v>
      </c>
      <c r="EO103" s="264">
        <f t="shared" si="1539"/>
        <v>5.6052336708772667E-2</v>
      </c>
      <c r="EP103" s="264">
        <f t="shared" si="1539"/>
        <v>5.6052336708772667E-2</v>
      </c>
      <c r="EQ103" s="264">
        <f t="shared" si="1539"/>
        <v>5.6052336708772653E-2</v>
      </c>
      <c r="ER103" s="264">
        <f t="shared" si="1539"/>
        <v>5.605233670877266E-2</v>
      </c>
      <c r="ES103" s="264">
        <f t="shared" si="1539"/>
        <v>5.6052336708772667E-2</v>
      </c>
      <c r="ET103" s="264">
        <f t="shared" si="1539"/>
        <v>5.6052336708772674E-2</v>
      </c>
      <c r="EU103" s="264">
        <f t="shared" si="1539"/>
        <v>5.605233670877266E-2</v>
      </c>
      <c r="EW103" s="199" t="str">
        <f>+EW76</f>
        <v>Junior Loan</v>
      </c>
      <c r="FC103" s="199" t="str">
        <f t="shared" ref="FC103:GH103" si="1540">IF(ISNUMBER(FB103),FB103,IF(AND(FB103="",FC76&gt;0),FC73,""))</f>
        <v/>
      </c>
      <c r="FD103" s="199" t="str">
        <f t="shared" si="1540"/>
        <v/>
      </c>
      <c r="FE103" s="199" t="str">
        <f t="shared" si="1540"/>
        <v/>
      </c>
      <c r="FF103" s="199" t="str">
        <f t="shared" si="1540"/>
        <v/>
      </c>
      <c r="FG103" s="199" t="str">
        <f t="shared" si="1540"/>
        <v/>
      </c>
      <c r="FH103" s="199" t="str">
        <f t="shared" si="1540"/>
        <v/>
      </c>
      <c r="FI103" s="199" t="str">
        <f t="shared" si="1540"/>
        <v/>
      </c>
      <c r="FJ103" s="199" t="str">
        <f t="shared" si="1540"/>
        <v/>
      </c>
      <c r="FK103" s="199" t="str">
        <f t="shared" si="1540"/>
        <v/>
      </c>
      <c r="FL103" s="199" t="str">
        <f t="shared" si="1540"/>
        <v/>
      </c>
      <c r="FM103" s="199" t="str">
        <f t="shared" si="1540"/>
        <v/>
      </c>
      <c r="FN103" s="199" t="str">
        <f t="shared" si="1540"/>
        <v/>
      </c>
      <c r="FO103" s="199" t="str">
        <f t="shared" si="1540"/>
        <v/>
      </c>
      <c r="FP103" s="199" t="str">
        <f t="shared" si="1540"/>
        <v/>
      </c>
      <c r="FQ103" s="199" t="str">
        <f t="shared" si="1540"/>
        <v/>
      </c>
      <c r="FR103" s="199" t="str">
        <f t="shared" si="1540"/>
        <v/>
      </c>
      <c r="FS103" s="199" t="str">
        <f t="shared" si="1540"/>
        <v/>
      </c>
      <c r="FT103" s="199" t="str">
        <f t="shared" si="1540"/>
        <v/>
      </c>
      <c r="FU103" s="199" t="str">
        <f t="shared" si="1540"/>
        <v/>
      </c>
      <c r="FV103" s="199" t="str">
        <f t="shared" si="1540"/>
        <v/>
      </c>
      <c r="FW103" s="199" t="str">
        <f t="shared" si="1540"/>
        <v/>
      </c>
      <c r="FX103" s="199" t="str">
        <f t="shared" si="1540"/>
        <v/>
      </c>
      <c r="FY103" s="199" t="str">
        <f t="shared" si="1540"/>
        <v/>
      </c>
      <c r="FZ103" s="199" t="str">
        <f t="shared" si="1540"/>
        <v/>
      </c>
      <c r="GA103" s="199" t="str">
        <f t="shared" si="1540"/>
        <v/>
      </c>
      <c r="GB103" s="199" t="str">
        <f t="shared" si="1540"/>
        <v/>
      </c>
      <c r="GC103" s="199" t="str">
        <f t="shared" si="1540"/>
        <v/>
      </c>
      <c r="GD103" s="199" t="str">
        <f t="shared" si="1540"/>
        <v/>
      </c>
      <c r="GE103" s="199" t="str">
        <f t="shared" si="1540"/>
        <v/>
      </c>
      <c r="GF103" s="199" t="str">
        <f t="shared" si="1540"/>
        <v/>
      </c>
      <c r="GG103" s="199" t="str">
        <f t="shared" si="1540"/>
        <v/>
      </c>
      <c r="GH103" s="199" t="str">
        <f t="shared" si="1540"/>
        <v/>
      </c>
      <c r="GI103" s="199" t="str">
        <f t="shared" ref="GI103:HN103" si="1541">IF(ISNUMBER(GH103),GH103,IF(AND(GH103="",GI76&gt;0),GI73,""))</f>
        <v/>
      </c>
      <c r="GJ103" s="199" t="str">
        <f t="shared" si="1541"/>
        <v/>
      </c>
      <c r="GK103" s="199" t="str">
        <f t="shared" si="1541"/>
        <v/>
      </c>
      <c r="GL103" s="199" t="str">
        <f t="shared" si="1541"/>
        <v/>
      </c>
      <c r="GM103" s="199" t="str">
        <f t="shared" si="1541"/>
        <v/>
      </c>
      <c r="GN103" s="199" t="str">
        <f t="shared" si="1541"/>
        <v/>
      </c>
      <c r="GO103" s="199" t="str">
        <f t="shared" si="1541"/>
        <v/>
      </c>
      <c r="GP103" s="199" t="str">
        <f t="shared" si="1541"/>
        <v/>
      </c>
      <c r="GQ103" s="199" t="str">
        <f t="shared" si="1541"/>
        <v/>
      </c>
      <c r="GR103" s="199" t="str">
        <f t="shared" si="1541"/>
        <v/>
      </c>
      <c r="GS103" s="199" t="str">
        <f t="shared" si="1541"/>
        <v/>
      </c>
      <c r="GT103" s="199" t="str">
        <f t="shared" si="1541"/>
        <v/>
      </c>
      <c r="GU103" s="199" t="str">
        <f t="shared" si="1541"/>
        <v/>
      </c>
      <c r="GV103" s="199" t="str">
        <f t="shared" si="1541"/>
        <v/>
      </c>
      <c r="GW103" s="199" t="str">
        <f t="shared" si="1541"/>
        <v/>
      </c>
      <c r="GX103" s="199" t="str">
        <f t="shared" si="1541"/>
        <v/>
      </c>
      <c r="GY103" s="199" t="str">
        <f t="shared" si="1541"/>
        <v/>
      </c>
      <c r="GZ103" s="199" t="str">
        <f t="shared" si="1541"/>
        <v/>
      </c>
      <c r="HA103" s="199" t="str">
        <f t="shared" si="1541"/>
        <v/>
      </c>
      <c r="HB103" s="199" t="str">
        <f t="shared" si="1541"/>
        <v/>
      </c>
      <c r="HC103" s="199" t="str">
        <f t="shared" si="1541"/>
        <v/>
      </c>
      <c r="HD103" s="199" t="str">
        <f t="shared" si="1541"/>
        <v/>
      </c>
      <c r="HE103" s="199" t="str">
        <f t="shared" si="1541"/>
        <v/>
      </c>
      <c r="HF103" s="199" t="str">
        <f t="shared" si="1541"/>
        <v/>
      </c>
      <c r="HG103" s="199" t="str">
        <f t="shared" si="1541"/>
        <v/>
      </c>
      <c r="HH103" s="199" t="str">
        <f t="shared" si="1541"/>
        <v/>
      </c>
      <c r="HI103" s="199" t="str">
        <f t="shared" si="1541"/>
        <v/>
      </c>
      <c r="HJ103" s="199" t="str">
        <f t="shared" si="1541"/>
        <v/>
      </c>
      <c r="HK103" s="199" t="str">
        <f t="shared" si="1541"/>
        <v/>
      </c>
      <c r="HL103" s="199" t="str">
        <f t="shared" si="1541"/>
        <v/>
      </c>
      <c r="HM103" s="199" t="str">
        <f t="shared" si="1541"/>
        <v/>
      </c>
      <c r="HN103" s="199" t="str">
        <f t="shared" si="1541"/>
        <v/>
      </c>
      <c r="HO103" s="199" t="str">
        <f t="shared" ref="HO103:IT103" si="1542">IF(ISNUMBER(HN103),HN103,IF(AND(HN103="",HO76&gt;0),HO73,""))</f>
        <v/>
      </c>
      <c r="HP103" s="199" t="str">
        <f t="shared" si="1542"/>
        <v/>
      </c>
      <c r="HQ103" s="199" t="str">
        <f t="shared" si="1542"/>
        <v/>
      </c>
      <c r="HR103" s="199" t="str">
        <f t="shared" si="1542"/>
        <v/>
      </c>
      <c r="HS103" s="199" t="str">
        <f t="shared" si="1542"/>
        <v/>
      </c>
      <c r="HT103" s="199" t="str">
        <f t="shared" si="1542"/>
        <v/>
      </c>
      <c r="HU103" s="199" t="str">
        <f t="shared" si="1542"/>
        <v/>
      </c>
      <c r="HV103" s="199" t="str">
        <f t="shared" si="1542"/>
        <v/>
      </c>
      <c r="HW103" s="199" t="str">
        <f t="shared" si="1542"/>
        <v/>
      </c>
      <c r="HX103" s="199" t="str">
        <f t="shared" si="1542"/>
        <v/>
      </c>
      <c r="HY103" s="199" t="str">
        <f t="shared" si="1542"/>
        <v/>
      </c>
      <c r="HZ103" s="199" t="str">
        <f t="shared" si="1542"/>
        <v/>
      </c>
      <c r="IA103" s="199" t="str">
        <f t="shared" si="1542"/>
        <v/>
      </c>
      <c r="IB103" s="199" t="str">
        <f t="shared" si="1542"/>
        <v/>
      </c>
      <c r="IC103" s="199" t="str">
        <f t="shared" si="1542"/>
        <v/>
      </c>
      <c r="ID103" s="199" t="str">
        <f t="shared" si="1542"/>
        <v/>
      </c>
      <c r="IE103" s="199" t="str">
        <f t="shared" si="1542"/>
        <v/>
      </c>
      <c r="IF103" s="199" t="str">
        <f t="shared" si="1542"/>
        <v/>
      </c>
      <c r="IG103" s="199" t="str">
        <f t="shared" si="1542"/>
        <v/>
      </c>
      <c r="IH103" s="199" t="str">
        <f t="shared" si="1542"/>
        <v/>
      </c>
      <c r="II103" s="199" t="str">
        <f t="shared" si="1542"/>
        <v/>
      </c>
      <c r="IJ103" s="199" t="str">
        <f t="shared" si="1542"/>
        <v/>
      </c>
      <c r="IK103" s="199" t="str">
        <f t="shared" si="1542"/>
        <v/>
      </c>
      <c r="IL103" s="199" t="str">
        <f t="shared" si="1542"/>
        <v/>
      </c>
      <c r="IM103" s="199" t="str">
        <f t="shared" si="1542"/>
        <v/>
      </c>
      <c r="IN103" s="199" t="str">
        <f t="shared" si="1542"/>
        <v/>
      </c>
      <c r="IO103" s="199" t="str">
        <f t="shared" si="1542"/>
        <v/>
      </c>
      <c r="IP103" s="199" t="str">
        <f t="shared" si="1542"/>
        <v/>
      </c>
      <c r="IQ103" s="199" t="str">
        <f t="shared" si="1542"/>
        <v/>
      </c>
      <c r="IR103" s="199" t="str">
        <f t="shared" si="1542"/>
        <v/>
      </c>
      <c r="IS103" s="199" t="str">
        <f t="shared" si="1542"/>
        <v/>
      </c>
      <c r="IT103" s="199" t="str">
        <f t="shared" si="1542"/>
        <v/>
      </c>
      <c r="IU103" s="199" t="str">
        <f t="shared" ref="IU103:KE103" si="1543">IF(ISNUMBER(IT103),IT103,IF(AND(IT103="",IU76&gt;0),IU73,""))</f>
        <v/>
      </c>
      <c r="IV103" s="199" t="str">
        <f t="shared" si="1543"/>
        <v/>
      </c>
      <c r="IW103" s="199" t="str">
        <f t="shared" si="1543"/>
        <v/>
      </c>
      <c r="IX103" s="199" t="str">
        <f t="shared" si="1543"/>
        <v/>
      </c>
      <c r="IY103" s="199" t="str">
        <f t="shared" si="1543"/>
        <v/>
      </c>
      <c r="IZ103" s="199" t="str">
        <f t="shared" si="1543"/>
        <v/>
      </c>
      <c r="JA103" s="199" t="str">
        <f t="shared" si="1543"/>
        <v/>
      </c>
      <c r="JB103" s="199" t="str">
        <f t="shared" si="1543"/>
        <v/>
      </c>
      <c r="JC103" s="199" t="str">
        <f t="shared" si="1543"/>
        <v/>
      </c>
      <c r="JD103" s="199" t="str">
        <f t="shared" si="1543"/>
        <v/>
      </c>
      <c r="JE103" s="199" t="str">
        <f t="shared" si="1543"/>
        <v/>
      </c>
      <c r="JF103" s="199" t="str">
        <f t="shared" si="1543"/>
        <v/>
      </c>
      <c r="JG103" s="199" t="str">
        <f t="shared" si="1543"/>
        <v/>
      </c>
      <c r="JH103" s="199" t="str">
        <f t="shared" si="1543"/>
        <v/>
      </c>
      <c r="JI103" s="199" t="str">
        <f t="shared" si="1543"/>
        <v/>
      </c>
      <c r="JJ103" s="199" t="str">
        <f t="shared" si="1543"/>
        <v/>
      </c>
      <c r="JK103" s="199" t="str">
        <f t="shared" si="1543"/>
        <v/>
      </c>
      <c r="JL103" s="199" t="str">
        <f t="shared" si="1543"/>
        <v/>
      </c>
      <c r="JM103" s="199" t="str">
        <f t="shared" si="1543"/>
        <v/>
      </c>
      <c r="JN103" s="199" t="str">
        <f t="shared" si="1543"/>
        <v/>
      </c>
      <c r="JO103" s="199" t="str">
        <f t="shared" si="1543"/>
        <v/>
      </c>
      <c r="JP103" s="199" t="str">
        <f t="shared" si="1543"/>
        <v/>
      </c>
      <c r="JQ103" s="199" t="str">
        <f t="shared" si="1543"/>
        <v/>
      </c>
      <c r="JR103" s="199" t="str">
        <f t="shared" si="1543"/>
        <v/>
      </c>
      <c r="JS103" s="199" t="str">
        <f t="shared" si="1543"/>
        <v/>
      </c>
      <c r="JT103" s="199" t="str">
        <f t="shared" si="1543"/>
        <v/>
      </c>
      <c r="JU103" s="199" t="str">
        <f t="shared" si="1543"/>
        <v/>
      </c>
      <c r="JV103" s="199" t="str">
        <f t="shared" si="1543"/>
        <v/>
      </c>
      <c r="JW103" s="199" t="str">
        <f t="shared" si="1543"/>
        <v/>
      </c>
      <c r="JX103" s="199" t="str">
        <f t="shared" si="1543"/>
        <v/>
      </c>
      <c r="JY103" s="199" t="str">
        <f t="shared" si="1543"/>
        <v/>
      </c>
      <c r="JZ103" s="199" t="str">
        <f t="shared" si="1543"/>
        <v/>
      </c>
      <c r="KA103" s="199" t="str">
        <f t="shared" si="1543"/>
        <v/>
      </c>
      <c r="KB103" s="199" t="str">
        <f t="shared" si="1543"/>
        <v/>
      </c>
      <c r="KC103" s="199" t="str">
        <f t="shared" si="1543"/>
        <v/>
      </c>
      <c r="KD103" s="199" t="str">
        <f t="shared" si="1543"/>
        <v/>
      </c>
      <c r="KE103" s="199" t="str">
        <f t="shared" si="1543"/>
        <v/>
      </c>
      <c r="PQ103" s="201"/>
      <c r="PR103" s="201"/>
      <c r="PS103" s="201"/>
      <c r="PT103" s="201"/>
      <c r="PU103" s="201"/>
      <c r="PV103" s="201"/>
      <c r="PW103" s="201"/>
      <c r="PX103" s="201"/>
      <c r="PY103" s="201"/>
      <c r="PZ103" s="201"/>
      <c r="QA103" s="201"/>
      <c r="QB103" s="201"/>
      <c r="QC103" s="201"/>
      <c r="QD103" s="201"/>
      <c r="QE103" s="201"/>
      <c r="QF103" s="201"/>
      <c r="QG103" s="201"/>
      <c r="QH103" s="201"/>
      <c r="QI103" s="201"/>
      <c r="QJ103" s="201"/>
      <c r="QK103" s="201"/>
      <c r="QL103" s="201"/>
      <c r="QM103" s="201"/>
      <c r="QN103" s="201"/>
      <c r="QO103" s="201"/>
      <c r="QP103" s="201"/>
      <c r="QQ103" s="201"/>
      <c r="QR103" s="201"/>
      <c r="QS103" s="201"/>
      <c r="QT103" s="201"/>
      <c r="QU103" s="201"/>
      <c r="QV103" s="201"/>
      <c r="QW103" s="201"/>
      <c r="QX103" s="201"/>
      <c r="QY103" s="201"/>
      <c r="QZ103" s="201"/>
      <c r="RA103" s="201"/>
      <c r="RB103" s="201"/>
      <c r="RC103" s="201"/>
      <c r="RD103" s="201"/>
      <c r="RE103" s="201"/>
      <c r="RF103" s="201"/>
      <c r="RG103" s="201"/>
      <c r="RH103" s="201"/>
      <c r="RI103" s="201"/>
      <c r="RJ103" s="201"/>
      <c r="RK103" s="201"/>
      <c r="RL103" s="201"/>
      <c r="RM103" s="201"/>
      <c r="RN103" s="201"/>
      <c r="RO103" s="201"/>
      <c r="RP103" s="201"/>
      <c r="RQ103" s="201"/>
      <c r="RR103" s="201"/>
      <c r="RS103" s="201"/>
      <c r="RT103" s="201"/>
      <c r="RU103" s="201"/>
      <c r="RV103" s="201"/>
      <c r="RW103" s="201"/>
      <c r="RX103" s="201"/>
      <c r="RY103" s="201"/>
      <c r="RZ103" s="201"/>
      <c r="SA103" s="201"/>
      <c r="SB103" s="201"/>
      <c r="SC103" s="201"/>
      <c r="SD103" s="201"/>
      <c r="SE103" s="201"/>
      <c r="SF103" s="201"/>
      <c r="SG103" s="201"/>
      <c r="SH103" s="201"/>
      <c r="SI103" s="201"/>
      <c r="SJ103" s="201"/>
      <c r="SK103" s="201"/>
      <c r="SL103" s="201"/>
      <c r="SM103" s="201"/>
      <c r="SN103" s="201"/>
      <c r="SO103" s="201"/>
      <c r="SP103" s="201"/>
      <c r="SQ103" s="201"/>
      <c r="SR103" s="201"/>
      <c r="SS103" s="201"/>
      <c r="ST103" s="201"/>
      <c r="SU103" s="201"/>
      <c r="SV103" s="201"/>
      <c r="SW103" s="201"/>
      <c r="SX103" s="201"/>
      <c r="SY103" s="201"/>
      <c r="SZ103" s="201"/>
      <c r="TA103" s="201"/>
      <c r="TB103" s="201"/>
      <c r="TC103" s="201"/>
      <c r="TD103" s="201"/>
      <c r="TE103" s="201"/>
      <c r="TF103" s="201"/>
      <c r="TG103" s="201"/>
      <c r="TH103" s="201"/>
      <c r="TI103" s="201"/>
      <c r="TJ103" s="201"/>
      <c r="TK103" s="201"/>
      <c r="TL103" s="201"/>
      <c r="TM103" s="201"/>
      <c r="TN103" s="201"/>
      <c r="TO103" s="201"/>
      <c r="TP103" s="201"/>
      <c r="TQ103" s="201"/>
      <c r="TR103" s="201"/>
      <c r="TS103" s="201"/>
      <c r="TT103" s="201"/>
      <c r="TU103" s="201"/>
      <c r="TV103" s="201"/>
      <c r="TW103" s="201"/>
      <c r="TX103" s="201"/>
      <c r="TY103" s="201"/>
      <c r="TZ103" s="201"/>
      <c r="UA103" s="201"/>
      <c r="UB103" s="201"/>
      <c r="UC103" s="201"/>
      <c r="UD103" s="201"/>
      <c r="UE103" s="201"/>
      <c r="UF103" s="201"/>
      <c r="UG103" s="201"/>
      <c r="UH103" s="201"/>
      <c r="UI103" s="201"/>
      <c r="UJ103" s="201"/>
      <c r="UK103" s="201"/>
      <c r="UL103" s="201"/>
      <c r="UM103" s="201"/>
      <c r="UN103" s="201"/>
      <c r="UO103" s="201"/>
      <c r="UP103" s="201"/>
      <c r="UQ103" s="201"/>
      <c r="UR103" s="201"/>
      <c r="US103" s="201"/>
      <c r="UT103" s="201"/>
      <c r="UU103" s="201"/>
    </row>
    <row r="104" spans="2:567" x14ac:dyDescent="0.25">
      <c r="B104" s="54" t="s">
        <v>717</v>
      </c>
      <c r="C104" s="467">
        <v>0</v>
      </c>
      <c r="D104" s="105">
        <v>2.5000000000000001E-2</v>
      </c>
      <c r="E104" s="105">
        <v>2.5000000000000001E-2</v>
      </c>
      <c r="F104" s="105">
        <v>2.5000000000000001E-2</v>
      </c>
      <c r="G104" s="105">
        <v>2.5000000000000001E-2</v>
      </c>
      <c r="H104" s="67">
        <v>2.5000000000000001E-2</v>
      </c>
      <c r="I104" s="141" t="s">
        <v>142</v>
      </c>
      <c r="J104" s="34"/>
      <c r="K104" s="32">
        <v>1</v>
      </c>
      <c r="M104" s="3" t="s">
        <v>838</v>
      </c>
      <c r="R104" s="263" t="str">
        <f>"Effective Rent/"&amp;Unit_Measure&amp;"/Mo"</f>
        <v>Effective Rent/SF/Mo</v>
      </c>
      <c r="S104" s="159"/>
      <c r="T104" s="265">
        <f>T124/$D$120/$C$120</f>
        <v>1.6743213675213675</v>
      </c>
      <c r="U104" s="265">
        <f t="shared" ref="U104:CF104" si="1544">U124/$D$120/$C$120</f>
        <v>1.6908712912087913</v>
      </c>
      <c r="V104" s="265">
        <f t="shared" si="1544"/>
        <v>1.7074971459096457</v>
      </c>
      <c r="W104" s="265">
        <f t="shared" si="1544"/>
        <v>1.7241989316239317</v>
      </c>
      <c r="X104" s="265">
        <f t="shared" si="1544"/>
        <v>1.7409766483516482</v>
      </c>
      <c r="Y104" s="265">
        <f t="shared" si="1544"/>
        <v>1.7578302960927961</v>
      </c>
      <c r="Z104" s="265">
        <f t="shared" si="1544"/>
        <v>1.7747598748473747</v>
      </c>
      <c r="AA104" s="265">
        <f t="shared" si="1544"/>
        <v>1.7917653846153845</v>
      </c>
      <c r="AB104" s="265">
        <f t="shared" si="1544"/>
        <v>1.8088468253968255</v>
      </c>
      <c r="AC104" s="265">
        <f t="shared" si="1544"/>
        <v>1.8260041971916974</v>
      </c>
      <c r="AD104" s="265">
        <f t="shared" si="1544"/>
        <v>1.8432374999999999</v>
      </c>
      <c r="AE104" s="265">
        <f t="shared" si="1544"/>
        <v>1.8605467338217341</v>
      </c>
      <c r="AF104" s="265">
        <f t="shared" si="1544"/>
        <v>1.8818001308940469</v>
      </c>
      <c r="AG104" s="265">
        <f t="shared" si="1544"/>
        <v>1.9032094349880611</v>
      </c>
      <c r="AH104" s="265">
        <f t="shared" si="1544"/>
        <v>1.9247753552635325</v>
      </c>
      <c r="AI104" s="265">
        <f t="shared" si="1544"/>
        <v>1.9464986034637177</v>
      </c>
      <c r="AJ104" s="265">
        <f t="shared" si="1544"/>
        <v>1.9683798939236761</v>
      </c>
      <c r="AK104" s="265">
        <f t="shared" si="1544"/>
        <v>1.9904199435785972</v>
      </c>
      <c r="AL104" s="265">
        <f t="shared" si="1544"/>
        <v>2.0126194719721471</v>
      </c>
      <c r="AM104" s="265">
        <f t="shared" si="1544"/>
        <v>2.0349792012648438</v>
      </c>
      <c r="AN104" s="265">
        <f t="shared" si="1544"/>
        <v>2.0574998562424613</v>
      </c>
      <c r="AO104" s="265">
        <f t="shared" si="1544"/>
        <v>2.0801821643244449</v>
      </c>
      <c r="AP104" s="265">
        <f t="shared" si="1544"/>
        <v>2.1030268555723692</v>
      </c>
      <c r="AQ104" s="265">
        <f t="shared" si="1544"/>
        <v>2.1260346626984092</v>
      </c>
      <c r="AR104" s="265">
        <f t="shared" si="1544"/>
        <v>2.2236895128205201</v>
      </c>
      <c r="AS104" s="265">
        <f t="shared" si="1544"/>
        <v>2.2282699491318967</v>
      </c>
      <c r="AT104" s="265">
        <f t="shared" si="1544"/>
        <v>2.2328598203921191</v>
      </c>
      <c r="AU104" s="265">
        <f t="shared" si="1544"/>
        <v>2.2374591460356372</v>
      </c>
      <c r="AV104" s="265">
        <f t="shared" si="1544"/>
        <v>2.2420679455369328</v>
      </c>
      <c r="AW104" s="265">
        <f t="shared" si="1544"/>
        <v>2.2466862384106023</v>
      </c>
      <c r="AX104" s="265">
        <f t="shared" si="1544"/>
        <v>2.251314044211437</v>
      </c>
      <c r="AY104" s="265">
        <f t="shared" si="1544"/>
        <v>2.2559513825345094</v>
      </c>
      <c r="AZ104" s="265">
        <f t="shared" si="1544"/>
        <v>2.2605982730152556</v>
      </c>
      <c r="BA104" s="265">
        <f t="shared" si="1544"/>
        <v>2.2652547353295569</v>
      </c>
      <c r="BB104" s="265">
        <f t="shared" si="1544"/>
        <v>2.2699207891938213</v>
      </c>
      <c r="BC104" s="265">
        <f t="shared" si="1544"/>
        <v>2.274596454365073</v>
      </c>
      <c r="BD104" s="265">
        <f t="shared" si="1544"/>
        <v>2.2792817506410299</v>
      </c>
      <c r="BE104" s="265">
        <f t="shared" si="1544"/>
        <v>2.2839766978601905</v>
      </c>
      <c r="BF104" s="265">
        <f t="shared" si="1544"/>
        <v>2.2886813159019193</v>
      </c>
      <c r="BG104" s="265">
        <f t="shared" si="1544"/>
        <v>2.2933956246865255</v>
      </c>
      <c r="BH104" s="265">
        <f t="shared" si="1544"/>
        <v>2.2981196441753529</v>
      </c>
      <c r="BI104" s="265">
        <f t="shared" si="1544"/>
        <v>2.3028533943708633</v>
      </c>
      <c r="BJ104" s="265">
        <f t="shared" si="1544"/>
        <v>2.3075968953167192</v>
      </c>
      <c r="BK104" s="265">
        <f t="shared" si="1544"/>
        <v>2.3123501670978688</v>
      </c>
      <c r="BL104" s="265">
        <f t="shared" si="1544"/>
        <v>2.3171132298406341</v>
      </c>
      <c r="BM104" s="265">
        <f t="shared" si="1544"/>
        <v>2.3218861037127922</v>
      </c>
      <c r="BN104" s="265">
        <f t="shared" si="1544"/>
        <v>2.3266688089236642</v>
      </c>
      <c r="BO104" s="265">
        <f t="shared" si="1544"/>
        <v>2.3314613657241967</v>
      </c>
      <c r="BP104" s="265">
        <f t="shared" si="1544"/>
        <v>2.3362637944070523</v>
      </c>
      <c r="BQ104" s="265">
        <f t="shared" si="1544"/>
        <v>2.3410761153066928</v>
      </c>
      <c r="BR104" s="265">
        <f t="shared" si="1544"/>
        <v>2.3458983487994631</v>
      </c>
      <c r="BS104" s="265">
        <f t="shared" si="1544"/>
        <v>2.3507305153036846</v>
      </c>
      <c r="BT104" s="265">
        <f t="shared" si="1544"/>
        <v>2.3555726352797337</v>
      </c>
      <c r="BU104" s="265">
        <f t="shared" si="1544"/>
        <v>2.3604247292301324</v>
      </c>
      <c r="BV104" s="265">
        <f t="shared" si="1544"/>
        <v>2.3652868176996336</v>
      </c>
      <c r="BW104" s="265">
        <f t="shared" si="1544"/>
        <v>2.3701589212753129</v>
      </c>
      <c r="BX104" s="265">
        <f t="shared" si="1544"/>
        <v>2.3750410605866468</v>
      </c>
      <c r="BY104" s="265">
        <f t="shared" si="1544"/>
        <v>2.3799332563056095</v>
      </c>
      <c r="BZ104" s="265">
        <f t="shared" si="1544"/>
        <v>2.384835529146752</v>
      </c>
      <c r="CA104" s="265">
        <f t="shared" si="1544"/>
        <v>2.3897478998672983</v>
      </c>
      <c r="CB104" s="265">
        <f t="shared" si="1544"/>
        <v>2.3946703892672256</v>
      </c>
      <c r="CC104" s="265">
        <f t="shared" si="1544"/>
        <v>2.3996030181893566</v>
      </c>
      <c r="CD104" s="265">
        <f t="shared" si="1544"/>
        <v>2.404545807519447</v>
      </c>
      <c r="CE104" s="265">
        <f t="shared" si="1544"/>
        <v>2.4094987781862738</v>
      </c>
      <c r="CF104" s="265">
        <f t="shared" si="1544"/>
        <v>2.4144619511617238</v>
      </c>
      <c r="CG104" s="265">
        <f t="shared" ref="CG104:ER104" si="1545">CG124/$D$120/$C$120</f>
        <v>2.4194353474608814</v>
      </c>
      <c r="CH104" s="265">
        <f t="shared" si="1545"/>
        <v>2.4244189881421221</v>
      </c>
      <c r="CI104" s="265">
        <f t="shared" si="1545"/>
        <v>2.4294128943071924</v>
      </c>
      <c r="CJ104" s="265">
        <f t="shared" si="1545"/>
        <v>2.4344170871013096</v>
      </c>
      <c r="CK104" s="265">
        <f t="shared" si="1545"/>
        <v>2.4394315877132455</v>
      </c>
      <c r="CL104" s="265">
        <f t="shared" si="1545"/>
        <v>2.444456417375418</v>
      </c>
      <c r="CM104" s="265">
        <f t="shared" si="1545"/>
        <v>2.4494915973639775</v>
      </c>
      <c r="CN104" s="265">
        <f t="shared" si="1545"/>
        <v>2.4545371489989027</v>
      </c>
      <c r="CO104" s="265">
        <f t="shared" si="1545"/>
        <v>2.4595930936440866</v>
      </c>
      <c r="CP104" s="265">
        <f t="shared" si="1545"/>
        <v>2.4646594527074299</v>
      </c>
      <c r="CQ104" s="265">
        <f t="shared" si="1545"/>
        <v>2.4697362476409279</v>
      </c>
      <c r="CR104" s="265">
        <f t="shared" si="1545"/>
        <v>2.4748234999407632</v>
      </c>
      <c r="CS104" s="265">
        <f t="shared" si="1545"/>
        <v>2.4799212311474008</v>
      </c>
      <c r="CT104" s="265">
        <f t="shared" si="1545"/>
        <v>2.4850294628456711</v>
      </c>
      <c r="CU104" s="265">
        <f t="shared" si="1545"/>
        <v>2.4901482166648687</v>
      </c>
      <c r="CV104" s="265">
        <f t="shared" si="1545"/>
        <v>2.4952775142788393</v>
      </c>
      <c r="CW104" s="265">
        <f t="shared" si="1545"/>
        <v>2.5004173774060736</v>
      </c>
      <c r="CX104" s="265">
        <f t="shared" si="1545"/>
        <v>2.505567827809799</v>
      </c>
      <c r="CY104" s="265">
        <f t="shared" si="1545"/>
        <v>2.5107288872980731</v>
      </c>
      <c r="CZ104" s="265">
        <f t="shared" si="1545"/>
        <v>2.5159005777238712</v>
      </c>
      <c r="DA104" s="265">
        <f t="shared" si="1545"/>
        <v>2.5210829209851857</v>
      </c>
      <c r="DB104" s="265">
        <f t="shared" si="1545"/>
        <v>2.5262759390251119</v>
      </c>
      <c r="DC104" s="265">
        <f t="shared" si="1545"/>
        <v>2.5314796538319473</v>
      </c>
      <c r="DD104" s="265">
        <f t="shared" si="1545"/>
        <v>2.5366940874392792</v>
      </c>
      <c r="DE104" s="265">
        <f t="shared" si="1545"/>
        <v>2.5419192619260822</v>
      </c>
      <c r="DF104" s="265">
        <f t="shared" si="1545"/>
        <v>2.5471551994168093</v>
      </c>
      <c r="DG104" s="265">
        <f t="shared" si="1545"/>
        <v>2.5524019220814869</v>
      </c>
      <c r="DH104" s="265">
        <f t="shared" si="1545"/>
        <v>2.5576594521358063</v>
      </c>
      <c r="DI104" s="265">
        <f t="shared" si="1545"/>
        <v>2.562927811841222</v>
      </c>
      <c r="DJ104" s="265">
        <f t="shared" si="1545"/>
        <v>2.5682070235050412</v>
      </c>
      <c r="DK104" s="265">
        <f t="shared" si="1545"/>
        <v>2.5734971094805221</v>
      </c>
      <c r="DL104" s="265">
        <f t="shared" si="1545"/>
        <v>2.5787980921669651</v>
      </c>
      <c r="DM104" s="265">
        <f t="shared" si="1545"/>
        <v>2.584109994009812</v>
      </c>
      <c r="DN104" s="265">
        <f t="shared" si="1545"/>
        <v>2.5894328375007367</v>
      </c>
      <c r="DO104" s="265">
        <f t="shared" si="1545"/>
        <v>2.5947666451777431</v>
      </c>
      <c r="DP104" s="265">
        <f t="shared" si="1545"/>
        <v>2.6001114396252576</v>
      </c>
      <c r="DQ104" s="265">
        <f t="shared" si="1545"/>
        <v>2.6054672434742305</v>
      </c>
      <c r="DR104" s="265">
        <f t="shared" si="1545"/>
        <v>2.6108340794022258</v>
      </c>
      <c r="DS104" s="265">
        <f t="shared" si="1545"/>
        <v>2.6162119701335205</v>
      </c>
      <c r="DT104" s="265">
        <f t="shared" si="1545"/>
        <v>2.6216009384391978</v>
      </c>
      <c r="DU104" s="265">
        <f t="shared" si="1545"/>
        <v>2.6270010071372494</v>
      </c>
      <c r="DV104" s="265">
        <f t="shared" si="1545"/>
        <v>2.6324121990926637</v>
      </c>
      <c r="DW104" s="265">
        <f t="shared" si="1545"/>
        <v>2.6378345372175316</v>
      </c>
      <c r="DX104" s="265">
        <f t="shared" si="1545"/>
        <v>2.6432680444711356</v>
      </c>
      <c r="DY104" s="265">
        <f t="shared" si="1545"/>
        <v>2.6487127438600542</v>
      </c>
      <c r="DZ104" s="265">
        <f t="shared" si="1545"/>
        <v>2.6541686584382518</v>
      </c>
      <c r="EA104" s="265">
        <f t="shared" si="1545"/>
        <v>2.6596358113071825</v>
      </c>
      <c r="EB104" s="265">
        <f t="shared" si="1545"/>
        <v>2.6651142256158851</v>
      </c>
      <c r="EC104" s="265">
        <f t="shared" si="1545"/>
        <v>2.6706039245610826</v>
      </c>
      <c r="ED104" s="265">
        <f t="shared" si="1545"/>
        <v>2.6761049313872785</v>
      </c>
      <c r="EE104" s="265">
        <f t="shared" si="1545"/>
        <v>2.6816172693868543</v>
      </c>
      <c r="EF104" s="265">
        <f t="shared" si="1545"/>
        <v>2.6871409619001749</v>
      </c>
      <c r="EG104" s="265">
        <f t="shared" si="1545"/>
        <v>2.6926760323156764</v>
      </c>
      <c r="EH104" s="265">
        <f t="shared" si="1545"/>
        <v>2.6982225040699763</v>
      </c>
      <c r="EI104" s="265">
        <f t="shared" si="1545"/>
        <v>2.7037804006479664</v>
      </c>
      <c r="EJ104" s="265">
        <f t="shared" si="1545"/>
        <v>2.7093497455829105</v>
      </c>
      <c r="EK104" s="265">
        <f t="shared" si="1545"/>
        <v>2.7149305624565518</v>
      </c>
      <c r="EL104" s="265">
        <f t="shared" si="1545"/>
        <v>2.7205228748992041</v>
      </c>
      <c r="EM104" s="265">
        <f t="shared" si="1545"/>
        <v>2.7261267065898589</v>
      </c>
      <c r="EN104" s="265">
        <f t="shared" si="1545"/>
        <v>2.7317420812562787</v>
      </c>
      <c r="EO104" s="265">
        <f t="shared" si="1545"/>
        <v>2.737369022675106</v>
      </c>
      <c r="EP104" s="265">
        <f t="shared" si="1545"/>
        <v>2.7430075546719568</v>
      </c>
      <c r="EQ104" s="265">
        <f t="shared" si="1545"/>
        <v>2.7486577011215227</v>
      </c>
      <c r="ER104" s="265">
        <f t="shared" si="1545"/>
        <v>2.7543194859476752</v>
      </c>
      <c r="ES104" s="265">
        <f t="shared" ref="ES104:EU104" si="1546">ES124/$D$120/$C$120</f>
        <v>2.7599929331235646</v>
      </c>
      <c r="ET104" s="265">
        <f t="shared" si="1546"/>
        <v>2.7656780666717227</v>
      </c>
      <c r="EU104" s="265">
        <f t="shared" si="1546"/>
        <v>2.7713749106641612</v>
      </c>
      <c r="FC104" s="199"/>
      <c r="FD104" s="199"/>
      <c r="FE104" s="199"/>
      <c r="FF104" s="199"/>
      <c r="FG104" s="199"/>
      <c r="FH104" s="199"/>
      <c r="FI104" s="199"/>
      <c r="FJ104" s="199"/>
      <c r="FK104" s="199"/>
      <c r="FL104" s="199"/>
      <c r="FM104" s="199"/>
      <c r="FN104" s="199"/>
      <c r="FO104" s="199"/>
      <c r="FP104" s="199"/>
      <c r="FQ104" s="199"/>
      <c r="FR104" s="199"/>
      <c r="FS104" s="199"/>
      <c r="FT104" s="199"/>
      <c r="FU104" s="199"/>
      <c r="FV104" s="199"/>
      <c r="FW104" s="199"/>
      <c r="FX104" s="199"/>
      <c r="FY104" s="199"/>
      <c r="FZ104" s="199"/>
      <c r="GA104" s="199"/>
      <c r="GB104" s="199"/>
      <c r="GC104" s="199"/>
      <c r="GD104" s="199"/>
      <c r="GE104" s="199"/>
      <c r="GF104" s="199"/>
      <c r="GG104" s="199"/>
      <c r="GH104" s="199"/>
      <c r="GI104" s="199"/>
      <c r="GJ104" s="199"/>
      <c r="GK104" s="199"/>
      <c r="GL104" s="199"/>
      <c r="GM104" s="199"/>
      <c r="GN104" s="199"/>
      <c r="GO104" s="199"/>
      <c r="GP104" s="199"/>
      <c r="GQ104" s="199"/>
      <c r="GR104" s="199"/>
      <c r="GS104" s="199"/>
      <c r="GT104" s="199"/>
      <c r="GU104" s="199"/>
      <c r="GV104" s="199"/>
      <c r="GW104" s="199"/>
      <c r="GX104" s="199"/>
      <c r="GY104" s="199"/>
      <c r="GZ104" s="199"/>
      <c r="HA104" s="199"/>
      <c r="HB104" s="199"/>
      <c r="HC104" s="199"/>
      <c r="HD104" s="199"/>
      <c r="HE104" s="199"/>
      <c r="HF104" s="199"/>
      <c r="HG104" s="199"/>
      <c r="HH104" s="199"/>
      <c r="HI104" s="199"/>
      <c r="HJ104" s="199"/>
      <c r="HK104" s="199"/>
      <c r="HL104" s="199"/>
      <c r="HM104" s="199"/>
      <c r="HN104" s="199"/>
      <c r="HO104" s="199"/>
      <c r="HP104" s="199"/>
      <c r="HQ104" s="199"/>
      <c r="HR104" s="199"/>
      <c r="HS104" s="199"/>
      <c r="HT104" s="199"/>
      <c r="HU104" s="199"/>
      <c r="HV104" s="199"/>
      <c r="HW104" s="199"/>
      <c r="HX104" s="199"/>
      <c r="HY104" s="199"/>
      <c r="HZ104" s="199"/>
      <c r="IA104" s="199"/>
      <c r="IB104" s="199"/>
      <c r="IC104" s="199"/>
      <c r="ID104" s="199"/>
      <c r="IE104" s="199"/>
      <c r="IF104" s="199"/>
      <c r="IG104" s="199"/>
      <c r="IH104" s="199"/>
      <c r="II104" s="199"/>
      <c r="IJ104" s="199"/>
      <c r="IK104" s="199"/>
      <c r="IL104" s="199"/>
      <c r="IM104" s="199"/>
      <c r="IN104" s="199"/>
      <c r="IO104" s="199"/>
      <c r="IP104" s="199"/>
      <c r="IQ104" s="199"/>
      <c r="IR104" s="199"/>
      <c r="IS104" s="199"/>
      <c r="IT104" s="199"/>
      <c r="IU104" s="199"/>
      <c r="IV104" s="199"/>
      <c r="IW104" s="199"/>
      <c r="IX104" s="199"/>
      <c r="IY104" s="199"/>
      <c r="IZ104" s="199"/>
      <c r="JA104" s="199"/>
      <c r="JB104" s="199"/>
      <c r="JC104" s="199"/>
      <c r="JD104" s="199"/>
      <c r="JE104" s="199"/>
      <c r="JF104" s="199"/>
      <c r="JG104" s="199"/>
      <c r="JH104" s="199"/>
      <c r="JI104" s="199"/>
      <c r="JJ104" s="199"/>
      <c r="JK104" s="199"/>
      <c r="JL104" s="199"/>
      <c r="JM104" s="199"/>
      <c r="JN104" s="199"/>
      <c r="JO104" s="199"/>
      <c r="JP104" s="199"/>
      <c r="JQ104" s="199"/>
      <c r="JR104" s="199"/>
      <c r="JS104" s="199"/>
      <c r="JT104" s="199"/>
      <c r="JU104" s="199"/>
      <c r="JV104" s="199"/>
      <c r="JW104" s="199"/>
      <c r="JX104" s="199"/>
      <c r="JY104" s="199"/>
      <c r="JZ104" s="199"/>
      <c r="KA104" s="199"/>
      <c r="KB104" s="199"/>
      <c r="KC104" s="199"/>
      <c r="KD104" s="199"/>
      <c r="KE104" s="199"/>
      <c r="PQ104" s="201"/>
      <c r="PR104" s="201"/>
      <c r="PS104" s="201"/>
      <c r="PT104" s="201"/>
      <c r="PU104" s="201"/>
      <c r="PV104" s="201"/>
      <c r="PW104" s="201"/>
      <c r="PX104" s="201"/>
      <c r="PY104" s="201"/>
      <c r="PZ104" s="201"/>
      <c r="QA104" s="201"/>
      <c r="QB104" s="201"/>
      <c r="QC104" s="201"/>
      <c r="QD104" s="201"/>
      <c r="QE104" s="201"/>
      <c r="QF104" s="201"/>
      <c r="QG104" s="201"/>
      <c r="QH104" s="201"/>
      <c r="QI104" s="201"/>
      <c r="QJ104" s="201"/>
      <c r="QK104" s="201"/>
      <c r="QL104" s="201"/>
      <c r="QM104" s="201"/>
      <c r="QN104" s="201"/>
      <c r="QO104" s="201"/>
      <c r="QP104" s="201"/>
      <c r="QQ104" s="201"/>
      <c r="QR104" s="201"/>
      <c r="QS104" s="201"/>
      <c r="QT104" s="201"/>
      <c r="QU104" s="201"/>
      <c r="QV104" s="201"/>
      <c r="QW104" s="201"/>
      <c r="QX104" s="201"/>
      <c r="QY104" s="201"/>
      <c r="QZ104" s="201"/>
      <c r="RA104" s="201"/>
      <c r="RB104" s="201"/>
      <c r="RC104" s="201"/>
      <c r="RD104" s="201"/>
      <c r="RE104" s="201"/>
      <c r="RF104" s="201"/>
      <c r="RG104" s="201"/>
      <c r="RH104" s="201"/>
      <c r="RI104" s="201"/>
      <c r="RJ104" s="201"/>
      <c r="RK104" s="201"/>
      <c r="RL104" s="201"/>
      <c r="RM104" s="201"/>
      <c r="RN104" s="201"/>
      <c r="RO104" s="201"/>
      <c r="RP104" s="201"/>
      <c r="RQ104" s="201"/>
      <c r="RR104" s="201"/>
      <c r="RS104" s="201"/>
      <c r="RT104" s="201"/>
      <c r="RU104" s="201"/>
      <c r="RV104" s="201"/>
      <c r="RW104" s="201"/>
      <c r="RX104" s="201"/>
      <c r="RY104" s="201"/>
      <c r="RZ104" s="201"/>
      <c r="SA104" s="201"/>
      <c r="SB104" s="201"/>
      <c r="SC104" s="201"/>
      <c r="SD104" s="201"/>
      <c r="SE104" s="201"/>
      <c r="SF104" s="201"/>
      <c r="SG104" s="201"/>
      <c r="SH104" s="201"/>
      <c r="SI104" s="201"/>
      <c r="SJ104" s="201"/>
      <c r="SK104" s="201"/>
      <c r="SL104" s="201"/>
      <c r="SM104" s="201"/>
      <c r="SN104" s="201"/>
      <c r="SO104" s="201"/>
      <c r="SP104" s="201"/>
      <c r="SQ104" s="201"/>
      <c r="SR104" s="201"/>
      <c r="SS104" s="201"/>
      <c r="ST104" s="201"/>
      <c r="SU104" s="201"/>
      <c r="SV104" s="201"/>
      <c r="SW104" s="201"/>
      <c r="SX104" s="201"/>
      <c r="SY104" s="201"/>
      <c r="SZ104" s="201"/>
      <c r="TA104" s="201"/>
      <c r="TB104" s="201"/>
      <c r="TC104" s="201"/>
      <c r="TD104" s="201"/>
      <c r="TE104" s="201"/>
      <c r="TF104" s="201"/>
      <c r="TG104" s="201"/>
      <c r="TH104" s="201"/>
      <c r="TI104" s="201"/>
      <c r="TJ104" s="201"/>
      <c r="TK104" s="201"/>
      <c r="TL104" s="201"/>
      <c r="TM104" s="201"/>
      <c r="TN104" s="201"/>
      <c r="TO104" s="201"/>
      <c r="TP104" s="201"/>
      <c r="TQ104" s="201"/>
      <c r="TR104" s="201"/>
      <c r="TS104" s="201"/>
      <c r="TT104" s="201"/>
      <c r="TU104" s="201"/>
      <c r="TV104" s="201"/>
      <c r="TW104" s="201"/>
      <c r="TX104" s="201"/>
      <c r="TY104" s="201"/>
      <c r="TZ104" s="201"/>
      <c r="UA104" s="201"/>
      <c r="UB104" s="201"/>
      <c r="UC104" s="201"/>
      <c r="UD104" s="201"/>
      <c r="UE104" s="201"/>
      <c r="UF104" s="201"/>
      <c r="UG104" s="201"/>
      <c r="UH104" s="201"/>
      <c r="UI104" s="201"/>
      <c r="UJ104" s="201"/>
      <c r="UK104" s="201"/>
      <c r="UL104" s="201"/>
      <c r="UM104" s="201"/>
      <c r="UN104" s="201"/>
      <c r="UO104" s="201"/>
      <c r="UP104" s="201"/>
      <c r="UQ104" s="201"/>
      <c r="UR104" s="201"/>
      <c r="US104" s="201"/>
      <c r="UT104" s="201"/>
      <c r="UU104" s="201"/>
    </row>
    <row r="105" spans="2:567" x14ac:dyDescent="0.25">
      <c r="B105" s="54" t="s">
        <v>170</v>
      </c>
      <c r="C105" s="467">
        <v>0</v>
      </c>
      <c r="D105" s="105">
        <v>2.5000000000000001E-2</v>
      </c>
      <c r="E105" s="105">
        <v>2.5000000000000001E-2</v>
      </c>
      <c r="F105" s="105">
        <v>2.5000000000000001E-2</v>
      </c>
      <c r="G105" s="105">
        <v>2.5000000000000001E-2</v>
      </c>
      <c r="H105" s="67">
        <v>2.5000000000000001E-2</v>
      </c>
      <c r="I105" s="142" t="s">
        <v>143</v>
      </c>
      <c r="J105" s="26"/>
      <c r="K105" s="32">
        <v>24</v>
      </c>
      <c r="M105" s="3" t="s">
        <v>838</v>
      </c>
      <c r="R105" s="263" t="s">
        <v>192</v>
      </c>
      <c r="S105" s="159"/>
      <c r="T105" s="264">
        <f>T146/T134</f>
        <v>0.35482370636747046</v>
      </c>
      <c r="U105" s="264">
        <f t="shared" ref="U105:CF105" si="1547">U146/U134</f>
        <v>0.35273220458898363</v>
      </c>
      <c r="V105" s="264">
        <f t="shared" si="1547"/>
        <v>0.35066724032039354</v>
      </c>
      <c r="W105" s="264">
        <f t="shared" si="1547"/>
        <v>0.34862827834429316</v>
      </c>
      <c r="X105" s="264">
        <f t="shared" si="1547"/>
        <v>0.34661479831523428</v>
      </c>
      <c r="Y105" s="264">
        <f t="shared" si="1547"/>
        <v>0.34462629423724017</v>
      </c>
      <c r="Z105" s="264">
        <f t="shared" si="1547"/>
        <v>0.34266227396336429</v>
      </c>
      <c r="AA105" s="264">
        <f t="shared" si="1547"/>
        <v>0.34072225871621314</v>
      </c>
      <c r="AB105" s="264">
        <f t="shared" si="1547"/>
        <v>0.3388057826284116</v>
      </c>
      <c r="AC105" s="264">
        <f t="shared" si="1547"/>
        <v>0.33691239230204922</v>
      </c>
      <c r="AD105" s="264">
        <f t="shared" si="1547"/>
        <v>0.33504164638619238</v>
      </c>
      <c r="AE105" s="264">
        <f t="shared" si="1547"/>
        <v>0.33319311517160338</v>
      </c>
      <c r="AF105" s="264">
        <f t="shared" si="1547"/>
        <v>0.33136638020185122</v>
      </c>
      <c r="AG105" s="264">
        <f t="shared" si="1547"/>
        <v>0.32956103390004127</v>
      </c>
      <c r="AH105" s="264">
        <f t="shared" si="1547"/>
        <v>0.32777667921043607</v>
      </c>
      <c r="AI105" s="264">
        <f t="shared" si="1547"/>
        <v>0.32601292925427566</v>
      </c>
      <c r="AJ105" s="264">
        <f t="shared" si="1547"/>
        <v>0.3242694069991427</v>
      </c>
      <c r="AK105" s="264">
        <f t="shared" si="1547"/>
        <v>0.32254574494125093</v>
      </c>
      <c r="AL105" s="264">
        <f t="shared" si="1547"/>
        <v>0.32084158480007191</v>
      </c>
      <c r="AM105" s="264">
        <f t="shared" si="1547"/>
        <v>0.31915657722473995</v>
      </c>
      <c r="AN105" s="264">
        <f t="shared" si="1547"/>
        <v>0.317490381511707</v>
      </c>
      <c r="AO105" s="264">
        <f t="shared" si="1547"/>
        <v>0.31584266533314692</v>
      </c>
      <c r="AP105" s="264">
        <f t="shared" si="1547"/>
        <v>0.31421310447563078</v>
      </c>
      <c r="AQ105" s="264">
        <f t="shared" si="1547"/>
        <v>0.3126013825886218</v>
      </c>
      <c r="AR105" s="264">
        <f t="shared" si="1547"/>
        <v>0.30127661064743033</v>
      </c>
      <c r="AS105" s="264">
        <f t="shared" si="1547"/>
        <v>0.30127661064743028</v>
      </c>
      <c r="AT105" s="264">
        <f t="shared" si="1547"/>
        <v>0.30127661064743033</v>
      </c>
      <c r="AU105" s="264">
        <f t="shared" si="1547"/>
        <v>0.30127661064743028</v>
      </c>
      <c r="AV105" s="264">
        <f t="shared" si="1547"/>
        <v>0.30127661064743028</v>
      </c>
      <c r="AW105" s="264">
        <f t="shared" si="1547"/>
        <v>0.30127661064743028</v>
      </c>
      <c r="AX105" s="264">
        <f t="shared" si="1547"/>
        <v>0.30127661064743028</v>
      </c>
      <c r="AY105" s="264">
        <f t="shared" si="1547"/>
        <v>0.30127661064743028</v>
      </c>
      <c r="AZ105" s="264">
        <f t="shared" si="1547"/>
        <v>0.30127661064743028</v>
      </c>
      <c r="BA105" s="264">
        <f t="shared" si="1547"/>
        <v>0.30127661064743022</v>
      </c>
      <c r="BB105" s="264">
        <f t="shared" si="1547"/>
        <v>0.30127661064743028</v>
      </c>
      <c r="BC105" s="264">
        <f t="shared" si="1547"/>
        <v>0.30127661064743028</v>
      </c>
      <c r="BD105" s="264">
        <f t="shared" si="1547"/>
        <v>0.30127661064743028</v>
      </c>
      <c r="BE105" s="264">
        <f t="shared" si="1547"/>
        <v>0.30127661064743022</v>
      </c>
      <c r="BF105" s="264">
        <f t="shared" si="1547"/>
        <v>0.30127661064743022</v>
      </c>
      <c r="BG105" s="264">
        <f t="shared" si="1547"/>
        <v>0.30127661064743017</v>
      </c>
      <c r="BH105" s="264">
        <f t="shared" si="1547"/>
        <v>0.30127661064743028</v>
      </c>
      <c r="BI105" s="264">
        <f t="shared" si="1547"/>
        <v>0.30127661064743022</v>
      </c>
      <c r="BJ105" s="264">
        <f t="shared" si="1547"/>
        <v>0.30127661064743022</v>
      </c>
      <c r="BK105" s="264">
        <f t="shared" si="1547"/>
        <v>0.30127661064743033</v>
      </c>
      <c r="BL105" s="264">
        <f t="shared" si="1547"/>
        <v>0.30127661064743022</v>
      </c>
      <c r="BM105" s="264">
        <f t="shared" si="1547"/>
        <v>0.30127661064743017</v>
      </c>
      <c r="BN105" s="264">
        <f t="shared" si="1547"/>
        <v>0.30127661064743017</v>
      </c>
      <c r="BO105" s="264">
        <f t="shared" si="1547"/>
        <v>0.30127661064743017</v>
      </c>
      <c r="BP105" s="264">
        <f t="shared" si="1547"/>
        <v>0.30127661064743022</v>
      </c>
      <c r="BQ105" s="264">
        <f t="shared" si="1547"/>
        <v>0.30127661064743028</v>
      </c>
      <c r="BR105" s="264">
        <f t="shared" si="1547"/>
        <v>0.30127661064743033</v>
      </c>
      <c r="BS105" s="264">
        <f t="shared" si="1547"/>
        <v>0.30127661064743028</v>
      </c>
      <c r="BT105" s="264">
        <f t="shared" si="1547"/>
        <v>0.30127661064743022</v>
      </c>
      <c r="BU105" s="264">
        <f t="shared" si="1547"/>
        <v>0.30127661064743028</v>
      </c>
      <c r="BV105" s="264">
        <f t="shared" si="1547"/>
        <v>0.30127661064743022</v>
      </c>
      <c r="BW105" s="264">
        <f t="shared" si="1547"/>
        <v>0.30127661064743028</v>
      </c>
      <c r="BX105" s="264">
        <f t="shared" si="1547"/>
        <v>0.30127661064743028</v>
      </c>
      <c r="BY105" s="264">
        <f t="shared" si="1547"/>
        <v>0.30127661064743017</v>
      </c>
      <c r="BZ105" s="264">
        <f t="shared" si="1547"/>
        <v>0.30127661064743022</v>
      </c>
      <c r="CA105" s="264">
        <f t="shared" si="1547"/>
        <v>0.30127661064743028</v>
      </c>
      <c r="CB105" s="264">
        <f t="shared" si="1547"/>
        <v>0.30127661064743028</v>
      </c>
      <c r="CC105" s="264">
        <f t="shared" si="1547"/>
        <v>0.30127661064743017</v>
      </c>
      <c r="CD105" s="264">
        <f t="shared" si="1547"/>
        <v>0.30127661064743022</v>
      </c>
      <c r="CE105" s="264">
        <f t="shared" si="1547"/>
        <v>0.30127661064743028</v>
      </c>
      <c r="CF105" s="264">
        <f t="shared" si="1547"/>
        <v>0.30127661064743022</v>
      </c>
      <c r="CG105" s="264">
        <f t="shared" ref="CG105:ER105" si="1548">CG146/CG134</f>
        <v>0.30127661064743028</v>
      </c>
      <c r="CH105" s="264">
        <f t="shared" si="1548"/>
        <v>0.30127661064743017</v>
      </c>
      <c r="CI105" s="264">
        <f t="shared" si="1548"/>
        <v>0.30127661064743017</v>
      </c>
      <c r="CJ105" s="264">
        <f t="shared" si="1548"/>
        <v>0.30127661064743017</v>
      </c>
      <c r="CK105" s="264">
        <f t="shared" si="1548"/>
        <v>0.30127661064743022</v>
      </c>
      <c r="CL105" s="264">
        <f t="shared" si="1548"/>
        <v>0.30127661064743017</v>
      </c>
      <c r="CM105" s="264">
        <f t="shared" si="1548"/>
        <v>0.30127661064743017</v>
      </c>
      <c r="CN105" s="264">
        <f t="shared" si="1548"/>
        <v>0.30127661064743022</v>
      </c>
      <c r="CO105" s="264">
        <f t="shared" si="1548"/>
        <v>0.30127661064743022</v>
      </c>
      <c r="CP105" s="264">
        <f t="shared" si="1548"/>
        <v>0.30127661064743028</v>
      </c>
      <c r="CQ105" s="264">
        <f t="shared" si="1548"/>
        <v>0.30127661064743022</v>
      </c>
      <c r="CR105" s="264">
        <f t="shared" si="1548"/>
        <v>0.30127661064743017</v>
      </c>
      <c r="CS105" s="264">
        <f t="shared" si="1548"/>
        <v>0.30127661064743022</v>
      </c>
      <c r="CT105" s="264">
        <f t="shared" si="1548"/>
        <v>0.30127661064743028</v>
      </c>
      <c r="CU105" s="264">
        <f t="shared" si="1548"/>
        <v>0.30127661064743017</v>
      </c>
      <c r="CV105" s="264">
        <f t="shared" si="1548"/>
        <v>0.30127661064743028</v>
      </c>
      <c r="CW105" s="264">
        <f t="shared" si="1548"/>
        <v>0.30127661064743028</v>
      </c>
      <c r="CX105" s="264">
        <f t="shared" si="1548"/>
        <v>0.30127661064743028</v>
      </c>
      <c r="CY105" s="264">
        <f t="shared" si="1548"/>
        <v>0.30127661064743022</v>
      </c>
      <c r="CZ105" s="264">
        <f t="shared" si="1548"/>
        <v>0.30127661064743033</v>
      </c>
      <c r="DA105" s="264">
        <f t="shared" si="1548"/>
        <v>0.30127661064743028</v>
      </c>
      <c r="DB105" s="264">
        <f t="shared" si="1548"/>
        <v>0.30127661064743028</v>
      </c>
      <c r="DC105" s="264">
        <f t="shared" si="1548"/>
        <v>0.30127661064743017</v>
      </c>
      <c r="DD105" s="264">
        <f t="shared" si="1548"/>
        <v>0.30127661064743017</v>
      </c>
      <c r="DE105" s="264">
        <f t="shared" si="1548"/>
        <v>0.30127661064743022</v>
      </c>
      <c r="DF105" s="264">
        <f t="shared" si="1548"/>
        <v>0.30127661064743022</v>
      </c>
      <c r="DG105" s="264">
        <f t="shared" si="1548"/>
        <v>0.30127661064743022</v>
      </c>
      <c r="DH105" s="264">
        <f t="shared" si="1548"/>
        <v>0.30127661064743017</v>
      </c>
      <c r="DI105" s="264">
        <f t="shared" si="1548"/>
        <v>0.30127661064743022</v>
      </c>
      <c r="DJ105" s="264">
        <f t="shared" si="1548"/>
        <v>0.30127661064743022</v>
      </c>
      <c r="DK105" s="264">
        <f t="shared" si="1548"/>
        <v>0.30127661064743017</v>
      </c>
      <c r="DL105" s="264">
        <f t="shared" si="1548"/>
        <v>0.30127661064743022</v>
      </c>
      <c r="DM105" s="264">
        <f t="shared" si="1548"/>
        <v>0.30127661064743022</v>
      </c>
      <c r="DN105" s="264">
        <f t="shared" si="1548"/>
        <v>0.30127661064743028</v>
      </c>
      <c r="DO105" s="264">
        <f t="shared" si="1548"/>
        <v>0.30127661064743011</v>
      </c>
      <c r="DP105" s="264">
        <f t="shared" si="1548"/>
        <v>0.30127661064743022</v>
      </c>
      <c r="DQ105" s="264">
        <f t="shared" si="1548"/>
        <v>0.30127661064743017</v>
      </c>
      <c r="DR105" s="264">
        <f t="shared" si="1548"/>
        <v>0.30127661064743022</v>
      </c>
      <c r="DS105" s="264">
        <f t="shared" si="1548"/>
        <v>0.30127661064743022</v>
      </c>
      <c r="DT105" s="264">
        <f t="shared" si="1548"/>
        <v>0.30127661064743022</v>
      </c>
      <c r="DU105" s="264">
        <f t="shared" si="1548"/>
        <v>0.30127661064743017</v>
      </c>
      <c r="DV105" s="264">
        <f t="shared" si="1548"/>
        <v>0.30127661064743017</v>
      </c>
      <c r="DW105" s="264">
        <f t="shared" si="1548"/>
        <v>0.30127661064743011</v>
      </c>
      <c r="DX105" s="264">
        <f t="shared" si="1548"/>
        <v>0.30127661064743028</v>
      </c>
      <c r="DY105" s="264">
        <f t="shared" si="1548"/>
        <v>0.30127661064743017</v>
      </c>
      <c r="DZ105" s="264">
        <f t="shared" si="1548"/>
        <v>0.30127661064743017</v>
      </c>
      <c r="EA105" s="264">
        <f t="shared" si="1548"/>
        <v>0.30127661064743017</v>
      </c>
      <c r="EB105" s="264">
        <f t="shared" si="1548"/>
        <v>0.30127661064743022</v>
      </c>
      <c r="EC105" s="264">
        <f t="shared" si="1548"/>
        <v>0.30127661064743011</v>
      </c>
      <c r="ED105" s="264">
        <f t="shared" si="1548"/>
        <v>0.30127661064743017</v>
      </c>
      <c r="EE105" s="264">
        <f t="shared" si="1548"/>
        <v>0.30127661064743022</v>
      </c>
      <c r="EF105" s="264">
        <f t="shared" si="1548"/>
        <v>0.30127661064743017</v>
      </c>
      <c r="EG105" s="264">
        <f t="shared" si="1548"/>
        <v>0.30127661064743022</v>
      </c>
      <c r="EH105" s="264">
        <f t="shared" si="1548"/>
        <v>0.30127661064743022</v>
      </c>
      <c r="EI105" s="264">
        <f t="shared" si="1548"/>
        <v>0.30127661064743022</v>
      </c>
      <c r="EJ105" s="264">
        <f t="shared" si="1548"/>
        <v>0.30127661064743017</v>
      </c>
      <c r="EK105" s="264">
        <f t="shared" si="1548"/>
        <v>0.30127661064743011</v>
      </c>
      <c r="EL105" s="264">
        <f t="shared" si="1548"/>
        <v>0.30127661064743017</v>
      </c>
      <c r="EM105" s="264">
        <f t="shared" si="1548"/>
        <v>0.30127661064743017</v>
      </c>
      <c r="EN105" s="264">
        <f t="shared" si="1548"/>
        <v>0.30127661064743011</v>
      </c>
      <c r="EO105" s="264">
        <f t="shared" si="1548"/>
        <v>0.30127661064743017</v>
      </c>
      <c r="EP105" s="264">
        <f t="shared" si="1548"/>
        <v>0.30127661064743022</v>
      </c>
      <c r="EQ105" s="264">
        <f t="shared" si="1548"/>
        <v>0.30127661064743022</v>
      </c>
      <c r="ER105" s="264">
        <f t="shared" si="1548"/>
        <v>0.30127661064743017</v>
      </c>
      <c r="ES105" s="264">
        <f t="shared" ref="ES105:EU105" si="1549">ES146/ES134</f>
        <v>0.30127661064743011</v>
      </c>
      <c r="ET105" s="264">
        <f t="shared" si="1549"/>
        <v>0.30127661064743022</v>
      </c>
      <c r="EU105" s="264">
        <f t="shared" si="1549"/>
        <v>0.30127661064743017</v>
      </c>
      <c r="FC105" s="199"/>
      <c r="FD105" s="199"/>
      <c r="FE105" s="199"/>
      <c r="FF105" s="199"/>
      <c r="FG105" s="199"/>
      <c r="FH105" s="199"/>
      <c r="FI105" s="199"/>
      <c r="FJ105" s="199"/>
      <c r="FK105" s="199"/>
      <c r="FL105" s="199"/>
      <c r="FM105" s="199"/>
      <c r="FN105" s="199"/>
      <c r="FO105" s="199"/>
      <c r="FP105" s="199"/>
      <c r="FQ105" s="199"/>
      <c r="FR105" s="199"/>
      <c r="FS105" s="199"/>
      <c r="FT105" s="199"/>
      <c r="FU105" s="199"/>
      <c r="FV105" s="199"/>
      <c r="FW105" s="199"/>
      <c r="FX105" s="199"/>
      <c r="FY105" s="199"/>
      <c r="FZ105" s="199"/>
      <c r="GA105" s="199"/>
      <c r="GB105" s="199"/>
      <c r="GC105" s="199"/>
      <c r="GD105" s="199"/>
      <c r="GE105" s="199"/>
      <c r="GF105" s="199"/>
      <c r="GG105" s="199"/>
      <c r="GH105" s="199"/>
      <c r="GI105" s="199"/>
      <c r="GJ105" s="199"/>
      <c r="GK105" s="199"/>
      <c r="GL105" s="199"/>
      <c r="GM105" s="199"/>
      <c r="GN105" s="199"/>
      <c r="GO105" s="199"/>
      <c r="GP105" s="199"/>
      <c r="GQ105" s="199"/>
      <c r="GR105" s="199"/>
      <c r="GS105" s="199"/>
      <c r="GT105" s="199"/>
      <c r="GU105" s="199"/>
      <c r="GV105" s="199"/>
      <c r="GW105" s="199"/>
      <c r="GX105" s="199"/>
      <c r="GY105" s="199"/>
      <c r="GZ105" s="199"/>
      <c r="HA105" s="199"/>
      <c r="HB105" s="199"/>
      <c r="HC105" s="199"/>
      <c r="HD105" s="199"/>
      <c r="HE105" s="199"/>
      <c r="HF105" s="199"/>
      <c r="HG105" s="199"/>
      <c r="HH105" s="199"/>
      <c r="HI105" s="199"/>
      <c r="HJ105" s="199"/>
      <c r="HK105" s="199"/>
      <c r="HL105" s="199"/>
      <c r="HM105" s="199"/>
      <c r="HN105" s="199"/>
      <c r="HO105" s="199"/>
      <c r="HP105" s="199"/>
      <c r="HQ105" s="199"/>
      <c r="HR105" s="199"/>
      <c r="HS105" s="199"/>
      <c r="HT105" s="199"/>
      <c r="HU105" s="199"/>
      <c r="HV105" s="199"/>
      <c r="HW105" s="199"/>
      <c r="HX105" s="199"/>
      <c r="HY105" s="199"/>
      <c r="HZ105" s="199"/>
      <c r="IA105" s="199"/>
      <c r="IB105" s="199"/>
      <c r="IC105" s="199"/>
      <c r="ID105" s="199"/>
      <c r="IE105" s="199"/>
      <c r="IF105" s="199"/>
      <c r="IG105" s="199"/>
      <c r="IH105" s="199"/>
      <c r="II105" s="199"/>
      <c r="IJ105" s="199"/>
      <c r="IK105" s="199"/>
      <c r="IL105" s="199"/>
      <c r="IM105" s="199"/>
      <c r="IN105" s="199"/>
      <c r="IO105" s="199"/>
      <c r="IP105" s="199"/>
      <c r="IQ105" s="199"/>
      <c r="IR105" s="199"/>
      <c r="IS105" s="199"/>
      <c r="IT105" s="199"/>
      <c r="IU105" s="199"/>
      <c r="IV105" s="199"/>
      <c r="IW105" s="199"/>
      <c r="IX105" s="199"/>
      <c r="IY105" s="199"/>
      <c r="IZ105" s="199"/>
      <c r="JA105" s="199"/>
      <c r="JB105" s="199"/>
      <c r="JC105" s="199"/>
      <c r="JD105" s="199"/>
      <c r="JE105" s="199"/>
      <c r="JF105" s="199"/>
      <c r="JG105" s="199"/>
      <c r="JH105" s="199"/>
      <c r="JI105" s="199"/>
      <c r="JJ105" s="199"/>
      <c r="JK105" s="199"/>
      <c r="JL105" s="199"/>
      <c r="JM105" s="199"/>
      <c r="JN105" s="199"/>
      <c r="JO105" s="199"/>
      <c r="JP105" s="199"/>
      <c r="JQ105" s="199"/>
      <c r="JR105" s="199"/>
      <c r="JS105" s="199"/>
      <c r="JT105" s="199"/>
      <c r="JU105" s="199"/>
      <c r="JV105" s="199"/>
      <c r="JW105" s="199"/>
      <c r="JX105" s="199"/>
      <c r="JY105" s="199"/>
      <c r="JZ105" s="199"/>
      <c r="KA105" s="199"/>
      <c r="KB105" s="199"/>
      <c r="KC105" s="199"/>
      <c r="KD105" s="199"/>
      <c r="KE105" s="199"/>
      <c r="PQ105" s="201"/>
      <c r="PR105" s="201"/>
      <c r="PS105" s="201"/>
      <c r="PT105" s="201"/>
      <c r="PU105" s="201"/>
      <c r="PV105" s="201"/>
      <c r="PW105" s="201"/>
      <c r="PX105" s="201"/>
      <c r="PY105" s="201"/>
      <c r="PZ105" s="201"/>
      <c r="QA105" s="201"/>
      <c r="QB105" s="201"/>
      <c r="QC105" s="201"/>
      <c r="QD105" s="201"/>
      <c r="QE105" s="201"/>
      <c r="QF105" s="201"/>
      <c r="QG105" s="201"/>
      <c r="QH105" s="201"/>
      <c r="QI105" s="201"/>
      <c r="QJ105" s="201"/>
      <c r="QK105" s="201"/>
      <c r="QL105" s="201"/>
      <c r="QM105" s="201"/>
      <c r="QN105" s="201"/>
      <c r="QO105" s="201"/>
      <c r="QP105" s="201"/>
      <c r="QQ105" s="201"/>
      <c r="QR105" s="201"/>
      <c r="QS105" s="201"/>
      <c r="QT105" s="201"/>
      <c r="QU105" s="201"/>
      <c r="QV105" s="201"/>
      <c r="QW105" s="201"/>
      <c r="QX105" s="201"/>
      <c r="QY105" s="201"/>
      <c r="QZ105" s="201"/>
      <c r="RA105" s="201"/>
      <c r="RB105" s="201"/>
      <c r="RC105" s="201"/>
      <c r="RD105" s="201"/>
      <c r="RE105" s="201"/>
      <c r="RF105" s="201"/>
      <c r="RG105" s="201"/>
      <c r="RH105" s="201"/>
      <c r="RI105" s="201"/>
      <c r="RJ105" s="201"/>
      <c r="RK105" s="201"/>
      <c r="RL105" s="201"/>
      <c r="RM105" s="201"/>
      <c r="RN105" s="201"/>
      <c r="RO105" s="201"/>
      <c r="RP105" s="201"/>
      <c r="RQ105" s="201"/>
      <c r="RR105" s="201"/>
      <c r="RS105" s="201"/>
      <c r="RT105" s="201"/>
      <c r="RU105" s="201"/>
      <c r="RV105" s="201"/>
      <c r="RW105" s="201"/>
      <c r="RX105" s="201"/>
      <c r="RY105" s="201"/>
      <c r="RZ105" s="201"/>
      <c r="SA105" s="201"/>
      <c r="SB105" s="201"/>
      <c r="SC105" s="201"/>
      <c r="SD105" s="201"/>
      <c r="SE105" s="201"/>
      <c r="SF105" s="201"/>
      <c r="SG105" s="201"/>
      <c r="SH105" s="201"/>
      <c r="SI105" s="201"/>
      <c r="SJ105" s="201"/>
      <c r="SK105" s="201"/>
      <c r="SL105" s="201"/>
      <c r="SM105" s="201"/>
      <c r="SN105" s="201"/>
      <c r="SO105" s="201"/>
      <c r="SP105" s="201"/>
      <c r="SQ105" s="201"/>
      <c r="SR105" s="201"/>
      <c r="SS105" s="201"/>
      <c r="ST105" s="201"/>
      <c r="SU105" s="201"/>
      <c r="SV105" s="201"/>
      <c r="SW105" s="201"/>
      <c r="SX105" s="201"/>
      <c r="SY105" s="201"/>
      <c r="SZ105" s="201"/>
      <c r="TA105" s="201"/>
      <c r="TB105" s="201"/>
      <c r="TC105" s="201"/>
      <c r="TD105" s="201"/>
      <c r="TE105" s="201"/>
      <c r="TF105" s="201"/>
      <c r="TG105" s="201"/>
      <c r="TH105" s="201"/>
      <c r="TI105" s="201"/>
      <c r="TJ105" s="201"/>
      <c r="TK105" s="201"/>
      <c r="TL105" s="201"/>
      <c r="TM105" s="201"/>
      <c r="TN105" s="201"/>
      <c r="TO105" s="201"/>
      <c r="TP105" s="201"/>
      <c r="TQ105" s="201"/>
      <c r="TR105" s="201"/>
      <c r="TS105" s="201"/>
      <c r="TT105" s="201"/>
      <c r="TU105" s="201"/>
      <c r="TV105" s="201"/>
      <c r="TW105" s="201"/>
      <c r="TX105" s="201"/>
      <c r="TY105" s="201"/>
      <c r="TZ105" s="201"/>
      <c r="UA105" s="201"/>
      <c r="UB105" s="201"/>
      <c r="UC105" s="201"/>
      <c r="UD105" s="201"/>
      <c r="UE105" s="201"/>
      <c r="UF105" s="201"/>
      <c r="UG105" s="201"/>
      <c r="UH105" s="201"/>
      <c r="UI105" s="201"/>
      <c r="UJ105" s="201"/>
      <c r="UK105" s="201"/>
      <c r="UL105" s="201"/>
      <c r="UM105" s="201"/>
      <c r="UN105" s="201"/>
      <c r="UO105" s="201"/>
      <c r="UP105" s="201"/>
      <c r="UQ105" s="201"/>
      <c r="UR105" s="201"/>
      <c r="US105" s="201"/>
      <c r="UT105" s="201"/>
      <c r="UU105" s="201"/>
    </row>
    <row r="106" spans="2:567" x14ac:dyDescent="0.25">
      <c r="B106" s="54" t="s">
        <v>118</v>
      </c>
      <c r="C106" s="467">
        <v>0</v>
      </c>
      <c r="D106" s="105">
        <v>2.5000000000000001E-2</v>
      </c>
      <c r="E106" s="105">
        <v>2.5000000000000001E-2</v>
      </c>
      <c r="F106" s="105">
        <v>2.5000000000000001E-2</v>
      </c>
      <c r="G106" s="105">
        <v>2.5000000000000001E-2</v>
      </c>
      <c r="H106" s="67">
        <v>2.5000000000000001E-2</v>
      </c>
      <c r="I106" s="142" t="s">
        <v>163</v>
      </c>
      <c r="J106" s="26"/>
      <c r="K106" s="144">
        <f>+K105-K104+1</f>
        <v>24</v>
      </c>
      <c r="L106" s="538"/>
      <c r="M106" s="3" t="s">
        <v>839</v>
      </c>
      <c r="R106" s="539" t="s">
        <v>193</v>
      </c>
      <c r="S106" s="540"/>
      <c r="T106" s="541">
        <f t="shared" ref="T106:AY106" si="1550">+T126/T140</f>
        <v>0.52500000000000002</v>
      </c>
      <c r="U106" s="541">
        <f t="shared" si="1550"/>
        <v>0.5357142857142857</v>
      </c>
      <c r="V106" s="541">
        <f t="shared" si="1550"/>
        <v>0.54642857142857137</v>
      </c>
      <c r="W106" s="541">
        <f t="shared" si="1550"/>
        <v>0.55714285714285716</v>
      </c>
      <c r="X106" s="541">
        <f t="shared" si="1550"/>
        <v>0.56785714285714284</v>
      </c>
      <c r="Y106" s="541">
        <f t="shared" si="1550"/>
        <v>0.57857142857142863</v>
      </c>
      <c r="Z106" s="541">
        <f t="shared" si="1550"/>
        <v>0.5892857142857143</v>
      </c>
      <c r="AA106" s="541">
        <f t="shared" si="1550"/>
        <v>0.6</v>
      </c>
      <c r="AB106" s="541">
        <f t="shared" si="1550"/>
        <v>0.61071428571428577</v>
      </c>
      <c r="AC106" s="541">
        <f t="shared" si="1550"/>
        <v>0.62142857142857144</v>
      </c>
      <c r="AD106" s="541">
        <f t="shared" si="1550"/>
        <v>0.63214285714285712</v>
      </c>
      <c r="AE106" s="541">
        <f t="shared" si="1550"/>
        <v>0.6428571428571429</v>
      </c>
      <c r="AF106" s="541">
        <f t="shared" si="1550"/>
        <v>0.65357142857142847</v>
      </c>
      <c r="AG106" s="541">
        <f t="shared" si="1550"/>
        <v>0.66428571428571437</v>
      </c>
      <c r="AH106" s="541">
        <f t="shared" si="1550"/>
        <v>0.67499999999999993</v>
      </c>
      <c r="AI106" s="541">
        <f t="shared" si="1550"/>
        <v>0.68571428571428583</v>
      </c>
      <c r="AJ106" s="541">
        <f t="shared" si="1550"/>
        <v>0.69642857142857151</v>
      </c>
      <c r="AK106" s="541">
        <f t="shared" si="1550"/>
        <v>0.7071428571428573</v>
      </c>
      <c r="AL106" s="541">
        <f t="shared" si="1550"/>
        <v>0.71785714285714319</v>
      </c>
      <c r="AM106" s="541">
        <f t="shared" si="1550"/>
        <v>0.72857142857142876</v>
      </c>
      <c r="AN106" s="541">
        <f t="shared" si="1550"/>
        <v>0.73928571428571443</v>
      </c>
      <c r="AO106" s="541">
        <f t="shared" si="1550"/>
        <v>0.75000000000000011</v>
      </c>
      <c r="AP106" s="541">
        <f t="shared" si="1550"/>
        <v>0.76071428571428579</v>
      </c>
      <c r="AQ106" s="541">
        <f t="shared" si="1550"/>
        <v>0.77142857142857146</v>
      </c>
      <c r="AR106" s="541">
        <f t="shared" si="1550"/>
        <v>0.77142857142857135</v>
      </c>
      <c r="AS106" s="541">
        <f t="shared" si="1550"/>
        <v>0.77142857142857146</v>
      </c>
      <c r="AT106" s="541">
        <f t="shared" si="1550"/>
        <v>0.77142857142857157</v>
      </c>
      <c r="AU106" s="541">
        <f t="shared" si="1550"/>
        <v>0.77142857142857146</v>
      </c>
      <c r="AV106" s="541">
        <f t="shared" si="1550"/>
        <v>0.77142857142857135</v>
      </c>
      <c r="AW106" s="541">
        <f t="shared" si="1550"/>
        <v>0.77142857142857146</v>
      </c>
      <c r="AX106" s="541">
        <f t="shared" si="1550"/>
        <v>0.77142857142857135</v>
      </c>
      <c r="AY106" s="541">
        <f t="shared" si="1550"/>
        <v>0.77142857142857124</v>
      </c>
      <c r="AZ106" s="541">
        <f t="shared" ref="AZ106:CE106" si="1551">+AZ126/AZ140</f>
        <v>0.77142857142857135</v>
      </c>
      <c r="BA106" s="541">
        <f t="shared" si="1551"/>
        <v>0.77142857142857124</v>
      </c>
      <c r="BB106" s="541">
        <f t="shared" si="1551"/>
        <v>0.77142857142857124</v>
      </c>
      <c r="BC106" s="541">
        <f t="shared" si="1551"/>
        <v>0.77142857142857124</v>
      </c>
      <c r="BD106" s="541">
        <f t="shared" si="1551"/>
        <v>0.77142857142857124</v>
      </c>
      <c r="BE106" s="541">
        <f t="shared" si="1551"/>
        <v>0.77142857142857124</v>
      </c>
      <c r="BF106" s="541">
        <f t="shared" si="1551"/>
        <v>0.77142857142857135</v>
      </c>
      <c r="BG106" s="541">
        <f t="shared" si="1551"/>
        <v>0.77142857142857113</v>
      </c>
      <c r="BH106" s="541">
        <f t="shared" si="1551"/>
        <v>0.77142857142857124</v>
      </c>
      <c r="BI106" s="541">
        <f t="shared" si="1551"/>
        <v>0.77142857142857124</v>
      </c>
      <c r="BJ106" s="541">
        <f t="shared" si="1551"/>
        <v>0.77142857142857135</v>
      </c>
      <c r="BK106" s="541">
        <f t="shared" si="1551"/>
        <v>0.77142857142857135</v>
      </c>
      <c r="BL106" s="541">
        <f t="shared" si="1551"/>
        <v>0.77142857142857124</v>
      </c>
      <c r="BM106" s="541">
        <f t="shared" si="1551"/>
        <v>0.77142857142857113</v>
      </c>
      <c r="BN106" s="541">
        <f t="shared" si="1551"/>
        <v>0.77142857142857124</v>
      </c>
      <c r="BO106" s="541">
        <f t="shared" si="1551"/>
        <v>0.77142857142857113</v>
      </c>
      <c r="BP106" s="541">
        <f t="shared" si="1551"/>
        <v>0.77142857142857124</v>
      </c>
      <c r="BQ106" s="541">
        <f t="shared" si="1551"/>
        <v>0.77142857142857124</v>
      </c>
      <c r="BR106" s="541">
        <f t="shared" si="1551"/>
        <v>0.77142857142857113</v>
      </c>
      <c r="BS106" s="541">
        <f t="shared" si="1551"/>
        <v>0.77142857142857124</v>
      </c>
      <c r="BT106" s="541">
        <f t="shared" si="1551"/>
        <v>0.77142857142857124</v>
      </c>
      <c r="BU106" s="541">
        <f t="shared" si="1551"/>
        <v>0.77142857142857113</v>
      </c>
      <c r="BV106" s="541">
        <f t="shared" si="1551"/>
        <v>0.77142857142857113</v>
      </c>
      <c r="BW106" s="541">
        <f t="shared" si="1551"/>
        <v>0.77142857142857113</v>
      </c>
      <c r="BX106" s="541">
        <f t="shared" si="1551"/>
        <v>0.77142857142857102</v>
      </c>
      <c r="BY106" s="541">
        <f t="shared" si="1551"/>
        <v>0.77142857142857102</v>
      </c>
      <c r="BZ106" s="541">
        <f t="shared" si="1551"/>
        <v>0.77142857142857091</v>
      </c>
      <c r="CA106" s="541">
        <f t="shared" si="1551"/>
        <v>0.77142857142857102</v>
      </c>
      <c r="CB106" s="541">
        <f t="shared" si="1551"/>
        <v>0.77142857142857113</v>
      </c>
      <c r="CC106" s="541">
        <f t="shared" si="1551"/>
        <v>0.77142857142857102</v>
      </c>
      <c r="CD106" s="541">
        <f t="shared" si="1551"/>
        <v>0.77142857142857113</v>
      </c>
      <c r="CE106" s="541">
        <f t="shared" si="1551"/>
        <v>0.77142857142857102</v>
      </c>
      <c r="CF106" s="541">
        <f t="shared" ref="CF106:DK106" si="1552">+CF126/CF140</f>
        <v>0.77142857142857102</v>
      </c>
      <c r="CG106" s="541">
        <f t="shared" si="1552"/>
        <v>0.77142857142857091</v>
      </c>
      <c r="CH106" s="541">
        <f t="shared" si="1552"/>
        <v>0.77142857142857102</v>
      </c>
      <c r="CI106" s="541">
        <f t="shared" si="1552"/>
        <v>0.77142857142857102</v>
      </c>
      <c r="CJ106" s="541">
        <f t="shared" si="1552"/>
        <v>0.77142857142857102</v>
      </c>
      <c r="CK106" s="541">
        <f t="shared" si="1552"/>
        <v>0.77142857142857102</v>
      </c>
      <c r="CL106" s="541">
        <f t="shared" si="1552"/>
        <v>0.77142857142857102</v>
      </c>
      <c r="CM106" s="541">
        <f t="shared" si="1552"/>
        <v>0.77142857142857102</v>
      </c>
      <c r="CN106" s="541">
        <f t="shared" si="1552"/>
        <v>0.77142857142857091</v>
      </c>
      <c r="CO106" s="541">
        <f t="shared" si="1552"/>
        <v>0.77142857142857102</v>
      </c>
      <c r="CP106" s="541">
        <f t="shared" si="1552"/>
        <v>0.77142857142857113</v>
      </c>
      <c r="CQ106" s="541">
        <f t="shared" si="1552"/>
        <v>0.77142857142857091</v>
      </c>
      <c r="CR106" s="541">
        <f t="shared" si="1552"/>
        <v>0.77142857142857091</v>
      </c>
      <c r="CS106" s="541">
        <f t="shared" si="1552"/>
        <v>0.77142857142857091</v>
      </c>
      <c r="CT106" s="541">
        <f t="shared" si="1552"/>
        <v>0.77142857142857091</v>
      </c>
      <c r="CU106" s="541">
        <f t="shared" si="1552"/>
        <v>0.77142857142857091</v>
      </c>
      <c r="CV106" s="541">
        <f t="shared" si="1552"/>
        <v>0.77142857142857091</v>
      </c>
      <c r="CW106" s="541">
        <f t="shared" si="1552"/>
        <v>0.7714285714285708</v>
      </c>
      <c r="CX106" s="541">
        <f t="shared" si="1552"/>
        <v>0.77142857142857102</v>
      </c>
      <c r="CY106" s="541">
        <f t="shared" si="1552"/>
        <v>0.77142857142857102</v>
      </c>
      <c r="CZ106" s="541">
        <f t="shared" si="1552"/>
        <v>0.77142857142857102</v>
      </c>
      <c r="DA106" s="541">
        <f t="shared" si="1552"/>
        <v>0.77142857142857091</v>
      </c>
      <c r="DB106" s="541">
        <f t="shared" si="1552"/>
        <v>0.77142857142857091</v>
      </c>
      <c r="DC106" s="541">
        <f t="shared" si="1552"/>
        <v>0.77142857142857091</v>
      </c>
      <c r="DD106" s="541">
        <f t="shared" si="1552"/>
        <v>0.77142857142857102</v>
      </c>
      <c r="DE106" s="541">
        <f t="shared" si="1552"/>
        <v>0.77142857142857091</v>
      </c>
      <c r="DF106" s="541">
        <f t="shared" si="1552"/>
        <v>0.77142857142857102</v>
      </c>
      <c r="DG106" s="541">
        <f t="shared" si="1552"/>
        <v>0.77142857142857091</v>
      </c>
      <c r="DH106" s="541">
        <f t="shared" si="1552"/>
        <v>0.77142857142857091</v>
      </c>
      <c r="DI106" s="541">
        <f t="shared" si="1552"/>
        <v>0.77142857142857091</v>
      </c>
      <c r="DJ106" s="541">
        <f t="shared" si="1552"/>
        <v>0.77142857142857102</v>
      </c>
      <c r="DK106" s="541">
        <f t="shared" si="1552"/>
        <v>0.77142857142857091</v>
      </c>
      <c r="DL106" s="541">
        <f t="shared" ref="DL106:EU106" si="1553">+DL126/DL140</f>
        <v>0.77142857142857091</v>
      </c>
      <c r="DM106" s="541">
        <f t="shared" si="1553"/>
        <v>0.77142857142857091</v>
      </c>
      <c r="DN106" s="541">
        <f t="shared" si="1553"/>
        <v>0.77142857142857102</v>
      </c>
      <c r="DO106" s="541">
        <f t="shared" si="1553"/>
        <v>0.77142857142857091</v>
      </c>
      <c r="DP106" s="541">
        <f t="shared" si="1553"/>
        <v>0.77142857142857102</v>
      </c>
      <c r="DQ106" s="541">
        <f t="shared" si="1553"/>
        <v>0.77142857142857102</v>
      </c>
      <c r="DR106" s="541">
        <f t="shared" si="1553"/>
        <v>0.77142857142857113</v>
      </c>
      <c r="DS106" s="541">
        <f t="shared" si="1553"/>
        <v>0.77142857142857102</v>
      </c>
      <c r="DT106" s="541">
        <f t="shared" si="1553"/>
        <v>0.77142857142857091</v>
      </c>
      <c r="DU106" s="541">
        <f t="shared" si="1553"/>
        <v>0.7714285714285708</v>
      </c>
      <c r="DV106" s="541">
        <f t="shared" si="1553"/>
        <v>0.7714285714285708</v>
      </c>
      <c r="DW106" s="541">
        <f t="shared" si="1553"/>
        <v>0.77142857142857102</v>
      </c>
      <c r="DX106" s="541">
        <f t="shared" si="1553"/>
        <v>0.77142857142857102</v>
      </c>
      <c r="DY106" s="541">
        <f t="shared" si="1553"/>
        <v>0.77142857142857091</v>
      </c>
      <c r="DZ106" s="541">
        <f t="shared" si="1553"/>
        <v>0.77142857142857091</v>
      </c>
      <c r="EA106" s="541">
        <f t="shared" si="1553"/>
        <v>0.77142857142857069</v>
      </c>
      <c r="EB106" s="541">
        <f t="shared" si="1553"/>
        <v>0.77142857142857069</v>
      </c>
      <c r="EC106" s="541">
        <f t="shared" si="1553"/>
        <v>0.7714285714285708</v>
      </c>
      <c r="ED106" s="541">
        <f t="shared" si="1553"/>
        <v>0.7714285714285708</v>
      </c>
      <c r="EE106" s="541">
        <f t="shared" si="1553"/>
        <v>0.7714285714285708</v>
      </c>
      <c r="EF106" s="541">
        <f t="shared" si="1553"/>
        <v>0.7714285714285708</v>
      </c>
      <c r="EG106" s="541">
        <f t="shared" si="1553"/>
        <v>0.77142857142857102</v>
      </c>
      <c r="EH106" s="541">
        <f t="shared" si="1553"/>
        <v>0.7714285714285708</v>
      </c>
      <c r="EI106" s="541">
        <f t="shared" si="1553"/>
        <v>0.77142857142857091</v>
      </c>
      <c r="EJ106" s="541">
        <f t="shared" si="1553"/>
        <v>0.77142857142857091</v>
      </c>
      <c r="EK106" s="541">
        <f t="shared" si="1553"/>
        <v>0.77142857142857102</v>
      </c>
      <c r="EL106" s="541">
        <f t="shared" si="1553"/>
        <v>0.77142857142857069</v>
      </c>
      <c r="EM106" s="541">
        <f t="shared" si="1553"/>
        <v>0.77142857142857091</v>
      </c>
      <c r="EN106" s="541">
        <f t="shared" si="1553"/>
        <v>0.7714285714285708</v>
      </c>
      <c r="EO106" s="541">
        <f t="shared" si="1553"/>
        <v>0.77142857142857102</v>
      </c>
      <c r="EP106" s="541">
        <f t="shared" si="1553"/>
        <v>0.7714285714285708</v>
      </c>
      <c r="EQ106" s="541">
        <f t="shared" si="1553"/>
        <v>0.77142857142857091</v>
      </c>
      <c r="ER106" s="541">
        <f t="shared" si="1553"/>
        <v>0.77142857142857091</v>
      </c>
      <c r="ES106" s="541">
        <f t="shared" si="1553"/>
        <v>0.7714285714285708</v>
      </c>
      <c r="ET106" s="541">
        <f t="shared" si="1553"/>
        <v>0.7714285714285708</v>
      </c>
      <c r="EU106" s="541">
        <f t="shared" si="1553"/>
        <v>0.77142857142857091</v>
      </c>
      <c r="FC106" s="199"/>
      <c r="FD106" s="199"/>
      <c r="FE106" s="199"/>
      <c r="FF106" s="199"/>
      <c r="FG106" s="199"/>
      <c r="FH106" s="199"/>
      <c r="FI106" s="199"/>
      <c r="FJ106" s="199"/>
      <c r="FK106" s="199"/>
      <c r="FL106" s="199"/>
      <c r="FM106" s="199"/>
      <c r="FN106" s="199"/>
      <c r="FO106" s="199"/>
      <c r="FP106" s="199"/>
      <c r="FQ106" s="199"/>
      <c r="FR106" s="199"/>
      <c r="FS106" s="199"/>
      <c r="FT106" s="199"/>
      <c r="FU106" s="199"/>
      <c r="FV106" s="199"/>
      <c r="FW106" s="199"/>
      <c r="FX106" s="199"/>
      <c r="FY106" s="199"/>
      <c r="FZ106" s="199"/>
      <c r="GA106" s="199"/>
      <c r="GB106" s="199"/>
      <c r="GC106" s="199"/>
      <c r="GD106" s="199"/>
      <c r="GE106" s="199"/>
      <c r="GF106" s="199"/>
      <c r="GG106" s="199"/>
      <c r="GH106" s="199"/>
      <c r="GI106" s="199"/>
      <c r="GJ106" s="199"/>
      <c r="GK106" s="199"/>
      <c r="GL106" s="199"/>
      <c r="GM106" s="199"/>
      <c r="GN106" s="199"/>
      <c r="GO106" s="199"/>
      <c r="GP106" s="199"/>
      <c r="GQ106" s="199"/>
      <c r="GR106" s="199"/>
      <c r="GS106" s="199"/>
      <c r="GT106" s="199"/>
      <c r="GU106" s="199"/>
      <c r="GV106" s="199"/>
      <c r="GW106" s="199"/>
      <c r="GX106" s="199"/>
      <c r="GY106" s="199"/>
      <c r="GZ106" s="199"/>
      <c r="HA106" s="199"/>
      <c r="HB106" s="199"/>
      <c r="HC106" s="199"/>
      <c r="HD106" s="199"/>
      <c r="HE106" s="199"/>
      <c r="HF106" s="199"/>
      <c r="HG106" s="199"/>
      <c r="HH106" s="199"/>
      <c r="HI106" s="199"/>
      <c r="HJ106" s="199"/>
      <c r="HK106" s="199"/>
      <c r="HL106" s="199"/>
      <c r="HM106" s="199"/>
      <c r="HN106" s="199"/>
      <c r="HO106" s="199"/>
      <c r="HP106" s="199"/>
      <c r="HQ106" s="199"/>
      <c r="HR106" s="199"/>
      <c r="HS106" s="199"/>
      <c r="HT106" s="199"/>
      <c r="HU106" s="199"/>
      <c r="HV106" s="199"/>
      <c r="HW106" s="199"/>
      <c r="HX106" s="199"/>
      <c r="HY106" s="199"/>
      <c r="HZ106" s="199"/>
      <c r="IA106" s="199"/>
      <c r="IB106" s="199"/>
      <c r="IC106" s="199"/>
      <c r="ID106" s="199"/>
      <c r="IE106" s="199"/>
      <c r="IF106" s="199"/>
      <c r="IG106" s="199"/>
      <c r="IH106" s="199"/>
      <c r="II106" s="199"/>
      <c r="IJ106" s="199"/>
      <c r="IK106" s="199"/>
      <c r="IL106" s="199"/>
      <c r="IM106" s="199"/>
      <c r="IN106" s="199"/>
      <c r="IO106" s="199"/>
      <c r="IP106" s="199"/>
      <c r="IQ106" s="199"/>
      <c r="IR106" s="199"/>
      <c r="IS106" s="199"/>
      <c r="IT106" s="199"/>
      <c r="IU106" s="199"/>
      <c r="IV106" s="199"/>
      <c r="IW106" s="199"/>
      <c r="IX106" s="199"/>
      <c r="IY106" s="199"/>
      <c r="IZ106" s="199"/>
      <c r="JA106" s="199"/>
      <c r="JB106" s="199"/>
      <c r="JC106" s="199"/>
      <c r="JD106" s="199"/>
      <c r="JE106" s="199"/>
      <c r="JF106" s="199"/>
      <c r="JG106" s="199"/>
      <c r="JH106" s="199"/>
      <c r="JI106" s="199"/>
      <c r="JJ106" s="199"/>
      <c r="JK106" s="199"/>
      <c r="JL106" s="199"/>
      <c r="JM106" s="199"/>
      <c r="JN106" s="199"/>
      <c r="JO106" s="199"/>
      <c r="JP106" s="199"/>
      <c r="JQ106" s="199"/>
      <c r="JR106" s="199"/>
      <c r="JS106" s="199"/>
      <c r="JT106" s="199"/>
      <c r="JU106" s="199"/>
      <c r="JV106" s="199"/>
      <c r="JW106" s="199"/>
      <c r="JX106" s="199"/>
      <c r="JY106" s="199"/>
      <c r="JZ106" s="199"/>
      <c r="KA106" s="199"/>
      <c r="KB106" s="199"/>
      <c r="KC106" s="199"/>
      <c r="KD106" s="199"/>
      <c r="KE106" s="199"/>
      <c r="PQ106" s="201"/>
      <c r="PR106" s="201"/>
      <c r="PS106" s="201"/>
      <c r="PT106" s="201"/>
      <c r="PU106" s="201"/>
      <c r="PV106" s="201"/>
      <c r="PW106" s="201"/>
      <c r="PX106" s="201"/>
      <c r="PY106" s="201"/>
      <c r="PZ106" s="201"/>
      <c r="QA106" s="201"/>
      <c r="QB106" s="201"/>
      <c r="QC106" s="201"/>
      <c r="QD106" s="201"/>
      <c r="QE106" s="201"/>
      <c r="QF106" s="201"/>
      <c r="QG106" s="201"/>
      <c r="QH106" s="201"/>
      <c r="QI106" s="201"/>
      <c r="QJ106" s="201"/>
      <c r="QK106" s="201"/>
      <c r="QL106" s="201"/>
      <c r="QM106" s="201"/>
      <c r="QN106" s="201"/>
      <c r="QO106" s="201"/>
      <c r="QP106" s="201"/>
      <c r="QQ106" s="201"/>
      <c r="QR106" s="201"/>
      <c r="QS106" s="201"/>
      <c r="QT106" s="201"/>
      <c r="QU106" s="201"/>
      <c r="QV106" s="201"/>
      <c r="QW106" s="201"/>
      <c r="QX106" s="201"/>
      <c r="QY106" s="201"/>
      <c r="QZ106" s="201"/>
      <c r="RA106" s="201"/>
      <c r="RB106" s="201"/>
      <c r="RC106" s="201"/>
      <c r="RD106" s="201"/>
      <c r="RE106" s="201"/>
      <c r="RF106" s="201"/>
      <c r="RG106" s="201"/>
      <c r="RH106" s="201"/>
      <c r="RI106" s="201"/>
      <c r="RJ106" s="201"/>
      <c r="RK106" s="201"/>
      <c r="RL106" s="201"/>
      <c r="RM106" s="201"/>
      <c r="RN106" s="201"/>
      <c r="RO106" s="201"/>
      <c r="RP106" s="201"/>
      <c r="RQ106" s="201"/>
      <c r="RR106" s="201"/>
      <c r="RS106" s="201"/>
      <c r="RT106" s="201"/>
      <c r="RU106" s="201"/>
      <c r="RV106" s="201"/>
      <c r="RW106" s="201"/>
      <c r="RX106" s="201"/>
      <c r="RY106" s="201"/>
      <c r="RZ106" s="201"/>
      <c r="SA106" s="201"/>
      <c r="SB106" s="201"/>
      <c r="SC106" s="201"/>
      <c r="SD106" s="201"/>
      <c r="SE106" s="201"/>
      <c r="SF106" s="201"/>
      <c r="SG106" s="201"/>
      <c r="SH106" s="201"/>
      <c r="SI106" s="201"/>
      <c r="SJ106" s="201"/>
      <c r="SK106" s="201"/>
      <c r="SL106" s="201"/>
      <c r="SM106" s="201"/>
      <c r="SN106" s="201"/>
      <c r="SO106" s="201"/>
      <c r="SP106" s="201"/>
      <c r="SQ106" s="201"/>
      <c r="SR106" s="201"/>
      <c r="SS106" s="201"/>
      <c r="ST106" s="201"/>
      <c r="SU106" s="201"/>
      <c r="SV106" s="201"/>
      <c r="SW106" s="201"/>
      <c r="SX106" s="201"/>
      <c r="SY106" s="201"/>
      <c r="SZ106" s="201"/>
      <c r="TA106" s="201"/>
      <c r="TB106" s="201"/>
      <c r="TC106" s="201"/>
      <c r="TD106" s="201"/>
      <c r="TE106" s="201"/>
      <c r="TF106" s="201"/>
      <c r="TG106" s="201"/>
      <c r="TH106" s="201"/>
      <c r="TI106" s="201"/>
      <c r="TJ106" s="201"/>
      <c r="TK106" s="201"/>
      <c r="TL106" s="201"/>
      <c r="TM106" s="201"/>
      <c r="TN106" s="201"/>
      <c r="TO106" s="201"/>
      <c r="TP106" s="201"/>
      <c r="TQ106" s="201"/>
      <c r="TR106" s="201"/>
      <c r="TS106" s="201"/>
      <c r="TT106" s="201"/>
      <c r="TU106" s="201"/>
      <c r="TV106" s="201"/>
      <c r="TW106" s="201"/>
      <c r="TX106" s="201"/>
      <c r="TY106" s="201"/>
      <c r="TZ106" s="201"/>
      <c r="UA106" s="201"/>
      <c r="UB106" s="201"/>
      <c r="UC106" s="201"/>
      <c r="UD106" s="201"/>
      <c r="UE106" s="201"/>
      <c r="UF106" s="201"/>
      <c r="UG106" s="201"/>
      <c r="UH106" s="201"/>
      <c r="UI106" s="201"/>
      <c r="UJ106" s="201"/>
      <c r="UK106" s="201"/>
      <c r="UL106" s="201"/>
      <c r="UM106" s="201"/>
      <c r="UN106" s="201"/>
      <c r="UO106" s="201"/>
      <c r="UP106" s="201"/>
      <c r="UQ106" s="201"/>
      <c r="UR106" s="201"/>
      <c r="US106" s="201"/>
      <c r="UT106" s="201"/>
      <c r="UU106" s="201"/>
    </row>
    <row r="107" spans="2:567" x14ac:dyDescent="0.25">
      <c r="B107" s="54" t="s">
        <v>119</v>
      </c>
      <c r="C107" s="467">
        <v>0</v>
      </c>
      <c r="D107" s="105">
        <v>2.5000000000000001E-2</v>
      </c>
      <c r="E107" s="105">
        <v>2.5000000000000001E-2</v>
      </c>
      <c r="F107" s="105">
        <v>2.5000000000000001E-2</v>
      </c>
      <c r="G107" s="105">
        <v>2.5000000000000001E-2</v>
      </c>
      <c r="H107" s="67">
        <v>2.5000000000000001E-2</v>
      </c>
      <c r="I107" s="26"/>
      <c r="J107" s="26"/>
      <c r="K107" s="26"/>
      <c r="M107" s="3" t="s">
        <v>839</v>
      </c>
      <c r="R107" s="542" t="s">
        <v>336</v>
      </c>
      <c r="S107" s="385"/>
      <c r="T107" s="386" t="str">
        <f>IF(T111&gt;Analysis_Period,"NOT INCL.",IF(T111=Analysis_Period,"SALE",IF(AND(T110="Rolling",OR(S110="In-Place",S110="")),"RENO. START",IF(AND(T111="Market",S110="Rolling"),"RENO. END",""))))</f>
        <v>RENO. START</v>
      </c>
      <c r="U107" s="386" t="str">
        <f t="shared" ref="U107:AY107" si="1554">IF(U111&gt;Analysis_Period,"NOT INCL.",IF(U111=Analysis_Period,"SALE",IF(AND(U110="Rolling",T110="In-Place"),"RENO. START",IF(AND(U110="Market",T110="Rolling"),"RENO. END",""))))</f>
        <v/>
      </c>
      <c r="V107" s="386" t="str">
        <f t="shared" si="1554"/>
        <v/>
      </c>
      <c r="W107" s="386" t="str">
        <f t="shared" si="1554"/>
        <v/>
      </c>
      <c r="X107" s="386" t="str">
        <f t="shared" si="1554"/>
        <v/>
      </c>
      <c r="Y107" s="386" t="str">
        <f t="shared" si="1554"/>
        <v/>
      </c>
      <c r="Z107" s="386" t="str">
        <f t="shared" si="1554"/>
        <v/>
      </c>
      <c r="AA107" s="386" t="str">
        <f t="shared" si="1554"/>
        <v/>
      </c>
      <c r="AB107" s="386" t="str">
        <f t="shared" si="1554"/>
        <v/>
      </c>
      <c r="AC107" s="386" t="str">
        <f t="shared" si="1554"/>
        <v/>
      </c>
      <c r="AD107" s="386" t="str">
        <f t="shared" si="1554"/>
        <v/>
      </c>
      <c r="AE107" s="386" t="str">
        <f t="shared" si="1554"/>
        <v/>
      </c>
      <c r="AF107" s="386" t="str">
        <f t="shared" si="1554"/>
        <v/>
      </c>
      <c r="AG107" s="386" t="str">
        <f t="shared" si="1554"/>
        <v/>
      </c>
      <c r="AH107" s="386" t="str">
        <f t="shared" si="1554"/>
        <v/>
      </c>
      <c r="AI107" s="386" t="str">
        <f t="shared" si="1554"/>
        <v/>
      </c>
      <c r="AJ107" s="386" t="str">
        <f t="shared" si="1554"/>
        <v/>
      </c>
      <c r="AK107" s="386" t="str">
        <f t="shared" si="1554"/>
        <v/>
      </c>
      <c r="AL107" s="386" t="str">
        <f t="shared" si="1554"/>
        <v/>
      </c>
      <c r="AM107" s="386" t="str">
        <f t="shared" si="1554"/>
        <v/>
      </c>
      <c r="AN107" s="386" t="str">
        <f t="shared" si="1554"/>
        <v/>
      </c>
      <c r="AO107" s="386" t="str">
        <f t="shared" si="1554"/>
        <v/>
      </c>
      <c r="AP107" s="386" t="str">
        <f t="shared" si="1554"/>
        <v/>
      </c>
      <c r="AQ107" s="386" t="str">
        <f t="shared" si="1554"/>
        <v/>
      </c>
      <c r="AR107" s="386" t="str">
        <f t="shared" si="1554"/>
        <v>RENO. END</v>
      </c>
      <c r="AS107" s="386" t="str">
        <f t="shared" si="1554"/>
        <v/>
      </c>
      <c r="AT107" s="386" t="str">
        <f t="shared" si="1554"/>
        <v/>
      </c>
      <c r="AU107" s="386" t="str">
        <f t="shared" si="1554"/>
        <v/>
      </c>
      <c r="AV107" s="386" t="str">
        <f t="shared" si="1554"/>
        <v/>
      </c>
      <c r="AW107" s="386" t="str">
        <f t="shared" si="1554"/>
        <v/>
      </c>
      <c r="AX107" s="386" t="str">
        <f t="shared" si="1554"/>
        <v/>
      </c>
      <c r="AY107" s="386" t="str">
        <f t="shared" si="1554"/>
        <v/>
      </c>
      <c r="AZ107" s="386" t="str">
        <f t="shared" ref="AZ107:CE107" si="1555">IF(AZ111&gt;Analysis_Period,"NOT INCL.",IF(AZ111=Analysis_Period,"SALE",IF(AND(AZ110="Rolling",AY110="In-Place"),"RENO. START",IF(AND(AZ110="Market",AY110="Rolling"),"RENO. END",""))))</f>
        <v/>
      </c>
      <c r="BA107" s="386" t="str">
        <f t="shared" si="1555"/>
        <v/>
      </c>
      <c r="BB107" s="386" t="str">
        <f t="shared" si="1555"/>
        <v/>
      </c>
      <c r="BC107" s="386" t="str">
        <f t="shared" si="1555"/>
        <v>SALE</v>
      </c>
      <c r="BD107" s="386" t="str">
        <f t="shared" si="1555"/>
        <v>NOT INCL.</v>
      </c>
      <c r="BE107" s="386" t="str">
        <f t="shared" si="1555"/>
        <v>NOT INCL.</v>
      </c>
      <c r="BF107" s="386" t="str">
        <f t="shared" si="1555"/>
        <v>NOT INCL.</v>
      </c>
      <c r="BG107" s="386" t="str">
        <f t="shared" si="1555"/>
        <v>NOT INCL.</v>
      </c>
      <c r="BH107" s="386" t="str">
        <f t="shared" si="1555"/>
        <v>NOT INCL.</v>
      </c>
      <c r="BI107" s="386" t="str">
        <f t="shared" si="1555"/>
        <v>NOT INCL.</v>
      </c>
      <c r="BJ107" s="386" t="str">
        <f t="shared" si="1555"/>
        <v>NOT INCL.</v>
      </c>
      <c r="BK107" s="386" t="str">
        <f t="shared" si="1555"/>
        <v>NOT INCL.</v>
      </c>
      <c r="BL107" s="386" t="str">
        <f t="shared" si="1555"/>
        <v>NOT INCL.</v>
      </c>
      <c r="BM107" s="386" t="str">
        <f t="shared" si="1555"/>
        <v>NOT INCL.</v>
      </c>
      <c r="BN107" s="386" t="str">
        <f t="shared" si="1555"/>
        <v>NOT INCL.</v>
      </c>
      <c r="BO107" s="386" t="str">
        <f t="shared" si="1555"/>
        <v>NOT INCL.</v>
      </c>
      <c r="BP107" s="386" t="str">
        <f t="shared" si="1555"/>
        <v>NOT INCL.</v>
      </c>
      <c r="BQ107" s="386" t="str">
        <f t="shared" si="1555"/>
        <v>NOT INCL.</v>
      </c>
      <c r="BR107" s="386" t="str">
        <f t="shared" si="1555"/>
        <v>NOT INCL.</v>
      </c>
      <c r="BS107" s="386" t="str">
        <f t="shared" si="1555"/>
        <v>NOT INCL.</v>
      </c>
      <c r="BT107" s="386" t="str">
        <f t="shared" si="1555"/>
        <v>NOT INCL.</v>
      </c>
      <c r="BU107" s="386" t="str">
        <f t="shared" si="1555"/>
        <v>NOT INCL.</v>
      </c>
      <c r="BV107" s="386" t="str">
        <f t="shared" si="1555"/>
        <v>NOT INCL.</v>
      </c>
      <c r="BW107" s="386" t="str">
        <f t="shared" si="1555"/>
        <v>NOT INCL.</v>
      </c>
      <c r="BX107" s="386" t="str">
        <f t="shared" si="1555"/>
        <v>NOT INCL.</v>
      </c>
      <c r="BY107" s="386" t="str">
        <f t="shared" si="1555"/>
        <v>NOT INCL.</v>
      </c>
      <c r="BZ107" s="386" t="str">
        <f t="shared" si="1555"/>
        <v>NOT INCL.</v>
      </c>
      <c r="CA107" s="386" t="str">
        <f t="shared" si="1555"/>
        <v>NOT INCL.</v>
      </c>
      <c r="CB107" s="386" t="str">
        <f t="shared" si="1555"/>
        <v>NOT INCL.</v>
      </c>
      <c r="CC107" s="386" t="str">
        <f t="shared" si="1555"/>
        <v>NOT INCL.</v>
      </c>
      <c r="CD107" s="386" t="str">
        <f t="shared" si="1555"/>
        <v>NOT INCL.</v>
      </c>
      <c r="CE107" s="386" t="str">
        <f t="shared" si="1555"/>
        <v>NOT INCL.</v>
      </c>
      <c r="CF107" s="386" t="str">
        <f t="shared" ref="CF107:DK107" si="1556">IF(CF111&gt;Analysis_Period,"NOT INCL.",IF(CF111=Analysis_Period,"SALE",IF(AND(CF110="Rolling",CE110="In-Place"),"RENO. START",IF(AND(CF110="Market",CE110="Rolling"),"RENO. END",""))))</f>
        <v>NOT INCL.</v>
      </c>
      <c r="CG107" s="386" t="str">
        <f t="shared" si="1556"/>
        <v>NOT INCL.</v>
      </c>
      <c r="CH107" s="386" t="str">
        <f t="shared" si="1556"/>
        <v>NOT INCL.</v>
      </c>
      <c r="CI107" s="386" t="str">
        <f t="shared" si="1556"/>
        <v>NOT INCL.</v>
      </c>
      <c r="CJ107" s="386" t="str">
        <f t="shared" si="1556"/>
        <v>NOT INCL.</v>
      </c>
      <c r="CK107" s="386" t="str">
        <f t="shared" si="1556"/>
        <v>NOT INCL.</v>
      </c>
      <c r="CL107" s="386" t="str">
        <f t="shared" si="1556"/>
        <v>NOT INCL.</v>
      </c>
      <c r="CM107" s="386" t="str">
        <f t="shared" si="1556"/>
        <v>NOT INCL.</v>
      </c>
      <c r="CN107" s="386" t="str">
        <f t="shared" si="1556"/>
        <v>NOT INCL.</v>
      </c>
      <c r="CO107" s="386" t="str">
        <f t="shared" si="1556"/>
        <v>NOT INCL.</v>
      </c>
      <c r="CP107" s="386" t="str">
        <f t="shared" si="1556"/>
        <v>NOT INCL.</v>
      </c>
      <c r="CQ107" s="386" t="str">
        <f t="shared" si="1556"/>
        <v>NOT INCL.</v>
      </c>
      <c r="CR107" s="386" t="str">
        <f t="shared" si="1556"/>
        <v>NOT INCL.</v>
      </c>
      <c r="CS107" s="386" t="str">
        <f t="shared" si="1556"/>
        <v>NOT INCL.</v>
      </c>
      <c r="CT107" s="386" t="str">
        <f t="shared" si="1556"/>
        <v>NOT INCL.</v>
      </c>
      <c r="CU107" s="386" t="str">
        <f t="shared" si="1556"/>
        <v>NOT INCL.</v>
      </c>
      <c r="CV107" s="386" t="str">
        <f t="shared" si="1556"/>
        <v>NOT INCL.</v>
      </c>
      <c r="CW107" s="386" t="str">
        <f t="shared" si="1556"/>
        <v>NOT INCL.</v>
      </c>
      <c r="CX107" s="386" t="str">
        <f t="shared" si="1556"/>
        <v>NOT INCL.</v>
      </c>
      <c r="CY107" s="386" t="str">
        <f t="shared" si="1556"/>
        <v>NOT INCL.</v>
      </c>
      <c r="CZ107" s="386" t="str">
        <f t="shared" si="1556"/>
        <v>NOT INCL.</v>
      </c>
      <c r="DA107" s="386" t="str">
        <f t="shared" si="1556"/>
        <v>NOT INCL.</v>
      </c>
      <c r="DB107" s="386" t="str">
        <f t="shared" si="1556"/>
        <v>NOT INCL.</v>
      </c>
      <c r="DC107" s="386" t="str">
        <f t="shared" si="1556"/>
        <v>NOT INCL.</v>
      </c>
      <c r="DD107" s="386" t="str">
        <f t="shared" si="1556"/>
        <v>NOT INCL.</v>
      </c>
      <c r="DE107" s="386" t="str">
        <f t="shared" si="1556"/>
        <v>NOT INCL.</v>
      </c>
      <c r="DF107" s="386" t="str">
        <f t="shared" si="1556"/>
        <v>NOT INCL.</v>
      </c>
      <c r="DG107" s="386" t="str">
        <f t="shared" si="1556"/>
        <v>NOT INCL.</v>
      </c>
      <c r="DH107" s="386" t="str">
        <f t="shared" si="1556"/>
        <v>NOT INCL.</v>
      </c>
      <c r="DI107" s="386" t="str">
        <f t="shared" si="1556"/>
        <v>NOT INCL.</v>
      </c>
      <c r="DJ107" s="386" t="str">
        <f t="shared" si="1556"/>
        <v>NOT INCL.</v>
      </c>
      <c r="DK107" s="386" t="str">
        <f t="shared" si="1556"/>
        <v>NOT INCL.</v>
      </c>
      <c r="DL107" s="386" t="str">
        <f t="shared" ref="DL107:EU107" si="1557">IF(DL111&gt;Analysis_Period,"NOT INCL.",IF(DL111=Analysis_Period,"SALE",IF(AND(DL110="Rolling",DK110="In-Place"),"RENO. START",IF(AND(DL110="Market",DK110="Rolling"),"RENO. END",""))))</f>
        <v>NOT INCL.</v>
      </c>
      <c r="DM107" s="386" t="str">
        <f t="shared" si="1557"/>
        <v>NOT INCL.</v>
      </c>
      <c r="DN107" s="386" t="str">
        <f t="shared" si="1557"/>
        <v>NOT INCL.</v>
      </c>
      <c r="DO107" s="386" t="str">
        <f t="shared" si="1557"/>
        <v>NOT INCL.</v>
      </c>
      <c r="DP107" s="386" t="str">
        <f t="shared" si="1557"/>
        <v>NOT INCL.</v>
      </c>
      <c r="DQ107" s="386" t="str">
        <f t="shared" si="1557"/>
        <v>NOT INCL.</v>
      </c>
      <c r="DR107" s="386" t="str">
        <f t="shared" si="1557"/>
        <v>NOT INCL.</v>
      </c>
      <c r="DS107" s="386" t="str">
        <f t="shared" si="1557"/>
        <v>NOT INCL.</v>
      </c>
      <c r="DT107" s="386" t="str">
        <f t="shared" si="1557"/>
        <v>NOT INCL.</v>
      </c>
      <c r="DU107" s="386" t="str">
        <f t="shared" si="1557"/>
        <v>NOT INCL.</v>
      </c>
      <c r="DV107" s="386" t="str">
        <f t="shared" si="1557"/>
        <v>NOT INCL.</v>
      </c>
      <c r="DW107" s="386" t="str">
        <f t="shared" si="1557"/>
        <v>NOT INCL.</v>
      </c>
      <c r="DX107" s="386" t="str">
        <f t="shared" si="1557"/>
        <v>NOT INCL.</v>
      </c>
      <c r="DY107" s="386" t="str">
        <f t="shared" si="1557"/>
        <v>NOT INCL.</v>
      </c>
      <c r="DZ107" s="386" t="str">
        <f t="shared" si="1557"/>
        <v>NOT INCL.</v>
      </c>
      <c r="EA107" s="386" t="str">
        <f t="shared" si="1557"/>
        <v>NOT INCL.</v>
      </c>
      <c r="EB107" s="386" t="str">
        <f t="shared" si="1557"/>
        <v>NOT INCL.</v>
      </c>
      <c r="EC107" s="386" t="str">
        <f t="shared" si="1557"/>
        <v>NOT INCL.</v>
      </c>
      <c r="ED107" s="386" t="str">
        <f t="shared" si="1557"/>
        <v>NOT INCL.</v>
      </c>
      <c r="EE107" s="386" t="str">
        <f t="shared" si="1557"/>
        <v>NOT INCL.</v>
      </c>
      <c r="EF107" s="386" t="str">
        <f t="shared" si="1557"/>
        <v>NOT INCL.</v>
      </c>
      <c r="EG107" s="386" t="str">
        <f t="shared" si="1557"/>
        <v>NOT INCL.</v>
      </c>
      <c r="EH107" s="386" t="str">
        <f t="shared" si="1557"/>
        <v>NOT INCL.</v>
      </c>
      <c r="EI107" s="386" t="str">
        <f t="shared" si="1557"/>
        <v>NOT INCL.</v>
      </c>
      <c r="EJ107" s="386" t="str">
        <f t="shared" si="1557"/>
        <v>NOT INCL.</v>
      </c>
      <c r="EK107" s="386" t="str">
        <f t="shared" si="1557"/>
        <v>NOT INCL.</v>
      </c>
      <c r="EL107" s="386" t="str">
        <f t="shared" si="1557"/>
        <v>NOT INCL.</v>
      </c>
      <c r="EM107" s="386" t="str">
        <f t="shared" si="1557"/>
        <v>NOT INCL.</v>
      </c>
      <c r="EN107" s="386" t="str">
        <f t="shared" si="1557"/>
        <v>NOT INCL.</v>
      </c>
      <c r="EO107" s="386" t="str">
        <f t="shared" si="1557"/>
        <v>NOT INCL.</v>
      </c>
      <c r="EP107" s="386" t="str">
        <f t="shared" si="1557"/>
        <v>NOT INCL.</v>
      </c>
      <c r="EQ107" s="386" t="str">
        <f t="shared" si="1557"/>
        <v>NOT INCL.</v>
      </c>
      <c r="ER107" s="386" t="str">
        <f t="shared" si="1557"/>
        <v>NOT INCL.</v>
      </c>
      <c r="ES107" s="386" t="str">
        <f t="shared" si="1557"/>
        <v>NOT INCL.</v>
      </c>
      <c r="ET107" s="386" t="str">
        <f t="shared" si="1557"/>
        <v>NOT INCL.</v>
      </c>
      <c r="EU107" s="386" t="str">
        <f t="shared" si="1557"/>
        <v>NOT INCL.</v>
      </c>
      <c r="FC107" s="199"/>
      <c r="FD107" s="199"/>
      <c r="FE107" s="199"/>
      <c r="FF107" s="199"/>
      <c r="FG107" s="199"/>
      <c r="FH107" s="199"/>
      <c r="FI107" s="199"/>
      <c r="FJ107" s="199"/>
      <c r="FK107" s="199"/>
      <c r="FL107" s="199"/>
      <c r="FM107" s="199"/>
      <c r="FN107" s="199"/>
      <c r="FO107" s="199"/>
      <c r="FP107" s="199"/>
      <c r="FQ107" s="199"/>
      <c r="FR107" s="199"/>
      <c r="FS107" s="199"/>
      <c r="FT107" s="199"/>
      <c r="FU107" s="199"/>
      <c r="FV107" s="199"/>
      <c r="FW107" s="199"/>
      <c r="FX107" s="199"/>
      <c r="FY107" s="199"/>
      <c r="FZ107" s="199"/>
      <c r="GA107" s="199"/>
      <c r="GB107" s="199"/>
      <c r="GC107" s="199"/>
      <c r="GD107" s="199"/>
      <c r="GE107" s="199"/>
      <c r="GF107" s="199"/>
      <c r="GG107" s="199"/>
      <c r="GH107" s="199"/>
      <c r="GI107" s="199"/>
      <c r="GJ107" s="199"/>
      <c r="GK107" s="199"/>
      <c r="GL107" s="199"/>
      <c r="GM107" s="199"/>
      <c r="GN107" s="199"/>
      <c r="GO107" s="199"/>
      <c r="GP107" s="199"/>
      <c r="GQ107" s="199"/>
      <c r="GR107" s="199"/>
      <c r="GS107" s="199"/>
      <c r="GT107" s="199"/>
      <c r="GU107" s="199"/>
      <c r="GV107" s="199"/>
      <c r="GW107" s="199"/>
      <c r="GX107" s="199"/>
      <c r="GY107" s="199"/>
      <c r="GZ107" s="199"/>
      <c r="HA107" s="199"/>
      <c r="HB107" s="199"/>
      <c r="HC107" s="199"/>
      <c r="HD107" s="199"/>
      <c r="HE107" s="199"/>
      <c r="HF107" s="199"/>
      <c r="HG107" s="199"/>
      <c r="HH107" s="199"/>
      <c r="HI107" s="199"/>
      <c r="HJ107" s="199"/>
      <c r="HK107" s="199"/>
      <c r="HL107" s="199"/>
      <c r="HM107" s="199"/>
      <c r="HN107" s="199"/>
      <c r="HO107" s="199"/>
      <c r="HP107" s="199"/>
      <c r="HQ107" s="199"/>
      <c r="HR107" s="199"/>
      <c r="HS107" s="199"/>
      <c r="HT107" s="199"/>
      <c r="HU107" s="199"/>
      <c r="HV107" s="199"/>
      <c r="HW107" s="199"/>
      <c r="HX107" s="199"/>
      <c r="HY107" s="199"/>
      <c r="HZ107" s="199"/>
      <c r="IA107" s="199"/>
      <c r="IB107" s="199"/>
      <c r="IC107" s="199"/>
      <c r="ID107" s="199"/>
      <c r="IE107" s="199"/>
      <c r="IF107" s="199"/>
      <c r="IG107" s="199"/>
      <c r="IH107" s="199"/>
      <c r="II107" s="199"/>
      <c r="IJ107" s="199"/>
      <c r="IK107" s="199"/>
      <c r="IL107" s="199"/>
      <c r="IM107" s="199"/>
      <c r="IN107" s="199"/>
      <c r="IO107" s="199"/>
      <c r="IP107" s="199"/>
      <c r="IQ107" s="199"/>
      <c r="IR107" s="199"/>
      <c r="IS107" s="199"/>
      <c r="IT107" s="199"/>
      <c r="IU107" s="199"/>
      <c r="IV107" s="199"/>
      <c r="IW107" s="199"/>
      <c r="IX107" s="199"/>
      <c r="IY107" s="199"/>
      <c r="IZ107" s="199"/>
      <c r="JA107" s="199"/>
      <c r="JB107" s="199"/>
      <c r="JC107" s="199"/>
      <c r="JD107" s="199"/>
      <c r="JE107" s="199"/>
      <c r="JF107" s="199"/>
      <c r="JG107" s="199"/>
      <c r="JH107" s="199"/>
      <c r="JI107" s="199"/>
      <c r="JJ107" s="199"/>
      <c r="JK107" s="199"/>
      <c r="JL107" s="199"/>
      <c r="JM107" s="199"/>
      <c r="JN107" s="199"/>
      <c r="JO107" s="199"/>
      <c r="JP107" s="199"/>
      <c r="JQ107" s="199"/>
      <c r="JR107" s="199"/>
      <c r="JS107" s="199"/>
      <c r="JT107" s="199"/>
      <c r="JU107" s="199"/>
      <c r="JV107" s="199"/>
      <c r="JW107" s="199"/>
      <c r="JX107" s="199"/>
      <c r="JY107" s="199"/>
      <c r="JZ107" s="199"/>
      <c r="KA107" s="199"/>
      <c r="KB107" s="199"/>
      <c r="KC107" s="199"/>
      <c r="KD107" s="199"/>
      <c r="KE107" s="199"/>
      <c r="PQ107" s="201"/>
      <c r="PR107" s="201"/>
      <c r="PS107" s="201"/>
      <c r="PT107" s="201"/>
      <c r="PU107" s="201"/>
      <c r="PV107" s="201"/>
      <c r="PW107" s="201"/>
      <c r="PX107" s="201"/>
      <c r="PY107" s="201"/>
      <c r="PZ107" s="201"/>
      <c r="QA107" s="201"/>
      <c r="QB107" s="201"/>
      <c r="QC107" s="201"/>
      <c r="QD107" s="201"/>
      <c r="QE107" s="201"/>
      <c r="QF107" s="201"/>
      <c r="QG107" s="201"/>
      <c r="QH107" s="201"/>
      <c r="QI107" s="201"/>
      <c r="QJ107" s="201"/>
      <c r="QK107" s="201"/>
      <c r="QL107" s="201"/>
      <c r="QM107" s="201"/>
      <c r="QN107" s="201"/>
      <c r="QO107" s="201"/>
      <c r="QP107" s="201"/>
      <c r="QQ107" s="201"/>
      <c r="QR107" s="201"/>
      <c r="QS107" s="201"/>
      <c r="QT107" s="201"/>
      <c r="QU107" s="201"/>
      <c r="QV107" s="201"/>
      <c r="QW107" s="201"/>
      <c r="QX107" s="201"/>
      <c r="QY107" s="201"/>
      <c r="QZ107" s="201"/>
      <c r="RA107" s="201"/>
      <c r="RB107" s="201"/>
      <c r="RC107" s="201"/>
      <c r="RD107" s="201"/>
      <c r="RE107" s="201"/>
      <c r="RF107" s="201"/>
      <c r="RG107" s="201"/>
      <c r="RH107" s="201"/>
      <c r="RI107" s="201"/>
      <c r="RJ107" s="201"/>
      <c r="RK107" s="201"/>
      <c r="RL107" s="201"/>
      <c r="RM107" s="201"/>
      <c r="RN107" s="201"/>
      <c r="RO107" s="201"/>
      <c r="RP107" s="201"/>
      <c r="RQ107" s="201"/>
      <c r="RR107" s="201"/>
      <c r="RS107" s="201"/>
      <c r="RT107" s="201"/>
      <c r="RU107" s="201"/>
      <c r="RV107" s="201"/>
      <c r="RW107" s="201"/>
      <c r="RX107" s="201"/>
      <c r="RY107" s="201"/>
      <c r="RZ107" s="201"/>
      <c r="SA107" s="201"/>
      <c r="SB107" s="201"/>
      <c r="SC107" s="201"/>
      <c r="SD107" s="201"/>
      <c r="SE107" s="201"/>
      <c r="SF107" s="201"/>
      <c r="SG107" s="201"/>
      <c r="SH107" s="201"/>
      <c r="SI107" s="201"/>
      <c r="SJ107" s="201"/>
      <c r="SK107" s="201"/>
      <c r="SL107" s="201"/>
      <c r="SM107" s="201"/>
      <c r="SN107" s="201"/>
      <c r="SO107" s="201"/>
      <c r="SP107" s="201"/>
      <c r="SQ107" s="201"/>
      <c r="SR107" s="201"/>
      <c r="SS107" s="201"/>
      <c r="ST107" s="201"/>
      <c r="SU107" s="201"/>
      <c r="SV107" s="201"/>
      <c r="SW107" s="201"/>
      <c r="SX107" s="201"/>
      <c r="SY107" s="201"/>
      <c r="SZ107" s="201"/>
      <c r="TA107" s="201"/>
      <c r="TB107" s="201"/>
      <c r="TC107" s="201"/>
      <c r="TD107" s="201"/>
      <c r="TE107" s="201"/>
      <c r="TF107" s="201"/>
      <c r="TG107" s="201"/>
      <c r="TH107" s="201"/>
      <c r="TI107" s="201"/>
      <c r="TJ107" s="201"/>
      <c r="TK107" s="201"/>
      <c r="TL107" s="201"/>
      <c r="TM107" s="201"/>
      <c r="TN107" s="201"/>
      <c r="TO107" s="201"/>
      <c r="TP107" s="201"/>
      <c r="TQ107" s="201"/>
      <c r="TR107" s="201"/>
      <c r="TS107" s="201"/>
      <c r="TT107" s="201"/>
      <c r="TU107" s="201"/>
      <c r="TV107" s="201"/>
      <c r="TW107" s="201"/>
      <c r="TX107" s="201"/>
      <c r="TY107" s="201"/>
      <c r="TZ107" s="201"/>
      <c r="UA107" s="201"/>
      <c r="UB107" s="201"/>
      <c r="UC107" s="201"/>
      <c r="UD107" s="201"/>
      <c r="UE107" s="201"/>
      <c r="UF107" s="201"/>
      <c r="UG107" s="201"/>
      <c r="UH107" s="201"/>
      <c r="UI107" s="201"/>
      <c r="UJ107" s="201"/>
      <c r="UK107" s="201"/>
      <c r="UL107" s="201"/>
      <c r="UM107" s="201"/>
      <c r="UN107" s="201"/>
      <c r="UO107" s="201"/>
      <c r="UP107" s="201"/>
      <c r="UQ107" s="201"/>
      <c r="UR107" s="201"/>
      <c r="US107" s="201"/>
      <c r="UT107" s="201"/>
      <c r="UU107" s="201"/>
    </row>
    <row r="108" spans="2:567" x14ac:dyDescent="0.25">
      <c r="B108" s="54" t="s">
        <v>120</v>
      </c>
      <c r="C108" s="467">
        <v>0</v>
      </c>
      <c r="D108" s="105">
        <v>2.5000000000000001E-2</v>
      </c>
      <c r="E108" s="105">
        <v>2.5000000000000001E-2</v>
      </c>
      <c r="F108" s="105">
        <v>2.5000000000000001E-2</v>
      </c>
      <c r="G108" s="105">
        <v>2.5000000000000001E-2</v>
      </c>
      <c r="H108" s="67">
        <v>2.5000000000000001E-2</v>
      </c>
      <c r="I108" s="26" t="s">
        <v>164</v>
      </c>
      <c r="J108" s="26"/>
      <c r="K108" s="19" t="s">
        <v>165</v>
      </c>
      <c r="M108" s="3" t="s">
        <v>839</v>
      </c>
      <c r="R108" s="542" t="str">
        <f>Unit_Type_Plural&amp;" Under Renovation"</f>
        <v>Units Under Renovation</v>
      </c>
      <c r="S108" s="145"/>
      <c r="T108" s="92">
        <f t="shared" ref="T108:AY108" si="1558">(T111=1)*(T109-$E$120)*$C$120+(T111&gt;1)*(T109-S109)*$C$120</f>
        <v>12.5</v>
      </c>
      <c r="U108" s="92">
        <f t="shared" si="1558"/>
        <v>12.5</v>
      </c>
      <c r="V108" s="92">
        <f t="shared" si="1558"/>
        <v>12.500000000000002</v>
      </c>
      <c r="W108" s="92">
        <f t="shared" si="1558"/>
        <v>12.499999999999996</v>
      </c>
      <c r="X108" s="92">
        <f t="shared" si="1558"/>
        <v>12.500000000000005</v>
      </c>
      <c r="Y108" s="92">
        <f t="shared" si="1558"/>
        <v>12.499999999999996</v>
      </c>
      <c r="Z108" s="92">
        <f t="shared" si="1558"/>
        <v>12.500000000000005</v>
      </c>
      <c r="AA108" s="92">
        <f t="shared" si="1558"/>
        <v>12.499999999999989</v>
      </c>
      <c r="AB108" s="92">
        <f t="shared" si="1558"/>
        <v>12.500000000000005</v>
      </c>
      <c r="AC108" s="92">
        <f t="shared" si="1558"/>
        <v>12.500000000000005</v>
      </c>
      <c r="AD108" s="92">
        <f t="shared" si="1558"/>
        <v>12.499999999999989</v>
      </c>
      <c r="AE108" s="92">
        <f t="shared" si="1558"/>
        <v>12.500000000000005</v>
      </c>
      <c r="AF108" s="92">
        <f t="shared" si="1558"/>
        <v>12.499999999999989</v>
      </c>
      <c r="AG108" s="92">
        <f t="shared" si="1558"/>
        <v>12.500000000000021</v>
      </c>
      <c r="AH108" s="92">
        <f t="shared" si="1558"/>
        <v>12.499999999999989</v>
      </c>
      <c r="AI108" s="92">
        <f t="shared" si="1558"/>
        <v>12.499999999999989</v>
      </c>
      <c r="AJ108" s="92">
        <f t="shared" si="1558"/>
        <v>12.500000000000021</v>
      </c>
      <c r="AK108" s="92">
        <f t="shared" si="1558"/>
        <v>12.499999999999989</v>
      </c>
      <c r="AL108" s="92">
        <f t="shared" si="1558"/>
        <v>12.499999999999989</v>
      </c>
      <c r="AM108" s="92">
        <f t="shared" si="1558"/>
        <v>12.500000000000021</v>
      </c>
      <c r="AN108" s="92">
        <f t="shared" si="1558"/>
        <v>12.499999999999989</v>
      </c>
      <c r="AO108" s="92">
        <f t="shared" si="1558"/>
        <v>12.499999999999989</v>
      </c>
      <c r="AP108" s="92">
        <f t="shared" si="1558"/>
        <v>12.500000000000021</v>
      </c>
      <c r="AQ108" s="92">
        <f t="shared" si="1558"/>
        <v>12.499999999999989</v>
      </c>
      <c r="AR108" s="92">
        <f t="shared" si="1558"/>
        <v>0</v>
      </c>
      <c r="AS108" s="92">
        <f t="shared" si="1558"/>
        <v>0</v>
      </c>
      <c r="AT108" s="92">
        <f t="shared" si="1558"/>
        <v>0</v>
      </c>
      <c r="AU108" s="92">
        <f t="shared" si="1558"/>
        <v>0</v>
      </c>
      <c r="AV108" s="92">
        <f t="shared" si="1558"/>
        <v>0</v>
      </c>
      <c r="AW108" s="92">
        <f t="shared" si="1558"/>
        <v>0</v>
      </c>
      <c r="AX108" s="92">
        <f t="shared" si="1558"/>
        <v>0</v>
      </c>
      <c r="AY108" s="92">
        <f t="shared" si="1558"/>
        <v>0</v>
      </c>
      <c r="AZ108" s="92">
        <f t="shared" ref="AZ108:CE108" si="1559">(AZ111=1)*(AZ109-$E$120)*$C$120+(AZ111&gt;1)*(AZ109-AY109)*$C$120</f>
        <v>0</v>
      </c>
      <c r="BA108" s="92">
        <f t="shared" si="1559"/>
        <v>0</v>
      </c>
      <c r="BB108" s="92">
        <f t="shared" si="1559"/>
        <v>0</v>
      </c>
      <c r="BC108" s="92">
        <f t="shared" si="1559"/>
        <v>0</v>
      </c>
      <c r="BD108" s="92">
        <f t="shared" si="1559"/>
        <v>0</v>
      </c>
      <c r="BE108" s="92">
        <f t="shared" si="1559"/>
        <v>0</v>
      </c>
      <c r="BF108" s="92">
        <f t="shared" si="1559"/>
        <v>0</v>
      </c>
      <c r="BG108" s="92">
        <f t="shared" si="1559"/>
        <v>0</v>
      </c>
      <c r="BH108" s="92">
        <f t="shared" si="1559"/>
        <v>0</v>
      </c>
      <c r="BI108" s="92">
        <f t="shared" si="1559"/>
        <v>0</v>
      </c>
      <c r="BJ108" s="92">
        <f t="shared" si="1559"/>
        <v>0</v>
      </c>
      <c r="BK108" s="92">
        <f t="shared" si="1559"/>
        <v>0</v>
      </c>
      <c r="BL108" s="92">
        <f t="shared" si="1559"/>
        <v>0</v>
      </c>
      <c r="BM108" s="92">
        <f t="shared" si="1559"/>
        <v>0</v>
      </c>
      <c r="BN108" s="92">
        <f t="shared" si="1559"/>
        <v>0</v>
      </c>
      <c r="BO108" s="92">
        <f t="shared" si="1559"/>
        <v>0</v>
      </c>
      <c r="BP108" s="92">
        <f t="shared" si="1559"/>
        <v>0</v>
      </c>
      <c r="BQ108" s="92">
        <f t="shared" si="1559"/>
        <v>0</v>
      </c>
      <c r="BR108" s="92">
        <f t="shared" si="1559"/>
        <v>0</v>
      </c>
      <c r="BS108" s="92">
        <f t="shared" si="1559"/>
        <v>0</v>
      </c>
      <c r="BT108" s="92">
        <f t="shared" si="1559"/>
        <v>0</v>
      </c>
      <c r="BU108" s="92">
        <f t="shared" si="1559"/>
        <v>0</v>
      </c>
      <c r="BV108" s="92">
        <f t="shared" si="1559"/>
        <v>0</v>
      </c>
      <c r="BW108" s="92">
        <f t="shared" si="1559"/>
        <v>0</v>
      </c>
      <c r="BX108" s="92">
        <f t="shared" si="1559"/>
        <v>0</v>
      </c>
      <c r="BY108" s="92">
        <f t="shared" si="1559"/>
        <v>0</v>
      </c>
      <c r="BZ108" s="92">
        <f t="shared" si="1559"/>
        <v>0</v>
      </c>
      <c r="CA108" s="92">
        <f t="shared" si="1559"/>
        <v>0</v>
      </c>
      <c r="CB108" s="92">
        <f t="shared" si="1559"/>
        <v>0</v>
      </c>
      <c r="CC108" s="92">
        <f t="shared" si="1559"/>
        <v>0</v>
      </c>
      <c r="CD108" s="92">
        <f t="shared" si="1559"/>
        <v>0</v>
      </c>
      <c r="CE108" s="92">
        <f t="shared" si="1559"/>
        <v>0</v>
      </c>
      <c r="CF108" s="92">
        <f t="shared" ref="CF108:DK108" si="1560">(CF111=1)*(CF109-$E$120)*$C$120+(CF111&gt;1)*(CF109-CE109)*$C$120</f>
        <v>0</v>
      </c>
      <c r="CG108" s="92">
        <f t="shared" si="1560"/>
        <v>0</v>
      </c>
      <c r="CH108" s="92">
        <f t="shared" si="1560"/>
        <v>0</v>
      </c>
      <c r="CI108" s="92">
        <f t="shared" si="1560"/>
        <v>0</v>
      </c>
      <c r="CJ108" s="92">
        <f t="shared" si="1560"/>
        <v>0</v>
      </c>
      <c r="CK108" s="92">
        <f t="shared" si="1560"/>
        <v>0</v>
      </c>
      <c r="CL108" s="92">
        <f t="shared" si="1560"/>
        <v>0</v>
      </c>
      <c r="CM108" s="92">
        <f t="shared" si="1560"/>
        <v>0</v>
      </c>
      <c r="CN108" s="92">
        <f t="shared" si="1560"/>
        <v>0</v>
      </c>
      <c r="CO108" s="92">
        <f t="shared" si="1560"/>
        <v>0</v>
      </c>
      <c r="CP108" s="92">
        <f t="shared" si="1560"/>
        <v>0</v>
      </c>
      <c r="CQ108" s="92">
        <f t="shared" si="1560"/>
        <v>0</v>
      </c>
      <c r="CR108" s="92">
        <f t="shared" si="1560"/>
        <v>0</v>
      </c>
      <c r="CS108" s="92">
        <f t="shared" si="1560"/>
        <v>0</v>
      </c>
      <c r="CT108" s="92">
        <f t="shared" si="1560"/>
        <v>0</v>
      </c>
      <c r="CU108" s="92">
        <f t="shared" si="1560"/>
        <v>0</v>
      </c>
      <c r="CV108" s="92">
        <f t="shared" si="1560"/>
        <v>0</v>
      </c>
      <c r="CW108" s="92">
        <f t="shared" si="1560"/>
        <v>0</v>
      </c>
      <c r="CX108" s="92">
        <f t="shared" si="1560"/>
        <v>0</v>
      </c>
      <c r="CY108" s="92">
        <f t="shared" si="1560"/>
        <v>0</v>
      </c>
      <c r="CZ108" s="92">
        <f t="shared" si="1560"/>
        <v>0</v>
      </c>
      <c r="DA108" s="92">
        <f t="shared" si="1560"/>
        <v>0</v>
      </c>
      <c r="DB108" s="92">
        <f t="shared" si="1560"/>
        <v>0</v>
      </c>
      <c r="DC108" s="92">
        <f t="shared" si="1560"/>
        <v>0</v>
      </c>
      <c r="DD108" s="92">
        <f t="shared" si="1560"/>
        <v>0</v>
      </c>
      <c r="DE108" s="92">
        <f t="shared" si="1560"/>
        <v>0</v>
      </c>
      <c r="DF108" s="92">
        <f t="shared" si="1560"/>
        <v>0</v>
      </c>
      <c r="DG108" s="92">
        <f t="shared" si="1560"/>
        <v>0</v>
      </c>
      <c r="DH108" s="92">
        <f t="shared" si="1560"/>
        <v>0</v>
      </c>
      <c r="DI108" s="92">
        <f t="shared" si="1560"/>
        <v>0</v>
      </c>
      <c r="DJ108" s="92">
        <f t="shared" si="1560"/>
        <v>0</v>
      </c>
      <c r="DK108" s="92">
        <f t="shared" si="1560"/>
        <v>0</v>
      </c>
      <c r="DL108" s="92">
        <f t="shared" ref="DL108:EQ108" si="1561">(DL111=1)*(DL109-$E$120)*$C$120+(DL111&gt;1)*(DL109-DK109)*$C$120</f>
        <v>0</v>
      </c>
      <c r="DM108" s="92">
        <f t="shared" si="1561"/>
        <v>0</v>
      </c>
      <c r="DN108" s="92">
        <f t="shared" si="1561"/>
        <v>0</v>
      </c>
      <c r="DO108" s="92">
        <f t="shared" si="1561"/>
        <v>0</v>
      </c>
      <c r="DP108" s="92">
        <f t="shared" si="1561"/>
        <v>0</v>
      </c>
      <c r="DQ108" s="92">
        <f t="shared" si="1561"/>
        <v>0</v>
      </c>
      <c r="DR108" s="92">
        <f t="shared" si="1561"/>
        <v>0</v>
      </c>
      <c r="DS108" s="92">
        <f t="shared" si="1561"/>
        <v>0</v>
      </c>
      <c r="DT108" s="92">
        <f t="shared" si="1561"/>
        <v>0</v>
      </c>
      <c r="DU108" s="92">
        <f t="shared" si="1561"/>
        <v>0</v>
      </c>
      <c r="DV108" s="92">
        <f t="shared" si="1561"/>
        <v>0</v>
      </c>
      <c r="DW108" s="92">
        <f t="shared" si="1561"/>
        <v>0</v>
      </c>
      <c r="DX108" s="92">
        <f t="shared" si="1561"/>
        <v>0</v>
      </c>
      <c r="DY108" s="92">
        <f t="shared" si="1561"/>
        <v>0</v>
      </c>
      <c r="DZ108" s="92">
        <f t="shared" si="1561"/>
        <v>0</v>
      </c>
      <c r="EA108" s="92">
        <f t="shared" si="1561"/>
        <v>0</v>
      </c>
      <c r="EB108" s="92">
        <f t="shared" si="1561"/>
        <v>0</v>
      </c>
      <c r="EC108" s="92">
        <f t="shared" si="1561"/>
        <v>0</v>
      </c>
      <c r="ED108" s="92">
        <f t="shared" si="1561"/>
        <v>0</v>
      </c>
      <c r="EE108" s="92">
        <f t="shared" si="1561"/>
        <v>0</v>
      </c>
      <c r="EF108" s="92">
        <f t="shared" si="1561"/>
        <v>0</v>
      </c>
      <c r="EG108" s="92">
        <f t="shared" si="1561"/>
        <v>0</v>
      </c>
      <c r="EH108" s="92">
        <f t="shared" si="1561"/>
        <v>0</v>
      </c>
      <c r="EI108" s="92">
        <f t="shared" si="1561"/>
        <v>0</v>
      </c>
      <c r="EJ108" s="92">
        <f t="shared" si="1561"/>
        <v>0</v>
      </c>
      <c r="EK108" s="92">
        <f t="shared" si="1561"/>
        <v>0</v>
      </c>
      <c r="EL108" s="92">
        <f t="shared" si="1561"/>
        <v>0</v>
      </c>
      <c r="EM108" s="92">
        <f t="shared" si="1561"/>
        <v>0</v>
      </c>
      <c r="EN108" s="92">
        <f t="shared" si="1561"/>
        <v>0</v>
      </c>
      <c r="EO108" s="92">
        <f t="shared" si="1561"/>
        <v>0</v>
      </c>
      <c r="EP108" s="92">
        <f t="shared" si="1561"/>
        <v>0</v>
      </c>
      <c r="EQ108" s="92">
        <f t="shared" si="1561"/>
        <v>0</v>
      </c>
      <c r="ER108" s="92">
        <f t="shared" ref="ER108:EU108" si="1562">(ER111=1)*(ER109-$E$120)*$C$120+(ER111&gt;1)*(ER109-EQ109)*$C$120</f>
        <v>0</v>
      </c>
      <c r="ES108" s="92">
        <f t="shared" si="1562"/>
        <v>0</v>
      </c>
      <c r="ET108" s="92">
        <f t="shared" si="1562"/>
        <v>0</v>
      </c>
      <c r="EU108" s="92">
        <f t="shared" si="1562"/>
        <v>0</v>
      </c>
      <c r="EW108" s="199" t="s">
        <v>311</v>
      </c>
      <c r="EY108" s="199">
        <f>MATCH(1,T109:EU109,0)</f>
        <v>24</v>
      </c>
      <c r="FC108" s="199"/>
      <c r="FD108" s="199"/>
      <c r="FE108" s="199"/>
      <c r="FF108" s="199"/>
      <c r="FG108" s="199"/>
      <c r="FH108" s="199"/>
      <c r="FI108" s="199"/>
      <c r="FJ108" s="199"/>
      <c r="FK108" s="199"/>
      <c r="FL108" s="199"/>
      <c r="FM108" s="199"/>
      <c r="FN108" s="199"/>
      <c r="FO108" s="199"/>
      <c r="FP108" s="199"/>
      <c r="FQ108" s="199"/>
      <c r="FR108" s="199"/>
      <c r="FS108" s="199"/>
      <c r="FT108" s="199"/>
      <c r="FU108" s="199"/>
      <c r="FV108" s="199"/>
      <c r="FW108" s="199"/>
      <c r="FX108" s="199"/>
      <c r="FY108" s="199"/>
      <c r="FZ108" s="199"/>
      <c r="GA108" s="199"/>
      <c r="GB108" s="199"/>
      <c r="GC108" s="199"/>
      <c r="GD108" s="199"/>
      <c r="GE108" s="199"/>
      <c r="GF108" s="199"/>
      <c r="GG108" s="199"/>
      <c r="GH108" s="199"/>
      <c r="GI108" s="199"/>
      <c r="GJ108" s="199"/>
      <c r="GK108" s="199"/>
      <c r="GL108" s="199"/>
      <c r="GM108" s="199"/>
      <c r="GN108" s="199"/>
      <c r="GO108" s="199"/>
      <c r="GP108" s="199"/>
      <c r="GQ108" s="199"/>
      <c r="GR108" s="199"/>
      <c r="GS108" s="199"/>
      <c r="GT108" s="199"/>
      <c r="GU108" s="199"/>
      <c r="GV108" s="199"/>
      <c r="GW108" s="199"/>
      <c r="GX108" s="199"/>
      <c r="GY108" s="199"/>
      <c r="GZ108" s="199"/>
      <c r="HA108" s="199"/>
      <c r="HB108" s="199"/>
      <c r="HC108" s="199"/>
      <c r="HD108" s="199"/>
      <c r="HE108" s="199"/>
      <c r="HF108" s="199"/>
      <c r="HG108" s="199"/>
      <c r="HH108" s="199"/>
      <c r="HI108" s="199"/>
      <c r="HJ108" s="199"/>
      <c r="HK108" s="199"/>
      <c r="HL108" s="199"/>
      <c r="HM108" s="199"/>
      <c r="HN108" s="199"/>
      <c r="HO108" s="199"/>
      <c r="HP108" s="199"/>
      <c r="HQ108" s="199"/>
      <c r="HR108" s="199"/>
      <c r="HS108" s="199"/>
      <c r="HT108" s="199"/>
      <c r="HU108" s="199"/>
      <c r="HV108" s="199"/>
      <c r="HW108" s="199"/>
      <c r="HX108" s="199"/>
      <c r="HY108" s="199"/>
      <c r="HZ108" s="199"/>
      <c r="IA108" s="199"/>
      <c r="IB108" s="199"/>
      <c r="IC108" s="199"/>
      <c r="ID108" s="199"/>
      <c r="IE108" s="199"/>
      <c r="IF108" s="199"/>
      <c r="IG108" s="199"/>
      <c r="IH108" s="199"/>
      <c r="II108" s="199"/>
      <c r="IJ108" s="199"/>
      <c r="IK108" s="199"/>
      <c r="IL108" s="199"/>
      <c r="IM108" s="199"/>
      <c r="IN108" s="199"/>
      <c r="IO108" s="199"/>
      <c r="IP108" s="199"/>
      <c r="IQ108" s="199"/>
      <c r="IR108" s="199"/>
      <c r="IS108" s="199"/>
      <c r="IT108" s="199"/>
      <c r="IU108" s="199"/>
      <c r="IV108" s="199"/>
      <c r="IW108" s="199"/>
      <c r="IX108" s="199"/>
      <c r="IY108" s="199"/>
      <c r="IZ108" s="199"/>
      <c r="JA108" s="199"/>
      <c r="JB108" s="199"/>
      <c r="JC108" s="199"/>
      <c r="JD108" s="199"/>
      <c r="JE108" s="199"/>
      <c r="JF108" s="199"/>
      <c r="JG108" s="199"/>
      <c r="JH108" s="199"/>
      <c r="JI108" s="199"/>
      <c r="JJ108" s="199"/>
      <c r="JK108" s="199"/>
      <c r="JL108" s="199"/>
      <c r="JM108" s="199"/>
      <c r="JN108" s="199"/>
      <c r="JO108" s="199"/>
      <c r="JP108" s="199"/>
      <c r="JQ108" s="199"/>
      <c r="JR108" s="199"/>
      <c r="JS108" s="199"/>
      <c r="JT108" s="199"/>
      <c r="JU108" s="199"/>
      <c r="JV108" s="199"/>
      <c r="JW108" s="199"/>
      <c r="JX108" s="199"/>
      <c r="JY108" s="199"/>
      <c r="JZ108" s="199"/>
      <c r="KA108" s="199"/>
      <c r="KB108" s="199"/>
      <c r="KC108" s="199"/>
      <c r="KD108" s="199"/>
      <c r="KE108" s="199"/>
      <c r="PQ108" s="201"/>
      <c r="PR108" s="201"/>
      <c r="PS108" s="201"/>
      <c r="PT108" s="201"/>
      <c r="PU108" s="201"/>
      <c r="PV108" s="201"/>
      <c r="PW108" s="201"/>
      <c r="PX108" s="201"/>
      <c r="PY108" s="201"/>
      <c r="PZ108" s="201"/>
      <c r="QA108" s="201"/>
      <c r="QB108" s="201"/>
      <c r="QC108" s="201"/>
      <c r="QD108" s="201"/>
      <c r="QE108" s="201"/>
      <c r="QF108" s="201"/>
      <c r="QG108" s="201"/>
      <c r="QH108" s="201"/>
      <c r="QI108" s="201"/>
      <c r="QJ108" s="201"/>
      <c r="QK108" s="201"/>
      <c r="QL108" s="201"/>
      <c r="QM108" s="201"/>
      <c r="QN108" s="201"/>
      <c r="QO108" s="201"/>
      <c r="QP108" s="201"/>
      <c r="QQ108" s="201"/>
      <c r="QR108" s="201"/>
      <c r="QS108" s="201"/>
      <c r="QT108" s="201"/>
      <c r="QU108" s="201"/>
      <c r="QV108" s="201"/>
      <c r="QW108" s="201"/>
      <c r="QX108" s="201"/>
      <c r="QY108" s="201"/>
      <c r="QZ108" s="201"/>
      <c r="RA108" s="201"/>
      <c r="RB108" s="201"/>
      <c r="RC108" s="201"/>
      <c r="RD108" s="201"/>
      <c r="RE108" s="201"/>
      <c r="RF108" s="201"/>
      <c r="RG108" s="201"/>
      <c r="RH108" s="201"/>
      <c r="RI108" s="201"/>
      <c r="RJ108" s="201"/>
      <c r="RK108" s="201"/>
      <c r="RL108" s="201"/>
      <c r="RM108" s="201"/>
      <c r="RN108" s="201"/>
      <c r="RO108" s="201"/>
      <c r="RP108" s="201"/>
      <c r="RQ108" s="201"/>
      <c r="RR108" s="201"/>
      <c r="RS108" s="201"/>
      <c r="RT108" s="201"/>
      <c r="RU108" s="201"/>
      <c r="RV108" s="201"/>
      <c r="RW108" s="201"/>
      <c r="RX108" s="201"/>
      <c r="RY108" s="201"/>
      <c r="RZ108" s="201"/>
      <c r="SA108" s="201"/>
      <c r="SB108" s="201"/>
      <c r="SC108" s="201"/>
      <c r="SD108" s="201"/>
      <c r="SE108" s="201"/>
      <c r="SF108" s="201"/>
      <c r="SG108" s="201"/>
      <c r="SH108" s="201"/>
      <c r="SI108" s="201"/>
      <c r="SJ108" s="201"/>
      <c r="SK108" s="201"/>
      <c r="SL108" s="201"/>
      <c r="SM108" s="201"/>
      <c r="SN108" s="201"/>
      <c r="SO108" s="201"/>
      <c r="SP108" s="201"/>
      <c r="SQ108" s="201"/>
      <c r="SR108" s="201"/>
      <c r="SS108" s="201"/>
      <c r="ST108" s="201"/>
      <c r="SU108" s="201"/>
      <c r="SV108" s="201"/>
      <c r="SW108" s="201"/>
      <c r="SX108" s="201"/>
      <c r="SY108" s="201"/>
      <c r="SZ108" s="201"/>
      <c r="TA108" s="201"/>
      <c r="TB108" s="201"/>
      <c r="TC108" s="201"/>
      <c r="TD108" s="201"/>
      <c r="TE108" s="201"/>
      <c r="TF108" s="201"/>
      <c r="TG108" s="201"/>
      <c r="TH108" s="201"/>
      <c r="TI108" s="201"/>
      <c r="TJ108" s="201"/>
      <c r="TK108" s="201"/>
      <c r="TL108" s="201"/>
      <c r="TM108" s="201"/>
      <c r="TN108" s="201"/>
      <c r="TO108" s="201"/>
      <c r="TP108" s="201"/>
      <c r="TQ108" s="201"/>
      <c r="TR108" s="201"/>
      <c r="TS108" s="201"/>
      <c r="TT108" s="201"/>
      <c r="TU108" s="201"/>
      <c r="TV108" s="201"/>
      <c r="TW108" s="201"/>
      <c r="TX108" s="201"/>
      <c r="TY108" s="201"/>
      <c r="TZ108" s="201"/>
      <c r="UA108" s="201"/>
      <c r="UB108" s="201"/>
      <c r="UC108" s="201"/>
      <c r="UD108" s="201"/>
      <c r="UE108" s="201"/>
      <c r="UF108" s="201"/>
      <c r="UG108" s="201"/>
      <c r="UH108" s="201"/>
      <c r="UI108" s="201"/>
      <c r="UJ108" s="201"/>
      <c r="UK108" s="201"/>
      <c r="UL108" s="201"/>
      <c r="UM108" s="201"/>
      <c r="UN108" s="201"/>
      <c r="UO108" s="201"/>
      <c r="UP108" s="201"/>
      <c r="UQ108" s="201"/>
      <c r="UR108" s="201"/>
      <c r="US108" s="201"/>
      <c r="UT108" s="201"/>
      <c r="UU108" s="201"/>
    </row>
    <row r="109" spans="2:567" x14ac:dyDescent="0.25">
      <c r="B109" s="54" t="s">
        <v>121</v>
      </c>
      <c r="C109" s="467">
        <v>0</v>
      </c>
      <c r="D109" s="105">
        <v>2.5000000000000001E-2</v>
      </c>
      <c r="E109" s="105">
        <v>2.5000000000000001E-2</v>
      </c>
      <c r="F109" s="105">
        <v>2.5000000000000001E-2</v>
      </c>
      <c r="G109" s="105">
        <v>2.5000000000000001E-2</v>
      </c>
      <c r="H109" s="67">
        <v>2.5000000000000001E-2</v>
      </c>
      <c r="I109" s="142" t="s">
        <v>669</v>
      </c>
      <c r="J109" s="26"/>
      <c r="K109" s="26" t="str">
        <f>IF(E120=1,"Stabilized","Value-Add")</f>
        <v>Value-Add</v>
      </c>
      <c r="M109" s="3" t="s">
        <v>839</v>
      </c>
      <c r="R109" s="542" t="s">
        <v>337</v>
      </c>
      <c r="S109" s="159"/>
      <c r="T109" s="146">
        <f>+PS120</f>
        <v>4.1666666666666664E-2</v>
      </c>
      <c r="U109" s="146">
        <f t="shared" ref="U109:CF109" si="1563">+PT120</f>
        <v>8.3333333333333329E-2</v>
      </c>
      <c r="V109" s="146">
        <f t="shared" si="1563"/>
        <v>0.125</v>
      </c>
      <c r="W109" s="146">
        <f t="shared" si="1563"/>
        <v>0.16666666666666666</v>
      </c>
      <c r="X109" s="146">
        <f t="shared" si="1563"/>
        <v>0.20833333333333334</v>
      </c>
      <c r="Y109" s="146">
        <f t="shared" si="1563"/>
        <v>0.25</v>
      </c>
      <c r="Z109" s="146">
        <f t="shared" si="1563"/>
        <v>0.29166666666666669</v>
      </c>
      <c r="AA109" s="146">
        <f t="shared" si="1563"/>
        <v>0.33333333333333331</v>
      </c>
      <c r="AB109" s="146">
        <f t="shared" si="1563"/>
        <v>0.375</v>
      </c>
      <c r="AC109" s="146">
        <f t="shared" si="1563"/>
        <v>0.41666666666666669</v>
      </c>
      <c r="AD109" s="146">
        <f t="shared" si="1563"/>
        <v>0.45833333333333331</v>
      </c>
      <c r="AE109" s="146">
        <f t="shared" si="1563"/>
        <v>0.5</v>
      </c>
      <c r="AF109" s="146">
        <f t="shared" si="1563"/>
        <v>0.54166666666666663</v>
      </c>
      <c r="AG109" s="146">
        <f t="shared" si="1563"/>
        <v>0.58333333333333337</v>
      </c>
      <c r="AH109" s="146">
        <f t="shared" si="1563"/>
        <v>0.625</v>
      </c>
      <c r="AI109" s="146">
        <f t="shared" si="1563"/>
        <v>0.66666666666666663</v>
      </c>
      <c r="AJ109" s="146">
        <f t="shared" si="1563"/>
        <v>0.70833333333333337</v>
      </c>
      <c r="AK109" s="146">
        <f t="shared" si="1563"/>
        <v>0.75</v>
      </c>
      <c r="AL109" s="146">
        <f t="shared" si="1563"/>
        <v>0.79166666666666663</v>
      </c>
      <c r="AM109" s="146">
        <f t="shared" si="1563"/>
        <v>0.83333333333333337</v>
      </c>
      <c r="AN109" s="146">
        <f t="shared" si="1563"/>
        <v>0.875</v>
      </c>
      <c r="AO109" s="146">
        <f t="shared" si="1563"/>
        <v>0.91666666666666663</v>
      </c>
      <c r="AP109" s="146">
        <f t="shared" si="1563"/>
        <v>0.95833333333333337</v>
      </c>
      <c r="AQ109" s="146">
        <f t="shared" si="1563"/>
        <v>1</v>
      </c>
      <c r="AR109" s="146">
        <f t="shared" si="1563"/>
        <v>1</v>
      </c>
      <c r="AS109" s="146">
        <f t="shared" si="1563"/>
        <v>1</v>
      </c>
      <c r="AT109" s="146">
        <f t="shared" si="1563"/>
        <v>1</v>
      </c>
      <c r="AU109" s="146">
        <f t="shared" si="1563"/>
        <v>1</v>
      </c>
      <c r="AV109" s="146">
        <f t="shared" si="1563"/>
        <v>1</v>
      </c>
      <c r="AW109" s="146">
        <f t="shared" si="1563"/>
        <v>1</v>
      </c>
      <c r="AX109" s="146">
        <f t="shared" si="1563"/>
        <v>1</v>
      </c>
      <c r="AY109" s="146">
        <f t="shared" si="1563"/>
        <v>1</v>
      </c>
      <c r="AZ109" s="146">
        <f t="shared" si="1563"/>
        <v>1</v>
      </c>
      <c r="BA109" s="146">
        <f t="shared" si="1563"/>
        <v>1</v>
      </c>
      <c r="BB109" s="146">
        <f t="shared" si="1563"/>
        <v>1</v>
      </c>
      <c r="BC109" s="146">
        <f t="shared" si="1563"/>
        <v>1</v>
      </c>
      <c r="BD109" s="146">
        <f t="shared" si="1563"/>
        <v>1</v>
      </c>
      <c r="BE109" s="146">
        <f t="shared" si="1563"/>
        <v>1</v>
      </c>
      <c r="BF109" s="146">
        <f t="shared" si="1563"/>
        <v>1</v>
      </c>
      <c r="BG109" s="146">
        <f t="shared" si="1563"/>
        <v>1</v>
      </c>
      <c r="BH109" s="146">
        <f t="shared" si="1563"/>
        <v>1</v>
      </c>
      <c r="BI109" s="146">
        <f t="shared" si="1563"/>
        <v>1</v>
      </c>
      <c r="BJ109" s="146">
        <f t="shared" si="1563"/>
        <v>1</v>
      </c>
      <c r="BK109" s="146">
        <f t="shared" si="1563"/>
        <v>1</v>
      </c>
      <c r="BL109" s="146">
        <f t="shared" si="1563"/>
        <v>1</v>
      </c>
      <c r="BM109" s="146">
        <f t="shared" si="1563"/>
        <v>1</v>
      </c>
      <c r="BN109" s="146">
        <f t="shared" si="1563"/>
        <v>1</v>
      </c>
      <c r="BO109" s="146">
        <f t="shared" si="1563"/>
        <v>1</v>
      </c>
      <c r="BP109" s="146">
        <f t="shared" si="1563"/>
        <v>1</v>
      </c>
      <c r="BQ109" s="146">
        <f t="shared" si="1563"/>
        <v>1</v>
      </c>
      <c r="BR109" s="146">
        <f t="shared" si="1563"/>
        <v>1</v>
      </c>
      <c r="BS109" s="146">
        <f t="shared" si="1563"/>
        <v>1</v>
      </c>
      <c r="BT109" s="146">
        <f t="shared" si="1563"/>
        <v>1</v>
      </c>
      <c r="BU109" s="146">
        <f t="shared" si="1563"/>
        <v>1</v>
      </c>
      <c r="BV109" s="146">
        <f t="shared" si="1563"/>
        <v>1</v>
      </c>
      <c r="BW109" s="146">
        <f t="shared" si="1563"/>
        <v>1</v>
      </c>
      <c r="BX109" s="146">
        <f t="shared" si="1563"/>
        <v>1</v>
      </c>
      <c r="BY109" s="146">
        <f t="shared" si="1563"/>
        <v>1</v>
      </c>
      <c r="BZ109" s="146">
        <f t="shared" si="1563"/>
        <v>1</v>
      </c>
      <c r="CA109" s="146">
        <f t="shared" si="1563"/>
        <v>1</v>
      </c>
      <c r="CB109" s="146">
        <f t="shared" si="1563"/>
        <v>1</v>
      </c>
      <c r="CC109" s="146">
        <f t="shared" si="1563"/>
        <v>1</v>
      </c>
      <c r="CD109" s="146">
        <f t="shared" si="1563"/>
        <v>1</v>
      </c>
      <c r="CE109" s="146">
        <f t="shared" si="1563"/>
        <v>1</v>
      </c>
      <c r="CF109" s="146">
        <f t="shared" si="1563"/>
        <v>1</v>
      </c>
      <c r="CG109" s="146">
        <f t="shared" ref="CG109:ER109" si="1564">+SF120</f>
        <v>1</v>
      </c>
      <c r="CH109" s="146">
        <f t="shared" si="1564"/>
        <v>1</v>
      </c>
      <c r="CI109" s="146">
        <f t="shared" si="1564"/>
        <v>1</v>
      </c>
      <c r="CJ109" s="146">
        <f t="shared" si="1564"/>
        <v>1</v>
      </c>
      <c r="CK109" s="146">
        <f t="shared" si="1564"/>
        <v>1</v>
      </c>
      <c r="CL109" s="146">
        <f t="shared" si="1564"/>
        <v>1</v>
      </c>
      <c r="CM109" s="146">
        <f t="shared" si="1564"/>
        <v>1</v>
      </c>
      <c r="CN109" s="146">
        <f t="shared" si="1564"/>
        <v>1</v>
      </c>
      <c r="CO109" s="146">
        <f t="shared" si="1564"/>
        <v>1</v>
      </c>
      <c r="CP109" s="146">
        <f t="shared" si="1564"/>
        <v>1</v>
      </c>
      <c r="CQ109" s="146">
        <f t="shared" si="1564"/>
        <v>1</v>
      </c>
      <c r="CR109" s="146">
        <f t="shared" si="1564"/>
        <v>1</v>
      </c>
      <c r="CS109" s="146">
        <f t="shared" si="1564"/>
        <v>1</v>
      </c>
      <c r="CT109" s="146">
        <f t="shared" si="1564"/>
        <v>1</v>
      </c>
      <c r="CU109" s="146">
        <f t="shared" si="1564"/>
        <v>1</v>
      </c>
      <c r="CV109" s="146">
        <f t="shared" si="1564"/>
        <v>1</v>
      </c>
      <c r="CW109" s="146">
        <f t="shared" si="1564"/>
        <v>1</v>
      </c>
      <c r="CX109" s="146">
        <f t="shared" si="1564"/>
        <v>1</v>
      </c>
      <c r="CY109" s="146">
        <f t="shared" si="1564"/>
        <v>1</v>
      </c>
      <c r="CZ109" s="146">
        <f t="shared" si="1564"/>
        <v>1</v>
      </c>
      <c r="DA109" s="146">
        <f t="shared" si="1564"/>
        <v>1</v>
      </c>
      <c r="DB109" s="146">
        <f t="shared" si="1564"/>
        <v>1</v>
      </c>
      <c r="DC109" s="146">
        <f t="shared" si="1564"/>
        <v>1</v>
      </c>
      <c r="DD109" s="146">
        <f t="shared" si="1564"/>
        <v>1</v>
      </c>
      <c r="DE109" s="146">
        <f t="shared" si="1564"/>
        <v>1</v>
      </c>
      <c r="DF109" s="146">
        <f t="shared" si="1564"/>
        <v>1</v>
      </c>
      <c r="DG109" s="146">
        <f t="shared" si="1564"/>
        <v>1</v>
      </c>
      <c r="DH109" s="146">
        <f t="shared" si="1564"/>
        <v>1</v>
      </c>
      <c r="DI109" s="146">
        <f t="shared" si="1564"/>
        <v>1</v>
      </c>
      <c r="DJ109" s="146">
        <f t="shared" si="1564"/>
        <v>1</v>
      </c>
      <c r="DK109" s="146">
        <f t="shared" si="1564"/>
        <v>1</v>
      </c>
      <c r="DL109" s="146">
        <f t="shared" si="1564"/>
        <v>1</v>
      </c>
      <c r="DM109" s="146">
        <f t="shared" si="1564"/>
        <v>1</v>
      </c>
      <c r="DN109" s="146">
        <f t="shared" si="1564"/>
        <v>1</v>
      </c>
      <c r="DO109" s="146">
        <f t="shared" si="1564"/>
        <v>1</v>
      </c>
      <c r="DP109" s="146">
        <f t="shared" si="1564"/>
        <v>1</v>
      </c>
      <c r="DQ109" s="146">
        <f t="shared" si="1564"/>
        <v>1</v>
      </c>
      <c r="DR109" s="146">
        <f t="shared" si="1564"/>
        <v>1</v>
      </c>
      <c r="DS109" s="146">
        <f t="shared" si="1564"/>
        <v>1</v>
      </c>
      <c r="DT109" s="146">
        <f t="shared" si="1564"/>
        <v>1</v>
      </c>
      <c r="DU109" s="146">
        <f t="shared" si="1564"/>
        <v>1</v>
      </c>
      <c r="DV109" s="146">
        <f t="shared" si="1564"/>
        <v>1</v>
      </c>
      <c r="DW109" s="146">
        <f t="shared" si="1564"/>
        <v>1</v>
      </c>
      <c r="DX109" s="146">
        <f t="shared" si="1564"/>
        <v>1</v>
      </c>
      <c r="DY109" s="146">
        <f t="shared" si="1564"/>
        <v>1</v>
      </c>
      <c r="DZ109" s="146">
        <f t="shared" si="1564"/>
        <v>1</v>
      </c>
      <c r="EA109" s="146">
        <f t="shared" si="1564"/>
        <v>1</v>
      </c>
      <c r="EB109" s="146">
        <f t="shared" si="1564"/>
        <v>1</v>
      </c>
      <c r="EC109" s="146">
        <f t="shared" si="1564"/>
        <v>1</v>
      </c>
      <c r="ED109" s="146">
        <f t="shared" si="1564"/>
        <v>1</v>
      </c>
      <c r="EE109" s="146">
        <f t="shared" si="1564"/>
        <v>1</v>
      </c>
      <c r="EF109" s="146">
        <f t="shared" si="1564"/>
        <v>1</v>
      </c>
      <c r="EG109" s="146">
        <f t="shared" si="1564"/>
        <v>1</v>
      </c>
      <c r="EH109" s="146">
        <f t="shared" si="1564"/>
        <v>1</v>
      </c>
      <c r="EI109" s="146">
        <f t="shared" si="1564"/>
        <v>1</v>
      </c>
      <c r="EJ109" s="146">
        <f t="shared" si="1564"/>
        <v>1</v>
      </c>
      <c r="EK109" s="146">
        <f t="shared" si="1564"/>
        <v>1</v>
      </c>
      <c r="EL109" s="146">
        <f t="shared" si="1564"/>
        <v>1</v>
      </c>
      <c r="EM109" s="146">
        <f t="shared" si="1564"/>
        <v>1</v>
      </c>
      <c r="EN109" s="146">
        <f t="shared" si="1564"/>
        <v>1</v>
      </c>
      <c r="EO109" s="146">
        <f t="shared" si="1564"/>
        <v>1</v>
      </c>
      <c r="EP109" s="146">
        <f t="shared" si="1564"/>
        <v>1</v>
      </c>
      <c r="EQ109" s="146">
        <f t="shared" si="1564"/>
        <v>1</v>
      </c>
      <c r="ER109" s="146">
        <f t="shared" si="1564"/>
        <v>1</v>
      </c>
      <c r="ES109" s="146">
        <f t="shared" ref="ES109:EU109" si="1565">+UR120</f>
        <v>1</v>
      </c>
      <c r="ET109" s="146">
        <f t="shared" si="1565"/>
        <v>1</v>
      </c>
      <c r="EU109" s="146">
        <f t="shared" si="1565"/>
        <v>1</v>
      </c>
      <c r="FC109" s="199"/>
      <c r="FD109" s="199"/>
      <c r="FE109" s="199"/>
      <c r="FF109" s="199"/>
      <c r="FG109" s="199"/>
      <c r="FH109" s="199"/>
      <c r="FI109" s="199"/>
      <c r="FJ109" s="199"/>
      <c r="FK109" s="199"/>
      <c r="FL109" s="199"/>
      <c r="FM109" s="199"/>
      <c r="FN109" s="199"/>
      <c r="FO109" s="199"/>
      <c r="FP109" s="199"/>
      <c r="FQ109" s="199"/>
      <c r="FR109" s="199"/>
      <c r="FS109" s="199"/>
      <c r="FT109" s="199"/>
      <c r="FU109" s="199"/>
      <c r="FV109" s="199"/>
      <c r="FW109" s="199"/>
      <c r="FX109" s="199"/>
      <c r="FY109" s="199"/>
      <c r="FZ109" s="199"/>
      <c r="GA109" s="199"/>
      <c r="GB109" s="199"/>
      <c r="GC109" s="199"/>
      <c r="GD109" s="199"/>
      <c r="GE109" s="199"/>
      <c r="GF109" s="199"/>
      <c r="GG109" s="199"/>
      <c r="GH109" s="199"/>
      <c r="GI109" s="199"/>
      <c r="GJ109" s="199"/>
      <c r="GK109" s="199"/>
      <c r="GL109" s="199"/>
      <c r="GM109" s="199"/>
      <c r="GN109" s="199"/>
      <c r="GO109" s="199"/>
      <c r="GP109" s="199"/>
      <c r="GQ109" s="199"/>
      <c r="GR109" s="199"/>
      <c r="GS109" s="199"/>
      <c r="GT109" s="199"/>
      <c r="GU109" s="199"/>
      <c r="GV109" s="199"/>
      <c r="GW109" s="199"/>
      <c r="GX109" s="199"/>
      <c r="GY109" s="199"/>
      <c r="GZ109" s="199"/>
      <c r="HA109" s="199"/>
      <c r="HB109" s="199"/>
      <c r="HC109" s="199"/>
      <c r="HD109" s="199"/>
      <c r="HE109" s="199"/>
      <c r="HF109" s="199"/>
      <c r="HG109" s="199"/>
      <c r="HH109" s="199"/>
      <c r="HI109" s="199"/>
      <c r="HJ109" s="199"/>
      <c r="HK109" s="199"/>
      <c r="HL109" s="199"/>
      <c r="HM109" s="199"/>
      <c r="HN109" s="199"/>
      <c r="HO109" s="199"/>
      <c r="HP109" s="199"/>
      <c r="HQ109" s="199"/>
      <c r="HR109" s="199"/>
      <c r="HS109" s="199"/>
      <c r="HT109" s="199"/>
      <c r="HU109" s="199"/>
      <c r="HV109" s="199"/>
      <c r="HW109" s="199"/>
      <c r="HX109" s="199"/>
      <c r="HY109" s="199"/>
      <c r="HZ109" s="199"/>
      <c r="IA109" s="199"/>
      <c r="IB109" s="199"/>
      <c r="IC109" s="199"/>
      <c r="ID109" s="199"/>
      <c r="IE109" s="199"/>
      <c r="IF109" s="199"/>
      <c r="IG109" s="199"/>
      <c r="IH109" s="199"/>
      <c r="II109" s="199"/>
      <c r="IJ109" s="199"/>
      <c r="IK109" s="199"/>
      <c r="IL109" s="199"/>
      <c r="IM109" s="199"/>
      <c r="IN109" s="199"/>
      <c r="IO109" s="199"/>
      <c r="IP109" s="199"/>
      <c r="IQ109" s="199"/>
      <c r="IR109" s="199"/>
      <c r="IS109" s="199"/>
      <c r="IT109" s="199"/>
      <c r="IU109" s="199"/>
      <c r="IV109" s="199"/>
      <c r="IW109" s="199"/>
      <c r="IX109" s="199"/>
      <c r="IY109" s="199"/>
      <c r="IZ109" s="199"/>
      <c r="JA109" s="199"/>
      <c r="JB109" s="199"/>
      <c r="JC109" s="199"/>
      <c r="JD109" s="199"/>
      <c r="JE109" s="199"/>
      <c r="JF109" s="199"/>
      <c r="JG109" s="199"/>
      <c r="JH109" s="199"/>
      <c r="JI109" s="199"/>
      <c r="JJ109" s="199"/>
      <c r="JK109" s="199"/>
      <c r="JL109" s="199"/>
      <c r="JM109" s="199"/>
      <c r="JN109" s="199"/>
      <c r="JO109" s="199"/>
      <c r="JP109" s="199"/>
      <c r="JQ109" s="199"/>
      <c r="JR109" s="199"/>
      <c r="JS109" s="199"/>
      <c r="JT109" s="199"/>
      <c r="JU109" s="199"/>
      <c r="JV109" s="199"/>
      <c r="JW109" s="199"/>
      <c r="JX109" s="199"/>
      <c r="JY109" s="199"/>
      <c r="JZ109" s="199"/>
      <c r="KA109" s="199"/>
      <c r="KB109" s="199"/>
      <c r="KC109" s="199"/>
      <c r="KD109" s="199"/>
      <c r="KE109" s="199"/>
      <c r="PQ109" s="201"/>
      <c r="PR109" s="201"/>
      <c r="PS109" s="201"/>
      <c r="PT109" s="201"/>
      <c r="PU109" s="201"/>
      <c r="PV109" s="201"/>
      <c r="PW109" s="201"/>
      <c r="PX109" s="201"/>
      <c r="PY109" s="201"/>
      <c r="PZ109" s="201"/>
      <c r="QA109" s="201"/>
      <c r="QB109" s="201"/>
      <c r="QC109" s="201"/>
      <c r="QD109" s="201"/>
      <c r="QE109" s="201"/>
      <c r="QF109" s="201"/>
      <c r="QG109" s="201"/>
      <c r="QH109" s="201"/>
      <c r="QI109" s="201"/>
      <c r="QJ109" s="201"/>
      <c r="QK109" s="201"/>
      <c r="QL109" s="201"/>
      <c r="QM109" s="201"/>
      <c r="QN109" s="201"/>
      <c r="QO109" s="201"/>
      <c r="QP109" s="201"/>
      <c r="QQ109" s="201"/>
      <c r="QR109" s="201"/>
      <c r="QS109" s="201"/>
      <c r="QT109" s="201"/>
      <c r="QU109" s="201"/>
      <c r="QV109" s="201"/>
      <c r="QW109" s="201"/>
      <c r="QX109" s="201"/>
      <c r="QY109" s="201"/>
      <c r="QZ109" s="201"/>
      <c r="RA109" s="201"/>
      <c r="RB109" s="201"/>
      <c r="RC109" s="201"/>
      <c r="RD109" s="201"/>
      <c r="RE109" s="201"/>
      <c r="RF109" s="201"/>
      <c r="RG109" s="201"/>
      <c r="RH109" s="201"/>
      <c r="RI109" s="201"/>
      <c r="RJ109" s="201"/>
      <c r="RK109" s="201"/>
      <c r="RL109" s="201"/>
      <c r="RM109" s="201"/>
      <c r="RN109" s="201"/>
      <c r="RO109" s="201"/>
      <c r="RP109" s="201"/>
      <c r="RQ109" s="201"/>
      <c r="RR109" s="201"/>
      <c r="RS109" s="201"/>
      <c r="RT109" s="201"/>
      <c r="RU109" s="201"/>
      <c r="RV109" s="201"/>
      <c r="RW109" s="201"/>
      <c r="RX109" s="201"/>
      <c r="RY109" s="201"/>
      <c r="RZ109" s="201"/>
      <c r="SA109" s="201"/>
      <c r="SB109" s="201"/>
      <c r="SC109" s="201"/>
      <c r="SD109" s="201"/>
      <c r="SE109" s="201"/>
      <c r="SF109" s="201"/>
      <c r="SG109" s="201"/>
      <c r="SH109" s="201"/>
      <c r="SI109" s="201"/>
      <c r="SJ109" s="201"/>
      <c r="SK109" s="201"/>
      <c r="SL109" s="201"/>
      <c r="SM109" s="201"/>
      <c r="SN109" s="201"/>
      <c r="SO109" s="201"/>
      <c r="SP109" s="201"/>
      <c r="SQ109" s="201"/>
      <c r="SR109" s="201"/>
      <c r="SS109" s="201"/>
      <c r="ST109" s="201"/>
      <c r="SU109" s="201"/>
      <c r="SV109" s="201"/>
      <c r="SW109" s="201"/>
      <c r="SX109" s="201"/>
      <c r="SY109" s="201"/>
      <c r="SZ109" s="201"/>
      <c r="TA109" s="201"/>
      <c r="TB109" s="201"/>
      <c r="TC109" s="201"/>
      <c r="TD109" s="201"/>
      <c r="TE109" s="201"/>
      <c r="TF109" s="201"/>
      <c r="TG109" s="201"/>
      <c r="TH109" s="201"/>
      <c r="TI109" s="201"/>
      <c r="TJ109" s="201"/>
      <c r="TK109" s="201"/>
      <c r="TL109" s="201"/>
      <c r="TM109" s="201"/>
      <c r="TN109" s="201"/>
      <c r="TO109" s="201"/>
      <c r="TP109" s="201"/>
      <c r="TQ109" s="201"/>
      <c r="TR109" s="201"/>
      <c r="TS109" s="201"/>
      <c r="TT109" s="201"/>
      <c r="TU109" s="201"/>
      <c r="TV109" s="201"/>
      <c r="TW109" s="201"/>
      <c r="TX109" s="201"/>
      <c r="TY109" s="201"/>
      <c r="TZ109" s="201"/>
      <c r="UA109" s="201"/>
      <c r="UB109" s="201"/>
      <c r="UC109" s="201"/>
      <c r="UD109" s="201"/>
      <c r="UE109" s="201"/>
      <c r="UF109" s="201"/>
      <c r="UG109" s="201"/>
      <c r="UH109" s="201"/>
      <c r="UI109" s="201"/>
      <c r="UJ109" s="201"/>
      <c r="UK109" s="201"/>
      <c r="UL109" s="201"/>
      <c r="UM109" s="201"/>
      <c r="UN109" s="201"/>
      <c r="UO109" s="201"/>
      <c r="UP109" s="201"/>
      <c r="UQ109" s="201"/>
      <c r="UR109" s="201"/>
      <c r="US109" s="201"/>
      <c r="UT109" s="201"/>
      <c r="UU109" s="201"/>
    </row>
    <row r="110" spans="2:567" x14ac:dyDescent="0.25">
      <c r="B110" s="466" t="s">
        <v>437</v>
      </c>
      <c r="C110" s="105"/>
      <c r="D110" s="105"/>
      <c r="E110" s="105"/>
      <c r="F110" s="105"/>
      <c r="G110" s="67"/>
      <c r="H110" s="26"/>
      <c r="I110" s="33"/>
      <c r="J110" s="26"/>
      <c r="K110" s="26"/>
      <c r="R110" s="542" t="s">
        <v>338</v>
      </c>
      <c r="S110" s="90"/>
      <c r="T110" s="145" t="str">
        <f>IF(T111&lt;$K$104,"In-Place",IF(T111&lt;=$K$105,"Rolling","Market"))</f>
        <v>Rolling</v>
      </c>
      <c r="U110" s="145" t="str">
        <f t="shared" ref="U110:CF110" si="1566">IF(U111&lt;$K$104,"In-Place",IF(U111&lt;=$K$105,"Rolling","Market"))</f>
        <v>Rolling</v>
      </c>
      <c r="V110" s="145" t="str">
        <f t="shared" si="1566"/>
        <v>Rolling</v>
      </c>
      <c r="W110" s="145" t="str">
        <f t="shared" si="1566"/>
        <v>Rolling</v>
      </c>
      <c r="X110" s="145" t="str">
        <f t="shared" si="1566"/>
        <v>Rolling</v>
      </c>
      <c r="Y110" s="145" t="str">
        <f t="shared" si="1566"/>
        <v>Rolling</v>
      </c>
      <c r="Z110" s="145" t="str">
        <f t="shared" si="1566"/>
        <v>Rolling</v>
      </c>
      <c r="AA110" s="145" t="str">
        <f t="shared" si="1566"/>
        <v>Rolling</v>
      </c>
      <c r="AB110" s="145" t="str">
        <f t="shared" si="1566"/>
        <v>Rolling</v>
      </c>
      <c r="AC110" s="145" t="str">
        <f t="shared" si="1566"/>
        <v>Rolling</v>
      </c>
      <c r="AD110" s="145" t="str">
        <f t="shared" si="1566"/>
        <v>Rolling</v>
      </c>
      <c r="AE110" s="145" t="str">
        <f t="shared" si="1566"/>
        <v>Rolling</v>
      </c>
      <c r="AF110" s="145" t="str">
        <f t="shared" si="1566"/>
        <v>Rolling</v>
      </c>
      <c r="AG110" s="145" t="str">
        <f t="shared" si="1566"/>
        <v>Rolling</v>
      </c>
      <c r="AH110" s="145" t="str">
        <f t="shared" si="1566"/>
        <v>Rolling</v>
      </c>
      <c r="AI110" s="145" t="str">
        <f t="shared" si="1566"/>
        <v>Rolling</v>
      </c>
      <c r="AJ110" s="145" t="str">
        <f t="shared" si="1566"/>
        <v>Rolling</v>
      </c>
      <c r="AK110" s="145" t="str">
        <f t="shared" si="1566"/>
        <v>Rolling</v>
      </c>
      <c r="AL110" s="145" t="str">
        <f t="shared" si="1566"/>
        <v>Rolling</v>
      </c>
      <c r="AM110" s="145" t="str">
        <f t="shared" si="1566"/>
        <v>Rolling</v>
      </c>
      <c r="AN110" s="145" t="str">
        <f t="shared" si="1566"/>
        <v>Rolling</v>
      </c>
      <c r="AO110" s="145" t="str">
        <f t="shared" si="1566"/>
        <v>Rolling</v>
      </c>
      <c r="AP110" s="145" t="str">
        <f t="shared" si="1566"/>
        <v>Rolling</v>
      </c>
      <c r="AQ110" s="145" t="str">
        <f t="shared" si="1566"/>
        <v>Rolling</v>
      </c>
      <c r="AR110" s="145" t="str">
        <f t="shared" si="1566"/>
        <v>Market</v>
      </c>
      <c r="AS110" s="145" t="str">
        <f t="shared" si="1566"/>
        <v>Market</v>
      </c>
      <c r="AT110" s="145" t="str">
        <f t="shared" si="1566"/>
        <v>Market</v>
      </c>
      <c r="AU110" s="145" t="str">
        <f t="shared" si="1566"/>
        <v>Market</v>
      </c>
      <c r="AV110" s="145" t="str">
        <f t="shared" si="1566"/>
        <v>Market</v>
      </c>
      <c r="AW110" s="145" t="str">
        <f t="shared" si="1566"/>
        <v>Market</v>
      </c>
      <c r="AX110" s="145" t="str">
        <f t="shared" si="1566"/>
        <v>Market</v>
      </c>
      <c r="AY110" s="145" t="str">
        <f t="shared" si="1566"/>
        <v>Market</v>
      </c>
      <c r="AZ110" s="145" t="str">
        <f t="shared" si="1566"/>
        <v>Market</v>
      </c>
      <c r="BA110" s="145" t="str">
        <f t="shared" si="1566"/>
        <v>Market</v>
      </c>
      <c r="BB110" s="145" t="str">
        <f t="shared" si="1566"/>
        <v>Market</v>
      </c>
      <c r="BC110" s="145" t="str">
        <f t="shared" si="1566"/>
        <v>Market</v>
      </c>
      <c r="BD110" s="145" t="str">
        <f t="shared" si="1566"/>
        <v>Market</v>
      </c>
      <c r="BE110" s="145" t="str">
        <f t="shared" si="1566"/>
        <v>Market</v>
      </c>
      <c r="BF110" s="145" t="str">
        <f t="shared" si="1566"/>
        <v>Market</v>
      </c>
      <c r="BG110" s="145" t="str">
        <f t="shared" si="1566"/>
        <v>Market</v>
      </c>
      <c r="BH110" s="145" t="str">
        <f t="shared" si="1566"/>
        <v>Market</v>
      </c>
      <c r="BI110" s="145" t="str">
        <f t="shared" si="1566"/>
        <v>Market</v>
      </c>
      <c r="BJ110" s="145" t="str">
        <f t="shared" si="1566"/>
        <v>Market</v>
      </c>
      <c r="BK110" s="145" t="str">
        <f t="shared" si="1566"/>
        <v>Market</v>
      </c>
      <c r="BL110" s="145" t="str">
        <f t="shared" si="1566"/>
        <v>Market</v>
      </c>
      <c r="BM110" s="145" t="str">
        <f t="shared" si="1566"/>
        <v>Market</v>
      </c>
      <c r="BN110" s="145" t="str">
        <f t="shared" si="1566"/>
        <v>Market</v>
      </c>
      <c r="BO110" s="145" t="str">
        <f t="shared" si="1566"/>
        <v>Market</v>
      </c>
      <c r="BP110" s="145" t="str">
        <f t="shared" si="1566"/>
        <v>Market</v>
      </c>
      <c r="BQ110" s="145" t="str">
        <f t="shared" si="1566"/>
        <v>Market</v>
      </c>
      <c r="BR110" s="145" t="str">
        <f t="shared" si="1566"/>
        <v>Market</v>
      </c>
      <c r="BS110" s="145" t="str">
        <f t="shared" si="1566"/>
        <v>Market</v>
      </c>
      <c r="BT110" s="145" t="str">
        <f t="shared" si="1566"/>
        <v>Market</v>
      </c>
      <c r="BU110" s="145" t="str">
        <f t="shared" si="1566"/>
        <v>Market</v>
      </c>
      <c r="BV110" s="145" t="str">
        <f t="shared" si="1566"/>
        <v>Market</v>
      </c>
      <c r="BW110" s="145" t="str">
        <f t="shared" si="1566"/>
        <v>Market</v>
      </c>
      <c r="BX110" s="145" t="str">
        <f t="shared" si="1566"/>
        <v>Market</v>
      </c>
      <c r="BY110" s="145" t="str">
        <f t="shared" si="1566"/>
        <v>Market</v>
      </c>
      <c r="BZ110" s="145" t="str">
        <f t="shared" si="1566"/>
        <v>Market</v>
      </c>
      <c r="CA110" s="145" t="str">
        <f t="shared" si="1566"/>
        <v>Market</v>
      </c>
      <c r="CB110" s="145" t="str">
        <f t="shared" si="1566"/>
        <v>Market</v>
      </c>
      <c r="CC110" s="145" t="str">
        <f t="shared" si="1566"/>
        <v>Market</v>
      </c>
      <c r="CD110" s="145" t="str">
        <f t="shared" si="1566"/>
        <v>Market</v>
      </c>
      <c r="CE110" s="145" t="str">
        <f t="shared" si="1566"/>
        <v>Market</v>
      </c>
      <c r="CF110" s="145" t="str">
        <f t="shared" si="1566"/>
        <v>Market</v>
      </c>
      <c r="CG110" s="145" t="str">
        <f t="shared" ref="CG110:ER110" si="1567">IF(CG111&lt;$K$104,"In-Place",IF(CG111&lt;=$K$105,"Rolling","Market"))</f>
        <v>Market</v>
      </c>
      <c r="CH110" s="145" t="str">
        <f t="shared" si="1567"/>
        <v>Market</v>
      </c>
      <c r="CI110" s="145" t="str">
        <f t="shared" si="1567"/>
        <v>Market</v>
      </c>
      <c r="CJ110" s="145" t="str">
        <f t="shared" si="1567"/>
        <v>Market</v>
      </c>
      <c r="CK110" s="145" t="str">
        <f t="shared" si="1567"/>
        <v>Market</v>
      </c>
      <c r="CL110" s="145" t="str">
        <f t="shared" si="1567"/>
        <v>Market</v>
      </c>
      <c r="CM110" s="145" t="str">
        <f t="shared" si="1567"/>
        <v>Market</v>
      </c>
      <c r="CN110" s="145" t="str">
        <f t="shared" si="1567"/>
        <v>Market</v>
      </c>
      <c r="CO110" s="145" t="str">
        <f t="shared" si="1567"/>
        <v>Market</v>
      </c>
      <c r="CP110" s="145" t="str">
        <f t="shared" si="1567"/>
        <v>Market</v>
      </c>
      <c r="CQ110" s="145" t="str">
        <f t="shared" si="1567"/>
        <v>Market</v>
      </c>
      <c r="CR110" s="145" t="str">
        <f t="shared" si="1567"/>
        <v>Market</v>
      </c>
      <c r="CS110" s="145" t="str">
        <f t="shared" si="1567"/>
        <v>Market</v>
      </c>
      <c r="CT110" s="145" t="str">
        <f t="shared" si="1567"/>
        <v>Market</v>
      </c>
      <c r="CU110" s="145" t="str">
        <f t="shared" si="1567"/>
        <v>Market</v>
      </c>
      <c r="CV110" s="145" t="str">
        <f t="shared" si="1567"/>
        <v>Market</v>
      </c>
      <c r="CW110" s="145" t="str">
        <f t="shared" si="1567"/>
        <v>Market</v>
      </c>
      <c r="CX110" s="145" t="str">
        <f t="shared" si="1567"/>
        <v>Market</v>
      </c>
      <c r="CY110" s="145" t="str">
        <f t="shared" si="1567"/>
        <v>Market</v>
      </c>
      <c r="CZ110" s="145" t="str">
        <f t="shared" si="1567"/>
        <v>Market</v>
      </c>
      <c r="DA110" s="145" t="str">
        <f t="shared" si="1567"/>
        <v>Market</v>
      </c>
      <c r="DB110" s="145" t="str">
        <f t="shared" si="1567"/>
        <v>Market</v>
      </c>
      <c r="DC110" s="145" t="str">
        <f t="shared" si="1567"/>
        <v>Market</v>
      </c>
      <c r="DD110" s="145" t="str">
        <f t="shared" si="1567"/>
        <v>Market</v>
      </c>
      <c r="DE110" s="145" t="str">
        <f t="shared" si="1567"/>
        <v>Market</v>
      </c>
      <c r="DF110" s="145" t="str">
        <f t="shared" si="1567"/>
        <v>Market</v>
      </c>
      <c r="DG110" s="145" t="str">
        <f t="shared" si="1567"/>
        <v>Market</v>
      </c>
      <c r="DH110" s="145" t="str">
        <f t="shared" si="1567"/>
        <v>Market</v>
      </c>
      <c r="DI110" s="145" t="str">
        <f t="shared" si="1567"/>
        <v>Market</v>
      </c>
      <c r="DJ110" s="145" t="str">
        <f t="shared" si="1567"/>
        <v>Market</v>
      </c>
      <c r="DK110" s="145" t="str">
        <f t="shared" si="1567"/>
        <v>Market</v>
      </c>
      <c r="DL110" s="145" t="str">
        <f t="shared" si="1567"/>
        <v>Market</v>
      </c>
      <c r="DM110" s="145" t="str">
        <f t="shared" si="1567"/>
        <v>Market</v>
      </c>
      <c r="DN110" s="145" t="str">
        <f t="shared" si="1567"/>
        <v>Market</v>
      </c>
      <c r="DO110" s="145" t="str">
        <f t="shared" si="1567"/>
        <v>Market</v>
      </c>
      <c r="DP110" s="145" t="str">
        <f t="shared" si="1567"/>
        <v>Market</v>
      </c>
      <c r="DQ110" s="145" t="str">
        <f t="shared" si="1567"/>
        <v>Market</v>
      </c>
      <c r="DR110" s="145" t="str">
        <f t="shared" si="1567"/>
        <v>Market</v>
      </c>
      <c r="DS110" s="145" t="str">
        <f t="shared" si="1567"/>
        <v>Market</v>
      </c>
      <c r="DT110" s="145" t="str">
        <f t="shared" si="1567"/>
        <v>Market</v>
      </c>
      <c r="DU110" s="145" t="str">
        <f t="shared" si="1567"/>
        <v>Market</v>
      </c>
      <c r="DV110" s="145" t="str">
        <f t="shared" si="1567"/>
        <v>Market</v>
      </c>
      <c r="DW110" s="145" t="str">
        <f t="shared" si="1567"/>
        <v>Market</v>
      </c>
      <c r="DX110" s="145" t="str">
        <f t="shared" si="1567"/>
        <v>Market</v>
      </c>
      <c r="DY110" s="145" t="str">
        <f t="shared" si="1567"/>
        <v>Market</v>
      </c>
      <c r="DZ110" s="145" t="str">
        <f t="shared" si="1567"/>
        <v>Market</v>
      </c>
      <c r="EA110" s="145" t="str">
        <f t="shared" si="1567"/>
        <v>Market</v>
      </c>
      <c r="EB110" s="145" t="str">
        <f t="shared" si="1567"/>
        <v>Market</v>
      </c>
      <c r="EC110" s="145" t="str">
        <f t="shared" si="1567"/>
        <v>Market</v>
      </c>
      <c r="ED110" s="145" t="str">
        <f t="shared" si="1567"/>
        <v>Market</v>
      </c>
      <c r="EE110" s="145" t="str">
        <f t="shared" si="1567"/>
        <v>Market</v>
      </c>
      <c r="EF110" s="145" t="str">
        <f t="shared" si="1567"/>
        <v>Market</v>
      </c>
      <c r="EG110" s="145" t="str">
        <f t="shared" si="1567"/>
        <v>Market</v>
      </c>
      <c r="EH110" s="145" t="str">
        <f t="shared" si="1567"/>
        <v>Market</v>
      </c>
      <c r="EI110" s="145" t="str">
        <f t="shared" si="1567"/>
        <v>Market</v>
      </c>
      <c r="EJ110" s="145" t="str">
        <f t="shared" si="1567"/>
        <v>Market</v>
      </c>
      <c r="EK110" s="145" t="str">
        <f t="shared" si="1567"/>
        <v>Market</v>
      </c>
      <c r="EL110" s="145" t="str">
        <f t="shared" si="1567"/>
        <v>Market</v>
      </c>
      <c r="EM110" s="145" t="str">
        <f t="shared" si="1567"/>
        <v>Market</v>
      </c>
      <c r="EN110" s="145" t="str">
        <f t="shared" si="1567"/>
        <v>Market</v>
      </c>
      <c r="EO110" s="145" t="str">
        <f t="shared" si="1567"/>
        <v>Market</v>
      </c>
      <c r="EP110" s="145" t="str">
        <f t="shared" si="1567"/>
        <v>Market</v>
      </c>
      <c r="EQ110" s="145" t="str">
        <f t="shared" si="1567"/>
        <v>Market</v>
      </c>
      <c r="ER110" s="145" t="str">
        <f t="shared" si="1567"/>
        <v>Market</v>
      </c>
      <c r="ES110" s="145" t="str">
        <f t="shared" ref="ES110:EU110" si="1568">IF(ES111&lt;$K$104,"In-Place",IF(ES111&lt;=$K$105,"Rolling","Market"))</f>
        <v>Market</v>
      </c>
      <c r="ET110" s="145" t="str">
        <f t="shared" si="1568"/>
        <v>Market</v>
      </c>
      <c r="EU110" s="145" t="str">
        <f t="shared" si="1568"/>
        <v>Market</v>
      </c>
      <c r="FC110" s="199"/>
      <c r="FD110" s="199"/>
      <c r="FE110" s="199"/>
      <c r="FF110" s="199"/>
      <c r="FG110" s="199"/>
      <c r="FH110" s="199"/>
      <c r="FI110" s="199"/>
      <c r="FJ110" s="199"/>
      <c r="FK110" s="199"/>
      <c r="FL110" s="199"/>
      <c r="FM110" s="199"/>
      <c r="FN110" s="199"/>
      <c r="FO110" s="199"/>
      <c r="FP110" s="199"/>
      <c r="FQ110" s="199"/>
      <c r="FR110" s="199"/>
      <c r="FS110" s="199"/>
      <c r="FT110" s="199"/>
      <c r="FU110" s="199"/>
      <c r="FV110" s="199"/>
      <c r="FW110" s="199"/>
      <c r="FX110" s="199"/>
      <c r="FY110" s="199"/>
      <c r="FZ110" s="199"/>
      <c r="GA110" s="199"/>
      <c r="GB110" s="199"/>
      <c r="GC110" s="199"/>
      <c r="GD110" s="199"/>
      <c r="GE110" s="199"/>
      <c r="GF110" s="199"/>
      <c r="GG110" s="199"/>
      <c r="GH110" s="199"/>
      <c r="GI110" s="199"/>
      <c r="GJ110" s="199"/>
      <c r="GK110" s="199"/>
      <c r="GL110" s="199"/>
      <c r="GM110" s="199"/>
      <c r="GN110" s="199"/>
      <c r="GO110" s="199"/>
      <c r="GP110" s="199"/>
      <c r="GQ110" s="199"/>
      <c r="GR110" s="199"/>
      <c r="GS110" s="199"/>
      <c r="GT110" s="199"/>
      <c r="GU110" s="199"/>
      <c r="GV110" s="199"/>
      <c r="GW110" s="199"/>
      <c r="GX110" s="199"/>
      <c r="GY110" s="199"/>
      <c r="GZ110" s="199"/>
      <c r="HA110" s="199"/>
      <c r="HB110" s="199"/>
      <c r="HC110" s="199"/>
      <c r="HD110" s="199"/>
      <c r="HE110" s="199"/>
      <c r="HF110" s="199"/>
      <c r="HG110" s="199"/>
      <c r="HH110" s="199"/>
      <c r="HI110" s="199"/>
      <c r="HJ110" s="199"/>
      <c r="HK110" s="199"/>
      <c r="HL110" s="199"/>
      <c r="HM110" s="199"/>
      <c r="HN110" s="199"/>
      <c r="HO110" s="199"/>
      <c r="HP110" s="199"/>
      <c r="HQ110" s="199"/>
      <c r="HR110" s="199"/>
      <c r="HS110" s="199"/>
      <c r="HT110" s="199"/>
      <c r="HU110" s="199"/>
      <c r="HV110" s="199"/>
      <c r="HW110" s="199"/>
      <c r="HX110" s="199"/>
      <c r="HY110" s="199"/>
      <c r="HZ110" s="199"/>
      <c r="IA110" s="199"/>
      <c r="IB110" s="199"/>
      <c r="IC110" s="199"/>
      <c r="ID110" s="199"/>
      <c r="IE110" s="199"/>
      <c r="IF110" s="199"/>
      <c r="IG110" s="199"/>
      <c r="IH110" s="199"/>
      <c r="II110" s="199"/>
      <c r="IJ110" s="199"/>
      <c r="IK110" s="199"/>
      <c r="IL110" s="199"/>
      <c r="IM110" s="199"/>
      <c r="IN110" s="199"/>
      <c r="IO110" s="199"/>
      <c r="IP110" s="199"/>
      <c r="IQ110" s="199"/>
      <c r="IR110" s="199"/>
      <c r="IS110" s="199"/>
      <c r="IT110" s="199"/>
      <c r="IU110" s="199"/>
      <c r="IV110" s="199"/>
      <c r="IW110" s="199"/>
      <c r="IX110" s="199"/>
      <c r="IY110" s="199"/>
      <c r="IZ110" s="199"/>
      <c r="JA110" s="199"/>
      <c r="JB110" s="199"/>
      <c r="JC110" s="199"/>
      <c r="JD110" s="199"/>
      <c r="JE110" s="199"/>
      <c r="JF110" s="199"/>
      <c r="JG110" s="199"/>
      <c r="JH110" s="199"/>
      <c r="JI110" s="199"/>
      <c r="JJ110" s="199"/>
      <c r="JK110" s="199"/>
      <c r="JL110" s="199"/>
      <c r="JM110" s="199"/>
      <c r="JN110" s="199"/>
      <c r="JO110" s="199"/>
      <c r="JP110" s="199"/>
      <c r="JQ110" s="199"/>
      <c r="JR110" s="199"/>
      <c r="JS110" s="199"/>
      <c r="JT110" s="199"/>
      <c r="JU110" s="199"/>
      <c r="JV110" s="199"/>
      <c r="JW110" s="199"/>
      <c r="JX110" s="199"/>
      <c r="JY110" s="199"/>
      <c r="JZ110" s="199"/>
      <c r="KA110" s="199"/>
      <c r="KB110" s="199"/>
      <c r="KC110" s="199"/>
      <c r="KD110" s="199"/>
      <c r="KE110" s="199"/>
      <c r="PQ110" s="201"/>
      <c r="PR110" s="201"/>
      <c r="PS110" s="201"/>
      <c r="PT110" s="201"/>
      <c r="PU110" s="201"/>
      <c r="PV110" s="201"/>
      <c r="PW110" s="201"/>
      <c r="PX110" s="201"/>
      <c r="PY110" s="201"/>
      <c r="PZ110" s="201"/>
      <c r="QA110" s="201"/>
      <c r="QB110" s="201"/>
      <c r="QC110" s="201"/>
      <c r="QD110" s="201"/>
      <c r="QE110" s="201"/>
      <c r="QF110" s="201"/>
      <c r="QG110" s="201"/>
      <c r="QH110" s="201"/>
      <c r="QI110" s="201"/>
      <c r="QJ110" s="201"/>
      <c r="QK110" s="201"/>
      <c r="QL110" s="201"/>
      <c r="QM110" s="201"/>
      <c r="QN110" s="201"/>
      <c r="QO110" s="201"/>
      <c r="QP110" s="201"/>
      <c r="QQ110" s="201"/>
      <c r="QR110" s="201"/>
      <c r="QS110" s="201"/>
      <c r="QT110" s="201"/>
      <c r="QU110" s="201"/>
      <c r="QV110" s="201"/>
      <c r="QW110" s="201"/>
      <c r="QX110" s="201"/>
      <c r="QY110" s="201"/>
      <c r="QZ110" s="201"/>
      <c r="RA110" s="201"/>
      <c r="RB110" s="201"/>
      <c r="RC110" s="201"/>
      <c r="RD110" s="201"/>
      <c r="RE110" s="201"/>
      <c r="RF110" s="201"/>
      <c r="RG110" s="201"/>
      <c r="RH110" s="201"/>
      <c r="RI110" s="201"/>
      <c r="RJ110" s="201"/>
      <c r="RK110" s="201"/>
      <c r="RL110" s="201"/>
      <c r="RM110" s="201"/>
      <c r="RN110" s="201"/>
      <c r="RO110" s="201"/>
      <c r="RP110" s="201"/>
      <c r="RQ110" s="201"/>
      <c r="RR110" s="201"/>
      <c r="RS110" s="201"/>
      <c r="RT110" s="201"/>
      <c r="RU110" s="201"/>
      <c r="RV110" s="201"/>
      <c r="RW110" s="201"/>
      <c r="RX110" s="201"/>
      <c r="RY110" s="201"/>
      <c r="RZ110" s="201"/>
      <c r="SA110" s="201"/>
      <c r="SB110" s="201"/>
      <c r="SC110" s="201"/>
      <c r="SD110" s="201"/>
      <c r="SE110" s="201"/>
      <c r="SF110" s="201"/>
      <c r="SG110" s="201"/>
      <c r="SH110" s="201"/>
      <c r="SI110" s="201"/>
      <c r="SJ110" s="201"/>
      <c r="SK110" s="201"/>
      <c r="SL110" s="201"/>
      <c r="SM110" s="201"/>
      <c r="SN110" s="201"/>
      <c r="SO110" s="201"/>
      <c r="SP110" s="201"/>
      <c r="SQ110" s="201"/>
      <c r="SR110" s="201"/>
      <c r="SS110" s="201"/>
      <c r="ST110" s="201"/>
      <c r="SU110" s="201"/>
      <c r="SV110" s="201"/>
      <c r="SW110" s="201"/>
      <c r="SX110" s="201"/>
      <c r="SY110" s="201"/>
      <c r="SZ110" s="201"/>
      <c r="TA110" s="201"/>
      <c r="TB110" s="201"/>
      <c r="TC110" s="201"/>
      <c r="TD110" s="201"/>
      <c r="TE110" s="201"/>
      <c r="TF110" s="201"/>
      <c r="TG110" s="201"/>
      <c r="TH110" s="201"/>
      <c r="TI110" s="201"/>
      <c r="TJ110" s="201"/>
      <c r="TK110" s="201"/>
      <c r="TL110" s="201"/>
      <c r="TM110" s="201"/>
      <c r="TN110" s="201"/>
      <c r="TO110" s="201"/>
      <c r="TP110" s="201"/>
      <c r="TQ110" s="201"/>
      <c r="TR110" s="201"/>
      <c r="TS110" s="201"/>
      <c r="TT110" s="201"/>
      <c r="TU110" s="201"/>
      <c r="TV110" s="201"/>
      <c r="TW110" s="201"/>
      <c r="TX110" s="201"/>
      <c r="TY110" s="201"/>
      <c r="TZ110" s="201"/>
      <c r="UA110" s="201"/>
      <c r="UB110" s="201"/>
      <c r="UC110" s="201"/>
      <c r="UD110" s="201"/>
      <c r="UE110" s="201"/>
      <c r="UF110" s="201"/>
      <c r="UG110" s="201"/>
      <c r="UH110" s="201"/>
      <c r="UI110" s="201"/>
      <c r="UJ110" s="201"/>
      <c r="UK110" s="201"/>
      <c r="UL110" s="201"/>
      <c r="UM110" s="201"/>
      <c r="UN110" s="201"/>
      <c r="UO110" s="201"/>
      <c r="UP110" s="201"/>
      <c r="UQ110" s="201"/>
      <c r="UR110" s="201"/>
      <c r="US110" s="201"/>
      <c r="UT110" s="201"/>
      <c r="UU110" s="201"/>
    </row>
    <row r="111" spans="2:567" x14ac:dyDescent="0.25">
      <c r="B111" s="125" t="s">
        <v>217</v>
      </c>
      <c r="C111" s="126"/>
      <c r="D111" s="126"/>
      <c r="E111" s="126"/>
      <c r="F111" s="126"/>
      <c r="G111" s="126"/>
      <c r="H111" s="126"/>
      <c r="I111" s="127"/>
      <c r="J111" s="193"/>
      <c r="K111" s="193"/>
      <c r="R111" s="263" t="s">
        <v>608</v>
      </c>
      <c r="S111" s="87"/>
      <c r="T111" s="87">
        <f>S111+1</f>
        <v>1</v>
      </c>
      <c r="U111" s="87">
        <f t="shared" ref="U111" si="1569">T111+1</f>
        <v>2</v>
      </c>
      <c r="V111" s="87">
        <f t="shared" ref="V111" si="1570">U111+1</f>
        <v>3</v>
      </c>
      <c r="W111" s="87">
        <f t="shared" ref="W111" si="1571">V111+1</f>
        <v>4</v>
      </c>
      <c r="X111" s="87">
        <f t="shared" ref="X111" si="1572">W111+1</f>
        <v>5</v>
      </c>
      <c r="Y111" s="87">
        <f t="shared" ref="Y111" si="1573">X111+1</f>
        <v>6</v>
      </c>
      <c r="Z111" s="87">
        <f t="shared" ref="Z111" si="1574">Y111+1</f>
        <v>7</v>
      </c>
      <c r="AA111" s="87">
        <f t="shared" ref="AA111" si="1575">Z111+1</f>
        <v>8</v>
      </c>
      <c r="AB111" s="87">
        <f t="shared" ref="AB111" si="1576">AA111+1</f>
        <v>9</v>
      </c>
      <c r="AC111" s="87">
        <f t="shared" ref="AC111" si="1577">AB111+1</f>
        <v>10</v>
      </c>
      <c r="AD111" s="87">
        <f t="shared" ref="AD111" si="1578">AC111+1</f>
        <v>11</v>
      </c>
      <c r="AE111" s="87">
        <f t="shared" ref="AE111" si="1579">AD111+1</f>
        <v>12</v>
      </c>
      <c r="AF111" s="87">
        <f t="shared" ref="AF111" si="1580">AE111+1</f>
        <v>13</v>
      </c>
      <c r="AG111" s="87">
        <f t="shared" ref="AG111" si="1581">AF111+1</f>
        <v>14</v>
      </c>
      <c r="AH111" s="87">
        <f t="shared" ref="AH111" si="1582">AG111+1</f>
        <v>15</v>
      </c>
      <c r="AI111" s="87">
        <f t="shared" ref="AI111" si="1583">AH111+1</f>
        <v>16</v>
      </c>
      <c r="AJ111" s="87">
        <f t="shared" ref="AJ111" si="1584">AI111+1</f>
        <v>17</v>
      </c>
      <c r="AK111" s="87">
        <f t="shared" ref="AK111" si="1585">AJ111+1</f>
        <v>18</v>
      </c>
      <c r="AL111" s="87">
        <f t="shared" ref="AL111" si="1586">AK111+1</f>
        <v>19</v>
      </c>
      <c r="AM111" s="87">
        <f t="shared" ref="AM111" si="1587">AL111+1</f>
        <v>20</v>
      </c>
      <c r="AN111" s="87">
        <f t="shared" ref="AN111" si="1588">AM111+1</f>
        <v>21</v>
      </c>
      <c r="AO111" s="87">
        <f t="shared" ref="AO111" si="1589">AN111+1</f>
        <v>22</v>
      </c>
      <c r="AP111" s="87">
        <f t="shared" ref="AP111" si="1590">AO111+1</f>
        <v>23</v>
      </c>
      <c r="AQ111" s="87">
        <f t="shared" ref="AQ111" si="1591">AP111+1</f>
        <v>24</v>
      </c>
      <c r="AR111" s="87">
        <f t="shared" ref="AR111" si="1592">AQ111+1</f>
        <v>25</v>
      </c>
      <c r="AS111" s="87">
        <f t="shared" ref="AS111" si="1593">AR111+1</f>
        <v>26</v>
      </c>
      <c r="AT111" s="87">
        <f t="shared" ref="AT111" si="1594">AS111+1</f>
        <v>27</v>
      </c>
      <c r="AU111" s="87">
        <f t="shared" ref="AU111" si="1595">AT111+1</f>
        <v>28</v>
      </c>
      <c r="AV111" s="87">
        <f t="shared" ref="AV111" si="1596">AU111+1</f>
        <v>29</v>
      </c>
      <c r="AW111" s="87">
        <f t="shared" ref="AW111" si="1597">AV111+1</f>
        <v>30</v>
      </c>
      <c r="AX111" s="87">
        <f t="shared" ref="AX111" si="1598">AW111+1</f>
        <v>31</v>
      </c>
      <c r="AY111" s="87">
        <f t="shared" ref="AY111" si="1599">AX111+1</f>
        <v>32</v>
      </c>
      <c r="AZ111" s="87">
        <f t="shared" ref="AZ111" si="1600">AY111+1</f>
        <v>33</v>
      </c>
      <c r="BA111" s="87">
        <f t="shared" ref="BA111" si="1601">AZ111+1</f>
        <v>34</v>
      </c>
      <c r="BB111" s="87">
        <f t="shared" ref="BB111" si="1602">BA111+1</f>
        <v>35</v>
      </c>
      <c r="BC111" s="87">
        <f t="shared" ref="BC111" si="1603">BB111+1</f>
        <v>36</v>
      </c>
      <c r="BD111" s="87">
        <f t="shared" ref="BD111" si="1604">BC111+1</f>
        <v>37</v>
      </c>
      <c r="BE111" s="87">
        <f t="shared" ref="BE111" si="1605">BD111+1</f>
        <v>38</v>
      </c>
      <c r="BF111" s="87">
        <f t="shared" ref="BF111" si="1606">BE111+1</f>
        <v>39</v>
      </c>
      <c r="BG111" s="87">
        <f t="shared" ref="BG111" si="1607">BF111+1</f>
        <v>40</v>
      </c>
      <c r="BH111" s="87">
        <f t="shared" ref="BH111" si="1608">BG111+1</f>
        <v>41</v>
      </c>
      <c r="BI111" s="87">
        <f t="shared" ref="BI111" si="1609">BH111+1</f>
        <v>42</v>
      </c>
      <c r="BJ111" s="87">
        <f t="shared" ref="BJ111" si="1610">BI111+1</f>
        <v>43</v>
      </c>
      <c r="BK111" s="87">
        <f t="shared" ref="BK111" si="1611">BJ111+1</f>
        <v>44</v>
      </c>
      <c r="BL111" s="87">
        <f t="shared" ref="BL111" si="1612">BK111+1</f>
        <v>45</v>
      </c>
      <c r="BM111" s="87">
        <f t="shared" ref="BM111" si="1613">BL111+1</f>
        <v>46</v>
      </c>
      <c r="BN111" s="87">
        <f t="shared" ref="BN111" si="1614">BM111+1</f>
        <v>47</v>
      </c>
      <c r="BO111" s="87">
        <f t="shared" ref="BO111" si="1615">BN111+1</f>
        <v>48</v>
      </c>
      <c r="BP111" s="87">
        <f t="shared" ref="BP111" si="1616">BO111+1</f>
        <v>49</v>
      </c>
      <c r="BQ111" s="87">
        <f t="shared" ref="BQ111" si="1617">BP111+1</f>
        <v>50</v>
      </c>
      <c r="BR111" s="87">
        <f t="shared" ref="BR111" si="1618">BQ111+1</f>
        <v>51</v>
      </c>
      <c r="BS111" s="87">
        <f t="shared" ref="BS111" si="1619">BR111+1</f>
        <v>52</v>
      </c>
      <c r="BT111" s="87">
        <f t="shared" ref="BT111" si="1620">BS111+1</f>
        <v>53</v>
      </c>
      <c r="BU111" s="87">
        <f t="shared" ref="BU111" si="1621">BT111+1</f>
        <v>54</v>
      </c>
      <c r="BV111" s="87">
        <f t="shared" ref="BV111" si="1622">BU111+1</f>
        <v>55</v>
      </c>
      <c r="BW111" s="87">
        <f t="shared" ref="BW111" si="1623">BV111+1</f>
        <v>56</v>
      </c>
      <c r="BX111" s="87">
        <f t="shared" ref="BX111" si="1624">BW111+1</f>
        <v>57</v>
      </c>
      <c r="BY111" s="87">
        <f t="shared" ref="BY111" si="1625">BX111+1</f>
        <v>58</v>
      </c>
      <c r="BZ111" s="87">
        <f t="shared" ref="BZ111" si="1626">BY111+1</f>
        <v>59</v>
      </c>
      <c r="CA111" s="87">
        <f t="shared" ref="CA111" si="1627">BZ111+1</f>
        <v>60</v>
      </c>
      <c r="CB111" s="87">
        <f t="shared" ref="CB111" si="1628">CA111+1</f>
        <v>61</v>
      </c>
      <c r="CC111" s="87">
        <f t="shared" ref="CC111" si="1629">CB111+1</f>
        <v>62</v>
      </c>
      <c r="CD111" s="87">
        <f t="shared" ref="CD111" si="1630">CC111+1</f>
        <v>63</v>
      </c>
      <c r="CE111" s="87">
        <f t="shared" ref="CE111" si="1631">CD111+1</f>
        <v>64</v>
      </c>
      <c r="CF111" s="87">
        <f t="shared" ref="CF111" si="1632">CE111+1</f>
        <v>65</v>
      </c>
      <c r="CG111" s="87">
        <f t="shared" ref="CG111" si="1633">CF111+1</f>
        <v>66</v>
      </c>
      <c r="CH111" s="87">
        <f t="shared" ref="CH111" si="1634">CG111+1</f>
        <v>67</v>
      </c>
      <c r="CI111" s="87">
        <f t="shared" ref="CI111" si="1635">CH111+1</f>
        <v>68</v>
      </c>
      <c r="CJ111" s="87">
        <f t="shared" ref="CJ111" si="1636">CI111+1</f>
        <v>69</v>
      </c>
      <c r="CK111" s="87">
        <f t="shared" ref="CK111" si="1637">CJ111+1</f>
        <v>70</v>
      </c>
      <c r="CL111" s="87">
        <f t="shared" ref="CL111" si="1638">CK111+1</f>
        <v>71</v>
      </c>
      <c r="CM111" s="87">
        <f t="shared" ref="CM111" si="1639">CL111+1</f>
        <v>72</v>
      </c>
      <c r="CN111" s="87">
        <f t="shared" ref="CN111" si="1640">CM111+1</f>
        <v>73</v>
      </c>
      <c r="CO111" s="87">
        <f t="shared" ref="CO111" si="1641">CN111+1</f>
        <v>74</v>
      </c>
      <c r="CP111" s="87">
        <f t="shared" ref="CP111" si="1642">CO111+1</f>
        <v>75</v>
      </c>
      <c r="CQ111" s="87">
        <f t="shared" ref="CQ111" si="1643">CP111+1</f>
        <v>76</v>
      </c>
      <c r="CR111" s="87">
        <f t="shared" ref="CR111" si="1644">CQ111+1</f>
        <v>77</v>
      </c>
      <c r="CS111" s="87">
        <f t="shared" ref="CS111" si="1645">CR111+1</f>
        <v>78</v>
      </c>
      <c r="CT111" s="87">
        <f t="shared" ref="CT111" si="1646">CS111+1</f>
        <v>79</v>
      </c>
      <c r="CU111" s="87">
        <f t="shared" ref="CU111" si="1647">CT111+1</f>
        <v>80</v>
      </c>
      <c r="CV111" s="87">
        <f t="shared" ref="CV111" si="1648">CU111+1</f>
        <v>81</v>
      </c>
      <c r="CW111" s="87">
        <f t="shared" ref="CW111" si="1649">CV111+1</f>
        <v>82</v>
      </c>
      <c r="CX111" s="87">
        <f t="shared" ref="CX111" si="1650">CW111+1</f>
        <v>83</v>
      </c>
      <c r="CY111" s="87">
        <f t="shared" ref="CY111" si="1651">CX111+1</f>
        <v>84</v>
      </c>
      <c r="CZ111" s="87">
        <f t="shared" ref="CZ111" si="1652">CY111+1</f>
        <v>85</v>
      </c>
      <c r="DA111" s="87">
        <f t="shared" ref="DA111" si="1653">CZ111+1</f>
        <v>86</v>
      </c>
      <c r="DB111" s="87">
        <f t="shared" ref="DB111" si="1654">DA111+1</f>
        <v>87</v>
      </c>
      <c r="DC111" s="87">
        <f t="shared" ref="DC111" si="1655">DB111+1</f>
        <v>88</v>
      </c>
      <c r="DD111" s="87">
        <f t="shared" ref="DD111" si="1656">DC111+1</f>
        <v>89</v>
      </c>
      <c r="DE111" s="87">
        <f t="shared" ref="DE111" si="1657">DD111+1</f>
        <v>90</v>
      </c>
      <c r="DF111" s="87">
        <f t="shared" ref="DF111" si="1658">DE111+1</f>
        <v>91</v>
      </c>
      <c r="DG111" s="87">
        <f t="shared" ref="DG111" si="1659">DF111+1</f>
        <v>92</v>
      </c>
      <c r="DH111" s="87">
        <f t="shared" ref="DH111" si="1660">DG111+1</f>
        <v>93</v>
      </c>
      <c r="DI111" s="87">
        <f t="shared" ref="DI111" si="1661">DH111+1</f>
        <v>94</v>
      </c>
      <c r="DJ111" s="87">
        <f t="shared" ref="DJ111" si="1662">DI111+1</f>
        <v>95</v>
      </c>
      <c r="DK111" s="87">
        <f t="shared" ref="DK111" si="1663">DJ111+1</f>
        <v>96</v>
      </c>
      <c r="DL111" s="87">
        <f t="shared" ref="DL111" si="1664">DK111+1</f>
        <v>97</v>
      </c>
      <c r="DM111" s="87">
        <f t="shared" ref="DM111" si="1665">DL111+1</f>
        <v>98</v>
      </c>
      <c r="DN111" s="87">
        <f t="shared" ref="DN111" si="1666">DM111+1</f>
        <v>99</v>
      </c>
      <c r="DO111" s="87">
        <f t="shared" ref="DO111" si="1667">DN111+1</f>
        <v>100</v>
      </c>
      <c r="DP111" s="87">
        <f t="shared" ref="DP111" si="1668">DO111+1</f>
        <v>101</v>
      </c>
      <c r="DQ111" s="87">
        <f t="shared" ref="DQ111" si="1669">DP111+1</f>
        <v>102</v>
      </c>
      <c r="DR111" s="87">
        <f t="shared" ref="DR111" si="1670">DQ111+1</f>
        <v>103</v>
      </c>
      <c r="DS111" s="87">
        <f t="shared" ref="DS111" si="1671">DR111+1</f>
        <v>104</v>
      </c>
      <c r="DT111" s="87">
        <f t="shared" ref="DT111" si="1672">DS111+1</f>
        <v>105</v>
      </c>
      <c r="DU111" s="87">
        <f t="shared" ref="DU111" si="1673">DT111+1</f>
        <v>106</v>
      </c>
      <c r="DV111" s="87">
        <f t="shared" ref="DV111" si="1674">DU111+1</f>
        <v>107</v>
      </c>
      <c r="DW111" s="87">
        <f t="shared" ref="DW111" si="1675">DV111+1</f>
        <v>108</v>
      </c>
      <c r="DX111" s="87">
        <f t="shared" ref="DX111" si="1676">DW111+1</f>
        <v>109</v>
      </c>
      <c r="DY111" s="87">
        <f t="shared" ref="DY111" si="1677">DX111+1</f>
        <v>110</v>
      </c>
      <c r="DZ111" s="87">
        <f t="shared" ref="DZ111" si="1678">DY111+1</f>
        <v>111</v>
      </c>
      <c r="EA111" s="87">
        <f t="shared" ref="EA111" si="1679">DZ111+1</f>
        <v>112</v>
      </c>
      <c r="EB111" s="87">
        <f t="shared" ref="EB111" si="1680">EA111+1</f>
        <v>113</v>
      </c>
      <c r="EC111" s="87">
        <f t="shared" ref="EC111" si="1681">EB111+1</f>
        <v>114</v>
      </c>
      <c r="ED111" s="87">
        <f t="shared" ref="ED111" si="1682">EC111+1</f>
        <v>115</v>
      </c>
      <c r="EE111" s="87">
        <f t="shared" ref="EE111" si="1683">ED111+1</f>
        <v>116</v>
      </c>
      <c r="EF111" s="87">
        <f t="shared" ref="EF111" si="1684">EE111+1</f>
        <v>117</v>
      </c>
      <c r="EG111" s="87">
        <f t="shared" ref="EG111" si="1685">EF111+1</f>
        <v>118</v>
      </c>
      <c r="EH111" s="87">
        <f t="shared" ref="EH111" si="1686">EG111+1</f>
        <v>119</v>
      </c>
      <c r="EI111" s="87">
        <f t="shared" ref="EI111" si="1687">EH111+1</f>
        <v>120</v>
      </c>
      <c r="EJ111" s="87">
        <f t="shared" ref="EJ111" si="1688">EI111+1</f>
        <v>121</v>
      </c>
      <c r="EK111" s="87">
        <f t="shared" ref="EK111" si="1689">EJ111+1</f>
        <v>122</v>
      </c>
      <c r="EL111" s="87">
        <f t="shared" ref="EL111" si="1690">EK111+1</f>
        <v>123</v>
      </c>
      <c r="EM111" s="87">
        <f t="shared" ref="EM111" si="1691">EL111+1</f>
        <v>124</v>
      </c>
      <c r="EN111" s="87">
        <f t="shared" ref="EN111" si="1692">EM111+1</f>
        <v>125</v>
      </c>
      <c r="EO111" s="87">
        <f t="shared" ref="EO111" si="1693">EN111+1</f>
        <v>126</v>
      </c>
      <c r="EP111" s="87">
        <f t="shared" ref="EP111" si="1694">EO111+1</f>
        <v>127</v>
      </c>
      <c r="EQ111" s="87">
        <f t="shared" ref="EQ111" si="1695">EP111+1</f>
        <v>128</v>
      </c>
      <c r="ER111" s="87">
        <f t="shared" ref="ER111" si="1696">EQ111+1</f>
        <v>129</v>
      </c>
      <c r="ES111" s="87">
        <f>ER111+1</f>
        <v>130</v>
      </c>
      <c r="ET111" s="87">
        <f>ES111+1</f>
        <v>131</v>
      </c>
      <c r="EU111" s="87">
        <f>ET111+1</f>
        <v>132</v>
      </c>
      <c r="EW111" s="199" t="s">
        <v>177</v>
      </c>
      <c r="FC111" s="199"/>
      <c r="FD111" s="199"/>
      <c r="FE111" s="199"/>
      <c r="FF111" s="199"/>
      <c r="FG111" s="199"/>
      <c r="FH111" s="199"/>
      <c r="FI111" s="199"/>
      <c r="FJ111" s="199"/>
      <c r="FK111" s="199"/>
      <c r="FL111" s="199"/>
      <c r="FM111" s="199"/>
      <c r="FN111" s="199"/>
      <c r="FO111" s="199"/>
      <c r="FP111" s="199"/>
      <c r="FQ111" s="199"/>
      <c r="FR111" s="199"/>
      <c r="FS111" s="199"/>
      <c r="FT111" s="199"/>
      <c r="FU111" s="199"/>
      <c r="FV111" s="199"/>
      <c r="FW111" s="199"/>
      <c r="FX111" s="199"/>
      <c r="FY111" s="199"/>
      <c r="FZ111" s="199"/>
      <c r="GA111" s="199"/>
      <c r="GB111" s="199"/>
      <c r="GC111" s="199"/>
      <c r="GD111" s="199"/>
      <c r="GE111" s="199"/>
      <c r="GF111" s="199"/>
      <c r="GG111" s="199"/>
      <c r="GH111" s="199"/>
      <c r="GI111" s="199"/>
      <c r="GJ111" s="199"/>
      <c r="GK111" s="199"/>
      <c r="GL111" s="199"/>
      <c r="GM111" s="199"/>
      <c r="GN111" s="199"/>
      <c r="GO111" s="199"/>
      <c r="GP111" s="199"/>
      <c r="GQ111" s="199"/>
      <c r="GR111" s="199"/>
      <c r="GS111" s="199"/>
      <c r="GT111" s="199"/>
      <c r="GU111" s="199"/>
      <c r="GV111" s="199"/>
      <c r="GW111" s="199"/>
      <c r="GX111" s="199"/>
      <c r="GY111" s="199"/>
      <c r="GZ111" s="199"/>
      <c r="HA111" s="199"/>
      <c r="HB111" s="199"/>
      <c r="HC111" s="199"/>
      <c r="HD111" s="199"/>
      <c r="HE111" s="199"/>
      <c r="HF111" s="199"/>
      <c r="HG111" s="199"/>
      <c r="HH111" s="199"/>
      <c r="HI111" s="199"/>
      <c r="HJ111" s="199"/>
      <c r="HK111" s="199"/>
      <c r="HL111" s="199"/>
      <c r="HM111" s="199"/>
      <c r="HN111" s="199"/>
      <c r="HO111" s="199"/>
      <c r="HP111" s="199"/>
      <c r="HQ111" s="199"/>
      <c r="HR111" s="199"/>
      <c r="HS111" s="199"/>
      <c r="HT111" s="199"/>
      <c r="HU111" s="199"/>
      <c r="HV111" s="199"/>
      <c r="HW111" s="199"/>
      <c r="HX111" s="199"/>
      <c r="HY111" s="199"/>
      <c r="HZ111" s="199"/>
      <c r="IA111" s="199"/>
      <c r="IB111" s="199"/>
      <c r="IC111" s="199"/>
      <c r="ID111" s="199"/>
      <c r="IE111" s="199"/>
      <c r="IF111" s="199"/>
      <c r="IG111" s="199"/>
      <c r="IH111" s="199"/>
      <c r="II111" s="199"/>
      <c r="IJ111" s="199"/>
      <c r="IK111" s="199"/>
      <c r="IL111" s="199"/>
      <c r="IM111" s="199"/>
      <c r="IN111" s="199"/>
      <c r="IO111" s="199"/>
      <c r="IP111" s="199"/>
      <c r="IQ111" s="199"/>
      <c r="IR111" s="199"/>
      <c r="IS111" s="199"/>
      <c r="IT111" s="199"/>
      <c r="IU111" s="199"/>
      <c r="IV111" s="199"/>
      <c r="IW111" s="199"/>
      <c r="IX111" s="199"/>
      <c r="IY111" s="199"/>
      <c r="IZ111" s="199"/>
      <c r="JA111" s="199"/>
      <c r="JB111" s="199"/>
      <c r="JC111" s="199"/>
      <c r="JD111" s="199"/>
      <c r="JE111" s="199"/>
      <c r="JF111" s="199"/>
      <c r="JG111" s="199"/>
      <c r="JH111" s="199"/>
      <c r="JI111" s="199"/>
      <c r="JJ111" s="199"/>
      <c r="JK111" s="199"/>
      <c r="JL111" s="199"/>
      <c r="JM111" s="199"/>
      <c r="JN111" s="199"/>
      <c r="JO111" s="199"/>
      <c r="JP111" s="199"/>
      <c r="JQ111" s="199"/>
      <c r="JR111" s="199"/>
      <c r="JS111" s="199"/>
      <c r="JT111" s="199"/>
      <c r="JU111" s="199"/>
      <c r="JV111" s="199"/>
      <c r="JW111" s="199"/>
      <c r="JX111" s="199"/>
      <c r="JY111" s="199"/>
      <c r="JZ111" s="199"/>
      <c r="KA111" s="199"/>
      <c r="KB111" s="199"/>
      <c r="KC111" s="199"/>
      <c r="KD111" s="199"/>
      <c r="KE111" s="199"/>
      <c r="KG111" s="199" t="s">
        <v>177</v>
      </c>
      <c r="PQ111" s="201"/>
      <c r="PR111" s="201" t="s">
        <v>603</v>
      </c>
      <c r="PS111" s="201"/>
      <c r="PT111" s="201"/>
      <c r="PU111" s="201"/>
      <c r="PV111" s="201"/>
      <c r="PW111" s="201"/>
      <c r="PX111" s="201"/>
      <c r="PY111" s="201"/>
      <c r="PZ111" s="201"/>
      <c r="QA111" s="201"/>
      <c r="QB111" s="201"/>
      <c r="QC111" s="201"/>
      <c r="QD111" s="201"/>
      <c r="QE111" s="201"/>
      <c r="QF111" s="201"/>
      <c r="QG111" s="201"/>
      <c r="QH111" s="201"/>
      <c r="QI111" s="201"/>
      <c r="QJ111" s="201"/>
      <c r="QK111" s="201"/>
      <c r="QL111" s="201"/>
      <c r="QM111" s="201"/>
      <c r="QN111" s="201"/>
      <c r="QO111" s="201"/>
      <c r="QP111" s="201"/>
      <c r="QQ111" s="201"/>
      <c r="QR111" s="201"/>
      <c r="QS111" s="201"/>
      <c r="QT111" s="201"/>
      <c r="QU111" s="201"/>
      <c r="QV111" s="201"/>
      <c r="QW111" s="201"/>
      <c r="QX111" s="201"/>
      <c r="QY111" s="201"/>
      <c r="QZ111" s="201"/>
      <c r="RA111" s="201"/>
      <c r="RB111" s="201"/>
      <c r="RC111" s="201"/>
      <c r="RD111" s="201"/>
      <c r="RE111" s="201"/>
      <c r="RF111" s="201"/>
      <c r="RG111" s="201"/>
      <c r="RH111" s="201"/>
      <c r="RI111" s="201"/>
      <c r="RJ111" s="201"/>
      <c r="RK111" s="201"/>
      <c r="RL111" s="201"/>
      <c r="RM111" s="201"/>
      <c r="RN111" s="201"/>
      <c r="RO111" s="201"/>
      <c r="RP111" s="201"/>
      <c r="RQ111" s="201"/>
      <c r="RR111" s="201"/>
      <c r="RS111" s="201"/>
      <c r="RT111" s="201"/>
      <c r="RU111" s="201"/>
      <c r="RV111" s="201"/>
      <c r="RW111" s="201"/>
      <c r="RX111" s="201"/>
      <c r="RY111" s="201"/>
      <c r="RZ111" s="201"/>
      <c r="SA111" s="201"/>
      <c r="SB111" s="201"/>
      <c r="SC111" s="201"/>
      <c r="SD111" s="201"/>
      <c r="SE111" s="201"/>
      <c r="SF111" s="201"/>
      <c r="SG111" s="201"/>
      <c r="SH111" s="201"/>
      <c r="SI111" s="201"/>
      <c r="SJ111" s="201"/>
      <c r="SK111" s="201"/>
      <c r="SL111" s="201"/>
      <c r="SM111" s="201"/>
      <c r="SN111" s="201"/>
      <c r="SO111" s="201"/>
      <c r="SP111" s="201"/>
      <c r="SQ111" s="201"/>
      <c r="SR111" s="201"/>
      <c r="SS111" s="201"/>
      <c r="ST111" s="201"/>
      <c r="SU111" s="201"/>
      <c r="SV111" s="201"/>
      <c r="SW111" s="201"/>
      <c r="SX111" s="201"/>
      <c r="SY111" s="201"/>
      <c r="SZ111" s="201"/>
      <c r="TA111" s="201"/>
      <c r="TB111" s="201"/>
      <c r="TC111" s="201"/>
      <c r="TD111" s="201"/>
      <c r="TE111" s="201"/>
      <c r="TF111" s="201"/>
      <c r="TG111" s="201"/>
      <c r="TH111" s="201"/>
      <c r="TI111" s="201"/>
      <c r="TJ111" s="201"/>
      <c r="TK111" s="201"/>
      <c r="TL111" s="201"/>
      <c r="TM111" s="201"/>
      <c r="TN111" s="201"/>
      <c r="TO111" s="201"/>
      <c r="TP111" s="201"/>
      <c r="TQ111" s="201"/>
      <c r="TR111" s="201"/>
      <c r="TS111" s="201"/>
      <c r="TT111" s="201"/>
      <c r="TU111" s="201"/>
      <c r="TV111" s="201"/>
      <c r="TW111" s="201"/>
      <c r="TX111" s="201"/>
      <c r="TY111" s="201"/>
      <c r="TZ111" s="201"/>
      <c r="UA111" s="201"/>
      <c r="UB111" s="201"/>
      <c r="UC111" s="201"/>
      <c r="UD111" s="201"/>
      <c r="UE111" s="201"/>
      <c r="UF111" s="201"/>
      <c r="UG111" s="201"/>
      <c r="UH111" s="201"/>
      <c r="UI111" s="201"/>
      <c r="UJ111" s="201"/>
      <c r="UK111" s="201"/>
      <c r="UL111" s="201"/>
      <c r="UM111" s="201"/>
      <c r="UN111" s="201"/>
      <c r="UO111" s="201"/>
      <c r="UP111" s="201"/>
      <c r="UQ111" s="201"/>
      <c r="UR111" s="201"/>
      <c r="US111" s="201"/>
      <c r="UT111" s="201"/>
      <c r="UU111" s="201"/>
    </row>
    <row r="112" spans="2:567" x14ac:dyDescent="0.25">
      <c r="B112" s="28" t="s">
        <v>122</v>
      </c>
      <c r="C112" s="110">
        <f>E112/D112</f>
        <v>0.78519838722743962</v>
      </c>
      <c r="D112" s="583">
        <f>F14</f>
        <v>320938</v>
      </c>
      <c r="E112" s="582">
        <f>Units_SF</f>
        <v>252000</v>
      </c>
      <c r="F112" s="613" t="s">
        <v>781</v>
      </c>
      <c r="G112" s="614"/>
      <c r="H112" s="613" t="s">
        <v>749</v>
      </c>
      <c r="I112" s="614"/>
      <c r="J112" s="152" t="s">
        <v>130</v>
      </c>
      <c r="K112" s="152" t="s">
        <v>178</v>
      </c>
      <c r="R112" s="594" t="s">
        <v>167</v>
      </c>
      <c r="S112" s="266"/>
      <c r="T112" s="266">
        <f t="shared" ref="T112:AY112" si="1697">$G$132-($G$132-$I$132)*T109</f>
        <v>6.9166666666666668E-2</v>
      </c>
      <c r="U112" s="266">
        <f t="shared" si="1697"/>
        <v>6.8333333333333343E-2</v>
      </c>
      <c r="V112" s="266">
        <f t="shared" si="1697"/>
        <v>6.7500000000000004E-2</v>
      </c>
      <c r="W112" s="266">
        <f t="shared" si="1697"/>
        <v>6.666666666666668E-2</v>
      </c>
      <c r="X112" s="266">
        <f t="shared" si="1697"/>
        <v>6.5833333333333341E-2</v>
      </c>
      <c r="Y112" s="266">
        <f t="shared" si="1697"/>
        <v>6.5000000000000002E-2</v>
      </c>
      <c r="Z112" s="266">
        <f t="shared" si="1697"/>
        <v>6.4166666666666677E-2</v>
      </c>
      <c r="AA112" s="266">
        <f t="shared" si="1697"/>
        <v>6.3333333333333339E-2</v>
      </c>
      <c r="AB112" s="266">
        <f t="shared" si="1697"/>
        <v>6.25E-2</v>
      </c>
      <c r="AC112" s="266">
        <f t="shared" si="1697"/>
        <v>6.1666666666666675E-2</v>
      </c>
      <c r="AD112" s="266">
        <f t="shared" si="1697"/>
        <v>6.0833333333333336E-2</v>
      </c>
      <c r="AE112" s="266">
        <f t="shared" si="1697"/>
        <v>6.0000000000000005E-2</v>
      </c>
      <c r="AF112" s="266">
        <f t="shared" si="1697"/>
        <v>5.9166666666666673E-2</v>
      </c>
      <c r="AG112" s="266">
        <f t="shared" si="1697"/>
        <v>5.8333333333333334E-2</v>
      </c>
      <c r="AH112" s="266">
        <f t="shared" si="1697"/>
        <v>5.7500000000000002E-2</v>
      </c>
      <c r="AI112" s="266">
        <f t="shared" si="1697"/>
        <v>5.6666666666666671E-2</v>
      </c>
      <c r="AJ112" s="266">
        <f t="shared" si="1697"/>
        <v>5.5833333333333339E-2</v>
      </c>
      <c r="AK112" s="266">
        <f t="shared" si="1697"/>
        <v>5.5000000000000007E-2</v>
      </c>
      <c r="AL112" s="266">
        <f t="shared" si="1697"/>
        <v>5.4166666666666669E-2</v>
      </c>
      <c r="AM112" s="266">
        <f t="shared" si="1697"/>
        <v>5.3333333333333337E-2</v>
      </c>
      <c r="AN112" s="266">
        <f t="shared" si="1697"/>
        <v>5.2500000000000005E-2</v>
      </c>
      <c r="AO112" s="266">
        <f t="shared" si="1697"/>
        <v>5.1666666666666666E-2</v>
      </c>
      <c r="AP112" s="266">
        <f t="shared" si="1697"/>
        <v>5.0833333333333335E-2</v>
      </c>
      <c r="AQ112" s="266">
        <f t="shared" si="1697"/>
        <v>0.05</v>
      </c>
      <c r="AR112" s="266">
        <f t="shared" si="1697"/>
        <v>0.05</v>
      </c>
      <c r="AS112" s="266">
        <f t="shared" si="1697"/>
        <v>0.05</v>
      </c>
      <c r="AT112" s="266">
        <f t="shared" si="1697"/>
        <v>0.05</v>
      </c>
      <c r="AU112" s="266">
        <f t="shared" si="1697"/>
        <v>0.05</v>
      </c>
      <c r="AV112" s="266">
        <f t="shared" si="1697"/>
        <v>0.05</v>
      </c>
      <c r="AW112" s="266">
        <f t="shared" si="1697"/>
        <v>0.05</v>
      </c>
      <c r="AX112" s="266">
        <f t="shared" si="1697"/>
        <v>0.05</v>
      </c>
      <c r="AY112" s="266">
        <f t="shared" si="1697"/>
        <v>0.05</v>
      </c>
      <c r="AZ112" s="266">
        <f t="shared" ref="AZ112:CE112" si="1698">$G$132-($G$132-$I$132)*AZ109</f>
        <v>0.05</v>
      </c>
      <c r="BA112" s="266">
        <f t="shared" si="1698"/>
        <v>0.05</v>
      </c>
      <c r="BB112" s="266">
        <f t="shared" si="1698"/>
        <v>0.05</v>
      </c>
      <c r="BC112" s="266">
        <f t="shared" si="1698"/>
        <v>0.05</v>
      </c>
      <c r="BD112" s="266">
        <f t="shared" si="1698"/>
        <v>0.05</v>
      </c>
      <c r="BE112" s="266">
        <f t="shared" si="1698"/>
        <v>0.05</v>
      </c>
      <c r="BF112" s="266">
        <f t="shared" si="1698"/>
        <v>0.05</v>
      </c>
      <c r="BG112" s="266">
        <f t="shared" si="1698"/>
        <v>0.05</v>
      </c>
      <c r="BH112" s="266">
        <f t="shared" si="1698"/>
        <v>0.05</v>
      </c>
      <c r="BI112" s="266">
        <f t="shared" si="1698"/>
        <v>0.05</v>
      </c>
      <c r="BJ112" s="266">
        <f t="shared" si="1698"/>
        <v>0.05</v>
      </c>
      <c r="BK112" s="266">
        <f t="shared" si="1698"/>
        <v>0.05</v>
      </c>
      <c r="BL112" s="266">
        <f t="shared" si="1698"/>
        <v>0.05</v>
      </c>
      <c r="BM112" s="266">
        <f t="shared" si="1698"/>
        <v>0.05</v>
      </c>
      <c r="BN112" s="266">
        <f t="shared" si="1698"/>
        <v>0.05</v>
      </c>
      <c r="BO112" s="266">
        <f t="shared" si="1698"/>
        <v>0.05</v>
      </c>
      <c r="BP112" s="266">
        <f t="shared" si="1698"/>
        <v>0.05</v>
      </c>
      <c r="BQ112" s="266">
        <f t="shared" si="1698"/>
        <v>0.05</v>
      </c>
      <c r="BR112" s="266">
        <f t="shared" si="1698"/>
        <v>0.05</v>
      </c>
      <c r="BS112" s="266">
        <f t="shared" si="1698"/>
        <v>0.05</v>
      </c>
      <c r="BT112" s="266">
        <f t="shared" si="1698"/>
        <v>0.05</v>
      </c>
      <c r="BU112" s="266">
        <f t="shared" si="1698"/>
        <v>0.05</v>
      </c>
      <c r="BV112" s="266">
        <f t="shared" si="1698"/>
        <v>0.05</v>
      </c>
      <c r="BW112" s="266">
        <f t="shared" si="1698"/>
        <v>0.05</v>
      </c>
      <c r="BX112" s="266">
        <f t="shared" si="1698"/>
        <v>0.05</v>
      </c>
      <c r="BY112" s="266">
        <f t="shared" si="1698"/>
        <v>0.05</v>
      </c>
      <c r="BZ112" s="266">
        <f t="shared" si="1698"/>
        <v>0.05</v>
      </c>
      <c r="CA112" s="266">
        <f t="shared" si="1698"/>
        <v>0.05</v>
      </c>
      <c r="CB112" s="266">
        <f t="shared" si="1698"/>
        <v>0.05</v>
      </c>
      <c r="CC112" s="266">
        <f t="shared" si="1698"/>
        <v>0.05</v>
      </c>
      <c r="CD112" s="266">
        <f t="shared" si="1698"/>
        <v>0.05</v>
      </c>
      <c r="CE112" s="266">
        <f t="shared" si="1698"/>
        <v>0.05</v>
      </c>
      <c r="CF112" s="266">
        <f t="shared" ref="CF112:DK112" si="1699">$G$132-($G$132-$I$132)*CF109</f>
        <v>0.05</v>
      </c>
      <c r="CG112" s="266">
        <f t="shared" si="1699"/>
        <v>0.05</v>
      </c>
      <c r="CH112" s="266">
        <f t="shared" si="1699"/>
        <v>0.05</v>
      </c>
      <c r="CI112" s="266">
        <f t="shared" si="1699"/>
        <v>0.05</v>
      </c>
      <c r="CJ112" s="266">
        <f t="shared" si="1699"/>
        <v>0.05</v>
      </c>
      <c r="CK112" s="266">
        <f t="shared" si="1699"/>
        <v>0.05</v>
      </c>
      <c r="CL112" s="266">
        <f t="shared" si="1699"/>
        <v>0.05</v>
      </c>
      <c r="CM112" s="266">
        <f t="shared" si="1699"/>
        <v>0.05</v>
      </c>
      <c r="CN112" s="266">
        <f t="shared" si="1699"/>
        <v>0.05</v>
      </c>
      <c r="CO112" s="266">
        <f t="shared" si="1699"/>
        <v>0.05</v>
      </c>
      <c r="CP112" s="266">
        <f t="shared" si="1699"/>
        <v>0.05</v>
      </c>
      <c r="CQ112" s="266">
        <f t="shared" si="1699"/>
        <v>0.05</v>
      </c>
      <c r="CR112" s="266">
        <f t="shared" si="1699"/>
        <v>0.05</v>
      </c>
      <c r="CS112" s="266">
        <f t="shared" si="1699"/>
        <v>0.05</v>
      </c>
      <c r="CT112" s="266">
        <f t="shared" si="1699"/>
        <v>0.05</v>
      </c>
      <c r="CU112" s="266">
        <f t="shared" si="1699"/>
        <v>0.05</v>
      </c>
      <c r="CV112" s="266">
        <f t="shared" si="1699"/>
        <v>0.05</v>
      </c>
      <c r="CW112" s="266">
        <f t="shared" si="1699"/>
        <v>0.05</v>
      </c>
      <c r="CX112" s="266">
        <f t="shared" si="1699"/>
        <v>0.05</v>
      </c>
      <c r="CY112" s="266">
        <f t="shared" si="1699"/>
        <v>0.05</v>
      </c>
      <c r="CZ112" s="266">
        <f t="shared" si="1699"/>
        <v>0.05</v>
      </c>
      <c r="DA112" s="266">
        <f t="shared" si="1699"/>
        <v>0.05</v>
      </c>
      <c r="DB112" s="266">
        <f t="shared" si="1699"/>
        <v>0.05</v>
      </c>
      <c r="DC112" s="266">
        <f t="shared" si="1699"/>
        <v>0.05</v>
      </c>
      <c r="DD112" s="266">
        <f t="shared" si="1699"/>
        <v>0.05</v>
      </c>
      <c r="DE112" s="266">
        <f t="shared" si="1699"/>
        <v>0.05</v>
      </c>
      <c r="DF112" s="266">
        <f t="shared" si="1699"/>
        <v>0.05</v>
      </c>
      <c r="DG112" s="266">
        <f t="shared" si="1699"/>
        <v>0.05</v>
      </c>
      <c r="DH112" s="266">
        <f t="shared" si="1699"/>
        <v>0.05</v>
      </c>
      <c r="DI112" s="266">
        <f t="shared" si="1699"/>
        <v>0.05</v>
      </c>
      <c r="DJ112" s="266">
        <f t="shared" si="1699"/>
        <v>0.05</v>
      </c>
      <c r="DK112" s="266">
        <f t="shared" si="1699"/>
        <v>0.05</v>
      </c>
      <c r="DL112" s="266">
        <f t="shared" ref="DL112:EU112" si="1700">$G$132-($G$132-$I$132)*DL109</f>
        <v>0.05</v>
      </c>
      <c r="DM112" s="266">
        <f t="shared" si="1700"/>
        <v>0.05</v>
      </c>
      <c r="DN112" s="266">
        <f t="shared" si="1700"/>
        <v>0.05</v>
      </c>
      <c r="DO112" s="266">
        <f t="shared" si="1700"/>
        <v>0.05</v>
      </c>
      <c r="DP112" s="266">
        <f t="shared" si="1700"/>
        <v>0.05</v>
      </c>
      <c r="DQ112" s="266">
        <f t="shared" si="1700"/>
        <v>0.05</v>
      </c>
      <c r="DR112" s="266">
        <f t="shared" si="1700"/>
        <v>0.05</v>
      </c>
      <c r="DS112" s="266">
        <f t="shared" si="1700"/>
        <v>0.05</v>
      </c>
      <c r="DT112" s="266">
        <f t="shared" si="1700"/>
        <v>0.05</v>
      </c>
      <c r="DU112" s="266">
        <f t="shared" si="1700"/>
        <v>0.05</v>
      </c>
      <c r="DV112" s="266">
        <f t="shared" si="1700"/>
        <v>0.05</v>
      </c>
      <c r="DW112" s="266">
        <f t="shared" si="1700"/>
        <v>0.05</v>
      </c>
      <c r="DX112" s="266">
        <f t="shared" si="1700"/>
        <v>0.05</v>
      </c>
      <c r="DY112" s="266">
        <f t="shared" si="1700"/>
        <v>0.05</v>
      </c>
      <c r="DZ112" s="266">
        <f t="shared" si="1700"/>
        <v>0.05</v>
      </c>
      <c r="EA112" s="266">
        <f t="shared" si="1700"/>
        <v>0.05</v>
      </c>
      <c r="EB112" s="266">
        <f t="shared" si="1700"/>
        <v>0.05</v>
      </c>
      <c r="EC112" s="266">
        <f t="shared" si="1700"/>
        <v>0.05</v>
      </c>
      <c r="ED112" s="266">
        <f t="shared" si="1700"/>
        <v>0.05</v>
      </c>
      <c r="EE112" s="266">
        <f t="shared" si="1700"/>
        <v>0.05</v>
      </c>
      <c r="EF112" s="266">
        <f t="shared" si="1700"/>
        <v>0.05</v>
      </c>
      <c r="EG112" s="266">
        <f t="shared" si="1700"/>
        <v>0.05</v>
      </c>
      <c r="EH112" s="266">
        <f t="shared" si="1700"/>
        <v>0.05</v>
      </c>
      <c r="EI112" s="266">
        <f t="shared" si="1700"/>
        <v>0.05</v>
      </c>
      <c r="EJ112" s="266">
        <f t="shared" si="1700"/>
        <v>0.05</v>
      </c>
      <c r="EK112" s="266">
        <f t="shared" si="1700"/>
        <v>0.05</v>
      </c>
      <c r="EL112" s="266">
        <f t="shared" si="1700"/>
        <v>0.05</v>
      </c>
      <c r="EM112" s="266">
        <f t="shared" si="1700"/>
        <v>0.05</v>
      </c>
      <c r="EN112" s="266">
        <f t="shared" si="1700"/>
        <v>0.05</v>
      </c>
      <c r="EO112" s="266">
        <f t="shared" si="1700"/>
        <v>0.05</v>
      </c>
      <c r="EP112" s="266">
        <f t="shared" si="1700"/>
        <v>0.05</v>
      </c>
      <c r="EQ112" s="266">
        <f t="shared" si="1700"/>
        <v>0.05</v>
      </c>
      <c r="ER112" s="266">
        <f t="shared" si="1700"/>
        <v>0.05</v>
      </c>
      <c r="ES112" s="266">
        <f t="shared" si="1700"/>
        <v>0.05</v>
      </c>
      <c r="ET112" s="266">
        <f t="shared" si="1700"/>
        <v>0.05</v>
      </c>
      <c r="EU112" s="266">
        <f t="shared" si="1700"/>
        <v>0.05</v>
      </c>
      <c r="EW112" s="202" t="s">
        <v>171</v>
      </c>
      <c r="EX112" s="222" t="s">
        <v>174</v>
      </c>
      <c r="FC112" s="216" t="s">
        <v>169</v>
      </c>
      <c r="FD112" s="223">
        <f>ROUNDUP(FD113/12,0)</f>
        <v>1</v>
      </c>
      <c r="FE112" s="223">
        <f t="shared" ref="FE112:HP112" si="1701">ROUNDUP(FE113/12,0)</f>
        <v>1</v>
      </c>
      <c r="FF112" s="223">
        <f t="shared" si="1701"/>
        <v>1</v>
      </c>
      <c r="FG112" s="223">
        <f t="shared" si="1701"/>
        <v>1</v>
      </c>
      <c r="FH112" s="223">
        <f t="shared" si="1701"/>
        <v>1</v>
      </c>
      <c r="FI112" s="223">
        <f t="shared" si="1701"/>
        <v>1</v>
      </c>
      <c r="FJ112" s="223">
        <f t="shared" si="1701"/>
        <v>1</v>
      </c>
      <c r="FK112" s="223">
        <f t="shared" si="1701"/>
        <v>1</v>
      </c>
      <c r="FL112" s="223">
        <f t="shared" si="1701"/>
        <v>1</v>
      </c>
      <c r="FM112" s="223">
        <f t="shared" si="1701"/>
        <v>1</v>
      </c>
      <c r="FN112" s="223">
        <f t="shared" si="1701"/>
        <v>1</v>
      </c>
      <c r="FO112" s="223">
        <f t="shared" si="1701"/>
        <v>1</v>
      </c>
      <c r="FP112" s="223">
        <f t="shared" si="1701"/>
        <v>2</v>
      </c>
      <c r="FQ112" s="223">
        <f t="shared" si="1701"/>
        <v>2</v>
      </c>
      <c r="FR112" s="223">
        <f t="shared" si="1701"/>
        <v>2</v>
      </c>
      <c r="FS112" s="223">
        <f t="shared" si="1701"/>
        <v>2</v>
      </c>
      <c r="FT112" s="223">
        <f t="shared" si="1701"/>
        <v>2</v>
      </c>
      <c r="FU112" s="223">
        <f t="shared" si="1701"/>
        <v>2</v>
      </c>
      <c r="FV112" s="223">
        <f t="shared" si="1701"/>
        <v>2</v>
      </c>
      <c r="FW112" s="223">
        <f t="shared" si="1701"/>
        <v>2</v>
      </c>
      <c r="FX112" s="223">
        <f t="shared" si="1701"/>
        <v>2</v>
      </c>
      <c r="FY112" s="223">
        <f t="shared" si="1701"/>
        <v>2</v>
      </c>
      <c r="FZ112" s="223">
        <f t="shared" si="1701"/>
        <v>2</v>
      </c>
      <c r="GA112" s="223">
        <f t="shared" si="1701"/>
        <v>2</v>
      </c>
      <c r="GB112" s="223">
        <f t="shared" si="1701"/>
        <v>3</v>
      </c>
      <c r="GC112" s="223">
        <f t="shared" si="1701"/>
        <v>3</v>
      </c>
      <c r="GD112" s="223">
        <f t="shared" si="1701"/>
        <v>3</v>
      </c>
      <c r="GE112" s="223">
        <f t="shared" si="1701"/>
        <v>3</v>
      </c>
      <c r="GF112" s="223">
        <f t="shared" si="1701"/>
        <v>3</v>
      </c>
      <c r="GG112" s="223">
        <f t="shared" si="1701"/>
        <v>3</v>
      </c>
      <c r="GH112" s="223">
        <f t="shared" si="1701"/>
        <v>3</v>
      </c>
      <c r="GI112" s="223">
        <f t="shared" si="1701"/>
        <v>3</v>
      </c>
      <c r="GJ112" s="223">
        <f t="shared" si="1701"/>
        <v>3</v>
      </c>
      <c r="GK112" s="223">
        <f t="shared" si="1701"/>
        <v>3</v>
      </c>
      <c r="GL112" s="223">
        <f t="shared" si="1701"/>
        <v>3</v>
      </c>
      <c r="GM112" s="223">
        <f t="shared" si="1701"/>
        <v>3</v>
      </c>
      <c r="GN112" s="223">
        <f t="shared" si="1701"/>
        <v>4</v>
      </c>
      <c r="GO112" s="223">
        <f t="shared" si="1701"/>
        <v>4</v>
      </c>
      <c r="GP112" s="223">
        <f t="shared" si="1701"/>
        <v>4</v>
      </c>
      <c r="GQ112" s="223">
        <f t="shared" si="1701"/>
        <v>4</v>
      </c>
      <c r="GR112" s="223">
        <f t="shared" si="1701"/>
        <v>4</v>
      </c>
      <c r="GS112" s="223">
        <f t="shared" si="1701"/>
        <v>4</v>
      </c>
      <c r="GT112" s="223">
        <f t="shared" si="1701"/>
        <v>4</v>
      </c>
      <c r="GU112" s="223">
        <f t="shared" si="1701"/>
        <v>4</v>
      </c>
      <c r="GV112" s="223">
        <f t="shared" si="1701"/>
        <v>4</v>
      </c>
      <c r="GW112" s="223">
        <f t="shared" si="1701"/>
        <v>4</v>
      </c>
      <c r="GX112" s="223">
        <f t="shared" si="1701"/>
        <v>4</v>
      </c>
      <c r="GY112" s="223">
        <f t="shared" si="1701"/>
        <v>4</v>
      </c>
      <c r="GZ112" s="223">
        <f t="shared" si="1701"/>
        <v>5</v>
      </c>
      <c r="HA112" s="223">
        <f t="shared" si="1701"/>
        <v>5</v>
      </c>
      <c r="HB112" s="223">
        <f t="shared" si="1701"/>
        <v>5</v>
      </c>
      <c r="HC112" s="223">
        <f t="shared" si="1701"/>
        <v>5</v>
      </c>
      <c r="HD112" s="223">
        <f t="shared" si="1701"/>
        <v>5</v>
      </c>
      <c r="HE112" s="223">
        <f t="shared" si="1701"/>
        <v>5</v>
      </c>
      <c r="HF112" s="223">
        <f t="shared" si="1701"/>
        <v>5</v>
      </c>
      <c r="HG112" s="223">
        <f t="shared" si="1701"/>
        <v>5</v>
      </c>
      <c r="HH112" s="223">
        <f t="shared" si="1701"/>
        <v>5</v>
      </c>
      <c r="HI112" s="223">
        <f t="shared" si="1701"/>
        <v>5</v>
      </c>
      <c r="HJ112" s="223">
        <f t="shared" si="1701"/>
        <v>5</v>
      </c>
      <c r="HK112" s="223">
        <f t="shared" si="1701"/>
        <v>5</v>
      </c>
      <c r="HL112" s="223">
        <f t="shared" si="1701"/>
        <v>6</v>
      </c>
      <c r="HM112" s="223">
        <f t="shared" si="1701"/>
        <v>6</v>
      </c>
      <c r="HN112" s="223">
        <f t="shared" si="1701"/>
        <v>6</v>
      </c>
      <c r="HO112" s="223">
        <f t="shared" si="1701"/>
        <v>6</v>
      </c>
      <c r="HP112" s="223">
        <f t="shared" si="1701"/>
        <v>6</v>
      </c>
      <c r="HQ112" s="223">
        <f t="shared" ref="HQ112:KB112" si="1702">ROUNDUP(HQ113/12,0)</f>
        <v>6</v>
      </c>
      <c r="HR112" s="223">
        <f t="shared" si="1702"/>
        <v>6</v>
      </c>
      <c r="HS112" s="223">
        <f t="shared" si="1702"/>
        <v>6</v>
      </c>
      <c r="HT112" s="223">
        <f t="shared" si="1702"/>
        <v>6</v>
      </c>
      <c r="HU112" s="223">
        <f t="shared" si="1702"/>
        <v>6</v>
      </c>
      <c r="HV112" s="223">
        <f t="shared" si="1702"/>
        <v>6</v>
      </c>
      <c r="HW112" s="223">
        <f t="shared" si="1702"/>
        <v>6</v>
      </c>
      <c r="HX112" s="223">
        <f t="shared" si="1702"/>
        <v>7</v>
      </c>
      <c r="HY112" s="223">
        <f t="shared" si="1702"/>
        <v>7</v>
      </c>
      <c r="HZ112" s="223">
        <f t="shared" si="1702"/>
        <v>7</v>
      </c>
      <c r="IA112" s="223">
        <f t="shared" si="1702"/>
        <v>7</v>
      </c>
      <c r="IB112" s="223">
        <f t="shared" si="1702"/>
        <v>7</v>
      </c>
      <c r="IC112" s="223">
        <f t="shared" si="1702"/>
        <v>7</v>
      </c>
      <c r="ID112" s="223">
        <f t="shared" si="1702"/>
        <v>7</v>
      </c>
      <c r="IE112" s="223">
        <f t="shared" si="1702"/>
        <v>7</v>
      </c>
      <c r="IF112" s="223">
        <f t="shared" si="1702"/>
        <v>7</v>
      </c>
      <c r="IG112" s="223">
        <f t="shared" si="1702"/>
        <v>7</v>
      </c>
      <c r="IH112" s="223">
        <f t="shared" si="1702"/>
        <v>7</v>
      </c>
      <c r="II112" s="223">
        <f t="shared" si="1702"/>
        <v>7</v>
      </c>
      <c r="IJ112" s="223">
        <f t="shared" si="1702"/>
        <v>8</v>
      </c>
      <c r="IK112" s="223">
        <f t="shared" si="1702"/>
        <v>8</v>
      </c>
      <c r="IL112" s="223">
        <f t="shared" si="1702"/>
        <v>8</v>
      </c>
      <c r="IM112" s="223">
        <f t="shared" si="1702"/>
        <v>8</v>
      </c>
      <c r="IN112" s="223">
        <f t="shared" si="1702"/>
        <v>8</v>
      </c>
      <c r="IO112" s="223">
        <f t="shared" si="1702"/>
        <v>8</v>
      </c>
      <c r="IP112" s="223">
        <f t="shared" si="1702"/>
        <v>8</v>
      </c>
      <c r="IQ112" s="223">
        <f t="shared" si="1702"/>
        <v>8</v>
      </c>
      <c r="IR112" s="223">
        <f t="shared" si="1702"/>
        <v>8</v>
      </c>
      <c r="IS112" s="223">
        <f t="shared" si="1702"/>
        <v>8</v>
      </c>
      <c r="IT112" s="223">
        <f t="shared" si="1702"/>
        <v>8</v>
      </c>
      <c r="IU112" s="223">
        <f t="shared" si="1702"/>
        <v>8</v>
      </c>
      <c r="IV112" s="223">
        <f t="shared" si="1702"/>
        <v>9</v>
      </c>
      <c r="IW112" s="223">
        <f t="shared" si="1702"/>
        <v>9</v>
      </c>
      <c r="IX112" s="223">
        <f t="shared" si="1702"/>
        <v>9</v>
      </c>
      <c r="IY112" s="223">
        <f t="shared" si="1702"/>
        <v>9</v>
      </c>
      <c r="IZ112" s="223">
        <f t="shared" si="1702"/>
        <v>9</v>
      </c>
      <c r="JA112" s="223">
        <f t="shared" si="1702"/>
        <v>9</v>
      </c>
      <c r="JB112" s="223">
        <f t="shared" si="1702"/>
        <v>9</v>
      </c>
      <c r="JC112" s="223">
        <f t="shared" si="1702"/>
        <v>9</v>
      </c>
      <c r="JD112" s="223">
        <f t="shared" si="1702"/>
        <v>9</v>
      </c>
      <c r="JE112" s="223">
        <f t="shared" si="1702"/>
        <v>9</v>
      </c>
      <c r="JF112" s="223">
        <f t="shared" si="1702"/>
        <v>9</v>
      </c>
      <c r="JG112" s="223">
        <f t="shared" si="1702"/>
        <v>9</v>
      </c>
      <c r="JH112" s="223">
        <f t="shared" si="1702"/>
        <v>10</v>
      </c>
      <c r="JI112" s="223">
        <f t="shared" si="1702"/>
        <v>10</v>
      </c>
      <c r="JJ112" s="223">
        <f t="shared" si="1702"/>
        <v>10</v>
      </c>
      <c r="JK112" s="223">
        <f t="shared" si="1702"/>
        <v>10</v>
      </c>
      <c r="JL112" s="223">
        <f t="shared" si="1702"/>
        <v>10</v>
      </c>
      <c r="JM112" s="223">
        <f t="shared" si="1702"/>
        <v>10</v>
      </c>
      <c r="JN112" s="223">
        <f t="shared" si="1702"/>
        <v>10</v>
      </c>
      <c r="JO112" s="223">
        <f t="shared" si="1702"/>
        <v>10</v>
      </c>
      <c r="JP112" s="223">
        <f t="shared" si="1702"/>
        <v>10</v>
      </c>
      <c r="JQ112" s="223">
        <f t="shared" si="1702"/>
        <v>10</v>
      </c>
      <c r="JR112" s="223">
        <f t="shared" si="1702"/>
        <v>10</v>
      </c>
      <c r="JS112" s="223">
        <f t="shared" si="1702"/>
        <v>10</v>
      </c>
      <c r="JT112" s="223">
        <f t="shared" si="1702"/>
        <v>11</v>
      </c>
      <c r="JU112" s="223">
        <f t="shared" si="1702"/>
        <v>11</v>
      </c>
      <c r="JV112" s="223">
        <f t="shared" si="1702"/>
        <v>11</v>
      </c>
      <c r="JW112" s="223">
        <f t="shared" si="1702"/>
        <v>11</v>
      </c>
      <c r="JX112" s="223">
        <f t="shared" si="1702"/>
        <v>11</v>
      </c>
      <c r="JY112" s="223">
        <f t="shared" si="1702"/>
        <v>11</v>
      </c>
      <c r="JZ112" s="223">
        <f t="shared" si="1702"/>
        <v>11</v>
      </c>
      <c r="KA112" s="223">
        <f t="shared" si="1702"/>
        <v>11</v>
      </c>
      <c r="KB112" s="223">
        <f t="shared" si="1702"/>
        <v>11</v>
      </c>
      <c r="KC112" s="223">
        <f t="shared" ref="KC112:KE112" si="1703">ROUNDUP(KC113/12,0)</f>
        <v>11</v>
      </c>
      <c r="KD112" s="223">
        <f t="shared" si="1703"/>
        <v>11</v>
      </c>
      <c r="KE112" s="223">
        <f t="shared" si="1703"/>
        <v>11</v>
      </c>
      <c r="KG112" s="202" t="s">
        <v>175</v>
      </c>
      <c r="KH112" s="222" t="s">
        <v>176</v>
      </c>
      <c r="KM112" s="216" t="s">
        <v>169</v>
      </c>
      <c r="KN112" s="223">
        <f>ROUNDUP(KN113/12,0)</f>
        <v>1</v>
      </c>
      <c r="KO112" s="223">
        <f t="shared" ref="KO112:MZ112" si="1704">ROUNDUP(KO113/12,0)</f>
        <v>1</v>
      </c>
      <c r="KP112" s="223">
        <f t="shared" si="1704"/>
        <v>1</v>
      </c>
      <c r="KQ112" s="223">
        <f t="shared" si="1704"/>
        <v>1</v>
      </c>
      <c r="KR112" s="223">
        <f t="shared" si="1704"/>
        <v>1</v>
      </c>
      <c r="KS112" s="223">
        <f t="shared" si="1704"/>
        <v>1</v>
      </c>
      <c r="KT112" s="223">
        <f t="shared" si="1704"/>
        <v>1</v>
      </c>
      <c r="KU112" s="223">
        <f t="shared" si="1704"/>
        <v>1</v>
      </c>
      <c r="KV112" s="223">
        <f t="shared" si="1704"/>
        <v>1</v>
      </c>
      <c r="KW112" s="223">
        <f t="shared" si="1704"/>
        <v>1</v>
      </c>
      <c r="KX112" s="223">
        <f t="shared" si="1704"/>
        <v>1</v>
      </c>
      <c r="KY112" s="223">
        <f t="shared" si="1704"/>
        <v>1</v>
      </c>
      <c r="KZ112" s="223">
        <f t="shared" si="1704"/>
        <v>2</v>
      </c>
      <c r="LA112" s="223">
        <f t="shared" si="1704"/>
        <v>2</v>
      </c>
      <c r="LB112" s="223">
        <f t="shared" si="1704"/>
        <v>2</v>
      </c>
      <c r="LC112" s="223">
        <f t="shared" si="1704"/>
        <v>2</v>
      </c>
      <c r="LD112" s="223">
        <f t="shared" si="1704"/>
        <v>2</v>
      </c>
      <c r="LE112" s="223">
        <f t="shared" si="1704"/>
        <v>2</v>
      </c>
      <c r="LF112" s="223">
        <f t="shared" si="1704"/>
        <v>2</v>
      </c>
      <c r="LG112" s="223">
        <f t="shared" si="1704"/>
        <v>2</v>
      </c>
      <c r="LH112" s="223">
        <f t="shared" si="1704"/>
        <v>2</v>
      </c>
      <c r="LI112" s="223">
        <f t="shared" si="1704"/>
        <v>2</v>
      </c>
      <c r="LJ112" s="223">
        <f t="shared" si="1704"/>
        <v>2</v>
      </c>
      <c r="LK112" s="223">
        <f t="shared" si="1704"/>
        <v>2</v>
      </c>
      <c r="LL112" s="223">
        <f t="shared" si="1704"/>
        <v>3</v>
      </c>
      <c r="LM112" s="223">
        <f t="shared" si="1704"/>
        <v>3</v>
      </c>
      <c r="LN112" s="223">
        <f t="shared" si="1704"/>
        <v>3</v>
      </c>
      <c r="LO112" s="223">
        <f t="shared" si="1704"/>
        <v>3</v>
      </c>
      <c r="LP112" s="223">
        <f t="shared" si="1704"/>
        <v>3</v>
      </c>
      <c r="LQ112" s="223">
        <f t="shared" si="1704"/>
        <v>3</v>
      </c>
      <c r="LR112" s="223">
        <f t="shared" si="1704"/>
        <v>3</v>
      </c>
      <c r="LS112" s="223">
        <f t="shared" si="1704"/>
        <v>3</v>
      </c>
      <c r="LT112" s="223">
        <f t="shared" si="1704"/>
        <v>3</v>
      </c>
      <c r="LU112" s="223">
        <f t="shared" si="1704"/>
        <v>3</v>
      </c>
      <c r="LV112" s="223">
        <f t="shared" si="1704"/>
        <v>3</v>
      </c>
      <c r="LW112" s="223">
        <f t="shared" si="1704"/>
        <v>3</v>
      </c>
      <c r="LX112" s="223">
        <f t="shared" si="1704"/>
        <v>4</v>
      </c>
      <c r="LY112" s="223">
        <f t="shared" si="1704"/>
        <v>4</v>
      </c>
      <c r="LZ112" s="223">
        <f t="shared" si="1704"/>
        <v>4</v>
      </c>
      <c r="MA112" s="223">
        <f t="shared" si="1704"/>
        <v>4</v>
      </c>
      <c r="MB112" s="223">
        <f t="shared" si="1704"/>
        <v>4</v>
      </c>
      <c r="MC112" s="223">
        <f t="shared" si="1704"/>
        <v>4</v>
      </c>
      <c r="MD112" s="223">
        <f t="shared" si="1704"/>
        <v>4</v>
      </c>
      <c r="ME112" s="223">
        <f t="shared" si="1704"/>
        <v>4</v>
      </c>
      <c r="MF112" s="223">
        <f t="shared" si="1704"/>
        <v>4</v>
      </c>
      <c r="MG112" s="223">
        <f t="shared" si="1704"/>
        <v>4</v>
      </c>
      <c r="MH112" s="223">
        <f t="shared" si="1704"/>
        <v>4</v>
      </c>
      <c r="MI112" s="223">
        <f t="shared" si="1704"/>
        <v>4</v>
      </c>
      <c r="MJ112" s="223">
        <f t="shared" si="1704"/>
        <v>5</v>
      </c>
      <c r="MK112" s="223">
        <f t="shared" si="1704"/>
        <v>5</v>
      </c>
      <c r="ML112" s="223">
        <f t="shared" si="1704"/>
        <v>5</v>
      </c>
      <c r="MM112" s="223">
        <f t="shared" si="1704"/>
        <v>5</v>
      </c>
      <c r="MN112" s="223">
        <f t="shared" si="1704"/>
        <v>5</v>
      </c>
      <c r="MO112" s="223">
        <f t="shared" si="1704"/>
        <v>5</v>
      </c>
      <c r="MP112" s="223">
        <f t="shared" si="1704"/>
        <v>5</v>
      </c>
      <c r="MQ112" s="223">
        <f t="shared" si="1704"/>
        <v>5</v>
      </c>
      <c r="MR112" s="223">
        <f t="shared" si="1704"/>
        <v>5</v>
      </c>
      <c r="MS112" s="223">
        <f t="shared" si="1704"/>
        <v>5</v>
      </c>
      <c r="MT112" s="223">
        <f t="shared" si="1704"/>
        <v>5</v>
      </c>
      <c r="MU112" s="223">
        <f t="shared" si="1704"/>
        <v>5</v>
      </c>
      <c r="MV112" s="223">
        <f t="shared" si="1704"/>
        <v>6</v>
      </c>
      <c r="MW112" s="223">
        <f t="shared" si="1704"/>
        <v>6</v>
      </c>
      <c r="MX112" s="223">
        <f t="shared" si="1704"/>
        <v>6</v>
      </c>
      <c r="MY112" s="223">
        <f t="shared" si="1704"/>
        <v>6</v>
      </c>
      <c r="MZ112" s="223">
        <f t="shared" si="1704"/>
        <v>6</v>
      </c>
      <c r="NA112" s="223">
        <f t="shared" ref="NA112:PL112" si="1705">ROUNDUP(NA113/12,0)</f>
        <v>6</v>
      </c>
      <c r="NB112" s="223">
        <f t="shared" si="1705"/>
        <v>6</v>
      </c>
      <c r="NC112" s="223">
        <f t="shared" si="1705"/>
        <v>6</v>
      </c>
      <c r="ND112" s="223">
        <f t="shared" si="1705"/>
        <v>6</v>
      </c>
      <c r="NE112" s="223">
        <f t="shared" si="1705"/>
        <v>6</v>
      </c>
      <c r="NF112" s="223">
        <f t="shared" si="1705"/>
        <v>6</v>
      </c>
      <c r="NG112" s="223">
        <f t="shared" si="1705"/>
        <v>6</v>
      </c>
      <c r="NH112" s="223">
        <f t="shared" si="1705"/>
        <v>7</v>
      </c>
      <c r="NI112" s="223">
        <f t="shared" si="1705"/>
        <v>7</v>
      </c>
      <c r="NJ112" s="223">
        <f t="shared" si="1705"/>
        <v>7</v>
      </c>
      <c r="NK112" s="223">
        <f t="shared" si="1705"/>
        <v>7</v>
      </c>
      <c r="NL112" s="223">
        <f t="shared" si="1705"/>
        <v>7</v>
      </c>
      <c r="NM112" s="223">
        <f t="shared" si="1705"/>
        <v>7</v>
      </c>
      <c r="NN112" s="223">
        <f t="shared" si="1705"/>
        <v>7</v>
      </c>
      <c r="NO112" s="223">
        <f t="shared" si="1705"/>
        <v>7</v>
      </c>
      <c r="NP112" s="223">
        <f t="shared" si="1705"/>
        <v>7</v>
      </c>
      <c r="NQ112" s="223">
        <f t="shared" si="1705"/>
        <v>7</v>
      </c>
      <c r="NR112" s="223">
        <f t="shared" si="1705"/>
        <v>7</v>
      </c>
      <c r="NS112" s="223">
        <f t="shared" si="1705"/>
        <v>7</v>
      </c>
      <c r="NT112" s="223">
        <f t="shared" si="1705"/>
        <v>8</v>
      </c>
      <c r="NU112" s="223">
        <f t="shared" si="1705"/>
        <v>8</v>
      </c>
      <c r="NV112" s="223">
        <f t="shared" si="1705"/>
        <v>8</v>
      </c>
      <c r="NW112" s="223">
        <f t="shared" si="1705"/>
        <v>8</v>
      </c>
      <c r="NX112" s="223">
        <f t="shared" si="1705"/>
        <v>8</v>
      </c>
      <c r="NY112" s="223">
        <f t="shared" si="1705"/>
        <v>8</v>
      </c>
      <c r="NZ112" s="223">
        <f t="shared" si="1705"/>
        <v>8</v>
      </c>
      <c r="OA112" s="223">
        <f t="shared" si="1705"/>
        <v>8</v>
      </c>
      <c r="OB112" s="223">
        <f t="shared" si="1705"/>
        <v>8</v>
      </c>
      <c r="OC112" s="223">
        <f t="shared" si="1705"/>
        <v>8</v>
      </c>
      <c r="OD112" s="223">
        <f t="shared" si="1705"/>
        <v>8</v>
      </c>
      <c r="OE112" s="223">
        <f t="shared" si="1705"/>
        <v>8</v>
      </c>
      <c r="OF112" s="223">
        <f t="shared" si="1705"/>
        <v>9</v>
      </c>
      <c r="OG112" s="223">
        <f t="shared" si="1705"/>
        <v>9</v>
      </c>
      <c r="OH112" s="223">
        <f t="shared" si="1705"/>
        <v>9</v>
      </c>
      <c r="OI112" s="223">
        <f t="shared" si="1705"/>
        <v>9</v>
      </c>
      <c r="OJ112" s="223">
        <f t="shared" si="1705"/>
        <v>9</v>
      </c>
      <c r="OK112" s="223">
        <f t="shared" si="1705"/>
        <v>9</v>
      </c>
      <c r="OL112" s="223">
        <f t="shared" si="1705"/>
        <v>9</v>
      </c>
      <c r="OM112" s="223">
        <f t="shared" si="1705"/>
        <v>9</v>
      </c>
      <c r="ON112" s="223">
        <f t="shared" si="1705"/>
        <v>9</v>
      </c>
      <c r="OO112" s="223">
        <f t="shared" si="1705"/>
        <v>9</v>
      </c>
      <c r="OP112" s="223">
        <f t="shared" si="1705"/>
        <v>9</v>
      </c>
      <c r="OQ112" s="223">
        <f t="shared" si="1705"/>
        <v>9</v>
      </c>
      <c r="OR112" s="223">
        <f t="shared" si="1705"/>
        <v>10</v>
      </c>
      <c r="OS112" s="223">
        <f t="shared" si="1705"/>
        <v>10</v>
      </c>
      <c r="OT112" s="223">
        <f t="shared" si="1705"/>
        <v>10</v>
      </c>
      <c r="OU112" s="223">
        <f t="shared" si="1705"/>
        <v>10</v>
      </c>
      <c r="OV112" s="223">
        <f t="shared" si="1705"/>
        <v>10</v>
      </c>
      <c r="OW112" s="223">
        <f t="shared" si="1705"/>
        <v>10</v>
      </c>
      <c r="OX112" s="223">
        <f t="shared" si="1705"/>
        <v>10</v>
      </c>
      <c r="OY112" s="223">
        <f t="shared" si="1705"/>
        <v>10</v>
      </c>
      <c r="OZ112" s="223">
        <f t="shared" si="1705"/>
        <v>10</v>
      </c>
      <c r="PA112" s="223">
        <f t="shared" si="1705"/>
        <v>10</v>
      </c>
      <c r="PB112" s="223">
        <f t="shared" si="1705"/>
        <v>10</v>
      </c>
      <c r="PC112" s="223">
        <f t="shared" si="1705"/>
        <v>10</v>
      </c>
      <c r="PD112" s="223">
        <f t="shared" si="1705"/>
        <v>11</v>
      </c>
      <c r="PE112" s="223">
        <f t="shared" si="1705"/>
        <v>11</v>
      </c>
      <c r="PF112" s="223">
        <f t="shared" si="1705"/>
        <v>11</v>
      </c>
      <c r="PG112" s="223">
        <f t="shared" si="1705"/>
        <v>11</v>
      </c>
      <c r="PH112" s="223">
        <f t="shared" si="1705"/>
        <v>11</v>
      </c>
      <c r="PI112" s="223">
        <f t="shared" si="1705"/>
        <v>11</v>
      </c>
      <c r="PJ112" s="223">
        <f t="shared" si="1705"/>
        <v>11</v>
      </c>
      <c r="PK112" s="223">
        <f t="shared" si="1705"/>
        <v>11</v>
      </c>
      <c r="PL112" s="223">
        <f t="shared" si="1705"/>
        <v>11</v>
      </c>
      <c r="PM112" s="223">
        <f t="shared" ref="PM112:PO112" si="1706">ROUNDUP(PM113/12,0)</f>
        <v>11</v>
      </c>
      <c r="PN112" s="223">
        <f t="shared" si="1706"/>
        <v>11</v>
      </c>
      <c r="PO112" s="223">
        <f t="shared" si="1706"/>
        <v>11</v>
      </c>
      <c r="PQ112" s="199"/>
      <c r="PR112" s="216" t="s">
        <v>169</v>
      </c>
      <c r="PS112" s="223">
        <f>ROUNDUP(PS113/12,0)</f>
        <v>1</v>
      </c>
      <c r="PT112" s="223">
        <f t="shared" ref="PT112:SE112" si="1707">ROUNDUP(PT113/12,0)</f>
        <v>1</v>
      </c>
      <c r="PU112" s="223">
        <f t="shared" si="1707"/>
        <v>1</v>
      </c>
      <c r="PV112" s="223">
        <f t="shared" si="1707"/>
        <v>1</v>
      </c>
      <c r="PW112" s="223">
        <f t="shared" si="1707"/>
        <v>1</v>
      </c>
      <c r="PX112" s="223">
        <f t="shared" si="1707"/>
        <v>1</v>
      </c>
      <c r="PY112" s="223">
        <f t="shared" si="1707"/>
        <v>1</v>
      </c>
      <c r="PZ112" s="223">
        <f t="shared" si="1707"/>
        <v>1</v>
      </c>
      <c r="QA112" s="223">
        <f t="shared" si="1707"/>
        <v>1</v>
      </c>
      <c r="QB112" s="223">
        <f t="shared" si="1707"/>
        <v>1</v>
      </c>
      <c r="QC112" s="223">
        <f t="shared" si="1707"/>
        <v>1</v>
      </c>
      <c r="QD112" s="223">
        <f t="shared" si="1707"/>
        <v>1</v>
      </c>
      <c r="QE112" s="223">
        <f t="shared" si="1707"/>
        <v>2</v>
      </c>
      <c r="QF112" s="223">
        <f t="shared" si="1707"/>
        <v>2</v>
      </c>
      <c r="QG112" s="223">
        <f t="shared" si="1707"/>
        <v>2</v>
      </c>
      <c r="QH112" s="223">
        <f t="shared" si="1707"/>
        <v>2</v>
      </c>
      <c r="QI112" s="223">
        <f t="shared" si="1707"/>
        <v>2</v>
      </c>
      <c r="QJ112" s="223">
        <f t="shared" si="1707"/>
        <v>2</v>
      </c>
      <c r="QK112" s="223">
        <f t="shared" si="1707"/>
        <v>2</v>
      </c>
      <c r="QL112" s="223">
        <f t="shared" si="1707"/>
        <v>2</v>
      </c>
      <c r="QM112" s="223">
        <f t="shared" si="1707"/>
        <v>2</v>
      </c>
      <c r="QN112" s="223">
        <f t="shared" si="1707"/>
        <v>2</v>
      </c>
      <c r="QO112" s="223">
        <f t="shared" si="1707"/>
        <v>2</v>
      </c>
      <c r="QP112" s="223">
        <f t="shared" si="1707"/>
        <v>2</v>
      </c>
      <c r="QQ112" s="223">
        <f t="shared" si="1707"/>
        <v>3</v>
      </c>
      <c r="QR112" s="223">
        <f t="shared" si="1707"/>
        <v>3</v>
      </c>
      <c r="QS112" s="223">
        <f t="shared" si="1707"/>
        <v>3</v>
      </c>
      <c r="QT112" s="223">
        <f t="shared" si="1707"/>
        <v>3</v>
      </c>
      <c r="QU112" s="223">
        <f t="shared" si="1707"/>
        <v>3</v>
      </c>
      <c r="QV112" s="223">
        <f t="shared" si="1707"/>
        <v>3</v>
      </c>
      <c r="QW112" s="223">
        <f t="shared" si="1707"/>
        <v>3</v>
      </c>
      <c r="QX112" s="223">
        <f t="shared" si="1707"/>
        <v>3</v>
      </c>
      <c r="QY112" s="223">
        <f t="shared" si="1707"/>
        <v>3</v>
      </c>
      <c r="QZ112" s="223">
        <f t="shared" si="1707"/>
        <v>3</v>
      </c>
      <c r="RA112" s="223">
        <f t="shared" si="1707"/>
        <v>3</v>
      </c>
      <c r="RB112" s="223">
        <f t="shared" si="1707"/>
        <v>3</v>
      </c>
      <c r="RC112" s="223">
        <f t="shared" si="1707"/>
        <v>4</v>
      </c>
      <c r="RD112" s="223">
        <f t="shared" si="1707"/>
        <v>4</v>
      </c>
      <c r="RE112" s="223">
        <f t="shared" si="1707"/>
        <v>4</v>
      </c>
      <c r="RF112" s="223">
        <f t="shared" si="1707"/>
        <v>4</v>
      </c>
      <c r="RG112" s="223">
        <f t="shared" si="1707"/>
        <v>4</v>
      </c>
      <c r="RH112" s="223">
        <f t="shared" si="1707"/>
        <v>4</v>
      </c>
      <c r="RI112" s="223">
        <f t="shared" si="1707"/>
        <v>4</v>
      </c>
      <c r="RJ112" s="223">
        <f t="shared" si="1707"/>
        <v>4</v>
      </c>
      <c r="RK112" s="223">
        <f t="shared" si="1707"/>
        <v>4</v>
      </c>
      <c r="RL112" s="223">
        <f t="shared" si="1707"/>
        <v>4</v>
      </c>
      <c r="RM112" s="223">
        <f t="shared" si="1707"/>
        <v>4</v>
      </c>
      <c r="RN112" s="223">
        <f t="shared" si="1707"/>
        <v>4</v>
      </c>
      <c r="RO112" s="223">
        <f t="shared" si="1707"/>
        <v>5</v>
      </c>
      <c r="RP112" s="223">
        <f t="shared" si="1707"/>
        <v>5</v>
      </c>
      <c r="RQ112" s="223">
        <f t="shared" si="1707"/>
        <v>5</v>
      </c>
      <c r="RR112" s="223">
        <f t="shared" si="1707"/>
        <v>5</v>
      </c>
      <c r="RS112" s="223">
        <f t="shared" si="1707"/>
        <v>5</v>
      </c>
      <c r="RT112" s="223">
        <f t="shared" si="1707"/>
        <v>5</v>
      </c>
      <c r="RU112" s="223">
        <f t="shared" si="1707"/>
        <v>5</v>
      </c>
      <c r="RV112" s="223">
        <f t="shared" si="1707"/>
        <v>5</v>
      </c>
      <c r="RW112" s="223">
        <f t="shared" si="1707"/>
        <v>5</v>
      </c>
      <c r="RX112" s="223">
        <f t="shared" si="1707"/>
        <v>5</v>
      </c>
      <c r="RY112" s="223">
        <f t="shared" si="1707"/>
        <v>5</v>
      </c>
      <c r="RZ112" s="223">
        <f t="shared" si="1707"/>
        <v>5</v>
      </c>
      <c r="SA112" s="223">
        <f t="shared" si="1707"/>
        <v>6</v>
      </c>
      <c r="SB112" s="223">
        <f t="shared" si="1707"/>
        <v>6</v>
      </c>
      <c r="SC112" s="223">
        <f t="shared" si="1707"/>
        <v>6</v>
      </c>
      <c r="SD112" s="223">
        <f t="shared" si="1707"/>
        <v>6</v>
      </c>
      <c r="SE112" s="223">
        <f t="shared" si="1707"/>
        <v>6</v>
      </c>
      <c r="SF112" s="223">
        <f t="shared" ref="SF112:UQ112" si="1708">ROUNDUP(SF113/12,0)</f>
        <v>6</v>
      </c>
      <c r="SG112" s="223">
        <f t="shared" si="1708"/>
        <v>6</v>
      </c>
      <c r="SH112" s="223">
        <f t="shared" si="1708"/>
        <v>6</v>
      </c>
      <c r="SI112" s="223">
        <f t="shared" si="1708"/>
        <v>6</v>
      </c>
      <c r="SJ112" s="223">
        <f t="shared" si="1708"/>
        <v>6</v>
      </c>
      <c r="SK112" s="223">
        <f t="shared" si="1708"/>
        <v>6</v>
      </c>
      <c r="SL112" s="223">
        <f t="shared" si="1708"/>
        <v>6</v>
      </c>
      <c r="SM112" s="223">
        <f t="shared" si="1708"/>
        <v>7</v>
      </c>
      <c r="SN112" s="223">
        <f t="shared" si="1708"/>
        <v>7</v>
      </c>
      <c r="SO112" s="223">
        <f t="shared" si="1708"/>
        <v>7</v>
      </c>
      <c r="SP112" s="223">
        <f t="shared" si="1708"/>
        <v>7</v>
      </c>
      <c r="SQ112" s="223">
        <f t="shared" si="1708"/>
        <v>7</v>
      </c>
      <c r="SR112" s="223">
        <f t="shared" si="1708"/>
        <v>7</v>
      </c>
      <c r="SS112" s="223">
        <f t="shared" si="1708"/>
        <v>7</v>
      </c>
      <c r="ST112" s="223">
        <f t="shared" si="1708"/>
        <v>7</v>
      </c>
      <c r="SU112" s="223">
        <f t="shared" si="1708"/>
        <v>7</v>
      </c>
      <c r="SV112" s="223">
        <f t="shared" si="1708"/>
        <v>7</v>
      </c>
      <c r="SW112" s="223">
        <f t="shared" si="1708"/>
        <v>7</v>
      </c>
      <c r="SX112" s="223">
        <f t="shared" si="1708"/>
        <v>7</v>
      </c>
      <c r="SY112" s="223">
        <f t="shared" si="1708"/>
        <v>8</v>
      </c>
      <c r="SZ112" s="223">
        <f t="shared" si="1708"/>
        <v>8</v>
      </c>
      <c r="TA112" s="223">
        <f t="shared" si="1708"/>
        <v>8</v>
      </c>
      <c r="TB112" s="223">
        <f t="shared" si="1708"/>
        <v>8</v>
      </c>
      <c r="TC112" s="223">
        <f t="shared" si="1708"/>
        <v>8</v>
      </c>
      <c r="TD112" s="223">
        <f t="shared" si="1708"/>
        <v>8</v>
      </c>
      <c r="TE112" s="223">
        <f t="shared" si="1708"/>
        <v>8</v>
      </c>
      <c r="TF112" s="223">
        <f t="shared" si="1708"/>
        <v>8</v>
      </c>
      <c r="TG112" s="223">
        <f t="shared" si="1708"/>
        <v>8</v>
      </c>
      <c r="TH112" s="223">
        <f t="shared" si="1708"/>
        <v>8</v>
      </c>
      <c r="TI112" s="223">
        <f t="shared" si="1708"/>
        <v>8</v>
      </c>
      <c r="TJ112" s="223">
        <f t="shared" si="1708"/>
        <v>8</v>
      </c>
      <c r="TK112" s="223">
        <f t="shared" si="1708"/>
        <v>9</v>
      </c>
      <c r="TL112" s="223">
        <f t="shared" si="1708"/>
        <v>9</v>
      </c>
      <c r="TM112" s="223">
        <f t="shared" si="1708"/>
        <v>9</v>
      </c>
      <c r="TN112" s="223">
        <f t="shared" si="1708"/>
        <v>9</v>
      </c>
      <c r="TO112" s="223">
        <f t="shared" si="1708"/>
        <v>9</v>
      </c>
      <c r="TP112" s="223">
        <f t="shared" si="1708"/>
        <v>9</v>
      </c>
      <c r="TQ112" s="223">
        <f t="shared" si="1708"/>
        <v>9</v>
      </c>
      <c r="TR112" s="223">
        <f t="shared" si="1708"/>
        <v>9</v>
      </c>
      <c r="TS112" s="223">
        <f t="shared" si="1708"/>
        <v>9</v>
      </c>
      <c r="TT112" s="223">
        <f t="shared" si="1708"/>
        <v>9</v>
      </c>
      <c r="TU112" s="223">
        <f t="shared" si="1708"/>
        <v>9</v>
      </c>
      <c r="TV112" s="223">
        <f t="shared" si="1708"/>
        <v>9</v>
      </c>
      <c r="TW112" s="223">
        <f t="shared" si="1708"/>
        <v>10</v>
      </c>
      <c r="TX112" s="223">
        <f t="shared" si="1708"/>
        <v>10</v>
      </c>
      <c r="TY112" s="223">
        <f t="shared" si="1708"/>
        <v>10</v>
      </c>
      <c r="TZ112" s="223">
        <f t="shared" si="1708"/>
        <v>10</v>
      </c>
      <c r="UA112" s="223">
        <f t="shared" si="1708"/>
        <v>10</v>
      </c>
      <c r="UB112" s="223">
        <f t="shared" si="1708"/>
        <v>10</v>
      </c>
      <c r="UC112" s="223">
        <f t="shared" si="1708"/>
        <v>10</v>
      </c>
      <c r="UD112" s="223">
        <f t="shared" si="1708"/>
        <v>10</v>
      </c>
      <c r="UE112" s="223">
        <f t="shared" si="1708"/>
        <v>10</v>
      </c>
      <c r="UF112" s="223">
        <f t="shared" si="1708"/>
        <v>10</v>
      </c>
      <c r="UG112" s="223">
        <f t="shared" si="1708"/>
        <v>10</v>
      </c>
      <c r="UH112" s="223">
        <f t="shared" si="1708"/>
        <v>10</v>
      </c>
      <c r="UI112" s="223">
        <f t="shared" si="1708"/>
        <v>11</v>
      </c>
      <c r="UJ112" s="223">
        <f t="shared" si="1708"/>
        <v>11</v>
      </c>
      <c r="UK112" s="223">
        <f t="shared" si="1708"/>
        <v>11</v>
      </c>
      <c r="UL112" s="223">
        <f t="shared" si="1708"/>
        <v>11</v>
      </c>
      <c r="UM112" s="223">
        <f t="shared" si="1708"/>
        <v>11</v>
      </c>
      <c r="UN112" s="223">
        <f t="shared" si="1708"/>
        <v>11</v>
      </c>
      <c r="UO112" s="223">
        <f t="shared" si="1708"/>
        <v>11</v>
      </c>
      <c r="UP112" s="223">
        <f t="shared" si="1708"/>
        <v>11</v>
      </c>
      <c r="UQ112" s="223">
        <f t="shared" si="1708"/>
        <v>11</v>
      </c>
      <c r="UR112" s="223">
        <f t="shared" ref="UR112:UT112" si="1709">ROUNDUP(UR113/12,0)</f>
        <v>11</v>
      </c>
      <c r="US112" s="223">
        <f t="shared" si="1709"/>
        <v>11</v>
      </c>
      <c r="UT112" s="223">
        <f t="shared" si="1709"/>
        <v>11</v>
      </c>
      <c r="UU112" s="223"/>
    </row>
    <row r="113" spans="2:567" x14ac:dyDescent="0.25">
      <c r="B113" s="106" t="str">
        <f>Unit_Type&amp;" Type"</f>
        <v>Unit Type</v>
      </c>
      <c r="C113" s="29" t="str">
        <f>Unit_Type_Plural</f>
        <v>Units</v>
      </c>
      <c r="D113" s="29" t="str">
        <f>"Avg. "&amp;Unit_Measure</f>
        <v>Avg. SF</v>
      </c>
      <c r="E113" s="29" t="s">
        <v>179</v>
      </c>
      <c r="F113" s="111" t="str">
        <f>"Rent/"&amp;Unit_Measure&amp;"/Mo"</f>
        <v>Rent/SF/Mo</v>
      </c>
      <c r="G113" s="112" t="str">
        <f>"Rent/"&amp;Unit_Type&amp;"/Mo"</f>
        <v>Rent/Unit/Mo</v>
      </c>
      <c r="H113" s="111" t="str">
        <f>F113</f>
        <v>Rent/SF/Mo</v>
      </c>
      <c r="I113" s="112" t="str">
        <f>G113</f>
        <v>Rent/Unit/Mo</v>
      </c>
      <c r="J113" s="113" t="s">
        <v>162</v>
      </c>
      <c r="K113" s="113" t="s">
        <v>162</v>
      </c>
      <c r="R113" s="594" t="s">
        <v>819</v>
      </c>
      <c r="S113" s="266"/>
      <c r="T113" s="266">
        <f>$G$133-($G$133-$I$133)*T109</f>
        <v>0.01</v>
      </c>
      <c r="U113" s="266">
        <f t="shared" ref="U113:CF113" si="1710">$G$133-($G$133-$I$133)*U109</f>
        <v>0.01</v>
      </c>
      <c r="V113" s="266">
        <f t="shared" si="1710"/>
        <v>0.01</v>
      </c>
      <c r="W113" s="266">
        <f t="shared" si="1710"/>
        <v>0.01</v>
      </c>
      <c r="X113" s="266">
        <f t="shared" si="1710"/>
        <v>0.01</v>
      </c>
      <c r="Y113" s="266">
        <f t="shared" si="1710"/>
        <v>0.01</v>
      </c>
      <c r="Z113" s="266">
        <f t="shared" si="1710"/>
        <v>0.01</v>
      </c>
      <c r="AA113" s="266">
        <f t="shared" si="1710"/>
        <v>0.01</v>
      </c>
      <c r="AB113" s="266">
        <f t="shared" si="1710"/>
        <v>0.01</v>
      </c>
      <c r="AC113" s="266">
        <f t="shared" si="1710"/>
        <v>0.01</v>
      </c>
      <c r="AD113" s="266">
        <f t="shared" si="1710"/>
        <v>0.01</v>
      </c>
      <c r="AE113" s="266">
        <f t="shared" si="1710"/>
        <v>0.01</v>
      </c>
      <c r="AF113" s="266">
        <f t="shared" si="1710"/>
        <v>0.01</v>
      </c>
      <c r="AG113" s="266">
        <f t="shared" si="1710"/>
        <v>0.01</v>
      </c>
      <c r="AH113" s="266">
        <f t="shared" si="1710"/>
        <v>0.01</v>
      </c>
      <c r="AI113" s="266">
        <f t="shared" si="1710"/>
        <v>0.01</v>
      </c>
      <c r="AJ113" s="266">
        <f t="shared" si="1710"/>
        <v>0.01</v>
      </c>
      <c r="AK113" s="266">
        <f t="shared" si="1710"/>
        <v>0.01</v>
      </c>
      <c r="AL113" s="266">
        <f t="shared" si="1710"/>
        <v>0.01</v>
      </c>
      <c r="AM113" s="266">
        <f t="shared" si="1710"/>
        <v>0.01</v>
      </c>
      <c r="AN113" s="266">
        <f t="shared" si="1710"/>
        <v>0.01</v>
      </c>
      <c r="AO113" s="266">
        <f t="shared" si="1710"/>
        <v>0.01</v>
      </c>
      <c r="AP113" s="266">
        <f t="shared" si="1710"/>
        <v>0.01</v>
      </c>
      <c r="AQ113" s="266">
        <f t="shared" si="1710"/>
        <v>0.01</v>
      </c>
      <c r="AR113" s="266">
        <f t="shared" si="1710"/>
        <v>0.01</v>
      </c>
      <c r="AS113" s="266">
        <f t="shared" si="1710"/>
        <v>0.01</v>
      </c>
      <c r="AT113" s="266">
        <f t="shared" si="1710"/>
        <v>0.01</v>
      </c>
      <c r="AU113" s="266">
        <f t="shared" si="1710"/>
        <v>0.01</v>
      </c>
      <c r="AV113" s="266">
        <f t="shared" si="1710"/>
        <v>0.01</v>
      </c>
      <c r="AW113" s="266">
        <f t="shared" si="1710"/>
        <v>0.01</v>
      </c>
      <c r="AX113" s="266">
        <f t="shared" si="1710"/>
        <v>0.01</v>
      </c>
      <c r="AY113" s="266">
        <f t="shared" si="1710"/>
        <v>0.01</v>
      </c>
      <c r="AZ113" s="266">
        <f t="shared" si="1710"/>
        <v>0.01</v>
      </c>
      <c r="BA113" s="266">
        <f t="shared" si="1710"/>
        <v>0.01</v>
      </c>
      <c r="BB113" s="266">
        <f t="shared" si="1710"/>
        <v>0.01</v>
      </c>
      <c r="BC113" s="266">
        <f t="shared" si="1710"/>
        <v>0.01</v>
      </c>
      <c r="BD113" s="266">
        <f t="shared" si="1710"/>
        <v>0.01</v>
      </c>
      <c r="BE113" s="266">
        <f t="shared" si="1710"/>
        <v>0.01</v>
      </c>
      <c r="BF113" s="266">
        <f t="shared" si="1710"/>
        <v>0.01</v>
      </c>
      <c r="BG113" s="266">
        <f t="shared" si="1710"/>
        <v>0.01</v>
      </c>
      <c r="BH113" s="266">
        <f t="shared" si="1710"/>
        <v>0.01</v>
      </c>
      <c r="BI113" s="266">
        <f t="shared" si="1710"/>
        <v>0.01</v>
      </c>
      <c r="BJ113" s="266">
        <f t="shared" si="1710"/>
        <v>0.01</v>
      </c>
      <c r="BK113" s="266">
        <f t="shared" si="1710"/>
        <v>0.01</v>
      </c>
      <c r="BL113" s="266">
        <f t="shared" si="1710"/>
        <v>0.01</v>
      </c>
      <c r="BM113" s="266">
        <f t="shared" si="1710"/>
        <v>0.01</v>
      </c>
      <c r="BN113" s="266">
        <f t="shared" si="1710"/>
        <v>0.01</v>
      </c>
      <c r="BO113" s="266">
        <f t="shared" si="1710"/>
        <v>0.01</v>
      </c>
      <c r="BP113" s="266">
        <f t="shared" si="1710"/>
        <v>0.01</v>
      </c>
      <c r="BQ113" s="266">
        <f t="shared" si="1710"/>
        <v>0.01</v>
      </c>
      <c r="BR113" s="266">
        <f t="shared" si="1710"/>
        <v>0.01</v>
      </c>
      <c r="BS113" s="266">
        <f t="shared" si="1710"/>
        <v>0.01</v>
      </c>
      <c r="BT113" s="266">
        <f t="shared" si="1710"/>
        <v>0.01</v>
      </c>
      <c r="BU113" s="266">
        <f t="shared" si="1710"/>
        <v>0.01</v>
      </c>
      <c r="BV113" s="266">
        <f t="shared" si="1710"/>
        <v>0.01</v>
      </c>
      <c r="BW113" s="266">
        <f t="shared" si="1710"/>
        <v>0.01</v>
      </c>
      <c r="BX113" s="266">
        <f t="shared" si="1710"/>
        <v>0.01</v>
      </c>
      <c r="BY113" s="266">
        <f t="shared" si="1710"/>
        <v>0.01</v>
      </c>
      <c r="BZ113" s="266">
        <f t="shared" si="1710"/>
        <v>0.01</v>
      </c>
      <c r="CA113" s="266">
        <f t="shared" si="1710"/>
        <v>0.01</v>
      </c>
      <c r="CB113" s="266">
        <f t="shared" si="1710"/>
        <v>0.01</v>
      </c>
      <c r="CC113" s="266">
        <f t="shared" si="1710"/>
        <v>0.01</v>
      </c>
      <c r="CD113" s="266">
        <f t="shared" si="1710"/>
        <v>0.01</v>
      </c>
      <c r="CE113" s="266">
        <f t="shared" si="1710"/>
        <v>0.01</v>
      </c>
      <c r="CF113" s="266">
        <f t="shared" si="1710"/>
        <v>0.01</v>
      </c>
      <c r="CG113" s="266">
        <f t="shared" ref="CG113:ER113" si="1711">$G$133-($G$133-$I$133)*CG109</f>
        <v>0.01</v>
      </c>
      <c r="CH113" s="266">
        <f t="shared" si="1711"/>
        <v>0.01</v>
      </c>
      <c r="CI113" s="266">
        <f t="shared" si="1711"/>
        <v>0.01</v>
      </c>
      <c r="CJ113" s="266">
        <f t="shared" si="1711"/>
        <v>0.01</v>
      </c>
      <c r="CK113" s="266">
        <f t="shared" si="1711"/>
        <v>0.01</v>
      </c>
      <c r="CL113" s="266">
        <f t="shared" si="1711"/>
        <v>0.01</v>
      </c>
      <c r="CM113" s="266">
        <f t="shared" si="1711"/>
        <v>0.01</v>
      </c>
      <c r="CN113" s="266">
        <f t="shared" si="1711"/>
        <v>0.01</v>
      </c>
      <c r="CO113" s="266">
        <f t="shared" si="1711"/>
        <v>0.01</v>
      </c>
      <c r="CP113" s="266">
        <f t="shared" si="1711"/>
        <v>0.01</v>
      </c>
      <c r="CQ113" s="266">
        <f t="shared" si="1711"/>
        <v>0.01</v>
      </c>
      <c r="CR113" s="266">
        <f t="shared" si="1711"/>
        <v>0.01</v>
      </c>
      <c r="CS113" s="266">
        <f t="shared" si="1711"/>
        <v>0.01</v>
      </c>
      <c r="CT113" s="266">
        <f t="shared" si="1711"/>
        <v>0.01</v>
      </c>
      <c r="CU113" s="266">
        <f t="shared" si="1711"/>
        <v>0.01</v>
      </c>
      <c r="CV113" s="266">
        <f t="shared" si="1711"/>
        <v>0.01</v>
      </c>
      <c r="CW113" s="266">
        <f t="shared" si="1711"/>
        <v>0.01</v>
      </c>
      <c r="CX113" s="266">
        <f t="shared" si="1711"/>
        <v>0.01</v>
      </c>
      <c r="CY113" s="266">
        <f t="shared" si="1711"/>
        <v>0.01</v>
      </c>
      <c r="CZ113" s="266">
        <f t="shared" si="1711"/>
        <v>0.01</v>
      </c>
      <c r="DA113" s="266">
        <f t="shared" si="1711"/>
        <v>0.01</v>
      </c>
      <c r="DB113" s="266">
        <f t="shared" si="1711"/>
        <v>0.01</v>
      </c>
      <c r="DC113" s="266">
        <f t="shared" si="1711"/>
        <v>0.01</v>
      </c>
      <c r="DD113" s="266">
        <f t="shared" si="1711"/>
        <v>0.01</v>
      </c>
      <c r="DE113" s="266">
        <f t="shared" si="1711"/>
        <v>0.01</v>
      </c>
      <c r="DF113" s="266">
        <f t="shared" si="1711"/>
        <v>0.01</v>
      </c>
      <c r="DG113" s="266">
        <f t="shared" si="1711"/>
        <v>0.01</v>
      </c>
      <c r="DH113" s="266">
        <f t="shared" si="1711"/>
        <v>0.01</v>
      </c>
      <c r="DI113" s="266">
        <f t="shared" si="1711"/>
        <v>0.01</v>
      </c>
      <c r="DJ113" s="266">
        <f t="shared" si="1711"/>
        <v>0.01</v>
      </c>
      <c r="DK113" s="266">
        <f t="shared" si="1711"/>
        <v>0.01</v>
      </c>
      <c r="DL113" s="266">
        <f t="shared" si="1711"/>
        <v>0.01</v>
      </c>
      <c r="DM113" s="266">
        <f t="shared" si="1711"/>
        <v>0.01</v>
      </c>
      <c r="DN113" s="266">
        <f t="shared" si="1711"/>
        <v>0.01</v>
      </c>
      <c r="DO113" s="266">
        <f t="shared" si="1711"/>
        <v>0.01</v>
      </c>
      <c r="DP113" s="266">
        <f t="shared" si="1711"/>
        <v>0.01</v>
      </c>
      <c r="DQ113" s="266">
        <f t="shared" si="1711"/>
        <v>0.01</v>
      </c>
      <c r="DR113" s="266">
        <f t="shared" si="1711"/>
        <v>0.01</v>
      </c>
      <c r="DS113" s="266">
        <f t="shared" si="1711"/>
        <v>0.01</v>
      </c>
      <c r="DT113" s="266">
        <f t="shared" si="1711"/>
        <v>0.01</v>
      </c>
      <c r="DU113" s="266">
        <f t="shared" si="1711"/>
        <v>0.01</v>
      </c>
      <c r="DV113" s="266">
        <f t="shared" si="1711"/>
        <v>0.01</v>
      </c>
      <c r="DW113" s="266">
        <f t="shared" si="1711"/>
        <v>0.01</v>
      </c>
      <c r="DX113" s="266">
        <f t="shared" si="1711"/>
        <v>0.01</v>
      </c>
      <c r="DY113" s="266">
        <f t="shared" si="1711"/>
        <v>0.01</v>
      </c>
      <c r="DZ113" s="266">
        <f t="shared" si="1711"/>
        <v>0.01</v>
      </c>
      <c r="EA113" s="266">
        <f t="shared" si="1711"/>
        <v>0.01</v>
      </c>
      <c r="EB113" s="266">
        <f t="shared" si="1711"/>
        <v>0.01</v>
      </c>
      <c r="EC113" s="266">
        <f t="shared" si="1711"/>
        <v>0.01</v>
      </c>
      <c r="ED113" s="266">
        <f t="shared" si="1711"/>
        <v>0.01</v>
      </c>
      <c r="EE113" s="266">
        <f t="shared" si="1711"/>
        <v>0.01</v>
      </c>
      <c r="EF113" s="266">
        <f t="shared" si="1711"/>
        <v>0.01</v>
      </c>
      <c r="EG113" s="266">
        <f t="shared" si="1711"/>
        <v>0.01</v>
      </c>
      <c r="EH113" s="266">
        <f t="shared" si="1711"/>
        <v>0.01</v>
      </c>
      <c r="EI113" s="266">
        <f t="shared" si="1711"/>
        <v>0.01</v>
      </c>
      <c r="EJ113" s="266">
        <f t="shared" si="1711"/>
        <v>0.01</v>
      </c>
      <c r="EK113" s="266">
        <f t="shared" si="1711"/>
        <v>0.01</v>
      </c>
      <c r="EL113" s="266">
        <f t="shared" si="1711"/>
        <v>0.01</v>
      </c>
      <c r="EM113" s="266">
        <f t="shared" si="1711"/>
        <v>0.01</v>
      </c>
      <c r="EN113" s="266">
        <f t="shared" si="1711"/>
        <v>0.01</v>
      </c>
      <c r="EO113" s="266">
        <f t="shared" si="1711"/>
        <v>0.01</v>
      </c>
      <c r="EP113" s="266">
        <f t="shared" si="1711"/>
        <v>0.01</v>
      </c>
      <c r="EQ113" s="266">
        <f t="shared" si="1711"/>
        <v>0.01</v>
      </c>
      <c r="ER113" s="266">
        <f t="shared" si="1711"/>
        <v>0.01</v>
      </c>
      <c r="ES113" s="266">
        <f t="shared" ref="ES113:EU113" si="1712">$G$133-($G$133-$I$133)*ES109</f>
        <v>0.01</v>
      </c>
      <c r="ET113" s="266">
        <f t="shared" si="1712"/>
        <v>0.01</v>
      </c>
      <c r="EU113" s="266">
        <f t="shared" si="1712"/>
        <v>0.01</v>
      </c>
      <c r="EW113" s="215" t="s">
        <v>161</v>
      </c>
      <c r="EX113" s="201"/>
      <c r="EY113" s="199" t="s">
        <v>675</v>
      </c>
      <c r="EZ113" s="199">
        <f>COUNTA(K114:K119)</f>
        <v>6</v>
      </c>
      <c r="FA113" s="224"/>
      <c r="FB113" s="224"/>
      <c r="FC113" s="215" t="s">
        <v>180</v>
      </c>
      <c r="FD113" s="204">
        <v>1</v>
      </c>
      <c r="FE113" s="204">
        <f t="shared" ref="FE113" si="1713">+FD113+1</f>
        <v>2</v>
      </c>
      <c r="FF113" s="204">
        <f t="shared" ref="FF113" si="1714">+FE113+1</f>
        <v>3</v>
      </c>
      <c r="FG113" s="204">
        <f t="shared" ref="FG113" si="1715">+FF113+1</f>
        <v>4</v>
      </c>
      <c r="FH113" s="204">
        <f t="shared" ref="FH113" si="1716">+FG113+1</f>
        <v>5</v>
      </c>
      <c r="FI113" s="204">
        <f t="shared" ref="FI113" si="1717">+FH113+1</f>
        <v>6</v>
      </c>
      <c r="FJ113" s="204">
        <f t="shared" ref="FJ113" si="1718">+FI113+1</f>
        <v>7</v>
      </c>
      <c r="FK113" s="204">
        <f t="shared" ref="FK113" si="1719">+FJ113+1</f>
        <v>8</v>
      </c>
      <c r="FL113" s="204">
        <f t="shared" ref="FL113" si="1720">+FK113+1</f>
        <v>9</v>
      </c>
      <c r="FM113" s="204">
        <f t="shared" ref="FM113" si="1721">+FL113+1</f>
        <v>10</v>
      </c>
      <c r="FN113" s="204">
        <f t="shared" ref="FN113" si="1722">+FM113+1</f>
        <v>11</v>
      </c>
      <c r="FO113" s="204">
        <f t="shared" ref="FO113" si="1723">+FN113+1</f>
        <v>12</v>
      </c>
      <c r="FP113" s="204">
        <f t="shared" ref="FP113" si="1724">+FO113+1</f>
        <v>13</v>
      </c>
      <c r="FQ113" s="204">
        <f t="shared" ref="FQ113" si="1725">+FP113+1</f>
        <v>14</v>
      </c>
      <c r="FR113" s="204">
        <f t="shared" ref="FR113" si="1726">+FQ113+1</f>
        <v>15</v>
      </c>
      <c r="FS113" s="204">
        <f t="shared" ref="FS113" si="1727">+FR113+1</f>
        <v>16</v>
      </c>
      <c r="FT113" s="204">
        <f t="shared" ref="FT113" si="1728">+FS113+1</f>
        <v>17</v>
      </c>
      <c r="FU113" s="204">
        <f t="shared" ref="FU113" si="1729">+FT113+1</f>
        <v>18</v>
      </c>
      <c r="FV113" s="204">
        <f t="shared" ref="FV113" si="1730">+FU113+1</f>
        <v>19</v>
      </c>
      <c r="FW113" s="204">
        <f t="shared" ref="FW113" si="1731">+FV113+1</f>
        <v>20</v>
      </c>
      <c r="FX113" s="204">
        <f t="shared" ref="FX113" si="1732">+FW113+1</f>
        <v>21</v>
      </c>
      <c r="FY113" s="204">
        <f t="shared" ref="FY113" si="1733">+FX113+1</f>
        <v>22</v>
      </c>
      <c r="FZ113" s="204">
        <f t="shared" ref="FZ113" si="1734">+FY113+1</f>
        <v>23</v>
      </c>
      <c r="GA113" s="204">
        <f t="shared" ref="GA113" si="1735">+FZ113+1</f>
        <v>24</v>
      </c>
      <c r="GB113" s="204">
        <f t="shared" ref="GB113" si="1736">+GA113+1</f>
        <v>25</v>
      </c>
      <c r="GC113" s="204">
        <f t="shared" ref="GC113" si="1737">+GB113+1</f>
        <v>26</v>
      </c>
      <c r="GD113" s="204">
        <f t="shared" ref="GD113" si="1738">+GC113+1</f>
        <v>27</v>
      </c>
      <c r="GE113" s="204">
        <f t="shared" ref="GE113" si="1739">+GD113+1</f>
        <v>28</v>
      </c>
      <c r="GF113" s="204">
        <f t="shared" ref="GF113" si="1740">+GE113+1</f>
        <v>29</v>
      </c>
      <c r="GG113" s="204">
        <f t="shared" ref="GG113" si="1741">+GF113+1</f>
        <v>30</v>
      </c>
      <c r="GH113" s="204">
        <f t="shared" ref="GH113" si="1742">+GG113+1</f>
        <v>31</v>
      </c>
      <c r="GI113" s="204">
        <f t="shared" ref="GI113" si="1743">+GH113+1</f>
        <v>32</v>
      </c>
      <c r="GJ113" s="204">
        <f t="shared" ref="GJ113" si="1744">+GI113+1</f>
        <v>33</v>
      </c>
      <c r="GK113" s="204">
        <f t="shared" ref="GK113" si="1745">+GJ113+1</f>
        <v>34</v>
      </c>
      <c r="GL113" s="204">
        <f t="shared" ref="GL113" si="1746">+GK113+1</f>
        <v>35</v>
      </c>
      <c r="GM113" s="204">
        <f t="shared" ref="GM113" si="1747">+GL113+1</f>
        <v>36</v>
      </c>
      <c r="GN113" s="204">
        <f t="shared" ref="GN113" si="1748">+GM113+1</f>
        <v>37</v>
      </c>
      <c r="GO113" s="204">
        <f t="shared" ref="GO113" si="1749">+GN113+1</f>
        <v>38</v>
      </c>
      <c r="GP113" s="204">
        <f t="shared" ref="GP113" si="1750">+GO113+1</f>
        <v>39</v>
      </c>
      <c r="GQ113" s="204">
        <f t="shared" ref="GQ113" si="1751">+GP113+1</f>
        <v>40</v>
      </c>
      <c r="GR113" s="204">
        <f t="shared" ref="GR113" si="1752">+GQ113+1</f>
        <v>41</v>
      </c>
      <c r="GS113" s="204">
        <f t="shared" ref="GS113" si="1753">+GR113+1</f>
        <v>42</v>
      </c>
      <c r="GT113" s="204">
        <f t="shared" ref="GT113" si="1754">+GS113+1</f>
        <v>43</v>
      </c>
      <c r="GU113" s="204">
        <f t="shared" ref="GU113" si="1755">+GT113+1</f>
        <v>44</v>
      </c>
      <c r="GV113" s="204">
        <f t="shared" ref="GV113" si="1756">+GU113+1</f>
        <v>45</v>
      </c>
      <c r="GW113" s="204">
        <f t="shared" ref="GW113" si="1757">+GV113+1</f>
        <v>46</v>
      </c>
      <c r="GX113" s="204">
        <f t="shared" ref="GX113" si="1758">+GW113+1</f>
        <v>47</v>
      </c>
      <c r="GY113" s="204">
        <f t="shared" ref="GY113" si="1759">+GX113+1</f>
        <v>48</v>
      </c>
      <c r="GZ113" s="204">
        <f t="shared" ref="GZ113" si="1760">+GY113+1</f>
        <v>49</v>
      </c>
      <c r="HA113" s="204">
        <f t="shared" ref="HA113" si="1761">+GZ113+1</f>
        <v>50</v>
      </c>
      <c r="HB113" s="204">
        <f t="shared" ref="HB113" si="1762">+HA113+1</f>
        <v>51</v>
      </c>
      <c r="HC113" s="204">
        <f t="shared" ref="HC113" si="1763">+HB113+1</f>
        <v>52</v>
      </c>
      <c r="HD113" s="204">
        <f t="shared" ref="HD113" si="1764">+HC113+1</f>
        <v>53</v>
      </c>
      <c r="HE113" s="204">
        <f t="shared" ref="HE113" si="1765">+HD113+1</f>
        <v>54</v>
      </c>
      <c r="HF113" s="204">
        <f t="shared" ref="HF113" si="1766">+HE113+1</f>
        <v>55</v>
      </c>
      <c r="HG113" s="204">
        <f t="shared" ref="HG113" si="1767">+HF113+1</f>
        <v>56</v>
      </c>
      <c r="HH113" s="204">
        <f t="shared" ref="HH113" si="1768">+HG113+1</f>
        <v>57</v>
      </c>
      <c r="HI113" s="204">
        <f t="shared" ref="HI113" si="1769">+HH113+1</f>
        <v>58</v>
      </c>
      <c r="HJ113" s="204">
        <f t="shared" ref="HJ113" si="1770">+HI113+1</f>
        <v>59</v>
      </c>
      <c r="HK113" s="204">
        <f t="shared" ref="HK113" si="1771">+HJ113+1</f>
        <v>60</v>
      </c>
      <c r="HL113" s="204">
        <f t="shared" ref="HL113" si="1772">+HK113+1</f>
        <v>61</v>
      </c>
      <c r="HM113" s="204">
        <f t="shared" ref="HM113" si="1773">+HL113+1</f>
        <v>62</v>
      </c>
      <c r="HN113" s="204">
        <f t="shared" ref="HN113" si="1774">+HM113+1</f>
        <v>63</v>
      </c>
      <c r="HO113" s="204">
        <f t="shared" ref="HO113" si="1775">+HN113+1</f>
        <v>64</v>
      </c>
      <c r="HP113" s="204">
        <f t="shared" ref="HP113" si="1776">+HO113+1</f>
        <v>65</v>
      </c>
      <c r="HQ113" s="204">
        <f t="shared" ref="HQ113" si="1777">+HP113+1</f>
        <v>66</v>
      </c>
      <c r="HR113" s="204">
        <f t="shared" ref="HR113" si="1778">+HQ113+1</f>
        <v>67</v>
      </c>
      <c r="HS113" s="204">
        <f t="shared" ref="HS113" si="1779">+HR113+1</f>
        <v>68</v>
      </c>
      <c r="HT113" s="204">
        <f t="shared" ref="HT113" si="1780">+HS113+1</f>
        <v>69</v>
      </c>
      <c r="HU113" s="204">
        <f t="shared" ref="HU113" si="1781">+HT113+1</f>
        <v>70</v>
      </c>
      <c r="HV113" s="204">
        <f t="shared" ref="HV113" si="1782">+HU113+1</f>
        <v>71</v>
      </c>
      <c r="HW113" s="204">
        <f t="shared" ref="HW113" si="1783">+HV113+1</f>
        <v>72</v>
      </c>
      <c r="HX113" s="204">
        <f t="shared" ref="HX113" si="1784">+HW113+1</f>
        <v>73</v>
      </c>
      <c r="HY113" s="204">
        <f t="shared" ref="HY113" si="1785">+HX113+1</f>
        <v>74</v>
      </c>
      <c r="HZ113" s="204">
        <f t="shared" ref="HZ113" si="1786">+HY113+1</f>
        <v>75</v>
      </c>
      <c r="IA113" s="204">
        <f t="shared" ref="IA113" si="1787">+HZ113+1</f>
        <v>76</v>
      </c>
      <c r="IB113" s="204">
        <f t="shared" ref="IB113" si="1788">+IA113+1</f>
        <v>77</v>
      </c>
      <c r="IC113" s="204">
        <f t="shared" ref="IC113" si="1789">+IB113+1</f>
        <v>78</v>
      </c>
      <c r="ID113" s="204">
        <f t="shared" ref="ID113" si="1790">+IC113+1</f>
        <v>79</v>
      </c>
      <c r="IE113" s="204">
        <f t="shared" ref="IE113" si="1791">+ID113+1</f>
        <v>80</v>
      </c>
      <c r="IF113" s="204">
        <f t="shared" ref="IF113" si="1792">+IE113+1</f>
        <v>81</v>
      </c>
      <c r="IG113" s="204">
        <f t="shared" ref="IG113" si="1793">+IF113+1</f>
        <v>82</v>
      </c>
      <c r="IH113" s="204">
        <f t="shared" ref="IH113" si="1794">+IG113+1</f>
        <v>83</v>
      </c>
      <c r="II113" s="204">
        <f t="shared" ref="II113" si="1795">+IH113+1</f>
        <v>84</v>
      </c>
      <c r="IJ113" s="204">
        <f t="shared" ref="IJ113" si="1796">+II113+1</f>
        <v>85</v>
      </c>
      <c r="IK113" s="204">
        <f t="shared" ref="IK113" si="1797">+IJ113+1</f>
        <v>86</v>
      </c>
      <c r="IL113" s="204">
        <f t="shared" ref="IL113" si="1798">+IK113+1</f>
        <v>87</v>
      </c>
      <c r="IM113" s="204">
        <f t="shared" ref="IM113" si="1799">+IL113+1</f>
        <v>88</v>
      </c>
      <c r="IN113" s="204">
        <f t="shared" ref="IN113" si="1800">+IM113+1</f>
        <v>89</v>
      </c>
      <c r="IO113" s="204">
        <f t="shared" ref="IO113" si="1801">+IN113+1</f>
        <v>90</v>
      </c>
      <c r="IP113" s="204">
        <f t="shared" ref="IP113" si="1802">+IO113+1</f>
        <v>91</v>
      </c>
      <c r="IQ113" s="204">
        <f t="shared" ref="IQ113" si="1803">+IP113+1</f>
        <v>92</v>
      </c>
      <c r="IR113" s="204">
        <f t="shared" ref="IR113" si="1804">+IQ113+1</f>
        <v>93</v>
      </c>
      <c r="IS113" s="204">
        <f t="shared" ref="IS113" si="1805">+IR113+1</f>
        <v>94</v>
      </c>
      <c r="IT113" s="204">
        <f t="shared" ref="IT113" si="1806">+IS113+1</f>
        <v>95</v>
      </c>
      <c r="IU113" s="204">
        <f t="shared" ref="IU113" si="1807">+IT113+1</f>
        <v>96</v>
      </c>
      <c r="IV113" s="204">
        <f t="shared" ref="IV113" si="1808">+IU113+1</f>
        <v>97</v>
      </c>
      <c r="IW113" s="204">
        <f t="shared" ref="IW113" si="1809">+IV113+1</f>
        <v>98</v>
      </c>
      <c r="IX113" s="204">
        <f t="shared" ref="IX113" si="1810">+IW113+1</f>
        <v>99</v>
      </c>
      <c r="IY113" s="204">
        <f t="shared" ref="IY113" si="1811">+IX113+1</f>
        <v>100</v>
      </c>
      <c r="IZ113" s="204">
        <f t="shared" ref="IZ113" si="1812">+IY113+1</f>
        <v>101</v>
      </c>
      <c r="JA113" s="204">
        <f t="shared" ref="JA113" si="1813">+IZ113+1</f>
        <v>102</v>
      </c>
      <c r="JB113" s="204">
        <f t="shared" ref="JB113" si="1814">+JA113+1</f>
        <v>103</v>
      </c>
      <c r="JC113" s="204">
        <f t="shared" ref="JC113" si="1815">+JB113+1</f>
        <v>104</v>
      </c>
      <c r="JD113" s="204">
        <f t="shared" ref="JD113" si="1816">+JC113+1</f>
        <v>105</v>
      </c>
      <c r="JE113" s="204">
        <f t="shared" ref="JE113" si="1817">+JD113+1</f>
        <v>106</v>
      </c>
      <c r="JF113" s="204">
        <f t="shared" ref="JF113" si="1818">+JE113+1</f>
        <v>107</v>
      </c>
      <c r="JG113" s="204">
        <f t="shared" ref="JG113" si="1819">+JF113+1</f>
        <v>108</v>
      </c>
      <c r="JH113" s="204">
        <f t="shared" ref="JH113" si="1820">+JG113+1</f>
        <v>109</v>
      </c>
      <c r="JI113" s="204">
        <f t="shared" ref="JI113" si="1821">+JH113+1</f>
        <v>110</v>
      </c>
      <c r="JJ113" s="204">
        <f t="shared" ref="JJ113" si="1822">+JI113+1</f>
        <v>111</v>
      </c>
      <c r="JK113" s="204">
        <f t="shared" ref="JK113" si="1823">+JJ113+1</f>
        <v>112</v>
      </c>
      <c r="JL113" s="204">
        <f t="shared" ref="JL113" si="1824">+JK113+1</f>
        <v>113</v>
      </c>
      <c r="JM113" s="204">
        <f t="shared" ref="JM113" si="1825">+JL113+1</f>
        <v>114</v>
      </c>
      <c r="JN113" s="204">
        <f t="shared" ref="JN113" si="1826">+JM113+1</f>
        <v>115</v>
      </c>
      <c r="JO113" s="204">
        <f t="shared" ref="JO113" si="1827">+JN113+1</f>
        <v>116</v>
      </c>
      <c r="JP113" s="204">
        <f t="shared" ref="JP113" si="1828">+JO113+1</f>
        <v>117</v>
      </c>
      <c r="JQ113" s="204">
        <f t="shared" ref="JQ113" si="1829">+JP113+1</f>
        <v>118</v>
      </c>
      <c r="JR113" s="204">
        <f t="shared" ref="JR113" si="1830">+JQ113+1</f>
        <v>119</v>
      </c>
      <c r="JS113" s="204">
        <f t="shared" ref="JS113" si="1831">+JR113+1</f>
        <v>120</v>
      </c>
      <c r="JT113" s="204">
        <f t="shared" ref="JT113" si="1832">+JS113+1</f>
        <v>121</v>
      </c>
      <c r="JU113" s="204">
        <f t="shared" ref="JU113" si="1833">+JT113+1</f>
        <v>122</v>
      </c>
      <c r="JV113" s="204">
        <f t="shared" ref="JV113" si="1834">+JU113+1</f>
        <v>123</v>
      </c>
      <c r="JW113" s="204">
        <f t="shared" ref="JW113" si="1835">+JV113+1</f>
        <v>124</v>
      </c>
      <c r="JX113" s="204">
        <f t="shared" ref="JX113" si="1836">+JW113+1</f>
        <v>125</v>
      </c>
      <c r="JY113" s="204">
        <f t="shared" ref="JY113" si="1837">+JX113+1</f>
        <v>126</v>
      </c>
      <c r="JZ113" s="204">
        <f t="shared" ref="JZ113" si="1838">+JY113+1</f>
        <v>127</v>
      </c>
      <c r="KA113" s="204">
        <f t="shared" ref="KA113" si="1839">+JZ113+1</f>
        <v>128</v>
      </c>
      <c r="KB113" s="204">
        <f t="shared" ref="KB113" si="1840">+KA113+1</f>
        <v>129</v>
      </c>
      <c r="KC113" s="204">
        <f t="shared" ref="KC113" si="1841">+KB113+1</f>
        <v>130</v>
      </c>
      <c r="KD113" s="204">
        <f t="shared" ref="KD113" si="1842">+KC113+1</f>
        <v>131</v>
      </c>
      <c r="KE113" s="204">
        <f t="shared" ref="KE113" si="1843">+KD113+1</f>
        <v>132</v>
      </c>
      <c r="KG113" s="215" t="s">
        <v>161</v>
      </c>
      <c r="KH113" s="201"/>
      <c r="KI113" s="224"/>
      <c r="KJ113" s="224"/>
      <c r="KK113" s="224"/>
      <c r="KL113" s="224"/>
      <c r="KM113" s="215" t="s">
        <v>175</v>
      </c>
      <c r="KN113" s="204">
        <v>1</v>
      </c>
      <c r="KO113" s="204">
        <f t="shared" ref="KO113" si="1844">+KN113+1</f>
        <v>2</v>
      </c>
      <c r="KP113" s="204">
        <f t="shared" ref="KP113" si="1845">+KO113+1</f>
        <v>3</v>
      </c>
      <c r="KQ113" s="204">
        <f t="shared" ref="KQ113" si="1846">+KP113+1</f>
        <v>4</v>
      </c>
      <c r="KR113" s="204">
        <f t="shared" ref="KR113" si="1847">+KQ113+1</f>
        <v>5</v>
      </c>
      <c r="KS113" s="204">
        <f t="shared" ref="KS113" si="1848">+KR113+1</f>
        <v>6</v>
      </c>
      <c r="KT113" s="204">
        <f t="shared" ref="KT113" si="1849">+KS113+1</f>
        <v>7</v>
      </c>
      <c r="KU113" s="204">
        <f t="shared" ref="KU113" si="1850">+KT113+1</f>
        <v>8</v>
      </c>
      <c r="KV113" s="204">
        <f t="shared" ref="KV113" si="1851">+KU113+1</f>
        <v>9</v>
      </c>
      <c r="KW113" s="204">
        <f t="shared" ref="KW113" si="1852">+KV113+1</f>
        <v>10</v>
      </c>
      <c r="KX113" s="204">
        <f t="shared" ref="KX113" si="1853">+KW113+1</f>
        <v>11</v>
      </c>
      <c r="KY113" s="204">
        <f t="shared" ref="KY113" si="1854">+KX113+1</f>
        <v>12</v>
      </c>
      <c r="KZ113" s="204">
        <f t="shared" ref="KZ113" si="1855">+KY113+1</f>
        <v>13</v>
      </c>
      <c r="LA113" s="204">
        <f t="shared" ref="LA113" si="1856">+KZ113+1</f>
        <v>14</v>
      </c>
      <c r="LB113" s="204">
        <f t="shared" ref="LB113" si="1857">+LA113+1</f>
        <v>15</v>
      </c>
      <c r="LC113" s="204">
        <f t="shared" ref="LC113" si="1858">+LB113+1</f>
        <v>16</v>
      </c>
      <c r="LD113" s="204">
        <f t="shared" ref="LD113" si="1859">+LC113+1</f>
        <v>17</v>
      </c>
      <c r="LE113" s="204">
        <f t="shared" ref="LE113" si="1860">+LD113+1</f>
        <v>18</v>
      </c>
      <c r="LF113" s="204">
        <f t="shared" ref="LF113" si="1861">+LE113+1</f>
        <v>19</v>
      </c>
      <c r="LG113" s="204">
        <f t="shared" ref="LG113" si="1862">+LF113+1</f>
        <v>20</v>
      </c>
      <c r="LH113" s="204">
        <f t="shared" ref="LH113" si="1863">+LG113+1</f>
        <v>21</v>
      </c>
      <c r="LI113" s="204">
        <f t="shared" ref="LI113" si="1864">+LH113+1</f>
        <v>22</v>
      </c>
      <c r="LJ113" s="204">
        <f t="shared" ref="LJ113" si="1865">+LI113+1</f>
        <v>23</v>
      </c>
      <c r="LK113" s="204">
        <f t="shared" ref="LK113" si="1866">+LJ113+1</f>
        <v>24</v>
      </c>
      <c r="LL113" s="204">
        <f t="shared" ref="LL113" si="1867">+LK113+1</f>
        <v>25</v>
      </c>
      <c r="LM113" s="204">
        <f t="shared" ref="LM113" si="1868">+LL113+1</f>
        <v>26</v>
      </c>
      <c r="LN113" s="204">
        <f t="shared" ref="LN113" si="1869">+LM113+1</f>
        <v>27</v>
      </c>
      <c r="LO113" s="204">
        <f t="shared" ref="LO113" si="1870">+LN113+1</f>
        <v>28</v>
      </c>
      <c r="LP113" s="204">
        <f t="shared" ref="LP113" si="1871">+LO113+1</f>
        <v>29</v>
      </c>
      <c r="LQ113" s="204">
        <f t="shared" ref="LQ113" si="1872">+LP113+1</f>
        <v>30</v>
      </c>
      <c r="LR113" s="204">
        <f t="shared" ref="LR113" si="1873">+LQ113+1</f>
        <v>31</v>
      </c>
      <c r="LS113" s="204">
        <f t="shared" ref="LS113" si="1874">+LR113+1</f>
        <v>32</v>
      </c>
      <c r="LT113" s="204">
        <f t="shared" ref="LT113" si="1875">+LS113+1</f>
        <v>33</v>
      </c>
      <c r="LU113" s="204">
        <f t="shared" ref="LU113" si="1876">+LT113+1</f>
        <v>34</v>
      </c>
      <c r="LV113" s="204">
        <f t="shared" ref="LV113" si="1877">+LU113+1</f>
        <v>35</v>
      </c>
      <c r="LW113" s="204">
        <f t="shared" ref="LW113" si="1878">+LV113+1</f>
        <v>36</v>
      </c>
      <c r="LX113" s="204">
        <f t="shared" ref="LX113" si="1879">+LW113+1</f>
        <v>37</v>
      </c>
      <c r="LY113" s="204">
        <f t="shared" ref="LY113" si="1880">+LX113+1</f>
        <v>38</v>
      </c>
      <c r="LZ113" s="204">
        <f t="shared" ref="LZ113" si="1881">+LY113+1</f>
        <v>39</v>
      </c>
      <c r="MA113" s="204">
        <f t="shared" ref="MA113" si="1882">+LZ113+1</f>
        <v>40</v>
      </c>
      <c r="MB113" s="204">
        <f t="shared" ref="MB113" si="1883">+MA113+1</f>
        <v>41</v>
      </c>
      <c r="MC113" s="204">
        <f t="shared" ref="MC113" si="1884">+MB113+1</f>
        <v>42</v>
      </c>
      <c r="MD113" s="204">
        <f t="shared" ref="MD113" si="1885">+MC113+1</f>
        <v>43</v>
      </c>
      <c r="ME113" s="204">
        <f t="shared" ref="ME113" si="1886">+MD113+1</f>
        <v>44</v>
      </c>
      <c r="MF113" s="204">
        <f t="shared" ref="MF113" si="1887">+ME113+1</f>
        <v>45</v>
      </c>
      <c r="MG113" s="204">
        <f t="shared" ref="MG113" si="1888">+MF113+1</f>
        <v>46</v>
      </c>
      <c r="MH113" s="204">
        <f t="shared" ref="MH113" si="1889">+MG113+1</f>
        <v>47</v>
      </c>
      <c r="MI113" s="204">
        <f t="shared" ref="MI113" si="1890">+MH113+1</f>
        <v>48</v>
      </c>
      <c r="MJ113" s="204">
        <f t="shared" ref="MJ113" si="1891">+MI113+1</f>
        <v>49</v>
      </c>
      <c r="MK113" s="204">
        <f t="shared" ref="MK113" si="1892">+MJ113+1</f>
        <v>50</v>
      </c>
      <c r="ML113" s="204">
        <f t="shared" ref="ML113" si="1893">+MK113+1</f>
        <v>51</v>
      </c>
      <c r="MM113" s="204">
        <f t="shared" ref="MM113" si="1894">+ML113+1</f>
        <v>52</v>
      </c>
      <c r="MN113" s="204">
        <f t="shared" ref="MN113" si="1895">+MM113+1</f>
        <v>53</v>
      </c>
      <c r="MO113" s="204">
        <f t="shared" ref="MO113" si="1896">+MN113+1</f>
        <v>54</v>
      </c>
      <c r="MP113" s="204">
        <f t="shared" ref="MP113" si="1897">+MO113+1</f>
        <v>55</v>
      </c>
      <c r="MQ113" s="204">
        <f t="shared" ref="MQ113" si="1898">+MP113+1</f>
        <v>56</v>
      </c>
      <c r="MR113" s="204">
        <f t="shared" ref="MR113" si="1899">+MQ113+1</f>
        <v>57</v>
      </c>
      <c r="MS113" s="204">
        <f t="shared" ref="MS113" si="1900">+MR113+1</f>
        <v>58</v>
      </c>
      <c r="MT113" s="204">
        <f t="shared" ref="MT113" si="1901">+MS113+1</f>
        <v>59</v>
      </c>
      <c r="MU113" s="204">
        <f t="shared" ref="MU113" si="1902">+MT113+1</f>
        <v>60</v>
      </c>
      <c r="MV113" s="204">
        <f t="shared" ref="MV113" si="1903">+MU113+1</f>
        <v>61</v>
      </c>
      <c r="MW113" s="204">
        <f t="shared" ref="MW113" si="1904">+MV113+1</f>
        <v>62</v>
      </c>
      <c r="MX113" s="204">
        <f t="shared" ref="MX113" si="1905">+MW113+1</f>
        <v>63</v>
      </c>
      <c r="MY113" s="204">
        <f t="shared" ref="MY113" si="1906">+MX113+1</f>
        <v>64</v>
      </c>
      <c r="MZ113" s="204">
        <f t="shared" ref="MZ113" si="1907">+MY113+1</f>
        <v>65</v>
      </c>
      <c r="NA113" s="204">
        <f t="shared" ref="NA113" si="1908">+MZ113+1</f>
        <v>66</v>
      </c>
      <c r="NB113" s="204">
        <f t="shared" ref="NB113" si="1909">+NA113+1</f>
        <v>67</v>
      </c>
      <c r="NC113" s="204">
        <f t="shared" ref="NC113" si="1910">+NB113+1</f>
        <v>68</v>
      </c>
      <c r="ND113" s="204">
        <f t="shared" ref="ND113" si="1911">+NC113+1</f>
        <v>69</v>
      </c>
      <c r="NE113" s="204">
        <f t="shared" ref="NE113" si="1912">+ND113+1</f>
        <v>70</v>
      </c>
      <c r="NF113" s="204">
        <f t="shared" ref="NF113" si="1913">+NE113+1</f>
        <v>71</v>
      </c>
      <c r="NG113" s="204">
        <f t="shared" ref="NG113" si="1914">+NF113+1</f>
        <v>72</v>
      </c>
      <c r="NH113" s="204">
        <f t="shared" ref="NH113" si="1915">+NG113+1</f>
        <v>73</v>
      </c>
      <c r="NI113" s="204">
        <f t="shared" ref="NI113" si="1916">+NH113+1</f>
        <v>74</v>
      </c>
      <c r="NJ113" s="204">
        <f t="shared" ref="NJ113" si="1917">+NI113+1</f>
        <v>75</v>
      </c>
      <c r="NK113" s="204">
        <f t="shared" ref="NK113" si="1918">+NJ113+1</f>
        <v>76</v>
      </c>
      <c r="NL113" s="204">
        <f t="shared" ref="NL113" si="1919">+NK113+1</f>
        <v>77</v>
      </c>
      <c r="NM113" s="204">
        <f t="shared" ref="NM113" si="1920">+NL113+1</f>
        <v>78</v>
      </c>
      <c r="NN113" s="204">
        <f t="shared" ref="NN113" si="1921">+NM113+1</f>
        <v>79</v>
      </c>
      <c r="NO113" s="204">
        <f t="shared" ref="NO113" si="1922">+NN113+1</f>
        <v>80</v>
      </c>
      <c r="NP113" s="204">
        <f t="shared" ref="NP113" si="1923">+NO113+1</f>
        <v>81</v>
      </c>
      <c r="NQ113" s="204">
        <f t="shared" ref="NQ113" si="1924">+NP113+1</f>
        <v>82</v>
      </c>
      <c r="NR113" s="204">
        <f t="shared" ref="NR113" si="1925">+NQ113+1</f>
        <v>83</v>
      </c>
      <c r="NS113" s="204">
        <f t="shared" ref="NS113" si="1926">+NR113+1</f>
        <v>84</v>
      </c>
      <c r="NT113" s="204">
        <f t="shared" ref="NT113" si="1927">+NS113+1</f>
        <v>85</v>
      </c>
      <c r="NU113" s="204">
        <f t="shared" ref="NU113" si="1928">+NT113+1</f>
        <v>86</v>
      </c>
      <c r="NV113" s="204">
        <f t="shared" ref="NV113" si="1929">+NU113+1</f>
        <v>87</v>
      </c>
      <c r="NW113" s="204">
        <f t="shared" ref="NW113" si="1930">+NV113+1</f>
        <v>88</v>
      </c>
      <c r="NX113" s="204">
        <f t="shared" ref="NX113" si="1931">+NW113+1</f>
        <v>89</v>
      </c>
      <c r="NY113" s="204">
        <f t="shared" ref="NY113" si="1932">+NX113+1</f>
        <v>90</v>
      </c>
      <c r="NZ113" s="204">
        <f t="shared" ref="NZ113" si="1933">+NY113+1</f>
        <v>91</v>
      </c>
      <c r="OA113" s="204">
        <f t="shared" ref="OA113" si="1934">+NZ113+1</f>
        <v>92</v>
      </c>
      <c r="OB113" s="204">
        <f t="shared" ref="OB113" si="1935">+OA113+1</f>
        <v>93</v>
      </c>
      <c r="OC113" s="204">
        <f t="shared" ref="OC113" si="1936">+OB113+1</f>
        <v>94</v>
      </c>
      <c r="OD113" s="204">
        <f t="shared" ref="OD113" si="1937">+OC113+1</f>
        <v>95</v>
      </c>
      <c r="OE113" s="204">
        <f t="shared" ref="OE113" si="1938">+OD113+1</f>
        <v>96</v>
      </c>
      <c r="OF113" s="204">
        <f t="shared" ref="OF113" si="1939">+OE113+1</f>
        <v>97</v>
      </c>
      <c r="OG113" s="204">
        <f t="shared" ref="OG113" si="1940">+OF113+1</f>
        <v>98</v>
      </c>
      <c r="OH113" s="204">
        <f t="shared" ref="OH113" si="1941">+OG113+1</f>
        <v>99</v>
      </c>
      <c r="OI113" s="204">
        <f t="shared" ref="OI113" si="1942">+OH113+1</f>
        <v>100</v>
      </c>
      <c r="OJ113" s="204">
        <f t="shared" ref="OJ113" si="1943">+OI113+1</f>
        <v>101</v>
      </c>
      <c r="OK113" s="204">
        <f t="shared" ref="OK113" si="1944">+OJ113+1</f>
        <v>102</v>
      </c>
      <c r="OL113" s="204">
        <f t="shared" ref="OL113" si="1945">+OK113+1</f>
        <v>103</v>
      </c>
      <c r="OM113" s="204">
        <f t="shared" ref="OM113" si="1946">+OL113+1</f>
        <v>104</v>
      </c>
      <c r="ON113" s="204">
        <f t="shared" ref="ON113" si="1947">+OM113+1</f>
        <v>105</v>
      </c>
      <c r="OO113" s="204">
        <f t="shared" ref="OO113" si="1948">+ON113+1</f>
        <v>106</v>
      </c>
      <c r="OP113" s="204">
        <f t="shared" ref="OP113" si="1949">+OO113+1</f>
        <v>107</v>
      </c>
      <c r="OQ113" s="204">
        <f t="shared" ref="OQ113" si="1950">+OP113+1</f>
        <v>108</v>
      </c>
      <c r="OR113" s="204">
        <f t="shared" ref="OR113" si="1951">+OQ113+1</f>
        <v>109</v>
      </c>
      <c r="OS113" s="204">
        <f t="shared" ref="OS113" si="1952">+OR113+1</f>
        <v>110</v>
      </c>
      <c r="OT113" s="204">
        <f t="shared" ref="OT113" si="1953">+OS113+1</f>
        <v>111</v>
      </c>
      <c r="OU113" s="204">
        <f t="shared" ref="OU113" si="1954">+OT113+1</f>
        <v>112</v>
      </c>
      <c r="OV113" s="204">
        <f t="shared" ref="OV113" si="1955">+OU113+1</f>
        <v>113</v>
      </c>
      <c r="OW113" s="204">
        <f t="shared" ref="OW113" si="1956">+OV113+1</f>
        <v>114</v>
      </c>
      <c r="OX113" s="204">
        <f t="shared" ref="OX113" si="1957">+OW113+1</f>
        <v>115</v>
      </c>
      <c r="OY113" s="204">
        <f t="shared" ref="OY113" si="1958">+OX113+1</f>
        <v>116</v>
      </c>
      <c r="OZ113" s="204">
        <f t="shared" ref="OZ113" si="1959">+OY113+1</f>
        <v>117</v>
      </c>
      <c r="PA113" s="204">
        <f t="shared" ref="PA113" si="1960">+OZ113+1</f>
        <v>118</v>
      </c>
      <c r="PB113" s="204">
        <f t="shared" ref="PB113" si="1961">+PA113+1</f>
        <v>119</v>
      </c>
      <c r="PC113" s="204">
        <f t="shared" ref="PC113" si="1962">+PB113+1</f>
        <v>120</v>
      </c>
      <c r="PD113" s="204">
        <f t="shared" ref="PD113" si="1963">+PC113+1</f>
        <v>121</v>
      </c>
      <c r="PE113" s="204">
        <f t="shared" ref="PE113" si="1964">+PD113+1</f>
        <v>122</v>
      </c>
      <c r="PF113" s="204">
        <f t="shared" ref="PF113" si="1965">+PE113+1</f>
        <v>123</v>
      </c>
      <c r="PG113" s="204">
        <f t="shared" ref="PG113" si="1966">+PF113+1</f>
        <v>124</v>
      </c>
      <c r="PH113" s="204">
        <f t="shared" ref="PH113" si="1967">+PG113+1</f>
        <v>125</v>
      </c>
      <c r="PI113" s="204">
        <f t="shared" ref="PI113" si="1968">+PH113+1</f>
        <v>126</v>
      </c>
      <c r="PJ113" s="204">
        <f t="shared" ref="PJ113" si="1969">+PI113+1</f>
        <v>127</v>
      </c>
      <c r="PK113" s="204">
        <f t="shared" ref="PK113" si="1970">+PJ113+1</f>
        <v>128</v>
      </c>
      <c r="PL113" s="204">
        <f t="shared" ref="PL113" si="1971">+PK113+1</f>
        <v>129</v>
      </c>
      <c r="PM113" s="204">
        <f t="shared" ref="PM113" si="1972">+PL113+1</f>
        <v>130</v>
      </c>
      <c r="PN113" s="204">
        <f t="shared" ref="PN113" si="1973">+PM113+1</f>
        <v>131</v>
      </c>
      <c r="PO113" s="204">
        <f t="shared" ref="PO113" si="1974">+PN113+1</f>
        <v>132</v>
      </c>
      <c r="PQ113" s="199" t="s">
        <v>337</v>
      </c>
      <c r="PR113" s="215" t="s">
        <v>175</v>
      </c>
      <c r="PS113" s="204">
        <v>1</v>
      </c>
      <c r="PT113" s="204">
        <f t="shared" ref="PT113" si="1975">+PS113+1</f>
        <v>2</v>
      </c>
      <c r="PU113" s="204">
        <f t="shared" ref="PU113" si="1976">+PT113+1</f>
        <v>3</v>
      </c>
      <c r="PV113" s="204">
        <f t="shared" ref="PV113" si="1977">+PU113+1</f>
        <v>4</v>
      </c>
      <c r="PW113" s="204">
        <f t="shared" ref="PW113" si="1978">+PV113+1</f>
        <v>5</v>
      </c>
      <c r="PX113" s="204">
        <f t="shared" ref="PX113" si="1979">+PW113+1</f>
        <v>6</v>
      </c>
      <c r="PY113" s="204">
        <f t="shared" ref="PY113" si="1980">+PX113+1</f>
        <v>7</v>
      </c>
      <c r="PZ113" s="204">
        <f t="shared" ref="PZ113" si="1981">+PY113+1</f>
        <v>8</v>
      </c>
      <c r="QA113" s="204">
        <f t="shared" ref="QA113" si="1982">+PZ113+1</f>
        <v>9</v>
      </c>
      <c r="QB113" s="204">
        <f t="shared" ref="QB113" si="1983">+QA113+1</f>
        <v>10</v>
      </c>
      <c r="QC113" s="204">
        <f t="shared" ref="QC113" si="1984">+QB113+1</f>
        <v>11</v>
      </c>
      <c r="QD113" s="204">
        <f t="shared" ref="QD113" si="1985">+QC113+1</f>
        <v>12</v>
      </c>
      <c r="QE113" s="204">
        <f t="shared" ref="QE113" si="1986">+QD113+1</f>
        <v>13</v>
      </c>
      <c r="QF113" s="204">
        <f t="shared" ref="QF113" si="1987">+QE113+1</f>
        <v>14</v>
      </c>
      <c r="QG113" s="204">
        <f t="shared" ref="QG113" si="1988">+QF113+1</f>
        <v>15</v>
      </c>
      <c r="QH113" s="204">
        <f t="shared" ref="QH113" si="1989">+QG113+1</f>
        <v>16</v>
      </c>
      <c r="QI113" s="204">
        <f t="shared" ref="QI113" si="1990">+QH113+1</f>
        <v>17</v>
      </c>
      <c r="QJ113" s="204">
        <f t="shared" ref="QJ113" si="1991">+QI113+1</f>
        <v>18</v>
      </c>
      <c r="QK113" s="204">
        <f t="shared" ref="QK113" si="1992">+QJ113+1</f>
        <v>19</v>
      </c>
      <c r="QL113" s="204">
        <f t="shared" ref="QL113" si="1993">+QK113+1</f>
        <v>20</v>
      </c>
      <c r="QM113" s="204">
        <f t="shared" ref="QM113" si="1994">+QL113+1</f>
        <v>21</v>
      </c>
      <c r="QN113" s="204">
        <f t="shared" ref="QN113" si="1995">+QM113+1</f>
        <v>22</v>
      </c>
      <c r="QO113" s="204">
        <f t="shared" ref="QO113" si="1996">+QN113+1</f>
        <v>23</v>
      </c>
      <c r="QP113" s="204">
        <f t="shared" ref="QP113" si="1997">+QO113+1</f>
        <v>24</v>
      </c>
      <c r="QQ113" s="204">
        <f t="shared" ref="QQ113" si="1998">+QP113+1</f>
        <v>25</v>
      </c>
      <c r="QR113" s="204">
        <f t="shared" ref="QR113" si="1999">+QQ113+1</f>
        <v>26</v>
      </c>
      <c r="QS113" s="204">
        <f t="shared" ref="QS113" si="2000">+QR113+1</f>
        <v>27</v>
      </c>
      <c r="QT113" s="204">
        <f t="shared" ref="QT113" si="2001">+QS113+1</f>
        <v>28</v>
      </c>
      <c r="QU113" s="204">
        <f t="shared" ref="QU113" si="2002">+QT113+1</f>
        <v>29</v>
      </c>
      <c r="QV113" s="204">
        <f t="shared" ref="QV113" si="2003">+QU113+1</f>
        <v>30</v>
      </c>
      <c r="QW113" s="204">
        <f t="shared" ref="QW113" si="2004">+QV113+1</f>
        <v>31</v>
      </c>
      <c r="QX113" s="204">
        <f t="shared" ref="QX113" si="2005">+QW113+1</f>
        <v>32</v>
      </c>
      <c r="QY113" s="204">
        <f t="shared" ref="QY113" si="2006">+QX113+1</f>
        <v>33</v>
      </c>
      <c r="QZ113" s="204">
        <f t="shared" ref="QZ113" si="2007">+QY113+1</f>
        <v>34</v>
      </c>
      <c r="RA113" s="204">
        <f t="shared" ref="RA113" si="2008">+QZ113+1</f>
        <v>35</v>
      </c>
      <c r="RB113" s="204">
        <f t="shared" ref="RB113" si="2009">+RA113+1</f>
        <v>36</v>
      </c>
      <c r="RC113" s="204">
        <f t="shared" ref="RC113" si="2010">+RB113+1</f>
        <v>37</v>
      </c>
      <c r="RD113" s="204">
        <f t="shared" ref="RD113" si="2011">+RC113+1</f>
        <v>38</v>
      </c>
      <c r="RE113" s="204">
        <f t="shared" ref="RE113" si="2012">+RD113+1</f>
        <v>39</v>
      </c>
      <c r="RF113" s="204">
        <f t="shared" ref="RF113" si="2013">+RE113+1</f>
        <v>40</v>
      </c>
      <c r="RG113" s="204">
        <f t="shared" ref="RG113" si="2014">+RF113+1</f>
        <v>41</v>
      </c>
      <c r="RH113" s="204">
        <f t="shared" ref="RH113" si="2015">+RG113+1</f>
        <v>42</v>
      </c>
      <c r="RI113" s="204">
        <f t="shared" ref="RI113" si="2016">+RH113+1</f>
        <v>43</v>
      </c>
      <c r="RJ113" s="204">
        <f t="shared" ref="RJ113" si="2017">+RI113+1</f>
        <v>44</v>
      </c>
      <c r="RK113" s="204">
        <f t="shared" ref="RK113" si="2018">+RJ113+1</f>
        <v>45</v>
      </c>
      <c r="RL113" s="204">
        <f t="shared" ref="RL113" si="2019">+RK113+1</f>
        <v>46</v>
      </c>
      <c r="RM113" s="204">
        <f t="shared" ref="RM113" si="2020">+RL113+1</f>
        <v>47</v>
      </c>
      <c r="RN113" s="204">
        <f t="shared" ref="RN113" si="2021">+RM113+1</f>
        <v>48</v>
      </c>
      <c r="RO113" s="204">
        <f t="shared" ref="RO113" si="2022">+RN113+1</f>
        <v>49</v>
      </c>
      <c r="RP113" s="204">
        <f t="shared" ref="RP113" si="2023">+RO113+1</f>
        <v>50</v>
      </c>
      <c r="RQ113" s="204">
        <f t="shared" ref="RQ113" si="2024">+RP113+1</f>
        <v>51</v>
      </c>
      <c r="RR113" s="204">
        <f t="shared" ref="RR113" si="2025">+RQ113+1</f>
        <v>52</v>
      </c>
      <c r="RS113" s="204">
        <f t="shared" ref="RS113" si="2026">+RR113+1</f>
        <v>53</v>
      </c>
      <c r="RT113" s="204">
        <f t="shared" ref="RT113" si="2027">+RS113+1</f>
        <v>54</v>
      </c>
      <c r="RU113" s="204">
        <f t="shared" ref="RU113" si="2028">+RT113+1</f>
        <v>55</v>
      </c>
      <c r="RV113" s="204">
        <f t="shared" ref="RV113" si="2029">+RU113+1</f>
        <v>56</v>
      </c>
      <c r="RW113" s="204">
        <f t="shared" ref="RW113" si="2030">+RV113+1</f>
        <v>57</v>
      </c>
      <c r="RX113" s="204">
        <f t="shared" ref="RX113" si="2031">+RW113+1</f>
        <v>58</v>
      </c>
      <c r="RY113" s="204">
        <f t="shared" ref="RY113" si="2032">+RX113+1</f>
        <v>59</v>
      </c>
      <c r="RZ113" s="204">
        <f t="shared" ref="RZ113" si="2033">+RY113+1</f>
        <v>60</v>
      </c>
      <c r="SA113" s="204">
        <f t="shared" ref="SA113" si="2034">+RZ113+1</f>
        <v>61</v>
      </c>
      <c r="SB113" s="204">
        <f t="shared" ref="SB113" si="2035">+SA113+1</f>
        <v>62</v>
      </c>
      <c r="SC113" s="204">
        <f t="shared" ref="SC113" si="2036">+SB113+1</f>
        <v>63</v>
      </c>
      <c r="SD113" s="204">
        <f t="shared" ref="SD113" si="2037">+SC113+1</f>
        <v>64</v>
      </c>
      <c r="SE113" s="204">
        <f t="shared" ref="SE113" si="2038">+SD113+1</f>
        <v>65</v>
      </c>
      <c r="SF113" s="204">
        <f t="shared" ref="SF113" si="2039">+SE113+1</f>
        <v>66</v>
      </c>
      <c r="SG113" s="204">
        <f t="shared" ref="SG113" si="2040">+SF113+1</f>
        <v>67</v>
      </c>
      <c r="SH113" s="204">
        <f t="shared" ref="SH113" si="2041">+SG113+1</f>
        <v>68</v>
      </c>
      <c r="SI113" s="204">
        <f t="shared" ref="SI113" si="2042">+SH113+1</f>
        <v>69</v>
      </c>
      <c r="SJ113" s="204">
        <f t="shared" ref="SJ113" si="2043">+SI113+1</f>
        <v>70</v>
      </c>
      <c r="SK113" s="204">
        <f t="shared" ref="SK113" si="2044">+SJ113+1</f>
        <v>71</v>
      </c>
      <c r="SL113" s="204">
        <f t="shared" ref="SL113" si="2045">+SK113+1</f>
        <v>72</v>
      </c>
      <c r="SM113" s="204">
        <f t="shared" ref="SM113" si="2046">+SL113+1</f>
        <v>73</v>
      </c>
      <c r="SN113" s="204">
        <f t="shared" ref="SN113" si="2047">+SM113+1</f>
        <v>74</v>
      </c>
      <c r="SO113" s="204">
        <f t="shared" ref="SO113" si="2048">+SN113+1</f>
        <v>75</v>
      </c>
      <c r="SP113" s="204">
        <f t="shared" ref="SP113" si="2049">+SO113+1</f>
        <v>76</v>
      </c>
      <c r="SQ113" s="204">
        <f t="shared" ref="SQ113" si="2050">+SP113+1</f>
        <v>77</v>
      </c>
      <c r="SR113" s="204">
        <f t="shared" ref="SR113" si="2051">+SQ113+1</f>
        <v>78</v>
      </c>
      <c r="SS113" s="204">
        <f t="shared" ref="SS113" si="2052">+SR113+1</f>
        <v>79</v>
      </c>
      <c r="ST113" s="204">
        <f t="shared" ref="ST113" si="2053">+SS113+1</f>
        <v>80</v>
      </c>
      <c r="SU113" s="204">
        <f t="shared" ref="SU113" si="2054">+ST113+1</f>
        <v>81</v>
      </c>
      <c r="SV113" s="204">
        <f t="shared" ref="SV113" si="2055">+SU113+1</f>
        <v>82</v>
      </c>
      <c r="SW113" s="204">
        <f t="shared" ref="SW113" si="2056">+SV113+1</f>
        <v>83</v>
      </c>
      <c r="SX113" s="204">
        <f t="shared" ref="SX113" si="2057">+SW113+1</f>
        <v>84</v>
      </c>
      <c r="SY113" s="204">
        <f t="shared" ref="SY113" si="2058">+SX113+1</f>
        <v>85</v>
      </c>
      <c r="SZ113" s="204">
        <f t="shared" ref="SZ113" si="2059">+SY113+1</f>
        <v>86</v>
      </c>
      <c r="TA113" s="204">
        <f t="shared" ref="TA113" si="2060">+SZ113+1</f>
        <v>87</v>
      </c>
      <c r="TB113" s="204">
        <f t="shared" ref="TB113" si="2061">+TA113+1</f>
        <v>88</v>
      </c>
      <c r="TC113" s="204">
        <f t="shared" ref="TC113" si="2062">+TB113+1</f>
        <v>89</v>
      </c>
      <c r="TD113" s="204">
        <f t="shared" ref="TD113" si="2063">+TC113+1</f>
        <v>90</v>
      </c>
      <c r="TE113" s="204">
        <f t="shared" ref="TE113" si="2064">+TD113+1</f>
        <v>91</v>
      </c>
      <c r="TF113" s="204">
        <f t="shared" ref="TF113" si="2065">+TE113+1</f>
        <v>92</v>
      </c>
      <c r="TG113" s="204">
        <f t="shared" ref="TG113" si="2066">+TF113+1</f>
        <v>93</v>
      </c>
      <c r="TH113" s="204">
        <f t="shared" ref="TH113" si="2067">+TG113+1</f>
        <v>94</v>
      </c>
      <c r="TI113" s="204">
        <f t="shared" ref="TI113" si="2068">+TH113+1</f>
        <v>95</v>
      </c>
      <c r="TJ113" s="204">
        <f t="shared" ref="TJ113" si="2069">+TI113+1</f>
        <v>96</v>
      </c>
      <c r="TK113" s="204">
        <f t="shared" ref="TK113" si="2070">+TJ113+1</f>
        <v>97</v>
      </c>
      <c r="TL113" s="204">
        <f t="shared" ref="TL113" si="2071">+TK113+1</f>
        <v>98</v>
      </c>
      <c r="TM113" s="204">
        <f t="shared" ref="TM113" si="2072">+TL113+1</f>
        <v>99</v>
      </c>
      <c r="TN113" s="204">
        <f t="shared" ref="TN113" si="2073">+TM113+1</f>
        <v>100</v>
      </c>
      <c r="TO113" s="204">
        <f t="shared" ref="TO113" si="2074">+TN113+1</f>
        <v>101</v>
      </c>
      <c r="TP113" s="204">
        <f t="shared" ref="TP113" si="2075">+TO113+1</f>
        <v>102</v>
      </c>
      <c r="TQ113" s="204">
        <f t="shared" ref="TQ113" si="2076">+TP113+1</f>
        <v>103</v>
      </c>
      <c r="TR113" s="204">
        <f t="shared" ref="TR113" si="2077">+TQ113+1</f>
        <v>104</v>
      </c>
      <c r="TS113" s="204">
        <f t="shared" ref="TS113" si="2078">+TR113+1</f>
        <v>105</v>
      </c>
      <c r="TT113" s="204">
        <f t="shared" ref="TT113" si="2079">+TS113+1</f>
        <v>106</v>
      </c>
      <c r="TU113" s="204">
        <f t="shared" ref="TU113" si="2080">+TT113+1</f>
        <v>107</v>
      </c>
      <c r="TV113" s="204">
        <f t="shared" ref="TV113" si="2081">+TU113+1</f>
        <v>108</v>
      </c>
      <c r="TW113" s="204">
        <f t="shared" ref="TW113" si="2082">+TV113+1</f>
        <v>109</v>
      </c>
      <c r="TX113" s="204">
        <f t="shared" ref="TX113" si="2083">+TW113+1</f>
        <v>110</v>
      </c>
      <c r="TY113" s="204">
        <f t="shared" ref="TY113" si="2084">+TX113+1</f>
        <v>111</v>
      </c>
      <c r="TZ113" s="204">
        <f t="shared" ref="TZ113" si="2085">+TY113+1</f>
        <v>112</v>
      </c>
      <c r="UA113" s="204">
        <f t="shared" ref="UA113" si="2086">+TZ113+1</f>
        <v>113</v>
      </c>
      <c r="UB113" s="204">
        <f t="shared" ref="UB113" si="2087">+UA113+1</f>
        <v>114</v>
      </c>
      <c r="UC113" s="204">
        <f t="shared" ref="UC113" si="2088">+UB113+1</f>
        <v>115</v>
      </c>
      <c r="UD113" s="204">
        <f t="shared" ref="UD113" si="2089">+UC113+1</f>
        <v>116</v>
      </c>
      <c r="UE113" s="204">
        <f t="shared" ref="UE113" si="2090">+UD113+1</f>
        <v>117</v>
      </c>
      <c r="UF113" s="204">
        <f t="shared" ref="UF113" si="2091">+UE113+1</f>
        <v>118</v>
      </c>
      <c r="UG113" s="204">
        <f t="shared" ref="UG113" si="2092">+UF113+1</f>
        <v>119</v>
      </c>
      <c r="UH113" s="204">
        <f t="shared" ref="UH113" si="2093">+UG113+1</f>
        <v>120</v>
      </c>
      <c r="UI113" s="204">
        <f t="shared" ref="UI113" si="2094">+UH113+1</f>
        <v>121</v>
      </c>
      <c r="UJ113" s="204">
        <f t="shared" ref="UJ113" si="2095">+UI113+1</f>
        <v>122</v>
      </c>
      <c r="UK113" s="204">
        <f t="shared" ref="UK113" si="2096">+UJ113+1</f>
        <v>123</v>
      </c>
      <c r="UL113" s="204">
        <f t="shared" ref="UL113" si="2097">+UK113+1</f>
        <v>124</v>
      </c>
      <c r="UM113" s="204">
        <f t="shared" ref="UM113" si="2098">+UL113+1</f>
        <v>125</v>
      </c>
      <c r="UN113" s="204">
        <f t="shared" ref="UN113" si="2099">+UM113+1</f>
        <v>126</v>
      </c>
      <c r="UO113" s="204">
        <f t="shared" ref="UO113" si="2100">+UN113+1</f>
        <v>127</v>
      </c>
      <c r="UP113" s="204">
        <f t="shared" ref="UP113" si="2101">+UO113+1</f>
        <v>128</v>
      </c>
      <c r="UQ113" s="204">
        <f t="shared" ref="UQ113" si="2102">+UP113+1</f>
        <v>129</v>
      </c>
      <c r="UR113" s="204">
        <f t="shared" ref="UR113" si="2103">+UQ113+1</f>
        <v>130</v>
      </c>
      <c r="US113" s="204">
        <f t="shared" ref="US113" si="2104">+UR113+1</f>
        <v>131</v>
      </c>
      <c r="UT113" s="204">
        <f t="shared" ref="UT113" si="2105">+US113+1</f>
        <v>132</v>
      </c>
      <c r="UU113" s="204"/>
    </row>
    <row r="114" spans="2:567" x14ac:dyDescent="0.25">
      <c r="B114" s="31" t="s">
        <v>123</v>
      </c>
      <c r="C114" s="147">
        <v>60</v>
      </c>
      <c r="D114" s="147">
        <v>600</v>
      </c>
      <c r="E114" s="68">
        <v>0</v>
      </c>
      <c r="F114" s="114">
        <f t="shared" ref="F114:F119" si="2106">IFERROR(G114/D114,0)</f>
        <v>2.0833333333333335</v>
      </c>
      <c r="G114" s="115">
        <v>1250</v>
      </c>
      <c r="H114" s="114">
        <f>IFERROR(I114/D114,0)</f>
        <v>2.3958333333333335</v>
      </c>
      <c r="I114" s="115">
        <f>G114*1.15</f>
        <v>1437.5</v>
      </c>
      <c r="J114" s="149">
        <f>((1-E114)*G114+E114*I114)*C114*12</f>
        <v>900000</v>
      </c>
      <c r="K114" s="149">
        <f>I114*C114*12</f>
        <v>1035000</v>
      </c>
      <c r="M114" s="3" t="s">
        <v>840</v>
      </c>
      <c r="R114" s="524"/>
      <c r="T114" s="93">
        <f>$C114*(1-PS114)*FD114+$C114*PS114*KN114</f>
        <v>75468.75</v>
      </c>
      <c r="U114" s="92">
        <f t="shared" ref="U114:U119" si="2107">$C114*(1-PT114)*FE114+$C114*PT114*KO114</f>
        <v>75937.5</v>
      </c>
      <c r="V114" s="92">
        <f t="shared" ref="V114:V119" si="2108">$C114*(1-PU114)*FF114+$C114*PU114*KP114</f>
        <v>76406.25</v>
      </c>
      <c r="W114" s="92">
        <f t="shared" ref="W114:W119" si="2109">$C114*(1-PV114)*FG114+$C114*PV114*KQ114</f>
        <v>76875</v>
      </c>
      <c r="X114" s="92">
        <f t="shared" ref="X114:X119" si="2110">$C114*(1-PW114)*FH114+$C114*PW114*KR114</f>
        <v>77343.75</v>
      </c>
      <c r="Y114" s="92">
        <f t="shared" ref="Y114:Y119" si="2111">$C114*(1-PX114)*FI114+$C114*PX114*KS114</f>
        <v>77812.5</v>
      </c>
      <c r="Z114" s="92">
        <f t="shared" ref="Z114:Z119" si="2112">$C114*(1-PY114)*FJ114+$C114*PY114*KT114</f>
        <v>78281.25</v>
      </c>
      <c r="AA114" s="92">
        <f t="shared" ref="AA114:AA119" si="2113">$C114*(1-PZ114)*FK114+$C114*PZ114*KU114</f>
        <v>78750</v>
      </c>
      <c r="AB114" s="92">
        <f t="shared" ref="AB114:AB119" si="2114">$C114*(1-QA114)*FL114+$C114*QA114*KV114</f>
        <v>79218.75</v>
      </c>
      <c r="AC114" s="92">
        <f t="shared" ref="AC114:AC119" si="2115">$C114*(1-QB114)*FM114+$C114*QB114*KW114</f>
        <v>79687.5</v>
      </c>
      <c r="AD114" s="92">
        <f t="shared" ref="AD114:AD119" si="2116">$C114*(1-QC114)*FN114+$C114*QC114*KX114</f>
        <v>80156.25</v>
      </c>
      <c r="AE114" s="92">
        <f t="shared" ref="AE114:AE119" si="2117">$C114*(1-QD114)*FO114+$C114*QD114*KY114</f>
        <v>80625</v>
      </c>
      <c r="AF114" s="92">
        <f t="shared" ref="AF114:AF119" si="2118">$C114*(1-QE114)*FP114+$C114*QE114*KZ114</f>
        <v>81260.789847507564</v>
      </c>
      <c r="AG114" s="92">
        <f t="shared" ref="AG114:AG119" si="2119">$C114*(1-QF114)*FQ114+$C114*QF114*LA114</f>
        <v>81898.856855125807</v>
      </c>
      <c r="AH114" s="92">
        <f t="shared" ref="AH114:AH119" si="2120">$C114*(1-QG114)*FR114+$C114*QG114*LB114</f>
        <v>82539.207706399786</v>
      </c>
      <c r="AI114" s="92">
        <f t="shared" ref="AI114:AI119" si="2121">$C114*(1-QH114)*FS114+$C114*QH114*LC114</f>
        <v>83181.849102746768</v>
      </c>
      <c r="AJ114" s="92">
        <f t="shared" ref="AJ114:AJ119" si="2122">$C114*(1-QI114)*FT114+$C114*QI114*LD114</f>
        <v>83826.787763501416</v>
      </c>
      <c r="AK114" s="92">
        <f t="shared" ref="AK114:AK119" si="2123">$C114*(1-QJ114)*FU114+$C114*QJ114*LE114</f>
        <v>84474.030425961319</v>
      </c>
      <c r="AL114" s="92">
        <f t="shared" ref="AL114:AL119" si="2124">$C114*(1-QK114)*FV114+$C114*QK114*LF114</f>
        <v>85123.583845432353</v>
      </c>
      <c r="AM114" s="92">
        <f t="shared" ref="AM114:AM119" si="2125">$C114*(1-QL114)*FW114+$C114*QL114*LG114</f>
        <v>85775.454795274374</v>
      </c>
      <c r="AN114" s="92">
        <f t="shared" ref="AN114:AN119" si="2126">$C114*(1-QM114)*FX114+$C114*QM114*LH114</f>
        <v>86429.650066946837</v>
      </c>
      <c r="AO114" s="92">
        <f t="shared" ref="AO114:AO119" si="2127">$C114*(1-QN114)*FY114+$C114*QN114*LI114</f>
        <v>87086.17647005475</v>
      </c>
      <c r="AP114" s="92">
        <f t="shared" ref="AP114:AP119" si="2128">$C114*(1-QO114)*FZ114+$C114*QO114*LJ114</f>
        <v>87745.040832394487</v>
      </c>
      <c r="AQ114" s="92">
        <f t="shared" ref="AQ114:AQ119" si="2129">$C114*(1-QP114)*GA114+$C114*QP114*LK114</f>
        <v>88406.249999999884</v>
      </c>
      <c r="AR114" s="92">
        <f t="shared" ref="AR114:AR119" si="2130">$C114*(1-QQ114)*GB114+$C114*QQ114*LL114</f>
        <v>88588.35240023068</v>
      </c>
      <c r="AS114" s="92">
        <f t="shared" ref="AS114:AS119" si="2131">$C114*(1-QR114)*GC114+$C114*QR114*LM114</f>
        <v>88770.829901590289</v>
      </c>
      <c r="AT114" s="92">
        <f t="shared" ref="AT114:AT119" si="2132">$C114*(1-QS114)*GD114+$C114*QS114*LN114</f>
        <v>88953.683276725613</v>
      </c>
      <c r="AU114" s="92">
        <f t="shared" ref="AU114:AU119" si="2133">$C114*(1-QT114)*GE114+$C114*QT114*LO114</f>
        <v>89136.913299875116</v>
      </c>
      <c r="AV114" s="92">
        <f t="shared" ref="AV114:AV119" si="2134">$C114*(1-QU114)*GF114+$C114*QU114*LP114</f>
        <v>89320.520746872033</v>
      </c>
      <c r="AW114" s="92">
        <f t="shared" ref="AW114:AW119" si="2135">$C114*(1-QV114)*GG114+$C114*QV114*LQ114</f>
        <v>89504.506395147677</v>
      </c>
      <c r="AX114" s="92">
        <f t="shared" ref="AX114:AX119" si="2136">$C114*(1-QW114)*GH114+$C114*QW114*LR114</f>
        <v>89688.871023734784</v>
      </c>
      <c r="AY114" s="92">
        <f t="shared" ref="AY114:AY119" si="2137">$C114*(1-QX114)*GI114+$C114*QX114*LS114</f>
        <v>89873.615413270716</v>
      </c>
      <c r="AZ114" s="92">
        <f t="shared" ref="AZ114:AZ119" si="2138">$C114*(1-QY114)*GJ114+$C114*QY114*LT114</f>
        <v>90058.740346000879</v>
      </c>
      <c r="BA114" s="92">
        <f t="shared" ref="BA114:BA119" si="2139">$C114*(1-QZ114)*GK114+$C114*QZ114*LU114</f>
        <v>90244.246605781926</v>
      </c>
      <c r="BB114" s="92">
        <f t="shared" ref="BB114:BB119" si="2140">$C114*(1-RA114)*GL114+$C114*RA114*LV114</f>
        <v>90430.134978085131</v>
      </c>
      <c r="BC114" s="92">
        <f t="shared" ref="BC114:BC119" si="2141">$C114*(1-RB114)*GM114+$C114*RB114*LW114</f>
        <v>90616.406249999767</v>
      </c>
      <c r="BD114" s="92">
        <f t="shared" ref="BD114:BD119" si="2142">$C114*(1-RC114)*GN114+$C114*RC114*LX114</f>
        <v>90803.061210236323</v>
      </c>
      <c r="BE114" s="92">
        <f t="shared" ref="BE114:BE119" si="2143">$C114*(1-RD114)*GO114+$C114*RD114*LY114</f>
        <v>90990.100649129905</v>
      </c>
      <c r="BF114" s="92">
        <f t="shared" ref="BF114:BF119" si="2144">$C114*(1-RE114)*GP114+$C114*RE114*LZ114</f>
        <v>91177.52535864363</v>
      </c>
      <c r="BG114" s="92">
        <f t="shared" ref="BG114:BG119" si="2145">$C114*(1-RF114)*GQ114+$C114*RF114*MA114</f>
        <v>91365.336132371871</v>
      </c>
      <c r="BH114" s="92">
        <f t="shared" ref="BH114:BH119" si="2146">$C114*(1-RG114)*GR114+$C114*RG114*MB114</f>
        <v>91553.533765543703</v>
      </c>
      <c r="BI114" s="92">
        <f t="shared" ref="BI114:BI119" si="2147">$C114*(1-RH114)*GS114+$C114*RH114*MC114</f>
        <v>91742.11905502624</v>
      </c>
      <c r="BJ114" s="92">
        <f t="shared" ref="BJ114:BJ119" si="2148">$C114*(1-RI114)*GT114+$C114*RI114*MD114</f>
        <v>91931.09279932802</v>
      </c>
      <c r="BK114" s="92">
        <f t="shared" ref="BK114:BK119" si="2149">$C114*(1-RJ114)*GU114+$C114*RJ114*ME114</f>
        <v>92120.455798602357</v>
      </c>
      <c r="BL114" s="92">
        <f t="shared" ref="BL114:BL119" si="2150">$C114*(1-RK114)*GV114+$C114*RK114*MF114</f>
        <v>92310.208854650758</v>
      </c>
      <c r="BM114" s="92">
        <f t="shared" ref="BM114:BM119" si="2151">$C114*(1-RL114)*GW114+$C114*RL114*MG114</f>
        <v>92500.352770926344</v>
      </c>
      <c r="BN114" s="92">
        <f t="shared" ref="BN114:BN119" si="2152">$C114*(1-RM114)*GX114+$C114*RM114*MH114</f>
        <v>92690.888352537135</v>
      </c>
      <c r="BO114" s="92">
        <f t="shared" ref="BO114:BO119" si="2153">$C114*(1-RN114)*GY114+$C114*RN114*MI114</f>
        <v>92881.816406249636</v>
      </c>
      <c r="BP114" s="92">
        <f t="shared" ref="BP114:BP119" si="2154">$C114*(1-RO114)*GZ114+$C114*RO114*MJ114</f>
        <v>93073.137740492093</v>
      </c>
      <c r="BQ114" s="92">
        <f t="shared" ref="BQ114:BQ119" si="2155">$C114*(1-RP114)*HA114+$C114*RP114*MK114</f>
        <v>93264.853165358028</v>
      </c>
      <c r="BR114" s="92">
        <f t="shared" ref="BR114:BR119" si="2156">$C114*(1-RQ114)*HB114+$C114*RQ114*ML114</f>
        <v>93456.96349260959</v>
      </c>
      <c r="BS114" s="92">
        <f t="shared" ref="BS114:BS119" si="2157">$C114*(1-RR114)*HC114+$C114*RR114*MM114</f>
        <v>93649.469535681026</v>
      </c>
      <c r="BT114" s="92">
        <f t="shared" ref="BT114:BT119" si="2158">$C114*(1-RS114)*HD114+$C114*RS114*MN114</f>
        <v>93842.372109682154</v>
      </c>
      <c r="BU114" s="92">
        <f t="shared" ref="BU114:BU119" si="2159">$C114*(1-RT114)*HE114+$C114*RT114*MO114</f>
        <v>94035.672031401758</v>
      </c>
      <c r="BV114" s="92">
        <f t="shared" ref="BV114:BV119" si="2160">$C114*(1-RU114)*HF114+$C114*RU114*MP114</f>
        <v>94229.370119311076</v>
      </c>
      <c r="BW114" s="92">
        <f t="shared" ref="BW114:BW119" si="2161">$C114*(1-RV114)*HG114+$C114*RV114*MQ114</f>
        <v>94423.467193567267</v>
      </c>
      <c r="BX114" s="92">
        <f t="shared" ref="BX114:BX119" si="2162">$C114*(1-RW114)*HH114+$C114*RW114*MR114</f>
        <v>94617.964076016884</v>
      </c>
      <c r="BY114" s="92">
        <f t="shared" ref="BY114:BY119" si="2163">$C114*(1-RX114)*HI114+$C114*RX114*MS114</f>
        <v>94812.861590199347</v>
      </c>
      <c r="BZ114" s="92">
        <f t="shared" ref="BZ114:BZ119" si="2164">$C114*(1-RY114)*HJ114+$C114*RY114*MT114</f>
        <v>95008.160561350422</v>
      </c>
      <c r="CA114" s="92">
        <f t="shared" ref="CA114:CA119" si="2165">$C114*(1-RZ114)*HK114+$C114*RZ114*MU114</f>
        <v>95203.861816405741</v>
      </c>
      <c r="CB114" s="92">
        <f t="shared" ref="CB114:CB119" si="2166">$C114*(1-SA114)*HL114+$C114*SA114*MV114</f>
        <v>95399.966184004268</v>
      </c>
      <c r="CC114" s="92">
        <f t="shared" ref="CC114:CC119" si="2167">$C114*(1-SB114)*HM114+$C114*SB114*MW114</f>
        <v>95596.474494491849</v>
      </c>
      <c r="CD114" s="92">
        <f t="shared" ref="CD114:CD119" si="2168">$C114*(1-SC114)*HN114+$C114*SC114*MX114</f>
        <v>95793.387579924703</v>
      </c>
      <c r="CE114" s="92">
        <f t="shared" ref="CE114:CE119" si="2169">$C114*(1-SD114)*HO114+$C114*SD114*MY114</f>
        <v>95990.706274072931</v>
      </c>
      <c r="CF114" s="92">
        <f t="shared" ref="CF114:CF119" si="2170">$C114*(1-SE114)*HP114+$C114*SE114*MZ114</f>
        <v>96188.431412424077</v>
      </c>
      <c r="CG114" s="92">
        <f t="shared" ref="CG114:CG119" si="2171">$C114*(1-SF114)*HQ114+$C114*SF114*NA114</f>
        <v>96386.563832186672</v>
      </c>
      <c r="CH114" s="92">
        <f t="shared" ref="CH114:CH119" si="2172">$C114*(1-SG114)*HR114+$C114*SG114*NB114</f>
        <v>96585.104372293732</v>
      </c>
      <c r="CI114" s="92">
        <f t="shared" ref="CI114:CI119" si="2173">$C114*(1-SH114)*HS114+$C114*SH114*NC114</f>
        <v>96784.05387340633</v>
      </c>
      <c r="CJ114" s="92">
        <f t="shared" ref="CJ114:CJ119" si="2174">$C114*(1-SI114)*HT114+$C114*SI114*ND114</f>
        <v>96983.413177917188</v>
      </c>
      <c r="CK114" s="92">
        <f t="shared" ref="CK114:CK119" si="2175">$C114*(1-SJ114)*HU114+$C114*SJ114*NE114</f>
        <v>97183.18312995421</v>
      </c>
      <c r="CL114" s="92">
        <f t="shared" ref="CL114:CL119" si="2176">$C114*(1-SK114)*HV114+$C114*SK114*NF114</f>
        <v>97383.364575384054</v>
      </c>
      <c r="CM114" s="92">
        <f t="shared" ref="CM114:CM119" si="2177">$C114*(1-SL114)*HW114+$C114*SL114*NG114</f>
        <v>97583.958361815749</v>
      </c>
      <c r="CN114" s="92">
        <f t="shared" ref="CN114:CN119" si="2178">$C114*(1-SM114)*HX114+$C114*SM114*NH114</f>
        <v>97784.965338604248</v>
      </c>
      <c r="CO114" s="92">
        <f t="shared" ref="CO114:CO119" si="2179">$C114*(1-SN114)*HY114+$C114*SN114*NI114</f>
        <v>97986.386356854026</v>
      </c>
      <c r="CP114" s="92">
        <f t="shared" ref="CP114:CP119" si="2180">$C114*(1-SO114)*HZ114+$C114*SO114*NJ114</f>
        <v>98188.222269422695</v>
      </c>
      <c r="CQ114" s="92">
        <f t="shared" ref="CQ114:CQ119" si="2181">$C114*(1-SP114)*IA114+$C114*SP114*NK114</f>
        <v>98390.473930924636</v>
      </c>
      <c r="CR114" s="92">
        <f t="shared" ref="CR114:CR119" si="2182">$C114*(1-SQ114)*IB114+$C114*SQ114*NL114</f>
        <v>98593.14219773456</v>
      </c>
      <c r="CS114" s="92">
        <f t="shared" ref="CS114:CS119" si="2183">$C114*(1-SR114)*IC114+$C114*SR114*NM114</f>
        <v>98796.227927991218</v>
      </c>
      <c r="CT114" s="92">
        <f t="shared" ref="CT114:CT119" si="2184">$C114*(1-SS114)*ID114+$C114*SS114*NN114</f>
        <v>98999.73198160094</v>
      </c>
      <c r="CU114" s="92">
        <f t="shared" ref="CU114:CU119" si="2185">$C114*(1-ST114)*IE114+$C114*ST114*NO114</f>
        <v>99203.655220241359</v>
      </c>
      <c r="CV114" s="92">
        <f t="shared" ref="CV114:CV119" si="2186">$C114*(1-SU114)*IF114+$C114*SU114*NP114</f>
        <v>99407.998507364988</v>
      </c>
      <c r="CW114" s="92">
        <f t="shared" ref="CW114:CW119" si="2187">$C114*(1-SV114)*IG114+$C114*SV114*NQ114</f>
        <v>99612.762708202936</v>
      </c>
      <c r="CX114" s="92">
        <f t="shared" ref="CX114:CX119" si="2188">$C114*(1-SW114)*IH114+$C114*SW114*NR114</f>
        <v>99817.948689768527</v>
      </c>
      <c r="CY114" s="92">
        <f t="shared" ref="CY114:CY119" si="2189">$C114*(1-SX114)*II114+$C114*SX114*NS114</f>
        <v>100023.55732086103</v>
      </c>
      <c r="CZ114" s="92">
        <f t="shared" ref="CZ114:CZ119" si="2190">$C114*(1-SY114)*IJ114+$C114*SY114*NT114</f>
        <v>100229.58947206923</v>
      </c>
      <c r="DA114" s="92">
        <f t="shared" ref="DA114:DA119" si="2191">$C114*(1-SZ114)*IK114+$C114*SZ114*NU114</f>
        <v>100436.04601577524</v>
      </c>
      <c r="DB114" s="92">
        <f t="shared" ref="DB114:DB119" si="2192">$C114*(1-TA114)*IL114+$C114*TA114*NV114</f>
        <v>100642.92782615813</v>
      </c>
      <c r="DC114" s="92">
        <f t="shared" ref="DC114:DC119" si="2193">$C114*(1-TB114)*IM114+$C114*TB114*NW114</f>
        <v>100850.23577919762</v>
      </c>
      <c r="DD114" s="92">
        <f t="shared" ref="DD114:DD119" si="2194">$C114*(1-TC114)*IN114+$C114*TC114*NX114</f>
        <v>101057.97075267782</v>
      </c>
      <c r="DE114" s="92">
        <f t="shared" ref="DE114:DE119" si="2195">$C114*(1-TD114)*IO114+$C114*TD114*NY114</f>
        <v>101266.13362619089</v>
      </c>
      <c r="DF114" s="92">
        <f t="shared" ref="DF114:DF119" si="2196">$C114*(1-TE114)*IP114+$C114*TE114*NZ114</f>
        <v>101474.72528114085</v>
      </c>
      <c r="DG114" s="92">
        <f t="shared" ref="DG114:DG119" si="2197">$C114*(1-TF114)*IQ114+$C114*TF114*OA114</f>
        <v>101683.74660074728</v>
      </c>
      <c r="DH114" s="92">
        <f t="shared" ref="DH114:DH119" si="2198">$C114*(1-TG114)*IR114+$C114*TG114*OB114</f>
        <v>101893.19847004898</v>
      </c>
      <c r="DI114" s="92">
        <f t="shared" ref="DI114:DI119" si="2199">$C114*(1-TH114)*IS114+$C114*TH114*OC114</f>
        <v>102103.08177590788</v>
      </c>
      <c r="DJ114" s="92">
        <f t="shared" ref="DJ114:DJ119" si="2200">$C114*(1-TI114)*IT114+$C114*TI114*OD114</f>
        <v>102313.39740701263</v>
      </c>
      <c r="DK114" s="92">
        <f t="shared" ref="DK114:DK119" si="2201">$C114*(1-TJ114)*IU114+$C114*TJ114*OE114</f>
        <v>102524.14625388241</v>
      </c>
      <c r="DL114" s="92">
        <f t="shared" ref="DL114:DL119" si="2202">$C114*(1-TK114)*IV114+$C114*TK114*OF114</f>
        <v>102735.32920887083</v>
      </c>
      <c r="DM114" s="92">
        <f t="shared" ref="DM114:DM119" si="2203">$C114*(1-TL114)*IW114+$C114*TL114*OG114</f>
        <v>102946.9471661695</v>
      </c>
      <c r="DN114" s="92">
        <f t="shared" ref="DN114:DN119" si="2204">$C114*(1-TM114)*IX114+$C114*TM114*OH114</f>
        <v>103159.00102181196</v>
      </c>
      <c r="DO114" s="92">
        <f t="shared" ref="DO114:DO119" si="2205">$C114*(1-TN114)*IY114+$C114*TN114*OI114</f>
        <v>103371.49167367743</v>
      </c>
      <c r="DP114" s="92">
        <f t="shared" ref="DP114:DP119" si="2206">$C114*(1-TO114)*IZ114+$C114*TO114*OJ114</f>
        <v>103584.42002149462</v>
      </c>
      <c r="DQ114" s="92">
        <f t="shared" ref="DQ114:DQ119" si="2207">$C114*(1-TP114)*JA114+$C114*TP114*OK114</f>
        <v>103797.78696684551</v>
      </c>
      <c r="DR114" s="92">
        <f t="shared" ref="DR114:DR119" si="2208">$C114*(1-TQ114)*JB114+$C114*TQ114*OL114</f>
        <v>104011.59341316923</v>
      </c>
      <c r="DS114" s="92">
        <f t="shared" ref="DS114:DS119" si="2209">$C114*(1-TR114)*JC114+$C114*TR114*OM114</f>
        <v>104225.84026576582</v>
      </c>
      <c r="DT114" s="92">
        <f t="shared" ref="DT114:DT119" si="2210">$C114*(1-TS114)*JD114+$C114*TS114*ON114</f>
        <v>104440.52843180008</v>
      </c>
      <c r="DU114" s="92">
        <f t="shared" ref="DU114:DU119" si="2211">$C114*(1-TT114)*JE114+$C114*TT114*OO114</f>
        <v>104655.65882030544</v>
      </c>
      <c r="DV114" s="92">
        <f t="shared" ref="DV114:DV119" si="2212">$C114*(1-TU114)*JF114+$C114*TU114*OP114</f>
        <v>104871.2323421878</v>
      </c>
      <c r="DW114" s="92">
        <f t="shared" ref="DW114:DW119" si="2213">$C114*(1-TV114)*JG114+$C114*TV114*OQ114</f>
        <v>105087.24991022934</v>
      </c>
      <c r="DX114" s="92">
        <f t="shared" ref="DX114:DX119" si="2214">$C114*(1-TW114)*JH114+$C114*TW114*OR114</f>
        <v>105303.71243909246</v>
      </c>
      <c r="DY114" s="92">
        <f t="shared" ref="DY114:DY119" si="2215">$C114*(1-TX114)*JI114+$C114*TX114*OS114</f>
        <v>105520.62084532357</v>
      </c>
      <c r="DZ114" s="92">
        <f t="shared" ref="DZ114:DZ119" si="2216">$C114*(1-TY114)*JJ114+$C114*TY114*OT114</f>
        <v>105737.97604735711</v>
      </c>
      <c r="EA114" s="92">
        <f t="shared" ref="EA114:EA119" si="2217">$C114*(1-TZ114)*JK114+$C114*TZ114*OU114</f>
        <v>105955.7789655192</v>
      </c>
      <c r="EB114" s="92">
        <f t="shared" ref="EB114:EB119" si="2218">$C114*(1-UA114)*JL114+$C114*UA114*OV114</f>
        <v>106174.03052203183</v>
      </c>
      <c r="EC114" s="92">
        <f t="shared" ref="EC114:EC119" si="2219">$C114*(1-UB114)*JM114+$C114*UB114*OW114</f>
        <v>106392.73164101649</v>
      </c>
      <c r="ED114" s="92">
        <f t="shared" ref="ED114:ED119" si="2220">$C114*(1-UC114)*JN114+$C114*UC114*OX114</f>
        <v>106611.8832484983</v>
      </c>
      <c r="EE114" s="92">
        <f t="shared" ref="EE114:EE119" si="2221">$C114*(1-UD114)*JO114+$C114*UD114*OY114</f>
        <v>106831.48627240979</v>
      </c>
      <c r="EF114" s="92">
        <f t="shared" ref="EF114:EF119" si="2222">$C114*(1-UE114)*JP114+$C114*UE114*OZ114</f>
        <v>107051.54164259491</v>
      </c>
      <c r="EG114" s="92">
        <f t="shared" ref="EG114:EG119" si="2223">$C114*(1-UF114)*JQ114+$C114*UF114*PA114</f>
        <v>107272.0502908129</v>
      </c>
      <c r="EH114" s="92">
        <f t="shared" ref="EH114:EH119" si="2224">$C114*(1-UG114)*JR114+$C114*UG114*PB114</f>
        <v>107493.01315074231</v>
      </c>
      <c r="EI114" s="92">
        <f t="shared" ref="EI114:EI119" si="2225">$C114*(1-UH114)*JS114+$C114*UH114*PC114</f>
        <v>107714.4311579849</v>
      </c>
      <c r="EJ114" s="92">
        <f t="shared" ref="EJ114:EJ119" si="2226">$C114*(1-UI114)*JT114+$C114*UI114*PD114</f>
        <v>107936.30525006959</v>
      </c>
      <c r="EK114" s="92">
        <f t="shared" ref="EK114:EK119" si="2227">$C114*(1-UJ114)*JU114+$C114*UJ114*PE114</f>
        <v>108158.6363664565</v>
      </c>
      <c r="EL114" s="92">
        <f t="shared" ref="EL114:EL119" si="2228">$C114*(1-UK114)*JV114+$C114*UK114*PF114</f>
        <v>108381.42544854086</v>
      </c>
      <c r="EM114" s="92">
        <f t="shared" ref="EM114:EM119" si="2229">$C114*(1-UL114)*JW114+$C114*UL114*PG114</f>
        <v>108604.67343965702</v>
      </c>
      <c r="EN114" s="92">
        <f t="shared" ref="EN114:EN119" si="2230">$C114*(1-UM114)*JX114+$C114*UM114*PH114</f>
        <v>108828.38128508246</v>
      </c>
      <c r="EO114" s="92">
        <f t="shared" ref="EO114:EO119" si="2231">$C114*(1-UN114)*JY114+$C114*UN114*PI114</f>
        <v>109052.54993204174</v>
      </c>
      <c r="EP114" s="92">
        <f t="shared" ref="EP114:EP119" si="2232">$C114*(1-UO114)*JZ114+$C114*UO114*PJ114</f>
        <v>109277.18032971059</v>
      </c>
      <c r="EQ114" s="92">
        <f t="shared" ref="EQ114:EQ119" si="2233">$C114*(1-UP114)*KA114+$C114*UP114*PK114</f>
        <v>109502.27342921989</v>
      </c>
      <c r="ER114" s="92">
        <f t="shared" ref="ER114:ER119" si="2234">$C114*(1-UQ114)*KB114+$C114*UQ114*PL114</f>
        <v>109727.83018365964</v>
      </c>
      <c r="ES114" s="92">
        <f t="shared" ref="ES114:ES119" si="2235">$C114*(1-UR114)*KC114+$C114*UR114*PM114</f>
        <v>109953.85154808307</v>
      </c>
      <c r="ET114" s="92">
        <f t="shared" ref="ET114:ET119" si="2236">$C114*(1-US114)*KD114+$C114*US114*PN114</f>
        <v>110180.33847951071</v>
      </c>
      <c r="EU114" s="92">
        <f t="shared" ref="EU114:EU119" si="2237">$C114*(1-UT114)*KE114+$C114*UT114*PO114</f>
        <v>110407.29193693436</v>
      </c>
      <c r="EW114" s="199" t="str">
        <f>+B114</f>
        <v>Studio</v>
      </c>
      <c r="EX114" s="201"/>
      <c r="EY114" s="221"/>
      <c r="EZ114" s="221"/>
      <c r="FA114" s="221"/>
      <c r="FB114" s="221"/>
      <c r="FC114" s="207">
        <f t="shared" ref="FC114:FC119" si="2238">+G114</f>
        <v>1250</v>
      </c>
      <c r="FD114" s="207">
        <f>FC114+IF(FD$112&gt;0,FC114*((1+INDEX($C$104:$H$104,1,MIN(FD$112,6)))^(1/12)-1))</f>
        <v>1250</v>
      </c>
      <c r="FE114" s="207">
        <f t="shared" ref="FE114:HP114" si="2239">FD114+IF(FE$112&gt;0,FD114*((1+INDEX($C$104:$H$104,1,MIN(FE$112,6)))^(1/12)-1))</f>
        <v>1250</v>
      </c>
      <c r="FF114" s="207">
        <f t="shared" si="2239"/>
        <v>1250</v>
      </c>
      <c r="FG114" s="207">
        <f t="shared" si="2239"/>
        <v>1250</v>
      </c>
      <c r="FH114" s="207">
        <f t="shared" si="2239"/>
        <v>1250</v>
      </c>
      <c r="FI114" s="207">
        <f t="shared" si="2239"/>
        <v>1250</v>
      </c>
      <c r="FJ114" s="207">
        <f t="shared" si="2239"/>
        <v>1250</v>
      </c>
      <c r="FK114" s="207">
        <f t="shared" si="2239"/>
        <v>1250</v>
      </c>
      <c r="FL114" s="207">
        <f t="shared" si="2239"/>
        <v>1250</v>
      </c>
      <c r="FM114" s="207">
        <f t="shared" si="2239"/>
        <v>1250</v>
      </c>
      <c r="FN114" s="207">
        <f t="shared" si="2239"/>
        <v>1250</v>
      </c>
      <c r="FO114" s="207">
        <f t="shared" si="2239"/>
        <v>1250</v>
      </c>
      <c r="FP114" s="207">
        <f t="shared" si="2239"/>
        <v>1252.5747953373034</v>
      </c>
      <c r="FQ114" s="207">
        <f t="shared" si="2239"/>
        <v>1255.1548943314301</v>
      </c>
      <c r="FR114" s="207">
        <f t="shared" si="2239"/>
        <v>1257.7403079070446</v>
      </c>
      <c r="FS114" s="207">
        <f t="shared" si="2239"/>
        <v>1260.3310470113147</v>
      </c>
      <c r="FT114" s="207">
        <f t="shared" si="2239"/>
        <v>1262.9271226139574</v>
      </c>
      <c r="FU114" s="207">
        <f t="shared" si="2239"/>
        <v>1265.5285457072857</v>
      </c>
      <c r="FV114" s="207">
        <f t="shared" si="2239"/>
        <v>1268.135327306255</v>
      </c>
      <c r="FW114" s="207">
        <f t="shared" si="2239"/>
        <v>1270.7474784485094</v>
      </c>
      <c r="FX114" s="207">
        <f t="shared" si="2239"/>
        <v>1273.3650101944288</v>
      </c>
      <c r="FY114" s="207">
        <f t="shared" si="2239"/>
        <v>1275.9879336271761</v>
      </c>
      <c r="FZ114" s="207">
        <f t="shared" si="2239"/>
        <v>1278.616259852743</v>
      </c>
      <c r="GA114" s="207">
        <f t="shared" si="2239"/>
        <v>1281.2499999999984</v>
      </c>
      <c r="GB114" s="207">
        <f t="shared" si="2239"/>
        <v>1283.8891652207344</v>
      </c>
      <c r="GC114" s="207">
        <f t="shared" si="2239"/>
        <v>1286.5337666897142</v>
      </c>
      <c r="GD114" s="207">
        <f t="shared" si="2239"/>
        <v>1289.183815604719</v>
      </c>
      <c r="GE114" s="207">
        <f t="shared" si="2239"/>
        <v>1291.8393231865959</v>
      </c>
      <c r="GF114" s="207">
        <f t="shared" si="2239"/>
        <v>1294.5003006793047</v>
      </c>
      <c r="GG114" s="207">
        <f t="shared" si="2239"/>
        <v>1297.1667593499662</v>
      </c>
      <c r="GH114" s="207">
        <f t="shared" si="2239"/>
        <v>1299.8387104889098</v>
      </c>
      <c r="GI114" s="207">
        <f t="shared" si="2239"/>
        <v>1302.5161654097205</v>
      </c>
      <c r="GJ114" s="207">
        <f t="shared" si="2239"/>
        <v>1305.199135449288</v>
      </c>
      <c r="GK114" s="207">
        <f t="shared" si="2239"/>
        <v>1307.8876319678538</v>
      </c>
      <c r="GL114" s="207">
        <f t="shared" si="2239"/>
        <v>1310.58166634906</v>
      </c>
      <c r="GM114" s="207">
        <f t="shared" si="2239"/>
        <v>1313.2812499999968</v>
      </c>
      <c r="GN114" s="207">
        <f t="shared" si="2239"/>
        <v>1315.9863943512512</v>
      </c>
      <c r="GO114" s="207">
        <f t="shared" si="2239"/>
        <v>1318.6971108569555</v>
      </c>
      <c r="GP114" s="207">
        <f t="shared" si="2239"/>
        <v>1321.4134109948354</v>
      </c>
      <c r="GQ114" s="207">
        <f t="shared" si="2239"/>
        <v>1324.1353062662592</v>
      </c>
      <c r="GR114" s="207">
        <f t="shared" si="2239"/>
        <v>1326.8628081962859</v>
      </c>
      <c r="GS114" s="207">
        <f t="shared" si="2239"/>
        <v>1329.595928333714</v>
      </c>
      <c r="GT114" s="207">
        <f t="shared" si="2239"/>
        <v>1332.334678251131</v>
      </c>
      <c r="GU114" s="207">
        <f t="shared" si="2239"/>
        <v>1335.0790695449618</v>
      </c>
      <c r="GV114" s="207">
        <f t="shared" si="2239"/>
        <v>1337.8291138355185</v>
      </c>
      <c r="GW114" s="207">
        <f t="shared" si="2239"/>
        <v>1340.5848227670485</v>
      </c>
      <c r="GX114" s="207">
        <f t="shared" si="2239"/>
        <v>1343.3462080077848</v>
      </c>
      <c r="GY114" s="207">
        <f t="shared" si="2239"/>
        <v>1346.113281249995</v>
      </c>
      <c r="GZ114" s="207">
        <f t="shared" si="2239"/>
        <v>1348.8860542100308</v>
      </c>
      <c r="HA114" s="207">
        <f t="shared" si="2239"/>
        <v>1351.6645386283776</v>
      </c>
      <c r="HB114" s="207">
        <f t="shared" si="2239"/>
        <v>1354.4487462697045</v>
      </c>
      <c r="HC114" s="207">
        <f t="shared" si="2239"/>
        <v>1357.238688922914</v>
      </c>
      <c r="HD114" s="207">
        <f t="shared" si="2239"/>
        <v>1360.0343784011911</v>
      </c>
      <c r="HE114" s="207">
        <f t="shared" si="2239"/>
        <v>1362.835826542055</v>
      </c>
      <c r="HF114" s="207">
        <f t="shared" si="2239"/>
        <v>1365.6430452074073</v>
      </c>
      <c r="HG114" s="207">
        <f t="shared" si="2239"/>
        <v>1368.4560462835841</v>
      </c>
      <c r="HH114" s="207">
        <f t="shared" si="2239"/>
        <v>1371.2748416814047</v>
      </c>
      <c r="HI114" s="207">
        <f t="shared" si="2239"/>
        <v>1374.099443336223</v>
      </c>
      <c r="HJ114" s="207">
        <f t="shared" si="2239"/>
        <v>1376.9298632079776</v>
      </c>
      <c r="HK114" s="207">
        <f t="shared" si="2239"/>
        <v>1379.766113281243</v>
      </c>
      <c r="HL114" s="207">
        <f t="shared" si="2239"/>
        <v>1382.6082055652796</v>
      </c>
      <c r="HM114" s="207">
        <f t="shared" si="2239"/>
        <v>1385.4561520940852</v>
      </c>
      <c r="HN114" s="207">
        <f t="shared" si="2239"/>
        <v>1388.3099649264452</v>
      </c>
      <c r="HO114" s="207">
        <f t="shared" si="2239"/>
        <v>1391.1696561459848</v>
      </c>
      <c r="HP114" s="207">
        <f t="shared" si="2239"/>
        <v>1394.035237861219</v>
      </c>
      <c r="HQ114" s="207">
        <f t="shared" ref="HQ114:KB114" si="2240">HP114+IF(HQ$112&gt;0,HP114*((1+INDEX($C$104:$H$104,1,MIN(HQ$112,6)))^(1/12)-1))</f>
        <v>1396.9067222056044</v>
      </c>
      <c r="HR114" s="207">
        <f t="shared" si="2240"/>
        <v>1399.7841213375907</v>
      </c>
      <c r="HS114" s="207">
        <f t="shared" si="2240"/>
        <v>1402.6674474406718</v>
      </c>
      <c r="HT114" s="207">
        <f t="shared" si="2240"/>
        <v>1405.5567127234378</v>
      </c>
      <c r="HU114" s="207">
        <f t="shared" si="2240"/>
        <v>1408.4519294196266</v>
      </c>
      <c r="HV114" s="207">
        <f t="shared" si="2240"/>
        <v>1411.3531097881751</v>
      </c>
      <c r="HW114" s="207">
        <f t="shared" si="2240"/>
        <v>1414.2602661132721</v>
      </c>
      <c r="HX114" s="207">
        <f t="shared" si="2240"/>
        <v>1417.1734107044097</v>
      </c>
      <c r="HY114" s="207">
        <f t="shared" si="2240"/>
        <v>1420.0925558964354</v>
      </c>
      <c r="HZ114" s="207">
        <f t="shared" si="2240"/>
        <v>1423.0177140496046</v>
      </c>
      <c r="IA114" s="207">
        <f t="shared" si="2240"/>
        <v>1425.9488975496326</v>
      </c>
      <c r="IB114" s="207">
        <f t="shared" si="2240"/>
        <v>1428.8861188077476</v>
      </c>
      <c r="IC114" s="207">
        <f t="shared" si="2240"/>
        <v>1431.8293902607427</v>
      </c>
      <c r="ID114" s="207">
        <f t="shared" si="2240"/>
        <v>1434.7787243710286</v>
      </c>
      <c r="IE114" s="207">
        <f t="shared" si="2240"/>
        <v>1437.7341336266868</v>
      </c>
      <c r="IF114" s="207">
        <f t="shared" si="2240"/>
        <v>1440.695630541522</v>
      </c>
      <c r="IG114" s="207">
        <f t="shared" si="2240"/>
        <v>1443.6632276551154</v>
      </c>
      <c r="IH114" s="207">
        <f t="shared" si="2240"/>
        <v>1446.6369375328777</v>
      </c>
      <c r="II114" s="207">
        <f t="shared" si="2240"/>
        <v>1449.6167727661023</v>
      </c>
      <c r="IJ114" s="207">
        <f t="shared" si="2240"/>
        <v>1452.6027459720183</v>
      </c>
      <c r="IK114" s="207">
        <f t="shared" si="2240"/>
        <v>1455.5948697938445</v>
      </c>
      <c r="IL114" s="207">
        <f t="shared" si="2240"/>
        <v>1458.5931569008428</v>
      </c>
      <c r="IM114" s="207">
        <f t="shared" si="2240"/>
        <v>1461.5976199883717</v>
      </c>
      <c r="IN114" s="207">
        <f t="shared" si="2240"/>
        <v>1464.6082717779395</v>
      </c>
      <c r="IO114" s="207">
        <f t="shared" si="2240"/>
        <v>1467.6251250172595</v>
      </c>
      <c r="IP114" s="207">
        <f t="shared" si="2240"/>
        <v>1470.6481924803024</v>
      </c>
      <c r="IQ114" s="207">
        <f t="shared" si="2240"/>
        <v>1473.677486967352</v>
      </c>
      <c r="IR114" s="207">
        <f t="shared" si="2240"/>
        <v>1476.7130213050582</v>
      </c>
      <c r="IS114" s="207">
        <f t="shared" si="2240"/>
        <v>1479.7548083464915</v>
      </c>
      <c r="IT114" s="207">
        <f t="shared" si="2240"/>
        <v>1482.8028609711978</v>
      </c>
      <c r="IU114" s="207">
        <f t="shared" si="2240"/>
        <v>1485.8571920852528</v>
      </c>
      <c r="IV114" s="207">
        <f t="shared" si="2240"/>
        <v>1488.9178146213167</v>
      </c>
      <c r="IW114" s="207">
        <f t="shared" si="2240"/>
        <v>1491.9847415386887</v>
      </c>
      <c r="IX114" s="207">
        <f t="shared" si="2240"/>
        <v>1495.0579858233621</v>
      </c>
      <c r="IY114" s="207">
        <f t="shared" si="2240"/>
        <v>1498.1375604880791</v>
      </c>
      <c r="IZ114" s="207">
        <f t="shared" si="2240"/>
        <v>1501.2234785723861</v>
      </c>
      <c r="JA114" s="207">
        <f t="shared" si="2240"/>
        <v>1504.3157531426889</v>
      </c>
      <c r="JB114" s="207">
        <f t="shared" si="2240"/>
        <v>1507.414397292308</v>
      </c>
      <c r="JC114" s="207">
        <f t="shared" si="2240"/>
        <v>1510.5194241415338</v>
      </c>
      <c r="JD114" s="207">
        <f t="shared" si="2240"/>
        <v>1513.6308468376826</v>
      </c>
      <c r="JE114" s="207">
        <f t="shared" si="2240"/>
        <v>1516.7486785551516</v>
      </c>
      <c r="JF114" s="207">
        <f t="shared" si="2240"/>
        <v>1519.8729324954757</v>
      </c>
      <c r="JG114" s="207">
        <f t="shared" si="2240"/>
        <v>1523.003621887382</v>
      </c>
      <c r="JH114" s="207">
        <f t="shared" si="2240"/>
        <v>1526.1407599868476</v>
      </c>
      <c r="JI114" s="207">
        <f t="shared" si="2240"/>
        <v>1529.2843600771539</v>
      </c>
      <c r="JJ114" s="207">
        <f t="shared" si="2240"/>
        <v>1532.434435468944</v>
      </c>
      <c r="JK114" s="207">
        <f t="shared" si="2240"/>
        <v>1535.5909995002789</v>
      </c>
      <c r="JL114" s="207">
        <f t="shared" si="2240"/>
        <v>1538.7540655366936</v>
      </c>
      <c r="JM114" s="207">
        <f t="shared" si="2240"/>
        <v>1541.9236469712541</v>
      </c>
      <c r="JN114" s="207">
        <f t="shared" si="2240"/>
        <v>1545.0997572246138</v>
      </c>
      <c r="JO114" s="207">
        <f t="shared" si="2240"/>
        <v>1548.2824097450703</v>
      </c>
      <c r="JP114" s="207">
        <f t="shared" si="2240"/>
        <v>1551.4716180086227</v>
      </c>
      <c r="JQ114" s="207">
        <f t="shared" si="2240"/>
        <v>1554.6673955190286</v>
      </c>
      <c r="JR114" s="207">
        <f t="shared" si="2240"/>
        <v>1557.8697558078607</v>
      </c>
      <c r="JS114" s="207">
        <f t="shared" si="2240"/>
        <v>1561.0787124345647</v>
      </c>
      <c r="JT114" s="207">
        <f t="shared" si="2240"/>
        <v>1564.2942789865169</v>
      </c>
      <c r="JU114" s="207">
        <f t="shared" si="2240"/>
        <v>1567.5164690790809</v>
      </c>
      <c r="JV114" s="207">
        <f t="shared" si="2240"/>
        <v>1570.7452963556659</v>
      </c>
      <c r="JW114" s="207">
        <f t="shared" si="2240"/>
        <v>1573.9807744877842</v>
      </c>
      <c r="JX114" s="207">
        <f t="shared" si="2240"/>
        <v>1577.2229171751094</v>
      </c>
      <c r="JY114" s="207">
        <f t="shared" si="2240"/>
        <v>1580.4717381455339</v>
      </c>
      <c r="JZ114" s="207">
        <f t="shared" si="2240"/>
        <v>1583.7272511552273</v>
      </c>
      <c r="KA114" s="207">
        <f t="shared" si="2240"/>
        <v>1586.9894699886952</v>
      </c>
      <c r="KB114" s="207">
        <f t="shared" si="2240"/>
        <v>1590.2584084588364</v>
      </c>
      <c r="KC114" s="207">
        <f t="shared" ref="KC114:KE114" si="2241">KB114+IF(KC$112&gt;0,KB114*((1+INDEX($C$104:$H$104,1,MIN(KC$112,6)))^(1/12)-1))</f>
        <v>1593.5340804070022</v>
      </c>
      <c r="KD114" s="207">
        <f t="shared" si="2241"/>
        <v>1596.8164997030551</v>
      </c>
      <c r="KE114" s="207">
        <f t="shared" si="2241"/>
        <v>1600.1056802454268</v>
      </c>
      <c r="KG114" s="199" t="str">
        <f>B114</f>
        <v>Studio</v>
      </c>
      <c r="KH114" s="201"/>
      <c r="KI114" s="221"/>
      <c r="KJ114" s="221"/>
      <c r="KK114" s="221"/>
      <c r="KL114" s="221"/>
      <c r="KM114" s="207">
        <f>I114</f>
        <v>1437.5</v>
      </c>
      <c r="KN114" s="207">
        <f>KM114+IF(KN$112&gt;0,KM114*((1+INDEX($C$105:$H$105,1,MIN(KN$112,6)))^(1/12)-1))</f>
        <v>1437.5</v>
      </c>
      <c r="KO114" s="207">
        <f t="shared" ref="KO114:MZ114" si="2242">KN114+IF(KO$112&gt;0,KN114*((1+INDEX($C$105:$H$105,1,MIN(KO$112,6)))^(1/12)-1))</f>
        <v>1437.5</v>
      </c>
      <c r="KP114" s="207">
        <f t="shared" si="2242"/>
        <v>1437.5</v>
      </c>
      <c r="KQ114" s="207">
        <f t="shared" si="2242"/>
        <v>1437.5</v>
      </c>
      <c r="KR114" s="207">
        <f t="shared" si="2242"/>
        <v>1437.5</v>
      </c>
      <c r="KS114" s="207">
        <f t="shared" si="2242"/>
        <v>1437.5</v>
      </c>
      <c r="KT114" s="207">
        <f t="shared" si="2242"/>
        <v>1437.5</v>
      </c>
      <c r="KU114" s="207">
        <f t="shared" si="2242"/>
        <v>1437.5</v>
      </c>
      <c r="KV114" s="207">
        <f t="shared" si="2242"/>
        <v>1437.5</v>
      </c>
      <c r="KW114" s="207">
        <f t="shared" si="2242"/>
        <v>1437.5</v>
      </c>
      <c r="KX114" s="207">
        <f t="shared" si="2242"/>
        <v>1437.5</v>
      </c>
      <c r="KY114" s="207">
        <f t="shared" si="2242"/>
        <v>1437.5</v>
      </c>
      <c r="KZ114" s="207">
        <f t="shared" si="2242"/>
        <v>1440.4610146378989</v>
      </c>
      <c r="LA114" s="207">
        <f t="shared" si="2242"/>
        <v>1443.4281284811445</v>
      </c>
      <c r="LB114" s="207">
        <f t="shared" si="2242"/>
        <v>1446.4013540931012</v>
      </c>
      <c r="LC114" s="207">
        <f t="shared" si="2242"/>
        <v>1449.3807040630118</v>
      </c>
      <c r="LD114" s="207">
        <f t="shared" si="2242"/>
        <v>1452.3661910060509</v>
      </c>
      <c r="LE114" s="207">
        <f t="shared" si="2242"/>
        <v>1455.3578275633786</v>
      </c>
      <c r="LF114" s="207">
        <f t="shared" si="2242"/>
        <v>1458.3556264021931</v>
      </c>
      <c r="LG114" s="207">
        <f t="shared" si="2242"/>
        <v>1461.3596002157856</v>
      </c>
      <c r="LH114" s="207">
        <f t="shared" si="2242"/>
        <v>1464.369761723593</v>
      </c>
      <c r="LI114" s="207">
        <f t="shared" si="2242"/>
        <v>1467.3861236712523</v>
      </c>
      <c r="LJ114" s="207">
        <f t="shared" si="2242"/>
        <v>1470.4086988306544</v>
      </c>
      <c r="LK114" s="207">
        <f t="shared" si="2242"/>
        <v>1473.4374999999982</v>
      </c>
      <c r="LL114" s="207">
        <f t="shared" si="2242"/>
        <v>1476.4725400038446</v>
      </c>
      <c r="LM114" s="207">
        <f t="shared" si="2242"/>
        <v>1479.5138316931714</v>
      </c>
      <c r="LN114" s="207">
        <f t="shared" si="2242"/>
        <v>1482.561387945427</v>
      </c>
      <c r="LO114" s="207">
        <f t="shared" si="2242"/>
        <v>1485.6152216645853</v>
      </c>
      <c r="LP114" s="207">
        <f t="shared" si="2242"/>
        <v>1488.6753457812006</v>
      </c>
      <c r="LQ114" s="207">
        <f t="shared" si="2242"/>
        <v>1491.7417732524614</v>
      </c>
      <c r="LR114" s="207">
        <f t="shared" si="2242"/>
        <v>1494.8145170622463</v>
      </c>
      <c r="LS114" s="207">
        <f t="shared" si="2242"/>
        <v>1497.8935902211786</v>
      </c>
      <c r="LT114" s="207">
        <f t="shared" si="2242"/>
        <v>1500.9790057666812</v>
      </c>
      <c r="LU114" s="207">
        <f t="shared" si="2242"/>
        <v>1504.070776763032</v>
      </c>
      <c r="LV114" s="207">
        <f t="shared" si="2242"/>
        <v>1507.1689163014189</v>
      </c>
      <c r="LW114" s="207">
        <f t="shared" si="2242"/>
        <v>1510.2734374999961</v>
      </c>
      <c r="LX114" s="207">
        <f t="shared" si="2242"/>
        <v>1513.3843535039387</v>
      </c>
      <c r="LY114" s="207">
        <f t="shared" si="2242"/>
        <v>1516.5016774854985</v>
      </c>
      <c r="LZ114" s="207">
        <f t="shared" si="2242"/>
        <v>1519.6254226440606</v>
      </c>
      <c r="MA114" s="207">
        <f t="shared" si="2242"/>
        <v>1522.7556022061979</v>
      </c>
      <c r="MB114" s="207">
        <f t="shared" si="2242"/>
        <v>1525.8922294257284</v>
      </c>
      <c r="MC114" s="207">
        <f t="shared" si="2242"/>
        <v>1529.0353175837706</v>
      </c>
      <c r="MD114" s="207">
        <f t="shared" si="2242"/>
        <v>1532.1848799888003</v>
      </c>
      <c r="ME114" s="207">
        <f t="shared" si="2242"/>
        <v>1535.3409299767059</v>
      </c>
      <c r="MF114" s="207">
        <f t="shared" si="2242"/>
        <v>1538.5034809108461</v>
      </c>
      <c r="MG114" s="207">
        <f t="shared" si="2242"/>
        <v>1541.6725461821056</v>
      </c>
      <c r="MH114" s="207">
        <f t="shared" si="2242"/>
        <v>1544.8481392089523</v>
      </c>
      <c r="MI114" s="207">
        <f t="shared" si="2242"/>
        <v>1548.0302734374939</v>
      </c>
      <c r="MJ114" s="207">
        <f t="shared" si="2242"/>
        <v>1551.218962341535</v>
      </c>
      <c r="MK114" s="207">
        <f t="shared" si="2242"/>
        <v>1554.4142194226338</v>
      </c>
      <c r="ML114" s="207">
        <f t="shared" si="2242"/>
        <v>1557.6160582101597</v>
      </c>
      <c r="MM114" s="207">
        <f t="shared" si="2242"/>
        <v>1560.8244922613505</v>
      </c>
      <c r="MN114" s="207">
        <f t="shared" si="2242"/>
        <v>1564.0395351613693</v>
      </c>
      <c r="MO114" s="207">
        <f t="shared" si="2242"/>
        <v>1567.2612005233627</v>
      </c>
      <c r="MP114" s="207">
        <f t="shared" si="2242"/>
        <v>1570.489501988518</v>
      </c>
      <c r="MQ114" s="207">
        <f t="shared" si="2242"/>
        <v>1573.7244532261211</v>
      </c>
      <c r="MR114" s="207">
        <f t="shared" si="2242"/>
        <v>1576.9660679336148</v>
      </c>
      <c r="MS114" s="207">
        <f t="shared" si="2242"/>
        <v>1580.2143598366558</v>
      </c>
      <c r="MT114" s="207">
        <f t="shared" si="2242"/>
        <v>1583.4693426891738</v>
      </c>
      <c r="MU114" s="207">
        <f t="shared" si="2242"/>
        <v>1586.731030273429</v>
      </c>
      <c r="MV114" s="207">
        <f t="shared" si="2242"/>
        <v>1589.9994364000711</v>
      </c>
      <c r="MW114" s="207">
        <f t="shared" si="2242"/>
        <v>1593.2745749081976</v>
      </c>
      <c r="MX114" s="207">
        <f t="shared" si="2242"/>
        <v>1596.5564596654117</v>
      </c>
      <c r="MY114" s="207">
        <f t="shared" si="2242"/>
        <v>1599.8451045678821</v>
      </c>
      <c r="MZ114" s="207">
        <f t="shared" si="2242"/>
        <v>1603.1405235404013</v>
      </c>
      <c r="NA114" s="207">
        <f t="shared" ref="NA114:PL114" si="2243">MZ114+IF(NA$112&gt;0,MZ114*((1+INDEX($C$105:$H$105,1,MIN(NA$112,6)))^(1/12)-1))</f>
        <v>1606.4427305364445</v>
      </c>
      <c r="NB114" s="207">
        <f t="shared" si="2243"/>
        <v>1609.7517395382288</v>
      </c>
      <c r="NC114" s="207">
        <f t="shared" si="2243"/>
        <v>1613.0675645567721</v>
      </c>
      <c r="ND114" s="207">
        <f t="shared" si="2243"/>
        <v>1616.3902196319532</v>
      </c>
      <c r="NE114" s="207">
        <f t="shared" si="2243"/>
        <v>1619.7197188325702</v>
      </c>
      <c r="NF114" s="207">
        <f t="shared" si="2243"/>
        <v>1623.056076256401</v>
      </c>
      <c r="NG114" s="207">
        <f t="shared" si="2243"/>
        <v>1626.3993060302626</v>
      </c>
      <c r="NH114" s="207">
        <f t="shared" si="2243"/>
        <v>1629.7494223100707</v>
      </c>
      <c r="NI114" s="207">
        <f t="shared" si="2243"/>
        <v>1633.1064392809003</v>
      </c>
      <c r="NJ114" s="207">
        <f t="shared" si="2243"/>
        <v>1636.4703711570448</v>
      </c>
      <c r="NK114" s="207">
        <f t="shared" si="2243"/>
        <v>1639.8412321820772</v>
      </c>
      <c r="NL114" s="207">
        <f t="shared" si="2243"/>
        <v>1643.2190366289094</v>
      </c>
      <c r="NM114" s="207">
        <f t="shared" si="2243"/>
        <v>1646.6037987998536</v>
      </c>
      <c r="NN114" s="207">
        <f t="shared" si="2243"/>
        <v>1649.9955330266823</v>
      </c>
      <c r="NO114" s="207">
        <f t="shared" si="2243"/>
        <v>1653.3942536706893</v>
      </c>
      <c r="NP114" s="207">
        <f t="shared" si="2243"/>
        <v>1656.7999751227499</v>
      </c>
      <c r="NQ114" s="207">
        <f t="shared" si="2243"/>
        <v>1660.2127118033823</v>
      </c>
      <c r="NR114" s="207">
        <f t="shared" si="2243"/>
        <v>1663.6324781628089</v>
      </c>
      <c r="NS114" s="207">
        <f t="shared" si="2243"/>
        <v>1667.0592886810171</v>
      </c>
      <c r="NT114" s="207">
        <f t="shared" si="2243"/>
        <v>1670.4931578678204</v>
      </c>
      <c r="NU114" s="207">
        <f t="shared" si="2243"/>
        <v>1673.9341002629208</v>
      </c>
      <c r="NV114" s="207">
        <f t="shared" si="2243"/>
        <v>1677.382130435969</v>
      </c>
      <c r="NW114" s="207">
        <f t="shared" si="2243"/>
        <v>1680.8372629866271</v>
      </c>
      <c r="NX114" s="207">
        <f t="shared" si="2243"/>
        <v>1684.2995125446303</v>
      </c>
      <c r="NY114" s="207">
        <f t="shared" si="2243"/>
        <v>1687.7688937698481</v>
      </c>
      <c r="NZ114" s="207">
        <f t="shared" si="2243"/>
        <v>1691.2454213523476</v>
      </c>
      <c r="OA114" s="207">
        <f t="shared" si="2243"/>
        <v>1694.7291100124546</v>
      </c>
      <c r="OB114" s="207">
        <f t="shared" si="2243"/>
        <v>1698.2199745008165</v>
      </c>
      <c r="OC114" s="207">
        <f t="shared" si="2243"/>
        <v>1701.7180295984647</v>
      </c>
      <c r="OD114" s="207">
        <f t="shared" si="2243"/>
        <v>1705.223290116877</v>
      </c>
      <c r="OE114" s="207">
        <f t="shared" si="2243"/>
        <v>1708.7357708980403</v>
      </c>
      <c r="OF114" s="207">
        <f t="shared" si="2243"/>
        <v>1712.2554868145137</v>
      </c>
      <c r="OG114" s="207">
        <f t="shared" si="2243"/>
        <v>1715.7824527694916</v>
      </c>
      <c r="OH114" s="207">
        <f t="shared" si="2243"/>
        <v>1719.316683696866</v>
      </c>
      <c r="OI114" s="207">
        <f t="shared" si="2243"/>
        <v>1722.8581945612905</v>
      </c>
      <c r="OJ114" s="207">
        <f t="shared" si="2243"/>
        <v>1726.4070003582435</v>
      </c>
      <c r="OK114" s="207">
        <f t="shared" si="2243"/>
        <v>1729.9631161140919</v>
      </c>
      <c r="OL114" s="207">
        <f t="shared" si="2243"/>
        <v>1733.5265568861539</v>
      </c>
      <c r="OM114" s="207">
        <f t="shared" si="2243"/>
        <v>1737.0973377627636</v>
      </c>
      <c r="ON114" s="207">
        <f t="shared" si="2243"/>
        <v>1740.6754738633347</v>
      </c>
      <c r="OO114" s="207">
        <f t="shared" si="2243"/>
        <v>1744.2609803384241</v>
      </c>
      <c r="OP114" s="207">
        <f t="shared" si="2243"/>
        <v>1747.8538723697966</v>
      </c>
      <c r="OQ114" s="207">
        <f t="shared" si="2243"/>
        <v>1751.454165170489</v>
      </c>
      <c r="OR114" s="207">
        <f t="shared" si="2243"/>
        <v>1755.0618739848742</v>
      </c>
      <c r="OS114" s="207">
        <f t="shared" si="2243"/>
        <v>1758.6770140887263</v>
      </c>
      <c r="OT114" s="207">
        <f t="shared" si="2243"/>
        <v>1762.299600789285</v>
      </c>
      <c r="OU114" s="207">
        <f t="shared" si="2243"/>
        <v>1765.9296494253201</v>
      </c>
      <c r="OV114" s="207">
        <f t="shared" si="2243"/>
        <v>1769.567175367197</v>
      </c>
      <c r="OW114" s="207">
        <f t="shared" si="2243"/>
        <v>1773.2121940169416</v>
      </c>
      <c r="OX114" s="207">
        <f t="shared" si="2243"/>
        <v>1776.864720808305</v>
      </c>
      <c r="OY114" s="207">
        <f t="shared" si="2243"/>
        <v>1780.5247712068299</v>
      </c>
      <c r="OZ114" s="207">
        <f t="shared" si="2243"/>
        <v>1784.1923607099152</v>
      </c>
      <c r="PA114" s="207">
        <f t="shared" si="2243"/>
        <v>1787.8675048468817</v>
      </c>
      <c r="PB114" s="207">
        <f t="shared" si="2243"/>
        <v>1791.5502191790385</v>
      </c>
      <c r="PC114" s="207">
        <f t="shared" si="2243"/>
        <v>1795.2405192997483</v>
      </c>
      <c r="PD114" s="207">
        <f t="shared" si="2243"/>
        <v>1798.9384208344932</v>
      </c>
      <c r="PE114" s="207">
        <f t="shared" si="2243"/>
        <v>1802.6439394409417</v>
      </c>
      <c r="PF114" s="207">
        <f t="shared" si="2243"/>
        <v>1806.3570908090144</v>
      </c>
      <c r="PG114" s="207">
        <f t="shared" si="2243"/>
        <v>1810.0778906609505</v>
      </c>
      <c r="PH114" s="207">
        <f t="shared" si="2243"/>
        <v>1813.8063547513743</v>
      </c>
      <c r="PI114" s="207">
        <f t="shared" si="2243"/>
        <v>1817.5424988673624</v>
      </c>
      <c r="PJ114" s="207">
        <f t="shared" si="2243"/>
        <v>1821.28633882851</v>
      </c>
      <c r="PK114" s="207">
        <f t="shared" si="2243"/>
        <v>1825.0378904869981</v>
      </c>
      <c r="PL114" s="207">
        <f t="shared" si="2243"/>
        <v>1828.7971697276605</v>
      </c>
      <c r="PM114" s="207">
        <f t="shared" ref="PM114:PO114" si="2244">PL114+IF(PM$112&gt;0,PL114*((1+INDEX($C$105:$H$105,1,MIN(PM$112,6)))^(1/12)-1))</f>
        <v>1832.5641924680513</v>
      </c>
      <c r="PN114" s="207">
        <f t="shared" si="2244"/>
        <v>1836.3389746585119</v>
      </c>
      <c r="PO114" s="207">
        <f t="shared" si="2244"/>
        <v>1840.1215322822393</v>
      </c>
      <c r="PQ114" s="221"/>
      <c r="PR114" s="525" t="str">
        <f>+B114</f>
        <v>Studio</v>
      </c>
      <c r="PS114" s="525">
        <f>COUNTIF($T$110:T$110,"Rolling")/$K$106*(1-$E114)+$E114</f>
        <v>4.1666666666666664E-2</v>
      </c>
      <c r="PT114" s="525">
        <f>COUNTIF($T$110:U$110,"Rolling")/$K$106*(1-$E114)+$E114</f>
        <v>8.3333333333333329E-2</v>
      </c>
      <c r="PU114" s="525">
        <f>COUNTIF($T$110:V$110,"Rolling")/$K$106*(1-$E114)+$E114</f>
        <v>0.125</v>
      </c>
      <c r="PV114" s="525">
        <f>COUNTIF($T$110:W$110,"Rolling")/$K$106*(1-$E114)+$E114</f>
        <v>0.16666666666666666</v>
      </c>
      <c r="PW114" s="525">
        <f>COUNTIF($T$110:X$110,"Rolling")/$K$106*(1-$E114)+$E114</f>
        <v>0.20833333333333334</v>
      </c>
      <c r="PX114" s="525">
        <f>COUNTIF($T$110:Y$110,"Rolling")/$K$106*(1-$E114)+$E114</f>
        <v>0.25</v>
      </c>
      <c r="PY114" s="525">
        <f>COUNTIF($T$110:Z$110,"Rolling")/$K$106*(1-$E114)+$E114</f>
        <v>0.29166666666666669</v>
      </c>
      <c r="PZ114" s="525">
        <f>COUNTIF($T$110:AA$110,"Rolling")/$K$106*(1-$E114)+$E114</f>
        <v>0.33333333333333331</v>
      </c>
      <c r="QA114" s="525">
        <f>COUNTIF($T$110:AB$110,"Rolling")/$K$106*(1-$E114)+$E114</f>
        <v>0.375</v>
      </c>
      <c r="QB114" s="525">
        <f>COUNTIF($T$110:AC$110,"Rolling")/$K$106*(1-$E114)+$E114</f>
        <v>0.41666666666666669</v>
      </c>
      <c r="QC114" s="525">
        <f>COUNTIF($T$110:AD$110,"Rolling")/$K$106*(1-$E114)+$E114</f>
        <v>0.45833333333333331</v>
      </c>
      <c r="QD114" s="525">
        <f>COUNTIF($T$110:AE$110,"Rolling")/$K$106*(1-$E114)+$E114</f>
        <v>0.5</v>
      </c>
      <c r="QE114" s="525">
        <f>COUNTIF($T$110:AF$110,"Rolling")/$K$106*(1-$E114)+$E114</f>
        <v>0.54166666666666663</v>
      </c>
      <c r="QF114" s="525">
        <f>COUNTIF($T$110:AG$110,"Rolling")/$K$106*(1-$E114)+$E114</f>
        <v>0.58333333333333337</v>
      </c>
      <c r="QG114" s="525">
        <f>COUNTIF($T$110:AH$110,"Rolling")/$K$106*(1-$E114)+$E114</f>
        <v>0.625</v>
      </c>
      <c r="QH114" s="525">
        <f>COUNTIF($T$110:AI$110,"Rolling")/$K$106*(1-$E114)+$E114</f>
        <v>0.66666666666666663</v>
      </c>
      <c r="QI114" s="525">
        <f>COUNTIF($T$110:AJ$110,"Rolling")/$K$106*(1-$E114)+$E114</f>
        <v>0.70833333333333337</v>
      </c>
      <c r="QJ114" s="525">
        <f>COUNTIF($T$110:AK$110,"Rolling")/$K$106*(1-$E114)+$E114</f>
        <v>0.75</v>
      </c>
      <c r="QK114" s="525">
        <f>COUNTIF($T$110:AL$110,"Rolling")/$K$106*(1-$E114)+$E114</f>
        <v>0.79166666666666663</v>
      </c>
      <c r="QL114" s="525">
        <f>COUNTIF($T$110:AM$110,"Rolling")/$K$106*(1-$E114)+$E114</f>
        <v>0.83333333333333337</v>
      </c>
      <c r="QM114" s="525">
        <f>COUNTIF($T$110:AN$110,"Rolling")/$K$106*(1-$E114)+$E114</f>
        <v>0.875</v>
      </c>
      <c r="QN114" s="525">
        <f>COUNTIF($T$110:AO$110,"Rolling")/$K$106*(1-$E114)+$E114</f>
        <v>0.91666666666666663</v>
      </c>
      <c r="QO114" s="525">
        <f>COUNTIF($T$110:AP$110,"Rolling")/$K$106*(1-$E114)+$E114</f>
        <v>0.95833333333333337</v>
      </c>
      <c r="QP114" s="525">
        <f>COUNTIF($T$110:AQ$110,"Rolling")/$K$106*(1-$E114)+$E114</f>
        <v>1</v>
      </c>
      <c r="QQ114" s="525">
        <f>COUNTIF($T$110:AR$110,"Rolling")/$K$106*(1-$E114)+$E114</f>
        <v>1</v>
      </c>
      <c r="QR114" s="525">
        <f>COUNTIF($T$110:AS$110,"Rolling")/$K$106*(1-$E114)+$E114</f>
        <v>1</v>
      </c>
      <c r="QS114" s="525">
        <f>COUNTIF($T$110:AT$110,"Rolling")/$K$106*(1-$E114)+$E114</f>
        <v>1</v>
      </c>
      <c r="QT114" s="525">
        <f>COUNTIF($T$110:AU$110,"Rolling")/$K$106*(1-$E114)+$E114</f>
        <v>1</v>
      </c>
      <c r="QU114" s="525">
        <f>COUNTIF($T$110:AV$110,"Rolling")/$K$106*(1-$E114)+$E114</f>
        <v>1</v>
      </c>
      <c r="QV114" s="525">
        <f>COUNTIF($T$110:AW$110,"Rolling")/$K$106*(1-$E114)+$E114</f>
        <v>1</v>
      </c>
      <c r="QW114" s="525">
        <f>COUNTIF($T$110:AX$110,"Rolling")/$K$106*(1-$E114)+$E114</f>
        <v>1</v>
      </c>
      <c r="QX114" s="525">
        <f>COUNTIF($T$110:AY$110,"Rolling")/$K$106*(1-$E114)+$E114</f>
        <v>1</v>
      </c>
      <c r="QY114" s="525">
        <f>COUNTIF($T$110:AZ$110,"Rolling")/$K$106*(1-$E114)+$E114</f>
        <v>1</v>
      </c>
      <c r="QZ114" s="525">
        <f>COUNTIF($T$110:BA$110,"Rolling")/$K$106*(1-$E114)+$E114</f>
        <v>1</v>
      </c>
      <c r="RA114" s="525">
        <f>COUNTIF($T$110:BB$110,"Rolling")/$K$106*(1-$E114)+$E114</f>
        <v>1</v>
      </c>
      <c r="RB114" s="525">
        <f>COUNTIF($T$110:BC$110,"Rolling")/$K$106*(1-$E114)+$E114</f>
        <v>1</v>
      </c>
      <c r="RC114" s="525">
        <f>COUNTIF($T$110:BD$110,"Rolling")/$K$106*(1-$E114)+$E114</f>
        <v>1</v>
      </c>
      <c r="RD114" s="525">
        <f>COUNTIF($T$110:BE$110,"Rolling")/$K$106*(1-$E114)+$E114</f>
        <v>1</v>
      </c>
      <c r="RE114" s="525">
        <f>COUNTIF($T$110:BF$110,"Rolling")/$K$106*(1-$E114)+$E114</f>
        <v>1</v>
      </c>
      <c r="RF114" s="525">
        <f>COUNTIF($T$110:BG$110,"Rolling")/$K$106*(1-$E114)+$E114</f>
        <v>1</v>
      </c>
      <c r="RG114" s="525">
        <f>COUNTIF($T$110:BH$110,"Rolling")/$K$106*(1-$E114)+$E114</f>
        <v>1</v>
      </c>
      <c r="RH114" s="525">
        <f>COUNTIF($T$110:BI$110,"Rolling")/$K$106*(1-$E114)+$E114</f>
        <v>1</v>
      </c>
      <c r="RI114" s="525">
        <f>COUNTIF($T$110:BJ$110,"Rolling")/$K$106*(1-$E114)+$E114</f>
        <v>1</v>
      </c>
      <c r="RJ114" s="525">
        <f>COUNTIF($T$110:BK$110,"Rolling")/$K$106*(1-$E114)+$E114</f>
        <v>1</v>
      </c>
      <c r="RK114" s="525">
        <f>COUNTIF($T$110:BL$110,"Rolling")/$K$106*(1-$E114)+$E114</f>
        <v>1</v>
      </c>
      <c r="RL114" s="525">
        <f>COUNTIF($T$110:BM$110,"Rolling")/$K$106*(1-$E114)+$E114</f>
        <v>1</v>
      </c>
      <c r="RM114" s="525">
        <f>COUNTIF($T$110:BN$110,"Rolling")/$K$106*(1-$E114)+$E114</f>
        <v>1</v>
      </c>
      <c r="RN114" s="525">
        <f>COUNTIF($T$110:BO$110,"Rolling")/$K$106*(1-$E114)+$E114</f>
        <v>1</v>
      </c>
      <c r="RO114" s="525">
        <f>COUNTIF($T$110:BP$110,"Rolling")/$K$106*(1-$E114)+$E114</f>
        <v>1</v>
      </c>
      <c r="RP114" s="525">
        <f>COUNTIF($T$110:BQ$110,"Rolling")/$K$106*(1-$E114)+$E114</f>
        <v>1</v>
      </c>
      <c r="RQ114" s="525">
        <f>COUNTIF($T$110:BR$110,"Rolling")/$K$106*(1-$E114)+$E114</f>
        <v>1</v>
      </c>
      <c r="RR114" s="525">
        <f>COUNTIF($T$110:BS$110,"Rolling")/$K$106*(1-$E114)+$E114</f>
        <v>1</v>
      </c>
      <c r="RS114" s="525">
        <f>COUNTIF($T$110:BT$110,"Rolling")/$K$106*(1-$E114)+$E114</f>
        <v>1</v>
      </c>
      <c r="RT114" s="525">
        <f>COUNTIF($T$110:BU$110,"Rolling")/$K$106*(1-$E114)+$E114</f>
        <v>1</v>
      </c>
      <c r="RU114" s="525">
        <f>COUNTIF($T$110:BV$110,"Rolling")/$K$106*(1-$E114)+$E114</f>
        <v>1</v>
      </c>
      <c r="RV114" s="525">
        <f>COUNTIF($T$110:BW$110,"Rolling")/$K$106*(1-$E114)+$E114</f>
        <v>1</v>
      </c>
      <c r="RW114" s="525">
        <f>COUNTIF($T$110:BX$110,"Rolling")/$K$106*(1-$E114)+$E114</f>
        <v>1</v>
      </c>
      <c r="RX114" s="525">
        <f>COUNTIF($T$110:BY$110,"Rolling")/$K$106*(1-$E114)+$E114</f>
        <v>1</v>
      </c>
      <c r="RY114" s="525">
        <f>COUNTIF($T$110:BZ$110,"Rolling")/$K$106*(1-$E114)+$E114</f>
        <v>1</v>
      </c>
      <c r="RZ114" s="525">
        <f>COUNTIF($T$110:CA$110,"Rolling")/$K$106*(1-$E114)+$E114</f>
        <v>1</v>
      </c>
      <c r="SA114" s="525">
        <f>COUNTIF($T$110:CB$110,"Rolling")/$K$106*(1-$E114)+$E114</f>
        <v>1</v>
      </c>
      <c r="SB114" s="525">
        <f>COUNTIF($T$110:CC$110,"Rolling")/$K$106*(1-$E114)+$E114</f>
        <v>1</v>
      </c>
      <c r="SC114" s="525">
        <f>COUNTIF($T$110:CD$110,"Rolling")/$K$106*(1-$E114)+$E114</f>
        <v>1</v>
      </c>
      <c r="SD114" s="525">
        <f>COUNTIF($T$110:CE$110,"Rolling")/$K$106*(1-$E114)+$E114</f>
        <v>1</v>
      </c>
      <c r="SE114" s="525">
        <f>COUNTIF($T$110:CF$110,"Rolling")/$K$106*(1-$E114)+$E114</f>
        <v>1</v>
      </c>
      <c r="SF114" s="525">
        <f>COUNTIF($T$110:CG$110,"Rolling")/$K$106*(1-$E114)+$E114</f>
        <v>1</v>
      </c>
      <c r="SG114" s="525">
        <f>COUNTIF($T$110:CH$110,"Rolling")/$K$106*(1-$E114)+$E114</f>
        <v>1</v>
      </c>
      <c r="SH114" s="525">
        <f>COUNTIF($T$110:CI$110,"Rolling")/$K$106*(1-$E114)+$E114</f>
        <v>1</v>
      </c>
      <c r="SI114" s="525">
        <f>COUNTIF($T$110:CJ$110,"Rolling")/$K$106*(1-$E114)+$E114</f>
        <v>1</v>
      </c>
      <c r="SJ114" s="525">
        <f>COUNTIF($T$110:CK$110,"Rolling")/$K$106*(1-$E114)+$E114</f>
        <v>1</v>
      </c>
      <c r="SK114" s="525">
        <f>COUNTIF($T$110:CL$110,"Rolling")/$K$106*(1-$E114)+$E114</f>
        <v>1</v>
      </c>
      <c r="SL114" s="525">
        <f>COUNTIF($T$110:CM$110,"Rolling")/$K$106*(1-$E114)+$E114</f>
        <v>1</v>
      </c>
      <c r="SM114" s="525">
        <f>COUNTIF($T$110:CN$110,"Rolling")/$K$106*(1-$E114)+$E114</f>
        <v>1</v>
      </c>
      <c r="SN114" s="525">
        <f>COUNTIF($T$110:CO$110,"Rolling")/$K$106*(1-$E114)+$E114</f>
        <v>1</v>
      </c>
      <c r="SO114" s="525">
        <f>COUNTIF($T$110:CP$110,"Rolling")/$K$106*(1-$E114)+$E114</f>
        <v>1</v>
      </c>
      <c r="SP114" s="525">
        <f>COUNTIF($T$110:CQ$110,"Rolling")/$K$106*(1-$E114)+$E114</f>
        <v>1</v>
      </c>
      <c r="SQ114" s="525">
        <f>COUNTIF($T$110:CR$110,"Rolling")/$K$106*(1-$E114)+$E114</f>
        <v>1</v>
      </c>
      <c r="SR114" s="525">
        <f>COUNTIF($T$110:CS$110,"Rolling")/$K$106*(1-$E114)+$E114</f>
        <v>1</v>
      </c>
      <c r="SS114" s="525">
        <f>COUNTIF($T$110:CT$110,"Rolling")/$K$106*(1-$E114)+$E114</f>
        <v>1</v>
      </c>
      <c r="ST114" s="525">
        <f>COUNTIF($T$110:CU$110,"Rolling")/$K$106*(1-$E114)+$E114</f>
        <v>1</v>
      </c>
      <c r="SU114" s="525">
        <f>COUNTIF($T$110:CV$110,"Rolling")/$K$106*(1-$E114)+$E114</f>
        <v>1</v>
      </c>
      <c r="SV114" s="525">
        <f>COUNTIF($T$110:CW$110,"Rolling")/$K$106*(1-$E114)+$E114</f>
        <v>1</v>
      </c>
      <c r="SW114" s="525">
        <f>COUNTIF($T$110:CX$110,"Rolling")/$K$106*(1-$E114)+$E114</f>
        <v>1</v>
      </c>
      <c r="SX114" s="525">
        <f>COUNTIF($T$110:CY$110,"Rolling")/$K$106*(1-$E114)+$E114</f>
        <v>1</v>
      </c>
      <c r="SY114" s="525">
        <f>COUNTIF($T$110:CZ$110,"Rolling")/$K$106*(1-$E114)+$E114</f>
        <v>1</v>
      </c>
      <c r="SZ114" s="525">
        <f>COUNTIF($T$110:DA$110,"Rolling")/$K$106*(1-$E114)+$E114</f>
        <v>1</v>
      </c>
      <c r="TA114" s="525">
        <f>COUNTIF($T$110:DB$110,"Rolling")/$K$106*(1-$E114)+$E114</f>
        <v>1</v>
      </c>
      <c r="TB114" s="525">
        <f>COUNTIF($T$110:DC$110,"Rolling")/$K$106*(1-$E114)+$E114</f>
        <v>1</v>
      </c>
      <c r="TC114" s="525">
        <f>COUNTIF($T$110:DD$110,"Rolling")/$K$106*(1-$E114)+$E114</f>
        <v>1</v>
      </c>
      <c r="TD114" s="525">
        <f>COUNTIF($T$110:DE$110,"Rolling")/$K$106*(1-$E114)+$E114</f>
        <v>1</v>
      </c>
      <c r="TE114" s="525">
        <f>COUNTIF($T$110:DF$110,"Rolling")/$K$106*(1-$E114)+$E114</f>
        <v>1</v>
      </c>
      <c r="TF114" s="525">
        <f>COUNTIF($T$110:DG$110,"Rolling")/$K$106*(1-$E114)+$E114</f>
        <v>1</v>
      </c>
      <c r="TG114" s="525">
        <f>COUNTIF($T$110:DH$110,"Rolling")/$K$106*(1-$E114)+$E114</f>
        <v>1</v>
      </c>
      <c r="TH114" s="525">
        <f>COUNTIF($T$110:DI$110,"Rolling")/$K$106*(1-$E114)+$E114</f>
        <v>1</v>
      </c>
      <c r="TI114" s="525">
        <f>COUNTIF($T$110:DJ$110,"Rolling")/$K$106*(1-$E114)+$E114</f>
        <v>1</v>
      </c>
      <c r="TJ114" s="525">
        <f>COUNTIF($T$110:DK$110,"Rolling")/$K$106*(1-$E114)+$E114</f>
        <v>1</v>
      </c>
      <c r="TK114" s="525">
        <f>COUNTIF($T$110:DL$110,"Rolling")/$K$106*(1-$E114)+$E114</f>
        <v>1</v>
      </c>
      <c r="TL114" s="525">
        <f>COUNTIF($T$110:DM$110,"Rolling")/$K$106*(1-$E114)+$E114</f>
        <v>1</v>
      </c>
      <c r="TM114" s="525">
        <f>COUNTIF($T$110:DN$110,"Rolling")/$K$106*(1-$E114)+$E114</f>
        <v>1</v>
      </c>
      <c r="TN114" s="525">
        <f>COUNTIF($T$110:DO$110,"Rolling")/$K$106*(1-$E114)+$E114</f>
        <v>1</v>
      </c>
      <c r="TO114" s="525">
        <f>COUNTIF($T$110:DP$110,"Rolling")/$K$106*(1-$E114)+$E114</f>
        <v>1</v>
      </c>
      <c r="TP114" s="525">
        <f>COUNTIF($T$110:DQ$110,"Rolling")/$K$106*(1-$E114)+$E114</f>
        <v>1</v>
      </c>
      <c r="TQ114" s="525">
        <f>COUNTIF($T$110:DR$110,"Rolling")/$K$106*(1-$E114)+$E114</f>
        <v>1</v>
      </c>
      <c r="TR114" s="525">
        <f>COUNTIF($T$110:DS$110,"Rolling")/$K$106*(1-$E114)+$E114</f>
        <v>1</v>
      </c>
      <c r="TS114" s="525">
        <f>COUNTIF($T$110:DT$110,"Rolling")/$K$106*(1-$E114)+$E114</f>
        <v>1</v>
      </c>
      <c r="TT114" s="525">
        <f>COUNTIF($T$110:DU$110,"Rolling")/$K$106*(1-$E114)+$E114</f>
        <v>1</v>
      </c>
      <c r="TU114" s="525">
        <f>COUNTIF($T$110:DV$110,"Rolling")/$K$106*(1-$E114)+$E114</f>
        <v>1</v>
      </c>
      <c r="TV114" s="525">
        <f>COUNTIF($T$110:DW$110,"Rolling")/$K$106*(1-$E114)+$E114</f>
        <v>1</v>
      </c>
      <c r="TW114" s="525">
        <f>COUNTIF($T$110:DX$110,"Rolling")/$K$106*(1-$E114)+$E114</f>
        <v>1</v>
      </c>
      <c r="TX114" s="525">
        <f>COUNTIF($T$110:DY$110,"Rolling")/$K$106*(1-$E114)+$E114</f>
        <v>1</v>
      </c>
      <c r="TY114" s="525">
        <f>COUNTIF($T$110:DZ$110,"Rolling")/$K$106*(1-$E114)+$E114</f>
        <v>1</v>
      </c>
      <c r="TZ114" s="525">
        <f>COUNTIF($T$110:EA$110,"Rolling")/$K$106*(1-$E114)+$E114</f>
        <v>1</v>
      </c>
      <c r="UA114" s="525">
        <f>COUNTIF($T$110:EB$110,"Rolling")/$K$106*(1-$E114)+$E114</f>
        <v>1</v>
      </c>
      <c r="UB114" s="525">
        <f>COUNTIF($T$110:EC$110,"Rolling")/$K$106*(1-$E114)+$E114</f>
        <v>1</v>
      </c>
      <c r="UC114" s="525">
        <f>COUNTIF($T$110:ED$110,"Rolling")/$K$106*(1-$E114)+$E114</f>
        <v>1</v>
      </c>
      <c r="UD114" s="525">
        <f>COUNTIF($T$110:EE$110,"Rolling")/$K$106*(1-$E114)+$E114</f>
        <v>1</v>
      </c>
      <c r="UE114" s="525">
        <f>COUNTIF($T$110:EF$110,"Rolling")/$K$106*(1-$E114)+$E114</f>
        <v>1</v>
      </c>
      <c r="UF114" s="525">
        <f>COUNTIF($T$110:EG$110,"Rolling")/$K$106*(1-$E114)+$E114</f>
        <v>1</v>
      </c>
      <c r="UG114" s="525">
        <f>COUNTIF($T$110:EH$110,"Rolling")/$K$106*(1-$E114)+$E114</f>
        <v>1</v>
      </c>
      <c r="UH114" s="525">
        <f>COUNTIF($T$110:EI$110,"Rolling")/$K$106*(1-$E114)+$E114</f>
        <v>1</v>
      </c>
      <c r="UI114" s="525">
        <f>COUNTIF($T$110:EJ$110,"Rolling")/$K$106*(1-$E114)+$E114</f>
        <v>1</v>
      </c>
      <c r="UJ114" s="525">
        <f>COUNTIF($T$110:EK$110,"Rolling")/$K$106*(1-$E114)+$E114</f>
        <v>1</v>
      </c>
      <c r="UK114" s="525">
        <f>COUNTIF($T$110:EL$110,"Rolling")/$K$106*(1-$E114)+$E114</f>
        <v>1</v>
      </c>
      <c r="UL114" s="525">
        <f>COUNTIF($T$110:EM$110,"Rolling")/$K$106*(1-$E114)+$E114</f>
        <v>1</v>
      </c>
      <c r="UM114" s="525">
        <f>COUNTIF($T$110:EN$110,"Rolling")/$K$106*(1-$E114)+$E114</f>
        <v>1</v>
      </c>
      <c r="UN114" s="525">
        <f>COUNTIF($T$110:EO$110,"Rolling")/$K$106*(1-$E114)+$E114</f>
        <v>1</v>
      </c>
      <c r="UO114" s="525">
        <f>COUNTIF($T$110:EP$110,"Rolling")/$K$106*(1-$E114)+$E114</f>
        <v>1</v>
      </c>
      <c r="UP114" s="525">
        <f>COUNTIF($T$110:EQ$110,"Rolling")/$K$106*(1-$E114)+$E114</f>
        <v>1</v>
      </c>
      <c r="UQ114" s="525">
        <f>COUNTIF($T$110:ER$110,"Rolling")/$K$106*(1-$E114)+$E114</f>
        <v>1</v>
      </c>
      <c r="UR114" s="525">
        <f>COUNTIF($T$110:ES$110,"Rolling")/$K$106*(1-$E114)+$E114</f>
        <v>1</v>
      </c>
      <c r="US114" s="525">
        <f>COUNTIF($T$110:ET$110,"Rolling")/$K$106*(1-$E114)+$E114</f>
        <v>1</v>
      </c>
      <c r="UT114" s="525">
        <f>COUNTIF($T$110:EU$110,"Rolling")/$K$106*(1-$E114)+$E114</f>
        <v>1</v>
      </c>
      <c r="UU114" s="207"/>
    </row>
    <row r="115" spans="2:567" x14ac:dyDescent="0.25">
      <c r="B115" s="31" t="s">
        <v>124</v>
      </c>
      <c r="C115" s="147">
        <v>60</v>
      </c>
      <c r="D115" s="147">
        <v>750</v>
      </c>
      <c r="E115" s="68">
        <v>0</v>
      </c>
      <c r="F115" s="114">
        <f t="shared" si="2106"/>
        <v>2</v>
      </c>
      <c r="G115" s="115">
        <v>1500</v>
      </c>
      <c r="H115" s="114">
        <f t="shared" ref="H115:H119" si="2245">IFERROR(I115/D115,0)</f>
        <v>2.2999999999999998</v>
      </c>
      <c r="I115" s="115">
        <f t="shared" ref="I115:I118" si="2246">G115*1.15</f>
        <v>1724.9999999999998</v>
      </c>
      <c r="J115" s="149">
        <f t="shared" ref="J115:J119" si="2247">((1-E115)*G115+E115*I115)*C115*12</f>
        <v>1080000</v>
      </c>
      <c r="K115" s="149">
        <f t="shared" ref="K115:K119" si="2248">I115*C115*12</f>
        <v>1241999.9999999998</v>
      </c>
      <c r="M115" s="3" t="s">
        <v>840</v>
      </c>
      <c r="R115" s="524"/>
      <c r="T115" s="92">
        <f t="shared" ref="T115:T119" si="2249">$C115*(1-PS115)*FD115+$C115*PS115*KN115</f>
        <v>90562.5</v>
      </c>
      <c r="U115" s="92">
        <f t="shared" si="2107"/>
        <v>91125</v>
      </c>
      <c r="V115" s="92">
        <f t="shared" si="2108"/>
        <v>91687.5</v>
      </c>
      <c r="W115" s="92">
        <f t="shared" si="2109"/>
        <v>92250</v>
      </c>
      <c r="X115" s="92">
        <f t="shared" si="2110"/>
        <v>92812.5</v>
      </c>
      <c r="Y115" s="92">
        <f t="shared" si="2111"/>
        <v>93375</v>
      </c>
      <c r="Z115" s="92">
        <f t="shared" si="2112"/>
        <v>93937.499999999985</v>
      </c>
      <c r="AA115" s="92">
        <f t="shared" si="2113"/>
        <v>94500</v>
      </c>
      <c r="AB115" s="92">
        <f t="shared" si="2114"/>
        <v>95062.5</v>
      </c>
      <c r="AC115" s="92">
        <f t="shared" si="2115"/>
        <v>95624.999999999985</v>
      </c>
      <c r="AD115" s="92">
        <f t="shared" si="2116"/>
        <v>96187.5</v>
      </c>
      <c r="AE115" s="92">
        <f t="shared" si="2117"/>
        <v>96750</v>
      </c>
      <c r="AF115" s="92">
        <f t="shared" si="2118"/>
        <v>97512.947817009059</v>
      </c>
      <c r="AG115" s="92">
        <f t="shared" si="2119"/>
        <v>98278.628226150962</v>
      </c>
      <c r="AH115" s="92">
        <f t="shared" si="2120"/>
        <v>99047.049247679752</v>
      </c>
      <c r="AI115" s="92">
        <f t="shared" si="2121"/>
        <v>99818.218923296125</v>
      </c>
      <c r="AJ115" s="92">
        <f t="shared" si="2122"/>
        <v>100592.14531620168</v>
      </c>
      <c r="AK115" s="92">
        <f t="shared" si="2123"/>
        <v>101368.83651115357</v>
      </c>
      <c r="AL115" s="92">
        <f t="shared" si="2124"/>
        <v>102148.30061451883</v>
      </c>
      <c r="AM115" s="92">
        <f t="shared" si="2125"/>
        <v>102930.54575432924</v>
      </c>
      <c r="AN115" s="92">
        <f t="shared" si="2126"/>
        <v>103715.58008033621</v>
      </c>
      <c r="AO115" s="92">
        <f t="shared" si="2127"/>
        <v>104503.41176406569</v>
      </c>
      <c r="AP115" s="92">
        <f t="shared" si="2128"/>
        <v>105294.04899887335</v>
      </c>
      <c r="AQ115" s="92">
        <f t="shared" si="2129"/>
        <v>106087.49999999983</v>
      </c>
      <c r="AR115" s="92">
        <f t="shared" si="2130"/>
        <v>106306.02288027675</v>
      </c>
      <c r="AS115" s="92">
        <f t="shared" si="2131"/>
        <v>106524.99588190828</v>
      </c>
      <c r="AT115" s="92">
        <f t="shared" si="2132"/>
        <v>106744.4199320707</v>
      </c>
      <c r="AU115" s="92">
        <f t="shared" si="2133"/>
        <v>106964.2959598501</v>
      </c>
      <c r="AV115" s="92">
        <f t="shared" si="2134"/>
        <v>107184.62489624639</v>
      </c>
      <c r="AW115" s="92">
        <f t="shared" si="2135"/>
        <v>107405.40767417716</v>
      </c>
      <c r="AX115" s="92">
        <f t="shared" si="2136"/>
        <v>107626.64522848168</v>
      </c>
      <c r="AY115" s="92">
        <f t="shared" si="2137"/>
        <v>107848.33849592479</v>
      </c>
      <c r="AZ115" s="92">
        <f t="shared" si="2138"/>
        <v>108070.48841520098</v>
      </c>
      <c r="BA115" s="92">
        <f t="shared" si="2139"/>
        <v>108293.09592693821</v>
      </c>
      <c r="BB115" s="92">
        <f t="shared" si="2140"/>
        <v>108516.16197370208</v>
      </c>
      <c r="BC115" s="92">
        <f t="shared" si="2141"/>
        <v>108739.68749999965</v>
      </c>
      <c r="BD115" s="92">
        <f t="shared" si="2142"/>
        <v>108963.67345228352</v>
      </c>
      <c r="BE115" s="92">
        <f t="shared" si="2143"/>
        <v>109188.12077895584</v>
      </c>
      <c r="BF115" s="92">
        <f t="shared" si="2144"/>
        <v>109413.0304303723</v>
      </c>
      <c r="BG115" s="92">
        <f t="shared" si="2145"/>
        <v>109638.40335884619</v>
      </c>
      <c r="BH115" s="92">
        <f t="shared" si="2146"/>
        <v>109864.2405186524</v>
      </c>
      <c r="BI115" s="92">
        <f t="shared" si="2147"/>
        <v>110090.54286603144</v>
      </c>
      <c r="BJ115" s="92">
        <f t="shared" si="2148"/>
        <v>110317.31135919357</v>
      </c>
      <c r="BK115" s="92">
        <f t="shared" si="2149"/>
        <v>110544.54695832278</v>
      </c>
      <c r="BL115" s="92">
        <f t="shared" si="2150"/>
        <v>110772.25062558085</v>
      </c>
      <c r="BM115" s="92">
        <f t="shared" si="2151"/>
        <v>111000.42332511154</v>
      </c>
      <c r="BN115" s="92">
        <f t="shared" si="2152"/>
        <v>111229.06602304449</v>
      </c>
      <c r="BO115" s="92">
        <f t="shared" si="2153"/>
        <v>111458.17968749951</v>
      </c>
      <c r="BP115" s="92">
        <f t="shared" si="2154"/>
        <v>111687.76528859047</v>
      </c>
      <c r="BQ115" s="92">
        <f t="shared" si="2155"/>
        <v>111917.82379842958</v>
      </c>
      <c r="BR115" s="92">
        <f t="shared" si="2156"/>
        <v>112148.35619113146</v>
      </c>
      <c r="BS115" s="92">
        <f t="shared" si="2157"/>
        <v>112379.36344281719</v>
      </c>
      <c r="BT115" s="92">
        <f t="shared" si="2158"/>
        <v>112610.84653161856</v>
      </c>
      <c r="BU115" s="92">
        <f t="shared" si="2159"/>
        <v>112842.80643768207</v>
      </c>
      <c r="BV115" s="92">
        <f t="shared" si="2160"/>
        <v>113075.24414317326</v>
      </c>
      <c r="BW115" s="92">
        <f t="shared" si="2161"/>
        <v>113308.16063228069</v>
      </c>
      <c r="BX115" s="92">
        <f t="shared" si="2162"/>
        <v>113541.55689122023</v>
      </c>
      <c r="BY115" s="92">
        <f t="shared" si="2163"/>
        <v>113775.43390823918</v>
      </c>
      <c r="BZ115" s="92">
        <f t="shared" si="2164"/>
        <v>114009.79267362045</v>
      </c>
      <c r="CA115" s="92">
        <f t="shared" si="2165"/>
        <v>114244.63417968684</v>
      </c>
      <c r="CB115" s="92">
        <f t="shared" si="2166"/>
        <v>114479.95942080507</v>
      </c>
      <c r="CC115" s="92">
        <f t="shared" si="2167"/>
        <v>114715.76939339016</v>
      </c>
      <c r="CD115" s="92">
        <f t="shared" si="2168"/>
        <v>114952.06509590958</v>
      </c>
      <c r="CE115" s="92">
        <f t="shared" si="2169"/>
        <v>115188.84752888746</v>
      </c>
      <c r="CF115" s="92">
        <f t="shared" si="2170"/>
        <v>115426.11769490885</v>
      </c>
      <c r="CG115" s="92">
        <f t="shared" si="2171"/>
        <v>115663.87659862396</v>
      </c>
      <c r="CH115" s="92">
        <f t="shared" si="2172"/>
        <v>115902.12524675242</v>
      </c>
      <c r="CI115" s="92">
        <f t="shared" si="2173"/>
        <v>116140.86464808753</v>
      </c>
      <c r="CJ115" s="92">
        <f t="shared" si="2174"/>
        <v>116380.09581350056</v>
      </c>
      <c r="CK115" s="92">
        <f t="shared" si="2175"/>
        <v>116619.81975594498</v>
      </c>
      <c r="CL115" s="92">
        <f t="shared" si="2176"/>
        <v>116860.03749046079</v>
      </c>
      <c r="CM115" s="92">
        <f t="shared" si="2177"/>
        <v>117100.75003417883</v>
      </c>
      <c r="CN115" s="92">
        <f t="shared" si="2178"/>
        <v>117341.95840632502</v>
      </c>
      <c r="CO115" s="92">
        <f t="shared" si="2179"/>
        <v>117583.66362822475</v>
      </c>
      <c r="CP115" s="92">
        <f t="shared" si="2180"/>
        <v>117825.86672330716</v>
      </c>
      <c r="CQ115" s="92">
        <f t="shared" si="2181"/>
        <v>118068.56871710949</v>
      </c>
      <c r="CR115" s="92">
        <f t="shared" si="2182"/>
        <v>118311.77063728141</v>
      </c>
      <c r="CS115" s="92">
        <f t="shared" si="2183"/>
        <v>118555.47351358942</v>
      </c>
      <c r="CT115" s="92">
        <f t="shared" si="2184"/>
        <v>118799.67837792108</v>
      </c>
      <c r="CU115" s="92">
        <f t="shared" si="2185"/>
        <v>119044.38626428958</v>
      </c>
      <c r="CV115" s="92">
        <f t="shared" si="2186"/>
        <v>119289.59820883794</v>
      </c>
      <c r="CW115" s="92">
        <f t="shared" si="2187"/>
        <v>119535.31524984346</v>
      </c>
      <c r="CX115" s="92">
        <f t="shared" si="2188"/>
        <v>119781.53842772217</v>
      </c>
      <c r="CY115" s="92">
        <f t="shared" si="2189"/>
        <v>120028.26878503317</v>
      </c>
      <c r="CZ115" s="92">
        <f t="shared" si="2190"/>
        <v>120275.50736648301</v>
      </c>
      <c r="DA115" s="92">
        <f t="shared" si="2191"/>
        <v>120523.25521893024</v>
      </c>
      <c r="DB115" s="92">
        <f t="shared" si="2192"/>
        <v>120771.5133913897</v>
      </c>
      <c r="DC115" s="92">
        <f t="shared" si="2193"/>
        <v>121020.28293503707</v>
      </c>
      <c r="DD115" s="92">
        <f t="shared" si="2194"/>
        <v>121269.56490321329</v>
      </c>
      <c r="DE115" s="92">
        <f t="shared" si="2195"/>
        <v>121519.36035142899</v>
      </c>
      <c r="DF115" s="92">
        <f t="shared" si="2196"/>
        <v>121769.67033736894</v>
      </c>
      <c r="DG115" s="92">
        <f t="shared" si="2197"/>
        <v>122020.49592089666</v>
      </c>
      <c r="DH115" s="92">
        <f t="shared" si="2198"/>
        <v>122271.83816405872</v>
      </c>
      <c r="DI115" s="92">
        <f t="shared" si="2199"/>
        <v>122523.69813108939</v>
      </c>
      <c r="DJ115" s="92">
        <f t="shared" si="2200"/>
        <v>122776.07688841506</v>
      </c>
      <c r="DK115" s="92">
        <f t="shared" si="2201"/>
        <v>123028.97550465883</v>
      </c>
      <c r="DL115" s="92">
        <f t="shared" si="2202"/>
        <v>123282.3950506449</v>
      </c>
      <c r="DM115" s="92">
        <f t="shared" si="2203"/>
        <v>123536.33659940332</v>
      </c>
      <c r="DN115" s="92">
        <f t="shared" si="2204"/>
        <v>123790.80122617428</v>
      </c>
      <c r="DO115" s="92">
        <f t="shared" si="2205"/>
        <v>124045.79000841286</v>
      </c>
      <c r="DP115" s="92">
        <f t="shared" si="2206"/>
        <v>124301.30402579348</v>
      </c>
      <c r="DQ115" s="92">
        <f t="shared" si="2207"/>
        <v>124557.34436021454</v>
      </c>
      <c r="DR115" s="92">
        <f t="shared" si="2208"/>
        <v>124813.91209580301</v>
      </c>
      <c r="DS115" s="92">
        <f t="shared" si="2209"/>
        <v>125071.00831891892</v>
      </c>
      <c r="DT115" s="92">
        <f t="shared" si="2210"/>
        <v>125328.63411816003</v>
      </c>
      <c r="DU115" s="92">
        <f t="shared" si="2211"/>
        <v>125586.79058436648</v>
      </c>
      <c r="DV115" s="92">
        <f t="shared" si="2212"/>
        <v>125845.4788106253</v>
      </c>
      <c r="DW115" s="92">
        <f t="shared" si="2213"/>
        <v>126104.69989227515</v>
      </c>
      <c r="DX115" s="92">
        <f t="shared" si="2214"/>
        <v>126364.4549269109</v>
      </c>
      <c r="DY115" s="92">
        <f t="shared" si="2215"/>
        <v>126624.74501438827</v>
      </c>
      <c r="DZ115" s="92">
        <f t="shared" si="2216"/>
        <v>126885.57125682849</v>
      </c>
      <c r="EA115" s="92">
        <f t="shared" si="2217"/>
        <v>127146.93475862301</v>
      </c>
      <c r="EB115" s="92">
        <f t="shared" si="2218"/>
        <v>127408.83662643815</v>
      </c>
      <c r="EC115" s="92">
        <f t="shared" si="2219"/>
        <v>127671.27796921975</v>
      </c>
      <c r="ED115" s="92">
        <f t="shared" si="2220"/>
        <v>127934.25989819792</v>
      </c>
      <c r="EE115" s="92">
        <f t="shared" si="2221"/>
        <v>128197.78352689171</v>
      </c>
      <c r="EF115" s="92">
        <f t="shared" si="2222"/>
        <v>128461.84997111386</v>
      </c>
      <c r="EG115" s="92">
        <f t="shared" si="2223"/>
        <v>128726.46034897545</v>
      </c>
      <c r="EH115" s="92">
        <f t="shared" si="2224"/>
        <v>128991.61578089074</v>
      </c>
      <c r="EI115" s="92">
        <f t="shared" si="2225"/>
        <v>129257.31738958183</v>
      </c>
      <c r="EJ115" s="92">
        <f t="shared" si="2226"/>
        <v>129523.56630008348</v>
      </c>
      <c r="EK115" s="92">
        <f t="shared" si="2227"/>
        <v>129790.36363974777</v>
      </c>
      <c r="EL115" s="92">
        <f t="shared" si="2228"/>
        <v>130057.710538249</v>
      </c>
      <c r="EM115" s="92">
        <f t="shared" si="2229"/>
        <v>130325.60812758839</v>
      </c>
      <c r="EN115" s="92">
        <f t="shared" si="2230"/>
        <v>130594.0575420989</v>
      </c>
      <c r="EO115" s="92">
        <f t="shared" si="2231"/>
        <v>130863.05991845005</v>
      </c>
      <c r="EP115" s="92">
        <f t="shared" si="2232"/>
        <v>131132.61639565267</v>
      </c>
      <c r="EQ115" s="92">
        <f t="shared" si="2233"/>
        <v>131402.72811506383</v>
      </c>
      <c r="ER115" s="92">
        <f t="shared" si="2234"/>
        <v>131673.39622039153</v>
      </c>
      <c r="ES115" s="92">
        <f t="shared" si="2235"/>
        <v>131944.62185769965</v>
      </c>
      <c r="ET115" s="92">
        <f t="shared" si="2236"/>
        <v>132216.40617541282</v>
      </c>
      <c r="EU115" s="92">
        <f t="shared" si="2237"/>
        <v>132488.75032432121</v>
      </c>
      <c r="EW115" s="199" t="str">
        <f t="shared" ref="EW115:EW119" si="2250">+B115</f>
        <v>1 Bd/1 Bth</v>
      </c>
      <c r="EX115" s="201"/>
      <c r="EY115" s="221"/>
      <c r="EZ115" s="221"/>
      <c r="FA115" s="221"/>
      <c r="FB115" s="221"/>
      <c r="FC115" s="207">
        <f t="shared" si="2238"/>
        <v>1500</v>
      </c>
      <c r="FD115" s="207">
        <f t="shared" ref="FD115:HO115" si="2251">FC115+IF(FD$112&gt;0,FC115*((1+INDEX($C$104:$H$104,1,MIN(FD$112,6)))^(1/12)-1))</f>
        <v>1500</v>
      </c>
      <c r="FE115" s="207">
        <f t="shared" si="2251"/>
        <v>1500</v>
      </c>
      <c r="FF115" s="207">
        <f t="shared" si="2251"/>
        <v>1500</v>
      </c>
      <c r="FG115" s="207">
        <f t="shared" si="2251"/>
        <v>1500</v>
      </c>
      <c r="FH115" s="207">
        <f t="shared" si="2251"/>
        <v>1500</v>
      </c>
      <c r="FI115" s="207">
        <f t="shared" si="2251"/>
        <v>1500</v>
      </c>
      <c r="FJ115" s="207">
        <f t="shared" si="2251"/>
        <v>1500</v>
      </c>
      <c r="FK115" s="207">
        <f t="shared" si="2251"/>
        <v>1500</v>
      </c>
      <c r="FL115" s="207">
        <f t="shared" si="2251"/>
        <v>1500</v>
      </c>
      <c r="FM115" s="207">
        <f t="shared" si="2251"/>
        <v>1500</v>
      </c>
      <c r="FN115" s="207">
        <f t="shared" si="2251"/>
        <v>1500</v>
      </c>
      <c r="FO115" s="207">
        <f t="shared" si="2251"/>
        <v>1500</v>
      </c>
      <c r="FP115" s="207">
        <f t="shared" si="2251"/>
        <v>1503.0897544047641</v>
      </c>
      <c r="FQ115" s="207">
        <f t="shared" si="2251"/>
        <v>1506.1858731977161</v>
      </c>
      <c r="FR115" s="207">
        <f t="shared" si="2251"/>
        <v>1509.2883694884536</v>
      </c>
      <c r="FS115" s="207">
        <f t="shared" si="2251"/>
        <v>1512.3972564135777</v>
      </c>
      <c r="FT115" s="207">
        <f t="shared" si="2251"/>
        <v>1515.5125471367489</v>
      </c>
      <c r="FU115" s="207">
        <f t="shared" si="2251"/>
        <v>1518.634254848743</v>
      </c>
      <c r="FV115" s="207">
        <f t="shared" si="2251"/>
        <v>1521.7623927675061</v>
      </c>
      <c r="FW115" s="207">
        <f t="shared" si="2251"/>
        <v>1524.8969741382114</v>
      </c>
      <c r="FX115" s="207">
        <f t="shared" si="2251"/>
        <v>1528.0380122333147</v>
      </c>
      <c r="FY115" s="207">
        <f t="shared" si="2251"/>
        <v>1531.1855203526113</v>
      </c>
      <c r="FZ115" s="207">
        <f t="shared" si="2251"/>
        <v>1534.3395118232916</v>
      </c>
      <c r="GA115" s="207">
        <f t="shared" si="2251"/>
        <v>1537.499999999998</v>
      </c>
      <c r="GB115" s="207">
        <f t="shared" si="2251"/>
        <v>1540.6669982648812</v>
      </c>
      <c r="GC115" s="207">
        <f t="shared" si="2251"/>
        <v>1543.8405200276568</v>
      </c>
      <c r="GD115" s="207">
        <f t="shared" si="2251"/>
        <v>1547.0205787256627</v>
      </c>
      <c r="GE115" s="207">
        <f t="shared" si="2251"/>
        <v>1550.2071878239149</v>
      </c>
      <c r="GF115" s="207">
        <f t="shared" si="2251"/>
        <v>1553.4003608151654</v>
      </c>
      <c r="GG115" s="207">
        <f t="shared" si="2251"/>
        <v>1556.6001112199592</v>
      </c>
      <c r="GH115" s="207">
        <f t="shared" si="2251"/>
        <v>1559.8064525866914</v>
      </c>
      <c r="GI115" s="207">
        <f t="shared" si="2251"/>
        <v>1563.0193984916643</v>
      </c>
      <c r="GJ115" s="207">
        <f t="shared" si="2251"/>
        <v>1566.2389625391452</v>
      </c>
      <c r="GK115" s="207">
        <f t="shared" si="2251"/>
        <v>1569.4651583614241</v>
      </c>
      <c r="GL115" s="207">
        <f t="shared" si="2251"/>
        <v>1572.6979996188713</v>
      </c>
      <c r="GM115" s="207">
        <f t="shared" si="2251"/>
        <v>1575.9374999999955</v>
      </c>
      <c r="GN115" s="207">
        <f t="shared" si="2251"/>
        <v>1579.1836732215008</v>
      </c>
      <c r="GO115" s="207">
        <f t="shared" si="2251"/>
        <v>1582.436533028346</v>
      </c>
      <c r="GP115" s="207">
        <f t="shared" si="2251"/>
        <v>1585.696093193802</v>
      </c>
      <c r="GQ115" s="207">
        <f t="shared" si="2251"/>
        <v>1588.9623675195105</v>
      </c>
      <c r="GR115" s="207">
        <f t="shared" si="2251"/>
        <v>1592.2353698355423</v>
      </c>
      <c r="GS115" s="207">
        <f t="shared" si="2251"/>
        <v>1595.5151140004559</v>
      </c>
      <c r="GT115" s="207">
        <f t="shared" si="2251"/>
        <v>1598.8016139013564</v>
      </c>
      <c r="GU115" s="207">
        <f t="shared" si="2251"/>
        <v>1602.0948834539536</v>
      </c>
      <c r="GV115" s="207">
        <f t="shared" si="2251"/>
        <v>1605.3949366026216</v>
      </c>
      <c r="GW115" s="207">
        <f t="shared" si="2251"/>
        <v>1608.7017873204575</v>
      </c>
      <c r="GX115" s="207">
        <f t="shared" si="2251"/>
        <v>1612.015449609341</v>
      </c>
      <c r="GY115" s="207">
        <f t="shared" si="2251"/>
        <v>1615.3359374999932</v>
      </c>
      <c r="GZ115" s="207">
        <f t="shared" si="2251"/>
        <v>1618.6632650520362</v>
      </c>
      <c r="HA115" s="207">
        <f t="shared" si="2251"/>
        <v>1621.9974463540525</v>
      </c>
      <c r="HB115" s="207">
        <f t="shared" si="2251"/>
        <v>1625.338495523645</v>
      </c>
      <c r="HC115" s="207">
        <f t="shared" si="2251"/>
        <v>1628.6864267074961</v>
      </c>
      <c r="HD115" s="207">
        <f t="shared" si="2251"/>
        <v>1632.0412540814289</v>
      </c>
      <c r="HE115" s="207">
        <f t="shared" si="2251"/>
        <v>1635.4029918504655</v>
      </c>
      <c r="HF115" s="207">
        <f t="shared" si="2251"/>
        <v>1638.7716542488884</v>
      </c>
      <c r="HG115" s="207">
        <f t="shared" si="2251"/>
        <v>1642.1472555403004</v>
      </c>
      <c r="HH115" s="207">
        <f t="shared" si="2251"/>
        <v>1645.5298100176851</v>
      </c>
      <c r="HI115" s="207">
        <f t="shared" si="2251"/>
        <v>1648.9193320034669</v>
      </c>
      <c r="HJ115" s="207">
        <f t="shared" si="2251"/>
        <v>1652.3158358495725</v>
      </c>
      <c r="HK115" s="207">
        <f t="shared" si="2251"/>
        <v>1655.719335937491</v>
      </c>
      <c r="HL115" s="207">
        <f t="shared" si="2251"/>
        <v>1659.1298466783351</v>
      </c>
      <c r="HM115" s="207">
        <f t="shared" si="2251"/>
        <v>1662.5473825129018</v>
      </c>
      <c r="HN115" s="207">
        <f t="shared" si="2251"/>
        <v>1665.9719579117339</v>
      </c>
      <c r="HO115" s="207">
        <f t="shared" si="2251"/>
        <v>1669.4035873751814</v>
      </c>
      <c r="HP115" s="207">
        <f t="shared" ref="HP115:KA115" si="2252">HO115+IF(HP$112&gt;0,HO115*((1+INDEX($C$104:$H$104,1,MIN(HP$112,6)))^(1/12)-1))</f>
        <v>1672.8422854334624</v>
      </c>
      <c r="HQ115" s="207">
        <f t="shared" si="2252"/>
        <v>1676.2880666467249</v>
      </c>
      <c r="HR115" s="207">
        <f t="shared" si="2252"/>
        <v>1679.7409456051084</v>
      </c>
      <c r="HS115" s="207">
        <f t="shared" si="2252"/>
        <v>1683.2009369288057</v>
      </c>
      <c r="HT115" s="207">
        <f t="shared" si="2252"/>
        <v>1686.668055268125</v>
      </c>
      <c r="HU115" s="207">
        <f t="shared" si="2252"/>
        <v>1690.1423153035514</v>
      </c>
      <c r="HV115" s="207">
        <f t="shared" si="2252"/>
        <v>1693.6237317458097</v>
      </c>
      <c r="HW115" s="207">
        <f t="shared" si="2252"/>
        <v>1697.112319335926</v>
      </c>
      <c r="HX115" s="207">
        <f t="shared" si="2252"/>
        <v>1700.6080928452911</v>
      </c>
      <c r="HY115" s="207">
        <f t="shared" si="2252"/>
        <v>1704.1110670757218</v>
      </c>
      <c r="HZ115" s="207">
        <f t="shared" si="2252"/>
        <v>1707.6212568595249</v>
      </c>
      <c r="IA115" s="207">
        <f t="shared" si="2252"/>
        <v>1711.1386770595586</v>
      </c>
      <c r="IB115" s="207">
        <f t="shared" si="2252"/>
        <v>1714.6633425692967</v>
      </c>
      <c r="IC115" s="207">
        <f t="shared" si="2252"/>
        <v>1718.1952683128907</v>
      </c>
      <c r="ID115" s="207">
        <f t="shared" si="2252"/>
        <v>1721.7344692452336</v>
      </c>
      <c r="IE115" s="207">
        <f t="shared" si="2252"/>
        <v>1725.2809603520234</v>
      </c>
      <c r="IF115" s="207">
        <f t="shared" si="2252"/>
        <v>1728.8347566498255</v>
      </c>
      <c r="IG115" s="207">
        <f t="shared" si="2252"/>
        <v>1732.3958731861376</v>
      </c>
      <c r="IH115" s="207">
        <f t="shared" si="2252"/>
        <v>1735.9643250394522</v>
      </c>
      <c r="II115" s="207">
        <f t="shared" si="2252"/>
        <v>1739.5401273193215</v>
      </c>
      <c r="IJ115" s="207">
        <f t="shared" si="2252"/>
        <v>1743.1232951664208</v>
      </c>
      <c r="IK115" s="207">
        <f t="shared" si="2252"/>
        <v>1746.7138437526123</v>
      </c>
      <c r="IL115" s="207">
        <f t="shared" si="2252"/>
        <v>1750.3117882810104</v>
      </c>
      <c r="IM115" s="207">
        <f t="shared" si="2252"/>
        <v>1753.9171439860449</v>
      </c>
      <c r="IN115" s="207">
        <f t="shared" si="2252"/>
        <v>1757.5299261335265</v>
      </c>
      <c r="IO115" s="207">
        <f t="shared" si="2252"/>
        <v>1761.1501500207103</v>
      </c>
      <c r="IP115" s="207">
        <f t="shared" si="2252"/>
        <v>1764.7778309763619</v>
      </c>
      <c r="IQ115" s="207">
        <f t="shared" si="2252"/>
        <v>1768.4129843608214</v>
      </c>
      <c r="IR115" s="207">
        <f t="shared" si="2252"/>
        <v>1772.0556255660686</v>
      </c>
      <c r="IS115" s="207">
        <f t="shared" si="2252"/>
        <v>1775.7057700157884</v>
      </c>
      <c r="IT115" s="207">
        <f t="shared" si="2252"/>
        <v>1779.3634331654359</v>
      </c>
      <c r="IU115" s="207">
        <f t="shared" si="2252"/>
        <v>1783.0286305023019</v>
      </c>
      <c r="IV115" s="207">
        <f t="shared" si="2252"/>
        <v>1786.7013775455785</v>
      </c>
      <c r="IW115" s="207">
        <f t="shared" si="2252"/>
        <v>1790.3816898464249</v>
      </c>
      <c r="IX115" s="207">
        <f t="shared" si="2252"/>
        <v>1794.0695829880328</v>
      </c>
      <c r="IY115" s="207">
        <f t="shared" si="2252"/>
        <v>1797.7650725856931</v>
      </c>
      <c r="IZ115" s="207">
        <f t="shared" si="2252"/>
        <v>1801.4681742868615</v>
      </c>
      <c r="JA115" s="207">
        <f t="shared" si="2252"/>
        <v>1805.1789037712249</v>
      </c>
      <c r="JB115" s="207">
        <f t="shared" si="2252"/>
        <v>1808.8972767507678</v>
      </c>
      <c r="JC115" s="207">
        <f t="shared" si="2252"/>
        <v>1812.6233089698387</v>
      </c>
      <c r="JD115" s="207">
        <f t="shared" si="2252"/>
        <v>1816.3570162052172</v>
      </c>
      <c r="JE115" s="207">
        <f t="shared" si="2252"/>
        <v>1820.09841426618</v>
      </c>
      <c r="JF115" s="207">
        <f t="shared" si="2252"/>
        <v>1823.8475189945689</v>
      </c>
      <c r="JG115" s="207">
        <f t="shared" si="2252"/>
        <v>1827.6043462648565</v>
      </c>
      <c r="JH115" s="207">
        <f t="shared" si="2252"/>
        <v>1831.3689119842152</v>
      </c>
      <c r="JI115" s="207">
        <f t="shared" si="2252"/>
        <v>1835.1412320925826</v>
      </c>
      <c r="JJ115" s="207">
        <f t="shared" si="2252"/>
        <v>1838.9213225627309</v>
      </c>
      <c r="JK115" s="207">
        <f t="shared" si="2252"/>
        <v>1842.7091994003329</v>
      </c>
      <c r="JL115" s="207">
        <f t="shared" si="2252"/>
        <v>1846.5048786440304</v>
      </c>
      <c r="JM115" s="207">
        <f t="shared" si="2252"/>
        <v>1850.3083763655029</v>
      </c>
      <c r="JN115" s="207">
        <f t="shared" si="2252"/>
        <v>1854.1197086695345</v>
      </c>
      <c r="JO115" s="207">
        <f t="shared" si="2252"/>
        <v>1857.9388916940823</v>
      </c>
      <c r="JP115" s="207">
        <f t="shared" si="2252"/>
        <v>1861.7659416103452</v>
      </c>
      <c r="JQ115" s="207">
        <f t="shared" si="2252"/>
        <v>1865.6008746228322</v>
      </c>
      <c r="JR115" s="207">
        <f t="shared" si="2252"/>
        <v>1869.4437069694307</v>
      </c>
      <c r="JS115" s="207">
        <f t="shared" si="2252"/>
        <v>1873.2944549214756</v>
      </c>
      <c r="JT115" s="207">
        <f t="shared" si="2252"/>
        <v>1877.1531347838181</v>
      </c>
      <c r="JU115" s="207">
        <f t="shared" si="2252"/>
        <v>1881.0197628948949</v>
      </c>
      <c r="JV115" s="207">
        <f t="shared" si="2252"/>
        <v>1884.8943556267968</v>
      </c>
      <c r="JW115" s="207">
        <f t="shared" si="2252"/>
        <v>1888.7769293853387</v>
      </c>
      <c r="JX115" s="207">
        <f t="shared" si="2252"/>
        <v>1892.6675006101289</v>
      </c>
      <c r="JY115" s="207">
        <f t="shared" si="2252"/>
        <v>1896.5660857746382</v>
      </c>
      <c r="JZ115" s="207">
        <f t="shared" si="2252"/>
        <v>1900.4727013862705</v>
      </c>
      <c r="KA115" s="207">
        <f t="shared" si="2252"/>
        <v>1904.3873639864319</v>
      </c>
      <c r="KB115" s="207">
        <f t="shared" ref="KB115:KE115" si="2253">KA115+IF(KB$112&gt;0,KA115*((1+INDEX($C$104:$H$104,1,MIN(KB$112,6)))^(1/12)-1))</f>
        <v>1908.3100901506014</v>
      </c>
      <c r="KC115" s="207">
        <f t="shared" si="2253"/>
        <v>1912.2408964884005</v>
      </c>
      <c r="KD115" s="207">
        <f t="shared" si="2253"/>
        <v>1916.179799643664</v>
      </c>
      <c r="KE115" s="207">
        <f t="shared" si="2253"/>
        <v>1920.12681629451</v>
      </c>
      <c r="KG115" s="199" t="str">
        <f t="shared" ref="KG115:KG119" si="2254">B115</f>
        <v>1 Bd/1 Bth</v>
      </c>
      <c r="KH115" s="201"/>
      <c r="KI115" s="221"/>
      <c r="KJ115" s="221"/>
      <c r="KK115" s="221"/>
      <c r="KL115" s="221"/>
      <c r="KM115" s="207">
        <f t="shared" ref="KM115:KM119" si="2255">I115</f>
        <v>1724.9999999999998</v>
      </c>
      <c r="KN115" s="207">
        <f t="shared" ref="KN115:MY115" si="2256">KM115+IF(KN$112&gt;0,KM115*((1+INDEX($C$105:$H$105,1,MIN(KN$112,6)))^(1/12)-1))</f>
        <v>1724.9999999999998</v>
      </c>
      <c r="KO115" s="207">
        <f t="shared" si="2256"/>
        <v>1724.9999999999998</v>
      </c>
      <c r="KP115" s="207">
        <f t="shared" si="2256"/>
        <v>1724.9999999999998</v>
      </c>
      <c r="KQ115" s="207">
        <f t="shared" si="2256"/>
        <v>1724.9999999999998</v>
      </c>
      <c r="KR115" s="207">
        <f t="shared" si="2256"/>
        <v>1724.9999999999998</v>
      </c>
      <c r="KS115" s="207">
        <f t="shared" si="2256"/>
        <v>1724.9999999999998</v>
      </c>
      <c r="KT115" s="207">
        <f t="shared" si="2256"/>
        <v>1724.9999999999998</v>
      </c>
      <c r="KU115" s="207">
        <f t="shared" si="2256"/>
        <v>1724.9999999999998</v>
      </c>
      <c r="KV115" s="207">
        <f t="shared" si="2256"/>
        <v>1724.9999999999998</v>
      </c>
      <c r="KW115" s="207">
        <f t="shared" si="2256"/>
        <v>1724.9999999999998</v>
      </c>
      <c r="KX115" s="207">
        <f t="shared" si="2256"/>
        <v>1724.9999999999998</v>
      </c>
      <c r="KY115" s="207">
        <f t="shared" si="2256"/>
        <v>1724.9999999999998</v>
      </c>
      <c r="KZ115" s="207">
        <f t="shared" si="2256"/>
        <v>1728.5532175654785</v>
      </c>
      <c r="LA115" s="207">
        <f t="shared" si="2256"/>
        <v>1732.1137541773733</v>
      </c>
      <c r="LB115" s="207">
        <f t="shared" si="2256"/>
        <v>1735.6816249117212</v>
      </c>
      <c r="LC115" s="207">
        <f t="shared" si="2256"/>
        <v>1739.256844875614</v>
      </c>
      <c r="LD115" s="207">
        <f t="shared" si="2256"/>
        <v>1742.839429207261</v>
      </c>
      <c r="LE115" s="207">
        <f t="shared" si="2256"/>
        <v>1746.4293930760541</v>
      </c>
      <c r="LF115" s="207">
        <f t="shared" si="2256"/>
        <v>1750.0267516826316</v>
      </c>
      <c r="LG115" s="207">
        <f t="shared" si="2256"/>
        <v>1753.6315202589426</v>
      </c>
      <c r="LH115" s="207">
        <f t="shared" si="2256"/>
        <v>1757.2437140683114</v>
      </c>
      <c r="LI115" s="207">
        <f t="shared" si="2256"/>
        <v>1760.8633484055024</v>
      </c>
      <c r="LJ115" s="207">
        <f t="shared" si="2256"/>
        <v>1764.4904385967848</v>
      </c>
      <c r="LK115" s="207">
        <f t="shared" si="2256"/>
        <v>1768.124999999997</v>
      </c>
      <c r="LL115" s="207">
        <f t="shared" si="2256"/>
        <v>1771.7670480046127</v>
      </c>
      <c r="LM115" s="207">
        <f t="shared" si="2256"/>
        <v>1775.4165980318048</v>
      </c>
      <c r="LN115" s="207">
        <f t="shared" si="2256"/>
        <v>1779.0736655345115</v>
      </c>
      <c r="LO115" s="207">
        <f t="shared" si="2256"/>
        <v>1782.7382659975017</v>
      </c>
      <c r="LP115" s="207">
        <f t="shared" si="2256"/>
        <v>1786.4104149374398</v>
      </c>
      <c r="LQ115" s="207">
        <f t="shared" si="2256"/>
        <v>1790.0901279029526</v>
      </c>
      <c r="LR115" s="207">
        <f t="shared" si="2256"/>
        <v>1793.7774204746945</v>
      </c>
      <c r="LS115" s="207">
        <f t="shared" si="2256"/>
        <v>1797.4723082654132</v>
      </c>
      <c r="LT115" s="207">
        <f t="shared" si="2256"/>
        <v>1801.1748069200162</v>
      </c>
      <c r="LU115" s="207">
        <f t="shared" si="2256"/>
        <v>1804.884932115637</v>
      </c>
      <c r="LV115" s="207">
        <f t="shared" si="2256"/>
        <v>1808.6026995617015</v>
      </c>
      <c r="LW115" s="207">
        <f t="shared" si="2256"/>
        <v>1812.3281249999941</v>
      </c>
      <c r="LX115" s="207">
        <f t="shared" si="2256"/>
        <v>1816.0612242047252</v>
      </c>
      <c r="LY115" s="207">
        <f t="shared" si="2256"/>
        <v>1819.8020129825973</v>
      </c>
      <c r="LZ115" s="207">
        <f t="shared" si="2256"/>
        <v>1823.5505071728717</v>
      </c>
      <c r="MA115" s="207">
        <f t="shared" si="2256"/>
        <v>1827.3067226474366</v>
      </c>
      <c r="MB115" s="207">
        <f t="shared" si="2256"/>
        <v>1831.0706753108732</v>
      </c>
      <c r="MC115" s="207">
        <f t="shared" si="2256"/>
        <v>1834.8423811005239</v>
      </c>
      <c r="MD115" s="207">
        <f t="shared" si="2256"/>
        <v>1838.6218559865595</v>
      </c>
      <c r="ME115" s="207">
        <f t="shared" si="2256"/>
        <v>1842.4091159720463</v>
      </c>
      <c r="MF115" s="207">
        <f t="shared" si="2256"/>
        <v>1846.2041770930143</v>
      </c>
      <c r="MG115" s="207">
        <f t="shared" si="2256"/>
        <v>1850.0070554185256</v>
      </c>
      <c r="MH115" s="207">
        <f t="shared" si="2256"/>
        <v>1853.8177670507416</v>
      </c>
      <c r="MI115" s="207">
        <f t="shared" si="2256"/>
        <v>1857.6363281249917</v>
      </c>
      <c r="MJ115" s="207">
        <f t="shared" si="2256"/>
        <v>1861.462754809841</v>
      </c>
      <c r="MK115" s="207">
        <f t="shared" si="2256"/>
        <v>1865.2970633071598</v>
      </c>
      <c r="ML115" s="207">
        <f t="shared" si="2256"/>
        <v>1869.1392698521911</v>
      </c>
      <c r="MM115" s="207">
        <f t="shared" si="2256"/>
        <v>1872.98939071362</v>
      </c>
      <c r="MN115" s="207">
        <f t="shared" si="2256"/>
        <v>1876.8474421936426</v>
      </c>
      <c r="MO115" s="207">
        <f t="shared" si="2256"/>
        <v>1880.7134406280345</v>
      </c>
      <c r="MP115" s="207">
        <f t="shared" si="2256"/>
        <v>1884.5874023862209</v>
      </c>
      <c r="MQ115" s="207">
        <f t="shared" si="2256"/>
        <v>1888.4693438713448</v>
      </c>
      <c r="MR115" s="207">
        <f t="shared" si="2256"/>
        <v>1892.3592815203372</v>
      </c>
      <c r="MS115" s="207">
        <f t="shared" si="2256"/>
        <v>1896.2572318039863</v>
      </c>
      <c r="MT115" s="207">
        <f t="shared" si="2256"/>
        <v>1900.1632112270077</v>
      </c>
      <c r="MU115" s="207">
        <f t="shared" si="2256"/>
        <v>1904.0772363281139</v>
      </c>
      <c r="MV115" s="207">
        <f t="shared" si="2256"/>
        <v>1907.9993236800844</v>
      </c>
      <c r="MW115" s="207">
        <f t="shared" si="2256"/>
        <v>1911.9294898898361</v>
      </c>
      <c r="MX115" s="207">
        <f t="shared" si="2256"/>
        <v>1915.867751598493</v>
      </c>
      <c r="MY115" s="207">
        <f t="shared" si="2256"/>
        <v>1919.8141254814577</v>
      </c>
      <c r="MZ115" s="207">
        <f t="shared" ref="MZ115:PK115" si="2257">MY115+IF(MZ$112&gt;0,MY115*((1+INDEX($C$105:$H$105,1,MIN(MZ$112,6)))^(1/12)-1))</f>
        <v>1923.7686282484808</v>
      </c>
      <c r="NA115" s="207">
        <f t="shared" si="2257"/>
        <v>1927.7312766437326</v>
      </c>
      <c r="NB115" s="207">
        <f t="shared" si="2257"/>
        <v>1931.7020874458735</v>
      </c>
      <c r="NC115" s="207">
        <f t="shared" si="2257"/>
        <v>1935.6810774681255</v>
      </c>
      <c r="ND115" s="207">
        <f t="shared" si="2257"/>
        <v>1939.6682635583427</v>
      </c>
      <c r="NE115" s="207">
        <f t="shared" si="2257"/>
        <v>1943.663662599083</v>
      </c>
      <c r="NF115" s="207">
        <f t="shared" si="2257"/>
        <v>1947.6672915076799</v>
      </c>
      <c r="NG115" s="207">
        <f t="shared" si="2257"/>
        <v>1951.6791672363138</v>
      </c>
      <c r="NH115" s="207">
        <f t="shared" si="2257"/>
        <v>1955.6993067720837</v>
      </c>
      <c r="NI115" s="207">
        <f t="shared" si="2257"/>
        <v>1959.7277271370792</v>
      </c>
      <c r="NJ115" s="207">
        <f t="shared" si="2257"/>
        <v>1963.7644453884527</v>
      </c>
      <c r="NK115" s="207">
        <f t="shared" si="2257"/>
        <v>1967.8094786184915</v>
      </c>
      <c r="NL115" s="207">
        <f t="shared" si="2257"/>
        <v>1971.8628439546903</v>
      </c>
      <c r="NM115" s="207">
        <f t="shared" si="2257"/>
        <v>1975.9245585598235</v>
      </c>
      <c r="NN115" s="207">
        <f t="shared" si="2257"/>
        <v>1979.9946396320181</v>
      </c>
      <c r="NO115" s="207">
        <f t="shared" si="2257"/>
        <v>1984.0731044048264</v>
      </c>
      <c r="NP115" s="207">
        <f t="shared" si="2257"/>
        <v>1988.159970147299</v>
      </c>
      <c r="NQ115" s="207">
        <f t="shared" si="2257"/>
        <v>1992.2552541640578</v>
      </c>
      <c r="NR115" s="207">
        <f t="shared" si="2257"/>
        <v>1996.3589737953696</v>
      </c>
      <c r="NS115" s="207">
        <f t="shared" si="2257"/>
        <v>2000.4711464172194</v>
      </c>
      <c r="NT115" s="207">
        <f t="shared" si="2257"/>
        <v>2004.5917894413835</v>
      </c>
      <c r="NU115" s="207">
        <f t="shared" si="2257"/>
        <v>2008.7209203155039</v>
      </c>
      <c r="NV115" s="207">
        <f t="shared" si="2257"/>
        <v>2012.8585565231617</v>
      </c>
      <c r="NW115" s="207">
        <f t="shared" si="2257"/>
        <v>2017.0047155839513</v>
      </c>
      <c r="NX115" s="207">
        <f t="shared" si="2257"/>
        <v>2021.159415053555</v>
      </c>
      <c r="NY115" s="207">
        <f t="shared" si="2257"/>
        <v>2025.3226725238164</v>
      </c>
      <c r="NZ115" s="207">
        <f t="shared" si="2257"/>
        <v>2029.4945056228157</v>
      </c>
      <c r="OA115" s="207">
        <f t="shared" si="2257"/>
        <v>2033.6749320149443</v>
      </c>
      <c r="OB115" s="207">
        <f t="shared" si="2257"/>
        <v>2037.8639694009787</v>
      </c>
      <c r="OC115" s="207">
        <f t="shared" si="2257"/>
        <v>2042.0616355181564</v>
      </c>
      <c r="OD115" s="207">
        <f t="shared" si="2257"/>
        <v>2046.2679481402511</v>
      </c>
      <c r="OE115" s="207">
        <f t="shared" si="2257"/>
        <v>2050.482925077647</v>
      </c>
      <c r="OF115" s="207">
        <f t="shared" si="2257"/>
        <v>2054.7065841774152</v>
      </c>
      <c r="OG115" s="207">
        <f t="shared" si="2257"/>
        <v>2058.9389433233887</v>
      </c>
      <c r="OH115" s="207">
        <f t="shared" si="2257"/>
        <v>2063.180020436238</v>
      </c>
      <c r="OI115" s="207">
        <f t="shared" si="2257"/>
        <v>2067.4298334735477</v>
      </c>
      <c r="OJ115" s="207">
        <f t="shared" si="2257"/>
        <v>2071.6884004298913</v>
      </c>
      <c r="OK115" s="207">
        <f t="shared" si="2257"/>
        <v>2075.9557393369091</v>
      </c>
      <c r="OL115" s="207">
        <f t="shared" si="2257"/>
        <v>2080.2318682633836</v>
      </c>
      <c r="OM115" s="207">
        <f t="shared" si="2257"/>
        <v>2084.5168053153152</v>
      </c>
      <c r="ON115" s="207">
        <f t="shared" si="2257"/>
        <v>2088.8105686360004</v>
      </c>
      <c r="OO115" s="207">
        <f t="shared" si="2257"/>
        <v>2093.1131764061079</v>
      </c>
      <c r="OP115" s="207">
        <f t="shared" si="2257"/>
        <v>2097.424646843755</v>
      </c>
      <c r="OQ115" s="207">
        <f t="shared" si="2257"/>
        <v>2101.744998204586</v>
      </c>
      <c r="OR115" s="207">
        <f t="shared" si="2257"/>
        <v>2106.0742487818484</v>
      </c>
      <c r="OS115" s="207">
        <f t="shared" si="2257"/>
        <v>2110.4124169064712</v>
      </c>
      <c r="OT115" s="207">
        <f t="shared" si="2257"/>
        <v>2114.7595209471415</v>
      </c>
      <c r="OU115" s="207">
        <f t="shared" si="2257"/>
        <v>2119.1155793103835</v>
      </c>
      <c r="OV115" s="207">
        <f t="shared" si="2257"/>
        <v>2123.4806104406357</v>
      </c>
      <c r="OW115" s="207">
        <f t="shared" si="2257"/>
        <v>2127.8546328203292</v>
      </c>
      <c r="OX115" s="207">
        <f t="shared" si="2257"/>
        <v>2132.2376649699654</v>
      </c>
      <c r="OY115" s="207">
        <f t="shared" si="2257"/>
        <v>2136.6297254481951</v>
      </c>
      <c r="OZ115" s="207">
        <f t="shared" si="2257"/>
        <v>2141.0308328518977</v>
      </c>
      <c r="PA115" s="207">
        <f t="shared" si="2257"/>
        <v>2145.4410058162575</v>
      </c>
      <c r="PB115" s="207">
        <f t="shared" si="2257"/>
        <v>2149.8602630148457</v>
      </c>
      <c r="PC115" s="207">
        <f t="shared" si="2257"/>
        <v>2154.2886231596972</v>
      </c>
      <c r="PD115" s="207">
        <f t="shared" si="2257"/>
        <v>2158.7261050013913</v>
      </c>
      <c r="PE115" s="207">
        <f t="shared" si="2257"/>
        <v>2163.1727273291294</v>
      </c>
      <c r="PF115" s="207">
        <f t="shared" si="2257"/>
        <v>2167.6285089708167</v>
      </c>
      <c r="PG115" s="207">
        <f t="shared" si="2257"/>
        <v>2172.0934687931399</v>
      </c>
      <c r="PH115" s="207">
        <f t="shared" si="2257"/>
        <v>2176.5676257016485</v>
      </c>
      <c r="PI115" s="207">
        <f t="shared" si="2257"/>
        <v>2181.0509986408342</v>
      </c>
      <c r="PJ115" s="207">
        <f t="shared" si="2257"/>
        <v>2185.5436065942113</v>
      </c>
      <c r="PK115" s="207">
        <f t="shared" si="2257"/>
        <v>2190.045468584397</v>
      </c>
      <c r="PL115" s="207">
        <f t="shared" ref="PL115:PO115" si="2258">PK115+IF(PL$112&gt;0,PK115*((1+INDEX($C$105:$H$105,1,MIN(PL$112,6)))^(1/12)-1))</f>
        <v>2194.5566036731921</v>
      </c>
      <c r="PM115" s="207">
        <f t="shared" si="2258"/>
        <v>2199.077030961661</v>
      </c>
      <c r="PN115" s="207">
        <f t="shared" si="2258"/>
        <v>2203.6067695902138</v>
      </c>
      <c r="PO115" s="207">
        <f t="shared" si="2258"/>
        <v>2208.145838738687</v>
      </c>
      <c r="PQ115" s="221"/>
      <c r="PR115" s="525" t="str">
        <f t="shared" ref="PR115:PR119" si="2259">+B115</f>
        <v>1 Bd/1 Bth</v>
      </c>
      <c r="PS115" s="525">
        <f>COUNTIF($T$110:T$110,"Rolling")/$K$106*(1-$E115)+$E115</f>
        <v>4.1666666666666664E-2</v>
      </c>
      <c r="PT115" s="525">
        <f>COUNTIF($T$110:U$110,"Rolling")/$K$106*(1-$E115)+$E115</f>
        <v>8.3333333333333329E-2</v>
      </c>
      <c r="PU115" s="525">
        <f>COUNTIF($T$110:V$110,"Rolling")/$K$106*(1-$E115)+$E115</f>
        <v>0.125</v>
      </c>
      <c r="PV115" s="525">
        <f>COUNTIF($T$110:W$110,"Rolling")/$K$106*(1-$E115)+$E115</f>
        <v>0.16666666666666666</v>
      </c>
      <c r="PW115" s="525">
        <f>COUNTIF($T$110:X$110,"Rolling")/$K$106*(1-$E115)+$E115</f>
        <v>0.20833333333333334</v>
      </c>
      <c r="PX115" s="525">
        <f>COUNTIF($T$110:Y$110,"Rolling")/$K$106*(1-$E115)+$E115</f>
        <v>0.25</v>
      </c>
      <c r="PY115" s="525">
        <f>COUNTIF($T$110:Z$110,"Rolling")/$K$106*(1-$E115)+$E115</f>
        <v>0.29166666666666669</v>
      </c>
      <c r="PZ115" s="525">
        <f>COUNTIF($T$110:AA$110,"Rolling")/$K$106*(1-$E115)+$E115</f>
        <v>0.33333333333333331</v>
      </c>
      <c r="QA115" s="525">
        <f>COUNTIF($T$110:AB$110,"Rolling")/$K$106*(1-$E115)+$E115</f>
        <v>0.375</v>
      </c>
      <c r="QB115" s="525">
        <f>COUNTIF($T$110:AC$110,"Rolling")/$K$106*(1-$E115)+$E115</f>
        <v>0.41666666666666669</v>
      </c>
      <c r="QC115" s="525">
        <f>COUNTIF($T$110:AD$110,"Rolling")/$K$106*(1-$E115)+$E115</f>
        <v>0.45833333333333331</v>
      </c>
      <c r="QD115" s="525">
        <f>COUNTIF($T$110:AE$110,"Rolling")/$K$106*(1-$E115)+$E115</f>
        <v>0.5</v>
      </c>
      <c r="QE115" s="525">
        <f>COUNTIF($T$110:AF$110,"Rolling")/$K$106*(1-$E115)+$E115</f>
        <v>0.54166666666666663</v>
      </c>
      <c r="QF115" s="525">
        <f>COUNTIF($T$110:AG$110,"Rolling")/$K$106*(1-$E115)+$E115</f>
        <v>0.58333333333333337</v>
      </c>
      <c r="QG115" s="525">
        <f>COUNTIF($T$110:AH$110,"Rolling")/$K$106*(1-$E115)+$E115</f>
        <v>0.625</v>
      </c>
      <c r="QH115" s="525">
        <f>COUNTIF($T$110:AI$110,"Rolling")/$K$106*(1-$E115)+$E115</f>
        <v>0.66666666666666663</v>
      </c>
      <c r="QI115" s="525">
        <f>COUNTIF($T$110:AJ$110,"Rolling")/$K$106*(1-$E115)+$E115</f>
        <v>0.70833333333333337</v>
      </c>
      <c r="QJ115" s="525">
        <f>COUNTIF($T$110:AK$110,"Rolling")/$K$106*(1-$E115)+$E115</f>
        <v>0.75</v>
      </c>
      <c r="QK115" s="525">
        <f>COUNTIF($T$110:AL$110,"Rolling")/$K$106*(1-$E115)+$E115</f>
        <v>0.79166666666666663</v>
      </c>
      <c r="QL115" s="525">
        <f>COUNTIF($T$110:AM$110,"Rolling")/$K$106*(1-$E115)+$E115</f>
        <v>0.83333333333333337</v>
      </c>
      <c r="QM115" s="525">
        <f>COUNTIF($T$110:AN$110,"Rolling")/$K$106*(1-$E115)+$E115</f>
        <v>0.875</v>
      </c>
      <c r="QN115" s="525">
        <f>COUNTIF($T$110:AO$110,"Rolling")/$K$106*(1-$E115)+$E115</f>
        <v>0.91666666666666663</v>
      </c>
      <c r="QO115" s="525">
        <f>COUNTIF($T$110:AP$110,"Rolling")/$K$106*(1-$E115)+$E115</f>
        <v>0.95833333333333337</v>
      </c>
      <c r="QP115" s="525">
        <f>COUNTIF($T$110:AQ$110,"Rolling")/$K$106*(1-$E115)+$E115</f>
        <v>1</v>
      </c>
      <c r="QQ115" s="525">
        <f>COUNTIF($T$110:AR$110,"Rolling")/$K$106*(1-$E115)+$E115</f>
        <v>1</v>
      </c>
      <c r="QR115" s="525">
        <f>COUNTIF($T$110:AS$110,"Rolling")/$K$106*(1-$E115)+$E115</f>
        <v>1</v>
      </c>
      <c r="QS115" s="525">
        <f>COUNTIF($T$110:AT$110,"Rolling")/$K$106*(1-$E115)+$E115</f>
        <v>1</v>
      </c>
      <c r="QT115" s="525">
        <f>COUNTIF($T$110:AU$110,"Rolling")/$K$106*(1-$E115)+$E115</f>
        <v>1</v>
      </c>
      <c r="QU115" s="525">
        <f>COUNTIF($T$110:AV$110,"Rolling")/$K$106*(1-$E115)+$E115</f>
        <v>1</v>
      </c>
      <c r="QV115" s="525">
        <f>COUNTIF($T$110:AW$110,"Rolling")/$K$106*(1-$E115)+$E115</f>
        <v>1</v>
      </c>
      <c r="QW115" s="525">
        <f>COUNTIF($T$110:AX$110,"Rolling")/$K$106*(1-$E115)+$E115</f>
        <v>1</v>
      </c>
      <c r="QX115" s="525">
        <f>COUNTIF($T$110:AY$110,"Rolling")/$K$106*(1-$E115)+$E115</f>
        <v>1</v>
      </c>
      <c r="QY115" s="525">
        <f>COUNTIF($T$110:AZ$110,"Rolling")/$K$106*(1-$E115)+$E115</f>
        <v>1</v>
      </c>
      <c r="QZ115" s="525">
        <f>COUNTIF($T$110:BA$110,"Rolling")/$K$106*(1-$E115)+$E115</f>
        <v>1</v>
      </c>
      <c r="RA115" s="525">
        <f>COUNTIF($T$110:BB$110,"Rolling")/$K$106*(1-$E115)+$E115</f>
        <v>1</v>
      </c>
      <c r="RB115" s="525">
        <f>COUNTIF($T$110:BC$110,"Rolling")/$K$106*(1-$E115)+$E115</f>
        <v>1</v>
      </c>
      <c r="RC115" s="525">
        <f>COUNTIF($T$110:BD$110,"Rolling")/$K$106*(1-$E115)+$E115</f>
        <v>1</v>
      </c>
      <c r="RD115" s="525">
        <f>COUNTIF($T$110:BE$110,"Rolling")/$K$106*(1-$E115)+$E115</f>
        <v>1</v>
      </c>
      <c r="RE115" s="525">
        <f>COUNTIF($T$110:BF$110,"Rolling")/$K$106*(1-$E115)+$E115</f>
        <v>1</v>
      </c>
      <c r="RF115" s="525">
        <f>COUNTIF($T$110:BG$110,"Rolling")/$K$106*(1-$E115)+$E115</f>
        <v>1</v>
      </c>
      <c r="RG115" s="525">
        <f>COUNTIF($T$110:BH$110,"Rolling")/$K$106*(1-$E115)+$E115</f>
        <v>1</v>
      </c>
      <c r="RH115" s="525">
        <f>COUNTIF($T$110:BI$110,"Rolling")/$K$106*(1-$E115)+$E115</f>
        <v>1</v>
      </c>
      <c r="RI115" s="525">
        <f>COUNTIF($T$110:BJ$110,"Rolling")/$K$106*(1-$E115)+$E115</f>
        <v>1</v>
      </c>
      <c r="RJ115" s="525">
        <f>COUNTIF($T$110:BK$110,"Rolling")/$K$106*(1-$E115)+$E115</f>
        <v>1</v>
      </c>
      <c r="RK115" s="525">
        <f>COUNTIF($T$110:BL$110,"Rolling")/$K$106*(1-$E115)+$E115</f>
        <v>1</v>
      </c>
      <c r="RL115" s="525">
        <f>COUNTIF($T$110:BM$110,"Rolling")/$K$106*(1-$E115)+$E115</f>
        <v>1</v>
      </c>
      <c r="RM115" s="525">
        <f>COUNTIF($T$110:BN$110,"Rolling")/$K$106*(1-$E115)+$E115</f>
        <v>1</v>
      </c>
      <c r="RN115" s="525">
        <f>COUNTIF($T$110:BO$110,"Rolling")/$K$106*(1-$E115)+$E115</f>
        <v>1</v>
      </c>
      <c r="RO115" s="525">
        <f>COUNTIF($T$110:BP$110,"Rolling")/$K$106*(1-$E115)+$E115</f>
        <v>1</v>
      </c>
      <c r="RP115" s="525">
        <f>COUNTIF($T$110:BQ$110,"Rolling")/$K$106*(1-$E115)+$E115</f>
        <v>1</v>
      </c>
      <c r="RQ115" s="525">
        <f>COUNTIF($T$110:BR$110,"Rolling")/$K$106*(1-$E115)+$E115</f>
        <v>1</v>
      </c>
      <c r="RR115" s="525">
        <f>COUNTIF($T$110:BS$110,"Rolling")/$K$106*(1-$E115)+$E115</f>
        <v>1</v>
      </c>
      <c r="RS115" s="525">
        <f>COUNTIF($T$110:BT$110,"Rolling")/$K$106*(1-$E115)+$E115</f>
        <v>1</v>
      </c>
      <c r="RT115" s="525">
        <f>COUNTIF($T$110:BU$110,"Rolling")/$K$106*(1-$E115)+$E115</f>
        <v>1</v>
      </c>
      <c r="RU115" s="525">
        <f>COUNTIF($T$110:BV$110,"Rolling")/$K$106*(1-$E115)+$E115</f>
        <v>1</v>
      </c>
      <c r="RV115" s="525">
        <f>COUNTIF($T$110:BW$110,"Rolling")/$K$106*(1-$E115)+$E115</f>
        <v>1</v>
      </c>
      <c r="RW115" s="525">
        <f>COUNTIF($T$110:BX$110,"Rolling")/$K$106*(1-$E115)+$E115</f>
        <v>1</v>
      </c>
      <c r="RX115" s="525">
        <f>COUNTIF($T$110:BY$110,"Rolling")/$K$106*(1-$E115)+$E115</f>
        <v>1</v>
      </c>
      <c r="RY115" s="525">
        <f>COUNTIF($T$110:BZ$110,"Rolling")/$K$106*(1-$E115)+$E115</f>
        <v>1</v>
      </c>
      <c r="RZ115" s="525">
        <f>COUNTIF($T$110:CA$110,"Rolling")/$K$106*(1-$E115)+$E115</f>
        <v>1</v>
      </c>
      <c r="SA115" s="525">
        <f>COUNTIF($T$110:CB$110,"Rolling")/$K$106*(1-$E115)+$E115</f>
        <v>1</v>
      </c>
      <c r="SB115" s="525">
        <f>COUNTIF($T$110:CC$110,"Rolling")/$K$106*(1-$E115)+$E115</f>
        <v>1</v>
      </c>
      <c r="SC115" s="525">
        <f>COUNTIF($T$110:CD$110,"Rolling")/$K$106*(1-$E115)+$E115</f>
        <v>1</v>
      </c>
      <c r="SD115" s="525">
        <f>COUNTIF($T$110:CE$110,"Rolling")/$K$106*(1-$E115)+$E115</f>
        <v>1</v>
      </c>
      <c r="SE115" s="525">
        <f>COUNTIF($T$110:CF$110,"Rolling")/$K$106*(1-$E115)+$E115</f>
        <v>1</v>
      </c>
      <c r="SF115" s="525">
        <f>COUNTIF($T$110:CG$110,"Rolling")/$K$106*(1-$E115)+$E115</f>
        <v>1</v>
      </c>
      <c r="SG115" s="525">
        <f>COUNTIF($T$110:CH$110,"Rolling")/$K$106*(1-$E115)+$E115</f>
        <v>1</v>
      </c>
      <c r="SH115" s="525">
        <f>COUNTIF($T$110:CI$110,"Rolling")/$K$106*(1-$E115)+$E115</f>
        <v>1</v>
      </c>
      <c r="SI115" s="525">
        <f>COUNTIF($T$110:CJ$110,"Rolling")/$K$106*(1-$E115)+$E115</f>
        <v>1</v>
      </c>
      <c r="SJ115" s="525">
        <f>COUNTIF($T$110:CK$110,"Rolling")/$K$106*(1-$E115)+$E115</f>
        <v>1</v>
      </c>
      <c r="SK115" s="525">
        <f>COUNTIF($T$110:CL$110,"Rolling")/$K$106*(1-$E115)+$E115</f>
        <v>1</v>
      </c>
      <c r="SL115" s="525">
        <f>COUNTIF($T$110:CM$110,"Rolling")/$K$106*(1-$E115)+$E115</f>
        <v>1</v>
      </c>
      <c r="SM115" s="525">
        <f>COUNTIF($T$110:CN$110,"Rolling")/$K$106*(1-$E115)+$E115</f>
        <v>1</v>
      </c>
      <c r="SN115" s="525">
        <f>COUNTIF($T$110:CO$110,"Rolling")/$K$106*(1-$E115)+$E115</f>
        <v>1</v>
      </c>
      <c r="SO115" s="525">
        <f>COUNTIF($T$110:CP$110,"Rolling")/$K$106*(1-$E115)+$E115</f>
        <v>1</v>
      </c>
      <c r="SP115" s="525">
        <f>COUNTIF($T$110:CQ$110,"Rolling")/$K$106*(1-$E115)+$E115</f>
        <v>1</v>
      </c>
      <c r="SQ115" s="525">
        <f>COUNTIF($T$110:CR$110,"Rolling")/$K$106*(1-$E115)+$E115</f>
        <v>1</v>
      </c>
      <c r="SR115" s="525">
        <f>COUNTIF($T$110:CS$110,"Rolling")/$K$106*(1-$E115)+$E115</f>
        <v>1</v>
      </c>
      <c r="SS115" s="525">
        <f>COUNTIF($T$110:CT$110,"Rolling")/$K$106*(1-$E115)+$E115</f>
        <v>1</v>
      </c>
      <c r="ST115" s="525">
        <f>COUNTIF($T$110:CU$110,"Rolling")/$K$106*(1-$E115)+$E115</f>
        <v>1</v>
      </c>
      <c r="SU115" s="525">
        <f>COUNTIF($T$110:CV$110,"Rolling")/$K$106*(1-$E115)+$E115</f>
        <v>1</v>
      </c>
      <c r="SV115" s="525">
        <f>COUNTIF($T$110:CW$110,"Rolling")/$K$106*(1-$E115)+$E115</f>
        <v>1</v>
      </c>
      <c r="SW115" s="525">
        <f>COUNTIF($T$110:CX$110,"Rolling")/$K$106*(1-$E115)+$E115</f>
        <v>1</v>
      </c>
      <c r="SX115" s="525">
        <f>COUNTIF($T$110:CY$110,"Rolling")/$K$106*(1-$E115)+$E115</f>
        <v>1</v>
      </c>
      <c r="SY115" s="525">
        <f>COUNTIF($T$110:CZ$110,"Rolling")/$K$106*(1-$E115)+$E115</f>
        <v>1</v>
      </c>
      <c r="SZ115" s="525">
        <f>COUNTIF($T$110:DA$110,"Rolling")/$K$106*(1-$E115)+$E115</f>
        <v>1</v>
      </c>
      <c r="TA115" s="525">
        <f>COUNTIF($T$110:DB$110,"Rolling")/$K$106*(1-$E115)+$E115</f>
        <v>1</v>
      </c>
      <c r="TB115" s="525">
        <f>COUNTIF($T$110:DC$110,"Rolling")/$K$106*(1-$E115)+$E115</f>
        <v>1</v>
      </c>
      <c r="TC115" s="525">
        <f>COUNTIF($T$110:DD$110,"Rolling")/$K$106*(1-$E115)+$E115</f>
        <v>1</v>
      </c>
      <c r="TD115" s="525">
        <f>COUNTIF($T$110:DE$110,"Rolling")/$K$106*(1-$E115)+$E115</f>
        <v>1</v>
      </c>
      <c r="TE115" s="525">
        <f>COUNTIF($T$110:DF$110,"Rolling")/$K$106*(1-$E115)+$E115</f>
        <v>1</v>
      </c>
      <c r="TF115" s="525">
        <f>COUNTIF($T$110:DG$110,"Rolling")/$K$106*(1-$E115)+$E115</f>
        <v>1</v>
      </c>
      <c r="TG115" s="525">
        <f>COUNTIF($T$110:DH$110,"Rolling")/$K$106*(1-$E115)+$E115</f>
        <v>1</v>
      </c>
      <c r="TH115" s="525">
        <f>COUNTIF($T$110:DI$110,"Rolling")/$K$106*(1-$E115)+$E115</f>
        <v>1</v>
      </c>
      <c r="TI115" s="525">
        <f>COUNTIF($T$110:DJ$110,"Rolling")/$K$106*(1-$E115)+$E115</f>
        <v>1</v>
      </c>
      <c r="TJ115" s="525">
        <f>COUNTIF($T$110:DK$110,"Rolling")/$K$106*(1-$E115)+$E115</f>
        <v>1</v>
      </c>
      <c r="TK115" s="525">
        <f>COUNTIF($T$110:DL$110,"Rolling")/$K$106*(1-$E115)+$E115</f>
        <v>1</v>
      </c>
      <c r="TL115" s="525">
        <f>COUNTIF($T$110:DM$110,"Rolling")/$K$106*(1-$E115)+$E115</f>
        <v>1</v>
      </c>
      <c r="TM115" s="525">
        <f>COUNTIF($T$110:DN$110,"Rolling")/$K$106*(1-$E115)+$E115</f>
        <v>1</v>
      </c>
      <c r="TN115" s="525">
        <f>COUNTIF($T$110:DO$110,"Rolling")/$K$106*(1-$E115)+$E115</f>
        <v>1</v>
      </c>
      <c r="TO115" s="525">
        <f>COUNTIF($T$110:DP$110,"Rolling")/$K$106*(1-$E115)+$E115</f>
        <v>1</v>
      </c>
      <c r="TP115" s="525">
        <f>COUNTIF($T$110:DQ$110,"Rolling")/$K$106*(1-$E115)+$E115</f>
        <v>1</v>
      </c>
      <c r="TQ115" s="525">
        <f>COUNTIF($T$110:DR$110,"Rolling")/$K$106*(1-$E115)+$E115</f>
        <v>1</v>
      </c>
      <c r="TR115" s="525">
        <f>COUNTIF($T$110:DS$110,"Rolling")/$K$106*(1-$E115)+$E115</f>
        <v>1</v>
      </c>
      <c r="TS115" s="525">
        <f>COUNTIF($T$110:DT$110,"Rolling")/$K$106*(1-$E115)+$E115</f>
        <v>1</v>
      </c>
      <c r="TT115" s="525">
        <f>COUNTIF($T$110:DU$110,"Rolling")/$K$106*(1-$E115)+$E115</f>
        <v>1</v>
      </c>
      <c r="TU115" s="525">
        <f>COUNTIF($T$110:DV$110,"Rolling")/$K$106*(1-$E115)+$E115</f>
        <v>1</v>
      </c>
      <c r="TV115" s="525">
        <f>COUNTIF($T$110:DW$110,"Rolling")/$K$106*(1-$E115)+$E115</f>
        <v>1</v>
      </c>
      <c r="TW115" s="525">
        <f>COUNTIF($T$110:DX$110,"Rolling")/$K$106*(1-$E115)+$E115</f>
        <v>1</v>
      </c>
      <c r="TX115" s="525">
        <f>COUNTIF($T$110:DY$110,"Rolling")/$K$106*(1-$E115)+$E115</f>
        <v>1</v>
      </c>
      <c r="TY115" s="525">
        <f>COUNTIF($T$110:DZ$110,"Rolling")/$K$106*(1-$E115)+$E115</f>
        <v>1</v>
      </c>
      <c r="TZ115" s="525">
        <f>COUNTIF($T$110:EA$110,"Rolling")/$K$106*(1-$E115)+$E115</f>
        <v>1</v>
      </c>
      <c r="UA115" s="525">
        <f>COUNTIF($T$110:EB$110,"Rolling")/$K$106*(1-$E115)+$E115</f>
        <v>1</v>
      </c>
      <c r="UB115" s="525">
        <f>COUNTIF($T$110:EC$110,"Rolling")/$K$106*(1-$E115)+$E115</f>
        <v>1</v>
      </c>
      <c r="UC115" s="525">
        <f>COUNTIF($T$110:ED$110,"Rolling")/$K$106*(1-$E115)+$E115</f>
        <v>1</v>
      </c>
      <c r="UD115" s="525">
        <f>COUNTIF($T$110:EE$110,"Rolling")/$K$106*(1-$E115)+$E115</f>
        <v>1</v>
      </c>
      <c r="UE115" s="525">
        <f>COUNTIF($T$110:EF$110,"Rolling")/$K$106*(1-$E115)+$E115</f>
        <v>1</v>
      </c>
      <c r="UF115" s="525">
        <f>COUNTIF($T$110:EG$110,"Rolling")/$K$106*(1-$E115)+$E115</f>
        <v>1</v>
      </c>
      <c r="UG115" s="525">
        <f>COUNTIF($T$110:EH$110,"Rolling")/$K$106*(1-$E115)+$E115</f>
        <v>1</v>
      </c>
      <c r="UH115" s="525">
        <f>COUNTIF($T$110:EI$110,"Rolling")/$K$106*(1-$E115)+$E115</f>
        <v>1</v>
      </c>
      <c r="UI115" s="525">
        <f>COUNTIF($T$110:EJ$110,"Rolling")/$K$106*(1-$E115)+$E115</f>
        <v>1</v>
      </c>
      <c r="UJ115" s="525">
        <f>COUNTIF($T$110:EK$110,"Rolling")/$K$106*(1-$E115)+$E115</f>
        <v>1</v>
      </c>
      <c r="UK115" s="525">
        <f>COUNTIF($T$110:EL$110,"Rolling")/$K$106*(1-$E115)+$E115</f>
        <v>1</v>
      </c>
      <c r="UL115" s="525">
        <f>COUNTIF($T$110:EM$110,"Rolling")/$K$106*(1-$E115)+$E115</f>
        <v>1</v>
      </c>
      <c r="UM115" s="525">
        <f>COUNTIF($T$110:EN$110,"Rolling")/$K$106*(1-$E115)+$E115</f>
        <v>1</v>
      </c>
      <c r="UN115" s="525">
        <f>COUNTIF($T$110:EO$110,"Rolling")/$K$106*(1-$E115)+$E115</f>
        <v>1</v>
      </c>
      <c r="UO115" s="525">
        <f>COUNTIF($T$110:EP$110,"Rolling")/$K$106*(1-$E115)+$E115</f>
        <v>1</v>
      </c>
      <c r="UP115" s="525">
        <f>COUNTIF($T$110:EQ$110,"Rolling")/$K$106*(1-$E115)+$E115</f>
        <v>1</v>
      </c>
      <c r="UQ115" s="525">
        <f>COUNTIF($T$110:ER$110,"Rolling")/$K$106*(1-$E115)+$E115</f>
        <v>1</v>
      </c>
      <c r="UR115" s="525">
        <f>COUNTIF($T$110:ES$110,"Rolling")/$K$106*(1-$E115)+$E115</f>
        <v>1</v>
      </c>
      <c r="US115" s="525">
        <f>COUNTIF($T$110:ET$110,"Rolling")/$K$106*(1-$E115)+$E115</f>
        <v>1</v>
      </c>
      <c r="UT115" s="525">
        <f>COUNTIF($T$110:EU$110,"Rolling")/$K$106*(1-$E115)+$E115</f>
        <v>1</v>
      </c>
      <c r="UU115" s="207"/>
    </row>
    <row r="116" spans="2:567" x14ac:dyDescent="0.25">
      <c r="B116" s="31" t="s">
        <v>125</v>
      </c>
      <c r="C116" s="147">
        <v>60</v>
      </c>
      <c r="D116" s="147">
        <v>800</v>
      </c>
      <c r="E116" s="68">
        <v>0</v>
      </c>
      <c r="F116" s="114">
        <f t="shared" si="2106"/>
        <v>1.96875</v>
      </c>
      <c r="G116" s="115">
        <v>1575</v>
      </c>
      <c r="H116" s="114">
        <f t="shared" si="2245"/>
        <v>2.2640624999999996</v>
      </c>
      <c r="I116" s="115">
        <f t="shared" si="2246"/>
        <v>1811.2499999999998</v>
      </c>
      <c r="J116" s="149">
        <f t="shared" si="2247"/>
        <v>1134000</v>
      </c>
      <c r="K116" s="149">
        <f t="shared" si="2248"/>
        <v>1304099.9999999998</v>
      </c>
      <c r="M116" s="3" t="s">
        <v>840</v>
      </c>
      <c r="R116" s="524"/>
      <c r="T116" s="92">
        <f t="shared" si="2249"/>
        <v>95090.625</v>
      </c>
      <c r="U116" s="92">
        <f t="shared" si="2107"/>
        <v>95681.25</v>
      </c>
      <c r="V116" s="92">
        <f t="shared" si="2108"/>
        <v>96271.875</v>
      </c>
      <c r="W116" s="92">
        <f t="shared" si="2109"/>
        <v>96862.5</v>
      </c>
      <c r="X116" s="92">
        <f t="shared" si="2110"/>
        <v>97453.125</v>
      </c>
      <c r="Y116" s="92">
        <f t="shared" si="2111"/>
        <v>98043.75</v>
      </c>
      <c r="Z116" s="92">
        <f t="shared" si="2112"/>
        <v>98634.374999999985</v>
      </c>
      <c r="AA116" s="92">
        <f t="shared" si="2113"/>
        <v>99225</v>
      </c>
      <c r="AB116" s="92">
        <f t="shared" si="2114"/>
        <v>99815.625</v>
      </c>
      <c r="AC116" s="92">
        <f t="shared" si="2115"/>
        <v>100406.24999999997</v>
      </c>
      <c r="AD116" s="92">
        <f t="shared" si="2116"/>
        <v>100996.875</v>
      </c>
      <c r="AE116" s="92">
        <f t="shared" si="2117"/>
        <v>101587.5</v>
      </c>
      <c r="AF116" s="92">
        <f t="shared" si="2118"/>
        <v>102388.59520785953</v>
      </c>
      <c r="AG116" s="92">
        <f t="shared" si="2119"/>
        <v>103192.55963745851</v>
      </c>
      <c r="AH116" s="92">
        <f t="shared" si="2120"/>
        <v>103999.40171006374</v>
      </c>
      <c r="AI116" s="92">
        <f t="shared" si="2121"/>
        <v>104809.12986946093</v>
      </c>
      <c r="AJ116" s="92">
        <f t="shared" si="2122"/>
        <v>105621.75258201179</v>
      </c>
      <c r="AK116" s="92">
        <f t="shared" si="2123"/>
        <v>106437.27833671126</v>
      </c>
      <c r="AL116" s="92">
        <f t="shared" si="2124"/>
        <v>107255.71564524478</v>
      </c>
      <c r="AM116" s="92">
        <f t="shared" si="2125"/>
        <v>108077.07304204573</v>
      </c>
      <c r="AN116" s="92">
        <f t="shared" si="2126"/>
        <v>108901.35908435304</v>
      </c>
      <c r="AO116" s="92">
        <f t="shared" si="2127"/>
        <v>109728.582352269</v>
      </c>
      <c r="AP116" s="92">
        <f t="shared" si="2128"/>
        <v>110558.75144881706</v>
      </c>
      <c r="AQ116" s="92">
        <f t="shared" si="2129"/>
        <v>111391.87499999985</v>
      </c>
      <c r="AR116" s="92">
        <f t="shared" si="2130"/>
        <v>111621.32402429063</v>
      </c>
      <c r="AS116" s="92">
        <f t="shared" si="2131"/>
        <v>111851.24567600373</v>
      </c>
      <c r="AT116" s="92">
        <f t="shared" si="2132"/>
        <v>112081.64092867427</v>
      </c>
      <c r="AU116" s="92">
        <f t="shared" si="2133"/>
        <v>112312.51075784264</v>
      </c>
      <c r="AV116" s="92">
        <f t="shared" si="2134"/>
        <v>112543.85614105876</v>
      </c>
      <c r="AW116" s="92">
        <f t="shared" si="2135"/>
        <v>112775.67805788606</v>
      </c>
      <c r="AX116" s="92">
        <f t="shared" si="2136"/>
        <v>113007.97748990581</v>
      </c>
      <c r="AY116" s="92">
        <f t="shared" si="2137"/>
        <v>113240.75542072109</v>
      </c>
      <c r="AZ116" s="92">
        <f t="shared" si="2138"/>
        <v>113474.01283596107</v>
      </c>
      <c r="BA116" s="92">
        <f t="shared" si="2139"/>
        <v>113707.75072328518</v>
      </c>
      <c r="BB116" s="92">
        <f t="shared" si="2140"/>
        <v>113941.97007238725</v>
      </c>
      <c r="BC116" s="92">
        <f t="shared" si="2141"/>
        <v>114176.67187499968</v>
      </c>
      <c r="BD116" s="92">
        <f t="shared" si="2142"/>
        <v>114411.85712489774</v>
      </c>
      <c r="BE116" s="92">
        <f t="shared" si="2143"/>
        <v>114647.52681790366</v>
      </c>
      <c r="BF116" s="92">
        <f t="shared" si="2144"/>
        <v>114883.68195189095</v>
      </c>
      <c r="BG116" s="92">
        <f t="shared" si="2145"/>
        <v>115120.32352678853</v>
      </c>
      <c r="BH116" s="92">
        <f t="shared" si="2146"/>
        <v>115357.45254458504</v>
      </c>
      <c r="BI116" s="92">
        <f t="shared" si="2147"/>
        <v>115595.07000933305</v>
      </c>
      <c r="BJ116" s="92">
        <f t="shared" si="2148"/>
        <v>115833.17692715328</v>
      </c>
      <c r="BK116" s="92">
        <f t="shared" si="2149"/>
        <v>116071.77430623893</v>
      </c>
      <c r="BL116" s="92">
        <f t="shared" si="2150"/>
        <v>116310.86315685992</v>
      </c>
      <c r="BM116" s="92">
        <f t="shared" si="2151"/>
        <v>116550.44449136715</v>
      </c>
      <c r="BN116" s="92">
        <f t="shared" si="2152"/>
        <v>116790.51932419676</v>
      </c>
      <c r="BO116" s="92">
        <f t="shared" si="2153"/>
        <v>117031.08867187452</v>
      </c>
      <c r="BP116" s="92">
        <f t="shared" si="2154"/>
        <v>117272.15355302002</v>
      </c>
      <c r="BQ116" s="92">
        <f t="shared" si="2155"/>
        <v>117513.7149883511</v>
      </c>
      <c r="BR116" s="92">
        <f t="shared" si="2156"/>
        <v>117755.77400068806</v>
      </c>
      <c r="BS116" s="92">
        <f t="shared" si="2157"/>
        <v>117998.33161495808</v>
      </c>
      <c r="BT116" s="92">
        <f t="shared" si="2158"/>
        <v>118241.38885819951</v>
      </c>
      <c r="BU116" s="92">
        <f t="shared" si="2159"/>
        <v>118484.94675956621</v>
      </c>
      <c r="BV116" s="92">
        <f t="shared" si="2160"/>
        <v>118729.00635033195</v>
      </c>
      <c r="BW116" s="92">
        <f t="shared" si="2161"/>
        <v>118973.56866389475</v>
      </c>
      <c r="BX116" s="92">
        <f t="shared" si="2162"/>
        <v>119218.63473578128</v>
      </c>
      <c r="BY116" s="92">
        <f t="shared" si="2163"/>
        <v>119464.20560365118</v>
      </c>
      <c r="BZ116" s="92">
        <f t="shared" si="2164"/>
        <v>119710.28230730153</v>
      </c>
      <c r="CA116" s="92">
        <f t="shared" si="2165"/>
        <v>119956.86588867121</v>
      </c>
      <c r="CB116" s="92">
        <f t="shared" si="2166"/>
        <v>120203.95739184535</v>
      </c>
      <c r="CC116" s="92">
        <f t="shared" si="2167"/>
        <v>120451.55786305972</v>
      </c>
      <c r="CD116" s="92">
        <f t="shared" si="2168"/>
        <v>120699.66835070511</v>
      </c>
      <c r="CE116" s="92">
        <f t="shared" si="2169"/>
        <v>120948.28990533188</v>
      </c>
      <c r="CF116" s="92">
        <f t="shared" si="2170"/>
        <v>121197.42357965434</v>
      </c>
      <c r="CG116" s="92">
        <f t="shared" si="2171"/>
        <v>121447.07042855521</v>
      </c>
      <c r="CH116" s="92">
        <f t="shared" si="2172"/>
        <v>121697.23150909008</v>
      </c>
      <c r="CI116" s="92">
        <f t="shared" si="2173"/>
        <v>121947.90788049196</v>
      </c>
      <c r="CJ116" s="92">
        <f t="shared" si="2174"/>
        <v>122199.10060417565</v>
      </c>
      <c r="CK116" s="92">
        <f t="shared" si="2175"/>
        <v>122450.81074374229</v>
      </c>
      <c r="CL116" s="92">
        <f t="shared" si="2176"/>
        <v>122703.0393649839</v>
      </c>
      <c r="CM116" s="92">
        <f t="shared" si="2177"/>
        <v>122955.78753588782</v>
      </c>
      <c r="CN116" s="92">
        <f t="shared" si="2178"/>
        <v>123209.05632664132</v>
      </c>
      <c r="CO116" s="92">
        <f t="shared" si="2179"/>
        <v>123462.84680963603</v>
      </c>
      <c r="CP116" s="92">
        <f t="shared" si="2180"/>
        <v>123717.16005947255</v>
      </c>
      <c r="CQ116" s="92">
        <f t="shared" si="2181"/>
        <v>123971.99715296499</v>
      </c>
      <c r="CR116" s="92">
        <f t="shared" si="2182"/>
        <v>124227.35916914552</v>
      </c>
      <c r="CS116" s="92">
        <f t="shared" si="2183"/>
        <v>124483.24718926891</v>
      </c>
      <c r="CT116" s="92">
        <f t="shared" si="2184"/>
        <v>124739.66229681717</v>
      </c>
      <c r="CU116" s="92">
        <f t="shared" si="2185"/>
        <v>124996.6055775041</v>
      </c>
      <c r="CV116" s="92">
        <f t="shared" si="2186"/>
        <v>125254.07811927987</v>
      </c>
      <c r="CW116" s="92">
        <f t="shared" si="2187"/>
        <v>125512.08101233568</v>
      </c>
      <c r="CX116" s="92">
        <f t="shared" si="2188"/>
        <v>125770.61534910832</v>
      </c>
      <c r="CY116" s="92">
        <f t="shared" si="2189"/>
        <v>126029.68222428484</v>
      </c>
      <c r="CZ116" s="92">
        <f t="shared" si="2190"/>
        <v>126289.28273480717</v>
      </c>
      <c r="DA116" s="92">
        <f t="shared" si="2191"/>
        <v>126549.41797987676</v>
      </c>
      <c r="DB116" s="92">
        <f t="shared" si="2192"/>
        <v>126810.0890609592</v>
      </c>
      <c r="DC116" s="92">
        <f t="shared" si="2193"/>
        <v>127071.29708178896</v>
      </c>
      <c r="DD116" s="92">
        <f t="shared" si="2194"/>
        <v>127333.04314837397</v>
      </c>
      <c r="DE116" s="92">
        <f t="shared" si="2195"/>
        <v>127595.32836900043</v>
      </c>
      <c r="DF116" s="92">
        <f t="shared" si="2196"/>
        <v>127858.15385423739</v>
      </c>
      <c r="DG116" s="92">
        <f t="shared" si="2197"/>
        <v>128121.52071694146</v>
      </c>
      <c r="DH116" s="92">
        <f t="shared" si="2198"/>
        <v>128385.43007226165</v>
      </c>
      <c r="DI116" s="92">
        <f t="shared" si="2199"/>
        <v>128649.88303764386</v>
      </c>
      <c r="DJ116" s="92">
        <f t="shared" si="2200"/>
        <v>128914.88073283584</v>
      </c>
      <c r="DK116" s="92">
        <f t="shared" si="2201"/>
        <v>129180.4242798918</v>
      </c>
      <c r="DL116" s="92">
        <f t="shared" si="2202"/>
        <v>129446.5148031772</v>
      </c>
      <c r="DM116" s="92">
        <f t="shared" si="2203"/>
        <v>129713.15342937352</v>
      </c>
      <c r="DN116" s="92">
        <f t="shared" si="2204"/>
        <v>129980.34128748302</v>
      </c>
      <c r="DO116" s="92">
        <f t="shared" si="2205"/>
        <v>130248.07950883351</v>
      </c>
      <c r="DP116" s="92">
        <f t="shared" si="2206"/>
        <v>130516.36922708317</v>
      </c>
      <c r="DQ116" s="92">
        <f t="shared" si="2207"/>
        <v>130785.21157822529</v>
      </c>
      <c r="DR116" s="92">
        <f t="shared" si="2208"/>
        <v>131054.60770059319</v>
      </c>
      <c r="DS116" s="92">
        <f t="shared" si="2209"/>
        <v>131324.5587348649</v>
      </c>
      <c r="DT116" s="92">
        <f t="shared" si="2210"/>
        <v>131595.06582406806</v>
      </c>
      <c r="DU116" s="92">
        <f t="shared" si="2211"/>
        <v>131866.1301135848</v>
      </c>
      <c r="DV116" s="92">
        <f t="shared" si="2212"/>
        <v>132137.75275115657</v>
      </c>
      <c r="DW116" s="92">
        <f t="shared" si="2213"/>
        <v>132409.93488688892</v>
      </c>
      <c r="DX116" s="92">
        <f t="shared" si="2214"/>
        <v>132682.67767325643</v>
      </c>
      <c r="DY116" s="92">
        <f t="shared" si="2215"/>
        <v>132955.98226510768</v>
      </c>
      <c r="DZ116" s="92">
        <f t="shared" si="2216"/>
        <v>133229.84981966991</v>
      </c>
      <c r="EA116" s="92">
        <f t="shared" si="2217"/>
        <v>133504.28149655415</v>
      </c>
      <c r="EB116" s="92">
        <f t="shared" si="2218"/>
        <v>133779.27845776005</v>
      </c>
      <c r="EC116" s="92">
        <f t="shared" si="2219"/>
        <v>134054.84186768072</v>
      </c>
      <c r="ED116" s="92">
        <f t="shared" si="2220"/>
        <v>134330.9728931078</v>
      </c>
      <c r="EE116" s="92">
        <f t="shared" si="2221"/>
        <v>134607.67270323628</v>
      </c>
      <c r="EF116" s="92">
        <f t="shared" si="2222"/>
        <v>134884.94246966954</v>
      </c>
      <c r="EG116" s="92">
        <f t="shared" si="2223"/>
        <v>135162.78336642421</v>
      </c>
      <c r="EH116" s="92">
        <f t="shared" si="2224"/>
        <v>135441.19656993527</v>
      </c>
      <c r="EI116" s="92">
        <f t="shared" si="2225"/>
        <v>135720.18325906093</v>
      </c>
      <c r="EJ116" s="92">
        <f t="shared" si="2226"/>
        <v>135999.74461508763</v>
      </c>
      <c r="EK116" s="92">
        <f t="shared" si="2227"/>
        <v>136279.88182173515</v>
      </c>
      <c r="EL116" s="92">
        <f t="shared" si="2228"/>
        <v>136560.59606516143</v>
      </c>
      <c r="EM116" s="92">
        <f t="shared" si="2229"/>
        <v>136841.88853396781</v>
      </c>
      <c r="EN116" s="92">
        <f t="shared" si="2230"/>
        <v>137123.76041920384</v>
      </c>
      <c r="EO116" s="92">
        <f t="shared" si="2231"/>
        <v>137406.21291437253</v>
      </c>
      <c r="EP116" s="92">
        <f t="shared" si="2232"/>
        <v>137689.24721543532</v>
      </c>
      <c r="EQ116" s="92">
        <f t="shared" si="2233"/>
        <v>137972.86452081701</v>
      </c>
      <c r="ER116" s="92">
        <f t="shared" si="2234"/>
        <v>138257.06603141106</v>
      </c>
      <c r="ES116" s="92">
        <f t="shared" si="2235"/>
        <v>138541.85295058461</v>
      </c>
      <c r="ET116" s="92">
        <f t="shared" si="2236"/>
        <v>138827.22648418345</v>
      </c>
      <c r="EU116" s="92">
        <f t="shared" si="2237"/>
        <v>139113.18784053723</v>
      </c>
      <c r="EW116" s="199" t="str">
        <f t="shared" si="2250"/>
        <v>1 Bd/1.5 Bth</v>
      </c>
      <c r="EX116" s="201"/>
      <c r="EY116" s="221"/>
      <c r="EZ116" s="221"/>
      <c r="FA116" s="221"/>
      <c r="FB116" s="221"/>
      <c r="FC116" s="207">
        <f t="shared" si="2238"/>
        <v>1575</v>
      </c>
      <c r="FD116" s="207">
        <f t="shared" ref="FD116:HO116" si="2260">FC116+IF(FD$112&gt;0,FC116*((1+INDEX($C$104:$H$104,1,MIN(FD$112,6)))^(1/12)-1))</f>
        <v>1575</v>
      </c>
      <c r="FE116" s="207">
        <f t="shared" si="2260"/>
        <v>1575</v>
      </c>
      <c r="FF116" s="207">
        <f t="shared" si="2260"/>
        <v>1575</v>
      </c>
      <c r="FG116" s="207">
        <f t="shared" si="2260"/>
        <v>1575</v>
      </c>
      <c r="FH116" s="207">
        <f t="shared" si="2260"/>
        <v>1575</v>
      </c>
      <c r="FI116" s="207">
        <f t="shared" si="2260"/>
        <v>1575</v>
      </c>
      <c r="FJ116" s="207">
        <f t="shared" si="2260"/>
        <v>1575</v>
      </c>
      <c r="FK116" s="207">
        <f t="shared" si="2260"/>
        <v>1575</v>
      </c>
      <c r="FL116" s="207">
        <f t="shared" si="2260"/>
        <v>1575</v>
      </c>
      <c r="FM116" s="207">
        <f t="shared" si="2260"/>
        <v>1575</v>
      </c>
      <c r="FN116" s="207">
        <f t="shared" si="2260"/>
        <v>1575</v>
      </c>
      <c r="FO116" s="207">
        <f t="shared" si="2260"/>
        <v>1575</v>
      </c>
      <c r="FP116" s="207">
        <f t="shared" si="2260"/>
        <v>1578.2442421250023</v>
      </c>
      <c r="FQ116" s="207">
        <f t="shared" si="2260"/>
        <v>1581.4951668576018</v>
      </c>
      <c r="FR116" s="207">
        <f t="shared" si="2260"/>
        <v>1584.752787962876</v>
      </c>
      <c r="FS116" s="207">
        <f t="shared" si="2260"/>
        <v>1588.0171192342564</v>
      </c>
      <c r="FT116" s="207">
        <f t="shared" si="2260"/>
        <v>1591.2881744935862</v>
      </c>
      <c r="FU116" s="207">
        <f t="shared" si="2260"/>
        <v>1594.56596759118</v>
      </c>
      <c r="FV116" s="207">
        <f t="shared" si="2260"/>
        <v>1597.8505124058811</v>
      </c>
      <c r="FW116" s="207">
        <f t="shared" si="2260"/>
        <v>1601.1418228451216</v>
      </c>
      <c r="FX116" s="207">
        <f t="shared" si="2260"/>
        <v>1604.4399128449802</v>
      </c>
      <c r="FY116" s="207">
        <f t="shared" si="2260"/>
        <v>1607.7447963702416</v>
      </c>
      <c r="FZ116" s="207">
        <f t="shared" si="2260"/>
        <v>1611.0564874144559</v>
      </c>
      <c r="GA116" s="207">
        <f t="shared" si="2260"/>
        <v>1614.3749999999977</v>
      </c>
      <c r="GB116" s="207">
        <f t="shared" si="2260"/>
        <v>1617.7003481781251</v>
      </c>
      <c r="GC116" s="207">
        <f t="shared" si="2260"/>
        <v>1621.0325460290396</v>
      </c>
      <c r="GD116" s="207">
        <f t="shared" si="2260"/>
        <v>1624.3716076619457</v>
      </c>
      <c r="GE116" s="207">
        <f t="shared" si="2260"/>
        <v>1627.7175472151105</v>
      </c>
      <c r="GF116" s="207">
        <f t="shared" si="2260"/>
        <v>1631.0703788559235</v>
      </c>
      <c r="GG116" s="207">
        <f t="shared" si="2260"/>
        <v>1634.4301167809572</v>
      </c>
      <c r="GH116" s="207">
        <f t="shared" si="2260"/>
        <v>1637.7967752160259</v>
      </c>
      <c r="GI116" s="207">
        <f t="shared" si="2260"/>
        <v>1641.1703684162474</v>
      </c>
      <c r="GJ116" s="207">
        <f t="shared" si="2260"/>
        <v>1644.5509106661023</v>
      </c>
      <c r="GK116" s="207">
        <f t="shared" si="2260"/>
        <v>1647.9384162794952</v>
      </c>
      <c r="GL116" s="207">
        <f t="shared" si="2260"/>
        <v>1651.3328995998149</v>
      </c>
      <c r="GM116" s="207">
        <f t="shared" si="2260"/>
        <v>1654.7343749999952</v>
      </c>
      <c r="GN116" s="207">
        <f t="shared" si="2260"/>
        <v>1658.1428568825759</v>
      </c>
      <c r="GO116" s="207">
        <f t="shared" si="2260"/>
        <v>1661.5583596797633</v>
      </c>
      <c r="GP116" s="207">
        <f t="shared" si="2260"/>
        <v>1664.980897853492</v>
      </c>
      <c r="GQ116" s="207">
        <f t="shared" si="2260"/>
        <v>1668.4104858954861</v>
      </c>
      <c r="GR116" s="207">
        <f t="shared" si="2260"/>
        <v>1671.8471383273195</v>
      </c>
      <c r="GS116" s="207">
        <f t="shared" si="2260"/>
        <v>1675.2908697004789</v>
      </c>
      <c r="GT116" s="207">
        <f t="shared" si="2260"/>
        <v>1678.7416945964244</v>
      </c>
      <c r="GU116" s="207">
        <f t="shared" si="2260"/>
        <v>1682.1996276266514</v>
      </c>
      <c r="GV116" s="207">
        <f t="shared" si="2260"/>
        <v>1685.6646834327528</v>
      </c>
      <c r="GW116" s="207">
        <f t="shared" si="2260"/>
        <v>1689.1368766864805</v>
      </c>
      <c r="GX116" s="207">
        <f t="shared" si="2260"/>
        <v>1692.6162220898082</v>
      </c>
      <c r="GY116" s="207">
        <f t="shared" si="2260"/>
        <v>1696.1027343749929</v>
      </c>
      <c r="GZ116" s="207">
        <f t="shared" si="2260"/>
        <v>1699.596428304638</v>
      </c>
      <c r="HA116" s="207">
        <f t="shared" si="2260"/>
        <v>1703.0973186717551</v>
      </c>
      <c r="HB116" s="207">
        <f t="shared" si="2260"/>
        <v>1706.6054202998271</v>
      </c>
      <c r="HC116" s="207">
        <f t="shared" si="2260"/>
        <v>1710.1207480428709</v>
      </c>
      <c r="HD116" s="207">
        <f t="shared" si="2260"/>
        <v>1713.6433167855002</v>
      </c>
      <c r="HE116" s="207">
        <f t="shared" si="2260"/>
        <v>1717.1731414429887</v>
      </c>
      <c r="HF116" s="207">
        <f t="shared" si="2260"/>
        <v>1720.7102369613328</v>
      </c>
      <c r="HG116" s="207">
        <f t="shared" si="2260"/>
        <v>1724.2546183173156</v>
      </c>
      <c r="HH116" s="207">
        <f t="shared" si="2260"/>
        <v>1727.8063005185695</v>
      </c>
      <c r="HI116" s="207">
        <f t="shared" si="2260"/>
        <v>1731.3652986036404</v>
      </c>
      <c r="HJ116" s="207">
        <f t="shared" si="2260"/>
        <v>1734.9316276420514</v>
      </c>
      <c r="HK116" s="207">
        <f t="shared" si="2260"/>
        <v>1738.5053027343658</v>
      </c>
      <c r="HL116" s="207">
        <f t="shared" si="2260"/>
        <v>1742.086339012252</v>
      </c>
      <c r="HM116" s="207">
        <f t="shared" si="2260"/>
        <v>1745.6747516385469</v>
      </c>
      <c r="HN116" s="207">
        <f t="shared" si="2260"/>
        <v>1749.2705558073208</v>
      </c>
      <c r="HO116" s="207">
        <f t="shared" si="2260"/>
        <v>1752.8737667439407</v>
      </c>
      <c r="HP116" s="207">
        <f t="shared" ref="HP116:KA116" si="2261">HO116+IF(HP$112&gt;0,HO116*((1+INDEX($C$104:$H$104,1,MIN(HP$112,6)))^(1/12)-1))</f>
        <v>1756.4843997051357</v>
      </c>
      <c r="HQ116" s="207">
        <f t="shared" si="2261"/>
        <v>1760.1024699790614</v>
      </c>
      <c r="HR116" s="207">
        <f t="shared" si="2261"/>
        <v>1763.7279928853641</v>
      </c>
      <c r="HS116" s="207">
        <f t="shared" si="2261"/>
        <v>1767.3609837752463</v>
      </c>
      <c r="HT116" s="207">
        <f t="shared" si="2261"/>
        <v>1771.0014580315315</v>
      </c>
      <c r="HU116" s="207">
        <f t="shared" si="2261"/>
        <v>1774.6494310687292</v>
      </c>
      <c r="HV116" s="207">
        <f t="shared" si="2261"/>
        <v>1778.3049183331004</v>
      </c>
      <c r="HW116" s="207">
        <f t="shared" si="2261"/>
        <v>1781.9679353027227</v>
      </c>
      <c r="HX116" s="207">
        <f t="shared" si="2261"/>
        <v>1785.6384974875562</v>
      </c>
      <c r="HY116" s="207">
        <f t="shared" si="2261"/>
        <v>1789.3166204295085</v>
      </c>
      <c r="HZ116" s="207">
        <f t="shared" si="2261"/>
        <v>1793.0023197025016</v>
      </c>
      <c r="IA116" s="207">
        <f t="shared" si="2261"/>
        <v>1796.6956109125369</v>
      </c>
      <c r="IB116" s="207">
        <f t="shared" si="2261"/>
        <v>1800.3965096977618</v>
      </c>
      <c r="IC116" s="207">
        <f t="shared" si="2261"/>
        <v>1804.1050317285356</v>
      </c>
      <c r="ID116" s="207">
        <f t="shared" si="2261"/>
        <v>1807.8211927074958</v>
      </c>
      <c r="IE116" s="207">
        <f t="shared" si="2261"/>
        <v>1811.5450083696251</v>
      </c>
      <c r="IF116" s="207">
        <f t="shared" si="2261"/>
        <v>1815.2764944823175</v>
      </c>
      <c r="IG116" s="207">
        <f t="shared" si="2261"/>
        <v>1819.0156668454451</v>
      </c>
      <c r="IH116" s="207">
        <f t="shared" si="2261"/>
        <v>1822.7625412914256</v>
      </c>
      <c r="II116" s="207">
        <f t="shared" si="2261"/>
        <v>1826.5171336852884</v>
      </c>
      <c r="IJ116" s="207">
        <f t="shared" si="2261"/>
        <v>1830.2794599247425</v>
      </c>
      <c r="IK116" s="207">
        <f t="shared" si="2261"/>
        <v>1834.0495359402437</v>
      </c>
      <c r="IL116" s="207">
        <f t="shared" si="2261"/>
        <v>1837.8273776950616</v>
      </c>
      <c r="IM116" s="207">
        <f t="shared" si="2261"/>
        <v>1841.6130011853479</v>
      </c>
      <c r="IN116" s="207">
        <f t="shared" si="2261"/>
        <v>1845.4064224402034</v>
      </c>
      <c r="IO116" s="207">
        <f t="shared" si="2261"/>
        <v>1849.2076575217466</v>
      </c>
      <c r="IP116" s="207">
        <f t="shared" si="2261"/>
        <v>1853.0167225251807</v>
      </c>
      <c r="IQ116" s="207">
        <f t="shared" si="2261"/>
        <v>1856.8336335788633</v>
      </c>
      <c r="IR116" s="207">
        <f t="shared" si="2261"/>
        <v>1860.6584068443728</v>
      </c>
      <c r="IS116" s="207">
        <f t="shared" si="2261"/>
        <v>1864.4910585165787</v>
      </c>
      <c r="IT116" s="207">
        <f t="shared" si="2261"/>
        <v>1868.3316048237086</v>
      </c>
      <c r="IU116" s="207">
        <f t="shared" si="2261"/>
        <v>1872.180062027418</v>
      </c>
      <c r="IV116" s="207">
        <f t="shared" si="2261"/>
        <v>1876.0364464228585</v>
      </c>
      <c r="IW116" s="207">
        <f t="shared" si="2261"/>
        <v>1879.9007743387472</v>
      </c>
      <c r="IX116" s="207">
        <f t="shared" si="2261"/>
        <v>1883.7730621374355</v>
      </c>
      <c r="IY116" s="207">
        <f t="shared" si="2261"/>
        <v>1887.653326214979</v>
      </c>
      <c r="IZ116" s="207">
        <f t="shared" si="2261"/>
        <v>1891.5415830012059</v>
      </c>
      <c r="JA116" s="207">
        <f t="shared" si="2261"/>
        <v>1895.4378489597875</v>
      </c>
      <c r="JB116" s="207">
        <f t="shared" si="2261"/>
        <v>1899.3421405883075</v>
      </c>
      <c r="JC116" s="207">
        <f t="shared" si="2261"/>
        <v>1903.2544744183322</v>
      </c>
      <c r="JD116" s="207">
        <f t="shared" si="2261"/>
        <v>1907.1748670154795</v>
      </c>
      <c r="JE116" s="207">
        <f t="shared" si="2261"/>
        <v>1911.1033349794905</v>
      </c>
      <c r="JF116" s="207">
        <f t="shared" si="2261"/>
        <v>1915.0398949442986</v>
      </c>
      <c r="JG116" s="207">
        <f t="shared" si="2261"/>
        <v>1918.9845635781007</v>
      </c>
      <c r="JH116" s="207">
        <f t="shared" si="2261"/>
        <v>1922.9373575834272</v>
      </c>
      <c r="JI116" s="207">
        <f t="shared" si="2261"/>
        <v>1926.8982936972131</v>
      </c>
      <c r="JJ116" s="207">
        <f t="shared" si="2261"/>
        <v>1930.8673886908687</v>
      </c>
      <c r="JK116" s="207">
        <f t="shared" si="2261"/>
        <v>1934.8446593703507</v>
      </c>
      <c r="JL116" s="207">
        <f t="shared" si="2261"/>
        <v>1938.8301225762332</v>
      </c>
      <c r="JM116" s="207">
        <f t="shared" si="2261"/>
        <v>1942.8237951837793</v>
      </c>
      <c r="JN116" s="207">
        <f t="shared" si="2261"/>
        <v>1946.8256941030124</v>
      </c>
      <c r="JO116" s="207">
        <f t="shared" si="2261"/>
        <v>1950.8358362787876</v>
      </c>
      <c r="JP116" s="207">
        <f t="shared" si="2261"/>
        <v>1954.8542386908637</v>
      </c>
      <c r="JQ116" s="207">
        <f t="shared" si="2261"/>
        <v>1958.8809183539749</v>
      </c>
      <c r="JR116" s="207">
        <f t="shared" si="2261"/>
        <v>1962.9158923179034</v>
      </c>
      <c r="JS116" s="207">
        <f t="shared" si="2261"/>
        <v>1966.9591776675506</v>
      </c>
      <c r="JT116" s="207">
        <f t="shared" si="2261"/>
        <v>1971.0107915230103</v>
      </c>
      <c r="JU116" s="207">
        <f t="shared" si="2261"/>
        <v>1975.0707510396408</v>
      </c>
      <c r="JV116" s="207">
        <f t="shared" si="2261"/>
        <v>1979.1390734081378</v>
      </c>
      <c r="JW116" s="207">
        <f t="shared" si="2261"/>
        <v>1983.2157758546068</v>
      </c>
      <c r="JX116" s="207">
        <f t="shared" si="2261"/>
        <v>1987.3008756406364</v>
      </c>
      <c r="JY116" s="207">
        <f t="shared" si="2261"/>
        <v>1991.3943900633712</v>
      </c>
      <c r="JZ116" s="207">
        <f t="shared" si="2261"/>
        <v>1995.4963364555852</v>
      </c>
      <c r="KA116" s="207">
        <f t="shared" si="2261"/>
        <v>1999.6067321857547</v>
      </c>
      <c r="KB116" s="207">
        <f t="shared" ref="KB116:KE116" si="2262">KA116+IF(KB$112&gt;0,KA116*((1+INDEX($C$104:$H$104,1,MIN(KB$112,6)))^(1/12)-1))</f>
        <v>2003.7255946581326</v>
      </c>
      <c r="KC116" s="207">
        <f t="shared" si="2262"/>
        <v>2007.8529413128217</v>
      </c>
      <c r="KD116" s="207">
        <f t="shared" si="2262"/>
        <v>2011.9887896258483</v>
      </c>
      <c r="KE116" s="207">
        <f t="shared" si="2262"/>
        <v>2016.1331571092367</v>
      </c>
      <c r="KG116" s="199" t="str">
        <f t="shared" si="2254"/>
        <v>1 Bd/1.5 Bth</v>
      </c>
      <c r="KH116" s="201"/>
      <c r="KI116" s="221"/>
      <c r="KJ116" s="221"/>
      <c r="KK116" s="221"/>
      <c r="KL116" s="221"/>
      <c r="KM116" s="207">
        <f t="shared" si="2255"/>
        <v>1811.2499999999998</v>
      </c>
      <c r="KN116" s="207">
        <f t="shared" ref="KN116:MY116" si="2263">KM116+IF(KN$112&gt;0,KM116*((1+INDEX($C$105:$H$105,1,MIN(KN$112,6)))^(1/12)-1))</f>
        <v>1811.2499999999998</v>
      </c>
      <c r="KO116" s="207">
        <f t="shared" si="2263"/>
        <v>1811.2499999999998</v>
      </c>
      <c r="KP116" s="207">
        <f t="shared" si="2263"/>
        <v>1811.2499999999998</v>
      </c>
      <c r="KQ116" s="207">
        <f t="shared" si="2263"/>
        <v>1811.2499999999998</v>
      </c>
      <c r="KR116" s="207">
        <f t="shared" si="2263"/>
        <v>1811.2499999999998</v>
      </c>
      <c r="KS116" s="207">
        <f t="shared" si="2263"/>
        <v>1811.2499999999998</v>
      </c>
      <c r="KT116" s="207">
        <f t="shared" si="2263"/>
        <v>1811.2499999999998</v>
      </c>
      <c r="KU116" s="207">
        <f t="shared" si="2263"/>
        <v>1811.2499999999998</v>
      </c>
      <c r="KV116" s="207">
        <f t="shared" si="2263"/>
        <v>1811.2499999999998</v>
      </c>
      <c r="KW116" s="207">
        <f t="shared" si="2263"/>
        <v>1811.2499999999998</v>
      </c>
      <c r="KX116" s="207">
        <f t="shared" si="2263"/>
        <v>1811.2499999999998</v>
      </c>
      <c r="KY116" s="207">
        <f t="shared" si="2263"/>
        <v>1811.2499999999998</v>
      </c>
      <c r="KZ116" s="207">
        <f t="shared" si="2263"/>
        <v>1814.9808784437525</v>
      </c>
      <c r="LA116" s="207">
        <f t="shared" si="2263"/>
        <v>1818.7194418862421</v>
      </c>
      <c r="LB116" s="207">
        <f t="shared" si="2263"/>
        <v>1822.4657061573075</v>
      </c>
      <c r="LC116" s="207">
        <f t="shared" si="2263"/>
        <v>1826.2196871193948</v>
      </c>
      <c r="LD116" s="207">
        <f t="shared" si="2263"/>
        <v>1829.9814006676243</v>
      </c>
      <c r="LE116" s="207">
        <f t="shared" si="2263"/>
        <v>1833.7508627298571</v>
      </c>
      <c r="LF116" s="207">
        <f t="shared" si="2263"/>
        <v>1837.5280892667636</v>
      </c>
      <c r="LG116" s="207">
        <f t="shared" si="2263"/>
        <v>1841.3130962718901</v>
      </c>
      <c r="LH116" s="207">
        <f t="shared" si="2263"/>
        <v>1845.1058997717273</v>
      </c>
      <c r="LI116" s="207">
        <f t="shared" si="2263"/>
        <v>1848.9065158257779</v>
      </c>
      <c r="LJ116" s="207">
        <f t="shared" si="2263"/>
        <v>1852.7149605266245</v>
      </c>
      <c r="LK116" s="207">
        <f t="shared" si="2263"/>
        <v>1856.5312499999975</v>
      </c>
      <c r="LL116" s="207">
        <f t="shared" si="2263"/>
        <v>1860.355400404844</v>
      </c>
      <c r="LM116" s="207">
        <f t="shared" si="2263"/>
        <v>1864.1874279333956</v>
      </c>
      <c r="LN116" s="207">
        <f t="shared" si="2263"/>
        <v>1868.0273488112377</v>
      </c>
      <c r="LO116" s="207">
        <f t="shared" si="2263"/>
        <v>1871.8751792973774</v>
      </c>
      <c r="LP116" s="207">
        <f t="shared" si="2263"/>
        <v>1875.7309356843125</v>
      </c>
      <c r="LQ116" s="207">
        <f t="shared" si="2263"/>
        <v>1879.594634298101</v>
      </c>
      <c r="LR116" s="207">
        <f t="shared" si="2263"/>
        <v>1883.4662914984301</v>
      </c>
      <c r="LS116" s="207">
        <f t="shared" si="2263"/>
        <v>1887.3459236786848</v>
      </c>
      <c r="LT116" s="207">
        <f t="shared" si="2263"/>
        <v>1891.2335472660179</v>
      </c>
      <c r="LU116" s="207">
        <f t="shared" si="2263"/>
        <v>1895.1291787214197</v>
      </c>
      <c r="LV116" s="207">
        <f t="shared" si="2263"/>
        <v>1899.0328345397875</v>
      </c>
      <c r="LW116" s="207">
        <f t="shared" si="2263"/>
        <v>1902.9445312499947</v>
      </c>
      <c r="LX116" s="207">
        <f t="shared" si="2263"/>
        <v>1906.8642854149623</v>
      </c>
      <c r="LY116" s="207">
        <f t="shared" si="2263"/>
        <v>1910.7921136317277</v>
      </c>
      <c r="LZ116" s="207">
        <f t="shared" si="2263"/>
        <v>1914.7280325315157</v>
      </c>
      <c r="MA116" s="207">
        <f t="shared" si="2263"/>
        <v>1918.6720587798088</v>
      </c>
      <c r="MB116" s="207">
        <f t="shared" si="2263"/>
        <v>1922.6242090764174</v>
      </c>
      <c r="MC116" s="207">
        <f t="shared" si="2263"/>
        <v>1926.5845001555508</v>
      </c>
      <c r="MD116" s="207">
        <f t="shared" si="2263"/>
        <v>1930.552948785888</v>
      </c>
      <c r="ME116" s="207">
        <f t="shared" si="2263"/>
        <v>1934.529571770649</v>
      </c>
      <c r="MF116" s="207">
        <f t="shared" si="2263"/>
        <v>1938.5143859476655</v>
      </c>
      <c r="MG116" s="207">
        <f t="shared" si="2263"/>
        <v>1942.5074081894525</v>
      </c>
      <c r="MH116" s="207">
        <f t="shared" si="2263"/>
        <v>1946.5086554032794</v>
      </c>
      <c r="MI116" s="207">
        <f t="shared" si="2263"/>
        <v>1950.5181445312419</v>
      </c>
      <c r="MJ116" s="207">
        <f t="shared" si="2263"/>
        <v>1954.5358925503338</v>
      </c>
      <c r="MK116" s="207">
        <f t="shared" si="2263"/>
        <v>1958.5619164725183</v>
      </c>
      <c r="ML116" s="207">
        <f t="shared" si="2263"/>
        <v>1962.596233344801</v>
      </c>
      <c r="MM116" s="207">
        <f t="shared" si="2263"/>
        <v>1966.6388602493014</v>
      </c>
      <c r="MN116" s="207">
        <f t="shared" si="2263"/>
        <v>1970.6898143033252</v>
      </c>
      <c r="MO116" s="207">
        <f t="shared" si="2263"/>
        <v>1974.7491126594368</v>
      </c>
      <c r="MP116" s="207">
        <f t="shared" si="2263"/>
        <v>1978.8167725055325</v>
      </c>
      <c r="MQ116" s="207">
        <f t="shared" si="2263"/>
        <v>1982.8928110649126</v>
      </c>
      <c r="MR116" s="207">
        <f t="shared" si="2263"/>
        <v>1986.9772455963546</v>
      </c>
      <c r="MS116" s="207">
        <f t="shared" si="2263"/>
        <v>1991.0700933941862</v>
      </c>
      <c r="MT116" s="207">
        <f t="shared" si="2263"/>
        <v>1995.1713717883588</v>
      </c>
      <c r="MU116" s="207">
        <f t="shared" si="2263"/>
        <v>1999.2810981445202</v>
      </c>
      <c r="MV116" s="207">
        <f t="shared" si="2263"/>
        <v>2003.3992898640893</v>
      </c>
      <c r="MW116" s="207">
        <f t="shared" si="2263"/>
        <v>2007.5259643843285</v>
      </c>
      <c r="MX116" s="207">
        <f t="shared" si="2263"/>
        <v>2011.6611391784184</v>
      </c>
      <c r="MY116" s="207">
        <f t="shared" si="2263"/>
        <v>2015.8048317555313</v>
      </c>
      <c r="MZ116" s="207">
        <f t="shared" ref="MZ116:PK116" si="2264">MY116+IF(MZ$112&gt;0,MY116*((1+INDEX($C$105:$H$105,1,MIN(MZ$112,6)))^(1/12)-1))</f>
        <v>2019.9570596609055</v>
      </c>
      <c r="NA116" s="207">
        <f t="shared" si="2264"/>
        <v>2024.11784047592</v>
      </c>
      <c r="NB116" s="207">
        <f t="shared" si="2264"/>
        <v>2028.2871918181681</v>
      </c>
      <c r="NC116" s="207">
        <f t="shared" si="2264"/>
        <v>2032.4651313415327</v>
      </c>
      <c r="ND116" s="207">
        <f t="shared" si="2264"/>
        <v>2036.6516767362607</v>
      </c>
      <c r="NE116" s="207">
        <f t="shared" si="2264"/>
        <v>2040.846845729038</v>
      </c>
      <c r="NF116" s="207">
        <f t="shared" si="2264"/>
        <v>2045.050656083065</v>
      </c>
      <c r="NG116" s="207">
        <f t="shared" si="2264"/>
        <v>2049.2631255981305</v>
      </c>
      <c r="NH116" s="207">
        <f t="shared" si="2264"/>
        <v>2053.4842721106888</v>
      </c>
      <c r="NI116" s="207">
        <f t="shared" si="2264"/>
        <v>2057.7141134939338</v>
      </c>
      <c r="NJ116" s="207">
        <f t="shared" si="2264"/>
        <v>2061.9526676578757</v>
      </c>
      <c r="NK116" s="207">
        <f t="shared" si="2264"/>
        <v>2066.1999525494166</v>
      </c>
      <c r="NL116" s="207">
        <f t="shared" si="2264"/>
        <v>2070.4559861524253</v>
      </c>
      <c r="NM116" s="207">
        <f t="shared" si="2264"/>
        <v>2074.7207864878151</v>
      </c>
      <c r="NN116" s="207">
        <f t="shared" si="2264"/>
        <v>2078.9943716136195</v>
      </c>
      <c r="NO116" s="207">
        <f t="shared" si="2264"/>
        <v>2083.2767596250683</v>
      </c>
      <c r="NP116" s="207">
        <f t="shared" si="2264"/>
        <v>2087.5679686546646</v>
      </c>
      <c r="NQ116" s="207">
        <f t="shared" si="2264"/>
        <v>2091.8680168722613</v>
      </c>
      <c r="NR116" s="207">
        <f t="shared" si="2264"/>
        <v>2096.1769224851387</v>
      </c>
      <c r="NS116" s="207">
        <f t="shared" si="2264"/>
        <v>2100.4947037380807</v>
      </c>
      <c r="NT116" s="207">
        <f t="shared" si="2264"/>
        <v>2104.8213789134529</v>
      </c>
      <c r="NU116" s="207">
        <f t="shared" si="2264"/>
        <v>2109.1569663312794</v>
      </c>
      <c r="NV116" s="207">
        <f t="shared" si="2264"/>
        <v>2113.50148434932</v>
      </c>
      <c r="NW116" s="207">
        <f t="shared" si="2264"/>
        <v>2117.8549513631492</v>
      </c>
      <c r="NX116" s="207">
        <f t="shared" si="2264"/>
        <v>2122.2173858062329</v>
      </c>
      <c r="NY116" s="207">
        <f t="shared" si="2264"/>
        <v>2126.5888061500073</v>
      </c>
      <c r="NZ116" s="207">
        <f t="shared" si="2264"/>
        <v>2130.9692309039565</v>
      </c>
      <c r="OA116" s="207">
        <f t="shared" si="2264"/>
        <v>2135.3586786156911</v>
      </c>
      <c r="OB116" s="207">
        <f t="shared" si="2264"/>
        <v>2139.7571678710274</v>
      </c>
      <c r="OC116" s="207">
        <f t="shared" si="2264"/>
        <v>2144.1647172940643</v>
      </c>
      <c r="OD116" s="207">
        <f t="shared" si="2264"/>
        <v>2148.5813455472639</v>
      </c>
      <c r="OE116" s="207">
        <f t="shared" si="2264"/>
        <v>2153.0070713315299</v>
      </c>
      <c r="OF116" s="207">
        <f t="shared" si="2264"/>
        <v>2157.4419133862866</v>
      </c>
      <c r="OG116" s="207">
        <f t="shared" si="2264"/>
        <v>2161.8858904895587</v>
      </c>
      <c r="OH116" s="207">
        <f t="shared" si="2264"/>
        <v>2166.3390214580504</v>
      </c>
      <c r="OI116" s="207">
        <f t="shared" si="2264"/>
        <v>2170.8013251472253</v>
      </c>
      <c r="OJ116" s="207">
        <f t="shared" si="2264"/>
        <v>2175.272820451386</v>
      </c>
      <c r="OK116" s="207">
        <f t="shared" si="2264"/>
        <v>2179.7535263037548</v>
      </c>
      <c r="OL116" s="207">
        <f t="shared" si="2264"/>
        <v>2184.2434616765531</v>
      </c>
      <c r="OM116" s="207">
        <f t="shared" si="2264"/>
        <v>2188.7426455810814</v>
      </c>
      <c r="ON116" s="207">
        <f t="shared" si="2264"/>
        <v>2193.2510970678009</v>
      </c>
      <c r="OO116" s="207">
        <f t="shared" si="2264"/>
        <v>2197.7688352264136</v>
      </c>
      <c r="OP116" s="207">
        <f t="shared" si="2264"/>
        <v>2202.2958791859428</v>
      </c>
      <c r="OQ116" s="207">
        <f t="shared" si="2264"/>
        <v>2206.8322481148152</v>
      </c>
      <c r="OR116" s="207">
        <f t="shared" si="2264"/>
        <v>2211.3779612209405</v>
      </c>
      <c r="OS116" s="207">
        <f t="shared" si="2264"/>
        <v>2215.9330377517945</v>
      </c>
      <c r="OT116" s="207">
        <f t="shared" si="2264"/>
        <v>2220.4974969944983</v>
      </c>
      <c r="OU116" s="207">
        <f t="shared" si="2264"/>
        <v>2225.0713582759026</v>
      </c>
      <c r="OV116" s="207">
        <f t="shared" si="2264"/>
        <v>2229.6546409626676</v>
      </c>
      <c r="OW116" s="207">
        <f t="shared" si="2264"/>
        <v>2234.2473644613456</v>
      </c>
      <c r="OX116" s="207">
        <f t="shared" si="2264"/>
        <v>2238.8495482184635</v>
      </c>
      <c r="OY116" s="207">
        <f t="shared" si="2264"/>
        <v>2243.4612117206048</v>
      </c>
      <c r="OZ116" s="207">
        <f t="shared" si="2264"/>
        <v>2248.0823744944923</v>
      </c>
      <c r="PA116" s="207">
        <f t="shared" si="2264"/>
        <v>2252.7130561070703</v>
      </c>
      <c r="PB116" s="207">
        <f t="shared" si="2264"/>
        <v>2257.3532761655879</v>
      </c>
      <c r="PC116" s="207">
        <f t="shared" si="2264"/>
        <v>2262.0030543176822</v>
      </c>
      <c r="PD116" s="207">
        <f t="shared" si="2264"/>
        <v>2266.6624102514606</v>
      </c>
      <c r="PE116" s="207">
        <f t="shared" si="2264"/>
        <v>2271.3313636955859</v>
      </c>
      <c r="PF116" s="207">
        <f t="shared" si="2264"/>
        <v>2276.0099344193573</v>
      </c>
      <c r="PG116" s="207">
        <f t="shared" si="2264"/>
        <v>2280.6981422327967</v>
      </c>
      <c r="PH116" s="207">
        <f t="shared" si="2264"/>
        <v>2285.3960069867308</v>
      </c>
      <c r="PI116" s="207">
        <f t="shared" si="2264"/>
        <v>2290.1035485728758</v>
      </c>
      <c r="PJ116" s="207">
        <f t="shared" si="2264"/>
        <v>2294.8207869239218</v>
      </c>
      <c r="PK116" s="207">
        <f t="shared" si="2264"/>
        <v>2299.5477420136167</v>
      </c>
      <c r="PL116" s="207">
        <f t="shared" ref="PL116:PO116" si="2265">PK116+IF(PL$112&gt;0,PK116*((1+INDEX($C$105:$H$105,1,MIN(PL$112,6)))^(1/12)-1))</f>
        <v>2304.2844338568511</v>
      </c>
      <c r="PM116" s="207">
        <f t="shared" si="2265"/>
        <v>2309.0308825097436</v>
      </c>
      <c r="PN116" s="207">
        <f t="shared" si="2265"/>
        <v>2313.7871080697241</v>
      </c>
      <c r="PO116" s="207">
        <f t="shared" si="2265"/>
        <v>2318.5531306756207</v>
      </c>
      <c r="PQ116" s="221"/>
      <c r="PR116" s="525" t="str">
        <f t="shared" si="2259"/>
        <v>1 Bd/1.5 Bth</v>
      </c>
      <c r="PS116" s="525">
        <f>COUNTIF($T$110:T$110,"Rolling")/$K$106*(1-$E116)+$E116</f>
        <v>4.1666666666666664E-2</v>
      </c>
      <c r="PT116" s="525">
        <f>COUNTIF($T$110:U$110,"Rolling")/$K$106*(1-$E116)+$E116</f>
        <v>8.3333333333333329E-2</v>
      </c>
      <c r="PU116" s="525">
        <f>COUNTIF($T$110:V$110,"Rolling")/$K$106*(1-$E116)+$E116</f>
        <v>0.125</v>
      </c>
      <c r="PV116" s="525">
        <f>COUNTIF($T$110:W$110,"Rolling")/$K$106*(1-$E116)+$E116</f>
        <v>0.16666666666666666</v>
      </c>
      <c r="PW116" s="525">
        <f>COUNTIF($T$110:X$110,"Rolling")/$K$106*(1-$E116)+$E116</f>
        <v>0.20833333333333334</v>
      </c>
      <c r="PX116" s="525">
        <f>COUNTIF($T$110:Y$110,"Rolling")/$K$106*(1-$E116)+$E116</f>
        <v>0.25</v>
      </c>
      <c r="PY116" s="525">
        <f>COUNTIF($T$110:Z$110,"Rolling")/$K$106*(1-$E116)+$E116</f>
        <v>0.29166666666666669</v>
      </c>
      <c r="PZ116" s="525">
        <f>COUNTIF($T$110:AA$110,"Rolling")/$K$106*(1-$E116)+$E116</f>
        <v>0.33333333333333331</v>
      </c>
      <c r="QA116" s="525">
        <f>COUNTIF($T$110:AB$110,"Rolling")/$K$106*(1-$E116)+$E116</f>
        <v>0.375</v>
      </c>
      <c r="QB116" s="525">
        <f>COUNTIF($T$110:AC$110,"Rolling")/$K$106*(1-$E116)+$E116</f>
        <v>0.41666666666666669</v>
      </c>
      <c r="QC116" s="525">
        <f>COUNTIF($T$110:AD$110,"Rolling")/$K$106*(1-$E116)+$E116</f>
        <v>0.45833333333333331</v>
      </c>
      <c r="QD116" s="525">
        <f>COUNTIF($T$110:AE$110,"Rolling")/$K$106*(1-$E116)+$E116</f>
        <v>0.5</v>
      </c>
      <c r="QE116" s="525">
        <f>COUNTIF($T$110:AF$110,"Rolling")/$K$106*(1-$E116)+$E116</f>
        <v>0.54166666666666663</v>
      </c>
      <c r="QF116" s="525">
        <f>COUNTIF($T$110:AG$110,"Rolling")/$K$106*(1-$E116)+$E116</f>
        <v>0.58333333333333337</v>
      </c>
      <c r="QG116" s="525">
        <f>COUNTIF($T$110:AH$110,"Rolling")/$K$106*(1-$E116)+$E116</f>
        <v>0.625</v>
      </c>
      <c r="QH116" s="525">
        <f>COUNTIF($T$110:AI$110,"Rolling")/$K$106*(1-$E116)+$E116</f>
        <v>0.66666666666666663</v>
      </c>
      <c r="QI116" s="525">
        <f>COUNTIF($T$110:AJ$110,"Rolling")/$K$106*(1-$E116)+$E116</f>
        <v>0.70833333333333337</v>
      </c>
      <c r="QJ116" s="525">
        <f>COUNTIF($T$110:AK$110,"Rolling")/$K$106*(1-$E116)+$E116</f>
        <v>0.75</v>
      </c>
      <c r="QK116" s="525">
        <f>COUNTIF($T$110:AL$110,"Rolling")/$K$106*(1-$E116)+$E116</f>
        <v>0.79166666666666663</v>
      </c>
      <c r="QL116" s="525">
        <f>COUNTIF($T$110:AM$110,"Rolling")/$K$106*(1-$E116)+$E116</f>
        <v>0.83333333333333337</v>
      </c>
      <c r="QM116" s="525">
        <f>COUNTIF($T$110:AN$110,"Rolling")/$K$106*(1-$E116)+$E116</f>
        <v>0.875</v>
      </c>
      <c r="QN116" s="525">
        <f>COUNTIF($T$110:AO$110,"Rolling")/$K$106*(1-$E116)+$E116</f>
        <v>0.91666666666666663</v>
      </c>
      <c r="QO116" s="525">
        <f>COUNTIF($T$110:AP$110,"Rolling")/$K$106*(1-$E116)+$E116</f>
        <v>0.95833333333333337</v>
      </c>
      <c r="QP116" s="525">
        <f>COUNTIF($T$110:AQ$110,"Rolling")/$K$106*(1-$E116)+$E116</f>
        <v>1</v>
      </c>
      <c r="QQ116" s="525">
        <f>COUNTIF($T$110:AR$110,"Rolling")/$K$106*(1-$E116)+$E116</f>
        <v>1</v>
      </c>
      <c r="QR116" s="525">
        <f>COUNTIF($T$110:AS$110,"Rolling")/$K$106*(1-$E116)+$E116</f>
        <v>1</v>
      </c>
      <c r="QS116" s="525">
        <f>COUNTIF($T$110:AT$110,"Rolling")/$K$106*(1-$E116)+$E116</f>
        <v>1</v>
      </c>
      <c r="QT116" s="525">
        <f>COUNTIF($T$110:AU$110,"Rolling")/$K$106*(1-$E116)+$E116</f>
        <v>1</v>
      </c>
      <c r="QU116" s="525">
        <f>COUNTIF($T$110:AV$110,"Rolling")/$K$106*(1-$E116)+$E116</f>
        <v>1</v>
      </c>
      <c r="QV116" s="525">
        <f>COUNTIF($T$110:AW$110,"Rolling")/$K$106*(1-$E116)+$E116</f>
        <v>1</v>
      </c>
      <c r="QW116" s="525">
        <f>COUNTIF($T$110:AX$110,"Rolling")/$K$106*(1-$E116)+$E116</f>
        <v>1</v>
      </c>
      <c r="QX116" s="525">
        <f>COUNTIF($T$110:AY$110,"Rolling")/$K$106*(1-$E116)+$E116</f>
        <v>1</v>
      </c>
      <c r="QY116" s="525">
        <f>COUNTIF($T$110:AZ$110,"Rolling")/$K$106*(1-$E116)+$E116</f>
        <v>1</v>
      </c>
      <c r="QZ116" s="525">
        <f>COUNTIF($T$110:BA$110,"Rolling")/$K$106*(1-$E116)+$E116</f>
        <v>1</v>
      </c>
      <c r="RA116" s="525">
        <f>COUNTIF($T$110:BB$110,"Rolling")/$K$106*(1-$E116)+$E116</f>
        <v>1</v>
      </c>
      <c r="RB116" s="525">
        <f>COUNTIF($T$110:BC$110,"Rolling")/$K$106*(1-$E116)+$E116</f>
        <v>1</v>
      </c>
      <c r="RC116" s="525">
        <f>COUNTIF($T$110:BD$110,"Rolling")/$K$106*(1-$E116)+$E116</f>
        <v>1</v>
      </c>
      <c r="RD116" s="525">
        <f>COUNTIF($T$110:BE$110,"Rolling")/$K$106*(1-$E116)+$E116</f>
        <v>1</v>
      </c>
      <c r="RE116" s="525">
        <f>COUNTIF($T$110:BF$110,"Rolling")/$K$106*(1-$E116)+$E116</f>
        <v>1</v>
      </c>
      <c r="RF116" s="525">
        <f>COUNTIF($T$110:BG$110,"Rolling")/$K$106*(1-$E116)+$E116</f>
        <v>1</v>
      </c>
      <c r="RG116" s="525">
        <f>COUNTIF($T$110:BH$110,"Rolling")/$K$106*(1-$E116)+$E116</f>
        <v>1</v>
      </c>
      <c r="RH116" s="525">
        <f>COUNTIF($T$110:BI$110,"Rolling")/$K$106*(1-$E116)+$E116</f>
        <v>1</v>
      </c>
      <c r="RI116" s="525">
        <f>COUNTIF($T$110:BJ$110,"Rolling")/$K$106*(1-$E116)+$E116</f>
        <v>1</v>
      </c>
      <c r="RJ116" s="525">
        <f>COUNTIF($T$110:BK$110,"Rolling")/$K$106*(1-$E116)+$E116</f>
        <v>1</v>
      </c>
      <c r="RK116" s="525">
        <f>COUNTIF($T$110:BL$110,"Rolling")/$K$106*(1-$E116)+$E116</f>
        <v>1</v>
      </c>
      <c r="RL116" s="525">
        <f>COUNTIF($T$110:BM$110,"Rolling")/$K$106*(1-$E116)+$E116</f>
        <v>1</v>
      </c>
      <c r="RM116" s="525">
        <f>COUNTIF($T$110:BN$110,"Rolling")/$K$106*(1-$E116)+$E116</f>
        <v>1</v>
      </c>
      <c r="RN116" s="525">
        <f>COUNTIF($T$110:BO$110,"Rolling")/$K$106*(1-$E116)+$E116</f>
        <v>1</v>
      </c>
      <c r="RO116" s="525">
        <f>COUNTIF($T$110:BP$110,"Rolling")/$K$106*(1-$E116)+$E116</f>
        <v>1</v>
      </c>
      <c r="RP116" s="525">
        <f>COUNTIF($T$110:BQ$110,"Rolling")/$K$106*(1-$E116)+$E116</f>
        <v>1</v>
      </c>
      <c r="RQ116" s="525">
        <f>COUNTIF($T$110:BR$110,"Rolling")/$K$106*(1-$E116)+$E116</f>
        <v>1</v>
      </c>
      <c r="RR116" s="525">
        <f>COUNTIF($T$110:BS$110,"Rolling")/$K$106*(1-$E116)+$E116</f>
        <v>1</v>
      </c>
      <c r="RS116" s="525">
        <f>COUNTIF($T$110:BT$110,"Rolling")/$K$106*(1-$E116)+$E116</f>
        <v>1</v>
      </c>
      <c r="RT116" s="525">
        <f>COUNTIF($T$110:BU$110,"Rolling")/$K$106*(1-$E116)+$E116</f>
        <v>1</v>
      </c>
      <c r="RU116" s="525">
        <f>COUNTIF($T$110:BV$110,"Rolling")/$K$106*(1-$E116)+$E116</f>
        <v>1</v>
      </c>
      <c r="RV116" s="525">
        <f>COUNTIF($T$110:BW$110,"Rolling")/$K$106*(1-$E116)+$E116</f>
        <v>1</v>
      </c>
      <c r="RW116" s="525">
        <f>COUNTIF($T$110:BX$110,"Rolling")/$K$106*(1-$E116)+$E116</f>
        <v>1</v>
      </c>
      <c r="RX116" s="525">
        <f>COUNTIF($T$110:BY$110,"Rolling")/$K$106*(1-$E116)+$E116</f>
        <v>1</v>
      </c>
      <c r="RY116" s="525">
        <f>COUNTIF($T$110:BZ$110,"Rolling")/$K$106*(1-$E116)+$E116</f>
        <v>1</v>
      </c>
      <c r="RZ116" s="525">
        <f>COUNTIF($T$110:CA$110,"Rolling")/$K$106*(1-$E116)+$E116</f>
        <v>1</v>
      </c>
      <c r="SA116" s="525">
        <f>COUNTIF($T$110:CB$110,"Rolling")/$K$106*(1-$E116)+$E116</f>
        <v>1</v>
      </c>
      <c r="SB116" s="525">
        <f>COUNTIF($T$110:CC$110,"Rolling")/$K$106*(1-$E116)+$E116</f>
        <v>1</v>
      </c>
      <c r="SC116" s="525">
        <f>COUNTIF($T$110:CD$110,"Rolling")/$K$106*(1-$E116)+$E116</f>
        <v>1</v>
      </c>
      <c r="SD116" s="525">
        <f>COUNTIF($T$110:CE$110,"Rolling")/$K$106*(1-$E116)+$E116</f>
        <v>1</v>
      </c>
      <c r="SE116" s="525">
        <f>COUNTIF($T$110:CF$110,"Rolling")/$K$106*(1-$E116)+$E116</f>
        <v>1</v>
      </c>
      <c r="SF116" s="525">
        <f>COUNTIF($T$110:CG$110,"Rolling")/$K$106*(1-$E116)+$E116</f>
        <v>1</v>
      </c>
      <c r="SG116" s="525">
        <f>COUNTIF($T$110:CH$110,"Rolling")/$K$106*(1-$E116)+$E116</f>
        <v>1</v>
      </c>
      <c r="SH116" s="525">
        <f>COUNTIF($T$110:CI$110,"Rolling")/$K$106*(1-$E116)+$E116</f>
        <v>1</v>
      </c>
      <c r="SI116" s="525">
        <f>COUNTIF($T$110:CJ$110,"Rolling")/$K$106*(1-$E116)+$E116</f>
        <v>1</v>
      </c>
      <c r="SJ116" s="525">
        <f>COUNTIF($T$110:CK$110,"Rolling")/$K$106*(1-$E116)+$E116</f>
        <v>1</v>
      </c>
      <c r="SK116" s="525">
        <f>COUNTIF($T$110:CL$110,"Rolling")/$K$106*(1-$E116)+$E116</f>
        <v>1</v>
      </c>
      <c r="SL116" s="525">
        <f>COUNTIF($T$110:CM$110,"Rolling")/$K$106*(1-$E116)+$E116</f>
        <v>1</v>
      </c>
      <c r="SM116" s="525">
        <f>COUNTIF($T$110:CN$110,"Rolling")/$K$106*(1-$E116)+$E116</f>
        <v>1</v>
      </c>
      <c r="SN116" s="525">
        <f>COUNTIF($T$110:CO$110,"Rolling")/$K$106*(1-$E116)+$E116</f>
        <v>1</v>
      </c>
      <c r="SO116" s="525">
        <f>COUNTIF($T$110:CP$110,"Rolling")/$K$106*(1-$E116)+$E116</f>
        <v>1</v>
      </c>
      <c r="SP116" s="525">
        <f>COUNTIF($T$110:CQ$110,"Rolling")/$K$106*(1-$E116)+$E116</f>
        <v>1</v>
      </c>
      <c r="SQ116" s="525">
        <f>COUNTIF($T$110:CR$110,"Rolling")/$K$106*(1-$E116)+$E116</f>
        <v>1</v>
      </c>
      <c r="SR116" s="525">
        <f>COUNTIF($T$110:CS$110,"Rolling")/$K$106*(1-$E116)+$E116</f>
        <v>1</v>
      </c>
      <c r="SS116" s="525">
        <f>COUNTIF($T$110:CT$110,"Rolling")/$K$106*(1-$E116)+$E116</f>
        <v>1</v>
      </c>
      <c r="ST116" s="525">
        <f>COUNTIF($T$110:CU$110,"Rolling")/$K$106*(1-$E116)+$E116</f>
        <v>1</v>
      </c>
      <c r="SU116" s="525">
        <f>COUNTIF($T$110:CV$110,"Rolling")/$K$106*(1-$E116)+$E116</f>
        <v>1</v>
      </c>
      <c r="SV116" s="525">
        <f>COUNTIF($T$110:CW$110,"Rolling")/$K$106*(1-$E116)+$E116</f>
        <v>1</v>
      </c>
      <c r="SW116" s="525">
        <f>COUNTIF($T$110:CX$110,"Rolling")/$K$106*(1-$E116)+$E116</f>
        <v>1</v>
      </c>
      <c r="SX116" s="525">
        <f>COUNTIF($T$110:CY$110,"Rolling")/$K$106*(1-$E116)+$E116</f>
        <v>1</v>
      </c>
      <c r="SY116" s="525">
        <f>COUNTIF($T$110:CZ$110,"Rolling")/$K$106*(1-$E116)+$E116</f>
        <v>1</v>
      </c>
      <c r="SZ116" s="525">
        <f>COUNTIF($T$110:DA$110,"Rolling")/$K$106*(1-$E116)+$E116</f>
        <v>1</v>
      </c>
      <c r="TA116" s="525">
        <f>COUNTIF($T$110:DB$110,"Rolling")/$K$106*(1-$E116)+$E116</f>
        <v>1</v>
      </c>
      <c r="TB116" s="525">
        <f>COUNTIF($T$110:DC$110,"Rolling")/$K$106*(1-$E116)+$E116</f>
        <v>1</v>
      </c>
      <c r="TC116" s="525">
        <f>COUNTIF($T$110:DD$110,"Rolling")/$K$106*(1-$E116)+$E116</f>
        <v>1</v>
      </c>
      <c r="TD116" s="525">
        <f>COUNTIF($T$110:DE$110,"Rolling")/$K$106*(1-$E116)+$E116</f>
        <v>1</v>
      </c>
      <c r="TE116" s="525">
        <f>COUNTIF($T$110:DF$110,"Rolling")/$K$106*(1-$E116)+$E116</f>
        <v>1</v>
      </c>
      <c r="TF116" s="525">
        <f>COUNTIF($T$110:DG$110,"Rolling")/$K$106*(1-$E116)+$E116</f>
        <v>1</v>
      </c>
      <c r="TG116" s="525">
        <f>COUNTIF($T$110:DH$110,"Rolling")/$K$106*(1-$E116)+$E116</f>
        <v>1</v>
      </c>
      <c r="TH116" s="525">
        <f>COUNTIF($T$110:DI$110,"Rolling")/$K$106*(1-$E116)+$E116</f>
        <v>1</v>
      </c>
      <c r="TI116" s="525">
        <f>COUNTIF($T$110:DJ$110,"Rolling")/$K$106*(1-$E116)+$E116</f>
        <v>1</v>
      </c>
      <c r="TJ116" s="525">
        <f>COUNTIF($T$110:DK$110,"Rolling")/$K$106*(1-$E116)+$E116</f>
        <v>1</v>
      </c>
      <c r="TK116" s="525">
        <f>COUNTIF($T$110:DL$110,"Rolling")/$K$106*(1-$E116)+$E116</f>
        <v>1</v>
      </c>
      <c r="TL116" s="525">
        <f>COUNTIF($T$110:DM$110,"Rolling")/$K$106*(1-$E116)+$E116</f>
        <v>1</v>
      </c>
      <c r="TM116" s="525">
        <f>COUNTIF($T$110:DN$110,"Rolling")/$K$106*(1-$E116)+$E116</f>
        <v>1</v>
      </c>
      <c r="TN116" s="525">
        <f>COUNTIF($T$110:DO$110,"Rolling")/$K$106*(1-$E116)+$E116</f>
        <v>1</v>
      </c>
      <c r="TO116" s="525">
        <f>COUNTIF($T$110:DP$110,"Rolling")/$K$106*(1-$E116)+$E116</f>
        <v>1</v>
      </c>
      <c r="TP116" s="525">
        <f>COUNTIF($T$110:DQ$110,"Rolling")/$K$106*(1-$E116)+$E116</f>
        <v>1</v>
      </c>
      <c r="TQ116" s="525">
        <f>COUNTIF($T$110:DR$110,"Rolling")/$K$106*(1-$E116)+$E116</f>
        <v>1</v>
      </c>
      <c r="TR116" s="525">
        <f>COUNTIF($T$110:DS$110,"Rolling")/$K$106*(1-$E116)+$E116</f>
        <v>1</v>
      </c>
      <c r="TS116" s="525">
        <f>COUNTIF($T$110:DT$110,"Rolling")/$K$106*(1-$E116)+$E116</f>
        <v>1</v>
      </c>
      <c r="TT116" s="525">
        <f>COUNTIF($T$110:DU$110,"Rolling")/$K$106*(1-$E116)+$E116</f>
        <v>1</v>
      </c>
      <c r="TU116" s="525">
        <f>COUNTIF($T$110:DV$110,"Rolling")/$K$106*(1-$E116)+$E116</f>
        <v>1</v>
      </c>
      <c r="TV116" s="525">
        <f>COUNTIF($T$110:DW$110,"Rolling")/$K$106*(1-$E116)+$E116</f>
        <v>1</v>
      </c>
      <c r="TW116" s="525">
        <f>COUNTIF($T$110:DX$110,"Rolling")/$K$106*(1-$E116)+$E116</f>
        <v>1</v>
      </c>
      <c r="TX116" s="525">
        <f>COUNTIF($T$110:DY$110,"Rolling")/$K$106*(1-$E116)+$E116</f>
        <v>1</v>
      </c>
      <c r="TY116" s="525">
        <f>COUNTIF($T$110:DZ$110,"Rolling")/$K$106*(1-$E116)+$E116</f>
        <v>1</v>
      </c>
      <c r="TZ116" s="525">
        <f>COUNTIF($T$110:EA$110,"Rolling")/$K$106*(1-$E116)+$E116</f>
        <v>1</v>
      </c>
      <c r="UA116" s="525">
        <f>COUNTIF($T$110:EB$110,"Rolling")/$K$106*(1-$E116)+$E116</f>
        <v>1</v>
      </c>
      <c r="UB116" s="525">
        <f>COUNTIF($T$110:EC$110,"Rolling")/$K$106*(1-$E116)+$E116</f>
        <v>1</v>
      </c>
      <c r="UC116" s="525">
        <f>COUNTIF($T$110:ED$110,"Rolling")/$K$106*(1-$E116)+$E116</f>
        <v>1</v>
      </c>
      <c r="UD116" s="525">
        <f>COUNTIF($T$110:EE$110,"Rolling")/$K$106*(1-$E116)+$E116</f>
        <v>1</v>
      </c>
      <c r="UE116" s="525">
        <f>COUNTIF($T$110:EF$110,"Rolling")/$K$106*(1-$E116)+$E116</f>
        <v>1</v>
      </c>
      <c r="UF116" s="525">
        <f>COUNTIF($T$110:EG$110,"Rolling")/$K$106*(1-$E116)+$E116</f>
        <v>1</v>
      </c>
      <c r="UG116" s="525">
        <f>COUNTIF($T$110:EH$110,"Rolling")/$K$106*(1-$E116)+$E116</f>
        <v>1</v>
      </c>
      <c r="UH116" s="525">
        <f>COUNTIF($T$110:EI$110,"Rolling")/$K$106*(1-$E116)+$E116</f>
        <v>1</v>
      </c>
      <c r="UI116" s="525">
        <f>COUNTIF($T$110:EJ$110,"Rolling")/$K$106*(1-$E116)+$E116</f>
        <v>1</v>
      </c>
      <c r="UJ116" s="525">
        <f>COUNTIF($T$110:EK$110,"Rolling")/$K$106*(1-$E116)+$E116</f>
        <v>1</v>
      </c>
      <c r="UK116" s="525">
        <f>COUNTIF($T$110:EL$110,"Rolling")/$K$106*(1-$E116)+$E116</f>
        <v>1</v>
      </c>
      <c r="UL116" s="525">
        <f>COUNTIF($T$110:EM$110,"Rolling")/$K$106*(1-$E116)+$E116</f>
        <v>1</v>
      </c>
      <c r="UM116" s="525">
        <f>COUNTIF($T$110:EN$110,"Rolling")/$K$106*(1-$E116)+$E116</f>
        <v>1</v>
      </c>
      <c r="UN116" s="525">
        <f>COUNTIF($T$110:EO$110,"Rolling")/$K$106*(1-$E116)+$E116</f>
        <v>1</v>
      </c>
      <c r="UO116" s="525">
        <f>COUNTIF($T$110:EP$110,"Rolling")/$K$106*(1-$E116)+$E116</f>
        <v>1</v>
      </c>
      <c r="UP116" s="525">
        <f>COUNTIF($T$110:EQ$110,"Rolling")/$K$106*(1-$E116)+$E116</f>
        <v>1</v>
      </c>
      <c r="UQ116" s="525">
        <f>COUNTIF($T$110:ER$110,"Rolling")/$K$106*(1-$E116)+$E116</f>
        <v>1</v>
      </c>
      <c r="UR116" s="525">
        <f>COUNTIF($T$110:ES$110,"Rolling")/$K$106*(1-$E116)+$E116</f>
        <v>1</v>
      </c>
      <c r="US116" s="525">
        <f>COUNTIF($T$110:ET$110,"Rolling")/$K$106*(1-$E116)+$E116</f>
        <v>1</v>
      </c>
      <c r="UT116" s="525">
        <f>COUNTIF($T$110:EU$110,"Rolling")/$K$106*(1-$E116)+$E116</f>
        <v>1</v>
      </c>
      <c r="UU116" s="207"/>
    </row>
    <row r="117" spans="2:567" x14ac:dyDescent="0.25">
      <c r="B117" s="31" t="s">
        <v>126</v>
      </c>
      <c r="C117" s="147">
        <v>60</v>
      </c>
      <c r="D117" s="147">
        <v>950</v>
      </c>
      <c r="E117" s="68">
        <v>0</v>
      </c>
      <c r="F117" s="114">
        <f t="shared" si="2106"/>
        <v>1.8</v>
      </c>
      <c r="G117" s="115">
        <v>1710</v>
      </c>
      <c r="H117" s="114">
        <f t="shared" si="2245"/>
        <v>2.0699999999999998</v>
      </c>
      <c r="I117" s="115">
        <f t="shared" si="2246"/>
        <v>1966.4999999999998</v>
      </c>
      <c r="J117" s="149">
        <f t="shared" si="2247"/>
        <v>1231200</v>
      </c>
      <c r="K117" s="149">
        <f t="shared" si="2248"/>
        <v>1415879.9999999998</v>
      </c>
      <c r="M117" s="3" t="s">
        <v>840</v>
      </c>
      <c r="R117" s="524"/>
      <c r="T117" s="92">
        <f t="shared" si="2249"/>
        <v>103241.25</v>
      </c>
      <c r="U117" s="92">
        <f t="shared" si="2107"/>
        <v>103882.5</v>
      </c>
      <c r="V117" s="92">
        <f t="shared" si="2108"/>
        <v>104523.75</v>
      </c>
      <c r="W117" s="92">
        <f t="shared" si="2109"/>
        <v>105165</v>
      </c>
      <c r="X117" s="92">
        <f t="shared" si="2110"/>
        <v>105806.25</v>
      </c>
      <c r="Y117" s="92">
        <f t="shared" si="2111"/>
        <v>106447.5</v>
      </c>
      <c r="Z117" s="92">
        <f t="shared" si="2112"/>
        <v>107088.74999999997</v>
      </c>
      <c r="AA117" s="92">
        <f t="shared" si="2113"/>
        <v>107730</v>
      </c>
      <c r="AB117" s="92">
        <f t="shared" si="2114"/>
        <v>108371.25</v>
      </c>
      <c r="AC117" s="92">
        <f t="shared" si="2115"/>
        <v>109012.49999999997</v>
      </c>
      <c r="AD117" s="92">
        <f t="shared" si="2116"/>
        <v>109653.75</v>
      </c>
      <c r="AE117" s="92">
        <f t="shared" si="2117"/>
        <v>110295</v>
      </c>
      <c r="AF117" s="92">
        <f t="shared" si="2118"/>
        <v>111164.76051139034</v>
      </c>
      <c r="AG117" s="92">
        <f t="shared" si="2119"/>
        <v>112037.63617781209</v>
      </c>
      <c r="AH117" s="92">
        <f t="shared" si="2120"/>
        <v>112913.63614235492</v>
      </c>
      <c r="AI117" s="92">
        <f t="shared" si="2121"/>
        <v>113792.76957255759</v>
      </c>
      <c r="AJ117" s="92">
        <f t="shared" si="2122"/>
        <v>114675.04566046994</v>
      </c>
      <c r="AK117" s="92">
        <f t="shared" si="2123"/>
        <v>115560.4736227151</v>
      </c>
      <c r="AL117" s="92">
        <f t="shared" si="2124"/>
        <v>116449.06270055147</v>
      </c>
      <c r="AM117" s="92">
        <f t="shared" si="2125"/>
        <v>117340.82215993534</v>
      </c>
      <c r="AN117" s="92">
        <f t="shared" si="2126"/>
        <v>118235.7612915833</v>
      </c>
      <c r="AO117" s="92">
        <f t="shared" si="2127"/>
        <v>119133.88941103491</v>
      </c>
      <c r="AP117" s="92">
        <f t="shared" si="2128"/>
        <v>120035.21585871564</v>
      </c>
      <c r="AQ117" s="92">
        <f t="shared" si="2129"/>
        <v>120939.74999999981</v>
      </c>
      <c r="AR117" s="92">
        <f t="shared" si="2130"/>
        <v>121188.86608351553</v>
      </c>
      <c r="AS117" s="92">
        <f t="shared" si="2131"/>
        <v>121438.49530537549</v>
      </c>
      <c r="AT117" s="92">
        <f t="shared" si="2132"/>
        <v>121688.63872256062</v>
      </c>
      <c r="AU117" s="92">
        <f t="shared" si="2133"/>
        <v>121939.29739422914</v>
      </c>
      <c r="AV117" s="92">
        <f t="shared" si="2134"/>
        <v>122190.47238172092</v>
      </c>
      <c r="AW117" s="92">
        <f t="shared" si="2135"/>
        <v>122442.16474856201</v>
      </c>
      <c r="AX117" s="92">
        <f t="shared" si="2136"/>
        <v>122694.37556046915</v>
      </c>
      <c r="AY117" s="92">
        <f t="shared" si="2137"/>
        <v>122947.10588535432</v>
      </c>
      <c r="AZ117" s="92">
        <f t="shared" si="2138"/>
        <v>123200.35679332916</v>
      </c>
      <c r="BA117" s="92">
        <f t="shared" si="2139"/>
        <v>123454.12935670963</v>
      </c>
      <c r="BB117" s="92">
        <f t="shared" si="2140"/>
        <v>123708.42465002045</v>
      </c>
      <c r="BC117" s="92">
        <f t="shared" si="2141"/>
        <v>123963.24374999966</v>
      </c>
      <c r="BD117" s="92">
        <f t="shared" si="2142"/>
        <v>124218.58773560326</v>
      </c>
      <c r="BE117" s="92">
        <f t="shared" si="2143"/>
        <v>124474.4576880097</v>
      </c>
      <c r="BF117" s="92">
        <f t="shared" si="2144"/>
        <v>124730.85469062446</v>
      </c>
      <c r="BG117" s="92">
        <f t="shared" si="2145"/>
        <v>124987.7798290847</v>
      </c>
      <c r="BH117" s="92">
        <f t="shared" si="2146"/>
        <v>125245.23419126376</v>
      </c>
      <c r="BI117" s="92">
        <f t="shared" si="2147"/>
        <v>125503.21886727588</v>
      </c>
      <c r="BJ117" s="92">
        <f t="shared" si="2148"/>
        <v>125761.7349494807</v>
      </c>
      <c r="BK117" s="92">
        <f t="shared" si="2149"/>
        <v>126020.783532488</v>
      </c>
      <c r="BL117" s="92">
        <f t="shared" si="2150"/>
        <v>126280.3657131622</v>
      </c>
      <c r="BM117" s="92">
        <f t="shared" si="2151"/>
        <v>126540.48259062719</v>
      </c>
      <c r="BN117" s="92">
        <f t="shared" si="2152"/>
        <v>126801.13526627076</v>
      </c>
      <c r="BO117" s="92">
        <f t="shared" si="2153"/>
        <v>127062.32484374946</v>
      </c>
      <c r="BP117" s="92">
        <f t="shared" si="2154"/>
        <v>127324.05242899315</v>
      </c>
      <c r="BQ117" s="92">
        <f t="shared" si="2155"/>
        <v>127586.31913020973</v>
      </c>
      <c r="BR117" s="92">
        <f t="shared" si="2156"/>
        <v>127849.12605788987</v>
      </c>
      <c r="BS117" s="92">
        <f t="shared" si="2157"/>
        <v>128112.47432481161</v>
      </c>
      <c r="BT117" s="92">
        <f t="shared" si="2158"/>
        <v>128376.36504604518</v>
      </c>
      <c r="BU117" s="92">
        <f t="shared" si="2159"/>
        <v>128640.7993389576</v>
      </c>
      <c r="BV117" s="92">
        <f t="shared" si="2160"/>
        <v>128905.77832321756</v>
      </c>
      <c r="BW117" s="92">
        <f t="shared" si="2161"/>
        <v>129171.30312080003</v>
      </c>
      <c r="BX117" s="92">
        <f t="shared" si="2162"/>
        <v>129437.37485599112</v>
      </c>
      <c r="BY117" s="92">
        <f t="shared" si="2163"/>
        <v>129703.99465539271</v>
      </c>
      <c r="BZ117" s="92">
        <f t="shared" si="2164"/>
        <v>129971.16364792737</v>
      </c>
      <c r="CA117" s="92">
        <f t="shared" si="2165"/>
        <v>130238.88296484304</v>
      </c>
      <c r="CB117" s="92">
        <f t="shared" si="2166"/>
        <v>130507.15373971782</v>
      </c>
      <c r="CC117" s="92">
        <f t="shared" si="2167"/>
        <v>130775.97710846484</v>
      </c>
      <c r="CD117" s="92">
        <f t="shared" si="2168"/>
        <v>131045.35420933698</v>
      </c>
      <c r="CE117" s="92">
        <f t="shared" si="2169"/>
        <v>131315.28618293177</v>
      </c>
      <c r="CF117" s="92">
        <f t="shared" si="2170"/>
        <v>131585.77417219616</v>
      </c>
      <c r="CG117" s="92">
        <f t="shared" si="2171"/>
        <v>131856.81932243137</v>
      </c>
      <c r="CH117" s="92">
        <f t="shared" si="2172"/>
        <v>132128.42278129782</v>
      </c>
      <c r="CI117" s="92">
        <f t="shared" si="2173"/>
        <v>132400.58569881984</v>
      </c>
      <c r="CJ117" s="92">
        <f t="shared" si="2174"/>
        <v>132673.30922739068</v>
      </c>
      <c r="CK117" s="92">
        <f t="shared" si="2175"/>
        <v>132946.59452177733</v>
      </c>
      <c r="CL117" s="92">
        <f t="shared" si="2176"/>
        <v>133220.44273912537</v>
      </c>
      <c r="CM117" s="92">
        <f t="shared" si="2177"/>
        <v>133494.85503896396</v>
      </c>
      <c r="CN117" s="92">
        <f t="shared" si="2178"/>
        <v>133769.83258321061</v>
      </c>
      <c r="CO117" s="92">
        <f t="shared" si="2179"/>
        <v>134045.37653617628</v>
      </c>
      <c r="CP117" s="92">
        <f t="shared" si="2180"/>
        <v>134321.48806457024</v>
      </c>
      <c r="CQ117" s="92">
        <f t="shared" si="2181"/>
        <v>134598.16833750487</v>
      </c>
      <c r="CR117" s="92">
        <f t="shared" si="2182"/>
        <v>134875.41852650087</v>
      </c>
      <c r="CS117" s="92">
        <f t="shared" si="2183"/>
        <v>135153.23980549196</v>
      </c>
      <c r="CT117" s="92">
        <f t="shared" si="2184"/>
        <v>135431.63335083006</v>
      </c>
      <c r="CU117" s="92">
        <f t="shared" si="2185"/>
        <v>135710.60034129018</v>
      </c>
      <c r="CV117" s="92">
        <f t="shared" si="2186"/>
        <v>135990.14195807528</v>
      </c>
      <c r="CW117" s="92">
        <f t="shared" si="2187"/>
        <v>136270.25938482158</v>
      </c>
      <c r="CX117" s="92">
        <f t="shared" si="2188"/>
        <v>136550.95380760331</v>
      </c>
      <c r="CY117" s="92">
        <f t="shared" si="2189"/>
        <v>136832.22641493785</v>
      </c>
      <c r="CZ117" s="92">
        <f t="shared" si="2190"/>
        <v>137114.07839779067</v>
      </c>
      <c r="DA117" s="92">
        <f t="shared" si="2191"/>
        <v>137396.51094958052</v>
      </c>
      <c r="DB117" s="92">
        <f t="shared" si="2192"/>
        <v>137679.5252661843</v>
      </c>
      <c r="DC117" s="92">
        <f t="shared" si="2193"/>
        <v>137963.12254594231</v>
      </c>
      <c r="DD117" s="92">
        <f t="shared" si="2194"/>
        <v>138247.3039896632</v>
      </c>
      <c r="DE117" s="92">
        <f t="shared" si="2195"/>
        <v>138532.07080062907</v>
      </c>
      <c r="DF117" s="92">
        <f t="shared" si="2196"/>
        <v>138817.42418460065</v>
      </c>
      <c r="DG117" s="92">
        <f t="shared" si="2197"/>
        <v>139103.36534982224</v>
      </c>
      <c r="DH117" s="92">
        <f t="shared" si="2198"/>
        <v>139389.89550702699</v>
      </c>
      <c r="DI117" s="92">
        <f t="shared" si="2199"/>
        <v>139677.01586944197</v>
      </c>
      <c r="DJ117" s="92">
        <f t="shared" si="2200"/>
        <v>139964.72765279323</v>
      </c>
      <c r="DK117" s="92">
        <f t="shared" si="2201"/>
        <v>140253.03207531112</v>
      </c>
      <c r="DL117" s="92">
        <f t="shared" si="2202"/>
        <v>140541.93035773525</v>
      </c>
      <c r="DM117" s="92">
        <f t="shared" si="2203"/>
        <v>140831.42372331984</v>
      </c>
      <c r="DN117" s="92">
        <f t="shared" si="2204"/>
        <v>141121.51339783872</v>
      </c>
      <c r="DO117" s="92">
        <f t="shared" si="2205"/>
        <v>141412.20060959068</v>
      </c>
      <c r="DP117" s="92">
        <f t="shared" si="2206"/>
        <v>141703.48658940461</v>
      </c>
      <c r="DQ117" s="92">
        <f t="shared" si="2207"/>
        <v>141995.37257064463</v>
      </c>
      <c r="DR117" s="92">
        <f t="shared" si="2208"/>
        <v>142287.85978921549</v>
      </c>
      <c r="DS117" s="92">
        <f t="shared" si="2209"/>
        <v>142580.94948356762</v>
      </c>
      <c r="DT117" s="92">
        <f t="shared" si="2210"/>
        <v>142874.64289470247</v>
      </c>
      <c r="DU117" s="92">
        <f t="shared" si="2211"/>
        <v>143168.9412661778</v>
      </c>
      <c r="DV117" s="92">
        <f t="shared" si="2212"/>
        <v>143463.84584411283</v>
      </c>
      <c r="DW117" s="92">
        <f t="shared" si="2213"/>
        <v>143759.35787719366</v>
      </c>
      <c r="DX117" s="92">
        <f t="shared" si="2214"/>
        <v>144055.47861667842</v>
      </c>
      <c r="DY117" s="92">
        <f t="shared" si="2215"/>
        <v>144352.20931640262</v>
      </c>
      <c r="DZ117" s="92">
        <f t="shared" si="2216"/>
        <v>144649.55123278449</v>
      </c>
      <c r="EA117" s="92">
        <f t="shared" si="2217"/>
        <v>144947.50562483026</v>
      </c>
      <c r="EB117" s="92">
        <f t="shared" si="2218"/>
        <v>145246.07375413951</v>
      </c>
      <c r="EC117" s="92">
        <f t="shared" si="2219"/>
        <v>145545.25688491054</v>
      </c>
      <c r="ED117" s="92">
        <f t="shared" si="2220"/>
        <v>145845.05628394568</v>
      </c>
      <c r="EE117" s="92">
        <f t="shared" si="2221"/>
        <v>146145.4732206566</v>
      </c>
      <c r="EF117" s="92">
        <f t="shared" si="2222"/>
        <v>146446.50896706985</v>
      </c>
      <c r="EG117" s="92">
        <f t="shared" si="2223"/>
        <v>146748.16479783205</v>
      </c>
      <c r="EH117" s="92">
        <f t="shared" si="2224"/>
        <v>147050.44199021551</v>
      </c>
      <c r="EI117" s="92">
        <f t="shared" si="2225"/>
        <v>147353.34182412337</v>
      </c>
      <c r="EJ117" s="92">
        <f t="shared" si="2226"/>
        <v>147656.86558209523</v>
      </c>
      <c r="EK117" s="92">
        <f t="shared" si="2227"/>
        <v>147961.01454931253</v>
      </c>
      <c r="EL117" s="92">
        <f t="shared" si="2228"/>
        <v>148265.79001360392</v>
      </c>
      <c r="EM117" s="92">
        <f t="shared" si="2229"/>
        <v>148571.19326545083</v>
      </c>
      <c r="EN117" s="92">
        <f t="shared" si="2230"/>
        <v>148877.22559799283</v>
      </c>
      <c r="EO117" s="92">
        <f t="shared" si="2231"/>
        <v>149183.88830703311</v>
      </c>
      <c r="EP117" s="92">
        <f t="shared" si="2232"/>
        <v>149491.18269104412</v>
      </c>
      <c r="EQ117" s="92">
        <f t="shared" si="2233"/>
        <v>149799.11005117281</v>
      </c>
      <c r="ER117" s="92">
        <f t="shared" si="2234"/>
        <v>150107.67169124636</v>
      </c>
      <c r="ES117" s="92">
        <f t="shared" si="2235"/>
        <v>150416.86891777767</v>
      </c>
      <c r="ET117" s="92">
        <f t="shared" si="2236"/>
        <v>150726.70303997069</v>
      </c>
      <c r="EU117" s="92">
        <f t="shared" si="2237"/>
        <v>151037.17536972626</v>
      </c>
      <c r="EW117" s="199" t="str">
        <f t="shared" si="2250"/>
        <v>2 Bd/2 Bth</v>
      </c>
      <c r="EX117" s="201"/>
      <c r="EY117" s="221"/>
      <c r="EZ117" s="221"/>
      <c r="FA117" s="221"/>
      <c r="FB117" s="221"/>
      <c r="FC117" s="207">
        <f t="shared" si="2238"/>
        <v>1710</v>
      </c>
      <c r="FD117" s="207">
        <f t="shared" ref="FD117:HO117" si="2266">FC117+IF(FD$112&gt;0,FC117*((1+INDEX($C$104:$H$104,1,MIN(FD$112,6)))^(1/12)-1))</f>
        <v>1710</v>
      </c>
      <c r="FE117" s="207">
        <f t="shared" si="2266"/>
        <v>1710</v>
      </c>
      <c r="FF117" s="207">
        <f t="shared" si="2266"/>
        <v>1710</v>
      </c>
      <c r="FG117" s="207">
        <f t="shared" si="2266"/>
        <v>1710</v>
      </c>
      <c r="FH117" s="207">
        <f t="shared" si="2266"/>
        <v>1710</v>
      </c>
      <c r="FI117" s="207">
        <f t="shared" si="2266"/>
        <v>1710</v>
      </c>
      <c r="FJ117" s="207">
        <f t="shared" si="2266"/>
        <v>1710</v>
      </c>
      <c r="FK117" s="207">
        <f t="shared" si="2266"/>
        <v>1710</v>
      </c>
      <c r="FL117" s="207">
        <f t="shared" si="2266"/>
        <v>1710</v>
      </c>
      <c r="FM117" s="207">
        <f t="shared" si="2266"/>
        <v>1710</v>
      </c>
      <c r="FN117" s="207">
        <f t="shared" si="2266"/>
        <v>1710</v>
      </c>
      <c r="FO117" s="207">
        <f t="shared" si="2266"/>
        <v>1710</v>
      </c>
      <c r="FP117" s="207">
        <f t="shared" si="2266"/>
        <v>1713.5223200214311</v>
      </c>
      <c r="FQ117" s="207">
        <f t="shared" si="2266"/>
        <v>1717.0518954453964</v>
      </c>
      <c r="FR117" s="207">
        <f t="shared" si="2266"/>
        <v>1720.5887412168372</v>
      </c>
      <c r="FS117" s="207">
        <f t="shared" si="2266"/>
        <v>1724.1328723114786</v>
      </c>
      <c r="FT117" s="207">
        <f t="shared" si="2266"/>
        <v>1727.684303735894</v>
      </c>
      <c r="FU117" s="207">
        <f t="shared" si="2266"/>
        <v>1731.2430505275672</v>
      </c>
      <c r="FV117" s="207">
        <f t="shared" si="2266"/>
        <v>1734.809127754957</v>
      </c>
      <c r="FW117" s="207">
        <f t="shared" si="2266"/>
        <v>1738.382550517561</v>
      </c>
      <c r="FX117" s="207">
        <f t="shared" si="2266"/>
        <v>1741.9633339459788</v>
      </c>
      <c r="FY117" s="207">
        <f t="shared" si="2266"/>
        <v>1745.5514932019769</v>
      </c>
      <c r="FZ117" s="207">
        <f t="shared" si="2266"/>
        <v>1749.1470434785524</v>
      </c>
      <c r="GA117" s="207">
        <f t="shared" si="2266"/>
        <v>1752.7499999999977</v>
      </c>
      <c r="GB117" s="207">
        <f t="shared" si="2266"/>
        <v>1756.3603780219646</v>
      </c>
      <c r="GC117" s="207">
        <f t="shared" si="2266"/>
        <v>1759.978192831529</v>
      </c>
      <c r="GD117" s="207">
        <f t="shared" si="2266"/>
        <v>1763.6034597472556</v>
      </c>
      <c r="GE117" s="207">
        <f t="shared" si="2266"/>
        <v>1767.236194119263</v>
      </c>
      <c r="GF117" s="207">
        <f t="shared" si="2266"/>
        <v>1770.8764113292887</v>
      </c>
      <c r="GG117" s="207">
        <f t="shared" si="2266"/>
        <v>1774.5241267907536</v>
      </c>
      <c r="GH117" s="207">
        <f t="shared" si="2266"/>
        <v>1778.1793559488283</v>
      </c>
      <c r="GI117" s="207">
        <f t="shared" si="2266"/>
        <v>1781.8421142804973</v>
      </c>
      <c r="GJ117" s="207">
        <f t="shared" si="2266"/>
        <v>1785.5124172946255</v>
      </c>
      <c r="GK117" s="207">
        <f t="shared" si="2266"/>
        <v>1789.1902805320235</v>
      </c>
      <c r="GL117" s="207">
        <f t="shared" si="2266"/>
        <v>1792.8757195655135</v>
      </c>
      <c r="GM117" s="207">
        <f t="shared" si="2266"/>
        <v>1796.5687499999949</v>
      </c>
      <c r="GN117" s="207">
        <f t="shared" si="2266"/>
        <v>1800.269387472511</v>
      </c>
      <c r="GO117" s="207">
        <f t="shared" si="2266"/>
        <v>1803.9776476523143</v>
      </c>
      <c r="GP117" s="207">
        <f t="shared" si="2266"/>
        <v>1807.6935462409342</v>
      </c>
      <c r="GQ117" s="207">
        <f t="shared" si="2266"/>
        <v>1811.417098972242</v>
      </c>
      <c r="GR117" s="207">
        <f t="shared" si="2266"/>
        <v>1815.1483216125184</v>
      </c>
      <c r="GS117" s="207">
        <f t="shared" si="2266"/>
        <v>1818.88722996052</v>
      </c>
      <c r="GT117" s="207">
        <f t="shared" si="2266"/>
        <v>1822.6338398475466</v>
      </c>
      <c r="GU117" s="207">
        <f t="shared" si="2266"/>
        <v>1826.3881671375073</v>
      </c>
      <c r="GV117" s="207">
        <f t="shared" si="2266"/>
        <v>1830.1502277269888</v>
      </c>
      <c r="GW117" s="207">
        <f t="shared" si="2266"/>
        <v>1833.9200375453217</v>
      </c>
      <c r="GX117" s="207">
        <f t="shared" si="2266"/>
        <v>1837.6976125546489</v>
      </c>
      <c r="GY117" s="207">
        <f t="shared" si="2266"/>
        <v>1841.4829687499923</v>
      </c>
      <c r="GZ117" s="207">
        <f t="shared" si="2266"/>
        <v>1845.2761221593212</v>
      </c>
      <c r="HA117" s="207">
        <f t="shared" si="2266"/>
        <v>1849.0770888436198</v>
      </c>
      <c r="HB117" s="207">
        <f t="shared" si="2266"/>
        <v>1852.8858848969551</v>
      </c>
      <c r="HC117" s="207">
        <f t="shared" si="2266"/>
        <v>1856.7025264465456</v>
      </c>
      <c r="HD117" s="207">
        <f t="shared" si="2266"/>
        <v>1860.5270296528288</v>
      </c>
      <c r="HE117" s="207">
        <f t="shared" si="2266"/>
        <v>1864.3594107095305</v>
      </c>
      <c r="HF117" s="207">
        <f t="shared" si="2266"/>
        <v>1868.1996858437326</v>
      </c>
      <c r="HG117" s="207">
        <f t="shared" si="2266"/>
        <v>1872.0478713159423</v>
      </c>
      <c r="HH117" s="207">
        <f t="shared" si="2266"/>
        <v>1875.9039834201608</v>
      </c>
      <c r="HI117" s="207">
        <f t="shared" si="2266"/>
        <v>1879.7680384839521</v>
      </c>
      <c r="HJ117" s="207">
        <f t="shared" si="2266"/>
        <v>1883.6400528685124</v>
      </c>
      <c r="HK117" s="207">
        <f t="shared" si="2266"/>
        <v>1887.5200429687395</v>
      </c>
      <c r="HL117" s="207">
        <f t="shared" si="2266"/>
        <v>1891.4080252133017</v>
      </c>
      <c r="HM117" s="207">
        <f t="shared" si="2266"/>
        <v>1895.3040160647076</v>
      </c>
      <c r="HN117" s="207">
        <f t="shared" si="2266"/>
        <v>1899.2080320193763</v>
      </c>
      <c r="HO117" s="207">
        <f t="shared" si="2266"/>
        <v>1903.1200896077064</v>
      </c>
      <c r="HP117" s="207">
        <f t="shared" ref="HP117:KA117" si="2267">HO117+IF(HP$112&gt;0,HO117*((1+INDEX($C$104:$H$104,1,MIN(HP$112,6)))^(1/12)-1))</f>
        <v>1907.0402053941468</v>
      </c>
      <c r="HQ117" s="207">
        <f t="shared" si="2267"/>
        <v>1910.968395977266</v>
      </c>
      <c r="HR117" s="207">
        <f t="shared" si="2267"/>
        <v>1914.9046779898233</v>
      </c>
      <c r="HS117" s="207">
        <f t="shared" si="2267"/>
        <v>1918.8490680988382</v>
      </c>
      <c r="HT117" s="207">
        <f t="shared" si="2267"/>
        <v>1922.8015830056622</v>
      </c>
      <c r="HU117" s="207">
        <f t="shared" si="2267"/>
        <v>1926.7622394460484</v>
      </c>
      <c r="HV117" s="207">
        <f t="shared" si="2267"/>
        <v>1930.7310541902227</v>
      </c>
      <c r="HW117" s="207">
        <f t="shared" si="2267"/>
        <v>1934.7080440429554</v>
      </c>
      <c r="HX117" s="207">
        <f t="shared" si="2267"/>
        <v>1938.6932258436316</v>
      </c>
      <c r="HY117" s="207">
        <f t="shared" si="2267"/>
        <v>1942.6866164663227</v>
      </c>
      <c r="HZ117" s="207">
        <f t="shared" si="2267"/>
        <v>1946.6882328198581</v>
      </c>
      <c r="IA117" s="207">
        <f t="shared" si="2267"/>
        <v>1950.6980918478964</v>
      </c>
      <c r="IB117" s="207">
        <f t="shared" si="2267"/>
        <v>1954.7162105289976</v>
      </c>
      <c r="IC117" s="207">
        <f t="shared" si="2267"/>
        <v>1958.7426058766948</v>
      </c>
      <c r="ID117" s="207">
        <f t="shared" si="2267"/>
        <v>1962.777294939566</v>
      </c>
      <c r="IE117" s="207">
        <f t="shared" si="2267"/>
        <v>1966.8202948013063</v>
      </c>
      <c r="IF117" s="207">
        <f t="shared" si="2267"/>
        <v>1970.8716225808009</v>
      </c>
      <c r="IG117" s="207">
        <f t="shared" si="2267"/>
        <v>1974.9312954321967</v>
      </c>
      <c r="IH117" s="207">
        <f t="shared" si="2267"/>
        <v>1978.9993305449755</v>
      </c>
      <c r="II117" s="207">
        <f t="shared" si="2267"/>
        <v>1983.0757451440265</v>
      </c>
      <c r="IJ117" s="207">
        <f t="shared" si="2267"/>
        <v>1987.1605564897197</v>
      </c>
      <c r="IK117" s="207">
        <f t="shared" si="2267"/>
        <v>1991.2537818779781</v>
      </c>
      <c r="IL117" s="207">
        <f t="shared" si="2267"/>
        <v>1995.3554386403518</v>
      </c>
      <c r="IM117" s="207">
        <f t="shared" si="2267"/>
        <v>1999.4655441440912</v>
      </c>
      <c r="IN117" s="207">
        <f t="shared" si="2267"/>
        <v>2003.58411579222</v>
      </c>
      <c r="IO117" s="207">
        <f t="shared" si="2267"/>
        <v>2007.7111710236097</v>
      </c>
      <c r="IP117" s="207">
        <f t="shared" si="2267"/>
        <v>2011.8467273130525</v>
      </c>
      <c r="IQ117" s="207">
        <f t="shared" si="2267"/>
        <v>2015.9908021713363</v>
      </c>
      <c r="IR117" s="207">
        <f t="shared" si="2267"/>
        <v>2020.1434131453182</v>
      </c>
      <c r="IS117" s="207">
        <f t="shared" si="2267"/>
        <v>2024.3045778179987</v>
      </c>
      <c r="IT117" s="207">
        <f t="shared" si="2267"/>
        <v>2028.4743138085969</v>
      </c>
      <c r="IU117" s="207">
        <f t="shared" si="2267"/>
        <v>2032.6526387726242</v>
      </c>
      <c r="IV117" s="207">
        <f t="shared" si="2267"/>
        <v>2036.8395704019597</v>
      </c>
      <c r="IW117" s="207">
        <f t="shared" si="2267"/>
        <v>2041.0351264249246</v>
      </c>
      <c r="IX117" s="207">
        <f t="shared" si="2267"/>
        <v>2045.2393246063577</v>
      </c>
      <c r="IY117" s="207">
        <f t="shared" si="2267"/>
        <v>2049.4521827476906</v>
      </c>
      <c r="IZ117" s="207">
        <f t="shared" si="2267"/>
        <v>2053.6737186870228</v>
      </c>
      <c r="JA117" s="207">
        <f t="shared" si="2267"/>
        <v>2057.9039502991973</v>
      </c>
      <c r="JB117" s="207">
        <f t="shared" si="2267"/>
        <v>2062.142895495876</v>
      </c>
      <c r="JC117" s="207">
        <f t="shared" si="2267"/>
        <v>2066.3905722256168</v>
      </c>
      <c r="JD117" s="207">
        <f t="shared" si="2267"/>
        <v>2070.6469984739483</v>
      </c>
      <c r="JE117" s="207">
        <f t="shared" si="2267"/>
        <v>2074.9121922634458</v>
      </c>
      <c r="JF117" s="207">
        <f t="shared" si="2267"/>
        <v>2079.1861716538092</v>
      </c>
      <c r="JG117" s="207">
        <f t="shared" si="2267"/>
        <v>2083.4689547419371</v>
      </c>
      <c r="JH117" s="207">
        <f t="shared" si="2267"/>
        <v>2087.760559662006</v>
      </c>
      <c r="JI117" s="207">
        <f t="shared" si="2267"/>
        <v>2092.0610045855451</v>
      </c>
      <c r="JJ117" s="207">
        <f t="shared" si="2267"/>
        <v>2096.3703077215141</v>
      </c>
      <c r="JK117" s="207">
        <f t="shared" si="2267"/>
        <v>2100.6884873163804</v>
      </c>
      <c r="JL117" s="207">
        <f t="shared" si="2267"/>
        <v>2105.0155616541956</v>
      </c>
      <c r="JM117" s="207">
        <f t="shared" si="2267"/>
        <v>2109.3515490566742</v>
      </c>
      <c r="JN117" s="207">
        <f t="shared" si="2267"/>
        <v>2113.6964678832701</v>
      </c>
      <c r="JO117" s="207">
        <f t="shared" si="2267"/>
        <v>2118.0503365312547</v>
      </c>
      <c r="JP117" s="207">
        <f t="shared" si="2267"/>
        <v>2122.4131734357943</v>
      </c>
      <c r="JQ117" s="207">
        <f t="shared" si="2267"/>
        <v>2126.7849970700295</v>
      </c>
      <c r="JR117" s="207">
        <f t="shared" si="2267"/>
        <v>2131.1658259451519</v>
      </c>
      <c r="JS117" s="207">
        <f t="shared" si="2267"/>
        <v>2135.555678610483</v>
      </c>
      <c r="JT117" s="207">
        <f t="shared" si="2267"/>
        <v>2139.9545736535533</v>
      </c>
      <c r="JU117" s="207">
        <f t="shared" si="2267"/>
        <v>2144.3625297001809</v>
      </c>
      <c r="JV117" s="207">
        <f t="shared" si="2267"/>
        <v>2148.7795654145489</v>
      </c>
      <c r="JW117" s="207">
        <f t="shared" si="2267"/>
        <v>2153.2056994992868</v>
      </c>
      <c r="JX117" s="207">
        <f t="shared" si="2267"/>
        <v>2157.6409506955474</v>
      </c>
      <c r="JY117" s="207">
        <f t="shared" si="2267"/>
        <v>2162.0853377830881</v>
      </c>
      <c r="JZ117" s="207">
        <f t="shared" si="2267"/>
        <v>2166.5388795803487</v>
      </c>
      <c r="KA117" s="207">
        <f t="shared" si="2267"/>
        <v>2171.0015949445328</v>
      </c>
      <c r="KB117" s="207">
        <f t="shared" ref="KB117:KE117" si="2268">KA117+IF(KB$112&gt;0,KA117*((1+INDEX($C$104:$H$104,1,MIN(KB$112,6)))^(1/12)-1))</f>
        <v>2175.4735027716861</v>
      </c>
      <c r="KC117" s="207">
        <f t="shared" si="2268"/>
        <v>2179.954621996777</v>
      </c>
      <c r="KD117" s="207">
        <f t="shared" si="2268"/>
        <v>2184.4449715937772</v>
      </c>
      <c r="KE117" s="207">
        <f t="shared" si="2268"/>
        <v>2188.9445705757416</v>
      </c>
      <c r="KG117" s="199" t="str">
        <f t="shared" si="2254"/>
        <v>2 Bd/2 Bth</v>
      </c>
      <c r="KH117" s="201"/>
      <c r="KI117" s="221"/>
      <c r="KJ117" s="221"/>
      <c r="KK117" s="221"/>
      <c r="KL117" s="221"/>
      <c r="KM117" s="207">
        <f t="shared" si="2255"/>
        <v>1966.4999999999998</v>
      </c>
      <c r="KN117" s="207">
        <f t="shared" ref="KN117:MY117" si="2269">KM117+IF(KN$112&gt;0,KM117*((1+INDEX($C$105:$H$105,1,MIN(KN$112,6)))^(1/12)-1))</f>
        <v>1966.4999999999998</v>
      </c>
      <c r="KO117" s="207">
        <f t="shared" si="2269"/>
        <v>1966.4999999999998</v>
      </c>
      <c r="KP117" s="207">
        <f t="shared" si="2269"/>
        <v>1966.4999999999998</v>
      </c>
      <c r="KQ117" s="207">
        <f t="shared" si="2269"/>
        <v>1966.4999999999998</v>
      </c>
      <c r="KR117" s="207">
        <f t="shared" si="2269"/>
        <v>1966.4999999999998</v>
      </c>
      <c r="KS117" s="207">
        <f t="shared" si="2269"/>
        <v>1966.4999999999998</v>
      </c>
      <c r="KT117" s="207">
        <f t="shared" si="2269"/>
        <v>1966.4999999999998</v>
      </c>
      <c r="KU117" s="207">
        <f t="shared" si="2269"/>
        <v>1966.4999999999998</v>
      </c>
      <c r="KV117" s="207">
        <f t="shared" si="2269"/>
        <v>1966.4999999999998</v>
      </c>
      <c r="KW117" s="207">
        <f t="shared" si="2269"/>
        <v>1966.4999999999998</v>
      </c>
      <c r="KX117" s="207">
        <f t="shared" si="2269"/>
        <v>1966.4999999999998</v>
      </c>
      <c r="KY117" s="207">
        <f t="shared" si="2269"/>
        <v>1966.4999999999998</v>
      </c>
      <c r="KZ117" s="207">
        <f t="shared" si="2269"/>
        <v>1970.5506680246456</v>
      </c>
      <c r="LA117" s="207">
        <f t="shared" si="2269"/>
        <v>1974.6096797622056</v>
      </c>
      <c r="LB117" s="207">
        <f t="shared" si="2269"/>
        <v>1978.6770523993623</v>
      </c>
      <c r="LC117" s="207">
        <f t="shared" si="2269"/>
        <v>1982.7528031582001</v>
      </c>
      <c r="LD117" s="207">
        <f t="shared" si="2269"/>
        <v>1986.8369492962777</v>
      </c>
      <c r="LE117" s="207">
        <f t="shared" si="2269"/>
        <v>1990.9295081067019</v>
      </c>
      <c r="LF117" s="207">
        <f t="shared" si="2269"/>
        <v>1995.0304969182002</v>
      </c>
      <c r="LG117" s="207">
        <f t="shared" si="2269"/>
        <v>1999.1399330951947</v>
      </c>
      <c r="LH117" s="207">
        <f t="shared" si="2269"/>
        <v>2003.2578340378752</v>
      </c>
      <c r="LI117" s="207">
        <f t="shared" si="2269"/>
        <v>2007.384217182273</v>
      </c>
      <c r="LJ117" s="207">
        <f t="shared" si="2269"/>
        <v>2011.5191000003349</v>
      </c>
      <c r="LK117" s="207">
        <f t="shared" si="2269"/>
        <v>2015.662499999997</v>
      </c>
      <c r="LL117" s="207">
        <f t="shared" si="2269"/>
        <v>2019.8144347252589</v>
      </c>
      <c r="LM117" s="207">
        <f t="shared" si="2269"/>
        <v>2023.974921756258</v>
      </c>
      <c r="LN117" s="207">
        <f t="shared" si="2269"/>
        <v>2028.1439787093436</v>
      </c>
      <c r="LO117" s="207">
        <f t="shared" si="2269"/>
        <v>2032.3216232371524</v>
      </c>
      <c r="LP117" s="207">
        <f t="shared" si="2269"/>
        <v>2036.5078730286818</v>
      </c>
      <c r="LQ117" s="207">
        <f t="shared" si="2269"/>
        <v>2040.7027458093667</v>
      </c>
      <c r="LR117" s="207">
        <f t="shared" si="2269"/>
        <v>2044.9062593411525</v>
      </c>
      <c r="LS117" s="207">
        <f t="shared" si="2269"/>
        <v>2049.118431422572</v>
      </c>
      <c r="LT117" s="207">
        <f t="shared" si="2269"/>
        <v>2053.3392798888194</v>
      </c>
      <c r="LU117" s="207">
        <f t="shared" si="2269"/>
        <v>2057.5688226118273</v>
      </c>
      <c r="LV117" s="207">
        <f t="shared" si="2269"/>
        <v>2061.8070775003407</v>
      </c>
      <c r="LW117" s="207">
        <f t="shared" si="2269"/>
        <v>2066.0540624999944</v>
      </c>
      <c r="LX117" s="207">
        <f t="shared" si="2269"/>
        <v>2070.3097955933877</v>
      </c>
      <c r="LY117" s="207">
        <f t="shared" si="2269"/>
        <v>2074.5742948001616</v>
      </c>
      <c r="LZ117" s="207">
        <f t="shared" si="2269"/>
        <v>2078.8475781770744</v>
      </c>
      <c r="MA117" s="207">
        <f t="shared" si="2269"/>
        <v>2083.1296638180784</v>
      </c>
      <c r="MB117" s="207">
        <f t="shared" si="2269"/>
        <v>2087.420569854396</v>
      </c>
      <c r="MC117" s="207">
        <f t="shared" si="2269"/>
        <v>2091.7203144545979</v>
      </c>
      <c r="MD117" s="207">
        <f t="shared" si="2269"/>
        <v>2096.0289158246783</v>
      </c>
      <c r="ME117" s="207">
        <f t="shared" si="2269"/>
        <v>2100.3463922081332</v>
      </c>
      <c r="MF117" s="207">
        <f t="shared" si="2269"/>
        <v>2104.6727618860368</v>
      </c>
      <c r="MG117" s="207">
        <f t="shared" si="2269"/>
        <v>2109.0080431771198</v>
      </c>
      <c r="MH117" s="207">
        <f t="shared" si="2269"/>
        <v>2113.3522544378461</v>
      </c>
      <c r="MI117" s="207">
        <f t="shared" si="2269"/>
        <v>2117.7054140624909</v>
      </c>
      <c r="MJ117" s="207">
        <f t="shared" si="2269"/>
        <v>2122.0675404832191</v>
      </c>
      <c r="MK117" s="207">
        <f t="shared" si="2269"/>
        <v>2126.4386521701622</v>
      </c>
      <c r="ML117" s="207">
        <f t="shared" si="2269"/>
        <v>2130.8187676314978</v>
      </c>
      <c r="MM117" s="207">
        <f t="shared" si="2269"/>
        <v>2135.207905413527</v>
      </c>
      <c r="MN117" s="207">
        <f t="shared" si="2269"/>
        <v>2139.6060841007529</v>
      </c>
      <c r="MO117" s="207">
        <f t="shared" si="2269"/>
        <v>2144.0133223159601</v>
      </c>
      <c r="MP117" s="207">
        <f t="shared" si="2269"/>
        <v>2148.4296387202926</v>
      </c>
      <c r="MQ117" s="207">
        <f t="shared" si="2269"/>
        <v>2152.855052013334</v>
      </c>
      <c r="MR117" s="207">
        <f t="shared" si="2269"/>
        <v>2157.2895809331853</v>
      </c>
      <c r="MS117" s="207">
        <f t="shared" si="2269"/>
        <v>2161.7332442565453</v>
      </c>
      <c r="MT117" s="207">
        <f t="shared" si="2269"/>
        <v>2166.1860607987896</v>
      </c>
      <c r="MU117" s="207">
        <f t="shared" si="2269"/>
        <v>2170.6480494140505</v>
      </c>
      <c r="MV117" s="207">
        <f t="shared" si="2269"/>
        <v>2175.1192289952969</v>
      </c>
      <c r="MW117" s="207">
        <f t="shared" si="2269"/>
        <v>2179.599618474414</v>
      </c>
      <c r="MX117" s="207">
        <f t="shared" si="2269"/>
        <v>2184.0892368222831</v>
      </c>
      <c r="MY117" s="207">
        <f t="shared" si="2269"/>
        <v>2188.5881030488626</v>
      </c>
      <c r="MZ117" s="207">
        <f t="shared" ref="MZ117:PK117" si="2270">MY117+IF(MZ$112&gt;0,MY117*((1+INDEX($C$105:$H$105,1,MIN(MZ$112,6)))^(1/12)-1))</f>
        <v>2193.0962362032692</v>
      </c>
      <c r="NA117" s="207">
        <f t="shared" si="2270"/>
        <v>2197.6136553738561</v>
      </c>
      <c r="NB117" s="207">
        <f t="shared" si="2270"/>
        <v>2202.1403796882969</v>
      </c>
      <c r="NC117" s="207">
        <f t="shared" si="2270"/>
        <v>2206.676428313664</v>
      </c>
      <c r="ND117" s="207">
        <f t="shared" si="2270"/>
        <v>2211.2218204565115</v>
      </c>
      <c r="NE117" s="207">
        <f t="shared" si="2270"/>
        <v>2215.7765753629556</v>
      </c>
      <c r="NF117" s="207">
        <f t="shared" si="2270"/>
        <v>2220.3407123187562</v>
      </c>
      <c r="NG117" s="207">
        <f t="shared" si="2270"/>
        <v>2224.914250649399</v>
      </c>
      <c r="NH117" s="207">
        <f t="shared" si="2270"/>
        <v>2229.4972097201767</v>
      </c>
      <c r="NI117" s="207">
        <f t="shared" si="2270"/>
        <v>2234.0896089362714</v>
      </c>
      <c r="NJ117" s="207">
        <f t="shared" si="2270"/>
        <v>2238.6914677428372</v>
      </c>
      <c r="NK117" s="207">
        <f t="shared" si="2270"/>
        <v>2243.3028056250814</v>
      </c>
      <c r="NL117" s="207">
        <f t="shared" si="2270"/>
        <v>2247.9236421083478</v>
      </c>
      <c r="NM117" s="207">
        <f t="shared" si="2270"/>
        <v>2252.5539967581994</v>
      </c>
      <c r="NN117" s="207">
        <f t="shared" si="2270"/>
        <v>2257.1938891805012</v>
      </c>
      <c r="NO117" s="207">
        <f t="shared" si="2270"/>
        <v>2261.8433390215027</v>
      </c>
      <c r="NP117" s="207">
        <f t="shared" si="2270"/>
        <v>2266.5023659679214</v>
      </c>
      <c r="NQ117" s="207">
        <f t="shared" si="2270"/>
        <v>2271.1709897470264</v>
      </c>
      <c r="NR117" s="207">
        <f t="shared" si="2270"/>
        <v>2275.849230126722</v>
      </c>
      <c r="NS117" s="207">
        <f t="shared" si="2270"/>
        <v>2280.5371069156308</v>
      </c>
      <c r="NT117" s="207">
        <f t="shared" si="2270"/>
        <v>2285.2346399631779</v>
      </c>
      <c r="NU117" s="207">
        <f t="shared" si="2270"/>
        <v>2289.9418491596753</v>
      </c>
      <c r="NV117" s="207">
        <f t="shared" si="2270"/>
        <v>2294.6587544364052</v>
      </c>
      <c r="NW117" s="207">
        <f t="shared" si="2270"/>
        <v>2299.3853757657052</v>
      </c>
      <c r="NX117" s="207">
        <f t="shared" si="2270"/>
        <v>2304.1217331610533</v>
      </c>
      <c r="NY117" s="207">
        <f t="shared" si="2270"/>
        <v>2308.8678466771512</v>
      </c>
      <c r="NZ117" s="207">
        <f t="shared" si="2270"/>
        <v>2313.6237364100107</v>
      </c>
      <c r="OA117" s="207">
        <f t="shared" si="2270"/>
        <v>2318.3894224970372</v>
      </c>
      <c r="OB117" s="207">
        <f t="shared" si="2270"/>
        <v>2323.1649251171166</v>
      </c>
      <c r="OC117" s="207">
        <f t="shared" si="2270"/>
        <v>2327.9502644906993</v>
      </c>
      <c r="OD117" s="207">
        <f t="shared" si="2270"/>
        <v>2332.7454608798871</v>
      </c>
      <c r="OE117" s="207">
        <f t="shared" si="2270"/>
        <v>2337.5505345885185</v>
      </c>
      <c r="OF117" s="207">
        <f t="shared" si="2270"/>
        <v>2342.3655059622542</v>
      </c>
      <c r="OG117" s="207">
        <f t="shared" si="2270"/>
        <v>2347.190395388664</v>
      </c>
      <c r="OH117" s="207">
        <f t="shared" si="2270"/>
        <v>2352.0252232973121</v>
      </c>
      <c r="OI117" s="207">
        <f t="shared" si="2270"/>
        <v>2356.8700101598447</v>
      </c>
      <c r="OJ117" s="207">
        <f t="shared" si="2270"/>
        <v>2361.7247764900767</v>
      </c>
      <c r="OK117" s="207">
        <f t="shared" si="2270"/>
        <v>2366.5895428440772</v>
      </c>
      <c r="OL117" s="207">
        <f t="shared" si="2270"/>
        <v>2371.4643298202582</v>
      </c>
      <c r="OM117" s="207">
        <f t="shared" si="2270"/>
        <v>2376.34915805946</v>
      </c>
      <c r="ON117" s="207">
        <f t="shared" si="2270"/>
        <v>2381.2440482450411</v>
      </c>
      <c r="OO117" s="207">
        <f t="shared" si="2270"/>
        <v>2386.1490211029632</v>
      </c>
      <c r="OP117" s="207">
        <f t="shared" si="2270"/>
        <v>2391.0640974018806</v>
      </c>
      <c r="OQ117" s="207">
        <f t="shared" si="2270"/>
        <v>2395.9892979532278</v>
      </c>
      <c r="OR117" s="207">
        <f t="shared" si="2270"/>
        <v>2400.9246436113071</v>
      </c>
      <c r="OS117" s="207">
        <f t="shared" si="2270"/>
        <v>2405.8701552733769</v>
      </c>
      <c r="OT117" s="207">
        <f t="shared" si="2270"/>
        <v>2410.8258538797413</v>
      </c>
      <c r="OU117" s="207">
        <f t="shared" si="2270"/>
        <v>2415.7917604138374</v>
      </c>
      <c r="OV117" s="207">
        <f t="shared" si="2270"/>
        <v>2420.7678959023251</v>
      </c>
      <c r="OW117" s="207">
        <f t="shared" si="2270"/>
        <v>2425.7542814151757</v>
      </c>
      <c r="OX117" s="207">
        <f t="shared" si="2270"/>
        <v>2430.7509380657611</v>
      </c>
      <c r="OY117" s="207">
        <f t="shared" si="2270"/>
        <v>2435.7578870109433</v>
      </c>
      <c r="OZ117" s="207">
        <f t="shared" si="2270"/>
        <v>2440.775149451164</v>
      </c>
      <c r="PA117" s="207">
        <f t="shared" si="2270"/>
        <v>2445.8027466305343</v>
      </c>
      <c r="PB117" s="207">
        <f t="shared" si="2270"/>
        <v>2450.8406998369251</v>
      </c>
      <c r="PC117" s="207">
        <f t="shared" si="2270"/>
        <v>2455.8890304020561</v>
      </c>
      <c r="PD117" s="207">
        <f t="shared" si="2270"/>
        <v>2460.9477597015871</v>
      </c>
      <c r="PE117" s="207">
        <f t="shared" si="2270"/>
        <v>2466.0169091552089</v>
      </c>
      <c r="PF117" s="207">
        <f t="shared" si="2270"/>
        <v>2471.0965002267321</v>
      </c>
      <c r="PG117" s="207">
        <f t="shared" si="2270"/>
        <v>2476.1865544241805</v>
      </c>
      <c r="PH117" s="207">
        <f t="shared" si="2270"/>
        <v>2481.2870932998803</v>
      </c>
      <c r="PI117" s="207">
        <f t="shared" si="2270"/>
        <v>2486.3981384505519</v>
      </c>
      <c r="PJ117" s="207">
        <f t="shared" si="2270"/>
        <v>2491.5197115174019</v>
      </c>
      <c r="PK117" s="207">
        <f t="shared" si="2270"/>
        <v>2496.6518341862134</v>
      </c>
      <c r="PL117" s="207">
        <f t="shared" ref="PL117:PO117" si="2271">PK117+IF(PL$112&gt;0,PK117*((1+INDEX($C$105:$H$105,1,MIN(PL$112,6)))^(1/12)-1))</f>
        <v>2501.7945281874395</v>
      </c>
      <c r="PM117" s="207">
        <f t="shared" si="2271"/>
        <v>2506.9478152962943</v>
      </c>
      <c r="PN117" s="207">
        <f t="shared" si="2271"/>
        <v>2512.1117173328448</v>
      </c>
      <c r="PO117" s="207">
        <f t="shared" si="2271"/>
        <v>2517.2862561621041</v>
      </c>
      <c r="PQ117" s="221"/>
      <c r="PR117" s="525" t="str">
        <f t="shared" si="2259"/>
        <v>2 Bd/2 Bth</v>
      </c>
      <c r="PS117" s="525">
        <f>COUNTIF($T$110:T$110,"Rolling")/$K$106*(1-$E117)+$E117</f>
        <v>4.1666666666666664E-2</v>
      </c>
      <c r="PT117" s="525">
        <f>COUNTIF($T$110:U$110,"Rolling")/$K$106*(1-$E117)+$E117</f>
        <v>8.3333333333333329E-2</v>
      </c>
      <c r="PU117" s="525">
        <f>COUNTIF($T$110:V$110,"Rolling")/$K$106*(1-$E117)+$E117</f>
        <v>0.125</v>
      </c>
      <c r="PV117" s="525">
        <f>COUNTIF($T$110:W$110,"Rolling")/$K$106*(1-$E117)+$E117</f>
        <v>0.16666666666666666</v>
      </c>
      <c r="PW117" s="525">
        <f>COUNTIF($T$110:X$110,"Rolling")/$K$106*(1-$E117)+$E117</f>
        <v>0.20833333333333334</v>
      </c>
      <c r="PX117" s="525">
        <f>COUNTIF($T$110:Y$110,"Rolling")/$K$106*(1-$E117)+$E117</f>
        <v>0.25</v>
      </c>
      <c r="PY117" s="525">
        <f>COUNTIF($T$110:Z$110,"Rolling")/$K$106*(1-$E117)+$E117</f>
        <v>0.29166666666666669</v>
      </c>
      <c r="PZ117" s="525">
        <f>COUNTIF($T$110:AA$110,"Rolling")/$K$106*(1-$E117)+$E117</f>
        <v>0.33333333333333331</v>
      </c>
      <c r="QA117" s="525">
        <f>COUNTIF($T$110:AB$110,"Rolling")/$K$106*(1-$E117)+$E117</f>
        <v>0.375</v>
      </c>
      <c r="QB117" s="525">
        <f>COUNTIF($T$110:AC$110,"Rolling")/$K$106*(1-$E117)+$E117</f>
        <v>0.41666666666666669</v>
      </c>
      <c r="QC117" s="525">
        <f>COUNTIF($T$110:AD$110,"Rolling")/$K$106*(1-$E117)+$E117</f>
        <v>0.45833333333333331</v>
      </c>
      <c r="QD117" s="525">
        <f>COUNTIF($T$110:AE$110,"Rolling")/$K$106*(1-$E117)+$E117</f>
        <v>0.5</v>
      </c>
      <c r="QE117" s="525">
        <f>COUNTIF($T$110:AF$110,"Rolling")/$K$106*(1-$E117)+$E117</f>
        <v>0.54166666666666663</v>
      </c>
      <c r="QF117" s="525">
        <f>COUNTIF($T$110:AG$110,"Rolling")/$K$106*(1-$E117)+$E117</f>
        <v>0.58333333333333337</v>
      </c>
      <c r="QG117" s="525">
        <f>COUNTIF($T$110:AH$110,"Rolling")/$K$106*(1-$E117)+$E117</f>
        <v>0.625</v>
      </c>
      <c r="QH117" s="525">
        <f>COUNTIF($T$110:AI$110,"Rolling")/$K$106*(1-$E117)+$E117</f>
        <v>0.66666666666666663</v>
      </c>
      <c r="QI117" s="525">
        <f>COUNTIF($T$110:AJ$110,"Rolling")/$K$106*(1-$E117)+$E117</f>
        <v>0.70833333333333337</v>
      </c>
      <c r="QJ117" s="525">
        <f>COUNTIF($T$110:AK$110,"Rolling")/$K$106*(1-$E117)+$E117</f>
        <v>0.75</v>
      </c>
      <c r="QK117" s="525">
        <f>COUNTIF($T$110:AL$110,"Rolling")/$K$106*(1-$E117)+$E117</f>
        <v>0.79166666666666663</v>
      </c>
      <c r="QL117" s="525">
        <f>COUNTIF($T$110:AM$110,"Rolling")/$K$106*(1-$E117)+$E117</f>
        <v>0.83333333333333337</v>
      </c>
      <c r="QM117" s="525">
        <f>COUNTIF($T$110:AN$110,"Rolling")/$K$106*(1-$E117)+$E117</f>
        <v>0.875</v>
      </c>
      <c r="QN117" s="525">
        <f>COUNTIF($T$110:AO$110,"Rolling")/$K$106*(1-$E117)+$E117</f>
        <v>0.91666666666666663</v>
      </c>
      <c r="QO117" s="525">
        <f>COUNTIF($T$110:AP$110,"Rolling")/$K$106*(1-$E117)+$E117</f>
        <v>0.95833333333333337</v>
      </c>
      <c r="QP117" s="525">
        <f>COUNTIF($T$110:AQ$110,"Rolling")/$K$106*(1-$E117)+$E117</f>
        <v>1</v>
      </c>
      <c r="QQ117" s="525">
        <f>COUNTIF($T$110:AR$110,"Rolling")/$K$106*(1-$E117)+$E117</f>
        <v>1</v>
      </c>
      <c r="QR117" s="525">
        <f>COUNTIF($T$110:AS$110,"Rolling")/$K$106*(1-$E117)+$E117</f>
        <v>1</v>
      </c>
      <c r="QS117" s="525">
        <f>COUNTIF($T$110:AT$110,"Rolling")/$K$106*(1-$E117)+$E117</f>
        <v>1</v>
      </c>
      <c r="QT117" s="525">
        <f>COUNTIF($T$110:AU$110,"Rolling")/$K$106*(1-$E117)+$E117</f>
        <v>1</v>
      </c>
      <c r="QU117" s="525">
        <f>COUNTIF($T$110:AV$110,"Rolling")/$K$106*(1-$E117)+$E117</f>
        <v>1</v>
      </c>
      <c r="QV117" s="525">
        <f>COUNTIF($T$110:AW$110,"Rolling")/$K$106*(1-$E117)+$E117</f>
        <v>1</v>
      </c>
      <c r="QW117" s="525">
        <f>COUNTIF($T$110:AX$110,"Rolling")/$K$106*(1-$E117)+$E117</f>
        <v>1</v>
      </c>
      <c r="QX117" s="525">
        <f>COUNTIF($T$110:AY$110,"Rolling")/$K$106*(1-$E117)+$E117</f>
        <v>1</v>
      </c>
      <c r="QY117" s="525">
        <f>COUNTIF($T$110:AZ$110,"Rolling")/$K$106*(1-$E117)+$E117</f>
        <v>1</v>
      </c>
      <c r="QZ117" s="525">
        <f>COUNTIF($T$110:BA$110,"Rolling")/$K$106*(1-$E117)+$E117</f>
        <v>1</v>
      </c>
      <c r="RA117" s="525">
        <f>COUNTIF($T$110:BB$110,"Rolling")/$K$106*(1-$E117)+$E117</f>
        <v>1</v>
      </c>
      <c r="RB117" s="525">
        <f>COUNTIF($T$110:BC$110,"Rolling")/$K$106*(1-$E117)+$E117</f>
        <v>1</v>
      </c>
      <c r="RC117" s="525">
        <f>COUNTIF($T$110:BD$110,"Rolling")/$K$106*(1-$E117)+$E117</f>
        <v>1</v>
      </c>
      <c r="RD117" s="525">
        <f>COUNTIF($T$110:BE$110,"Rolling")/$K$106*(1-$E117)+$E117</f>
        <v>1</v>
      </c>
      <c r="RE117" s="525">
        <f>COUNTIF($T$110:BF$110,"Rolling")/$K$106*(1-$E117)+$E117</f>
        <v>1</v>
      </c>
      <c r="RF117" s="525">
        <f>COUNTIF($T$110:BG$110,"Rolling")/$K$106*(1-$E117)+$E117</f>
        <v>1</v>
      </c>
      <c r="RG117" s="525">
        <f>COUNTIF($T$110:BH$110,"Rolling")/$K$106*(1-$E117)+$E117</f>
        <v>1</v>
      </c>
      <c r="RH117" s="525">
        <f>COUNTIF($T$110:BI$110,"Rolling")/$K$106*(1-$E117)+$E117</f>
        <v>1</v>
      </c>
      <c r="RI117" s="525">
        <f>COUNTIF($T$110:BJ$110,"Rolling")/$K$106*(1-$E117)+$E117</f>
        <v>1</v>
      </c>
      <c r="RJ117" s="525">
        <f>COUNTIF($T$110:BK$110,"Rolling")/$K$106*(1-$E117)+$E117</f>
        <v>1</v>
      </c>
      <c r="RK117" s="525">
        <f>COUNTIF($T$110:BL$110,"Rolling")/$K$106*(1-$E117)+$E117</f>
        <v>1</v>
      </c>
      <c r="RL117" s="525">
        <f>COUNTIF($T$110:BM$110,"Rolling")/$K$106*(1-$E117)+$E117</f>
        <v>1</v>
      </c>
      <c r="RM117" s="525">
        <f>COUNTIF($T$110:BN$110,"Rolling")/$K$106*(1-$E117)+$E117</f>
        <v>1</v>
      </c>
      <c r="RN117" s="525">
        <f>COUNTIF($T$110:BO$110,"Rolling")/$K$106*(1-$E117)+$E117</f>
        <v>1</v>
      </c>
      <c r="RO117" s="525">
        <f>COUNTIF($T$110:BP$110,"Rolling")/$K$106*(1-$E117)+$E117</f>
        <v>1</v>
      </c>
      <c r="RP117" s="525">
        <f>COUNTIF($T$110:BQ$110,"Rolling")/$K$106*(1-$E117)+$E117</f>
        <v>1</v>
      </c>
      <c r="RQ117" s="525">
        <f>COUNTIF($T$110:BR$110,"Rolling")/$K$106*(1-$E117)+$E117</f>
        <v>1</v>
      </c>
      <c r="RR117" s="525">
        <f>COUNTIF($T$110:BS$110,"Rolling")/$K$106*(1-$E117)+$E117</f>
        <v>1</v>
      </c>
      <c r="RS117" s="525">
        <f>COUNTIF($T$110:BT$110,"Rolling")/$K$106*(1-$E117)+$E117</f>
        <v>1</v>
      </c>
      <c r="RT117" s="525">
        <f>COUNTIF($T$110:BU$110,"Rolling")/$K$106*(1-$E117)+$E117</f>
        <v>1</v>
      </c>
      <c r="RU117" s="525">
        <f>COUNTIF($T$110:BV$110,"Rolling")/$K$106*(1-$E117)+$E117</f>
        <v>1</v>
      </c>
      <c r="RV117" s="525">
        <f>COUNTIF($T$110:BW$110,"Rolling")/$K$106*(1-$E117)+$E117</f>
        <v>1</v>
      </c>
      <c r="RW117" s="525">
        <f>COUNTIF($T$110:BX$110,"Rolling")/$K$106*(1-$E117)+$E117</f>
        <v>1</v>
      </c>
      <c r="RX117" s="525">
        <f>COUNTIF($T$110:BY$110,"Rolling")/$K$106*(1-$E117)+$E117</f>
        <v>1</v>
      </c>
      <c r="RY117" s="525">
        <f>COUNTIF($T$110:BZ$110,"Rolling")/$K$106*(1-$E117)+$E117</f>
        <v>1</v>
      </c>
      <c r="RZ117" s="525">
        <f>COUNTIF($T$110:CA$110,"Rolling")/$K$106*(1-$E117)+$E117</f>
        <v>1</v>
      </c>
      <c r="SA117" s="525">
        <f>COUNTIF($T$110:CB$110,"Rolling")/$K$106*(1-$E117)+$E117</f>
        <v>1</v>
      </c>
      <c r="SB117" s="525">
        <f>COUNTIF($T$110:CC$110,"Rolling")/$K$106*(1-$E117)+$E117</f>
        <v>1</v>
      </c>
      <c r="SC117" s="525">
        <f>COUNTIF($T$110:CD$110,"Rolling")/$K$106*(1-$E117)+$E117</f>
        <v>1</v>
      </c>
      <c r="SD117" s="525">
        <f>COUNTIF($T$110:CE$110,"Rolling")/$K$106*(1-$E117)+$E117</f>
        <v>1</v>
      </c>
      <c r="SE117" s="525">
        <f>COUNTIF($T$110:CF$110,"Rolling")/$K$106*(1-$E117)+$E117</f>
        <v>1</v>
      </c>
      <c r="SF117" s="525">
        <f>COUNTIF($T$110:CG$110,"Rolling")/$K$106*(1-$E117)+$E117</f>
        <v>1</v>
      </c>
      <c r="SG117" s="525">
        <f>COUNTIF($T$110:CH$110,"Rolling")/$K$106*(1-$E117)+$E117</f>
        <v>1</v>
      </c>
      <c r="SH117" s="525">
        <f>COUNTIF($T$110:CI$110,"Rolling")/$K$106*(1-$E117)+$E117</f>
        <v>1</v>
      </c>
      <c r="SI117" s="525">
        <f>COUNTIF($T$110:CJ$110,"Rolling")/$K$106*(1-$E117)+$E117</f>
        <v>1</v>
      </c>
      <c r="SJ117" s="525">
        <f>COUNTIF($T$110:CK$110,"Rolling")/$K$106*(1-$E117)+$E117</f>
        <v>1</v>
      </c>
      <c r="SK117" s="525">
        <f>COUNTIF($T$110:CL$110,"Rolling")/$K$106*(1-$E117)+$E117</f>
        <v>1</v>
      </c>
      <c r="SL117" s="525">
        <f>COUNTIF($T$110:CM$110,"Rolling")/$K$106*(1-$E117)+$E117</f>
        <v>1</v>
      </c>
      <c r="SM117" s="525">
        <f>COUNTIF($T$110:CN$110,"Rolling")/$K$106*(1-$E117)+$E117</f>
        <v>1</v>
      </c>
      <c r="SN117" s="525">
        <f>COUNTIF($T$110:CO$110,"Rolling")/$K$106*(1-$E117)+$E117</f>
        <v>1</v>
      </c>
      <c r="SO117" s="525">
        <f>COUNTIF($T$110:CP$110,"Rolling")/$K$106*(1-$E117)+$E117</f>
        <v>1</v>
      </c>
      <c r="SP117" s="525">
        <f>COUNTIF($T$110:CQ$110,"Rolling")/$K$106*(1-$E117)+$E117</f>
        <v>1</v>
      </c>
      <c r="SQ117" s="525">
        <f>COUNTIF($T$110:CR$110,"Rolling")/$K$106*(1-$E117)+$E117</f>
        <v>1</v>
      </c>
      <c r="SR117" s="525">
        <f>COUNTIF($T$110:CS$110,"Rolling")/$K$106*(1-$E117)+$E117</f>
        <v>1</v>
      </c>
      <c r="SS117" s="525">
        <f>COUNTIF($T$110:CT$110,"Rolling")/$K$106*(1-$E117)+$E117</f>
        <v>1</v>
      </c>
      <c r="ST117" s="525">
        <f>COUNTIF($T$110:CU$110,"Rolling")/$K$106*(1-$E117)+$E117</f>
        <v>1</v>
      </c>
      <c r="SU117" s="525">
        <f>COUNTIF($T$110:CV$110,"Rolling")/$K$106*(1-$E117)+$E117</f>
        <v>1</v>
      </c>
      <c r="SV117" s="525">
        <f>COUNTIF($T$110:CW$110,"Rolling")/$K$106*(1-$E117)+$E117</f>
        <v>1</v>
      </c>
      <c r="SW117" s="525">
        <f>COUNTIF($T$110:CX$110,"Rolling")/$K$106*(1-$E117)+$E117</f>
        <v>1</v>
      </c>
      <c r="SX117" s="525">
        <f>COUNTIF($T$110:CY$110,"Rolling")/$K$106*(1-$E117)+$E117</f>
        <v>1</v>
      </c>
      <c r="SY117" s="525">
        <f>COUNTIF($T$110:CZ$110,"Rolling")/$K$106*(1-$E117)+$E117</f>
        <v>1</v>
      </c>
      <c r="SZ117" s="525">
        <f>COUNTIF($T$110:DA$110,"Rolling")/$K$106*(1-$E117)+$E117</f>
        <v>1</v>
      </c>
      <c r="TA117" s="525">
        <f>COUNTIF($T$110:DB$110,"Rolling")/$K$106*(1-$E117)+$E117</f>
        <v>1</v>
      </c>
      <c r="TB117" s="525">
        <f>COUNTIF($T$110:DC$110,"Rolling")/$K$106*(1-$E117)+$E117</f>
        <v>1</v>
      </c>
      <c r="TC117" s="525">
        <f>COUNTIF($T$110:DD$110,"Rolling")/$K$106*(1-$E117)+$E117</f>
        <v>1</v>
      </c>
      <c r="TD117" s="525">
        <f>COUNTIF($T$110:DE$110,"Rolling")/$K$106*(1-$E117)+$E117</f>
        <v>1</v>
      </c>
      <c r="TE117" s="525">
        <f>COUNTIF($T$110:DF$110,"Rolling")/$K$106*(1-$E117)+$E117</f>
        <v>1</v>
      </c>
      <c r="TF117" s="525">
        <f>COUNTIF($T$110:DG$110,"Rolling")/$K$106*(1-$E117)+$E117</f>
        <v>1</v>
      </c>
      <c r="TG117" s="525">
        <f>COUNTIF($T$110:DH$110,"Rolling")/$K$106*(1-$E117)+$E117</f>
        <v>1</v>
      </c>
      <c r="TH117" s="525">
        <f>COUNTIF($T$110:DI$110,"Rolling")/$K$106*(1-$E117)+$E117</f>
        <v>1</v>
      </c>
      <c r="TI117" s="525">
        <f>COUNTIF($T$110:DJ$110,"Rolling")/$K$106*(1-$E117)+$E117</f>
        <v>1</v>
      </c>
      <c r="TJ117" s="525">
        <f>COUNTIF($T$110:DK$110,"Rolling")/$K$106*(1-$E117)+$E117</f>
        <v>1</v>
      </c>
      <c r="TK117" s="525">
        <f>COUNTIF($T$110:DL$110,"Rolling")/$K$106*(1-$E117)+$E117</f>
        <v>1</v>
      </c>
      <c r="TL117" s="525">
        <f>COUNTIF($T$110:DM$110,"Rolling")/$K$106*(1-$E117)+$E117</f>
        <v>1</v>
      </c>
      <c r="TM117" s="525">
        <f>COUNTIF($T$110:DN$110,"Rolling")/$K$106*(1-$E117)+$E117</f>
        <v>1</v>
      </c>
      <c r="TN117" s="525">
        <f>COUNTIF($T$110:DO$110,"Rolling")/$K$106*(1-$E117)+$E117</f>
        <v>1</v>
      </c>
      <c r="TO117" s="525">
        <f>COUNTIF($T$110:DP$110,"Rolling")/$K$106*(1-$E117)+$E117</f>
        <v>1</v>
      </c>
      <c r="TP117" s="525">
        <f>COUNTIF($T$110:DQ$110,"Rolling")/$K$106*(1-$E117)+$E117</f>
        <v>1</v>
      </c>
      <c r="TQ117" s="525">
        <f>COUNTIF($T$110:DR$110,"Rolling")/$K$106*(1-$E117)+$E117</f>
        <v>1</v>
      </c>
      <c r="TR117" s="525">
        <f>COUNTIF($T$110:DS$110,"Rolling")/$K$106*(1-$E117)+$E117</f>
        <v>1</v>
      </c>
      <c r="TS117" s="525">
        <f>COUNTIF($T$110:DT$110,"Rolling")/$K$106*(1-$E117)+$E117</f>
        <v>1</v>
      </c>
      <c r="TT117" s="525">
        <f>COUNTIF($T$110:DU$110,"Rolling")/$K$106*(1-$E117)+$E117</f>
        <v>1</v>
      </c>
      <c r="TU117" s="525">
        <f>COUNTIF($T$110:DV$110,"Rolling")/$K$106*(1-$E117)+$E117</f>
        <v>1</v>
      </c>
      <c r="TV117" s="525">
        <f>COUNTIF($T$110:DW$110,"Rolling")/$K$106*(1-$E117)+$E117</f>
        <v>1</v>
      </c>
      <c r="TW117" s="525">
        <f>COUNTIF($T$110:DX$110,"Rolling")/$K$106*(1-$E117)+$E117</f>
        <v>1</v>
      </c>
      <c r="TX117" s="525">
        <f>COUNTIF($T$110:DY$110,"Rolling")/$K$106*(1-$E117)+$E117</f>
        <v>1</v>
      </c>
      <c r="TY117" s="525">
        <f>COUNTIF($T$110:DZ$110,"Rolling")/$K$106*(1-$E117)+$E117</f>
        <v>1</v>
      </c>
      <c r="TZ117" s="525">
        <f>COUNTIF($T$110:EA$110,"Rolling")/$K$106*(1-$E117)+$E117</f>
        <v>1</v>
      </c>
      <c r="UA117" s="525">
        <f>COUNTIF($T$110:EB$110,"Rolling")/$K$106*(1-$E117)+$E117</f>
        <v>1</v>
      </c>
      <c r="UB117" s="525">
        <f>COUNTIF($T$110:EC$110,"Rolling")/$K$106*(1-$E117)+$E117</f>
        <v>1</v>
      </c>
      <c r="UC117" s="525">
        <f>COUNTIF($T$110:ED$110,"Rolling")/$K$106*(1-$E117)+$E117</f>
        <v>1</v>
      </c>
      <c r="UD117" s="525">
        <f>COUNTIF($T$110:EE$110,"Rolling")/$K$106*(1-$E117)+$E117</f>
        <v>1</v>
      </c>
      <c r="UE117" s="525">
        <f>COUNTIF($T$110:EF$110,"Rolling")/$K$106*(1-$E117)+$E117</f>
        <v>1</v>
      </c>
      <c r="UF117" s="525">
        <f>COUNTIF($T$110:EG$110,"Rolling")/$K$106*(1-$E117)+$E117</f>
        <v>1</v>
      </c>
      <c r="UG117" s="525">
        <f>COUNTIF($T$110:EH$110,"Rolling")/$K$106*(1-$E117)+$E117</f>
        <v>1</v>
      </c>
      <c r="UH117" s="525">
        <f>COUNTIF($T$110:EI$110,"Rolling")/$K$106*(1-$E117)+$E117</f>
        <v>1</v>
      </c>
      <c r="UI117" s="525">
        <f>COUNTIF($T$110:EJ$110,"Rolling")/$K$106*(1-$E117)+$E117</f>
        <v>1</v>
      </c>
      <c r="UJ117" s="525">
        <f>COUNTIF($T$110:EK$110,"Rolling")/$K$106*(1-$E117)+$E117</f>
        <v>1</v>
      </c>
      <c r="UK117" s="525">
        <f>COUNTIF($T$110:EL$110,"Rolling")/$K$106*(1-$E117)+$E117</f>
        <v>1</v>
      </c>
      <c r="UL117" s="525">
        <f>COUNTIF($T$110:EM$110,"Rolling")/$K$106*(1-$E117)+$E117</f>
        <v>1</v>
      </c>
      <c r="UM117" s="525">
        <f>COUNTIF($T$110:EN$110,"Rolling")/$K$106*(1-$E117)+$E117</f>
        <v>1</v>
      </c>
      <c r="UN117" s="525">
        <f>COUNTIF($T$110:EO$110,"Rolling")/$K$106*(1-$E117)+$E117</f>
        <v>1</v>
      </c>
      <c r="UO117" s="525">
        <f>COUNTIF($T$110:EP$110,"Rolling")/$K$106*(1-$E117)+$E117</f>
        <v>1</v>
      </c>
      <c r="UP117" s="525">
        <f>COUNTIF($T$110:EQ$110,"Rolling")/$K$106*(1-$E117)+$E117</f>
        <v>1</v>
      </c>
      <c r="UQ117" s="525">
        <f>COUNTIF($T$110:ER$110,"Rolling")/$K$106*(1-$E117)+$E117</f>
        <v>1</v>
      </c>
      <c r="UR117" s="525">
        <f>COUNTIF($T$110:ES$110,"Rolling")/$K$106*(1-$E117)+$E117</f>
        <v>1</v>
      </c>
      <c r="US117" s="525">
        <f>COUNTIF($T$110:ET$110,"Rolling")/$K$106*(1-$E117)+$E117</f>
        <v>1</v>
      </c>
      <c r="UT117" s="525">
        <f>COUNTIF($T$110:EU$110,"Rolling")/$K$106*(1-$E117)+$E117</f>
        <v>1</v>
      </c>
      <c r="UU117" s="207"/>
    </row>
    <row r="118" spans="2:567" x14ac:dyDescent="0.25">
      <c r="B118" s="31" t="s">
        <v>127</v>
      </c>
      <c r="C118" s="147">
        <v>60</v>
      </c>
      <c r="D118" s="147">
        <v>1100</v>
      </c>
      <c r="E118" s="68">
        <v>0</v>
      </c>
      <c r="F118" s="114">
        <f t="shared" si="2106"/>
        <v>1.75</v>
      </c>
      <c r="G118" s="115">
        <v>1925</v>
      </c>
      <c r="H118" s="114">
        <f t="shared" si="2245"/>
        <v>2.0125000000000002</v>
      </c>
      <c r="I118" s="115">
        <f t="shared" si="2246"/>
        <v>2213.75</v>
      </c>
      <c r="J118" s="149">
        <f>((1-E118)*G118+E118*I118)*C118*12</f>
        <v>1386000</v>
      </c>
      <c r="K118" s="149">
        <f t="shared" si="2248"/>
        <v>1593900</v>
      </c>
      <c r="M118" s="3" t="s">
        <v>840</v>
      </c>
      <c r="R118" s="524"/>
      <c r="T118" s="92">
        <f t="shared" si="2249"/>
        <v>116221.875</v>
      </c>
      <c r="U118" s="92">
        <f t="shared" si="2107"/>
        <v>116943.75</v>
      </c>
      <c r="V118" s="92">
        <f t="shared" si="2108"/>
        <v>117665.625</v>
      </c>
      <c r="W118" s="92">
        <f t="shared" si="2109"/>
        <v>118387.5</v>
      </c>
      <c r="X118" s="92">
        <f t="shared" si="2110"/>
        <v>119109.375</v>
      </c>
      <c r="Y118" s="92">
        <f t="shared" si="2111"/>
        <v>119831.25</v>
      </c>
      <c r="Z118" s="92">
        <f t="shared" si="2112"/>
        <v>120553.12499999999</v>
      </c>
      <c r="AA118" s="92">
        <f t="shared" si="2113"/>
        <v>121275.00000000001</v>
      </c>
      <c r="AB118" s="92">
        <f t="shared" si="2114"/>
        <v>121996.875</v>
      </c>
      <c r="AC118" s="92">
        <f t="shared" si="2115"/>
        <v>122718.74999999999</v>
      </c>
      <c r="AD118" s="92">
        <f t="shared" si="2116"/>
        <v>123440.62500000001</v>
      </c>
      <c r="AE118" s="92">
        <f t="shared" si="2117"/>
        <v>124162.5</v>
      </c>
      <c r="AF118" s="92">
        <f t="shared" si="2118"/>
        <v>125141.61636516165</v>
      </c>
      <c r="AG118" s="92">
        <f t="shared" si="2119"/>
        <v>126124.23955689374</v>
      </c>
      <c r="AH118" s="92">
        <f t="shared" si="2120"/>
        <v>127110.37986785568</v>
      </c>
      <c r="AI118" s="92">
        <f t="shared" si="2121"/>
        <v>128100.04761823002</v>
      </c>
      <c r="AJ118" s="92">
        <f t="shared" si="2122"/>
        <v>129093.25315579219</v>
      </c>
      <c r="AK118" s="92">
        <f t="shared" si="2123"/>
        <v>130090.00685598043</v>
      </c>
      <c r="AL118" s="92">
        <f t="shared" si="2124"/>
        <v>131090.31912196585</v>
      </c>
      <c r="AM118" s="92">
        <f t="shared" si="2125"/>
        <v>132094.20038472256</v>
      </c>
      <c r="AN118" s="92">
        <f t="shared" si="2126"/>
        <v>133101.66110309816</v>
      </c>
      <c r="AO118" s="92">
        <f t="shared" si="2127"/>
        <v>134112.71176388432</v>
      </c>
      <c r="AP118" s="92">
        <f t="shared" si="2128"/>
        <v>135127.36288188747</v>
      </c>
      <c r="AQ118" s="92">
        <f t="shared" si="2129"/>
        <v>136145.6249999998</v>
      </c>
      <c r="AR118" s="92">
        <f t="shared" si="2130"/>
        <v>136426.06269635522</v>
      </c>
      <c r="AS118" s="92">
        <f t="shared" si="2131"/>
        <v>136707.07804844901</v>
      </c>
      <c r="AT118" s="92">
        <f t="shared" si="2132"/>
        <v>136988.67224615742</v>
      </c>
      <c r="AU118" s="92">
        <f t="shared" si="2133"/>
        <v>137270.84648180768</v>
      </c>
      <c r="AV118" s="92">
        <f t="shared" si="2134"/>
        <v>137553.60195018293</v>
      </c>
      <c r="AW118" s="92">
        <f t="shared" si="2135"/>
        <v>137836.93984852743</v>
      </c>
      <c r="AX118" s="92">
        <f t="shared" si="2136"/>
        <v>138120.86137655156</v>
      </c>
      <c r="AY118" s="92">
        <f t="shared" si="2137"/>
        <v>138405.36773643692</v>
      </c>
      <c r="AZ118" s="92">
        <f t="shared" si="2138"/>
        <v>138690.46013284137</v>
      </c>
      <c r="BA118" s="92">
        <f t="shared" si="2139"/>
        <v>138976.13977290416</v>
      </c>
      <c r="BB118" s="92">
        <f t="shared" si="2140"/>
        <v>139262.40786625113</v>
      </c>
      <c r="BC118" s="92">
        <f t="shared" si="2141"/>
        <v>139549.26562499965</v>
      </c>
      <c r="BD118" s="92">
        <f t="shared" si="2142"/>
        <v>139836.71426376395</v>
      </c>
      <c r="BE118" s="92">
        <f t="shared" si="2143"/>
        <v>140124.75499966007</v>
      </c>
      <c r="BF118" s="92">
        <f t="shared" si="2144"/>
        <v>140413.38905231122</v>
      </c>
      <c r="BG118" s="92">
        <f t="shared" si="2145"/>
        <v>140702.61764385272</v>
      </c>
      <c r="BH118" s="92">
        <f t="shared" si="2146"/>
        <v>140992.44199893731</v>
      </c>
      <c r="BI118" s="92">
        <f t="shared" si="2147"/>
        <v>141282.86334474041</v>
      </c>
      <c r="BJ118" s="92">
        <f t="shared" si="2148"/>
        <v>141573.88291096516</v>
      </c>
      <c r="BK118" s="92">
        <f t="shared" si="2149"/>
        <v>141865.50192984761</v>
      </c>
      <c r="BL118" s="92">
        <f t="shared" si="2150"/>
        <v>142157.72163616217</v>
      </c>
      <c r="BM118" s="92">
        <f t="shared" si="2151"/>
        <v>142450.54326722655</v>
      </c>
      <c r="BN118" s="92">
        <f t="shared" si="2152"/>
        <v>142743.96806290717</v>
      </c>
      <c r="BO118" s="92">
        <f t="shared" si="2153"/>
        <v>143037.99726562441</v>
      </c>
      <c r="BP118" s="92">
        <f t="shared" si="2154"/>
        <v>143332.63212035783</v>
      </c>
      <c r="BQ118" s="92">
        <f t="shared" si="2155"/>
        <v>143627.87387465136</v>
      </c>
      <c r="BR118" s="92">
        <f t="shared" si="2156"/>
        <v>143923.72377861876</v>
      </c>
      <c r="BS118" s="92">
        <f t="shared" si="2157"/>
        <v>144220.1830849488</v>
      </c>
      <c r="BT118" s="92">
        <f t="shared" si="2158"/>
        <v>144517.25304891056</v>
      </c>
      <c r="BU118" s="92">
        <f t="shared" si="2159"/>
        <v>144814.93492835874</v>
      </c>
      <c r="BV118" s="92">
        <f t="shared" si="2160"/>
        <v>145113.22998373909</v>
      </c>
      <c r="BW118" s="92">
        <f t="shared" si="2161"/>
        <v>145412.13947809362</v>
      </c>
      <c r="BX118" s="92">
        <f t="shared" si="2162"/>
        <v>145711.66467706603</v>
      </c>
      <c r="BY118" s="92">
        <f t="shared" si="2163"/>
        <v>146011.806848907</v>
      </c>
      <c r="BZ118" s="92">
        <f t="shared" si="2164"/>
        <v>146312.56726447964</v>
      </c>
      <c r="CA118" s="92">
        <f t="shared" si="2165"/>
        <v>146613.94719726485</v>
      </c>
      <c r="CB118" s="92">
        <f t="shared" si="2166"/>
        <v>146915.94792336659</v>
      </c>
      <c r="CC118" s="92">
        <f t="shared" si="2167"/>
        <v>147218.57072151746</v>
      </c>
      <c r="CD118" s="92">
        <f t="shared" si="2168"/>
        <v>147521.81687308408</v>
      </c>
      <c r="CE118" s="92">
        <f t="shared" si="2169"/>
        <v>147825.68766207233</v>
      </c>
      <c r="CF118" s="92">
        <f t="shared" si="2170"/>
        <v>148130.18437513313</v>
      </c>
      <c r="CG118" s="92">
        <f t="shared" si="2171"/>
        <v>148435.30830156751</v>
      </c>
      <c r="CH118" s="92">
        <f t="shared" si="2172"/>
        <v>148741.06073333239</v>
      </c>
      <c r="CI118" s="92">
        <f t="shared" si="2173"/>
        <v>149047.44296504578</v>
      </c>
      <c r="CJ118" s="92">
        <f t="shared" si="2174"/>
        <v>149354.45629399247</v>
      </c>
      <c r="CK118" s="92">
        <f t="shared" si="2175"/>
        <v>149662.1020201295</v>
      </c>
      <c r="CL118" s="92">
        <f t="shared" si="2176"/>
        <v>149970.38144609146</v>
      </c>
      <c r="CM118" s="92">
        <f t="shared" si="2177"/>
        <v>150279.29587719627</v>
      </c>
      <c r="CN118" s="92">
        <f t="shared" si="2178"/>
        <v>150588.84662145053</v>
      </c>
      <c r="CO118" s="92">
        <f t="shared" si="2179"/>
        <v>150899.03498955519</v>
      </c>
      <c r="CP118" s="92">
        <f t="shared" si="2180"/>
        <v>151209.86229491094</v>
      </c>
      <c r="CQ118" s="92">
        <f t="shared" si="2181"/>
        <v>151521.32985362393</v>
      </c>
      <c r="CR118" s="92">
        <f t="shared" si="2182"/>
        <v>151833.43898451122</v>
      </c>
      <c r="CS118" s="92">
        <f t="shared" si="2183"/>
        <v>152146.19100910646</v>
      </c>
      <c r="CT118" s="92">
        <f t="shared" si="2184"/>
        <v>152459.58725166542</v>
      </c>
      <c r="CU118" s="92">
        <f t="shared" si="2185"/>
        <v>152773.62903917165</v>
      </c>
      <c r="CV118" s="92">
        <f t="shared" si="2186"/>
        <v>153088.31770134202</v>
      </c>
      <c r="CW118" s="92">
        <f t="shared" si="2187"/>
        <v>153403.65457063244</v>
      </c>
      <c r="CX118" s="92">
        <f t="shared" si="2188"/>
        <v>153719.64098224349</v>
      </c>
      <c r="CY118" s="92">
        <f t="shared" si="2189"/>
        <v>154036.27827412591</v>
      </c>
      <c r="CZ118" s="92">
        <f t="shared" si="2190"/>
        <v>154353.56778698653</v>
      </c>
      <c r="DA118" s="92">
        <f t="shared" si="2191"/>
        <v>154671.51086429378</v>
      </c>
      <c r="DB118" s="92">
        <f t="shared" si="2192"/>
        <v>154990.10885228345</v>
      </c>
      <c r="DC118" s="92">
        <f t="shared" si="2193"/>
        <v>155309.36309996425</v>
      </c>
      <c r="DD118" s="92">
        <f t="shared" si="2194"/>
        <v>155629.27495912372</v>
      </c>
      <c r="DE118" s="92">
        <f t="shared" si="2195"/>
        <v>155949.84578433388</v>
      </c>
      <c r="DF118" s="92">
        <f t="shared" si="2196"/>
        <v>156271.07693295684</v>
      </c>
      <c r="DG118" s="92">
        <f t="shared" si="2197"/>
        <v>156592.96976515072</v>
      </c>
      <c r="DH118" s="92">
        <f t="shared" si="2198"/>
        <v>156915.52564387536</v>
      </c>
      <c r="DI118" s="92">
        <f t="shared" si="2199"/>
        <v>157238.74593489803</v>
      </c>
      <c r="DJ118" s="92">
        <f t="shared" si="2200"/>
        <v>157562.63200679931</v>
      </c>
      <c r="DK118" s="92">
        <f t="shared" si="2201"/>
        <v>157887.18523097882</v>
      </c>
      <c r="DL118" s="92">
        <f t="shared" si="2202"/>
        <v>158212.40698166096</v>
      </c>
      <c r="DM118" s="92">
        <f t="shared" si="2203"/>
        <v>158538.29863590092</v>
      </c>
      <c r="DN118" s="92">
        <f t="shared" si="2204"/>
        <v>158864.86157359029</v>
      </c>
      <c r="DO118" s="92">
        <f t="shared" si="2205"/>
        <v>159192.09717746312</v>
      </c>
      <c r="DP118" s="92">
        <f t="shared" si="2206"/>
        <v>159520.00683310159</v>
      </c>
      <c r="DQ118" s="92">
        <f t="shared" si="2207"/>
        <v>159848.59192894198</v>
      </c>
      <c r="DR118" s="92">
        <f t="shared" si="2208"/>
        <v>160177.8538562805</v>
      </c>
      <c r="DS118" s="92">
        <f t="shared" si="2209"/>
        <v>160507.79400927923</v>
      </c>
      <c r="DT118" s="92">
        <f t="shared" si="2210"/>
        <v>160838.41378497198</v>
      </c>
      <c r="DU118" s="92">
        <f t="shared" si="2211"/>
        <v>161169.71458327025</v>
      </c>
      <c r="DV118" s="92">
        <f t="shared" si="2212"/>
        <v>161501.69780696911</v>
      </c>
      <c r="DW118" s="92">
        <f t="shared" si="2213"/>
        <v>161834.36486175307</v>
      </c>
      <c r="DX118" s="92">
        <f t="shared" si="2214"/>
        <v>162167.71715620227</v>
      </c>
      <c r="DY118" s="92">
        <f t="shared" si="2215"/>
        <v>162501.75610179824</v>
      </c>
      <c r="DZ118" s="92">
        <f t="shared" si="2216"/>
        <v>162836.48311292985</v>
      </c>
      <c r="EA118" s="92">
        <f t="shared" si="2217"/>
        <v>163171.8996068995</v>
      </c>
      <c r="EB118" s="92">
        <f t="shared" si="2218"/>
        <v>163508.00700392891</v>
      </c>
      <c r="EC118" s="92">
        <f t="shared" si="2219"/>
        <v>163844.80672716533</v>
      </c>
      <c r="ED118" s="92">
        <f t="shared" si="2220"/>
        <v>164182.3002026873</v>
      </c>
      <c r="EE118" s="92">
        <f t="shared" si="2221"/>
        <v>164520.48885951101</v>
      </c>
      <c r="EF118" s="92">
        <f t="shared" si="2222"/>
        <v>164859.37412959611</v>
      </c>
      <c r="EG118" s="92">
        <f t="shared" si="2223"/>
        <v>165198.95744785183</v>
      </c>
      <c r="EH118" s="92">
        <f t="shared" si="2224"/>
        <v>165539.24025214312</v>
      </c>
      <c r="EI118" s="92">
        <f t="shared" si="2225"/>
        <v>165880.22398329672</v>
      </c>
      <c r="EJ118" s="92">
        <f t="shared" si="2226"/>
        <v>166221.91008510714</v>
      </c>
      <c r="EK118" s="92">
        <f t="shared" si="2227"/>
        <v>166564.30000434298</v>
      </c>
      <c r="EL118" s="92">
        <f t="shared" si="2228"/>
        <v>166907.3951907529</v>
      </c>
      <c r="EM118" s="92">
        <f t="shared" si="2229"/>
        <v>167251.1970970718</v>
      </c>
      <c r="EN118" s="92">
        <f t="shared" si="2230"/>
        <v>167595.70717902694</v>
      </c>
      <c r="EO118" s="92">
        <f t="shared" si="2231"/>
        <v>167940.92689534425</v>
      </c>
      <c r="EP118" s="92">
        <f t="shared" si="2232"/>
        <v>168286.8577077543</v>
      </c>
      <c r="EQ118" s="92">
        <f t="shared" si="2233"/>
        <v>168633.50108099863</v>
      </c>
      <c r="ER118" s="92">
        <f t="shared" si="2234"/>
        <v>168980.85848283581</v>
      </c>
      <c r="ES118" s="92">
        <f t="shared" si="2235"/>
        <v>169328.93138404793</v>
      </c>
      <c r="ET118" s="92">
        <f t="shared" si="2236"/>
        <v>169677.72125844649</v>
      </c>
      <c r="EU118" s="92">
        <f t="shared" si="2237"/>
        <v>170027.22958287891</v>
      </c>
      <c r="EW118" s="199" t="str">
        <f t="shared" si="2250"/>
        <v>2 Bd/2.5 Bth</v>
      </c>
      <c r="EX118" s="201"/>
      <c r="EY118" s="221"/>
      <c r="EZ118" s="221"/>
      <c r="FA118" s="221"/>
      <c r="FB118" s="221"/>
      <c r="FC118" s="207">
        <f t="shared" si="2238"/>
        <v>1925</v>
      </c>
      <c r="FD118" s="207">
        <f t="shared" ref="FD118:HO118" si="2272">FC118+IF(FD$112&gt;0,FC118*((1+INDEX($C$104:$H$104,1,MIN(FD$112,6)))^(1/12)-1))</f>
        <v>1925</v>
      </c>
      <c r="FE118" s="207">
        <f t="shared" si="2272"/>
        <v>1925</v>
      </c>
      <c r="FF118" s="207">
        <f t="shared" si="2272"/>
        <v>1925</v>
      </c>
      <c r="FG118" s="207">
        <f t="shared" si="2272"/>
        <v>1925</v>
      </c>
      <c r="FH118" s="207">
        <f t="shared" si="2272"/>
        <v>1925</v>
      </c>
      <c r="FI118" s="207">
        <f t="shared" si="2272"/>
        <v>1925</v>
      </c>
      <c r="FJ118" s="207">
        <f t="shared" si="2272"/>
        <v>1925</v>
      </c>
      <c r="FK118" s="207">
        <f t="shared" si="2272"/>
        <v>1925</v>
      </c>
      <c r="FL118" s="207">
        <f t="shared" si="2272"/>
        <v>1925</v>
      </c>
      <c r="FM118" s="207">
        <f t="shared" si="2272"/>
        <v>1925</v>
      </c>
      <c r="FN118" s="207">
        <f t="shared" si="2272"/>
        <v>1925</v>
      </c>
      <c r="FO118" s="207">
        <f t="shared" si="2272"/>
        <v>1925</v>
      </c>
      <c r="FP118" s="207">
        <f t="shared" si="2272"/>
        <v>1928.9651848194474</v>
      </c>
      <c r="FQ118" s="207">
        <f t="shared" si="2272"/>
        <v>1932.9385372704023</v>
      </c>
      <c r="FR118" s="207">
        <f t="shared" si="2272"/>
        <v>1936.9200741768486</v>
      </c>
      <c r="FS118" s="207">
        <f t="shared" si="2272"/>
        <v>1940.9098123974245</v>
      </c>
      <c r="FT118" s="207">
        <f t="shared" si="2272"/>
        <v>1944.9077688254945</v>
      </c>
      <c r="FU118" s="207">
        <f t="shared" si="2272"/>
        <v>1948.9139603892202</v>
      </c>
      <c r="FV118" s="207">
        <f t="shared" si="2272"/>
        <v>1952.9284040516327</v>
      </c>
      <c r="FW118" s="207">
        <f t="shared" si="2272"/>
        <v>1956.9511168107044</v>
      </c>
      <c r="FX118" s="207">
        <f t="shared" si="2272"/>
        <v>1960.9821156994203</v>
      </c>
      <c r="FY118" s="207">
        <f t="shared" si="2272"/>
        <v>1965.0214177858509</v>
      </c>
      <c r="FZ118" s="207">
        <f t="shared" si="2272"/>
        <v>1969.069040173224</v>
      </c>
      <c r="GA118" s="207">
        <f t="shared" si="2272"/>
        <v>1973.1249999999973</v>
      </c>
      <c r="GB118" s="207">
        <f t="shared" si="2272"/>
        <v>1977.1893144399307</v>
      </c>
      <c r="GC118" s="207">
        <f t="shared" si="2272"/>
        <v>1981.2620007021596</v>
      </c>
      <c r="GD118" s="207">
        <f t="shared" si="2272"/>
        <v>1985.3430760312672</v>
      </c>
      <c r="GE118" s="207">
        <f t="shared" si="2272"/>
        <v>1989.4325577073575</v>
      </c>
      <c r="GF118" s="207">
        <f t="shared" si="2272"/>
        <v>1993.5304630461292</v>
      </c>
      <c r="GG118" s="207">
        <f t="shared" si="2272"/>
        <v>1997.6368093989479</v>
      </c>
      <c r="GH118" s="207">
        <f t="shared" si="2272"/>
        <v>2001.7516141529209</v>
      </c>
      <c r="GI118" s="207">
        <f t="shared" si="2272"/>
        <v>2005.8748947309693</v>
      </c>
      <c r="GJ118" s="207">
        <f t="shared" si="2272"/>
        <v>2010.0066685919032</v>
      </c>
      <c r="GK118" s="207">
        <f t="shared" si="2272"/>
        <v>2014.1469532304945</v>
      </c>
      <c r="GL118" s="207">
        <f t="shared" si="2272"/>
        <v>2018.295766177552</v>
      </c>
      <c r="GM118" s="207">
        <f t="shared" si="2272"/>
        <v>2022.4531249999945</v>
      </c>
      <c r="GN118" s="207">
        <f t="shared" si="2272"/>
        <v>2026.6190473009262</v>
      </c>
      <c r="GO118" s="207">
        <f t="shared" si="2272"/>
        <v>2030.7935507197108</v>
      </c>
      <c r="GP118" s="207">
        <f t="shared" si="2272"/>
        <v>2034.9766529320459</v>
      </c>
      <c r="GQ118" s="207">
        <f t="shared" si="2272"/>
        <v>2039.1683716500386</v>
      </c>
      <c r="GR118" s="207">
        <f t="shared" si="2272"/>
        <v>2043.3687246222794</v>
      </c>
      <c r="GS118" s="207">
        <f t="shared" si="2272"/>
        <v>2047.5777296339186</v>
      </c>
      <c r="GT118" s="207">
        <f t="shared" si="2272"/>
        <v>2051.7954045067409</v>
      </c>
      <c r="GU118" s="207">
        <f t="shared" si="2272"/>
        <v>2056.0217670992406</v>
      </c>
      <c r="GV118" s="207">
        <f t="shared" si="2272"/>
        <v>2060.2568353066977</v>
      </c>
      <c r="GW118" s="207">
        <f t="shared" si="2272"/>
        <v>2064.5006270612539</v>
      </c>
      <c r="GX118" s="207">
        <f t="shared" si="2272"/>
        <v>2068.7531603319876</v>
      </c>
      <c r="GY118" s="207">
        <f t="shared" si="2272"/>
        <v>2073.0144531249912</v>
      </c>
      <c r="GZ118" s="207">
        <f t="shared" si="2272"/>
        <v>2077.2845234834463</v>
      </c>
      <c r="HA118" s="207">
        <f t="shared" si="2272"/>
        <v>2081.5633894877005</v>
      </c>
      <c r="HB118" s="207">
        <f t="shared" si="2272"/>
        <v>2085.8510692553441</v>
      </c>
      <c r="HC118" s="207">
        <f t="shared" si="2272"/>
        <v>2090.1475809412864</v>
      </c>
      <c r="HD118" s="207">
        <f t="shared" si="2272"/>
        <v>2094.4529427378334</v>
      </c>
      <c r="HE118" s="207">
        <f t="shared" si="2272"/>
        <v>2098.7671728747637</v>
      </c>
      <c r="HF118" s="207">
        <f t="shared" si="2272"/>
        <v>2103.0902896194066</v>
      </c>
      <c r="HG118" s="207">
        <f t="shared" si="2272"/>
        <v>2107.4223112767186</v>
      </c>
      <c r="HH118" s="207">
        <f t="shared" si="2272"/>
        <v>2111.763256189362</v>
      </c>
      <c r="HI118" s="207">
        <f t="shared" si="2272"/>
        <v>2116.1131427377823</v>
      </c>
      <c r="HJ118" s="207">
        <f t="shared" si="2272"/>
        <v>2120.4719893402844</v>
      </c>
      <c r="HK118" s="207">
        <f t="shared" si="2272"/>
        <v>2124.8398144531129</v>
      </c>
      <c r="HL118" s="207">
        <f t="shared" si="2272"/>
        <v>2129.2166365705293</v>
      </c>
      <c r="HM118" s="207">
        <f t="shared" si="2272"/>
        <v>2133.6024742248896</v>
      </c>
      <c r="HN118" s="207">
        <f t="shared" si="2272"/>
        <v>2137.9973459867242</v>
      </c>
      <c r="HO118" s="207">
        <f t="shared" si="2272"/>
        <v>2142.4012704648153</v>
      </c>
      <c r="HP118" s="207">
        <f t="shared" ref="HP118:KA118" si="2273">HO118+IF(HP$112&gt;0,HO118*((1+INDEX($C$104:$H$104,1,MIN(HP$112,6)))^(1/12)-1))</f>
        <v>2146.8142663062758</v>
      </c>
      <c r="HQ118" s="207">
        <f t="shared" si="2273"/>
        <v>2151.2363521966295</v>
      </c>
      <c r="HR118" s="207">
        <f t="shared" si="2273"/>
        <v>2155.6675468598883</v>
      </c>
      <c r="HS118" s="207">
        <f t="shared" si="2273"/>
        <v>2160.1078690586332</v>
      </c>
      <c r="HT118" s="207">
        <f t="shared" si="2273"/>
        <v>2164.557337594093</v>
      </c>
      <c r="HU118" s="207">
        <f t="shared" si="2273"/>
        <v>2169.0159713062235</v>
      </c>
      <c r="HV118" s="207">
        <f t="shared" si="2273"/>
        <v>2173.4837890737881</v>
      </c>
      <c r="HW118" s="207">
        <f t="shared" si="2273"/>
        <v>2177.9608098144377</v>
      </c>
      <c r="HX118" s="207">
        <f t="shared" si="2273"/>
        <v>2182.4470524847893</v>
      </c>
      <c r="HY118" s="207">
        <f t="shared" si="2273"/>
        <v>2186.9425360805089</v>
      </c>
      <c r="HZ118" s="207">
        <f t="shared" si="2273"/>
        <v>2191.4472796363893</v>
      </c>
      <c r="IA118" s="207">
        <f t="shared" si="2273"/>
        <v>2195.9613022264325</v>
      </c>
      <c r="IB118" s="207">
        <f t="shared" si="2273"/>
        <v>2200.4846229639297</v>
      </c>
      <c r="IC118" s="207">
        <f t="shared" si="2273"/>
        <v>2205.017261001542</v>
      </c>
      <c r="ID118" s="207">
        <f t="shared" si="2273"/>
        <v>2209.5592355313825</v>
      </c>
      <c r="IE118" s="207">
        <f t="shared" si="2273"/>
        <v>2214.1105657850958</v>
      </c>
      <c r="IF118" s="207">
        <f t="shared" si="2273"/>
        <v>2218.671271033942</v>
      </c>
      <c r="IG118" s="207">
        <f t="shared" si="2273"/>
        <v>2223.2413705888757</v>
      </c>
      <c r="IH118" s="207">
        <f t="shared" si="2273"/>
        <v>2227.8208838006294</v>
      </c>
      <c r="II118" s="207">
        <f t="shared" si="2273"/>
        <v>2232.4098300597952</v>
      </c>
      <c r="IJ118" s="207">
        <f t="shared" si="2273"/>
        <v>2237.0082287969058</v>
      </c>
      <c r="IK118" s="207">
        <f t="shared" si="2273"/>
        <v>2241.6160994825182</v>
      </c>
      <c r="IL118" s="207">
        <f t="shared" si="2273"/>
        <v>2246.2334616272956</v>
      </c>
      <c r="IM118" s="207">
        <f t="shared" si="2273"/>
        <v>2250.8603347820899</v>
      </c>
      <c r="IN118" s="207">
        <f t="shared" si="2273"/>
        <v>2255.4967385380246</v>
      </c>
      <c r="IO118" s="207">
        <f t="shared" si="2273"/>
        <v>2260.1426925265773</v>
      </c>
      <c r="IP118" s="207">
        <f t="shared" si="2273"/>
        <v>2264.7982164196637</v>
      </c>
      <c r="IQ118" s="207">
        <f t="shared" si="2273"/>
        <v>2269.4633299297202</v>
      </c>
      <c r="IR118" s="207">
        <f t="shared" si="2273"/>
        <v>2274.1380528097875</v>
      </c>
      <c r="IS118" s="207">
        <f t="shared" si="2273"/>
        <v>2278.8224048535944</v>
      </c>
      <c r="IT118" s="207">
        <f t="shared" si="2273"/>
        <v>2283.516405895642</v>
      </c>
      <c r="IU118" s="207">
        <f t="shared" si="2273"/>
        <v>2288.2200758112867</v>
      </c>
      <c r="IV118" s="207">
        <f t="shared" si="2273"/>
        <v>2292.9334345168249</v>
      </c>
      <c r="IW118" s="207">
        <f t="shared" si="2273"/>
        <v>2297.6565019695777</v>
      </c>
      <c r="IX118" s="207">
        <f t="shared" si="2273"/>
        <v>2302.3892981679746</v>
      </c>
      <c r="IY118" s="207">
        <f t="shared" si="2273"/>
        <v>2307.1318431516388</v>
      </c>
      <c r="IZ118" s="207">
        <f t="shared" si="2273"/>
        <v>2311.8841570014715</v>
      </c>
      <c r="JA118" s="207">
        <f t="shared" si="2273"/>
        <v>2316.6462598397379</v>
      </c>
      <c r="JB118" s="207">
        <f t="shared" si="2273"/>
        <v>2321.4181718301516</v>
      </c>
      <c r="JC118" s="207">
        <f t="shared" si="2273"/>
        <v>2326.1999131779594</v>
      </c>
      <c r="JD118" s="207">
        <f t="shared" si="2273"/>
        <v>2330.9915041300283</v>
      </c>
      <c r="JE118" s="207">
        <f t="shared" si="2273"/>
        <v>2335.7929649749308</v>
      </c>
      <c r="JF118" s="207">
        <f t="shared" si="2273"/>
        <v>2340.6043160430295</v>
      </c>
      <c r="JG118" s="207">
        <f t="shared" si="2273"/>
        <v>2345.4255777065655</v>
      </c>
      <c r="JH118" s="207">
        <f t="shared" si="2273"/>
        <v>2350.2567703797422</v>
      </c>
      <c r="JI118" s="207">
        <f t="shared" si="2273"/>
        <v>2355.0979145188139</v>
      </c>
      <c r="JJ118" s="207">
        <f t="shared" si="2273"/>
        <v>2359.949030622171</v>
      </c>
      <c r="JK118" s="207">
        <f t="shared" si="2273"/>
        <v>2364.8101392304266</v>
      </c>
      <c r="JL118" s="207">
        <f t="shared" si="2273"/>
        <v>2369.6812609265053</v>
      </c>
      <c r="JM118" s="207">
        <f t="shared" si="2273"/>
        <v>2374.5624163357284</v>
      </c>
      <c r="JN118" s="207">
        <f t="shared" si="2273"/>
        <v>2379.4536261259022</v>
      </c>
      <c r="JO118" s="207">
        <f t="shared" si="2273"/>
        <v>2384.354911007405</v>
      </c>
      <c r="JP118" s="207">
        <f t="shared" si="2273"/>
        <v>2389.2662917332759</v>
      </c>
      <c r="JQ118" s="207">
        <f t="shared" si="2273"/>
        <v>2394.187789099301</v>
      </c>
      <c r="JR118" s="207">
        <f t="shared" si="2273"/>
        <v>2399.1194239441024</v>
      </c>
      <c r="JS118" s="207">
        <f t="shared" si="2273"/>
        <v>2404.0612171492266</v>
      </c>
      <c r="JT118" s="207">
        <f t="shared" si="2273"/>
        <v>2409.0131896392331</v>
      </c>
      <c r="JU118" s="207">
        <f t="shared" si="2273"/>
        <v>2413.9753623817815</v>
      </c>
      <c r="JV118" s="207">
        <f t="shared" si="2273"/>
        <v>2418.9477563877222</v>
      </c>
      <c r="JW118" s="207">
        <f t="shared" si="2273"/>
        <v>2423.9303927111841</v>
      </c>
      <c r="JX118" s="207">
        <f t="shared" si="2273"/>
        <v>2428.9232924496646</v>
      </c>
      <c r="JY118" s="207">
        <f t="shared" si="2273"/>
        <v>2433.9264767441182</v>
      </c>
      <c r="JZ118" s="207">
        <f t="shared" si="2273"/>
        <v>2438.9399667790462</v>
      </c>
      <c r="KA118" s="207">
        <f t="shared" si="2273"/>
        <v>2443.9637837825867</v>
      </c>
      <c r="KB118" s="207">
        <f t="shared" ref="KB118:KE118" si="2274">KA118+IF(KB$112&gt;0,KA118*((1+INDEX($C$104:$H$104,1,MIN(KB$112,6)))^(1/12)-1))</f>
        <v>2448.9979490266041</v>
      </c>
      <c r="KC118" s="207">
        <f t="shared" si="2274"/>
        <v>2454.0424838267795</v>
      </c>
      <c r="KD118" s="207">
        <f t="shared" si="2274"/>
        <v>2459.0974095427009</v>
      </c>
      <c r="KE118" s="207">
        <f t="shared" si="2274"/>
        <v>2464.1627475779533</v>
      </c>
      <c r="KG118" s="199" t="str">
        <f t="shared" si="2254"/>
        <v>2 Bd/2.5 Bth</v>
      </c>
      <c r="KH118" s="201"/>
      <c r="KI118" s="221"/>
      <c r="KJ118" s="221"/>
      <c r="KK118" s="221"/>
      <c r="KL118" s="221"/>
      <c r="KM118" s="207">
        <f t="shared" si="2255"/>
        <v>2213.75</v>
      </c>
      <c r="KN118" s="207">
        <f t="shared" ref="KN118:MY118" si="2275">KM118+IF(KN$112&gt;0,KM118*((1+INDEX($C$105:$H$105,1,MIN(KN$112,6)))^(1/12)-1))</f>
        <v>2213.75</v>
      </c>
      <c r="KO118" s="207">
        <f t="shared" si="2275"/>
        <v>2213.75</v>
      </c>
      <c r="KP118" s="207">
        <f t="shared" si="2275"/>
        <v>2213.75</v>
      </c>
      <c r="KQ118" s="207">
        <f t="shared" si="2275"/>
        <v>2213.75</v>
      </c>
      <c r="KR118" s="207">
        <f t="shared" si="2275"/>
        <v>2213.75</v>
      </c>
      <c r="KS118" s="207">
        <f t="shared" si="2275"/>
        <v>2213.75</v>
      </c>
      <c r="KT118" s="207">
        <f t="shared" si="2275"/>
        <v>2213.75</v>
      </c>
      <c r="KU118" s="207">
        <f t="shared" si="2275"/>
        <v>2213.75</v>
      </c>
      <c r="KV118" s="207">
        <f t="shared" si="2275"/>
        <v>2213.75</v>
      </c>
      <c r="KW118" s="207">
        <f t="shared" si="2275"/>
        <v>2213.75</v>
      </c>
      <c r="KX118" s="207">
        <f t="shared" si="2275"/>
        <v>2213.75</v>
      </c>
      <c r="KY118" s="207">
        <f t="shared" si="2275"/>
        <v>2213.75</v>
      </c>
      <c r="KZ118" s="207">
        <f t="shared" si="2275"/>
        <v>2218.3099625423642</v>
      </c>
      <c r="LA118" s="207">
        <f t="shared" si="2275"/>
        <v>2222.8793178609626</v>
      </c>
      <c r="LB118" s="207">
        <f t="shared" si="2275"/>
        <v>2227.4580853033758</v>
      </c>
      <c r="LC118" s="207">
        <f t="shared" si="2275"/>
        <v>2232.0462842570382</v>
      </c>
      <c r="LD118" s="207">
        <f t="shared" si="2275"/>
        <v>2236.6439341493187</v>
      </c>
      <c r="LE118" s="207">
        <f t="shared" si="2275"/>
        <v>2241.2510544476031</v>
      </c>
      <c r="LF118" s="207">
        <f t="shared" si="2275"/>
        <v>2245.8676646593776</v>
      </c>
      <c r="LG118" s="207">
        <f t="shared" si="2275"/>
        <v>2250.49378433231</v>
      </c>
      <c r="LH118" s="207">
        <f t="shared" si="2275"/>
        <v>2255.1294330543333</v>
      </c>
      <c r="LI118" s="207">
        <f t="shared" si="2275"/>
        <v>2259.7746304537286</v>
      </c>
      <c r="LJ118" s="207">
        <f t="shared" si="2275"/>
        <v>2264.4293961992075</v>
      </c>
      <c r="LK118" s="207">
        <f t="shared" si="2275"/>
        <v>2269.0937499999968</v>
      </c>
      <c r="LL118" s="207">
        <f t="shared" si="2275"/>
        <v>2273.7677116059203</v>
      </c>
      <c r="LM118" s="207">
        <f t="shared" si="2275"/>
        <v>2278.4513008074837</v>
      </c>
      <c r="LN118" s="207">
        <f t="shared" si="2275"/>
        <v>2283.1445374359573</v>
      </c>
      <c r="LO118" s="207">
        <f t="shared" si="2275"/>
        <v>2287.8474413634613</v>
      </c>
      <c r="LP118" s="207">
        <f t="shared" si="2275"/>
        <v>2292.5600325030487</v>
      </c>
      <c r="LQ118" s="207">
        <f t="shared" si="2275"/>
        <v>2297.2823308087904</v>
      </c>
      <c r="LR118" s="207">
        <f t="shared" si="2275"/>
        <v>2302.0143562758594</v>
      </c>
      <c r="LS118" s="207">
        <f t="shared" si="2275"/>
        <v>2306.7561289406153</v>
      </c>
      <c r="LT118" s="207">
        <f t="shared" si="2275"/>
        <v>2311.5076688806894</v>
      </c>
      <c r="LU118" s="207">
        <f t="shared" si="2275"/>
        <v>2316.2689962150694</v>
      </c>
      <c r="LV118" s="207">
        <f t="shared" si="2275"/>
        <v>2321.0401311041855</v>
      </c>
      <c r="LW118" s="207">
        <f t="shared" si="2275"/>
        <v>2325.8210937499944</v>
      </c>
      <c r="LX118" s="207">
        <f t="shared" si="2275"/>
        <v>2330.6119043960657</v>
      </c>
      <c r="LY118" s="207">
        <f t="shared" si="2275"/>
        <v>2335.412583327668</v>
      </c>
      <c r="LZ118" s="207">
        <f t="shared" si="2275"/>
        <v>2340.2231508718537</v>
      </c>
      <c r="MA118" s="207">
        <f t="shared" si="2275"/>
        <v>2345.0436273975452</v>
      </c>
      <c r="MB118" s="207">
        <f t="shared" si="2275"/>
        <v>2349.874033315622</v>
      </c>
      <c r="MC118" s="207">
        <f t="shared" si="2275"/>
        <v>2354.7143890790071</v>
      </c>
      <c r="MD118" s="207">
        <f t="shared" si="2275"/>
        <v>2359.5647151827525</v>
      </c>
      <c r="ME118" s="207">
        <f t="shared" si="2275"/>
        <v>2364.4250321641271</v>
      </c>
      <c r="MF118" s="207">
        <f t="shared" si="2275"/>
        <v>2369.2953606027027</v>
      </c>
      <c r="MG118" s="207">
        <f t="shared" si="2275"/>
        <v>2374.1757211204422</v>
      </c>
      <c r="MH118" s="207">
        <f t="shared" si="2275"/>
        <v>2379.066134381786</v>
      </c>
      <c r="MI118" s="207">
        <f t="shared" si="2275"/>
        <v>2383.9666210937403</v>
      </c>
      <c r="MJ118" s="207">
        <f t="shared" si="2275"/>
        <v>2388.8772020059637</v>
      </c>
      <c r="MK118" s="207">
        <f t="shared" si="2275"/>
        <v>2393.7978979108561</v>
      </c>
      <c r="ML118" s="207">
        <f t="shared" si="2275"/>
        <v>2398.7287296436461</v>
      </c>
      <c r="MM118" s="207">
        <f t="shared" si="2275"/>
        <v>2403.6697180824799</v>
      </c>
      <c r="MN118" s="207">
        <f t="shared" si="2275"/>
        <v>2408.620884148509</v>
      </c>
      <c r="MO118" s="207">
        <f t="shared" si="2275"/>
        <v>2413.5822488059789</v>
      </c>
      <c r="MP118" s="207">
        <f t="shared" si="2275"/>
        <v>2418.5538330623181</v>
      </c>
      <c r="MQ118" s="207">
        <f t="shared" si="2275"/>
        <v>2423.535657968227</v>
      </c>
      <c r="MR118" s="207">
        <f t="shared" si="2275"/>
        <v>2428.527744617767</v>
      </c>
      <c r="MS118" s="207">
        <f t="shared" si="2275"/>
        <v>2433.5301141484501</v>
      </c>
      <c r="MT118" s="207">
        <f t="shared" si="2275"/>
        <v>2438.5427877413276</v>
      </c>
      <c r="MU118" s="207">
        <f t="shared" si="2275"/>
        <v>2443.5657866210809</v>
      </c>
      <c r="MV118" s="207">
        <f t="shared" si="2275"/>
        <v>2448.5991320561097</v>
      </c>
      <c r="MW118" s="207">
        <f t="shared" si="2275"/>
        <v>2453.6428453586245</v>
      </c>
      <c r="MX118" s="207">
        <f t="shared" si="2275"/>
        <v>2458.6969478847345</v>
      </c>
      <c r="MY118" s="207">
        <f t="shared" si="2275"/>
        <v>2463.761461034539</v>
      </c>
      <c r="MZ118" s="207">
        <f t="shared" ref="MZ118:PK118" si="2276">MY118+IF(MZ$112&gt;0,MY118*((1+INDEX($C$105:$H$105,1,MIN(MZ$112,6)))^(1/12)-1))</f>
        <v>2468.8364062522187</v>
      </c>
      <c r="NA118" s="207">
        <f t="shared" si="2276"/>
        <v>2473.9218050261252</v>
      </c>
      <c r="NB118" s="207">
        <f t="shared" si="2276"/>
        <v>2479.017678888873</v>
      </c>
      <c r="NC118" s="207">
        <f t="shared" si="2276"/>
        <v>2484.1240494174294</v>
      </c>
      <c r="ND118" s="207">
        <f t="shared" si="2276"/>
        <v>2489.240938233208</v>
      </c>
      <c r="NE118" s="207">
        <f t="shared" si="2276"/>
        <v>2494.3683670021583</v>
      </c>
      <c r="NF118" s="207">
        <f t="shared" si="2276"/>
        <v>2499.5063574348578</v>
      </c>
      <c r="NG118" s="207">
        <f t="shared" si="2276"/>
        <v>2504.6549312866046</v>
      </c>
      <c r="NH118" s="207">
        <f t="shared" si="2276"/>
        <v>2509.814110357509</v>
      </c>
      <c r="NI118" s="207">
        <f t="shared" si="2276"/>
        <v>2514.9839164925866</v>
      </c>
      <c r="NJ118" s="207">
        <f t="shared" si="2276"/>
        <v>2520.1643715818491</v>
      </c>
      <c r="NK118" s="207">
        <f t="shared" si="2276"/>
        <v>2525.3554975603988</v>
      </c>
      <c r="NL118" s="207">
        <f t="shared" si="2276"/>
        <v>2530.5573164085204</v>
      </c>
      <c r="NM118" s="207">
        <f t="shared" si="2276"/>
        <v>2535.7698501517743</v>
      </c>
      <c r="NN118" s="207">
        <f t="shared" si="2276"/>
        <v>2540.9931208610906</v>
      </c>
      <c r="NO118" s="207">
        <f t="shared" si="2276"/>
        <v>2546.2271506528609</v>
      </c>
      <c r="NP118" s="207">
        <f t="shared" si="2276"/>
        <v>2551.4719616890338</v>
      </c>
      <c r="NQ118" s="207">
        <f t="shared" si="2276"/>
        <v>2556.7275761772075</v>
      </c>
      <c r="NR118" s="207">
        <f t="shared" si="2276"/>
        <v>2561.9940163707247</v>
      </c>
      <c r="NS118" s="207">
        <f t="shared" si="2276"/>
        <v>2567.2713045687651</v>
      </c>
      <c r="NT118" s="207">
        <f t="shared" si="2276"/>
        <v>2572.5594631164422</v>
      </c>
      <c r="NU118" s="207">
        <f t="shared" si="2276"/>
        <v>2577.8585144048966</v>
      </c>
      <c r="NV118" s="207">
        <f t="shared" si="2276"/>
        <v>2583.1684808713908</v>
      </c>
      <c r="NW118" s="207">
        <f t="shared" si="2276"/>
        <v>2588.4893849994041</v>
      </c>
      <c r="NX118" s="207">
        <f t="shared" si="2276"/>
        <v>2593.8212493187289</v>
      </c>
      <c r="NY118" s="207">
        <f t="shared" si="2276"/>
        <v>2599.1640964055646</v>
      </c>
      <c r="NZ118" s="207">
        <f t="shared" si="2276"/>
        <v>2604.5179488826138</v>
      </c>
      <c r="OA118" s="207">
        <f t="shared" si="2276"/>
        <v>2609.8828294191785</v>
      </c>
      <c r="OB118" s="207">
        <f t="shared" si="2276"/>
        <v>2615.2587607312557</v>
      </c>
      <c r="OC118" s="207">
        <f t="shared" si="2276"/>
        <v>2620.6457655816339</v>
      </c>
      <c r="OD118" s="207">
        <f t="shared" si="2276"/>
        <v>2626.0438667799885</v>
      </c>
      <c r="OE118" s="207">
        <f t="shared" si="2276"/>
        <v>2631.4530871829802</v>
      </c>
      <c r="OF118" s="207">
        <f t="shared" si="2276"/>
        <v>2636.8734496943493</v>
      </c>
      <c r="OG118" s="207">
        <f t="shared" si="2276"/>
        <v>2642.3049772650152</v>
      </c>
      <c r="OH118" s="207">
        <f t="shared" si="2276"/>
        <v>2647.7476928931715</v>
      </c>
      <c r="OI118" s="207">
        <f t="shared" si="2276"/>
        <v>2653.2016196243853</v>
      </c>
      <c r="OJ118" s="207">
        <f t="shared" si="2276"/>
        <v>2658.6667805516931</v>
      </c>
      <c r="OK118" s="207">
        <f t="shared" si="2276"/>
        <v>2664.1431988156996</v>
      </c>
      <c r="OL118" s="207">
        <f t="shared" si="2276"/>
        <v>2669.6308976046753</v>
      </c>
      <c r="OM118" s="207">
        <f t="shared" si="2276"/>
        <v>2675.129900154654</v>
      </c>
      <c r="ON118" s="207">
        <f t="shared" si="2276"/>
        <v>2680.6402297495333</v>
      </c>
      <c r="OO118" s="207">
        <f t="shared" si="2276"/>
        <v>2686.161909721171</v>
      </c>
      <c r="OP118" s="207">
        <f t="shared" si="2276"/>
        <v>2691.6949634494849</v>
      </c>
      <c r="OQ118" s="207">
        <f t="shared" si="2276"/>
        <v>2697.2394143625511</v>
      </c>
      <c r="OR118" s="207">
        <f t="shared" si="2276"/>
        <v>2702.7952859367047</v>
      </c>
      <c r="OS118" s="207">
        <f t="shared" si="2276"/>
        <v>2708.3626016966373</v>
      </c>
      <c r="OT118" s="207">
        <f t="shared" si="2276"/>
        <v>2713.9413852154976</v>
      </c>
      <c r="OU118" s="207">
        <f t="shared" si="2276"/>
        <v>2719.5316601149916</v>
      </c>
      <c r="OV118" s="207">
        <f t="shared" si="2276"/>
        <v>2725.1334500654821</v>
      </c>
      <c r="OW118" s="207">
        <f t="shared" si="2276"/>
        <v>2730.7467787860887</v>
      </c>
      <c r="OX118" s="207">
        <f t="shared" si="2276"/>
        <v>2736.3716700447885</v>
      </c>
      <c r="OY118" s="207">
        <f t="shared" si="2276"/>
        <v>2742.0081476585169</v>
      </c>
      <c r="OZ118" s="207">
        <f t="shared" si="2276"/>
        <v>2747.6562354932685</v>
      </c>
      <c r="PA118" s="207">
        <f t="shared" si="2276"/>
        <v>2753.3159574641973</v>
      </c>
      <c r="PB118" s="207">
        <f t="shared" si="2276"/>
        <v>2758.9873375357188</v>
      </c>
      <c r="PC118" s="207">
        <f t="shared" si="2276"/>
        <v>2764.6703997216118</v>
      </c>
      <c r="PD118" s="207">
        <f t="shared" si="2276"/>
        <v>2770.365168085119</v>
      </c>
      <c r="PE118" s="207">
        <f t="shared" si="2276"/>
        <v>2776.0716667390498</v>
      </c>
      <c r="PF118" s="207">
        <f t="shared" si="2276"/>
        <v>2781.7899198458817</v>
      </c>
      <c r="PG118" s="207">
        <f t="shared" si="2276"/>
        <v>2787.5199516178632</v>
      </c>
      <c r="PH118" s="207">
        <f t="shared" si="2276"/>
        <v>2793.2617863171158</v>
      </c>
      <c r="PI118" s="207">
        <f t="shared" si="2276"/>
        <v>2799.0154482557377</v>
      </c>
      <c r="PJ118" s="207">
        <f t="shared" si="2276"/>
        <v>2804.7809617959051</v>
      </c>
      <c r="PK118" s="207">
        <f t="shared" si="2276"/>
        <v>2810.5583513499769</v>
      </c>
      <c r="PL118" s="207">
        <f t="shared" ref="PL118:PO118" si="2277">PK118+IF(PL$112&gt;0,PK118*((1+INDEX($C$105:$H$105,1,MIN(PL$112,6)))^(1/12)-1))</f>
        <v>2816.347641380597</v>
      </c>
      <c r="PM118" s="207">
        <f t="shared" si="2277"/>
        <v>2822.1488564007986</v>
      </c>
      <c r="PN118" s="207">
        <f t="shared" si="2277"/>
        <v>2827.9620209741083</v>
      </c>
      <c r="PO118" s="207">
        <f t="shared" si="2277"/>
        <v>2833.7871597146486</v>
      </c>
      <c r="PQ118" s="221"/>
      <c r="PR118" s="525" t="str">
        <f t="shared" si="2259"/>
        <v>2 Bd/2.5 Bth</v>
      </c>
      <c r="PS118" s="525">
        <f>COUNTIF($T$110:T$110,"Rolling")/$K$106*(1-$E118)+$E118</f>
        <v>4.1666666666666664E-2</v>
      </c>
      <c r="PT118" s="525">
        <f>COUNTIF($T$110:U$110,"Rolling")/$K$106*(1-$E118)+$E118</f>
        <v>8.3333333333333329E-2</v>
      </c>
      <c r="PU118" s="525">
        <f>COUNTIF($T$110:V$110,"Rolling")/$K$106*(1-$E118)+$E118</f>
        <v>0.125</v>
      </c>
      <c r="PV118" s="525">
        <f>COUNTIF($T$110:W$110,"Rolling")/$K$106*(1-$E118)+$E118</f>
        <v>0.16666666666666666</v>
      </c>
      <c r="PW118" s="525">
        <f>COUNTIF($T$110:X$110,"Rolling")/$K$106*(1-$E118)+$E118</f>
        <v>0.20833333333333334</v>
      </c>
      <c r="PX118" s="525">
        <f>COUNTIF($T$110:Y$110,"Rolling")/$K$106*(1-$E118)+$E118</f>
        <v>0.25</v>
      </c>
      <c r="PY118" s="525">
        <f>COUNTIF($T$110:Z$110,"Rolling")/$K$106*(1-$E118)+$E118</f>
        <v>0.29166666666666669</v>
      </c>
      <c r="PZ118" s="525">
        <f>COUNTIF($T$110:AA$110,"Rolling")/$K$106*(1-$E118)+$E118</f>
        <v>0.33333333333333331</v>
      </c>
      <c r="QA118" s="525">
        <f>COUNTIF($T$110:AB$110,"Rolling")/$K$106*(1-$E118)+$E118</f>
        <v>0.375</v>
      </c>
      <c r="QB118" s="525">
        <f>COUNTIF($T$110:AC$110,"Rolling")/$K$106*(1-$E118)+$E118</f>
        <v>0.41666666666666669</v>
      </c>
      <c r="QC118" s="525">
        <f>COUNTIF($T$110:AD$110,"Rolling")/$K$106*(1-$E118)+$E118</f>
        <v>0.45833333333333331</v>
      </c>
      <c r="QD118" s="525">
        <f>COUNTIF($T$110:AE$110,"Rolling")/$K$106*(1-$E118)+$E118</f>
        <v>0.5</v>
      </c>
      <c r="QE118" s="525">
        <f>COUNTIF($T$110:AF$110,"Rolling")/$K$106*(1-$E118)+$E118</f>
        <v>0.54166666666666663</v>
      </c>
      <c r="QF118" s="525">
        <f>COUNTIF($T$110:AG$110,"Rolling")/$K$106*(1-$E118)+$E118</f>
        <v>0.58333333333333337</v>
      </c>
      <c r="QG118" s="525">
        <f>COUNTIF($T$110:AH$110,"Rolling")/$K$106*(1-$E118)+$E118</f>
        <v>0.625</v>
      </c>
      <c r="QH118" s="525">
        <f>COUNTIF($T$110:AI$110,"Rolling")/$K$106*(1-$E118)+$E118</f>
        <v>0.66666666666666663</v>
      </c>
      <c r="QI118" s="525">
        <f>COUNTIF($T$110:AJ$110,"Rolling")/$K$106*(1-$E118)+$E118</f>
        <v>0.70833333333333337</v>
      </c>
      <c r="QJ118" s="525">
        <f>COUNTIF($T$110:AK$110,"Rolling")/$K$106*(1-$E118)+$E118</f>
        <v>0.75</v>
      </c>
      <c r="QK118" s="525">
        <f>COUNTIF($T$110:AL$110,"Rolling")/$K$106*(1-$E118)+$E118</f>
        <v>0.79166666666666663</v>
      </c>
      <c r="QL118" s="525">
        <f>COUNTIF($T$110:AM$110,"Rolling")/$K$106*(1-$E118)+$E118</f>
        <v>0.83333333333333337</v>
      </c>
      <c r="QM118" s="525">
        <f>COUNTIF($T$110:AN$110,"Rolling")/$K$106*(1-$E118)+$E118</f>
        <v>0.875</v>
      </c>
      <c r="QN118" s="525">
        <f>COUNTIF($T$110:AO$110,"Rolling")/$K$106*(1-$E118)+$E118</f>
        <v>0.91666666666666663</v>
      </c>
      <c r="QO118" s="525">
        <f>COUNTIF($T$110:AP$110,"Rolling")/$K$106*(1-$E118)+$E118</f>
        <v>0.95833333333333337</v>
      </c>
      <c r="QP118" s="525">
        <f>COUNTIF($T$110:AQ$110,"Rolling")/$K$106*(1-$E118)+$E118</f>
        <v>1</v>
      </c>
      <c r="QQ118" s="525">
        <f>COUNTIF($T$110:AR$110,"Rolling")/$K$106*(1-$E118)+$E118</f>
        <v>1</v>
      </c>
      <c r="QR118" s="525">
        <f>COUNTIF($T$110:AS$110,"Rolling")/$K$106*(1-$E118)+$E118</f>
        <v>1</v>
      </c>
      <c r="QS118" s="525">
        <f>COUNTIF($T$110:AT$110,"Rolling")/$K$106*(1-$E118)+$E118</f>
        <v>1</v>
      </c>
      <c r="QT118" s="525">
        <f>COUNTIF($T$110:AU$110,"Rolling")/$K$106*(1-$E118)+$E118</f>
        <v>1</v>
      </c>
      <c r="QU118" s="525">
        <f>COUNTIF($T$110:AV$110,"Rolling")/$K$106*(1-$E118)+$E118</f>
        <v>1</v>
      </c>
      <c r="QV118" s="525">
        <f>COUNTIF($T$110:AW$110,"Rolling")/$K$106*(1-$E118)+$E118</f>
        <v>1</v>
      </c>
      <c r="QW118" s="525">
        <f>COUNTIF($T$110:AX$110,"Rolling")/$K$106*(1-$E118)+$E118</f>
        <v>1</v>
      </c>
      <c r="QX118" s="525">
        <f>COUNTIF($T$110:AY$110,"Rolling")/$K$106*(1-$E118)+$E118</f>
        <v>1</v>
      </c>
      <c r="QY118" s="525">
        <f>COUNTIF($T$110:AZ$110,"Rolling")/$K$106*(1-$E118)+$E118</f>
        <v>1</v>
      </c>
      <c r="QZ118" s="525">
        <f>COUNTIF($T$110:BA$110,"Rolling")/$K$106*(1-$E118)+$E118</f>
        <v>1</v>
      </c>
      <c r="RA118" s="525">
        <f>COUNTIF($T$110:BB$110,"Rolling")/$K$106*(1-$E118)+$E118</f>
        <v>1</v>
      </c>
      <c r="RB118" s="525">
        <f>COUNTIF($T$110:BC$110,"Rolling")/$K$106*(1-$E118)+$E118</f>
        <v>1</v>
      </c>
      <c r="RC118" s="525">
        <f>COUNTIF($T$110:BD$110,"Rolling")/$K$106*(1-$E118)+$E118</f>
        <v>1</v>
      </c>
      <c r="RD118" s="525">
        <f>COUNTIF($T$110:BE$110,"Rolling")/$K$106*(1-$E118)+$E118</f>
        <v>1</v>
      </c>
      <c r="RE118" s="525">
        <f>COUNTIF($T$110:BF$110,"Rolling")/$K$106*(1-$E118)+$E118</f>
        <v>1</v>
      </c>
      <c r="RF118" s="525">
        <f>COUNTIF($T$110:BG$110,"Rolling")/$K$106*(1-$E118)+$E118</f>
        <v>1</v>
      </c>
      <c r="RG118" s="525">
        <f>COUNTIF($T$110:BH$110,"Rolling")/$K$106*(1-$E118)+$E118</f>
        <v>1</v>
      </c>
      <c r="RH118" s="525">
        <f>COUNTIF($T$110:BI$110,"Rolling")/$K$106*(1-$E118)+$E118</f>
        <v>1</v>
      </c>
      <c r="RI118" s="525">
        <f>COUNTIF($T$110:BJ$110,"Rolling")/$K$106*(1-$E118)+$E118</f>
        <v>1</v>
      </c>
      <c r="RJ118" s="525">
        <f>COUNTIF($T$110:BK$110,"Rolling")/$K$106*(1-$E118)+$E118</f>
        <v>1</v>
      </c>
      <c r="RK118" s="525">
        <f>COUNTIF($T$110:BL$110,"Rolling")/$K$106*(1-$E118)+$E118</f>
        <v>1</v>
      </c>
      <c r="RL118" s="525">
        <f>COUNTIF($T$110:BM$110,"Rolling")/$K$106*(1-$E118)+$E118</f>
        <v>1</v>
      </c>
      <c r="RM118" s="525">
        <f>COUNTIF($T$110:BN$110,"Rolling")/$K$106*(1-$E118)+$E118</f>
        <v>1</v>
      </c>
      <c r="RN118" s="525">
        <f>COUNTIF($T$110:BO$110,"Rolling")/$K$106*(1-$E118)+$E118</f>
        <v>1</v>
      </c>
      <c r="RO118" s="525">
        <f>COUNTIF($T$110:BP$110,"Rolling")/$K$106*(1-$E118)+$E118</f>
        <v>1</v>
      </c>
      <c r="RP118" s="525">
        <f>COUNTIF($T$110:BQ$110,"Rolling")/$K$106*(1-$E118)+$E118</f>
        <v>1</v>
      </c>
      <c r="RQ118" s="525">
        <f>COUNTIF($T$110:BR$110,"Rolling")/$K$106*(1-$E118)+$E118</f>
        <v>1</v>
      </c>
      <c r="RR118" s="525">
        <f>COUNTIF($T$110:BS$110,"Rolling")/$K$106*(1-$E118)+$E118</f>
        <v>1</v>
      </c>
      <c r="RS118" s="525">
        <f>COUNTIF($T$110:BT$110,"Rolling")/$K$106*(1-$E118)+$E118</f>
        <v>1</v>
      </c>
      <c r="RT118" s="525">
        <f>COUNTIF($T$110:BU$110,"Rolling")/$K$106*(1-$E118)+$E118</f>
        <v>1</v>
      </c>
      <c r="RU118" s="525">
        <f>COUNTIF($T$110:BV$110,"Rolling")/$K$106*(1-$E118)+$E118</f>
        <v>1</v>
      </c>
      <c r="RV118" s="525">
        <f>COUNTIF($T$110:BW$110,"Rolling")/$K$106*(1-$E118)+$E118</f>
        <v>1</v>
      </c>
      <c r="RW118" s="525">
        <f>COUNTIF($T$110:BX$110,"Rolling")/$K$106*(1-$E118)+$E118</f>
        <v>1</v>
      </c>
      <c r="RX118" s="525">
        <f>COUNTIF($T$110:BY$110,"Rolling")/$K$106*(1-$E118)+$E118</f>
        <v>1</v>
      </c>
      <c r="RY118" s="525">
        <f>COUNTIF($T$110:BZ$110,"Rolling")/$K$106*(1-$E118)+$E118</f>
        <v>1</v>
      </c>
      <c r="RZ118" s="525">
        <f>COUNTIF($T$110:CA$110,"Rolling")/$K$106*(1-$E118)+$E118</f>
        <v>1</v>
      </c>
      <c r="SA118" s="525">
        <f>COUNTIF($T$110:CB$110,"Rolling")/$K$106*(1-$E118)+$E118</f>
        <v>1</v>
      </c>
      <c r="SB118" s="525">
        <f>COUNTIF($T$110:CC$110,"Rolling")/$K$106*(1-$E118)+$E118</f>
        <v>1</v>
      </c>
      <c r="SC118" s="525">
        <f>COUNTIF($T$110:CD$110,"Rolling")/$K$106*(1-$E118)+$E118</f>
        <v>1</v>
      </c>
      <c r="SD118" s="525">
        <f>COUNTIF($T$110:CE$110,"Rolling")/$K$106*(1-$E118)+$E118</f>
        <v>1</v>
      </c>
      <c r="SE118" s="525">
        <f>COUNTIF($T$110:CF$110,"Rolling")/$K$106*(1-$E118)+$E118</f>
        <v>1</v>
      </c>
      <c r="SF118" s="525">
        <f>COUNTIF($T$110:CG$110,"Rolling")/$K$106*(1-$E118)+$E118</f>
        <v>1</v>
      </c>
      <c r="SG118" s="525">
        <f>COUNTIF($T$110:CH$110,"Rolling")/$K$106*(1-$E118)+$E118</f>
        <v>1</v>
      </c>
      <c r="SH118" s="525">
        <f>COUNTIF($T$110:CI$110,"Rolling")/$K$106*(1-$E118)+$E118</f>
        <v>1</v>
      </c>
      <c r="SI118" s="525">
        <f>COUNTIF($T$110:CJ$110,"Rolling")/$K$106*(1-$E118)+$E118</f>
        <v>1</v>
      </c>
      <c r="SJ118" s="525">
        <f>COUNTIF($T$110:CK$110,"Rolling")/$K$106*(1-$E118)+$E118</f>
        <v>1</v>
      </c>
      <c r="SK118" s="525">
        <f>COUNTIF($T$110:CL$110,"Rolling")/$K$106*(1-$E118)+$E118</f>
        <v>1</v>
      </c>
      <c r="SL118" s="525">
        <f>COUNTIF($T$110:CM$110,"Rolling")/$K$106*(1-$E118)+$E118</f>
        <v>1</v>
      </c>
      <c r="SM118" s="525">
        <f>COUNTIF($T$110:CN$110,"Rolling")/$K$106*(1-$E118)+$E118</f>
        <v>1</v>
      </c>
      <c r="SN118" s="525">
        <f>COUNTIF($T$110:CO$110,"Rolling")/$K$106*(1-$E118)+$E118</f>
        <v>1</v>
      </c>
      <c r="SO118" s="525">
        <f>COUNTIF($T$110:CP$110,"Rolling")/$K$106*(1-$E118)+$E118</f>
        <v>1</v>
      </c>
      <c r="SP118" s="525">
        <f>COUNTIF($T$110:CQ$110,"Rolling")/$K$106*(1-$E118)+$E118</f>
        <v>1</v>
      </c>
      <c r="SQ118" s="525">
        <f>COUNTIF($T$110:CR$110,"Rolling")/$K$106*(1-$E118)+$E118</f>
        <v>1</v>
      </c>
      <c r="SR118" s="525">
        <f>COUNTIF($T$110:CS$110,"Rolling")/$K$106*(1-$E118)+$E118</f>
        <v>1</v>
      </c>
      <c r="SS118" s="525">
        <f>COUNTIF($T$110:CT$110,"Rolling")/$K$106*(1-$E118)+$E118</f>
        <v>1</v>
      </c>
      <c r="ST118" s="525">
        <f>COUNTIF($T$110:CU$110,"Rolling")/$K$106*(1-$E118)+$E118</f>
        <v>1</v>
      </c>
      <c r="SU118" s="525">
        <f>COUNTIF($T$110:CV$110,"Rolling")/$K$106*(1-$E118)+$E118</f>
        <v>1</v>
      </c>
      <c r="SV118" s="525">
        <f>COUNTIF($T$110:CW$110,"Rolling")/$K$106*(1-$E118)+$E118</f>
        <v>1</v>
      </c>
      <c r="SW118" s="525">
        <f>COUNTIF($T$110:CX$110,"Rolling")/$K$106*(1-$E118)+$E118</f>
        <v>1</v>
      </c>
      <c r="SX118" s="525">
        <f>COUNTIF($T$110:CY$110,"Rolling")/$K$106*(1-$E118)+$E118</f>
        <v>1</v>
      </c>
      <c r="SY118" s="525">
        <f>COUNTIF($T$110:CZ$110,"Rolling")/$K$106*(1-$E118)+$E118</f>
        <v>1</v>
      </c>
      <c r="SZ118" s="525">
        <f>COUNTIF($T$110:DA$110,"Rolling")/$K$106*(1-$E118)+$E118</f>
        <v>1</v>
      </c>
      <c r="TA118" s="525">
        <f>COUNTIF($T$110:DB$110,"Rolling")/$K$106*(1-$E118)+$E118</f>
        <v>1</v>
      </c>
      <c r="TB118" s="525">
        <f>COUNTIF($T$110:DC$110,"Rolling")/$K$106*(1-$E118)+$E118</f>
        <v>1</v>
      </c>
      <c r="TC118" s="525">
        <f>COUNTIF($T$110:DD$110,"Rolling")/$K$106*(1-$E118)+$E118</f>
        <v>1</v>
      </c>
      <c r="TD118" s="525">
        <f>COUNTIF($T$110:DE$110,"Rolling")/$K$106*(1-$E118)+$E118</f>
        <v>1</v>
      </c>
      <c r="TE118" s="525">
        <f>COUNTIF($T$110:DF$110,"Rolling")/$K$106*(1-$E118)+$E118</f>
        <v>1</v>
      </c>
      <c r="TF118" s="525">
        <f>COUNTIF($T$110:DG$110,"Rolling")/$K$106*(1-$E118)+$E118</f>
        <v>1</v>
      </c>
      <c r="TG118" s="525">
        <f>COUNTIF($T$110:DH$110,"Rolling")/$K$106*(1-$E118)+$E118</f>
        <v>1</v>
      </c>
      <c r="TH118" s="525">
        <f>COUNTIF($T$110:DI$110,"Rolling")/$K$106*(1-$E118)+$E118</f>
        <v>1</v>
      </c>
      <c r="TI118" s="525">
        <f>COUNTIF($T$110:DJ$110,"Rolling")/$K$106*(1-$E118)+$E118</f>
        <v>1</v>
      </c>
      <c r="TJ118" s="525">
        <f>COUNTIF($T$110:DK$110,"Rolling")/$K$106*(1-$E118)+$E118</f>
        <v>1</v>
      </c>
      <c r="TK118" s="525">
        <f>COUNTIF($T$110:DL$110,"Rolling")/$K$106*(1-$E118)+$E118</f>
        <v>1</v>
      </c>
      <c r="TL118" s="525">
        <f>COUNTIF($T$110:DM$110,"Rolling")/$K$106*(1-$E118)+$E118</f>
        <v>1</v>
      </c>
      <c r="TM118" s="525">
        <f>COUNTIF($T$110:DN$110,"Rolling")/$K$106*(1-$E118)+$E118</f>
        <v>1</v>
      </c>
      <c r="TN118" s="525">
        <f>COUNTIF($T$110:DO$110,"Rolling")/$K$106*(1-$E118)+$E118</f>
        <v>1</v>
      </c>
      <c r="TO118" s="525">
        <f>COUNTIF($T$110:DP$110,"Rolling")/$K$106*(1-$E118)+$E118</f>
        <v>1</v>
      </c>
      <c r="TP118" s="525">
        <f>COUNTIF($T$110:DQ$110,"Rolling")/$K$106*(1-$E118)+$E118</f>
        <v>1</v>
      </c>
      <c r="TQ118" s="525">
        <f>COUNTIF($T$110:DR$110,"Rolling")/$K$106*(1-$E118)+$E118</f>
        <v>1</v>
      </c>
      <c r="TR118" s="525">
        <f>COUNTIF($T$110:DS$110,"Rolling")/$K$106*(1-$E118)+$E118</f>
        <v>1</v>
      </c>
      <c r="TS118" s="525">
        <f>COUNTIF($T$110:DT$110,"Rolling")/$K$106*(1-$E118)+$E118</f>
        <v>1</v>
      </c>
      <c r="TT118" s="525">
        <f>COUNTIF($T$110:DU$110,"Rolling")/$K$106*(1-$E118)+$E118</f>
        <v>1</v>
      </c>
      <c r="TU118" s="525">
        <f>COUNTIF($T$110:DV$110,"Rolling")/$K$106*(1-$E118)+$E118</f>
        <v>1</v>
      </c>
      <c r="TV118" s="525">
        <f>COUNTIF($T$110:DW$110,"Rolling")/$K$106*(1-$E118)+$E118</f>
        <v>1</v>
      </c>
      <c r="TW118" s="525">
        <f>COUNTIF($T$110:DX$110,"Rolling")/$K$106*(1-$E118)+$E118</f>
        <v>1</v>
      </c>
      <c r="TX118" s="525">
        <f>COUNTIF($T$110:DY$110,"Rolling")/$K$106*(1-$E118)+$E118</f>
        <v>1</v>
      </c>
      <c r="TY118" s="525">
        <f>COUNTIF($T$110:DZ$110,"Rolling")/$K$106*(1-$E118)+$E118</f>
        <v>1</v>
      </c>
      <c r="TZ118" s="525">
        <f>COUNTIF($T$110:EA$110,"Rolling")/$K$106*(1-$E118)+$E118</f>
        <v>1</v>
      </c>
      <c r="UA118" s="525">
        <f>COUNTIF($T$110:EB$110,"Rolling")/$K$106*(1-$E118)+$E118</f>
        <v>1</v>
      </c>
      <c r="UB118" s="525">
        <f>COUNTIF($T$110:EC$110,"Rolling")/$K$106*(1-$E118)+$E118</f>
        <v>1</v>
      </c>
      <c r="UC118" s="525">
        <f>COUNTIF($T$110:ED$110,"Rolling")/$K$106*(1-$E118)+$E118</f>
        <v>1</v>
      </c>
      <c r="UD118" s="525">
        <f>COUNTIF($T$110:EE$110,"Rolling")/$K$106*(1-$E118)+$E118</f>
        <v>1</v>
      </c>
      <c r="UE118" s="525">
        <f>COUNTIF($T$110:EF$110,"Rolling")/$K$106*(1-$E118)+$E118</f>
        <v>1</v>
      </c>
      <c r="UF118" s="525">
        <f>COUNTIF($T$110:EG$110,"Rolling")/$K$106*(1-$E118)+$E118</f>
        <v>1</v>
      </c>
      <c r="UG118" s="525">
        <f>COUNTIF($T$110:EH$110,"Rolling")/$K$106*(1-$E118)+$E118</f>
        <v>1</v>
      </c>
      <c r="UH118" s="525">
        <f>COUNTIF($T$110:EI$110,"Rolling")/$K$106*(1-$E118)+$E118</f>
        <v>1</v>
      </c>
      <c r="UI118" s="525">
        <f>COUNTIF($T$110:EJ$110,"Rolling")/$K$106*(1-$E118)+$E118</f>
        <v>1</v>
      </c>
      <c r="UJ118" s="525">
        <f>COUNTIF($T$110:EK$110,"Rolling")/$K$106*(1-$E118)+$E118</f>
        <v>1</v>
      </c>
      <c r="UK118" s="525">
        <f>COUNTIF($T$110:EL$110,"Rolling")/$K$106*(1-$E118)+$E118</f>
        <v>1</v>
      </c>
      <c r="UL118" s="525">
        <f>COUNTIF($T$110:EM$110,"Rolling")/$K$106*(1-$E118)+$E118</f>
        <v>1</v>
      </c>
      <c r="UM118" s="525">
        <f>COUNTIF($T$110:EN$110,"Rolling")/$K$106*(1-$E118)+$E118</f>
        <v>1</v>
      </c>
      <c r="UN118" s="525">
        <f>COUNTIF($T$110:EO$110,"Rolling")/$K$106*(1-$E118)+$E118</f>
        <v>1</v>
      </c>
      <c r="UO118" s="525">
        <f>COUNTIF($T$110:EP$110,"Rolling")/$K$106*(1-$E118)+$E118</f>
        <v>1</v>
      </c>
      <c r="UP118" s="525">
        <f>COUNTIF($T$110:EQ$110,"Rolling")/$K$106*(1-$E118)+$E118</f>
        <v>1</v>
      </c>
      <c r="UQ118" s="525">
        <f>COUNTIF($T$110:ER$110,"Rolling")/$K$106*(1-$E118)+$E118</f>
        <v>1</v>
      </c>
      <c r="UR118" s="525">
        <f>COUNTIF($T$110:ES$110,"Rolling")/$K$106*(1-$E118)+$E118</f>
        <v>1</v>
      </c>
      <c r="US118" s="525">
        <f>COUNTIF($T$110:ET$110,"Rolling")/$K$106*(1-$E118)+$E118</f>
        <v>1</v>
      </c>
      <c r="UT118" s="525">
        <f>COUNTIF($T$110:EU$110,"Rolling")/$K$106*(1-$E118)+$E118</f>
        <v>1</v>
      </c>
      <c r="UU118" s="207"/>
    </row>
    <row r="119" spans="2:567" ht="15" x14ac:dyDescent="0.35">
      <c r="B119" s="31" t="s">
        <v>128</v>
      </c>
      <c r="C119" s="148">
        <v>0</v>
      </c>
      <c r="D119" s="148">
        <v>0</v>
      </c>
      <c r="E119" s="69">
        <v>0</v>
      </c>
      <c r="F119" s="116">
        <f t="shared" si="2106"/>
        <v>0</v>
      </c>
      <c r="G119" s="117">
        <v>0</v>
      </c>
      <c r="H119" s="116">
        <f t="shared" si="2245"/>
        <v>0</v>
      </c>
      <c r="I119" s="117">
        <v>0</v>
      </c>
      <c r="J119" s="150">
        <f t="shared" si="2247"/>
        <v>0</v>
      </c>
      <c r="K119" s="150">
        <f t="shared" si="2248"/>
        <v>0</v>
      </c>
      <c r="R119" s="90"/>
      <c r="T119" s="96">
        <f t="shared" si="2249"/>
        <v>0</v>
      </c>
      <c r="U119" s="96">
        <f t="shared" si="2107"/>
        <v>0</v>
      </c>
      <c r="V119" s="96">
        <f t="shared" si="2108"/>
        <v>0</v>
      </c>
      <c r="W119" s="96">
        <f t="shared" si="2109"/>
        <v>0</v>
      </c>
      <c r="X119" s="96">
        <f t="shared" si="2110"/>
        <v>0</v>
      </c>
      <c r="Y119" s="96">
        <f t="shared" si="2111"/>
        <v>0</v>
      </c>
      <c r="Z119" s="96">
        <f t="shared" si="2112"/>
        <v>0</v>
      </c>
      <c r="AA119" s="96">
        <f t="shared" si="2113"/>
        <v>0</v>
      </c>
      <c r="AB119" s="96">
        <f t="shared" si="2114"/>
        <v>0</v>
      </c>
      <c r="AC119" s="96">
        <f t="shared" si="2115"/>
        <v>0</v>
      </c>
      <c r="AD119" s="96">
        <f t="shared" si="2116"/>
        <v>0</v>
      </c>
      <c r="AE119" s="96">
        <f t="shared" si="2117"/>
        <v>0</v>
      </c>
      <c r="AF119" s="96">
        <f t="shared" si="2118"/>
        <v>0</v>
      </c>
      <c r="AG119" s="96">
        <f t="shared" si="2119"/>
        <v>0</v>
      </c>
      <c r="AH119" s="96">
        <f t="shared" si="2120"/>
        <v>0</v>
      </c>
      <c r="AI119" s="96">
        <f t="shared" si="2121"/>
        <v>0</v>
      </c>
      <c r="AJ119" s="96">
        <f t="shared" si="2122"/>
        <v>0</v>
      </c>
      <c r="AK119" s="96">
        <f t="shared" si="2123"/>
        <v>0</v>
      </c>
      <c r="AL119" s="96">
        <f t="shared" si="2124"/>
        <v>0</v>
      </c>
      <c r="AM119" s="96">
        <f t="shared" si="2125"/>
        <v>0</v>
      </c>
      <c r="AN119" s="96">
        <f t="shared" si="2126"/>
        <v>0</v>
      </c>
      <c r="AO119" s="96">
        <f t="shared" si="2127"/>
        <v>0</v>
      </c>
      <c r="AP119" s="96">
        <f t="shared" si="2128"/>
        <v>0</v>
      </c>
      <c r="AQ119" s="96">
        <f t="shared" si="2129"/>
        <v>0</v>
      </c>
      <c r="AR119" s="96">
        <f t="shared" si="2130"/>
        <v>0</v>
      </c>
      <c r="AS119" s="96">
        <f t="shared" si="2131"/>
        <v>0</v>
      </c>
      <c r="AT119" s="96">
        <f t="shared" si="2132"/>
        <v>0</v>
      </c>
      <c r="AU119" s="96">
        <f t="shared" si="2133"/>
        <v>0</v>
      </c>
      <c r="AV119" s="96">
        <f t="shared" si="2134"/>
        <v>0</v>
      </c>
      <c r="AW119" s="96">
        <f t="shared" si="2135"/>
        <v>0</v>
      </c>
      <c r="AX119" s="96">
        <f t="shared" si="2136"/>
        <v>0</v>
      </c>
      <c r="AY119" s="96">
        <f t="shared" si="2137"/>
        <v>0</v>
      </c>
      <c r="AZ119" s="96">
        <f t="shared" si="2138"/>
        <v>0</v>
      </c>
      <c r="BA119" s="96">
        <f t="shared" si="2139"/>
        <v>0</v>
      </c>
      <c r="BB119" s="96">
        <f t="shared" si="2140"/>
        <v>0</v>
      </c>
      <c r="BC119" s="96">
        <f t="shared" si="2141"/>
        <v>0</v>
      </c>
      <c r="BD119" s="96">
        <f t="shared" si="2142"/>
        <v>0</v>
      </c>
      <c r="BE119" s="96">
        <f t="shared" si="2143"/>
        <v>0</v>
      </c>
      <c r="BF119" s="96">
        <f t="shared" si="2144"/>
        <v>0</v>
      </c>
      <c r="BG119" s="96">
        <f t="shared" si="2145"/>
        <v>0</v>
      </c>
      <c r="BH119" s="96">
        <f t="shared" si="2146"/>
        <v>0</v>
      </c>
      <c r="BI119" s="96">
        <f t="shared" si="2147"/>
        <v>0</v>
      </c>
      <c r="BJ119" s="96">
        <f t="shared" si="2148"/>
        <v>0</v>
      </c>
      <c r="BK119" s="96">
        <f t="shared" si="2149"/>
        <v>0</v>
      </c>
      <c r="BL119" s="96">
        <f t="shared" si="2150"/>
        <v>0</v>
      </c>
      <c r="BM119" s="96">
        <f t="shared" si="2151"/>
        <v>0</v>
      </c>
      <c r="BN119" s="96">
        <f t="shared" si="2152"/>
        <v>0</v>
      </c>
      <c r="BO119" s="96">
        <f t="shared" si="2153"/>
        <v>0</v>
      </c>
      <c r="BP119" s="96">
        <f t="shared" si="2154"/>
        <v>0</v>
      </c>
      <c r="BQ119" s="96">
        <f t="shared" si="2155"/>
        <v>0</v>
      </c>
      <c r="BR119" s="96">
        <f t="shared" si="2156"/>
        <v>0</v>
      </c>
      <c r="BS119" s="96">
        <f t="shared" si="2157"/>
        <v>0</v>
      </c>
      <c r="BT119" s="96">
        <f t="shared" si="2158"/>
        <v>0</v>
      </c>
      <c r="BU119" s="96">
        <f t="shared" si="2159"/>
        <v>0</v>
      </c>
      <c r="BV119" s="96">
        <f t="shared" si="2160"/>
        <v>0</v>
      </c>
      <c r="BW119" s="96">
        <f t="shared" si="2161"/>
        <v>0</v>
      </c>
      <c r="BX119" s="96">
        <f t="shared" si="2162"/>
        <v>0</v>
      </c>
      <c r="BY119" s="96">
        <f t="shared" si="2163"/>
        <v>0</v>
      </c>
      <c r="BZ119" s="96">
        <f t="shared" si="2164"/>
        <v>0</v>
      </c>
      <c r="CA119" s="96">
        <f t="shared" si="2165"/>
        <v>0</v>
      </c>
      <c r="CB119" s="96">
        <f t="shared" si="2166"/>
        <v>0</v>
      </c>
      <c r="CC119" s="96">
        <f t="shared" si="2167"/>
        <v>0</v>
      </c>
      <c r="CD119" s="96">
        <f t="shared" si="2168"/>
        <v>0</v>
      </c>
      <c r="CE119" s="96">
        <f t="shared" si="2169"/>
        <v>0</v>
      </c>
      <c r="CF119" s="96">
        <f t="shared" si="2170"/>
        <v>0</v>
      </c>
      <c r="CG119" s="96">
        <f t="shared" si="2171"/>
        <v>0</v>
      </c>
      <c r="CH119" s="96">
        <f t="shared" si="2172"/>
        <v>0</v>
      </c>
      <c r="CI119" s="96">
        <f t="shared" si="2173"/>
        <v>0</v>
      </c>
      <c r="CJ119" s="96">
        <f t="shared" si="2174"/>
        <v>0</v>
      </c>
      <c r="CK119" s="96">
        <f t="shared" si="2175"/>
        <v>0</v>
      </c>
      <c r="CL119" s="96">
        <f t="shared" si="2176"/>
        <v>0</v>
      </c>
      <c r="CM119" s="96">
        <f t="shared" si="2177"/>
        <v>0</v>
      </c>
      <c r="CN119" s="96">
        <f t="shared" si="2178"/>
        <v>0</v>
      </c>
      <c r="CO119" s="96">
        <f t="shared" si="2179"/>
        <v>0</v>
      </c>
      <c r="CP119" s="96">
        <f t="shared" si="2180"/>
        <v>0</v>
      </c>
      <c r="CQ119" s="96">
        <f t="shared" si="2181"/>
        <v>0</v>
      </c>
      <c r="CR119" s="96">
        <f t="shared" si="2182"/>
        <v>0</v>
      </c>
      <c r="CS119" s="96">
        <f t="shared" si="2183"/>
        <v>0</v>
      </c>
      <c r="CT119" s="96">
        <f t="shared" si="2184"/>
        <v>0</v>
      </c>
      <c r="CU119" s="96">
        <f t="shared" si="2185"/>
        <v>0</v>
      </c>
      <c r="CV119" s="96">
        <f t="shared" si="2186"/>
        <v>0</v>
      </c>
      <c r="CW119" s="96">
        <f t="shared" si="2187"/>
        <v>0</v>
      </c>
      <c r="CX119" s="96">
        <f t="shared" si="2188"/>
        <v>0</v>
      </c>
      <c r="CY119" s="96">
        <f t="shared" si="2189"/>
        <v>0</v>
      </c>
      <c r="CZ119" s="96">
        <f t="shared" si="2190"/>
        <v>0</v>
      </c>
      <c r="DA119" s="96">
        <f t="shared" si="2191"/>
        <v>0</v>
      </c>
      <c r="DB119" s="96">
        <f t="shared" si="2192"/>
        <v>0</v>
      </c>
      <c r="DC119" s="96">
        <f t="shared" si="2193"/>
        <v>0</v>
      </c>
      <c r="DD119" s="96">
        <f t="shared" si="2194"/>
        <v>0</v>
      </c>
      <c r="DE119" s="96">
        <f t="shared" si="2195"/>
        <v>0</v>
      </c>
      <c r="DF119" s="96">
        <f t="shared" si="2196"/>
        <v>0</v>
      </c>
      <c r="DG119" s="96">
        <f t="shared" si="2197"/>
        <v>0</v>
      </c>
      <c r="DH119" s="96">
        <f t="shared" si="2198"/>
        <v>0</v>
      </c>
      <c r="DI119" s="96">
        <f t="shared" si="2199"/>
        <v>0</v>
      </c>
      <c r="DJ119" s="96">
        <f t="shared" si="2200"/>
        <v>0</v>
      </c>
      <c r="DK119" s="96">
        <f t="shared" si="2201"/>
        <v>0</v>
      </c>
      <c r="DL119" s="96">
        <f t="shared" si="2202"/>
        <v>0</v>
      </c>
      <c r="DM119" s="96">
        <f t="shared" si="2203"/>
        <v>0</v>
      </c>
      <c r="DN119" s="96">
        <f t="shared" si="2204"/>
        <v>0</v>
      </c>
      <c r="DO119" s="96">
        <f t="shared" si="2205"/>
        <v>0</v>
      </c>
      <c r="DP119" s="96">
        <f t="shared" si="2206"/>
        <v>0</v>
      </c>
      <c r="DQ119" s="96">
        <f t="shared" si="2207"/>
        <v>0</v>
      </c>
      <c r="DR119" s="96">
        <f t="shared" si="2208"/>
        <v>0</v>
      </c>
      <c r="DS119" s="96">
        <f t="shared" si="2209"/>
        <v>0</v>
      </c>
      <c r="DT119" s="96">
        <f t="shared" si="2210"/>
        <v>0</v>
      </c>
      <c r="DU119" s="96">
        <f t="shared" si="2211"/>
        <v>0</v>
      </c>
      <c r="DV119" s="96">
        <f t="shared" si="2212"/>
        <v>0</v>
      </c>
      <c r="DW119" s="96">
        <f t="shared" si="2213"/>
        <v>0</v>
      </c>
      <c r="DX119" s="96">
        <f t="shared" si="2214"/>
        <v>0</v>
      </c>
      <c r="DY119" s="96">
        <f t="shared" si="2215"/>
        <v>0</v>
      </c>
      <c r="DZ119" s="96">
        <f t="shared" si="2216"/>
        <v>0</v>
      </c>
      <c r="EA119" s="96">
        <f t="shared" si="2217"/>
        <v>0</v>
      </c>
      <c r="EB119" s="96">
        <f t="shared" si="2218"/>
        <v>0</v>
      </c>
      <c r="EC119" s="96">
        <f t="shared" si="2219"/>
        <v>0</v>
      </c>
      <c r="ED119" s="96">
        <f t="shared" si="2220"/>
        <v>0</v>
      </c>
      <c r="EE119" s="96">
        <f t="shared" si="2221"/>
        <v>0</v>
      </c>
      <c r="EF119" s="96">
        <f t="shared" si="2222"/>
        <v>0</v>
      </c>
      <c r="EG119" s="96">
        <f t="shared" si="2223"/>
        <v>0</v>
      </c>
      <c r="EH119" s="96">
        <f t="shared" si="2224"/>
        <v>0</v>
      </c>
      <c r="EI119" s="96">
        <f t="shared" si="2225"/>
        <v>0</v>
      </c>
      <c r="EJ119" s="96">
        <f t="shared" si="2226"/>
        <v>0</v>
      </c>
      <c r="EK119" s="96">
        <f t="shared" si="2227"/>
        <v>0</v>
      </c>
      <c r="EL119" s="96">
        <f t="shared" si="2228"/>
        <v>0</v>
      </c>
      <c r="EM119" s="96">
        <f t="shared" si="2229"/>
        <v>0</v>
      </c>
      <c r="EN119" s="96">
        <f t="shared" si="2230"/>
        <v>0</v>
      </c>
      <c r="EO119" s="96">
        <f t="shared" si="2231"/>
        <v>0</v>
      </c>
      <c r="EP119" s="96">
        <f t="shared" si="2232"/>
        <v>0</v>
      </c>
      <c r="EQ119" s="96">
        <f t="shared" si="2233"/>
        <v>0</v>
      </c>
      <c r="ER119" s="96">
        <f t="shared" si="2234"/>
        <v>0</v>
      </c>
      <c r="ES119" s="96">
        <f t="shared" si="2235"/>
        <v>0</v>
      </c>
      <c r="ET119" s="96">
        <f t="shared" si="2236"/>
        <v>0</v>
      </c>
      <c r="EU119" s="96">
        <f t="shared" si="2237"/>
        <v>0</v>
      </c>
      <c r="EW119" s="199" t="str">
        <f t="shared" si="2250"/>
        <v>[Unit Type]</v>
      </c>
      <c r="EX119" s="201"/>
      <c r="EY119" s="221"/>
      <c r="EZ119" s="221"/>
      <c r="FA119" s="221"/>
      <c r="FB119" s="221"/>
      <c r="FC119" s="207">
        <f t="shared" si="2238"/>
        <v>0</v>
      </c>
      <c r="FD119" s="207">
        <f t="shared" ref="FD119:HO119" si="2278">FC119+IF(FD$112&gt;0,FC119*((1+INDEX($C$104:$H$104,1,MIN(FD$112,6)))^(1/12)-1))</f>
        <v>0</v>
      </c>
      <c r="FE119" s="207">
        <f t="shared" si="2278"/>
        <v>0</v>
      </c>
      <c r="FF119" s="207">
        <f t="shared" si="2278"/>
        <v>0</v>
      </c>
      <c r="FG119" s="207">
        <f t="shared" si="2278"/>
        <v>0</v>
      </c>
      <c r="FH119" s="207">
        <f t="shared" si="2278"/>
        <v>0</v>
      </c>
      <c r="FI119" s="207">
        <f t="shared" si="2278"/>
        <v>0</v>
      </c>
      <c r="FJ119" s="207">
        <f t="shared" si="2278"/>
        <v>0</v>
      </c>
      <c r="FK119" s="207">
        <f t="shared" si="2278"/>
        <v>0</v>
      </c>
      <c r="FL119" s="207">
        <f t="shared" si="2278"/>
        <v>0</v>
      </c>
      <c r="FM119" s="207">
        <f t="shared" si="2278"/>
        <v>0</v>
      </c>
      <c r="FN119" s="207">
        <f t="shared" si="2278"/>
        <v>0</v>
      </c>
      <c r="FO119" s="207">
        <f t="shared" si="2278"/>
        <v>0</v>
      </c>
      <c r="FP119" s="207">
        <f t="shared" si="2278"/>
        <v>0</v>
      </c>
      <c r="FQ119" s="207">
        <f t="shared" si="2278"/>
        <v>0</v>
      </c>
      <c r="FR119" s="207">
        <f t="shared" si="2278"/>
        <v>0</v>
      </c>
      <c r="FS119" s="207">
        <f t="shared" si="2278"/>
        <v>0</v>
      </c>
      <c r="FT119" s="207">
        <f t="shared" si="2278"/>
        <v>0</v>
      </c>
      <c r="FU119" s="207">
        <f t="shared" si="2278"/>
        <v>0</v>
      </c>
      <c r="FV119" s="207">
        <f t="shared" si="2278"/>
        <v>0</v>
      </c>
      <c r="FW119" s="207">
        <f t="shared" si="2278"/>
        <v>0</v>
      </c>
      <c r="FX119" s="207">
        <f t="shared" si="2278"/>
        <v>0</v>
      </c>
      <c r="FY119" s="207">
        <f t="shared" si="2278"/>
        <v>0</v>
      </c>
      <c r="FZ119" s="207">
        <f t="shared" si="2278"/>
        <v>0</v>
      </c>
      <c r="GA119" s="207">
        <f t="shared" si="2278"/>
        <v>0</v>
      </c>
      <c r="GB119" s="207">
        <f t="shared" si="2278"/>
        <v>0</v>
      </c>
      <c r="GC119" s="207">
        <f t="shared" si="2278"/>
        <v>0</v>
      </c>
      <c r="GD119" s="207">
        <f t="shared" si="2278"/>
        <v>0</v>
      </c>
      <c r="GE119" s="207">
        <f t="shared" si="2278"/>
        <v>0</v>
      </c>
      <c r="GF119" s="207">
        <f t="shared" si="2278"/>
        <v>0</v>
      </c>
      <c r="GG119" s="207">
        <f t="shared" si="2278"/>
        <v>0</v>
      </c>
      <c r="GH119" s="207">
        <f t="shared" si="2278"/>
        <v>0</v>
      </c>
      <c r="GI119" s="207">
        <f t="shared" si="2278"/>
        <v>0</v>
      </c>
      <c r="GJ119" s="207">
        <f t="shared" si="2278"/>
        <v>0</v>
      </c>
      <c r="GK119" s="207">
        <f t="shared" si="2278"/>
        <v>0</v>
      </c>
      <c r="GL119" s="207">
        <f t="shared" si="2278"/>
        <v>0</v>
      </c>
      <c r="GM119" s="207">
        <f t="shared" si="2278"/>
        <v>0</v>
      </c>
      <c r="GN119" s="207">
        <f t="shared" si="2278"/>
        <v>0</v>
      </c>
      <c r="GO119" s="207">
        <f t="shared" si="2278"/>
        <v>0</v>
      </c>
      <c r="GP119" s="207">
        <f t="shared" si="2278"/>
        <v>0</v>
      </c>
      <c r="GQ119" s="207">
        <f t="shared" si="2278"/>
        <v>0</v>
      </c>
      <c r="GR119" s="207">
        <f t="shared" si="2278"/>
        <v>0</v>
      </c>
      <c r="GS119" s="207">
        <f t="shared" si="2278"/>
        <v>0</v>
      </c>
      <c r="GT119" s="207">
        <f t="shared" si="2278"/>
        <v>0</v>
      </c>
      <c r="GU119" s="207">
        <f t="shared" si="2278"/>
        <v>0</v>
      </c>
      <c r="GV119" s="207">
        <f t="shared" si="2278"/>
        <v>0</v>
      </c>
      <c r="GW119" s="207">
        <f t="shared" si="2278"/>
        <v>0</v>
      </c>
      <c r="GX119" s="207">
        <f t="shared" si="2278"/>
        <v>0</v>
      </c>
      <c r="GY119" s="207">
        <f t="shared" si="2278"/>
        <v>0</v>
      </c>
      <c r="GZ119" s="207">
        <f t="shared" si="2278"/>
        <v>0</v>
      </c>
      <c r="HA119" s="207">
        <f t="shared" si="2278"/>
        <v>0</v>
      </c>
      <c r="HB119" s="207">
        <f t="shared" si="2278"/>
        <v>0</v>
      </c>
      <c r="HC119" s="207">
        <f t="shared" si="2278"/>
        <v>0</v>
      </c>
      <c r="HD119" s="207">
        <f t="shared" si="2278"/>
        <v>0</v>
      </c>
      <c r="HE119" s="207">
        <f t="shared" si="2278"/>
        <v>0</v>
      </c>
      <c r="HF119" s="207">
        <f t="shared" si="2278"/>
        <v>0</v>
      </c>
      <c r="HG119" s="207">
        <f t="shared" si="2278"/>
        <v>0</v>
      </c>
      <c r="HH119" s="207">
        <f t="shared" si="2278"/>
        <v>0</v>
      </c>
      <c r="HI119" s="207">
        <f t="shared" si="2278"/>
        <v>0</v>
      </c>
      <c r="HJ119" s="207">
        <f t="shared" si="2278"/>
        <v>0</v>
      </c>
      <c r="HK119" s="207">
        <f t="shared" si="2278"/>
        <v>0</v>
      </c>
      <c r="HL119" s="207">
        <f t="shared" si="2278"/>
        <v>0</v>
      </c>
      <c r="HM119" s="207">
        <f t="shared" si="2278"/>
        <v>0</v>
      </c>
      <c r="HN119" s="207">
        <f t="shared" si="2278"/>
        <v>0</v>
      </c>
      <c r="HO119" s="207">
        <f t="shared" si="2278"/>
        <v>0</v>
      </c>
      <c r="HP119" s="207">
        <f t="shared" ref="HP119:KA119" si="2279">HO119+IF(HP$112&gt;0,HO119*((1+INDEX($C$104:$H$104,1,MIN(HP$112,6)))^(1/12)-1))</f>
        <v>0</v>
      </c>
      <c r="HQ119" s="207">
        <f t="shared" si="2279"/>
        <v>0</v>
      </c>
      <c r="HR119" s="207">
        <f t="shared" si="2279"/>
        <v>0</v>
      </c>
      <c r="HS119" s="207">
        <f t="shared" si="2279"/>
        <v>0</v>
      </c>
      <c r="HT119" s="207">
        <f t="shared" si="2279"/>
        <v>0</v>
      </c>
      <c r="HU119" s="207">
        <f t="shared" si="2279"/>
        <v>0</v>
      </c>
      <c r="HV119" s="207">
        <f t="shared" si="2279"/>
        <v>0</v>
      </c>
      <c r="HW119" s="207">
        <f t="shared" si="2279"/>
        <v>0</v>
      </c>
      <c r="HX119" s="207">
        <f t="shared" si="2279"/>
        <v>0</v>
      </c>
      <c r="HY119" s="207">
        <f t="shared" si="2279"/>
        <v>0</v>
      </c>
      <c r="HZ119" s="207">
        <f t="shared" si="2279"/>
        <v>0</v>
      </c>
      <c r="IA119" s="207">
        <f t="shared" si="2279"/>
        <v>0</v>
      </c>
      <c r="IB119" s="207">
        <f t="shared" si="2279"/>
        <v>0</v>
      </c>
      <c r="IC119" s="207">
        <f t="shared" si="2279"/>
        <v>0</v>
      </c>
      <c r="ID119" s="207">
        <f t="shared" si="2279"/>
        <v>0</v>
      </c>
      <c r="IE119" s="207">
        <f t="shared" si="2279"/>
        <v>0</v>
      </c>
      <c r="IF119" s="207">
        <f t="shared" si="2279"/>
        <v>0</v>
      </c>
      <c r="IG119" s="207">
        <f t="shared" si="2279"/>
        <v>0</v>
      </c>
      <c r="IH119" s="207">
        <f t="shared" si="2279"/>
        <v>0</v>
      </c>
      <c r="II119" s="207">
        <f t="shared" si="2279"/>
        <v>0</v>
      </c>
      <c r="IJ119" s="207">
        <f t="shared" si="2279"/>
        <v>0</v>
      </c>
      <c r="IK119" s="207">
        <f t="shared" si="2279"/>
        <v>0</v>
      </c>
      <c r="IL119" s="207">
        <f t="shared" si="2279"/>
        <v>0</v>
      </c>
      <c r="IM119" s="207">
        <f t="shared" si="2279"/>
        <v>0</v>
      </c>
      <c r="IN119" s="207">
        <f t="shared" si="2279"/>
        <v>0</v>
      </c>
      <c r="IO119" s="207">
        <f t="shared" si="2279"/>
        <v>0</v>
      </c>
      <c r="IP119" s="207">
        <f t="shared" si="2279"/>
        <v>0</v>
      </c>
      <c r="IQ119" s="207">
        <f t="shared" si="2279"/>
        <v>0</v>
      </c>
      <c r="IR119" s="207">
        <f t="shared" si="2279"/>
        <v>0</v>
      </c>
      <c r="IS119" s="207">
        <f t="shared" si="2279"/>
        <v>0</v>
      </c>
      <c r="IT119" s="207">
        <f t="shared" si="2279"/>
        <v>0</v>
      </c>
      <c r="IU119" s="207">
        <f t="shared" si="2279"/>
        <v>0</v>
      </c>
      <c r="IV119" s="207">
        <f t="shared" si="2279"/>
        <v>0</v>
      </c>
      <c r="IW119" s="207">
        <f t="shared" si="2279"/>
        <v>0</v>
      </c>
      <c r="IX119" s="207">
        <f t="shared" si="2279"/>
        <v>0</v>
      </c>
      <c r="IY119" s="207">
        <f t="shared" si="2279"/>
        <v>0</v>
      </c>
      <c r="IZ119" s="207">
        <f t="shared" si="2279"/>
        <v>0</v>
      </c>
      <c r="JA119" s="207">
        <f t="shared" si="2279"/>
        <v>0</v>
      </c>
      <c r="JB119" s="207">
        <f t="shared" si="2279"/>
        <v>0</v>
      </c>
      <c r="JC119" s="207">
        <f t="shared" si="2279"/>
        <v>0</v>
      </c>
      <c r="JD119" s="207">
        <f t="shared" si="2279"/>
        <v>0</v>
      </c>
      <c r="JE119" s="207">
        <f t="shared" si="2279"/>
        <v>0</v>
      </c>
      <c r="JF119" s="207">
        <f t="shared" si="2279"/>
        <v>0</v>
      </c>
      <c r="JG119" s="207">
        <f t="shared" si="2279"/>
        <v>0</v>
      </c>
      <c r="JH119" s="207">
        <f t="shared" si="2279"/>
        <v>0</v>
      </c>
      <c r="JI119" s="207">
        <f t="shared" si="2279"/>
        <v>0</v>
      </c>
      <c r="JJ119" s="207">
        <f t="shared" si="2279"/>
        <v>0</v>
      </c>
      <c r="JK119" s="207">
        <f t="shared" si="2279"/>
        <v>0</v>
      </c>
      <c r="JL119" s="207">
        <f t="shared" si="2279"/>
        <v>0</v>
      </c>
      <c r="JM119" s="207">
        <f t="shared" si="2279"/>
        <v>0</v>
      </c>
      <c r="JN119" s="207">
        <f t="shared" si="2279"/>
        <v>0</v>
      </c>
      <c r="JO119" s="207">
        <f t="shared" si="2279"/>
        <v>0</v>
      </c>
      <c r="JP119" s="207">
        <f t="shared" si="2279"/>
        <v>0</v>
      </c>
      <c r="JQ119" s="207">
        <f t="shared" si="2279"/>
        <v>0</v>
      </c>
      <c r="JR119" s="207">
        <f t="shared" si="2279"/>
        <v>0</v>
      </c>
      <c r="JS119" s="207">
        <f t="shared" si="2279"/>
        <v>0</v>
      </c>
      <c r="JT119" s="207">
        <f t="shared" si="2279"/>
        <v>0</v>
      </c>
      <c r="JU119" s="207">
        <f t="shared" si="2279"/>
        <v>0</v>
      </c>
      <c r="JV119" s="207">
        <f t="shared" si="2279"/>
        <v>0</v>
      </c>
      <c r="JW119" s="207">
        <f t="shared" si="2279"/>
        <v>0</v>
      </c>
      <c r="JX119" s="207">
        <f t="shared" si="2279"/>
        <v>0</v>
      </c>
      <c r="JY119" s="207">
        <f t="shared" si="2279"/>
        <v>0</v>
      </c>
      <c r="JZ119" s="207">
        <f t="shared" si="2279"/>
        <v>0</v>
      </c>
      <c r="KA119" s="207">
        <f t="shared" si="2279"/>
        <v>0</v>
      </c>
      <c r="KB119" s="207">
        <f t="shared" ref="KB119:KE119" si="2280">KA119+IF(KB$112&gt;0,KA119*((1+INDEX($C$104:$H$104,1,MIN(KB$112,6)))^(1/12)-1))</f>
        <v>0</v>
      </c>
      <c r="KC119" s="207">
        <f t="shared" si="2280"/>
        <v>0</v>
      </c>
      <c r="KD119" s="207">
        <f t="shared" si="2280"/>
        <v>0</v>
      </c>
      <c r="KE119" s="207">
        <f t="shared" si="2280"/>
        <v>0</v>
      </c>
      <c r="KG119" s="199" t="str">
        <f t="shared" si="2254"/>
        <v>[Unit Type]</v>
      </c>
      <c r="KH119" s="201"/>
      <c r="KI119" s="221"/>
      <c r="KJ119" s="221"/>
      <c r="KK119" s="221"/>
      <c r="KL119" s="221"/>
      <c r="KM119" s="207">
        <f t="shared" si="2255"/>
        <v>0</v>
      </c>
      <c r="KN119" s="207">
        <f t="shared" ref="KN119:MY119" si="2281">KM119+IF(KN$112&gt;0,KM119*((1+INDEX($C$105:$H$105,1,MIN(KN$112,6)))^(1/12)-1))</f>
        <v>0</v>
      </c>
      <c r="KO119" s="207">
        <f t="shared" si="2281"/>
        <v>0</v>
      </c>
      <c r="KP119" s="207">
        <f t="shared" si="2281"/>
        <v>0</v>
      </c>
      <c r="KQ119" s="207">
        <f t="shared" si="2281"/>
        <v>0</v>
      </c>
      <c r="KR119" s="207">
        <f t="shared" si="2281"/>
        <v>0</v>
      </c>
      <c r="KS119" s="207">
        <f t="shared" si="2281"/>
        <v>0</v>
      </c>
      <c r="KT119" s="207">
        <f t="shared" si="2281"/>
        <v>0</v>
      </c>
      <c r="KU119" s="207">
        <f t="shared" si="2281"/>
        <v>0</v>
      </c>
      <c r="KV119" s="207">
        <f t="shared" si="2281"/>
        <v>0</v>
      </c>
      <c r="KW119" s="207">
        <f t="shared" si="2281"/>
        <v>0</v>
      </c>
      <c r="KX119" s="207">
        <f t="shared" si="2281"/>
        <v>0</v>
      </c>
      <c r="KY119" s="207">
        <f t="shared" si="2281"/>
        <v>0</v>
      </c>
      <c r="KZ119" s="207">
        <f t="shared" si="2281"/>
        <v>0</v>
      </c>
      <c r="LA119" s="207">
        <f t="shared" si="2281"/>
        <v>0</v>
      </c>
      <c r="LB119" s="207">
        <f t="shared" si="2281"/>
        <v>0</v>
      </c>
      <c r="LC119" s="207">
        <f t="shared" si="2281"/>
        <v>0</v>
      </c>
      <c r="LD119" s="207">
        <f t="shared" si="2281"/>
        <v>0</v>
      </c>
      <c r="LE119" s="207">
        <f t="shared" si="2281"/>
        <v>0</v>
      </c>
      <c r="LF119" s="207">
        <f t="shared" si="2281"/>
        <v>0</v>
      </c>
      <c r="LG119" s="207">
        <f t="shared" si="2281"/>
        <v>0</v>
      </c>
      <c r="LH119" s="207">
        <f t="shared" si="2281"/>
        <v>0</v>
      </c>
      <c r="LI119" s="207">
        <f t="shared" si="2281"/>
        <v>0</v>
      </c>
      <c r="LJ119" s="207">
        <f t="shared" si="2281"/>
        <v>0</v>
      </c>
      <c r="LK119" s="207">
        <f t="shared" si="2281"/>
        <v>0</v>
      </c>
      <c r="LL119" s="207">
        <f t="shared" si="2281"/>
        <v>0</v>
      </c>
      <c r="LM119" s="207">
        <f t="shared" si="2281"/>
        <v>0</v>
      </c>
      <c r="LN119" s="207">
        <f t="shared" si="2281"/>
        <v>0</v>
      </c>
      <c r="LO119" s="207">
        <f t="shared" si="2281"/>
        <v>0</v>
      </c>
      <c r="LP119" s="207">
        <f t="shared" si="2281"/>
        <v>0</v>
      </c>
      <c r="LQ119" s="207">
        <f t="shared" si="2281"/>
        <v>0</v>
      </c>
      <c r="LR119" s="207">
        <f t="shared" si="2281"/>
        <v>0</v>
      </c>
      <c r="LS119" s="207">
        <f t="shared" si="2281"/>
        <v>0</v>
      </c>
      <c r="LT119" s="207">
        <f t="shared" si="2281"/>
        <v>0</v>
      </c>
      <c r="LU119" s="207">
        <f t="shared" si="2281"/>
        <v>0</v>
      </c>
      <c r="LV119" s="207">
        <f t="shared" si="2281"/>
        <v>0</v>
      </c>
      <c r="LW119" s="207">
        <f t="shared" si="2281"/>
        <v>0</v>
      </c>
      <c r="LX119" s="207">
        <f t="shared" si="2281"/>
        <v>0</v>
      </c>
      <c r="LY119" s="207">
        <f t="shared" si="2281"/>
        <v>0</v>
      </c>
      <c r="LZ119" s="207">
        <f t="shared" si="2281"/>
        <v>0</v>
      </c>
      <c r="MA119" s="207">
        <f t="shared" si="2281"/>
        <v>0</v>
      </c>
      <c r="MB119" s="207">
        <f t="shared" si="2281"/>
        <v>0</v>
      </c>
      <c r="MC119" s="207">
        <f t="shared" si="2281"/>
        <v>0</v>
      </c>
      <c r="MD119" s="207">
        <f t="shared" si="2281"/>
        <v>0</v>
      </c>
      <c r="ME119" s="207">
        <f t="shared" si="2281"/>
        <v>0</v>
      </c>
      <c r="MF119" s="207">
        <f t="shared" si="2281"/>
        <v>0</v>
      </c>
      <c r="MG119" s="207">
        <f t="shared" si="2281"/>
        <v>0</v>
      </c>
      <c r="MH119" s="207">
        <f t="shared" si="2281"/>
        <v>0</v>
      </c>
      <c r="MI119" s="207">
        <f t="shared" si="2281"/>
        <v>0</v>
      </c>
      <c r="MJ119" s="207">
        <f t="shared" si="2281"/>
        <v>0</v>
      </c>
      <c r="MK119" s="207">
        <f t="shared" si="2281"/>
        <v>0</v>
      </c>
      <c r="ML119" s="207">
        <f t="shared" si="2281"/>
        <v>0</v>
      </c>
      <c r="MM119" s="207">
        <f t="shared" si="2281"/>
        <v>0</v>
      </c>
      <c r="MN119" s="207">
        <f t="shared" si="2281"/>
        <v>0</v>
      </c>
      <c r="MO119" s="207">
        <f t="shared" si="2281"/>
        <v>0</v>
      </c>
      <c r="MP119" s="207">
        <f t="shared" si="2281"/>
        <v>0</v>
      </c>
      <c r="MQ119" s="207">
        <f t="shared" si="2281"/>
        <v>0</v>
      </c>
      <c r="MR119" s="207">
        <f t="shared" si="2281"/>
        <v>0</v>
      </c>
      <c r="MS119" s="207">
        <f t="shared" si="2281"/>
        <v>0</v>
      </c>
      <c r="MT119" s="207">
        <f t="shared" si="2281"/>
        <v>0</v>
      </c>
      <c r="MU119" s="207">
        <f t="shared" si="2281"/>
        <v>0</v>
      </c>
      <c r="MV119" s="207">
        <f t="shared" si="2281"/>
        <v>0</v>
      </c>
      <c r="MW119" s="207">
        <f t="shared" si="2281"/>
        <v>0</v>
      </c>
      <c r="MX119" s="207">
        <f t="shared" si="2281"/>
        <v>0</v>
      </c>
      <c r="MY119" s="207">
        <f t="shared" si="2281"/>
        <v>0</v>
      </c>
      <c r="MZ119" s="207">
        <f t="shared" ref="MZ119:PK119" si="2282">MY119+IF(MZ$112&gt;0,MY119*((1+INDEX($C$105:$H$105,1,MIN(MZ$112,6)))^(1/12)-1))</f>
        <v>0</v>
      </c>
      <c r="NA119" s="207">
        <f t="shared" si="2282"/>
        <v>0</v>
      </c>
      <c r="NB119" s="207">
        <f t="shared" si="2282"/>
        <v>0</v>
      </c>
      <c r="NC119" s="207">
        <f t="shared" si="2282"/>
        <v>0</v>
      </c>
      <c r="ND119" s="207">
        <f t="shared" si="2282"/>
        <v>0</v>
      </c>
      <c r="NE119" s="207">
        <f t="shared" si="2282"/>
        <v>0</v>
      </c>
      <c r="NF119" s="207">
        <f t="shared" si="2282"/>
        <v>0</v>
      </c>
      <c r="NG119" s="207">
        <f t="shared" si="2282"/>
        <v>0</v>
      </c>
      <c r="NH119" s="207">
        <f t="shared" si="2282"/>
        <v>0</v>
      </c>
      <c r="NI119" s="207">
        <f t="shared" si="2282"/>
        <v>0</v>
      </c>
      <c r="NJ119" s="207">
        <f t="shared" si="2282"/>
        <v>0</v>
      </c>
      <c r="NK119" s="207">
        <f t="shared" si="2282"/>
        <v>0</v>
      </c>
      <c r="NL119" s="207">
        <f t="shared" si="2282"/>
        <v>0</v>
      </c>
      <c r="NM119" s="207">
        <f t="shared" si="2282"/>
        <v>0</v>
      </c>
      <c r="NN119" s="207">
        <f t="shared" si="2282"/>
        <v>0</v>
      </c>
      <c r="NO119" s="207">
        <f t="shared" si="2282"/>
        <v>0</v>
      </c>
      <c r="NP119" s="207">
        <f t="shared" si="2282"/>
        <v>0</v>
      </c>
      <c r="NQ119" s="207">
        <f t="shared" si="2282"/>
        <v>0</v>
      </c>
      <c r="NR119" s="207">
        <f t="shared" si="2282"/>
        <v>0</v>
      </c>
      <c r="NS119" s="207">
        <f t="shared" si="2282"/>
        <v>0</v>
      </c>
      <c r="NT119" s="207">
        <f t="shared" si="2282"/>
        <v>0</v>
      </c>
      <c r="NU119" s="207">
        <f t="shared" si="2282"/>
        <v>0</v>
      </c>
      <c r="NV119" s="207">
        <f t="shared" si="2282"/>
        <v>0</v>
      </c>
      <c r="NW119" s="207">
        <f t="shared" si="2282"/>
        <v>0</v>
      </c>
      <c r="NX119" s="207">
        <f t="shared" si="2282"/>
        <v>0</v>
      </c>
      <c r="NY119" s="207">
        <f t="shared" si="2282"/>
        <v>0</v>
      </c>
      <c r="NZ119" s="207">
        <f t="shared" si="2282"/>
        <v>0</v>
      </c>
      <c r="OA119" s="207">
        <f t="shared" si="2282"/>
        <v>0</v>
      </c>
      <c r="OB119" s="207">
        <f t="shared" si="2282"/>
        <v>0</v>
      </c>
      <c r="OC119" s="207">
        <f t="shared" si="2282"/>
        <v>0</v>
      </c>
      <c r="OD119" s="207">
        <f t="shared" si="2282"/>
        <v>0</v>
      </c>
      <c r="OE119" s="207">
        <f t="shared" si="2282"/>
        <v>0</v>
      </c>
      <c r="OF119" s="207">
        <f t="shared" si="2282"/>
        <v>0</v>
      </c>
      <c r="OG119" s="207">
        <f t="shared" si="2282"/>
        <v>0</v>
      </c>
      <c r="OH119" s="207">
        <f t="shared" si="2282"/>
        <v>0</v>
      </c>
      <c r="OI119" s="207">
        <f t="shared" si="2282"/>
        <v>0</v>
      </c>
      <c r="OJ119" s="207">
        <f t="shared" si="2282"/>
        <v>0</v>
      </c>
      <c r="OK119" s="207">
        <f t="shared" si="2282"/>
        <v>0</v>
      </c>
      <c r="OL119" s="207">
        <f t="shared" si="2282"/>
        <v>0</v>
      </c>
      <c r="OM119" s="207">
        <f t="shared" si="2282"/>
        <v>0</v>
      </c>
      <c r="ON119" s="207">
        <f t="shared" si="2282"/>
        <v>0</v>
      </c>
      <c r="OO119" s="207">
        <f t="shared" si="2282"/>
        <v>0</v>
      </c>
      <c r="OP119" s="207">
        <f t="shared" si="2282"/>
        <v>0</v>
      </c>
      <c r="OQ119" s="207">
        <f t="shared" si="2282"/>
        <v>0</v>
      </c>
      <c r="OR119" s="207">
        <f t="shared" si="2282"/>
        <v>0</v>
      </c>
      <c r="OS119" s="207">
        <f t="shared" si="2282"/>
        <v>0</v>
      </c>
      <c r="OT119" s="207">
        <f t="shared" si="2282"/>
        <v>0</v>
      </c>
      <c r="OU119" s="207">
        <f t="shared" si="2282"/>
        <v>0</v>
      </c>
      <c r="OV119" s="207">
        <f t="shared" si="2282"/>
        <v>0</v>
      </c>
      <c r="OW119" s="207">
        <f t="shared" si="2282"/>
        <v>0</v>
      </c>
      <c r="OX119" s="207">
        <f t="shared" si="2282"/>
        <v>0</v>
      </c>
      <c r="OY119" s="207">
        <f t="shared" si="2282"/>
        <v>0</v>
      </c>
      <c r="OZ119" s="207">
        <f t="shared" si="2282"/>
        <v>0</v>
      </c>
      <c r="PA119" s="207">
        <f t="shared" si="2282"/>
        <v>0</v>
      </c>
      <c r="PB119" s="207">
        <f t="shared" si="2282"/>
        <v>0</v>
      </c>
      <c r="PC119" s="207">
        <f t="shared" si="2282"/>
        <v>0</v>
      </c>
      <c r="PD119" s="207">
        <f t="shared" si="2282"/>
        <v>0</v>
      </c>
      <c r="PE119" s="207">
        <f t="shared" si="2282"/>
        <v>0</v>
      </c>
      <c r="PF119" s="207">
        <f t="shared" si="2282"/>
        <v>0</v>
      </c>
      <c r="PG119" s="207">
        <f t="shared" si="2282"/>
        <v>0</v>
      </c>
      <c r="PH119" s="207">
        <f t="shared" si="2282"/>
        <v>0</v>
      </c>
      <c r="PI119" s="207">
        <f t="shared" si="2282"/>
        <v>0</v>
      </c>
      <c r="PJ119" s="207">
        <f t="shared" si="2282"/>
        <v>0</v>
      </c>
      <c r="PK119" s="207">
        <f t="shared" si="2282"/>
        <v>0</v>
      </c>
      <c r="PL119" s="207">
        <f t="shared" ref="PL119:PO119" si="2283">PK119+IF(PL$112&gt;0,PK119*((1+INDEX($C$105:$H$105,1,MIN(PL$112,6)))^(1/12)-1))</f>
        <v>0</v>
      </c>
      <c r="PM119" s="207">
        <f t="shared" si="2283"/>
        <v>0</v>
      </c>
      <c r="PN119" s="207">
        <f t="shared" si="2283"/>
        <v>0</v>
      </c>
      <c r="PO119" s="207">
        <f t="shared" si="2283"/>
        <v>0</v>
      </c>
      <c r="PQ119" s="221"/>
      <c r="PR119" s="525" t="str">
        <f t="shared" si="2259"/>
        <v>[Unit Type]</v>
      </c>
      <c r="PS119" s="526">
        <f>COUNTIF($T$110:T$110,"Rolling")/$K$106*(1-$E119)+$E119</f>
        <v>4.1666666666666664E-2</v>
      </c>
      <c r="PT119" s="526">
        <f>COUNTIF($T$110:U$110,"Rolling")/$K$106*(1-$E119)+$E119</f>
        <v>8.3333333333333329E-2</v>
      </c>
      <c r="PU119" s="526">
        <f>COUNTIF($T$110:V$110,"Rolling")/$K$106*(1-$E119)+$E119</f>
        <v>0.125</v>
      </c>
      <c r="PV119" s="526">
        <f>COUNTIF($T$110:W$110,"Rolling")/$K$106*(1-$E119)+$E119</f>
        <v>0.16666666666666666</v>
      </c>
      <c r="PW119" s="526">
        <f>COUNTIF($T$110:X$110,"Rolling")/$K$106*(1-$E119)+$E119</f>
        <v>0.20833333333333334</v>
      </c>
      <c r="PX119" s="526">
        <f>COUNTIF($T$110:Y$110,"Rolling")/$K$106*(1-$E119)+$E119</f>
        <v>0.25</v>
      </c>
      <c r="PY119" s="526">
        <f>COUNTIF($T$110:Z$110,"Rolling")/$K$106*(1-$E119)+$E119</f>
        <v>0.29166666666666669</v>
      </c>
      <c r="PZ119" s="526">
        <f>COUNTIF($T$110:AA$110,"Rolling")/$K$106*(1-$E119)+$E119</f>
        <v>0.33333333333333331</v>
      </c>
      <c r="QA119" s="526">
        <f>COUNTIF($T$110:AB$110,"Rolling")/$K$106*(1-$E119)+$E119</f>
        <v>0.375</v>
      </c>
      <c r="QB119" s="526">
        <f>COUNTIF($T$110:AC$110,"Rolling")/$K$106*(1-$E119)+$E119</f>
        <v>0.41666666666666669</v>
      </c>
      <c r="QC119" s="526">
        <f>COUNTIF($T$110:AD$110,"Rolling")/$K$106*(1-$E119)+$E119</f>
        <v>0.45833333333333331</v>
      </c>
      <c r="QD119" s="526">
        <f>COUNTIF($T$110:AE$110,"Rolling")/$K$106*(1-$E119)+$E119</f>
        <v>0.5</v>
      </c>
      <c r="QE119" s="526">
        <f>COUNTIF($T$110:AF$110,"Rolling")/$K$106*(1-$E119)+$E119</f>
        <v>0.54166666666666663</v>
      </c>
      <c r="QF119" s="526">
        <f>COUNTIF($T$110:AG$110,"Rolling")/$K$106*(1-$E119)+$E119</f>
        <v>0.58333333333333337</v>
      </c>
      <c r="QG119" s="526">
        <f>COUNTIF($T$110:AH$110,"Rolling")/$K$106*(1-$E119)+$E119</f>
        <v>0.625</v>
      </c>
      <c r="QH119" s="526">
        <f>COUNTIF($T$110:AI$110,"Rolling")/$K$106*(1-$E119)+$E119</f>
        <v>0.66666666666666663</v>
      </c>
      <c r="QI119" s="526">
        <f>COUNTIF($T$110:AJ$110,"Rolling")/$K$106*(1-$E119)+$E119</f>
        <v>0.70833333333333337</v>
      </c>
      <c r="QJ119" s="526">
        <f>COUNTIF($T$110:AK$110,"Rolling")/$K$106*(1-$E119)+$E119</f>
        <v>0.75</v>
      </c>
      <c r="QK119" s="526">
        <f>COUNTIF($T$110:AL$110,"Rolling")/$K$106*(1-$E119)+$E119</f>
        <v>0.79166666666666663</v>
      </c>
      <c r="QL119" s="526">
        <f>COUNTIF($T$110:AM$110,"Rolling")/$K$106*(1-$E119)+$E119</f>
        <v>0.83333333333333337</v>
      </c>
      <c r="QM119" s="526">
        <f>COUNTIF($T$110:AN$110,"Rolling")/$K$106*(1-$E119)+$E119</f>
        <v>0.875</v>
      </c>
      <c r="QN119" s="526">
        <f>COUNTIF($T$110:AO$110,"Rolling")/$K$106*(1-$E119)+$E119</f>
        <v>0.91666666666666663</v>
      </c>
      <c r="QO119" s="526">
        <f>COUNTIF($T$110:AP$110,"Rolling")/$K$106*(1-$E119)+$E119</f>
        <v>0.95833333333333337</v>
      </c>
      <c r="QP119" s="526">
        <f>COUNTIF($T$110:AQ$110,"Rolling")/$K$106*(1-$E119)+$E119</f>
        <v>1</v>
      </c>
      <c r="QQ119" s="526">
        <f>COUNTIF($T$110:AR$110,"Rolling")/$K$106*(1-$E119)+$E119</f>
        <v>1</v>
      </c>
      <c r="QR119" s="526">
        <f>COUNTIF($T$110:AS$110,"Rolling")/$K$106*(1-$E119)+$E119</f>
        <v>1</v>
      </c>
      <c r="QS119" s="526">
        <f>COUNTIF($T$110:AT$110,"Rolling")/$K$106*(1-$E119)+$E119</f>
        <v>1</v>
      </c>
      <c r="QT119" s="526">
        <f>COUNTIF($T$110:AU$110,"Rolling")/$K$106*(1-$E119)+$E119</f>
        <v>1</v>
      </c>
      <c r="QU119" s="526">
        <f>COUNTIF($T$110:AV$110,"Rolling")/$K$106*(1-$E119)+$E119</f>
        <v>1</v>
      </c>
      <c r="QV119" s="526">
        <f>COUNTIF($T$110:AW$110,"Rolling")/$K$106*(1-$E119)+$E119</f>
        <v>1</v>
      </c>
      <c r="QW119" s="526">
        <f>COUNTIF($T$110:AX$110,"Rolling")/$K$106*(1-$E119)+$E119</f>
        <v>1</v>
      </c>
      <c r="QX119" s="526">
        <f>COUNTIF($T$110:AY$110,"Rolling")/$K$106*(1-$E119)+$E119</f>
        <v>1</v>
      </c>
      <c r="QY119" s="526">
        <f>COUNTIF($T$110:AZ$110,"Rolling")/$K$106*(1-$E119)+$E119</f>
        <v>1</v>
      </c>
      <c r="QZ119" s="526">
        <f>COUNTIF($T$110:BA$110,"Rolling")/$K$106*(1-$E119)+$E119</f>
        <v>1</v>
      </c>
      <c r="RA119" s="526">
        <f>COUNTIF($T$110:BB$110,"Rolling")/$K$106*(1-$E119)+$E119</f>
        <v>1</v>
      </c>
      <c r="RB119" s="526">
        <f>COUNTIF($T$110:BC$110,"Rolling")/$K$106*(1-$E119)+$E119</f>
        <v>1</v>
      </c>
      <c r="RC119" s="526">
        <f>COUNTIF($T$110:BD$110,"Rolling")/$K$106*(1-$E119)+$E119</f>
        <v>1</v>
      </c>
      <c r="RD119" s="526">
        <f>COUNTIF($T$110:BE$110,"Rolling")/$K$106*(1-$E119)+$E119</f>
        <v>1</v>
      </c>
      <c r="RE119" s="526">
        <f>COUNTIF($T$110:BF$110,"Rolling")/$K$106*(1-$E119)+$E119</f>
        <v>1</v>
      </c>
      <c r="RF119" s="526">
        <f>COUNTIF($T$110:BG$110,"Rolling")/$K$106*(1-$E119)+$E119</f>
        <v>1</v>
      </c>
      <c r="RG119" s="526">
        <f>COUNTIF($T$110:BH$110,"Rolling")/$K$106*(1-$E119)+$E119</f>
        <v>1</v>
      </c>
      <c r="RH119" s="526">
        <f>COUNTIF($T$110:BI$110,"Rolling")/$K$106*(1-$E119)+$E119</f>
        <v>1</v>
      </c>
      <c r="RI119" s="526">
        <f>COUNTIF($T$110:BJ$110,"Rolling")/$K$106*(1-$E119)+$E119</f>
        <v>1</v>
      </c>
      <c r="RJ119" s="526">
        <f>COUNTIF($T$110:BK$110,"Rolling")/$K$106*(1-$E119)+$E119</f>
        <v>1</v>
      </c>
      <c r="RK119" s="526">
        <f>COUNTIF($T$110:BL$110,"Rolling")/$K$106*(1-$E119)+$E119</f>
        <v>1</v>
      </c>
      <c r="RL119" s="526">
        <f>COUNTIF($T$110:BM$110,"Rolling")/$K$106*(1-$E119)+$E119</f>
        <v>1</v>
      </c>
      <c r="RM119" s="526">
        <f>COUNTIF($T$110:BN$110,"Rolling")/$K$106*(1-$E119)+$E119</f>
        <v>1</v>
      </c>
      <c r="RN119" s="526">
        <f>COUNTIF($T$110:BO$110,"Rolling")/$K$106*(1-$E119)+$E119</f>
        <v>1</v>
      </c>
      <c r="RO119" s="526">
        <f>COUNTIF($T$110:BP$110,"Rolling")/$K$106*(1-$E119)+$E119</f>
        <v>1</v>
      </c>
      <c r="RP119" s="526">
        <f>COUNTIF($T$110:BQ$110,"Rolling")/$K$106*(1-$E119)+$E119</f>
        <v>1</v>
      </c>
      <c r="RQ119" s="526">
        <f>COUNTIF($T$110:BR$110,"Rolling")/$K$106*(1-$E119)+$E119</f>
        <v>1</v>
      </c>
      <c r="RR119" s="526">
        <f>COUNTIF($T$110:BS$110,"Rolling")/$K$106*(1-$E119)+$E119</f>
        <v>1</v>
      </c>
      <c r="RS119" s="526">
        <f>COUNTIF($T$110:BT$110,"Rolling")/$K$106*(1-$E119)+$E119</f>
        <v>1</v>
      </c>
      <c r="RT119" s="526">
        <f>COUNTIF($T$110:BU$110,"Rolling")/$K$106*(1-$E119)+$E119</f>
        <v>1</v>
      </c>
      <c r="RU119" s="526">
        <f>COUNTIF($T$110:BV$110,"Rolling")/$K$106*(1-$E119)+$E119</f>
        <v>1</v>
      </c>
      <c r="RV119" s="526">
        <f>COUNTIF($T$110:BW$110,"Rolling")/$K$106*(1-$E119)+$E119</f>
        <v>1</v>
      </c>
      <c r="RW119" s="526">
        <f>COUNTIF($T$110:BX$110,"Rolling")/$K$106*(1-$E119)+$E119</f>
        <v>1</v>
      </c>
      <c r="RX119" s="526">
        <f>COUNTIF($T$110:BY$110,"Rolling")/$K$106*(1-$E119)+$E119</f>
        <v>1</v>
      </c>
      <c r="RY119" s="526">
        <f>COUNTIF($T$110:BZ$110,"Rolling")/$K$106*(1-$E119)+$E119</f>
        <v>1</v>
      </c>
      <c r="RZ119" s="526">
        <f>COUNTIF($T$110:CA$110,"Rolling")/$K$106*(1-$E119)+$E119</f>
        <v>1</v>
      </c>
      <c r="SA119" s="526">
        <f>COUNTIF($T$110:CB$110,"Rolling")/$K$106*(1-$E119)+$E119</f>
        <v>1</v>
      </c>
      <c r="SB119" s="526">
        <f>COUNTIF($T$110:CC$110,"Rolling")/$K$106*(1-$E119)+$E119</f>
        <v>1</v>
      </c>
      <c r="SC119" s="526">
        <f>COUNTIF($T$110:CD$110,"Rolling")/$K$106*(1-$E119)+$E119</f>
        <v>1</v>
      </c>
      <c r="SD119" s="526">
        <f>COUNTIF($T$110:CE$110,"Rolling")/$K$106*(1-$E119)+$E119</f>
        <v>1</v>
      </c>
      <c r="SE119" s="526">
        <f>COUNTIF($T$110:CF$110,"Rolling")/$K$106*(1-$E119)+$E119</f>
        <v>1</v>
      </c>
      <c r="SF119" s="526">
        <f>COUNTIF($T$110:CG$110,"Rolling")/$K$106*(1-$E119)+$E119</f>
        <v>1</v>
      </c>
      <c r="SG119" s="526">
        <f>COUNTIF($T$110:CH$110,"Rolling")/$K$106*(1-$E119)+$E119</f>
        <v>1</v>
      </c>
      <c r="SH119" s="526">
        <f>COUNTIF($T$110:CI$110,"Rolling")/$K$106*(1-$E119)+$E119</f>
        <v>1</v>
      </c>
      <c r="SI119" s="526">
        <f>COUNTIF($T$110:CJ$110,"Rolling")/$K$106*(1-$E119)+$E119</f>
        <v>1</v>
      </c>
      <c r="SJ119" s="526">
        <f>COUNTIF($T$110:CK$110,"Rolling")/$K$106*(1-$E119)+$E119</f>
        <v>1</v>
      </c>
      <c r="SK119" s="526">
        <f>COUNTIF($T$110:CL$110,"Rolling")/$K$106*(1-$E119)+$E119</f>
        <v>1</v>
      </c>
      <c r="SL119" s="526">
        <f>COUNTIF($T$110:CM$110,"Rolling")/$K$106*(1-$E119)+$E119</f>
        <v>1</v>
      </c>
      <c r="SM119" s="526">
        <f>COUNTIF($T$110:CN$110,"Rolling")/$K$106*(1-$E119)+$E119</f>
        <v>1</v>
      </c>
      <c r="SN119" s="526">
        <f>COUNTIF($T$110:CO$110,"Rolling")/$K$106*(1-$E119)+$E119</f>
        <v>1</v>
      </c>
      <c r="SO119" s="526">
        <f>COUNTIF($T$110:CP$110,"Rolling")/$K$106*(1-$E119)+$E119</f>
        <v>1</v>
      </c>
      <c r="SP119" s="526">
        <f>COUNTIF($T$110:CQ$110,"Rolling")/$K$106*(1-$E119)+$E119</f>
        <v>1</v>
      </c>
      <c r="SQ119" s="526">
        <f>COUNTIF($T$110:CR$110,"Rolling")/$K$106*(1-$E119)+$E119</f>
        <v>1</v>
      </c>
      <c r="SR119" s="526">
        <f>COUNTIF($T$110:CS$110,"Rolling")/$K$106*(1-$E119)+$E119</f>
        <v>1</v>
      </c>
      <c r="SS119" s="526">
        <f>COUNTIF($T$110:CT$110,"Rolling")/$K$106*(1-$E119)+$E119</f>
        <v>1</v>
      </c>
      <c r="ST119" s="526">
        <f>COUNTIF($T$110:CU$110,"Rolling")/$K$106*(1-$E119)+$E119</f>
        <v>1</v>
      </c>
      <c r="SU119" s="526">
        <f>COUNTIF($T$110:CV$110,"Rolling")/$K$106*(1-$E119)+$E119</f>
        <v>1</v>
      </c>
      <c r="SV119" s="526">
        <f>COUNTIF($T$110:CW$110,"Rolling")/$K$106*(1-$E119)+$E119</f>
        <v>1</v>
      </c>
      <c r="SW119" s="526">
        <f>COUNTIF($T$110:CX$110,"Rolling")/$K$106*(1-$E119)+$E119</f>
        <v>1</v>
      </c>
      <c r="SX119" s="526">
        <f>COUNTIF($T$110:CY$110,"Rolling")/$K$106*(1-$E119)+$E119</f>
        <v>1</v>
      </c>
      <c r="SY119" s="526">
        <f>COUNTIF($T$110:CZ$110,"Rolling")/$K$106*(1-$E119)+$E119</f>
        <v>1</v>
      </c>
      <c r="SZ119" s="526">
        <f>COUNTIF($T$110:DA$110,"Rolling")/$K$106*(1-$E119)+$E119</f>
        <v>1</v>
      </c>
      <c r="TA119" s="526">
        <f>COUNTIF($T$110:DB$110,"Rolling")/$K$106*(1-$E119)+$E119</f>
        <v>1</v>
      </c>
      <c r="TB119" s="526">
        <f>COUNTIF($T$110:DC$110,"Rolling")/$K$106*(1-$E119)+$E119</f>
        <v>1</v>
      </c>
      <c r="TC119" s="526">
        <f>COUNTIF($T$110:DD$110,"Rolling")/$K$106*(1-$E119)+$E119</f>
        <v>1</v>
      </c>
      <c r="TD119" s="526">
        <f>COUNTIF($T$110:DE$110,"Rolling")/$K$106*(1-$E119)+$E119</f>
        <v>1</v>
      </c>
      <c r="TE119" s="526">
        <f>COUNTIF($T$110:DF$110,"Rolling")/$K$106*(1-$E119)+$E119</f>
        <v>1</v>
      </c>
      <c r="TF119" s="526">
        <f>COUNTIF($T$110:DG$110,"Rolling")/$K$106*(1-$E119)+$E119</f>
        <v>1</v>
      </c>
      <c r="TG119" s="526">
        <f>COUNTIF($T$110:DH$110,"Rolling")/$K$106*(1-$E119)+$E119</f>
        <v>1</v>
      </c>
      <c r="TH119" s="526">
        <f>COUNTIF($T$110:DI$110,"Rolling")/$K$106*(1-$E119)+$E119</f>
        <v>1</v>
      </c>
      <c r="TI119" s="526">
        <f>COUNTIF($T$110:DJ$110,"Rolling")/$K$106*(1-$E119)+$E119</f>
        <v>1</v>
      </c>
      <c r="TJ119" s="526">
        <f>COUNTIF($T$110:DK$110,"Rolling")/$K$106*(1-$E119)+$E119</f>
        <v>1</v>
      </c>
      <c r="TK119" s="526">
        <f>COUNTIF($T$110:DL$110,"Rolling")/$K$106*(1-$E119)+$E119</f>
        <v>1</v>
      </c>
      <c r="TL119" s="526">
        <f>COUNTIF($T$110:DM$110,"Rolling")/$K$106*(1-$E119)+$E119</f>
        <v>1</v>
      </c>
      <c r="TM119" s="526">
        <f>COUNTIF($T$110:DN$110,"Rolling")/$K$106*(1-$E119)+$E119</f>
        <v>1</v>
      </c>
      <c r="TN119" s="526">
        <f>COUNTIF($T$110:DO$110,"Rolling")/$K$106*(1-$E119)+$E119</f>
        <v>1</v>
      </c>
      <c r="TO119" s="526">
        <f>COUNTIF($T$110:DP$110,"Rolling")/$K$106*(1-$E119)+$E119</f>
        <v>1</v>
      </c>
      <c r="TP119" s="526">
        <f>COUNTIF($T$110:DQ$110,"Rolling")/$K$106*(1-$E119)+$E119</f>
        <v>1</v>
      </c>
      <c r="TQ119" s="526">
        <f>COUNTIF($T$110:DR$110,"Rolling")/$K$106*(1-$E119)+$E119</f>
        <v>1</v>
      </c>
      <c r="TR119" s="526">
        <f>COUNTIF($T$110:DS$110,"Rolling")/$K$106*(1-$E119)+$E119</f>
        <v>1</v>
      </c>
      <c r="TS119" s="526">
        <f>COUNTIF($T$110:DT$110,"Rolling")/$K$106*(1-$E119)+$E119</f>
        <v>1</v>
      </c>
      <c r="TT119" s="526">
        <f>COUNTIF($T$110:DU$110,"Rolling")/$K$106*(1-$E119)+$E119</f>
        <v>1</v>
      </c>
      <c r="TU119" s="526">
        <f>COUNTIF($T$110:DV$110,"Rolling")/$K$106*(1-$E119)+$E119</f>
        <v>1</v>
      </c>
      <c r="TV119" s="526">
        <f>COUNTIF($T$110:DW$110,"Rolling")/$K$106*(1-$E119)+$E119</f>
        <v>1</v>
      </c>
      <c r="TW119" s="526">
        <f>COUNTIF($T$110:DX$110,"Rolling")/$K$106*(1-$E119)+$E119</f>
        <v>1</v>
      </c>
      <c r="TX119" s="526">
        <f>COUNTIF($T$110:DY$110,"Rolling")/$K$106*(1-$E119)+$E119</f>
        <v>1</v>
      </c>
      <c r="TY119" s="526">
        <f>COUNTIF($T$110:DZ$110,"Rolling")/$K$106*(1-$E119)+$E119</f>
        <v>1</v>
      </c>
      <c r="TZ119" s="526">
        <f>COUNTIF($T$110:EA$110,"Rolling")/$K$106*(1-$E119)+$E119</f>
        <v>1</v>
      </c>
      <c r="UA119" s="526">
        <f>COUNTIF($T$110:EB$110,"Rolling")/$K$106*(1-$E119)+$E119</f>
        <v>1</v>
      </c>
      <c r="UB119" s="526">
        <f>COUNTIF($T$110:EC$110,"Rolling")/$K$106*(1-$E119)+$E119</f>
        <v>1</v>
      </c>
      <c r="UC119" s="526">
        <f>COUNTIF($T$110:ED$110,"Rolling")/$K$106*(1-$E119)+$E119</f>
        <v>1</v>
      </c>
      <c r="UD119" s="526">
        <f>COUNTIF($T$110:EE$110,"Rolling")/$K$106*(1-$E119)+$E119</f>
        <v>1</v>
      </c>
      <c r="UE119" s="526">
        <f>COUNTIF($T$110:EF$110,"Rolling")/$K$106*(1-$E119)+$E119</f>
        <v>1</v>
      </c>
      <c r="UF119" s="526">
        <f>COUNTIF($T$110:EG$110,"Rolling")/$K$106*(1-$E119)+$E119</f>
        <v>1</v>
      </c>
      <c r="UG119" s="526">
        <f>COUNTIF($T$110:EH$110,"Rolling")/$K$106*(1-$E119)+$E119</f>
        <v>1</v>
      </c>
      <c r="UH119" s="526">
        <f>COUNTIF($T$110:EI$110,"Rolling")/$K$106*(1-$E119)+$E119</f>
        <v>1</v>
      </c>
      <c r="UI119" s="526">
        <f>COUNTIF($T$110:EJ$110,"Rolling")/$K$106*(1-$E119)+$E119</f>
        <v>1</v>
      </c>
      <c r="UJ119" s="526">
        <f>COUNTIF($T$110:EK$110,"Rolling")/$K$106*(1-$E119)+$E119</f>
        <v>1</v>
      </c>
      <c r="UK119" s="526">
        <f>COUNTIF($T$110:EL$110,"Rolling")/$K$106*(1-$E119)+$E119</f>
        <v>1</v>
      </c>
      <c r="UL119" s="526">
        <f>COUNTIF($T$110:EM$110,"Rolling")/$K$106*(1-$E119)+$E119</f>
        <v>1</v>
      </c>
      <c r="UM119" s="526">
        <f>COUNTIF($T$110:EN$110,"Rolling")/$K$106*(1-$E119)+$E119</f>
        <v>1</v>
      </c>
      <c r="UN119" s="526">
        <f>COUNTIF($T$110:EO$110,"Rolling")/$K$106*(1-$E119)+$E119</f>
        <v>1</v>
      </c>
      <c r="UO119" s="526">
        <f>COUNTIF($T$110:EP$110,"Rolling")/$K$106*(1-$E119)+$E119</f>
        <v>1</v>
      </c>
      <c r="UP119" s="526">
        <f>COUNTIF($T$110:EQ$110,"Rolling")/$K$106*(1-$E119)+$E119</f>
        <v>1</v>
      </c>
      <c r="UQ119" s="526">
        <f>COUNTIF($T$110:ER$110,"Rolling")/$K$106*(1-$E119)+$E119</f>
        <v>1</v>
      </c>
      <c r="UR119" s="526">
        <f>COUNTIF($T$110:ES$110,"Rolling")/$K$106*(1-$E119)+$E119</f>
        <v>1</v>
      </c>
      <c r="US119" s="526">
        <f>COUNTIF($T$110:ET$110,"Rolling")/$K$106*(1-$E119)+$E119</f>
        <v>1</v>
      </c>
      <c r="UT119" s="526">
        <f>COUNTIF($T$110:EU$110,"Rolling")/$K$106*(1-$E119)+$E119</f>
        <v>1</v>
      </c>
      <c r="UU119" s="207"/>
    </row>
    <row r="120" spans="2:567" x14ac:dyDescent="0.25">
      <c r="B120" s="18" t="s">
        <v>129</v>
      </c>
      <c r="C120" s="63">
        <f>SUM(C114:C119)</f>
        <v>300</v>
      </c>
      <c r="D120" s="63">
        <f>SUMPRODUCT(D114:D119,$C$114:$C$119)/$C$120</f>
        <v>840</v>
      </c>
      <c r="E120" s="45">
        <f>SUMPRODUCT(E114:E119,C114:C119)/C120</f>
        <v>0</v>
      </c>
      <c r="F120" s="114">
        <f>J120/Units_SF/12</f>
        <v>1.8952380952380954</v>
      </c>
      <c r="G120" s="118">
        <f>J120/C120/12</f>
        <v>1592</v>
      </c>
      <c r="H120" s="114">
        <f>IFERROR(I120/D120,0)</f>
        <v>2.1795238095238094</v>
      </c>
      <c r="I120" s="119">
        <f>K120/C120/12</f>
        <v>1830.8</v>
      </c>
      <c r="J120" s="149">
        <f>SUM(J114:J119)</f>
        <v>5731200</v>
      </c>
      <c r="K120" s="149">
        <f>SUM(K114:K119)</f>
        <v>6590880</v>
      </c>
      <c r="S120" s="145"/>
      <c r="T120" s="92">
        <f t="shared" ref="T120:AY120" si="2284">SUM(T114:T119)</f>
        <v>480585</v>
      </c>
      <c r="U120" s="92">
        <f t="shared" si="2284"/>
        <v>483570</v>
      </c>
      <c r="V120" s="92">
        <f t="shared" si="2284"/>
        <v>486555</v>
      </c>
      <c r="W120" s="92">
        <f t="shared" si="2284"/>
        <v>489540</v>
      </c>
      <c r="X120" s="92">
        <f t="shared" si="2284"/>
        <v>492525</v>
      </c>
      <c r="Y120" s="92">
        <f t="shared" si="2284"/>
        <v>495510</v>
      </c>
      <c r="Z120" s="92">
        <f t="shared" si="2284"/>
        <v>498495</v>
      </c>
      <c r="AA120" s="92">
        <f t="shared" si="2284"/>
        <v>501480</v>
      </c>
      <c r="AB120" s="92">
        <f t="shared" si="2284"/>
        <v>504465</v>
      </c>
      <c r="AC120" s="92">
        <f t="shared" si="2284"/>
        <v>507450</v>
      </c>
      <c r="AD120" s="92">
        <f t="shared" si="2284"/>
        <v>510435</v>
      </c>
      <c r="AE120" s="92">
        <f t="shared" si="2284"/>
        <v>513420</v>
      </c>
      <c r="AF120" s="92">
        <f t="shared" si="2284"/>
        <v>517468.70974892814</v>
      </c>
      <c r="AG120" s="92">
        <f t="shared" si="2284"/>
        <v>521531.9204534411</v>
      </c>
      <c r="AH120" s="92">
        <f t="shared" si="2284"/>
        <v>525609.67467435391</v>
      </c>
      <c r="AI120" s="92">
        <f t="shared" si="2284"/>
        <v>529702.01508629147</v>
      </c>
      <c r="AJ120" s="92">
        <f t="shared" si="2284"/>
        <v>533808.98447797704</v>
      </c>
      <c r="AK120" s="92">
        <f t="shared" si="2284"/>
        <v>537930.62575252168</v>
      </c>
      <c r="AL120" s="92">
        <f t="shared" si="2284"/>
        <v>542066.98192771338</v>
      </c>
      <c r="AM120" s="92">
        <f t="shared" si="2284"/>
        <v>546218.09613630723</v>
      </c>
      <c r="AN120" s="92">
        <f t="shared" si="2284"/>
        <v>550384.01162631752</v>
      </c>
      <c r="AO120" s="92">
        <f t="shared" si="2284"/>
        <v>554564.77176130866</v>
      </c>
      <c r="AP120" s="92">
        <f t="shared" si="2284"/>
        <v>558760.42002068809</v>
      </c>
      <c r="AQ120" s="92">
        <f t="shared" si="2284"/>
        <v>562970.99999999919</v>
      </c>
      <c r="AR120" s="92">
        <f t="shared" si="2284"/>
        <v>564130.62808466877</v>
      </c>
      <c r="AS120" s="92">
        <f t="shared" si="2284"/>
        <v>565292.64481332689</v>
      </c>
      <c r="AT120" s="92">
        <f t="shared" si="2284"/>
        <v>566457.05510618864</v>
      </c>
      <c r="AU120" s="92">
        <f t="shared" si="2284"/>
        <v>567623.86389360472</v>
      </c>
      <c r="AV120" s="92">
        <f t="shared" si="2284"/>
        <v>568793.07611608098</v>
      </c>
      <c r="AW120" s="92">
        <f t="shared" si="2284"/>
        <v>569964.69672430039</v>
      </c>
      <c r="AX120" s="92">
        <f t="shared" si="2284"/>
        <v>571138.73067914299</v>
      </c>
      <c r="AY120" s="92">
        <f t="shared" si="2284"/>
        <v>572315.18295170786</v>
      </c>
      <c r="AZ120" s="92">
        <f t="shared" ref="AZ120:CE120" si="2285">SUM(AZ114:AZ119)</f>
        <v>573494.0585233334</v>
      </c>
      <c r="BA120" s="92">
        <f t="shared" si="2285"/>
        <v>574675.3623856192</v>
      </c>
      <c r="BB120" s="92">
        <f t="shared" si="2285"/>
        <v>575859.09954044595</v>
      </c>
      <c r="BC120" s="92">
        <f t="shared" si="2285"/>
        <v>577045.27499999839</v>
      </c>
      <c r="BD120" s="92">
        <f t="shared" si="2285"/>
        <v>578233.89378678473</v>
      </c>
      <c r="BE120" s="92">
        <f t="shared" si="2285"/>
        <v>579424.96093365923</v>
      </c>
      <c r="BF120" s="92">
        <f t="shared" si="2285"/>
        <v>580618.4814838426</v>
      </c>
      <c r="BG120" s="92">
        <f t="shared" si="2285"/>
        <v>581814.4604909441</v>
      </c>
      <c r="BH120" s="92">
        <f t="shared" si="2285"/>
        <v>583012.90301898215</v>
      </c>
      <c r="BI120" s="92">
        <f t="shared" si="2285"/>
        <v>584213.81414240692</v>
      </c>
      <c r="BJ120" s="92">
        <f t="shared" si="2285"/>
        <v>585417.19894612068</v>
      </c>
      <c r="BK120" s="92">
        <f t="shared" si="2285"/>
        <v>586623.06252549961</v>
      </c>
      <c r="BL120" s="92">
        <f t="shared" si="2285"/>
        <v>587831.40998641588</v>
      </c>
      <c r="BM120" s="92">
        <f t="shared" si="2285"/>
        <v>589042.24644525873</v>
      </c>
      <c r="BN120" s="92">
        <f t="shared" si="2285"/>
        <v>590255.57702895638</v>
      </c>
      <c r="BO120" s="92">
        <f t="shared" si="2285"/>
        <v>591471.40687499754</v>
      </c>
      <c r="BP120" s="92">
        <f t="shared" si="2285"/>
        <v>592689.74113145354</v>
      </c>
      <c r="BQ120" s="92">
        <f t="shared" si="2285"/>
        <v>593910.58495699987</v>
      </c>
      <c r="BR120" s="92">
        <f t="shared" si="2285"/>
        <v>595133.9435209377</v>
      </c>
      <c r="BS120" s="92">
        <f t="shared" si="2285"/>
        <v>596359.82200321672</v>
      </c>
      <c r="BT120" s="92">
        <f t="shared" si="2285"/>
        <v>597588.22559445596</v>
      </c>
      <c r="BU120" s="92">
        <f t="shared" si="2285"/>
        <v>598819.15949596639</v>
      </c>
      <c r="BV120" s="92">
        <f t="shared" si="2285"/>
        <v>600052.62891977292</v>
      </c>
      <c r="BW120" s="92">
        <f t="shared" si="2285"/>
        <v>601288.63908863638</v>
      </c>
      <c r="BX120" s="92">
        <f t="shared" si="2285"/>
        <v>602527.19523607555</v>
      </c>
      <c r="BY120" s="92">
        <f t="shared" si="2285"/>
        <v>603768.30260638939</v>
      </c>
      <c r="BZ120" s="92">
        <f t="shared" si="2285"/>
        <v>605011.96645467938</v>
      </c>
      <c r="CA120" s="92">
        <f t="shared" si="2285"/>
        <v>606258.19204687164</v>
      </c>
      <c r="CB120" s="92">
        <f t="shared" si="2285"/>
        <v>607506.98465973907</v>
      </c>
      <c r="CC120" s="92">
        <f t="shared" si="2285"/>
        <v>608758.34958092403</v>
      </c>
      <c r="CD120" s="92">
        <f t="shared" si="2285"/>
        <v>610012.29210896045</v>
      </c>
      <c r="CE120" s="92">
        <f t="shared" si="2285"/>
        <v>611268.81755329634</v>
      </c>
      <c r="CF120" s="92">
        <f t="shared" ref="CF120:DK120" si="2286">SUM(CF114:CF119)</f>
        <v>612527.93123431655</v>
      </c>
      <c r="CG120" s="92">
        <f t="shared" si="2286"/>
        <v>613789.6384833646</v>
      </c>
      <c r="CH120" s="92">
        <f t="shared" si="2286"/>
        <v>615053.9446427665</v>
      </c>
      <c r="CI120" s="92">
        <f t="shared" si="2286"/>
        <v>616320.85506585147</v>
      </c>
      <c r="CJ120" s="92">
        <f t="shared" si="2286"/>
        <v>617590.37511697656</v>
      </c>
      <c r="CK120" s="92">
        <f t="shared" si="2286"/>
        <v>618862.51017154823</v>
      </c>
      <c r="CL120" s="92">
        <f t="shared" si="2286"/>
        <v>620137.26561604557</v>
      </c>
      <c r="CM120" s="92">
        <f t="shared" si="2286"/>
        <v>621414.64684804261</v>
      </c>
      <c r="CN120" s="92">
        <f t="shared" si="2286"/>
        <v>622694.65927623177</v>
      </c>
      <c r="CO120" s="92">
        <f t="shared" si="2286"/>
        <v>623977.30832044617</v>
      </c>
      <c r="CP120" s="92">
        <f t="shared" si="2286"/>
        <v>625262.59941168362</v>
      </c>
      <c r="CQ120" s="92">
        <f t="shared" si="2286"/>
        <v>626550.53799212794</v>
      </c>
      <c r="CR120" s="92">
        <f t="shared" si="2286"/>
        <v>627841.12951517361</v>
      </c>
      <c r="CS120" s="92">
        <f t="shared" si="2286"/>
        <v>629134.37944544794</v>
      </c>
      <c r="CT120" s="92">
        <f t="shared" si="2286"/>
        <v>630430.29325883463</v>
      </c>
      <c r="CU120" s="92">
        <f t="shared" si="2286"/>
        <v>631728.8764424969</v>
      </c>
      <c r="CV120" s="92">
        <f t="shared" si="2286"/>
        <v>633030.13449490012</v>
      </c>
      <c r="CW120" s="92">
        <f t="shared" si="2286"/>
        <v>634334.07292583608</v>
      </c>
      <c r="CX120" s="92">
        <f t="shared" si="2286"/>
        <v>635640.69725644577</v>
      </c>
      <c r="CY120" s="92">
        <f t="shared" si="2286"/>
        <v>636950.01301924279</v>
      </c>
      <c r="CZ120" s="92">
        <f t="shared" si="2286"/>
        <v>638262.02575813653</v>
      </c>
      <c r="DA120" s="92">
        <f t="shared" si="2286"/>
        <v>639576.74102845648</v>
      </c>
      <c r="DB120" s="92">
        <f t="shared" si="2286"/>
        <v>640894.16439697472</v>
      </c>
      <c r="DC120" s="92">
        <f t="shared" si="2286"/>
        <v>642214.30144193023</v>
      </c>
      <c r="DD120" s="92">
        <f t="shared" si="2286"/>
        <v>643537.15775305196</v>
      </c>
      <c r="DE120" s="92">
        <f t="shared" si="2286"/>
        <v>644862.73893158324</v>
      </c>
      <c r="DF120" s="92">
        <f t="shared" si="2286"/>
        <v>646191.05059030466</v>
      </c>
      <c r="DG120" s="92">
        <f t="shared" si="2286"/>
        <v>647522.09835355834</v>
      </c>
      <c r="DH120" s="92">
        <f t="shared" si="2286"/>
        <v>648855.88785727171</v>
      </c>
      <c r="DI120" s="92">
        <f t="shared" si="2286"/>
        <v>650192.42474898114</v>
      </c>
      <c r="DJ120" s="92">
        <f t="shared" si="2286"/>
        <v>651531.71468785603</v>
      </c>
      <c r="DK120" s="92">
        <f t="shared" si="2286"/>
        <v>652873.76334472303</v>
      </c>
      <c r="DL120" s="92">
        <f t="shared" ref="DL120:EQ120" si="2287">SUM(DL114:DL119)</f>
        <v>654218.57640208909</v>
      </c>
      <c r="DM120" s="92">
        <f t="shared" si="2287"/>
        <v>655566.15955416707</v>
      </c>
      <c r="DN120" s="92">
        <f t="shared" si="2287"/>
        <v>656916.51850689831</v>
      </c>
      <c r="DO120" s="92">
        <f t="shared" si="2287"/>
        <v>658269.6589779777</v>
      </c>
      <c r="DP120" s="92">
        <f t="shared" si="2287"/>
        <v>659625.58669687749</v>
      </c>
      <c r="DQ120" s="92">
        <f t="shared" si="2287"/>
        <v>660984.30740487203</v>
      </c>
      <c r="DR120" s="92">
        <f t="shared" si="2287"/>
        <v>662345.82685506134</v>
      </c>
      <c r="DS120" s="92">
        <f t="shared" si="2287"/>
        <v>663710.15081239643</v>
      </c>
      <c r="DT120" s="92">
        <f t="shared" si="2287"/>
        <v>665077.28505370254</v>
      </c>
      <c r="DU120" s="92">
        <f t="shared" si="2287"/>
        <v>666447.23536770476</v>
      </c>
      <c r="DV120" s="92">
        <f t="shared" si="2287"/>
        <v>667820.00755505171</v>
      </c>
      <c r="DW120" s="92">
        <f t="shared" si="2287"/>
        <v>669195.60742834024</v>
      </c>
      <c r="DX120" s="92">
        <f t="shared" si="2287"/>
        <v>670574.04081214045</v>
      </c>
      <c r="DY120" s="92">
        <f t="shared" si="2287"/>
        <v>671955.3135430204</v>
      </c>
      <c r="DZ120" s="92">
        <f t="shared" si="2287"/>
        <v>673339.43146956991</v>
      </c>
      <c r="EA120" s="92">
        <f t="shared" si="2287"/>
        <v>674726.40045242617</v>
      </c>
      <c r="EB120" s="92">
        <f t="shared" si="2287"/>
        <v>676116.22636429837</v>
      </c>
      <c r="EC120" s="92">
        <f t="shared" si="2287"/>
        <v>677508.91508999281</v>
      </c>
      <c r="ED120" s="92">
        <f t="shared" si="2287"/>
        <v>678904.47252643702</v>
      </c>
      <c r="EE120" s="92">
        <f t="shared" si="2287"/>
        <v>680302.90458270535</v>
      </c>
      <c r="EF120" s="92">
        <f t="shared" si="2287"/>
        <v>681704.21718004427</v>
      </c>
      <c r="EG120" s="92">
        <f t="shared" si="2287"/>
        <v>683108.41625189641</v>
      </c>
      <c r="EH120" s="92">
        <f t="shared" si="2287"/>
        <v>684515.50774392695</v>
      </c>
      <c r="EI120" s="92">
        <f t="shared" si="2287"/>
        <v>685925.49761404772</v>
      </c>
      <c r="EJ120" s="92">
        <f t="shared" si="2287"/>
        <v>687338.39183244307</v>
      </c>
      <c r="EK120" s="92">
        <f t="shared" si="2287"/>
        <v>688754.19638159499</v>
      </c>
      <c r="EL120" s="92">
        <f t="shared" si="2287"/>
        <v>690172.91725630814</v>
      </c>
      <c r="EM120" s="92">
        <f t="shared" si="2287"/>
        <v>691594.56046373595</v>
      </c>
      <c r="EN120" s="92">
        <f t="shared" si="2287"/>
        <v>693019.13202340493</v>
      </c>
      <c r="EO120" s="92">
        <f t="shared" si="2287"/>
        <v>694446.6379672417</v>
      </c>
      <c r="EP120" s="92">
        <f t="shared" si="2287"/>
        <v>695877.08433959703</v>
      </c>
      <c r="EQ120" s="92">
        <f t="shared" si="2287"/>
        <v>697310.47719727224</v>
      </c>
      <c r="ER120" s="92">
        <f t="shared" ref="ER120:EU120" si="2288">SUM(ER114:ER119)</f>
        <v>698746.82260954438</v>
      </c>
      <c r="ES120" s="92">
        <f t="shared" si="2288"/>
        <v>700186.12665819295</v>
      </c>
      <c r="ET120" s="92">
        <f t="shared" si="2288"/>
        <v>701628.39543752419</v>
      </c>
      <c r="EU120" s="92">
        <f t="shared" si="2288"/>
        <v>703073.63505439798</v>
      </c>
      <c r="FC120" s="199"/>
      <c r="FD120" s="199"/>
      <c r="FE120" s="199"/>
      <c r="FF120" s="199"/>
      <c r="FG120" s="199"/>
      <c r="FH120" s="199"/>
      <c r="FI120" s="199"/>
      <c r="FJ120" s="199"/>
      <c r="FK120" s="199"/>
      <c r="FL120" s="199"/>
      <c r="FM120" s="199"/>
      <c r="FN120" s="199"/>
      <c r="FO120" s="199"/>
      <c r="FP120" s="199"/>
      <c r="FQ120" s="199"/>
      <c r="FR120" s="199"/>
      <c r="FS120" s="199"/>
      <c r="FT120" s="199"/>
      <c r="FU120" s="199"/>
      <c r="FV120" s="199"/>
      <c r="FW120" s="199"/>
      <c r="FX120" s="199"/>
      <c r="FY120" s="199"/>
      <c r="FZ120" s="199"/>
      <c r="GA120" s="199"/>
      <c r="GB120" s="199"/>
      <c r="GC120" s="199"/>
      <c r="GD120" s="199"/>
      <c r="GE120" s="199"/>
      <c r="GF120" s="199"/>
      <c r="GG120" s="199"/>
      <c r="GH120" s="199"/>
      <c r="GI120" s="199"/>
      <c r="GJ120" s="199"/>
      <c r="GK120" s="199"/>
      <c r="GL120" s="199"/>
      <c r="GM120" s="199"/>
      <c r="GN120" s="199"/>
      <c r="GO120" s="199"/>
      <c r="GP120" s="199"/>
      <c r="GQ120" s="199"/>
      <c r="GR120" s="199"/>
      <c r="GS120" s="199"/>
      <c r="GT120" s="199"/>
      <c r="GU120" s="199"/>
      <c r="GV120" s="199"/>
      <c r="GW120" s="199"/>
      <c r="GX120" s="199"/>
      <c r="GY120" s="199"/>
      <c r="GZ120" s="199"/>
      <c r="HA120" s="199"/>
      <c r="HB120" s="199"/>
      <c r="HC120" s="199"/>
      <c r="HD120" s="199"/>
      <c r="HE120" s="199"/>
      <c r="HF120" s="199"/>
      <c r="HG120" s="199"/>
      <c r="HH120" s="199"/>
      <c r="HI120" s="199"/>
      <c r="HJ120" s="199"/>
      <c r="HK120" s="199"/>
      <c r="HL120" s="199"/>
      <c r="HM120" s="199"/>
      <c r="HN120" s="199"/>
      <c r="HO120" s="199"/>
      <c r="HP120" s="199"/>
      <c r="HQ120" s="199"/>
      <c r="HR120" s="199"/>
      <c r="HS120" s="199"/>
      <c r="HT120" s="199"/>
      <c r="HU120" s="199"/>
      <c r="HV120" s="199"/>
      <c r="HW120" s="199"/>
      <c r="HX120" s="199"/>
      <c r="HY120" s="199"/>
      <c r="HZ120" s="199"/>
      <c r="IA120" s="199"/>
      <c r="IB120" s="199"/>
      <c r="IC120" s="199"/>
      <c r="ID120" s="199"/>
      <c r="IE120" s="199"/>
      <c r="IF120" s="199"/>
      <c r="IG120" s="199"/>
      <c r="IH120" s="199"/>
      <c r="II120" s="199"/>
      <c r="IJ120" s="199"/>
      <c r="IK120" s="199"/>
      <c r="IL120" s="199"/>
      <c r="IM120" s="199"/>
      <c r="IN120" s="199"/>
      <c r="IO120" s="199"/>
      <c r="IP120" s="199"/>
      <c r="IQ120" s="199"/>
      <c r="IR120" s="199"/>
      <c r="IS120" s="199"/>
      <c r="IT120" s="199"/>
      <c r="IU120" s="199"/>
      <c r="IV120" s="199"/>
      <c r="IW120" s="199"/>
      <c r="IX120" s="199"/>
      <c r="IY120" s="199"/>
      <c r="IZ120" s="199"/>
      <c r="JA120" s="199"/>
      <c r="JB120" s="199"/>
      <c r="JC120" s="199"/>
      <c r="JD120" s="199"/>
      <c r="JE120" s="199"/>
      <c r="JF120" s="199"/>
      <c r="JG120" s="199"/>
      <c r="JH120" s="199"/>
      <c r="JI120" s="199"/>
      <c r="JJ120" s="199"/>
      <c r="JK120" s="199"/>
      <c r="JL120" s="199"/>
      <c r="JM120" s="199"/>
      <c r="JN120" s="199"/>
      <c r="JO120" s="199"/>
      <c r="JP120" s="199"/>
      <c r="JQ120" s="199"/>
      <c r="JR120" s="199"/>
      <c r="JS120" s="199"/>
      <c r="JT120" s="199"/>
      <c r="JU120" s="199"/>
      <c r="JV120" s="199"/>
      <c r="JW120" s="199"/>
      <c r="JX120" s="199"/>
      <c r="JY120" s="199"/>
      <c r="JZ120" s="199"/>
      <c r="KA120" s="199"/>
      <c r="KB120" s="199"/>
      <c r="KC120" s="199"/>
      <c r="KD120" s="199"/>
      <c r="KE120" s="199"/>
      <c r="LK120" s="225"/>
      <c r="PQ120" s="201"/>
      <c r="PR120" s="201" t="s">
        <v>243</v>
      </c>
      <c r="PS120" s="525">
        <f t="shared" ref="PS120:QX120" si="2289">SUMPRODUCT(PS114:PS119,$C$114:$C$119)/$C$120</f>
        <v>4.1666666666666664E-2</v>
      </c>
      <c r="PT120" s="525">
        <f t="shared" si="2289"/>
        <v>8.3333333333333329E-2</v>
      </c>
      <c r="PU120" s="525">
        <f t="shared" si="2289"/>
        <v>0.125</v>
      </c>
      <c r="PV120" s="525">
        <f t="shared" si="2289"/>
        <v>0.16666666666666666</v>
      </c>
      <c r="PW120" s="525">
        <f t="shared" si="2289"/>
        <v>0.20833333333333334</v>
      </c>
      <c r="PX120" s="525">
        <f t="shared" si="2289"/>
        <v>0.25</v>
      </c>
      <c r="PY120" s="525">
        <f t="shared" si="2289"/>
        <v>0.29166666666666669</v>
      </c>
      <c r="PZ120" s="525">
        <f t="shared" si="2289"/>
        <v>0.33333333333333331</v>
      </c>
      <c r="QA120" s="525">
        <f t="shared" si="2289"/>
        <v>0.375</v>
      </c>
      <c r="QB120" s="525">
        <f t="shared" si="2289"/>
        <v>0.41666666666666669</v>
      </c>
      <c r="QC120" s="525">
        <f t="shared" si="2289"/>
        <v>0.45833333333333331</v>
      </c>
      <c r="QD120" s="525">
        <f t="shared" si="2289"/>
        <v>0.5</v>
      </c>
      <c r="QE120" s="525">
        <f t="shared" si="2289"/>
        <v>0.54166666666666663</v>
      </c>
      <c r="QF120" s="525">
        <f t="shared" si="2289"/>
        <v>0.58333333333333337</v>
      </c>
      <c r="QG120" s="525">
        <f t="shared" si="2289"/>
        <v>0.625</v>
      </c>
      <c r="QH120" s="525">
        <f t="shared" si="2289"/>
        <v>0.66666666666666663</v>
      </c>
      <c r="QI120" s="525">
        <f t="shared" si="2289"/>
        <v>0.70833333333333337</v>
      </c>
      <c r="QJ120" s="525">
        <f t="shared" si="2289"/>
        <v>0.75</v>
      </c>
      <c r="QK120" s="525">
        <f t="shared" si="2289"/>
        <v>0.79166666666666663</v>
      </c>
      <c r="QL120" s="525">
        <f t="shared" si="2289"/>
        <v>0.83333333333333337</v>
      </c>
      <c r="QM120" s="525">
        <f t="shared" si="2289"/>
        <v>0.875</v>
      </c>
      <c r="QN120" s="525">
        <f t="shared" si="2289"/>
        <v>0.91666666666666663</v>
      </c>
      <c r="QO120" s="525">
        <f t="shared" si="2289"/>
        <v>0.95833333333333337</v>
      </c>
      <c r="QP120" s="525">
        <f t="shared" si="2289"/>
        <v>1</v>
      </c>
      <c r="QQ120" s="525">
        <f t="shared" si="2289"/>
        <v>1</v>
      </c>
      <c r="QR120" s="525">
        <f t="shared" si="2289"/>
        <v>1</v>
      </c>
      <c r="QS120" s="525">
        <f t="shared" si="2289"/>
        <v>1</v>
      </c>
      <c r="QT120" s="525">
        <f t="shared" si="2289"/>
        <v>1</v>
      </c>
      <c r="QU120" s="525">
        <f t="shared" si="2289"/>
        <v>1</v>
      </c>
      <c r="QV120" s="525">
        <f t="shared" si="2289"/>
        <v>1</v>
      </c>
      <c r="QW120" s="525">
        <f t="shared" si="2289"/>
        <v>1</v>
      </c>
      <c r="QX120" s="525">
        <f t="shared" si="2289"/>
        <v>1</v>
      </c>
      <c r="QY120" s="525">
        <f t="shared" ref="QY120:SD120" si="2290">SUMPRODUCT(QY114:QY119,$C$114:$C$119)/$C$120</f>
        <v>1</v>
      </c>
      <c r="QZ120" s="525">
        <f t="shared" si="2290"/>
        <v>1</v>
      </c>
      <c r="RA120" s="525">
        <f t="shared" si="2290"/>
        <v>1</v>
      </c>
      <c r="RB120" s="525">
        <f t="shared" si="2290"/>
        <v>1</v>
      </c>
      <c r="RC120" s="525">
        <f t="shared" si="2290"/>
        <v>1</v>
      </c>
      <c r="RD120" s="525">
        <f t="shared" si="2290"/>
        <v>1</v>
      </c>
      <c r="RE120" s="525">
        <f t="shared" si="2290"/>
        <v>1</v>
      </c>
      <c r="RF120" s="525">
        <f t="shared" si="2290"/>
        <v>1</v>
      </c>
      <c r="RG120" s="525">
        <f t="shared" si="2290"/>
        <v>1</v>
      </c>
      <c r="RH120" s="525">
        <f t="shared" si="2290"/>
        <v>1</v>
      </c>
      <c r="RI120" s="525">
        <f t="shared" si="2290"/>
        <v>1</v>
      </c>
      <c r="RJ120" s="525">
        <f t="shared" si="2290"/>
        <v>1</v>
      </c>
      <c r="RK120" s="525">
        <f t="shared" si="2290"/>
        <v>1</v>
      </c>
      <c r="RL120" s="525">
        <f t="shared" si="2290"/>
        <v>1</v>
      </c>
      <c r="RM120" s="525">
        <f t="shared" si="2290"/>
        <v>1</v>
      </c>
      <c r="RN120" s="525">
        <f t="shared" si="2290"/>
        <v>1</v>
      </c>
      <c r="RO120" s="525">
        <f t="shared" si="2290"/>
        <v>1</v>
      </c>
      <c r="RP120" s="525">
        <f t="shared" si="2290"/>
        <v>1</v>
      </c>
      <c r="RQ120" s="525">
        <f t="shared" si="2290"/>
        <v>1</v>
      </c>
      <c r="RR120" s="525">
        <f t="shared" si="2290"/>
        <v>1</v>
      </c>
      <c r="RS120" s="525">
        <f t="shared" si="2290"/>
        <v>1</v>
      </c>
      <c r="RT120" s="525">
        <f t="shared" si="2290"/>
        <v>1</v>
      </c>
      <c r="RU120" s="525">
        <f t="shared" si="2290"/>
        <v>1</v>
      </c>
      <c r="RV120" s="525">
        <f t="shared" si="2290"/>
        <v>1</v>
      </c>
      <c r="RW120" s="525">
        <f t="shared" si="2290"/>
        <v>1</v>
      </c>
      <c r="RX120" s="525">
        <f t="shared" si="2290"/>
        <v>1</v>
      </c>
      <c r="RY120" s="525">
        <f t="shared" si="2290"/>
        <v>1</v>
      </c>
      <c r="RZ120" s="525">
        <f t="shared" si="2290"/>
        <v>1</v>
      </c>
      <c r="SA120" s="525">
        <f t="shared" si="2290"/>
        <v>1</v>
      </c>
      <c r="SB120" s="525">
        <f t="shared" si="2290"/>
        <v>1</v>
      </c>
      <c r="SC120" s="525">
        <f t="shared" si="2290"/>
        <v>1</v>
      </c>
      <c r="SD120" s="525">
        <f t="shared" si="2290"/>
        <v>1</v>
      </c>
      <c r="SE120" s="525">
        <f t="shared" ref="SE120:TJ120" si="2291">SUMPRODUCT(SE114:SE119,$C$114:$C$119)/$C$120</f>
        <v>1</v>
      </c>
      <c r="SF120" s="525">
        <f t="shared" si="2291"/>
        <v>1</v>
      </c>
      <c r="SG120" s="525">
        <f t="shared" si="2291"/>
        <v>1</v>
      </c>
      <c r="SH120" s="525">
        <f t="shared" si="2291"/>
        <v>1</v>
      </c>
      <c r="SI120" s="525">
        <f t="shared" si="2291"/>
        <v>1</v>
      </c>
      <c r="SJ120" s="525">
        <f t="shared" si="2291"/>
        <v>1</v>
      </c>
      <c r="SK120" s="525">
        <f t="shared" si="2291"/>
        <v>1</v>
      </c>
      <c r="SL120" s="525">
        <f t="shared" si="2291"/>
        <v>1</v>
      </c>
      <c r="SM120" s="525">
        <f t="shared" si="2291"/>
        <v>1</v>
      </c>
      <c r="SN120" s="525">
        <f t="shared" si="2291"/>
        <v>1</v>
      </c>
      <c r="SO120" s="525">
        <f t="shared" si="2291"/>
        <v>1</v>
      </c>
      <c r="SP120" s="525">
        <f t="shared" si="2291"/>
        <v>1</v>
      </c>
      <c r="SQ120" s="525">
        <f t="shared" si="2291"/>
        <v>1</v>
      </c>
      <c r="SR120" s="525">
        <f t="shared" si="2291"/>
        <v>1</v>
      </c>
      <c r="SS120" s="525">
        <f t="shared" si="2291"/>
        <v>1</v>
      </c>
      <c r="ST120" s="525">
        <f t="shared" si="2291"/>
        <v>1</v>
      </c>
      <c r="SU120" s="525">
        <f t="shared" si="2291"/>
        <v>1</v>
      </c>
      <c r="SV120" s="525">
        <f t="shared" si="2291"/>
        <v>1</v>
      </c>
      <c r="SW120" s="525">
        <f t="shared" si="2291"/>
        <v>1</v>
      </c>
      <c r="SX120" s="525">
        <f t="shared" si="2291"/>
        <v>1</v>
      </c>
      <c r="SY120" s="525">
        <f t="shared" si="2291"/>
        <v>1</v>
      </c>
      <c r="SZ120" s="525">
        <f t="shared" si="2291"/>
        <v>1</v>
      </c>
      <c r="TA120" s="525">
        <f t="shared" si="2291"/>
        <v>1</v>
      </c>
      <c r="TB120" s="525">
        <f t="shared" si="2291"/>
        <v>1</v>
      </c>
      <c r="TC120" s="525">
        <f t="shared" si="2291"/>
        <v>1</v>
      </c>
      <c r="TD120" s="525">
        <f t="shared" si="2291"/>
        <v>1</v>
      </c>
      <c r="TE120" s="525">
        <f t="shared" si="2291"/>
        <v>1</v>
      </c>
      <c r="TF120" s="525">
        <f t="shared" si="2291"/>
        <v>1</v>
      </c>
      <c r="TG120" s="525">
        <f t="shared" si="2291"/>
        <v>1</v>
      </c>
      <c r="TH120" s="525">
        <f t="shared" si="2291"/>
        <v>1</v>
      </c>
      <c r="TI120" s="525">
        <f t="shared" si="2291"/>
        <v>1</v>
      </c>
      <c r="TJ120" s="525">
        <f t="shared" si="2291"/>
        <v>1</v>
      </c>
      <c r="TK120" s="525">
        <f t="shared" ref="TK120:UP120" si="2292">SUMPRODUCT(TK114:TK119,$C$114:$C$119)/$C$120</f>
        <v>1</v>
      </c>
      <c r="TL120" s="525">
        <f t="shared" si="2292"/>
        <v>1</v>
      </c>
      <c r="TM120" s="525">
        <f t="shared" si="2292"/>
        <v>1</v>
      </c>
      <c r="TN120" s="525">
        <f t="shared" si="2292"/>
        <v>1</v>
      </c>
      <c r="TO120" s="525">
        <f t="shared" si="2292"/>
        <v>1</v>
      </c>
      <c r="TP120" s="525">
        <f t="shared" si="2292"/>
        <v>1</v>
      </c>
      <c r="TQ120" s="525">
        <f t="shared" si="2292"/>
        <v>1</v>
      </c>
      <c r="TR120" s="525">
        <f t="shared" si="2292"/>
        <v>1</v>
      </c>
      <c r="TS120" s="525">
        <f t="shared" si="2292"/>
        <v>1</v>
      </c>
      <c r="TT120" s="525">
        <f t="shared" si="2292"/>
        <v>1</v>
      </c>
      <c r="TU120" s="525">
        <f t="shared" si="2292"/>
        <v>1</v>
      </c>
      <c r="TV120" s="525">
        <f t="shared" si="2292"/>
        <v>1</v>
      </c>
      <c r="TW120" s="525">
        <f t="shared" si="2292"/>
        <v>1</v>
      </c>
      <c r="TX120" s="525">
        <f t="shared" si="2292"/>
        <v>1</v>
      </c>
      <c r="TY120" s="525">
        <f t="shared" si="2292"/>
        <v>1</v>
      </c>
      <c r="TZ120" s="525">
        <f t="shared" si="2292"/>
        <v>1</v>
      </c>
      <c r="UA120" s="525">
        <f t="shared" si="2292"/>
        <v>1</v>
      </c>
      <c r="UB120" s="525">
        <f t="shared" si="2292"/>
        <v>1</v>
      </c>
      <c r="UC120" s="525">
        <f t="shared" si="2292"/>
        <v>1</v>
      </c>
      <c r="UD120" s="525">
        <f t="shared" si="2292"/>
        <v>1</v>
      </c>
      <c r="UE120" s="525">
        <f t="shared" si="2292"/>
        <v>1</v>
      </c>
      <c r="UF120" s="525">
        <f t="shared" si="2292"/>
        <v>1</v>
      </c>
      <c r="UG120" s="525">
        <f t="shared" si="2292"/>
        <v>1</v>
      </c>
      <c r="UH120" s="525">
        <f t="shared" si="2292"/>
        <v>1</v>
      </c>
      <c r="UI120" s="525">
        <f t="shared" si="2292"/>
        <v>1</v>
      </c>
      <c r="UJ120" s="525">
        <f t="shared" si="2292"/>
        <v>1</v>
      </c>
      <c r="UK120" s="525">
        <f t="shared" si="2292"/>
        <v>1</v>
      </c>
      <c r="UL120" s="525">
        <f t="shared" si="2292"/>
        <v>1</v>
      </c>
      <c r="UM120" s="525">
        <f t="shared" si="2292"/>
        <v>1</v>
      </c>
      <c r="UN120" s="525">
        <f t="shared" si="2292"/>
        <v>1</v>
      </c>
      <c r="UO120" s="525">
        <f t="shared" si="2292"/>
        <v>1</v>
      </c>
      <c r="UP120" s="525">
        <f t="shared" si="2292"/>
        <v>1</v>
      </c>
      <c r="UQ120" s="525">
        <f t="shared" ref="UQ120:UT120" si="2293">SUMPRODUCT(UQ114:UQ119,$C$114:$C$119)/$C$120</f>
        <v>1</v>
      </c>
      <c r="UR120" s="525">
        <f t="shared" si="2293"/>
        <v>1</v>
      </c>
      <c r="US120" s="525">
        <f t="shared" si="2293"/>
        <v>1</v>
      </c>
      <c r="UT120" s="525">
        <f t="shared" si="2293"/>
        <v>1</v>
      </c>
      <c r="UU120" s="201"/>
    </row>
    <row r="121" spans="2:567" x14ac:dyDescent="0.25">
      <c r="B121" s="107" t="s">
        <v>604</v>
      </c>
      <c r="C121" s="63"/>
      <c r="D121" s="42" t="s">
        <v>611</v>
      </c>
      <c r="E121" s="104">
        <v>1</v>
      </c>
      <c r="F121" s="114"/>
      <c r="G121" s="118"/>
      <c r="H121" s="114"/>
      <c r="I121" s="119"/>
      <c r="J121" s="149">
        <v>0</v>
      </c>
      <c r="K121" s="149">
        <v>0</v>
      </c>
      <c r="S121" s="145"/>
      <c r="T121" s="92">
        <f t="shared" ref="T121:AY121" si="2294">-(T108/$C$120)*T120*$E121</f>
        <v>-20024.375</v>
      </c>
      <c r="U121" s="92">
        <f t="shared" si="2294"/>
        <v>-20148.75</v>
      </c>
      <c r="V121" s="92">
        <f t="shared" si="2294"/>
        <v>-20273.125000000004</v>
      </c>
      <c r="W121" s="92">
        <f t="shared" si="2294"/>
        <v>-20397.499999999996</v>
      </c>
      <c r="X121" s="92">
        <f t="shared" si="2294"/>
        <v>-20521.875000000011</v>
      </c>
      <c r="Y121" s="92">
        <f t="shared" si="2294"/>
        <v>-20646.249999999996</v>
      </c>
      <c r="Z121" s="92">
        <f t="shared" si="2294"/>
        <v>-20770.625000000011</v>
      </c>
      <c r="AA121" s="92">
        <f t="shared" si="2294"/>
        <v>-20894.999999999982</v>
      </c>
      <c r="AB121" s="92">
        <f t="shared" si="2294"/>
        <v>-21019.375000000011</v>
      </c>
      <c r="AC121" s="92">
        <f t="shared" si="2294"/>
        <v>-21143.750000000011</v>
      </c>
      <c r="AD121" s="92">
        <f t="shared" si="2294"/>
        <v>-21268.124999999982</v>
      </c>
      <c r="AE121" s="92">
        <f t="shared" si="2294"/>
        <v>-21392.500000000011</v>
      </c>
      <c r="AF121" s="92">
        <f t="shared" si="2294"/>
        <v>-21561.196239538654</v>
      </c>
      <c r="AG121" s="92">
        <f t="shared" si="2294"/>
        <v>-21730.496685560083</v>
      </c>
      <c r="AH121" s="92">
        <f t="shared" si="2294"/>
        <v>-21900.403111431395</v>
      </c>
      <c r="AI121" s="92">
        <f t="shared" si="2294"/>
        <v>-22070.917295262127</v>
      </c>
      <c r="AJ121" s="92">
        <f t="shared" si="2294"/>
        <v>-22242.041019915749</v>
      </c>
      <c r="AK121" s="92">
        <f t="shared" si="2294"/>
        <v>-22413.776073021716</v>
      </c>
      <c r="AL121" s="92">
        <f t="shared" si="2294"/>
        <v>-22586.124246988038</v>
      </c>
      <c r="AM121" s="92">
        <f t="shared" si="2294"/>
        <v>-22759.08733901284</v>
      </c>
      <c r="AN121" s="92">
        <f t="shared" si="2294"/>
        <v>-22932.667151096543</v>
      </c>
      <c r="AO121" s="92">
        <f t="shared" si="2294"/>
        <v>-23106.865490054508</v>
      </c>
      <c r="AP121" s="92">
        <f t="shared" si="2294"/>
        <v>-23281.684167528711</v>
      </c>
      <c r="AQ121" s="92">
        <f t="shared" si="2294"/>
        <v>-23457.124999999945</v>
      </c>
      <c r="AR121" s="92">
        <f t="shared" si="2294"/>
        <v>0</v>
      </c>
      <c r="AS121" s="92">
        <f t="shared" si="2294"/>
        <v>0</v>
      </c>
      <c r="AT121" s="92">
        <f t="shared" si="2294"/>
        <v>0</v>
      </c>
      <c r="AU121" s="92">
        <f t="shared" si="2294"/>
        <v>0</v>
      </c>
      <c r="AV121" s="92">
        <f t="shared" si="2294"/>
        <v>0</v>
      </c>
      <c r="AW121" s="92">
        <f t="shared" si="2294"/>
        <v>0</v>
      </c>
      <c r="AX121" s="92">
        <f t="shared" si="2294"/>
        <v>0</v>
      </c>
      <c r="AY121" s="92">
        <f t="shared" si="2294"/>
        <v>0</v>
      </c>
      <c r="AZ121" s="92">
        <f t="shared" ref="AZ121:CE121" si="2295">-(AZ108/$C$120)*AZ120*$E121</f>
        <v>0</v>
      </c>
      <c r="BA121" s="92">
        <f t="shared" si="2295"/>
        <v>0</v>
      </c>
      <c r="BB121" s="92">
        <f t="shared" si="2295"/>
        <v>0</v>
      </c>
      <c r="BC121" s="92">
        <f t="shared" si="2295"/>
        <v>0</v>
      </c>
      <c r="BD121" s="92">
        <f t="shared" si="2295"/>
        <v>0</v>
      </c>
      <c r="BE121" s="92">
        <f t="shared" si="2295"/>
        <v>0</v>
      </c>
      <c r="BF121" s="92">
        <f t="shared" si="2295"/>
        <v>0</v>
      </c>
      <c r="BG121" s="92">
        <f t="shared" si="2295"/>
        <v>0</v>
      </c>
      <c r="BH121" s="92">
        <f t="shared" si="2295"/>
        <v>0</v>
      </c>
      <c r="BI121" s="92">
        <f t="shared" si="2295"/>
        <v>0</v>
      </c>
      <c r="BJ121" s="92">
        <f t="shared" si="2295"/>
        <v>0</v>
      </c>
      <c r="BK121" s="92">
        <f t="shared" si="2295"/>
        <v>0</v>
      </c>
      <c r="BL121" s="92">
        <f t="shared" si="2295"/>
        <v>0</v>
      </c>
      <c r="BM121" s="92">
        <f t="shared" si="2295"/>
        <v>0</v>
      </c>
      <c r="BN121" s="92">
        <f t="shared" si="2295"/>
        <v>0</v>
      </c>
      <c r="BO121" s="92">
        <f t="shared" si="2295"/>
        <v>0</v>
      </c>
      <c r="BP121" s="92">
        <f t="shared" si="2295"/>
        <v>0</v>
      </c>
      <c r="BQ121" s="92">
        <f t="shared" si="2295"/>
        <v>0</v>
      </c>
      <c r="BR121" s="92">
        <f t="shared" si="2295"/>
        <v>0</v>
      </c>
      <c r="BS121" s="92">
        <f t="shared" si="2295"/>
        <v>0</v>
      </c>
      <c r="BT121" s="92">
        <f t="shared" si="2295"/>
        <v>0</v>
      </c>
      <c r="BU121" s="92">
        <f t="shared" si="2295"/>
        <v>0</v>
      </c>
      <c r="BV121" s="92">
        <f t="shared" si="2295"/>
        <v>0</v>
      </c>
      <c r="BW121" s="92">
        <f t="shared" si="2295"/>
        <v>0</v>
      </c>
      <c r="BX121" s="92">
        <f t="shared" si="2295"/>
        <v>0</v>
      </c>
      <c r="BY121" s="92">
        <f t="shared" si="2295"/>
        <v>0</v>
      </c>
      <c r="BZ121" s="92">
        <f t="shared" si="2295"/>
        <v>0</v>
      </c>
      <c r="CA121" s="92">
        <f t="shared" si="2295"/>
        <v>0</v>
      </c>
      <c r="CB121" s="92">
        <f t="shared" si="2295"/>
        <v>0</v>
      </c>
      <c r="CC121" s="92">
        <f t="shared" si="2295"/>
        <v>0</v>
      </c>
      <c r="CD121" s="92">
        <f t="shared" si="2295"/>
        <v>0</v>
      </c>
      <c r="CE121" s="92">
        <f t="shared" si="2295"/>
        <v>0</v>
      </c>
      <c r="CF121" s="92">
        <f t="shared" ref="CF121:DK121" si="2296">-(CF108/$C$120)*CF120*$E121</f>
        <v>0</v>
      </c>
      <c r="CG121" s="92">
        <f t="shared" si="2296"/>
        <v>0</v>
      </c>
      <c r="CH121" s="92">
        <f t="shared" si="2296"/>
        <v>0</v>
      </c>
      <c r="CI121" s="92">
        <f t="shared" si="2296"/>
        <v>0</v>
      </c>
      <c r="CJ121" s="92">
        <f t="shared" si="2296"/>
        <v>0</v>
      </c>
      <c r="CK121" s="92">
        <f t="shared" si="2296"/>
        <v>0</v>
      </c>
      <c r="CL121" s="92">
        <f t="shared" si="2296"/>
        <v>0</v>
      </c>
      <c r="CM121" s="92">
        <f t="shared" si="2296"/>
        <v>0</v>
      </c>
      <c r="CN121" s="92">
        <f t="shared" si="2296"/>
        <v>0</v>
      </c>
      <c r="CO121" s="92">
        <f t="shared" si="2296"/>
        <v>0</v>
      </c>
      <c r="CP121" s="92">
        <f t="shared" si="2296"/>
        <v>0</v>
      </c>
      <c r="CQ121" s="92">
        <f t="shared" si="2296"/>
        <v>0</v>
      </c>
      <c r="CR121" s="92">
        <f t="shared" si="2296"/>
        <v>0</v>
      </c>
      <c r="CS121" s="92">
        <f t="shared" si="2296"/>
        <v>0</v>
      </c>
      <c r="CT121" s="92">
        <f t="shared" si="2296"/>
        <v>0</v>
      </c>
      <c r="CU121" s="92">
        <f t="shared" si="2296"/>
        <v>0</v>
      </c>
      <c r="CV121" s="92">
        <f t="shared" si="2296"/>
        <v>0</v>
      </c>
      <c r="CW121" s="92">
        <f t="shared" si="2296"/>
        <v>0</v>
      </c>
      <c r="CX121" s="92">
        <f t="shared" si="2296"/>
        <v>0</v>
      </c>
      <c r="CY121" s="92">
        <f t="shared" si="2296"/>
        <v>0</v>
      </c>
      <c r="CZ121" s="92">
        <f t="shared" si="2296"/>
        <v>0</v>
      </c>
      <c r="DA121" s="92">
        <f t="shared" si="2296"/>
        <v>0</v>
      </c>
      <c r="DB121" s="92">
        <f t="shared" si="2296"/>
        <v>0</v>
      </c>
      <c r="DC121" s="92">
        <f t="shared" si="2296"/>
        <v>0</v>
      </c>
      <c r="DD121" s="92">
        <f t="shared" si="2296"/>
        <v>0</v>
      </c>
      <c r="DE121" s="92">
        <f t="shared" si="2296"/>
        <v>0</v>
      </c>
      <c r="DF121" s="92">
        <f t="shared" si="2296"/>
        <v>0</v>
      </c>
      <c r="DG121" s="92">
        <f t="shared" si="2296"/>
        <v>0</v>
      </c>
      <c r="DH121" s="92">
        <f t="shared" si="2296"/>
        <v>0</v>
      </c>
      <c r="DI121" s="92">
        <f t="shared" si="2296"/>
        <v>0</v>
      </c>
      <c r="DJ121" s="92">
        <f t="shared" si="2296"/>
        <v>0</v>
      </c>
      <c r="DK121" s="92">
        <f t="shared" si="2296"/>
        <v>0</v>
      </c>
      <c r="DL121" s="92">
        <f t="shared" ref="DL121:EQ121" si="2297">-(DL108/$C$120)*DL120*$E121</f>
        <v>0</v>
      </c>
      <c r="DM121" s="92">
        <f t="shared" si="2297"/>
        <v>0</v>
      </c>
      <c r="DN121" s="92">
        <f t="shared" si="2297"/>
        <v>0</v>
      </c>
      <c r="DO121" s="92">
        <f t="shared" si="2297"/>
        <v>0</v>
      </c>
      <c r="DP121" s="92">
        <f t="shared" si="2297"/>
        <v>0</v>
      </c>
      <c r="DQ121" s="92">
        <f t="shared" si="2297"/>
        <v>0</v>
      </c>
      <c r="DR121" s="92">
        <f t="shared" si="2297"/>
        <v>0</v>
      </c>
      <c r="DS121" s="92">
        <f t="shared" si="2297"/>
        <v>0</v>
      </c>
      <c r="DT121" s="92">
        <f t="shared" si="2297"/>
        <v>0</v>
      </c>
      <c r="DU121" s="92">
        <f t="shared" si="2297"/>
        <v>0</v>
      </c>
      <c r="DV121" s="92">
        <f t="shared" si="2297"/>
        <v>0</v>
      </c>
      <c r="DW121" s="92">
        <f t="shared" si="2297"/>
        <v>0</v>
      </c>
      <c r="DX121" s="92">
        <f t="shared" si="2297"/>
        <v>0</v>
      </c>
      <c r="DY121" s="92">
        <f t="shared" si="2297"/>
        <v>0</v>
      </c>
      <c r="DZ121" s="92">
        <f t="shared" si="2297"/>
        <v>0</v>
      </c>
      <c r="EA121" s="92">
        <f t="shared" si="2297"/>
        <v>0</v>
      </c>
      <c r="EB121" s="92">
        <f t="shared" si="2297"/>
        <v>0</v>
      </c>
      <c r="EC121" s="92">
        <f t="shared" si="2297"/>
        <v>0</v>
      </c>
      <c r="ED121" s="92">
        <f t="shared" si="2297"/>
        <v>0</v>
      </c>
      <c r="EE121" s="92">
        <f t="shared" si="2297"/>
        <v>0</v>
      </c>
      <c r="EF121" s="92">
        <f t="shared" si="2297"/>
        <v>0</v>
      </c>
      <c r="EG121" s="92">
        <f t="shared" si="2297"/>
        <v>0</v>
      </c>
      <c r="EH121" s="92">
        <f t="shared" si="2297"/>
        <v>0</v>
      </c>
      <c r="EI121" s="92">
        <f t="shared" si="2297"/>
        <v>0</v>
      </c>
      <c r="EJ121" s="92">
        <f t="shared" si="2297"/>
        <v>0</v>
      </c>
      <c r="EK121" s="92">
        <f t="shared" si="2297"/>
        <v>0</v>
      </c>
      <c r="EL121" s="92">
        <f t="shared" si="2297"/>
        <v>0</v>
      </c>
      <c r="EM121" s="92">
        <f t="shared" si="2297"/>
        <v>0</v>
      </c>
      <c r="EN121" s="92">
        <f t="shared" si="2297"/>
        <v>0</v>
      </c>
      <c r="EO121" s="92">
        <f t="shared" si="2297"/>
        <v>0</v>
      </c>
      <c r="EP121" s="92">
        <f t="shared" si="2297"/>
        <v>0</v>
      </c>
      <c r="EQ121" s="92">
        <f t="shared" si="2297"/>
        <v>0</v>
      </c>
      <c r="ER121" s="92">
        <f t="shared" ref="ER121:EU121" si="2298">-(ER108/$C$120)*ER120*$E121</f>
        <v>0</v>
      </c>
      <c r="ES121" s="92">
        <f t="shared" si="2298"/>
        <v>0</v>
      </c>
      <c r="ET121" s="92">
        <f t="shared" si="2298"/>
        <v>0</v>
      </c>
      <c r="EU121" s="92">
        <f t="shared" si="2298"/>
        <v>0</v>
      </c>
      <c r="FC121" s="199"/>
      <c r="FD121" s="199"/>
      <c r="FE121" s="199"/>
      <c r="FF121" s="199"/>
      <c r="FG121" s="199"/>
      <c r="FH121" s="199"/>
      <c r="FI121" s="199"/>
      <c r="FJ121" s="199"/>
      <c r="FK121" s="199"/>
      <c r="FL121" s="199"/>
      <c r="FM121" s="199"/>
      <c r="FN121" s="199"/>
      <c r="FO121" s="199"/>
      <c r="FP121" s="199"/>
      <c r="FQ121" s="199"/>
      <c r="FR121" s="199"/>
      <c r="FS121" s="199"/>
      <c r="FT121" s="199"/>
      <c r="FU121" s="199"/>
      <c r="FV121" s="199"/>
      <c r="FW121" s="199"/>
      <c r="FX121" s="199"/>
      <c r="FY121" s="199"/>
      <c r="FZ121" s="199"/>
      <c r="GA121" s="199"/>
      <c r="GB121" s="199"/>
      <c r="GC121" s="199"/>
      <c r="GD121" s="199"/>
      <c r="GE121" s="199"/>
      <c r="GF121" s="199"/>
      <c r="GG121" s="199"/>
      <c r="GH121" s="199"/>
      <c r="GI121" s="199"/>
      <c r="GJ121" s="199"/>
      <c r="GK121" s="199"/>
      <c r="GL121" s="199"/>
      <c r="GM121" s="199"/>
      <c r="GN121" s="199"/>
      <c r="GO121" s="199"/>
      <c r="GP121" s="199"/>
      <c r="GQ121" s="199"/>
      <c r="GR121" s="199"/>
      <c r="GS121" s="199"/>
      <c r="GT121" s="199"/>
      <c r="GU121" s="199"/>
      <c r="GV121" s="199"/>
      <c r="GW121" s="199"/>
      <c r="GX121" s="199"/>
      <c r="GY121" s="199"/>
      <c r="GZ121" s="199"/>
      <c r="HA121" s="199"/>
      <c r="HB121" s="199"/>
      <c r="HC121" s="199"/>
      <c r="HD121" s="199"/>
      <c r="HE121" s="199"/>
      <c r="HF121" s="199"/>
      <c r="HG121" s="199"/>
      <c r="HH121" s="199"/>
      <c r="HI121" s="199"/>
      <c r="HJ121" s="199"/>
      <c r="HK121" s="199"/>
      <c r="HL121" s="199"/>
      <c r="HM121" s="199"/>
      <c r="HN121" s="199"/>
      <c r="HO121" s="199"/>
      <c r="HP121" s="199"/>
      <c r="HQ121" s="199"/>
      <c r="HR121" s="199"/>
      <c r="HS121" s="199"/>
      <c r="HT121" s="199"/>
      <c r="HU121" s="199"/>
      <c r="HV121" s="199"/>
      <c r="HW121" s="199"/>
      <c r="HX121" s="199"/>
      <c r="HY121" s="199"/>
      <c r="HZ121" s="199"/>
      <c r="IA121" s="199"/>
      <c r="IB121" s="199"/>
      <c r="IC121" s="199"/>
      <c r="ID121" s="199"/>
      <c r="IE121" s="199"/>
      <c r="IF121" s="199"/>
      <c r="IG121" s="199"/>
      <c r="IH121" s="199"/>
      <c r="II121" s="199"/>
      <c r="IJ121" s="199"/>
      <c r="IK121" s="199"/>
      <c r="IL121" s="199"/>
      <c r="IM121" s="199"/>
      <c r="IN121" s="199"/>
      <c r="IO121" s="199"/>
      <c r="IP121" s="199"/>
      <c r="IQ121" s="199"/>
      <c r="IR121" s="199"/>
      <c r="IS121" s="199"/>
      <c r="IT121" s="199"/>
      <c r="IU121" s="199"/>
      <c r="IV121" s="199"/>
      <c r="IW121" s="199"/>
      <c r="IX121" s="199"/>
      <c r="IY121" s="199"/>
      <c r="IZ121" s="199"/>
      <c r="JA121" s="199"/>
      <c r="JB121" s="199"/>
      <c r="JC121" s="199"/>
      <c r="JD121" s="199"/>
      <c r="JE121" s="199"/>
      <c r="JF121" s="199"/>
      <c r="JG121" s="199"/>
      <c r="JH121" s="199"/>
      <c r="JI121" s="199"/>
      <c r="JJ121" s="199"/>
      <c r="JK121" s="199"/>
      <c r="JL121" s="199"/>
      <c r="JM121" s="199"/>
      <c r="JN121" s="199"/>
      <c r="JO121" s="199"/>
      <c r="JP121" s="199"/>
      <c r="JQ121" s="199"/>
      <c r="JR121" s="199"/>
      <c r="JS121" s="199"/>
      <c r="JT121" s="199"/>
      <c r="JU121" s="199"/>
      <c r="JV121" s="199"/>
      <c r="JW121" s="199"/>
      <c r="JX121" s="199"/>
      <c r="JY121" s="199"/>
      <c r="JZ121" s="199"/>
      <c r="KA121" s="199"/>
      <c r="KB121" s="199"/>
      <c r="KC121" s="199"/>
      <c r="KD121" s="199"/>
      <c r="KE121" s="199"/>
      <c r="LK121" s="225"/>
      <c r="PQ121" s="201"/>
      <c r="PR121" s="201"/>
      <c r="PS121" s="525"/>
      <c r="PT121" s="525"/>
      <c r="PU121" s="525"/>
      <c r="PV121" s="525"/>
      <c r="PW121" s="525"/>
      <c r="PX121" s="525"/>
      <c r="PY121" s="525"/>
      <c r="PZ121" s="525"/>
      <c r="QA121" s="525"/>
      <c r="QB121" s="525"/>
      <c r="QC121" s="525"/>
      <c r="QD121" s="525"/>
      <c r="QE121" s="525"/>
      <c r="QF121" s="525"/>
      <c r="QG121" s="525"/>
      <c r="QH121" s="525"/>
      <c r="QI121" s="525"/>
      <c r="QJ121" s="525"/>
      <c r="QK121" s="525"/>
      <c r="QL121" s="525"/>
      <c r="QM121" s="525"/>
      <c r="QN121" s="525"/>
      <c r="QO121" s="525"/>
      <c r="QP121" s="525"/>
      <c r="QQ121" s="525"/>
      <c r="QR121" s="525"/>
      <c r="QS121" s="525"/>
      <c r="QT121" s="525"/>
      <c r="QU121" s="525"/>
      <c r="QV121" s="525"/>
      <c r="QW121" s="525"/>
      <c r="QX121" s="525"/>
      <c r="QY121" s="525"/>
      <c r="QZ121" s="525"/>
      <c r="RA121" s="525"/>
      <c r="RB121" s="525"/>
      <c r="RC121" s="525"/>
      <c r="RD121" s="525"/>
      <c r="RE121" s="525"/>
      <c r="RF121" s="525"/>
      <c r="RG121" s="525"/>
      <c r="RH121" s="525"/>
      <c r="RI121" s="525"/>
      <c r="RJ121" s="525"/>
      <c r="RK121" s="525"/>
      <c r="RL121" s="525"/>
      <c r="RM121" s="525"/>
      <c r="RN121" s="525"/>
      <c r="RO121" s="525"/>
      <c r="RP121" s="525"/>
      <c r="RQ121" s="525"/>
      <c r="RR121" s="525"/>
      <c r="RS121" s="525"/>
      <c r="RT121" s="525"/>
      <c r="RU121" s="525"/>
      <c r="RV121" s="525"/>
      <c r="RW121" s="525"/>
      <c r="RX121" s="525"/>
      <c r="RY121" s="525"/>
      <c r="RZ121" s="525"/>
      <c r="SA121" s="525"/>
      <c r="SB121" s="525"/>
      <c r="SC121" s="525"/>
      <c r="SD121" s="525"/>
      <c r="SE121" s="525"/>
      <c r="SF121" s="525"/>
      <c r="SG121" s="525"/>
      <c r="SH121" s="525"/>
      <c r="SI121" s="525"/>
      <c r="SJ121" s="525"/>
      <c r="SK121" s="525"/>
      <c r="SL121" s="525"/>
      <c r="SM121" s="525"/>
      <c r="SN121" s="525"/>
      <c r="SO121" s="525"/>
      <c r="SP121" s="525"/>
      <c r="SQ121" s="525"/>
      <c r="SR121" s="525"/>
      <c r="SS121" s="525"/>
      <c r="ST121" s="525"/>
      <c r="SU121" s="525"/>
      <c r="SV121" s="525"/>
      <c r="SW121" s="525"/>
      <c r="SX121" s="525"/>
      <c r="SY121" s="525"/>
      <c r="SZ121" s="525"/>
      <c r="TA121" s="525"/>
      <c r="TB121" s="525"/>
      <c r="TC121" s="525"/>
      <c r="TD121" s="525"/>
      <c r="TE121" s="525"/>
      <c r="TF121" s="525"/>
      <c r="TG121" s="525"/>
      <c r="TH121" s="525"/>
      <c r="TI121" s="525"/>
      <c r="TJ121" s="525"/>
      <c r="TK121" s="525"/>
      <c r="TL121" s="525"/>
      <c r="TM121" s="525"/>
      <c r="TN121" s="525"/>
      <c r="TO121" s="525"/>
      <c r="TP121" s="525"/>
      <c r="TQ121" s="525"/>
      <c r="TR121" s="525"/>
      <c r="TS121" s="525"/>
      <c r="TT121" s="525"/>
      <c r="TU121" s="525"/>
      <c r="TV121" s="525"/>
      <c r="TW121" s="525"/>
      <c r="TX121" s="525"/>
      <c r="TY121" s="525"/>
      <c r="TZ121" s="525"/>
      <c r="UA121" s="525"/>
      <c r="UB121" s="525"/>
      <c r="UC121" s="525"/>
      <c r="UD121" s="525"/>
      <c r="UE121" s="525"/>
      <c r="UF121" s="525"/>
      <c r="UG121" s="525"/>
      <c r="UH121" s="525"/>
      <c r="UI121" s="525"/>
      <c r="UJ121" s="525"/>
      <c r="UK121" s="525"/>
      <c r="UL121" s="525"/>
      <c r="UM121" s="525"/>
      <c r="UN121" s="525"/>
      <c r="UO121" s="525"/>
      <c r="UP121" s="525"/>
      <c r="UQ121" s="525"/>
      <c r="UR121" s="525"/>
      <c r="US121" s="525"/>
      <c r="UT121" s="525"/>
      <c r="UU121" s="201"/>
    </row>
    <row r="122" spans="2:567" x14ac:dyDescent="0.25">
      <c r="B122" s="107" t="s">
        <v>131</v>
      </c>
      <c r="C122" s="18"/>
      <c r="D122" s="26" t="s">
        <v>141</v>
      </c>
      <c r="E122" s="128">
        <v>13</v>
      </c>
      <c r="F122" s="131" t="s">
        <v>746</v>
      </c>
      <c r="G122" s="584">
        <v>1</v>
      </c>
      <c r="H122" s="131" t="s">
        <v>746</v>
      </c>
      <c r="I122" s="584">
        <v>0</v>
      </c>
      <c r="J122" s="149">
        <f>T122*12</f>
        <v>-425132.88461538462</v>
      </c>
      <c r="K122" s="129">
        <f>-(I122/E122)*K120</f>
        <v>0</v>
      </c>
      <c r="M122" s="3" t="s">
        <v>841</v>
      </c>
      <c r="S122" s="145"/>
      <c r="T122" s="93">
        <f t="shared" ref="T122:AY122" si="2299">-((1-T109)*$G122+T109*$I122)/$E$122*T120</f>
        <v>-35427.740384615383</v>
      </c>
      <c r="U122" s="93">
        <f t="shared" si="2299"/>
        <v>-34097.884615384617</v>
      </c>
      <c r="V122" s="93">
        <f t="shared" si="2299"/>
        <v>-32748.89423076923</v>
      </c>
      <c r="W122" s="93">
        <f t="shared" si="2299"/>
        <v>-31380.769230769234</v>
      </c>
      <c r="X122" s="93">
        <f t="shared" si="2299"/>
        <v>-29993.509615384613</v>
      </c>
      <c r="Y122" s="93">
        <f t="shared" si="2299"/>
        <v>-28587.115384615387</v>
      </c>
      <c r="Z122" s="93">
        <f t="shared" si="2299"/>
        <v>-27161.586538461535</v>
      </c>
      <c r="AA122" s="93">
        <f t="shared" si="2299"/>
        <v>-25716.923076923078</v>
      </c>
      <c r="AB122" s="93">
        <f t="shared" si="2299"/>
        <v>-24253.125</v>
      </c>
      <c r="AC122" s="93">
        <f t="shared" si="2299"/>
        <v>-22770.192307692305</v>
      </c>
      <c r="AD122" s="93">
        <f t="shared" si="2299"/>
        <v>-21268.125000000004</v>
      </c>
      <c r="AE122" s="93">
        <f t="shared" si="2299"/>
        <v>-19746.923076923078</v>
      </c>
      <c r="AF122" s="93">
        <f t="shared" si="2299"/>
        <v>-18244.08912576349</v>
      </c>
      <c r="AG122" s="93">
        <f t="shared" si="2299"/>
        <v>-16715.766681200035</v>
      </c>
      <c r="AH122" s="93">
        <f t="shared" si="2299"/>
        <v>-15161.817538683286</v>
      </c>
      <c r="AI122" s="93">
        <f t="shared" si="2299"/>
        <v>-13582.102950930552</v>
      </c>
      <c r="AJ122" s="93">
        <f t="shared" si="2299"/>
        <v>-11976.483626108457</v>
      </c>
      <c r="AK122" s="93">
        <f t="shared" si="2299"/>
        <v>-10344.819726010033</v>
      </c>
      <c r="AL122" s="93">
        <f t="shared" si="2299"/>
        <v>-8686.9708642261776</v>
      </c>
      <c r="AM122" s="93">
        <f t="shared" si="2299"/>
        <v>-7002.7961043116302</v>
      </c>
      <c r="AN122" s="93">
        <f t="shared" si="2299"/>
        <v>-5292.1539579453611</v>
      </c>
      <c r="AO122" s="93">
        <f t="shared" si="2299"/>
        <v>-3554.9023830853139</v>
      </c>
      <c r="AP122" s="93">
        <f t="shared" si="2299"/>
        <v>-1790.8987821175886</v>
      </c>
      <c r="AQ122" s="93">
        <f t="shared" si="2299"/>
        <v>0</v>
      </c>
      <c r="AR122" s="93">
        <f t="shared" si="2299"/>
        <v>0</v>
      </c>
      <c r="AS122" s="93">
        <f t="shared" si="2299"/>
        <v>0</v>
      </c>
      <c r="AT122" s="93">
        <f t="shared" si="2299"/>
        <v>0</v>
      </c>
      <c r="AU122" s="93">
        <f t="shared" si="2299"/>
        <v>0</v>
      </c>
      <c r="AV122" s="93">
        <f t="shared" si="2299"/>
        <v>0</v>
      </c>
      <c r="AW122" s="93">
        <f t="shared" si="2299"/>
        <v>0</v>
      </c>
      <c r="AX122" s="93">
        <f t="shared" si="2299"/>
        <v>0</v>
      </c>
      <c r="AY122" s="93">
        <f t="shared" si="2299"/>
        <v>0</v>
      </c>
      <c r="AZ122" s="93">
        <f t="shared" ref="AZ122:CE122" si="2300">-((1-AZ109)*$G122+AZ109*$I122)/$E$122*AZ120</f>
        <v>0</v>
      </c>
      <c r="BA122" s="93">
        <f t="shared" si="2300"/>
        <v>0</v>
      </c>
      <c r="BB122" s="93">
        <f t="shared" si="2300"/>
        <v>0</v>
      </c>
      <c r="BC122" s="93">
        <f t="shared" si="2300"/>
        <v>0</v>
      </c>
      <c r="BD122" s="93">
        <f t="shared" si="2300"/>
        <v>0</v>
      </c>
      <c r="BE122" s="93">
        <f t="shared" si="2300"/>
        <v>0</v>
      </c>
      <c r="BF122" s="93">
        <f t="shared" si="2300"/>
        <v>0</v>
      </c>
      <c r="BG122" s="93">
        <f t="shared" si="2300"/>
        <v>0</v>
      </c>
      <c r="BH122" s="93">
        <f t="shared" si="2300"/>
        <v>0</v>
      </c>
      <c r="BI122" s="93">
        <f t="shared" si="2300"/>
        <v>0</v>
      </c>
      <c r="BJ122" s="93">
        <f t="shared" si="2300"/>
        <v>0</v>
      </c>
      <c r="BK122" s="93">
        <f t="shared" si="2300"/>
        <v>0</v>
      </c>
      <c r="BL122" s="93">
        <f t="shared" si="2300"/>
        <v>0</v>
      </c>
      <c r="BM122" s="93">
        <f t="shared" si="2300"/>
        <v>0</v>
      </c>
      <c r="BN122" s="93">
        <f t="shared" si="2300"/>
        <v>0</v>
      </c>
      <c r="BO122" s="93">
        <f t="shared" si="2300"/>
        <v>0</v>
      </c>
      <c r="BP122" s="93">
        <f t="shared" si="2300"/>
        <v>0</v>
      </c>
      <c r="BQ122" s="93">
        <f t="shared" si="2300"/>
        <v>0</v>
      </c>
      <c r="BR122" s="93">
        <f t="shared" si="2300"/>
        <v>0</v>
      </c>
      <c r="BS122" s="93">
        <f t="shared" si="2300"/>
        <v>0</v>
      </c>
      <c r="BT122" s="93">
        <f t="shared" si="2300"/>
        <v>0</v>
      </c>
      <c r="BU122" s="93">
        <f t="shared" si="2300"/>
        <v>0</v>
      </c>
      <c r="BV122" s="93">
        <f t="shared" si="2300"/>
        <v>0</v>
      </c>
      <c r="BW122" s="93">
        <f t="shared" si="2300"/>
        <v>0</v>
      </c>
      <c r="BX122" s="93">
        <f t="shared" si="2300"/>
        <v>0</v>
      </c>
      <c r="BY122" s="93">
        <f t="shared" si="2300"/>
        <v>0</v>
      </c>
      <c r="BZ122" s="93">
        <f t="shared" si="2300"/>
        <v>0</v>
      </c>
      <c r="CA122" s="93">
        <f t="shared" si="2300"/>
        <v>0</v>
      </c>
      <c r="CB122" s="93">
        <f t="shared" si="2300"/>
        <v>0</v>
      </c>
      <c r="CC122" s="93">
        <f t="shared" si="2300"/>
        <v>0</v>
      </c>
      <c r="CD122" s="93">
        <f t="shared" si="2300"/>
        <v>0</v>
      </c>
      <c r="CE122" s="93">
        <f t="shared" si="2300"/>
        <v>0</v>
      </c>
      <c r="CF122" s="93">
        <f t="shared" ref="CF122:DK122" si="2301">-((1-CF109)*$G122+CF109*$I122)/$E$122*CF120</f>
        <v>0</v>
      </c>
      <c r="CG122" s="93">
        <f t="shared" si="2301"/>
        <v>0</v>
      </c>
      <c r="CH122" s="93">
        <f t="shared" si="2301"/>
        <v>0</v>
      </c>
      <c r="CI122" s="93">
        <f t="shared" si="2301"/>
        <v>0</v>
      </c>
      <c r="CJ122" s="93">
        <f t="shared" si="2301"/>
        <v>0</v>
      </c>
      <c r="CK122" s="93">
        <f t="shared" si="2301"/>
        <v>0</v>
      </c>
      <c r="CL122" s="93">
        <f t="shared" si="2301"/>
        <v>0</v>
      </c>
      <c r="CM122" s="93">
        <f t="shared" si="2301"/>
        <v>0</v>
      </c>
      <c r="CN122" s="93">
        <f t="shared" si="2301"/>
        <v>0</v>
      </c>
      <c r="CO122" s="93">
        <f t="shared" si="2301"/>
        <v>0</v>
      </c>
      <c r="CP122" s="93">
        <f t="shared" si="2301"/>
        <v>0</v>
      </c>
      <c r="CQ122" s="93">
        <f t="shared" si="2301"/>
        <v>0</v>
      </c>
      <c r="CR122" s="93">
        <f t="shared" si="2301"/>
        <v>0</v>
      </c>
      <c r="CS122" s="93">
        <f t="shared" si="2301"/>
        <v>0</v>
      </c>
      <c r="CT122" s="93">
        <f t="shared" si="2301"/>
        <v>0</v>
      </c>
      <c r="CU122" s="93">
        <f t="shared" si="2301"/>
        <v>0</v>
      </c>
      <c r="CV122" s="93">
        <f t="shared" si="2301"/>
        <v>0</v>
      </c>
      <c r="CW122" s="93">
        <f t="shared" si="2301"/>
        <v>0</v>
      </c>
      <c r="CX122" s="93">
        <f t="shared" si="2301"/>
        <v>0</v>
      </c>
      <c r="CY122" s="93">
        <f t="shared" si="2301"/>
        <v>0</v>
      </c>
      <c r="CZ122" s="93">
        <f t="shared" si="2301"/>
        <v>0</v>
      </c>
      <c r="DA122" s="93">
        <f t="shared" si="2301"/>
        <v>0</v>
      </c>
      <c r="DB122" s="93">
        <f t="shared" si="2301"/>
        <v>0</v>
      </c>
      <c r="DC122" s="93">
        <f t="shared" si="2301"/>
        <v>0</v>
      </c>
      <c r="DD122" s="93">
        <f t="shared" si="2301"/>
        <v>0</v>
      </c>
      <c r="DE122" s="93">
        <f t="shared" si="2301"/>
        <v>0</v>
      </c>
      <c r="DF122" s="93">
        <f t="shared" si="2301"/>
        <v>0</v>
      </c>
      <c r="DG122" s="93">
        <f t="shared" si="2301"/>
        <v>0</v>
      </c>
      <c r="DH122" s="93">
        <f t="shared" si="2301"/>
        <v>0</v>
      </c>
      <c r="DI122" s="93">
        <f t="shared" si="2301"/>
        <v>0</v>
      </c>
      <c r="DJ122" s="93">
        <f t="shared" si="2301"/>
        <v>0</v>
      </c>
      <c r="DK122" s="93">
        <f t="shared" si="2301"/>
        <v>0</v>
      </c>
      <c r="DL122" s="93">
        <f t="shared" ref="DL122:EU122" si="2302">-((1-DL109)*$G122+DL109*$I122)/$E$122*DL120</f>
        <v>0</v>
      </c>
      <c r="DM122" s="93">
        <f t="shared" si="2302"/>
        <v>0</v>
      </c>
      <c r="DN122" s="93">
        <f t="shared" si="2302"/>
        <v>0</v>
      </c>
      <c r="DO122" s="93">
        <f t="shared" si="2302"/>
        <v>0</v>
      </c>
      <c r="DP122" s="93">
        <f t="shared" si="2302"/>
        <v>0</v>
      </c>
      <c r="DQ122" s="93">
        <f t="shared" si="2302"/>
        <v>0</v>
      </c>
      <c r="DR122" s="93">
        <f t="shared" si="2302"/>
        <v>0</v>
      </c>
      <c r="DS122" s="93">
        <f t="shared" si="2302"/>
        <v>0</v>
      </c>
      <c r="DT122" s="93">
        <f t="shared" si="2302"/>
        <v>0</v>
      </c>
      <c r="DU122" s="93">
        <f t="shared" si="2302"/>
        <v>0</v>
      </c>
      <c r="DV122" s="93">
        <f t="shared" si="2302"/>
        <v>0</v>
      </c>
      <c r="DW122" s="93">
        <f t="shared" si="2302"/>
        <v>0</v>
      </c>
      <c r="DX122" s="93">
        <f t="shared" si="2302"/>
        <v>0</v>
      </c>
      <c r="DY122" s="93">
        <f t="shared" si="2302"/>
        <v>0</v>
      </c>
      <c r="DZ122" s="93">
        <f t="shared" si="2302"/>
        <v>0</v>
      </c>
      <c r="EA122" s="93">
        <f t="shared" si="2302"/>
        <v>0</v>
      </c>
      <c r="EB122" s="93">
        <f t="shared" si="2302"/>
        <v>0</v>
      </c>
      <c r="EC122" s="93">
        <f t="shared" si="2302"/>
        <v>0</v>
      </c>
      <c r="ED122" s="93">
        <f t="shared" si="2302"/>
        <v>0</v>
      </c>
      <c r="EE122" s="93">
        <f t="shared" si="2302"/>
        <v>0</v>
      </c>
      <c r="EF122" s="93">
        <f t="shared" si="2302"/>
        <v>0</v>
      </c>
      <c r="EG122" s="93">
        <f t="shared" si="2302"/>
        <v>0</v>
      </c>
      <c r="EH122" s="93">
        <f t="shared" si="2302"/>
        <v>0</v>
      </c>
      <c r="EI122" s="93">
        <f t="shared" si="2302"/>
        <v>0</v>
      </c>
      <c r="EJ122" s="93">
        <f t="shared" si="2302"/>
        <v>0</v>
      </c>
      <c r="EK122" s="93">
        <f t="shared" si="2302"/>
        <v>0</v>
      </c>
      <c r="EL122" s="93">
        <f t="shared" si="2302"/>
        <v>0</v>
      </c>
      <c r="EM122" s="93">
        <f t="shared" si="2302"/>
        <v>0</v>
      </c>
      <c r="EN122" s="93">
        <f t="shared" si="2302"/>
        <v>0</v>
      </c>
      <c r="EO122" s="93">
        <f t="shared" si="2302"/>
        <v>0</v>
      </c>
      <c r="EP122" s="93">
        <f t="shared" si="2302"/>
        <v>0</v>
      </c>
      <c r="EQ122" s="93">
        <f t="shared" si="2302"/>
        <v>0</v>
      </c>
      <c r="ER122" s="93">
        <f t="shared" si="2302"/>
        <v>0</v>
      </c>
      <c r="ES122" s="93">
        <f t="shared" si="2302"/>
        <v>0</v>
      </c>
      <c r="ET122" s="93">
        <f t="shared" si="2302"/>
        <v>0</v>
      </c>
      <c r="EU122" s="93">
        <f t="shared" si="2302"/>
        <v>0</v>
      </c>
      <c r="FC122" s="199"/>
      <c r="FD122" s="199"/>
      <c r="FE122" s="199"/>
      <c r="FF122" s="199"/>
      <c r="FG122" s="199"/>
      <c r="FH122" s="199"/>
      <c r="FI122" s="199"/>
      <c r="FJ122" s="199"/>
      <c r="FK122" s="199"/>
      <c r="FL122" s="199"/>
      <c r="FM122" s="199"/>
      <c r="FN122" s="199"/>
      <c r="FO122" s="199"/>
      <c r="FP122" s="199"/>
      <c r="FQ122" s="199"/>
      <c r="FR122" s="199"/>
      <c r="FS122" s="199"/>
      <c r="FT122" s="199"/>
      <c r="FU122" s="199"/>
      <c r="FV122" s="199"/>
      <c r="FW122" s="199"/>
      <c r="FX122" s="199"/>
      <c r="FY122" s="199"/>
      <c r="FZ122" s="199"/>
      <c r="GA122" s="199"/>
      <c r="GB122" s="199"/>
      <c r="GC122" s="199"/>
      <c r="GD122" s="199"/>
      <c r="GE122" s="199"/>
      <c r="GF122" s="199"/>
      <c r="GG122" s="199"/>
      <c r="GH122" s="199"/>
      <c r="GI122" s="199"/>
      <c r="GJ122" s="199"/>
      <c r="GK122" s="199"/>
      <c r="GL122" s="199"/>
      <c r="GM122" s="199"/>
      <c r="GN122" s="199"/>
      <c r="GO122" s="199"/>
      <c r="GP122" s="199"/>
      <c r="GQ122" s="199"/>
      <c r="GR122" s="199"/>
      <c r="GS122" s="199"/>
      <c r="GT122" s="199"/>
      <c r="GU122" s="199"/>
      <c r="GV122" s="199"/>
      <c r="GW122" s="199"/>
      <c r="GX122" s="199"/>
      <c r="GY122" s="199"/>
      <c r="GZ122" s="199"/>
      <c r="HA122" s="199"/>
      <c r="HB122" s="199"/>
      <c r="HC122" s="199"/>
      <c r="HD122" s="199"/>
      <c r="HE122" s="199"/>
      <c r="HF122" s="199"/>
      <c r="HG122" s="199"/>
      <c r="HH122" s="199"/>
      <c r="HI122" s="199"/>
      <c r="HJ122" s="199"/>
      <c r="HK122" s="199"/>
      <c r="HL122" s="199"/>
      <c r="HM122" s="199"/>
      <c r="HN122" s="199"/>
      <c r="HO122" s="199"/>
      <c r="HP122" s="199"/>
      <c r="HQ122" s="199"/>
      <c r="HR122" s="199"/>
      <c r="HS122" s="199"/>
      <c r="HT122" s="199"/>
      <c r="HU122" s="199"/>
      <c r="HV122" s="199"/>
      <c r="HW122" s="199"/>
      <c r="HX122" s="199"/>
      <c r="HY122" s="199"/>
      <c r="HZ122" s="199"/>
      <c r="IA122" s="199"/>
      <c r="IB122" s="199"/>
      <c r="IC122" s="199"/>
      <c r="ID122" s="199"/>
      <c r="IE122" s="199"/>
      <c r="IF122" s="199"/>
      <c r="IG122" s="199"/>
      <c r="IH122" s="199"/>
      <c r="II122" s="199"/>
      <c r="IJ122" s="199"/>
      <c r="IK122" s="199"/>
      <c r="IL122" s="199"/>
      <c r="IM122" s="199"/>
      <c r="IN122" s="199"/>
      <c r="IO122" s="199"/>
      <c r="IP122" s="199"/>
      <c r="IQ122" s="199"/>
      <c r="IR122" s="199"/>
      <c r="IS122" s="199"/>
      <c r="IT122" s="199"/>
      <c r="IU122" s="199"/>
      <c r="IV122" s="199"/>
      <c r="IW122" s="199"/>
      <c r="IX122" s="199"/>
      <c r="IY122" s="199"/>
      <c r="IZ122" s="199"/>
      <c r="JA122" s="199"/>
      <c r="JB122" s="199"/>
      <c r="JC122" s="199"/>
      <c r="JD122" s="199"/>
      <c r="JE122" s="199"/>
      <c r="JF122" s="199"/>
      <c r="JG122" s="199"/>
      <c r="JH122" s="199"/>
      <c r="JI122" s="199"/>
      <c r="JJ122" s="199"/>
      <c r="JK122" s="199"/>
      <c r="JL122" s="199"/>
      <c r="JM122" s="199"/>
      <c r="JN122" s="199"/>
      <c r="JO122" s="199"/>
      <c r="JP122" s="199"/>
      <c r="JQ122" s="199"/>
      <c r="JR122" s="199"/>
      <c r="JS122" s="199"/>
      <c r="JT122" s="199"/>
      <c r="JU122" s="199"/>
      <c r="JV122" s="199"/>
      <c r="JW122" s="199"/>
      <c r="JX122" s="199"/>
      <c r="JY122" s="199"/>
      <c r="JZ122" s="199"/>
      <c r="KA122" s="199"/>
      <c r="KB122" s="199"/>
      <c r="KC122" s="199"/>
      <c r="KD122" s="199"/>
      <c r="KE122" s="199"/>
      <c r="PQ122" s="201"/>
      <c r="PR122" s="201"/>
      <c r="PS122" s="201"/>
      <c r="PT122" s="201"/>
      <c r="PU122" s="201"/>
      <c r="PV122" s="201"/>
      <c r="PW122" s="201"/>
      <c r="PX122" s="201"/>
      <c r="PY122" s="201"/>
      <c r="PZ122" s="201"/>
      <c r="QA122" s="201"/>
      <c r="QB122" s="201"/>
      <c r="QC122" s="201"/>
      <c r="QD122" s="201"/>
      <c r="QE122" s="201"/>
      <c r="QF122" s="201"/>
      <c r="QG122" s="201"/>
      <c r="QH122" s="201"/>
      <c r="QI122" s="201"/>
      <c r="QJ122" s="201"/>
      <c r="QK122" s="201"/>
      <c r="QL122" s="201"/>
      <c r="QM122" s="201"/>
      <c r="QN122" s="201"/>
      <c r="QO122" s="201"/>
      <c r="QP122" s="201"/>
      <c r="QQ122" s="201"/>
      <c r="QR122" s="201"/>
      <c r="QS122" s="201"/>
      <c r="QT122" s="201"/>
      <c r="QU122" s="201"/>
      <c r="QV122" s="201"/>
      <c r="QW122" s="201"/>
      <c r="QX122" s="201"/>
      <c r="QY122" s="201"/>
      <c r="QZ122" s="201"/>
      <c r="RA122" s="201"/>
      <c r="RB122" s="201"/>
      <c r="RC122" s="201"/>
      <c r="RD122" s="201"/>
      <c r="RE122" s="201"/>
      <c r="RF122" s="201"/>
      <c r="RG122" s="201"/>
      <c r="RH122" s="201"/>
      <c r="RI122" s="201"/>
      <c r="RJ122" s="201"/>
      <c r="RK122" s="201"/>
      <c r="RL122" s="201"/>
      <c r="RM122" s="201"/>
      <c r="RN122" s="201"/>
      <c r="RO122" s="201"/>
      <c r="RP122" s="201"/>
      <c r="RQ122" s="201"/>
      <c r="RR122" s="201"/>
      <c r="RS122" s="201"/>
      <c r="RT122" s="201"/>
      <c r="RU122" s="201"/>
      <c r="RV122" s="201"/>
      <c r="RW122" s="201"/>
      <c r="RX122" s="201"/>
      <c r="RY122" s="201"/>
      <c r="RZ122" s="201"/>
      <c r="SA122" s="201"/>
      <c r="SB122" s="201"/>
      <c r="SC122" s="201"/>
      <c r="SD122" s="201"/>
      <c r="SE122" s="201"/>
      <c r="SF122" s="201"/>
      <c r="SG122" s="201"/>
      <c r="SH122" s="201"/>
      <c r="SI122" s="201"/>
      <c r="SJ122" s="201"/>
      <c r="SK122" s="201"/>
      <c r="SL122" s="201"/>
      <c r="SM122" s="201"/>
      <c r="SN122" s="201"/>
      <c r="SO122" s="201"/>
      <c r="SP122" s="201"/>
      <c r="SQ122" s="201"/>
      <c r="SR122" s="201"/>
      <c r="SS122" s="201"/>
      <c r="ST122" s="201"/>
      <c r="SU122" s="201"/>
      <c r="SV122" s="201"/>
      <c r="SW122" s="201"/>
      <c r="SX122" s="201"/>
      <c r="SY122" s="201"/>
      <c r="SZ122" s="201"/>
      <c r="TA122" s="201"/>
      <c r="TB122" s="201"/>
      <c r="TC122" s="201"/>
      <c r="TD122" s="201"/>
      <c r="TE122" s="201"/>
      <c r="TF122" s="201"/>
      <c r="TG122" s="201"/>
      <c r="TH122" s="201"/>
      <c r="TI122" s="201"/>
      <c r="TJ122" s="201"/>
      <c r="TK122" s="201"/>
      <c r="TL122" s="201"/>
      <c r="TM122" s="201"/>
      <c r="TN122" s="201"/>
      <c r="TO122" s="201"/>
      <c r="TP122" s="201"/>
      <c r="TQ122" s="201"/>
      <c r="TR122" s="201"/>
      <c r="TS122" s="201"/>
      <c r="TT122" s="201"/>
      <c r="TU122" s="201"/>
      <c r="TV122" s="201"/>
      <c r="TW122" s="201"/>
      <c r="TX122" s="201"/>
      <c r="TY122" s="201"/>
      <c r="TZ122" s="201"/>
      <c r="UA122" s="201"/>
      <c r="UB122" s="201"/>
      <c r="UC122" s="201"/>
      <c r="UD122" s="201"/>
      <c r="UE122" s="201"/>
      <c r="UF122" s="201"/>
      <c r="UG122" s="201"/>
      <c r="UH122" s="201"/>
      <c r="UI122" s="201"/>
      <c r="UJ122" s="201"/>
      <c r="UK122" s="201"/>
      <c r="UL122" s="201"/>
      <c r="UM122" s="201"/>
      <c r="UN122" s="201"/>
      <c r="UO122" s="201"/>
      <c r="UP122" s="201"/>
      <c r="UQ122" s="201"/>
      <c r="UR122" s="201"/>
      <c r="US122" s="201"/>
      <c r="UT122" s="201"/>
      <c r="UU122" s="201"/>
    </row>
    <row r="123" spans="2:567" ht="15.6" x14ac:dyDescent="0.4">
      <c r="B123" s="107" t="str">
        <f>"- Non-Revenue (Model) "&amp;Unit_Type</f>
        <v>- Non-Revenue (Model) Unit</v>
      </c>
      <c r="C123" s="18"/>
      <c r="D123" s="120"/>
      <c r="E123" s="120"/>
      <c r="F123" s="131" t="str">
        <f>Unit_Type_Plural&amp;"/Month"</f>
        <v>Units/Month</v>
      </c>
      <c r="G123" s="584">
        <v>2</v>
      </c>
      <c r="H123" s="131" t="str">
        <f>Unit_Type_Plural&amp;"/Month"</f>
        <v>Units/Month</v>
      </c>
      <c r="I123" s="584">
        <v>2</v>
      </c>
      <c r="J123" s="151">
        <f>T123*12</f>
        <v>-38446.800000000003</v>
      </c>
      <c r="K123" s="130">
        <f>-I120*I123*12</f>
        <v>-43939.199999999997</v>
      </c>
      <c r="M123" s="3" t="s">
        <v>842</v>
      </c>
      <c r="S123" s="397"/>
      <c r="T123" s="96">
        <f t="shared" ref="T123:AY123" si="2303">-((1-T109)*$G123+T109*$I123)*(T120/$C$120)</f>
        <v>-3203.9</v>
      </c>
      <c r="U123" s="96">
        <f t="shared" si="2303"/>
        <v>-3223.8</v>
      </c>
      <c r="V123" s="96">
        <f t="shared" si="2303"/>
        <v>-3243.7</v>
      </c>
      <c r="W123" s="96">
        <f t="shared" si="2303"/>
        <v>-3263.6</v>
      </c>
      <c r="X123" s="96">
        <f t="shared" si="2303"/>
        <v>-3283.5</v>
      </c>
      <c r="Y123" s="96">
        <f t="shared" si="2303"/>
        <v>-3303.4</v>
      </c>
      <c r="Z123" s="96">
        <f t="shared" si="2303"/>
        <v>-3323.3</v>
      </c>
      <c r="AA123" s="96">
        <f t="shared" si="2303"/>
        <v>-3343.2</v>
      </c>
      <c r="AB123" s="96">
        <f t="shared" si="2303"/>
        <v>-3363.1</v>
      </c>
      <c r="AC123" s="96">
        <f t="shared" si="2303"/>
        <v>-3383</v>
      </c>
      <c r="AD123" s="96">
        <f t="shared" si="2303"/>
        <v>-3402.9</v>
      </c>
      <c r="AE123" s="96">
        <f t="shared" si="2303"/>
        <v>-3422.8</v>
      </c>
      <c r="AF123" s="96">
        <f t="shared" si="2303"/>
        <v>-3449.7913983261878</v>
      </c>
      <c r="AG123" s="96">
        <f t="shared" si="2303"/>
        <v>-3476.8794696896075</v>
      </c>
      <c r="AH123" s="96">
        <f t="shared" si="2303"/>
        <v>-3504.0644978290261</v>
      </c>
      <c r="AI123" s="96">
        <f t="shared" si="2303"/>
        <v>-3531.3467672419433</v>
      </c>
      <c r="AJ123" s="96">
        <f t="shared" si="2303"/>
        <v>-3558.7265631865134</v>
      </c>
      <c r="AK123" s="96">
        <f t="shared" si="2303"/>
        <v>-3586.2041716834779</v>
      </c>
      <c r="AL123" s="96">
        <f t="shared" si="2303"/>
        <v>-3613.7798795180893</v>
      </c>
      <c r="AM123" s="96">
        <f t="shared" si="2303"/>
        <v>-3641.4539742420484</v>
      </c>
      <c r="AN123" s="96">
        <f t="shared" si="2303"/>
        <v>-3669.2267441754502</v>
      </c>
      <c r="AO123" s="96">
        <f t="shared" si="2303"/>
        <v>-3697.0984784087245</v>
      </c>
      <c r="AP123" s="96">
        <f t="shared" si="2303"/>
        <v>-3725.0694668045871</v>
      </c>
      <c r="AQ123" s="96">
        <f t="shared" si="2303"/>
        <v>-3753.1399999999944</v>
      </c>
      <c r="AR123" s="96">
        <f t="shared" si="2303"/>
        <v>-3760.8708538977917</v>
      </c>
      <c r="AS123" s="96">
        <f t="shared" si="2303"/>
        <v>-3768.6176320888458</v>
      </c>
      <c r="AT123" s="96">
        <f t="shared" si="2303"/>
        <v>-3776.3803673745911</v>
      </c>
      <c r="AU123" s="96">
        <f t="shared" si="2303"/>
        <v>-3784.1590926240315</v>
      </c>
      <c r="AV123" s="96">
        <f t="shared" si="2303"/>
        <v>-3791.9538407738733</v>
      </c>
      <c r="AW123" s="96">
        <f t="shared" si="2303"/>
        <v>-3799.7646448286691</v>
      </c>
      <c r="AX123" s="96">
        <f t="shared" si="2303"/>
        <v>-3807.5915378609534</v>
      </c>
      <c r="AY123" s="96">
        <f t="shared" si="2303"/>
        <v>-3815.4345530113856</v>
      </c>
      <c r="AZ123" s="96">
        <f t="shared" ref="AZ123:CE123" si="2304">-((1-AZ109)*$G123+AZ109*$I123)*(AZ120/$C$120)</f>
        <v>-3823.2937234888891</v>
      </c>
      <c r="BA123" s="96">
        <f t="shared" si="2304"/>
        <v>-3831.1690825707947</v>
      </c>
      <c r="BB123" s="96">
        <f t="shared" si="2304"/>
        <v>-3839.0606636029729</v>
      </c>
      <c r="BC123" s="96">
        <f t="shared" si="2304"/>
        <v>-3846.9684999999895</v>
      </c>
      <c r="BD123" s="96">
        <f t="shared" si="2304"/>
        <v>-3854.8926252452316</v>
      </c>
      <c r="BE123" s="96">
        <f t="shared" si="2304"/>
        <v>-3862.8330728910614</v>
      </c>
      <c r="BF123" s="96">
        <f t="shared" si="2304"/>
        <v>-3870.7898765589507</v>
      </c>
      <c r="BG123" s="96">
        <f t="shared" si="2304"/>
        <v>-3878.7630699396273</v>
      </c>
      <c r="BH123" s="96">
        <f t="shared" si="2304"/>
        <v>-3886.7526867932143</v>
      </c>
      <c r="BI123" s="96">
        <f t="shared" si="2304"/>
        <v>-3894.7587609493794</v>
      </c>
      <c r="BJ123" s="96">
        <f t="shared" si="2304"/>
        <v>-3902.7813263074713</v>
      </c>
      <c r="BK123" s="96">
        <f t="shared" si="2304"/>
        <v>-3910.8204168366642</v>
      </c>
      <c r="BL123" s="96">
        <f t="shared" si="2304"/>
        <v>-3918.876066576106</v>
      </c>
      <c r="BM123" s="96">
        <f t="shared" si="2304"/>
        <v>-3926.9483096350582</v>
      </c>
      <c r="BN123" s="96">
        <f t="shared" si="2304"/>
        <v>-3935.0371801930423</v>
      </c>
      <c r="BO123" s="96">
        <f t="shared" si="2304"/>
        <v>-3943.1427124999836</v>
      </c>
      <c r="BP123" s="96">
        <f t="shared" si="2304"/>
        <v>-3951.2649408763568</v>
      </c>
      <c r="BQ123" s="96">
        <f t="shared" si="2304"/>
        <v>-3959.4038997133325</v>
      </c>
      <c r="BR123" s="96">
        <f t="shared" si="2304"/>
        <v>-3967.5596234729178</v>
      </c>
      <c r="BS123" s="96">
        <f t="shared" si="2304"/>
        <v>-3975.7321466881112</v>
      </c>
      <c r="BT123" s="96">
        <f t="shared" si="2304"/>
        <v>-3983.9215039630399</v>
      </c>
      <c r="BU123" s="96">
        <f t="shared" si="2304"/>
        <v>-3992.1277299731091</v>
      </c>
      <c r="BV123" s="96">
        <f t="shared" si="2304"/>
        <v>-4000.350859465153</v>
      </c>
      <c r="BW123" s="96">
        <f t="shared" si="2304"/>
        <v>-4008.5909272575759</v>
      </c>
      <c r="BX123" s="96">
        <f t="shared" si="2304"/>
        <v>-4016.8479682405036</v>
      </c>
      <c r="BY123" s="96">
        <f t="shared" si="2304"/>
        <v>-4025.1220173759293</v>
      </c>
      <c r="BZ123" s="96">
        <f t="shared" si="2304"/>
        <v>-4033.4131096978626</v>
      </c>
      <c r="CA123" s="96">
        <f t="shared" si="2304"/>
        <v>-4041.7212803124776</v>
      </c>
      <c r="CB123" s="96">
        <f t="shared" si="2304"/>
        <v>-4050.0465643982607</v>
      </c>
      <c r="CC123" s="96">
        <f t="shared" si="2304"/>
        <v>-4058.3889972061602</v>
      </c>
      <c r="CD123" s="96">
        <f t="shared" si="2304"/>
        <v>-4066.7486140597362</v>
      </c>
      <c r="CE123" s="96">
        <f t="shared" si="2304"/>
        <v>-4075.1254503553091</v>
      </c>
      <c r="CF123" s="96">
        <f t="shared" ref="CF123:DK123" si="2305">-((1-CF109)*$G123+CF109*$I123)*(CF120/$C$120)</f>
        <v>-4083.5195415621101</v>
      </c>
      <c r="CG123" s="96">
        <f t="shared" si="2305"/>
        <v>-4091.9309232224305</v>
      </c>
      <c r="CH123" s="96">
        <f t="shared" si="2305"/>
        <v>-4100.359630951777</v>
      </c>
      <c r="CI123" s="96">
        <f t="shared" si="2305"/>
        <v>-4108.8057004390103</v>
      </c>
      <c r="CJ123" s="96">
        <f t="shared" si="2305"/>
        <v>-4117.2691674465104</v>
      </c>
      <c r="CK123" s="96">
        <f t="shared" si="2305"/>
        <v>-4125.7500678103215</v>
      </c>
      <c r="CL123" s="96">
        <f t="shared" si="2305"/>
        <v>-4134.2484374403039</v>
      </c>
      <c r="CM123" s="96">
        <f t="shared" si="2305"/>
        <v>-4142.7643123202843</v>
      </c>
      <c r="CN123" s="96">
        <f t="shared" si="2305"/>
        <v>-4151.2977285082115</v>
      </c>
      <c r="CO123" s="96">
        <f t="shared" si="2305"/>
        <v>-4159.8487221363075</v>
      </c>
      <c r="CP123" s="96">
        <f t="shared" si="2305"/>
        <v>-4168.4173294112243</v>
      </c>
      <c r="CQ123" s="96">
        <f t="shared" si="2305"/>
        <v>-4177.0035866141861</v>
      </c>
      <c r="CR123" s="96">
        <f t="shared" si="2305"/>
        <v>-4185.6075301011579</v>
      </c>
      <c r="CS123" s="96">
        <f t="shared" si="2305"/>
        <v>-4194.2291963029866</v>
      </c>
      <c r="CT123" s="96">
        <f t="shared" si="2305"/>
        <v>-4202.8686217255645</v>
      </c>
      <c r="CU123" s="96">
        <f t="shared" si="2305"/>
        <v>-4211.5258429499791</v>
      </c>
      <c r="CV123" s="96">
        <f t="shared" si="2305"/>
        <v>-4220.2008966326675</v>
      </c>
      <c r="CW123" s="96">
        <f t="shared" si="2305"/>
        <v>-4228.8938195055734</v>
      </c>
      <c r="CX123" s="96">
        <f t="shared" si="2305"/>
        <v>-4237.6046483763048</v>
      </c>
      <c r="CY123" s="96">
        <f t="shared" si="2305"/>
        <v>-4246.3334201282851</v>
      </c>
      <c r="CZ123" s="96">
        <f t="shared" si="2305"/>
        <v>-4255.0801717209106</v>
      </c>
      <c r="DA123" s="96">
        <f t="shared" si="2305"/>
        <v>-4263.8449401897096</v>
      </c>
      <c r="DB123" s="96">
        <f t="shared" si="2305"/>
        <v>-4272.627762646498</v>
      </c>
      <c r="DC123" s="96">
        <f t="shared" si="2305"/>
        <v>-4281.4286762795346</v>
      </c>
      <c r="DD123" s="96">
        <f t="shared" si="2305"/>
        <v>-4290.2477183536794</v>
      </c>
      <c r="DE123" s="96">
        <f t="shared" si="2305"/>
        <v>-4299.0849262105548</v>
      </c>
      <c r="DF123" s="96">
        <f t="shared" si="2305"/>
        <v>-4307.9403372686975</v>
      </c>
      <c r="DG123" s="96">
        <f t="shared" si="2305"/>
        <v>-4316.8139890237226</v>
      </c>
      <c r="DH123" s="96">
        <f t="shared" si="2305"/>
        <v>-4325.7059190484779</v>
      </c>
      <c r="DI123" s="96">
        <f t="shared" si="2305"/>
        <v>-4334.6161649932073</v>
      </c>
      <c r="DJ123" s="96">
        <f t="shared" si="2305"/>
        <v>-4343.5447645857066</v>
      </c>
      <c r="DK123" s="96">
        <f t="shared" si="2305"/>
        <v>-4352.4917556314867</v>
      </c>
      <c r="DL123" s="96">
        <f t="shared" ref="DL123:EU123" si="2306">-((1-DL109)*$G123+DL109*$I123)*(DL120/$C$120)</f>
        <v>-4361.457176013927</v>
      </c>
      <c r="DM123" s="96">
        <f t="shared" si="2306"/>
        <v>-4370.4410636944467</v>
      </c>
      <c r="DN123" s="96">
        <f t="shared" si="2306"/>
        <v>-4379.4434567126555</v>
      </c>
      <c r="DO123" s="96">
        <f t="shared" si="2306"/>
        <v>-4388.4643931865176</v>
      </c>
      <c r="DP123" s="96">
        <f t="shared" si="2306"/>
        <v>-4397.5039113125167</v>
      </c>
      <c r="DQ123" s="96">
        <f t="shared" si="2306"/>
        <v>-4406.5620493658134</v>
      </c>
      <c r="DR123" s="96">
        <f t="shared" si="2306"/>
        <v>-4415.6388457004086</v>
      </c>
      <c r="DS123" s="96">
        <f t="shared" si="2306"/>
        <v>-4424.7343387493092</v>
      </c>
      <c r="DT123" s="96">
        <f t="shared" si="2306"/>
        <v>-4433.8485670246837</v>
      </c>
      <c r="DU123" s="96">
        <f t="shared" si="2306"/>
        <v>-4442.981569118032</v>
      </c>
      <c r="DV123" s="96">
        <f t="shared" si="2306"/>
        <v>-4452.1333837003449</v>
      </c>
      <c r="DW123" s="96">
        <f t="shared" si="2306"/>
        <v>-4461.3040495222685</v>
      </c>
      <c r="DX123" s="96">
        <f t="shared" si="2306"/>
        <v>-4470.49360541427</v>
      </c>
      <c r="DY123" s="96">
        <f t="shared" si="2306"/>
        <v>-4479.7020902868026</v>
      </c>
      <c r="DZ123" s="96">
        <f t="shared" si="2306"/>
        <v>-4488.9295431304663</v>
      </c>
      <c r="EA123" s="96">
        <f t="shared" si="2306"/>
        <v>-4498.176003016174</v>
      </c>
      <c r="EB123" s="96">
        <f t="shared" si="2306"/>
        <v>-4507.4415090953225</v>
      </c>
      <c r="EC123" s="96">
        <f t="shared" si="2306"/>
        <v>-4516.7261005999517</v>
      </c>
      <c r="ED123" s="96">
        <f t="shared" si="2306"/>
        <v>-4526.0298168429135</v>
      </c>
      <c r="EE123" s="96">
        <f t="shared" si="2306"/>
        <v>-4535.3526972180352</v>
      </c>
      <c r="EF123" s="96">
        <f t="shared" si="2306"/>
        <v>-4544.6947812002954</v>
      </c>
      <c r="EG123" s="96">
        <f t="shared" si="2306"/>
        <v>-4554.0561083459761</v>
      </c>
      <c r="EH123" s="96">
        <f t="shared" si="2306"/>
        <v>-4563.4367182928463</v>
      </c>
      <c r="EI123" s="96">
        <f t="shared" si="2306"/>
        <v>-4572.8366507603178</v>
      </c>
      <c r="EJ123" s="96">
        <f t="shared" si="2306"/>
        <v>-4582.2559455496203</v>
      </c>
      <c r="EK123" s="96">
        <f t="shared" si="2306"/>
        <v>-4591.6946425439664</v>
      </c>
      <c r="EL123" s="96">
        <f t="shared" si="2306"/>
        <v>-4601.1527817087208</v>
      </c>
      <c r="EM123" s="96">
        <f t="shared" si="2306"/>
        <v>-4610.6304030915726</v>
      </c>
      <c r="EN123" s="96">
        <f t="shared" si="2306"/>
        <v>-4620.1275468226995</v>
      </c>
      <c r="EO123" s="96">
        <f t="shared" si="2306"/>
        <v>-4629.6442531149451</v>
      </c>
      <c r="EP123" s="96">
        <f t="shared" si="2306"/>
        <v>-4639.1805622639804</v>
      </c>
      <c r="EQ123" s="96">
        <f t="shared" si="2306"/>
        <v>-4648.7365146484817</v>
      </c>
      <c r="ER123" s="96">
        <f t="shared" si="2306"/>
        <v>-4658.3121507302958</v>
      </c>
      <c r="ES123" s="96">
        <f t="shared" si="2306"/>
        <v>-4667.90751105462</v>
      </c>
      <c r="ET123" s="96">
        <f t="shared" si="2306"/>
        <v>-4677.5226362501617</v>
      </c>
      <c r="EU123" s="96">
        <f t="shared" si="2306"/>
        <v>-4687.1575670293196</v>
      </c>
      <c r="FC123" s="199"/>
      <c r="FD123" s="199"/>
      <c r="FE123" s="199"/>
      <c r="FF123" s="199"/>
      <c r="FG123" s="199"/>
      <c r="FH123" s="199"/>
      <c r="FI123" s="199"/>
      <c r="FJ123" s="199"/>
      <c r="FK123" s="199"/>
      <c r="FL123" s="199"/>
      <c r="FM123" s="199"/>
      <c r="FN123" s="199"/>
      <c r="FO123" s="199"/>
      <c r="FP123" s="199"/>
      <c r="FQ123" s="199"/>
      <c r="FR123" s="199"/>
      <c r="FS123" s="199"/>
      <c r="FT123" s="199"/>
      <c r="FU123" s="199"/>
      <c r="FV123" s="199"/>
      <c r="FW123" s="199"/>
      <c r="FX123" s="199"/>
      <c r="FY123" s="199"/>
      <c r="FZ123" s="199"/>
      <c r="GA123" s="199"/>
      <c r="GB123" s="199"/>
      <c r="GC123" s="199"/>
      <c r="GD123" s="199"/>
      <c r="GE123" s="199"/>
      <c r="GF123" s="199"/>
      <c r="GG123" s="199"/>
      <c r="GH123" s="199"/>
      <c r="GI123" s="199"/>
      <c r="GJ123" s="199"/>
      <c r="GK123" s="199"/>
      <c r="GL123" s="199"/>
      <c r="GM123" s="199"/>
      <c r="GN123" s="199"/>
      <c r="GO123" s="199"/>
      <c r="GP123" s="199"/>
      <c r="GQ123" s="199"/>
      <c r="GR123" s="199"/>
      <c r="GS123" s="199"/>
      <c r="GT123" s="199"/>
      <c r="GU123" s="199"/>
      <c r="GV123" s="199"/>
      <c r="GW123" s="199"/>
      <c r="GX123" s="199"/>
      <c r="GY123" s="199"/>
      <c r="GZ123" s="199"/>
      <c r="HA123" s="199"/>
      <c r="HB123" s="199"/>
      <c r="HC123" s="199"/>
      <c r="HD123" s="199"/>
      <c r="HE123" s="199"/>
      <c r="HF123" s="199"/>
      <c r="HG123" s="199"/>
      <c r="HH123" s="199"/>
      <c r="HI123" s="199"/>
      <c r="HJ123" s="199"/>
      <c r="HK123" s="199"/>
      <c r="HL123" s="199"/>
      <c r="HM123" s="199"/>
      <c r="HN123" s="199"/>
      <c r="HO123" s="199"/>
      <c r="HP123" s="199"/>
      <c r="HQ123" s="199"/>
      <c r="HR123" s="199"/>
      <c r="HS123" s="199"/>
      <c r="HT123" s="199"/>
      <c r="HU123" s="199"/>
      <c r="HV123" s="199"/>
      <c r="HW123" s="199"/>
      <c r="HX123" s="199"/>
      <c r="HY123" s="199"/>
      <c r="HZ123" s="199"/>
      <c r="IA123" s="199"/>
      <c r="IB123" s="199"/>
      <c r="IC123" s="199"/>
      <c r="ID123" s="199"/>
      <c r="IE123" s="199"/>
      <c r="IF123" s="199"/>
      <c r="IG123" s="199"/>
      <c r="IH123" s="199"/>
      <c r="II123" s="199"/>
      <c r="IJ123" s="199"/>
      <c r="IK123" s="199"/>
      <c r="IL123" s="199"/>
      <c r="IM123" s="199"/>
      <c r="IN123" s="199"/>
      <c r="IO123" s="199"/>
      <c r="IP123" s="199"/>
      <c r="IQ123" s="199"/>
      <c r="IR123" s="199"/>
      <c r="IS123" s="199"/>
      <c r="IT123" s="199"/>
      <c r="IU123" s="199"/>
      <c r="IV123" s="199"/>
      <c r="IW123" s="199"/>
      <c r="IX123" s="199"/>
      <c r="IY123" s="199"/>
      <c r="IZ123" s="199"/>
      <c r="JA123" s="199"/>
      <c r="JB123" s="199"/>
      <c r="JC123" s="199"/>
      <c r="JD123" s="199"/>
      <c r="JE123" s="199"/>
      <c r="JF123" s="199"/>
      <c r="JG123" s="199"/>
      <c r="JH123" s="199"/>
      <c r="JI123" s="199"/>
      <c r="JJ123" s="199"/>
      <c r="JK123" s="199"/>
      <c r="JL123" s="199"/>
      <c r="JM123" s="199"/>
      <c r="JN123" s="199"/>
      <c r="JO123" s="199"/>
      <c r="JP123" s="199"/>
      <c r="JQ123" s="199"/>
      <c r="JR123" s="199"/>
      <c r="JS123" s="199"/>
      <c r="JT123" s="199"/>
      <c r="JU123" s="199"/>
      <c r="JV123" s="199"/>
      <c r="JW123" s="199"/>
      <c r="JX123" s="199"/>
      <c r="JY123" s="199"/>
      <c r="JZ123" s="199"/>
      <c r="KA123" s="199"/>
      <c r="KB123" s="199"/>
      <c r="KC123" s="199"/>
      <c r="KD123" s="199"/>
      <c r="KE123" s="199"/>
      <c r="PQ123" s="201"/>
      <c r="PR123" s="201"/>
      <c r="PS123" s="201"/>
      <c r="PT123" s="201"/>
      <c r="PU123" s="201"/>
      <c r="PV123" s="201"/>
      <c r="PW123" s="201"/>
      <c r="PX123" s="201"/>
      <c r="PY123" s="201"/>
      <c r="PZ123" s="201"/>
      <c r="QA123" s="201"/>
      <c r="QB123" s="201"/>
      <c r="QC123" s="201"/>
      <c r="QD123" s="201"/>
      <c r="QE123" s="201"/>
      <c r="QF123" s="201"/>
      <c r="QG123" s="201"/>
      <c r="QH123" s="201"/>
      <c r="QI123" s="201"/>
      <c r="QJ123" s="201"/>
      <c r="QK123" s="201"/>
      <c r="QL123" s="201"/>
      <c r="QM123" s="201"/>
      <c r="QN123" s="201"/>
      <c r="QO123" s="201"/>
      <c r="QP123" s="201"/>
      <c r="QQ123" s="201"/>
      <c r="QR123" s="201"/>
      <c r="QS123" s="201"/>
      <c r="QT123" s="201"/>
      <c r="QU123" s="201"/>
      <c r="QV123" s="201"/>
      <c r="QW123" s="201"/>
      <c r="QX123" s="201"/>
      <c r="QY123" s="201"/>
      <c r="QZ123" s="201"/>
      <c r="RA123" s="201"/>
      <c r="RB123" s="201"/>
      <c r="RC123" s="201"/>
      <c r="RD123" s="201"/>
      <c r="RE123" s="201"/>
      <c r="RF123" s="201"/>
      <c r="RG123" s="201"/>
      <c r="RH123" s="201"/>
      <c r="RI123" s="201"/>
      <c r="RJ123" s="201"/>
      <c r="RK123" s="201"/>
      <c r="RL123" s="201"/>
      <c r="RM123" s="201"/>
      <c r="RN123" s="201"/>
      <c r="RO123" s="201"/>
      <c r="RP123" s="201"/>
      <c r="RQ123" s="201"/>
      <c r="RR123" s="201"/>
      <c r="RS123" s="201"/>
      <c r="RT123" s="201"/>
      <c r="RU123" s="201"/>
      <c r="RV123" s="201"/>
      <c r="RW123" s="201"/>
      <c r="RX123" s="201"/>
      <c r="RY123" s="201"/>
      <c r="RZ123" s="201"/>
      <c r="SA123" s="201"/>
      <c r="SB123" s="201"/>
      <c r="SC123" s="201"/>
      <c r="SD123" s="201"/>
      <c r="SE123" s="201"/>
      <c r="SF123" s="201"/>
      <c r="SG123" s="201"/>
      <c r="SH123" s="201"/>
      <c r="SI123" s="201"/>
      <c r="SJ123" s="201"/>
      <c r="SK123" s="201"/>
      <c r="SL123" s="201"/>
      <c r="SM123" s="201"/>
      <c r="SN123" s="201"/>
      <c r="SO123" s="201"/>
      <c r="SP123" s="201"/>
      <c r="SQ123" s="201"/>
      <c r="SR123" s="201"/>
      <c r="SS123" s="201"/>
      <c r="ST123" s="201"/>
      <c r="SU123" s="201"/>
      <c r="SV123" s="201"/>
      <c r="SW123" s="201"/>
      <c r="SX123" s="201"/>
      <c r="SY123" s="201"/>
      <c r="SZ123" s="201"/>
      <c r="TA123" s="201"/>
      <c r="TB123" s="201"/>
      <c r="TC123" s="201"/>
      <c r="TD123" s="201"/>
      <c r="TE123" s="201"/>
      <c r="TF123" s="201"/>
      <c r="TG123" s="201"/>
      <c r="TH123" s="201"/>
      <c r="TI123" s="201"/>
      <c r="TJ123" s="201"/>
      <c r="TK123" s="201"/>
      <c r="TL123" s="201"/>
      <c r="TM123" s="201"/>
      <c r="TN123" s="201"/>
      <c r="TO123" s="201"/>
      <c r="TP123" s="201"/>
      <c r="TQ123" s="201"/>
      <c r="TR123" s="201"/>
      <c r="TS123" s="201"/>
      <c r="TT123" s="201"/>
      <c r="TU123" s="201"/>
      <c r="TV123" s="201"/>
      <c r="TW123" s="201"/>
      <c r="TX123" s="201"/>
      <c r="TY123" s="201"/>
      <c r="TZ123" s="201"/>
      <c r="UA123" s="201"/>
      <c r="UB123" s="201"/>
      <c r="UC123" s="201"/>
      <c r="UD123" s="201"/>
      <c r="UE123" s="201"/>
      <c r="UF123" s="201"/>
      <c r="UG123" s="201"/>
      <c r="UH123" s="201"/>
      <c r="UI123" s="201"/>
      <c r="UJ123" s="201"/>
      <c r="UK123" s="201"/>
      <c r="UL123" s="201"/>
      <c r="UM123" s="201"/>
      <c r="UN123" s="201"/>
      <c r="UO123" s="201"/>
      <c r="UP123" s="201"/>
      <c r="UQ123" s="201"/>
      <c r="UR123" s="201"/>
      <c r="US123" s="201"/>
      <c r="UT123" s="201"/>
      <c r="UU123" s="201"/>
    </row>
    <row r="124" spans="2:567" x14ac:dyDescent="0.25">
      <c r="B124" s="18" t="s">
        <v>403</v>
      </c>
      <c r="C124" s="18"/>
      <c r="D124" s="18"/>
      <c r="E124" s="18"/>
      <c r="F124" s="403">
        <f>+J124/Units_SF/12</f>
        <v>1.741937934981685</v>
      </c>
      <c r="G124" s="404">
        <f>+J124/C120/12</f>
        <v>1463.2278653846154</v>
      </c>
      <c r="H124" s="135">
        <f>K124/Units_SF/12</f>
        <v>2.1649936507936505</v>
      </c>
      <c r="I124" s="118">
        <f>+K124/C120/12</f>
        <v>1818.5946666666666</v>
      </c>
      <c r="J124" s="149">
        <f>SUM(J120:J123)</f>
        <v>5267620.3153846152</v>
      </c>
      <c r="K124" s="129">
        <f>SUM(K120:K123)</f>
        <v>6546940.7999999998</v>
      </c>
      <c r="S124" s="145"/>
      <c r="T124" s="92">
        <f>SUM(T120:T123)</f>
        <v>421928.9846153846</v>
      </c>
      <c r="U124" s="92">
        <f t="shared" ref="U124:CF124" si="2307">SUM(U120:U123)</f>
        <v>426099.56538461539</v>
      </c>
      <c r="V124" s="92">
        <f t="shared" si="2307"/>
        <v>430289.28076923074</v>
      </c>
      <c r="W124" s="92">
        <f t="shared" si="2307"/>
        <v>434498.13076923077</v>
      </c>
      <c r="X124" s="92">
        <f t="shared" si="2307"/>
        <v>438726.11538461538</v>
      </c>
      <c r="Y124" s="92">
        <f t="shared" si="2307"/>
        <v>442973.2346153846</v>
      </c>
      <c r="Z124" s="92">
        <f t="shared" si="2307"/>
        <v>447239.48846153845</v>
      </c>
      <c r="AA124" s="92">
        <f t="shared" si="2307"/>
        <v>451524.87692307692</v>
      </c>
      <c r="AB124" s="92">
        <f t="shared" si="2307"/>
        <v>455829.4</v>
      </c>
      <c r="AC124" s="92">
        <f t="shared" si="2307"/>
        <v>460153.05769230769</v>
      </c>
      <c r="AD124" s="92">
        <f t="shared" si="2307"/>
        <v>464495.85</v>
      </c>
      <c r="AE124" s="92">
        <f t="shared" si="2307"/>
        <v>468857.77692307695</v>
      </c>
      <c r="AF124" s="92">
        <f t="shared" si="2307"/>
        <v>474213.6329852998</v>
      </c>
      <c r="AG124" s="92">
        <f t="shared" si="2307"/>
        <v>479608.77761699137</v>
      </c>
      <c r="AH124" s="92">
        <f t="shared" si="2307"/>
        <v>485043.3895264102</v>
      </c>
      <c r="AI124" s="92">
        <f t="shared" si="2307"/>
        <v>490517.64807285689</v>
      </c>
      <c r="AJ124" s="92">
        <f t="shared" si="2307"/>
        <v>496031.73326876637</v>
      </c>
      <c r="AK124" s="92">
        <f t="shared" si="2307"/>
        <v>501585.82578180649</v>
      </c>
      <c r="AL124" s="92">
        <f t="shared" si="2307"/>
        <v>507180.10693698109</v>
      </c>
      <c r="AM124" s="92">
        <f t="shared" si="2307"/>
        <v>512814.75871874072</v>
      </c>
      <c r="AN124" s="92">
        <f t="shared" si="2307"/>
        <v>518489.96377310023</v>
      </c>
      <c r="AO124" s="92">
        <f t="shared" si="2307"/>
        <v>524205.90540976013</v>
      </c>
      <c r="AP124" s="92">
        <f t="shared" si="2307"/>
        <v>529962.76760423707</v>
      </c>
      <c r="AQ124" s="92">
        <f t="shared" si="2307"/>
        <v>535760.73499999917</v>
      </c>
      <c r="AR124" s="92">
        <f t="shared" si="2307"/>
        <v>560369.75723077101</v>
      </c>
      <c r="AS124" s="92">
        <f t="shared" si="2307"/>
        <v>561524.02718123805</v>
      </c>
      <c r="AT124" s="92">
        <f t="shared" si="2307"/>
        <v>562680.67473881401</v>
      </c>
      <c r="AU124" s="92">
        <f t="shared" si="2307"/>
        <v>563839.70480098063</v>
      </c>
      <c r="AV124" s="92">
        <f t="shared" si="2307"/>
        <v>565001.12227530708</v>
      </c>
      <c r="AW124" s="92">
        <f t="shared" si="2307"/>
        <v>566164.93207947176</v>
      </c>
      <c r="AX124" s="92">
        <f t="shared" si="2307"/>
        <v>567331.13914128207</v>
      </c>
      <c r="AY124" s="92">
        <f t="shared" si="2307"/>
        <v>568499.74839869642</v>
      </c>
      <c r="AZ124" s="92">
        <f t="shared" si="2307"/>
        <v>569670.76479984447</v>
      </c>
      <c r="BA124" s="92">
        <f t="shared" si="2307"/>
        <v>570844.19330304838</v>
      </c>
      <c r="BB124" s="92">
        <f t="shared" si="2307"/>
        <v>572020.03887684294</v>
      </c>
      <c r="BC124" s="92">
        <f t="shared" si="2307"/>
        <v>573198.30649999843</v>
      </c>
      <c r="BD124" s="92">
        <f t="shared" si="2307"/>
        <v>574379.00116153946</v>
      </c>
      <c r="BE124" s="92">
        <f t="shared" si="2307"/>
        <v>575562.12786076812</v>
      </c>
      <c r="BF124" s="92">
        <f t="shared" si="2307"/>
        <v>576747.69160728366</v>
      </c>
      <c r="BG124" s="92">
        <f t="shared" si="2307"/>
        <v>577935.69742100441</v>
      </c>
      <c r="BH124" s="92">
        <f t="shared" si="2307"/>
        <v>579126.15033218893</v>
      </c>
      <c r="BI124" s="92">
        <f t="shared" si="2307"/>
        <v>580319.05538145755</v>
      </c>
      <c r="BJ124" s="92">
        <f t="shared" si="2307"/>
        <v>581514.41761981323</v>
      </c>
      <c r="BK124" s="92">
        <f t="shared" si="2307"/>
        <v>582712.24210866296</v>
      </c>
      <c r="BL124" s="92">
        <f t="shared" si="2307"/>
        <v>583912.53391983977</v>
      </c>
      <c r="BM124" s="92">
        <f t="shared" si="2307"/>
        <v>585115.29813562369</v>
      </c>
      <c r="BN124" s="92">
        <f t="shared" si="2307"/>
        <v>586320.53984876338</v>
      </c>
      <c r="BO124" s="92">
        <f t="shared" si="2307"/>
        <v>587528.26416249759</v>
      </c>
      <c r="BP124" s="92">
        <f t="shared" si="2307"/>
        <v>588738.47619057714</v>
      </c>
      <c r="BQ124" s="92">
        <f t="shared" si="2307"/>
        <v>589951.18105728657</v>
      </c>
      <c r="BR124" s="92">
        <f t="shared" si="2307"/>
        <v>591166.38389746472</v>
      </c>
      <c r="BS124" s="92">
        <f t="shared" si="2307"/>
        <v>592384.08985652856</v>
      </c>
      <c r="BT124" s="92">
        <f t="shared" si="2307"/>
        <v>593604.30409049289</v>
      </c>
      <c r="BU124" s="92">
        <f t="shared" si="2307"/>
        <v>594827.03176599334</v>
      </c>
      <c r="BV124" s="92">
        <f t="shared" si="2307"/>
        <v>596052.27806030773</v>
      </c>
      <c r="BW124" s="92">
        <f t="shared" si="2307"/>
        <v>597280.04816137883</v>
      </c>
      <c r="BX124" s="92">
        <f t="shared" si="2307"/>
        <v>598510.34726783505</v>
      </c>
      <c r="BY124" s="92">
        <f t="shared" si="2307"/>
        <v>599743.1805890135</v>
      </c>
      <c r="BZ124" s="92">
        <f t="shared" si="2307"/>
        <v>600978.55334498151</v>
      </c>
      <c r="CA124" s="92">
        <f t="shared" si="2307"/>
        <v>602216.47076655913</v>
      </c>
      <c r="CB124" s="92">
        <f t="shared" si="2307"/>
        <v>603456.93809534085</v>
      </c>
      <c r="CC124" s="92">
        <f t="shared" si="2307"/>
        <v>604699.96058371791</v>
      </c>
      <c r="CD124" s="92">
        <f t="shared" si="2307"/>
        <v>605945.54349490069</v>
      </c>
      <c r="CE124" s="92">
        <f t="shared" si="2307"/>
        <v>607193.69210294099</v>
      </c>
      <c r="CF124" s="92">
        <f t="shared" si="2307"/>
        <v>608444.41169275448</v>
      </c>
      <c r="CG124" s="92">
        <f t="shared" ref="CG124:ER124" si="2308">SUM(CG120:CG123)</f>
        <v>609697.70756014215</v>
      </c>
      <c r="CH124" s="92">
        <f t="shared" si="2308"/>
        <v>610953.58501181472</v>
      </c>
      <c r="CI124" s="92">
        <f t="shared" si="2308"/>
        <v>612212.04936541244</v>
      </c>
      <c r="CJ124" s="92">
        <f t="shared" si="2308"/>
        <v>613473.10594953003</v>
      </c>
      <c r="CK124" s="92">
        <f t="shared" si="2308"/>
        <v>614736.76010373794</v>
      </c>
      <c r="CL124" s="92">
        <f t="shared" si="2308"/>
        <v>616003.01717860531</v>
      </c>
      <c r="CM124" s="92">
        <f t="shared" si="2308"/>
        <v>617271.88253572234</v>
      </c>
      <c r="CN124" s="92">
        <f t="shared" si="2308"/>
        <v>618543.36154772353</v>
      </c>
      <c r="CO124" s="92">
        <f t="shared" si="2308"/>
        <v>619817.45959830983</v>
      </c>
      <c r="CP124" s="92">
        <f t="shared" si="2308"/>
        <v>621094.18208227237</v>
      </c>
      <c r="CQ124" s="92">
        <f t="shared" si="2308"/>
        <v>622373.53440551378</v>
      </c>
      <c r="CR124" s="92">
        <f t="shared" si="2308"/>
        <v>623655.52198507241</v>
      </c>
      <c r="CS124" s="92">
        <f t="shared" si="2308"/>
        <v>624940.15024914499</v>
      </c>
      <c r="CT124" s="92">
        <f t="shared" si="2308"/>
        <v>626227.42463710904</v>
      </c>
      <c r="CU124" s="92">
        <f t="shared" si="2308"/>
        <v>627517.35059954692</v>
      </c>
      <c r="CV124" s="92">
        <f t="shared" si="2308"/>
        <v>628809.9335982675</v>
      </c>
      <c r="CW124" s="92">
        <f t="shared" si="2308"/>
        <v>630105.1791063305</v>
      </c>
      <c r="CX124" s="92">
        <f t="shared" si="2308"/>
        <v>631403.09260806942</v>
      </c>
      <c r="CY124" s="92">
        <f t="shared" si="2308"/>
        <v>632703.67959911446</v>
      </c>
      <c r="CZ124" s="92">
        <f t="shared" si="2308"/>
        <v>634006.94558641559</v>
      </c>
      <c r="DA124" s="92">
        <f t="shared" si="2308"/>
        <v>635312.89608826675</v>
      </c>
      <c r="DB124" s="92">
        <f t="shared" si="2308"/>
        <v>636621.53663432819</v>
      </c>
      <c r="DC124" s="92">
        <f t="shared" si="2308"/>
        <v>637932.87276565074</v>
      </c>
      <c r="DD124" s="92">
        <f t="shared" si="2308"/>
        <v>639246.91003469832</v>
      </c>
      <c r="DE124" s="92">
        <f t="shared" si="2308"/>
        <v>640563.65400537266</v>
      </c>
      <c r="DF124" s="92">
        <f t="shared" si="2308"/>
        <v>641883.11025303591</v>
      </c>
      <c r="DG124" s="92">
        <f t="shared" si="2308"/>
        <v>643205.28436453466</v>
      </c>
      <c r="DH124" s="92">
        <f t="shared" si="2308"/>
        <v>644530.18193822319</v>
      </c>
      <c r="DI124" s="92">
        <f t="shared" si="2308"/>
        <v>645857.80858398788</v>
      </c>
      <c r="DJ124" s="92">
        <f t="shared" si="2308"/>
        <v>647188.16992327035</v>
      </c>
      <c r="DK124" s="92">
        <f t="shared" si="2308"/>
        <v>648521.27158909151</v>
      </c>
      <c r="DL124" s="92">
        <f t="shared" si="2308"/>
        <v>649857.11922607513</v>
      </c>
      <c r="DM124" s="92">
        <f t="shared" si="2308"/>
        <v>651195.71849047265</v>
      </c>
      <c r="DN124" s="92">
        <f t="shared" si="2308"/>
        <v>652537.07505018567</v>
      </c>
      <c r="DO124" s="92">
        <f t="shared" si="2308"/>
        <v>653881.1945847912</v>
      </c>
      <c r="DP124" s="92">
        <f t="shared" si="2308"/>
        <v>655228.08278556494</v>
      </c>
      <c r="DQ124" s="92">
        <f t="shared" si="2308"/>
        <v>656577.74535550619</v>
      </c>
      <c r="DR124" s="92">
        <f t="shared" si="2308"/>
        <v>657930.18800936092</v>
      </c>
      <c r="DS124" s="92">
        <f t="shared" si="2308"/>
        <v>659285.41647364711</v>
      </c>
      <c r="DT124" s="92">
        <f t="shared" si="2308"/>
        <v>660643.43648667785</v>
      </c>
      <c r="DU124" s="92">
        <f t="shared" si="2308"/>
        <v>662004.25379858678</v>
      </c>
      <c r="DV124" s="92">
        <f t="shared" si="2308"/>
        <v>663367.87417135132</v>
      </c>
      <c r="DW124" s="92">
        <f t="shared" si="2308"/>
        <v>664734.30337881797</v>
      </c>
      <c r="DX124" s="92">
        <f t="shared" si="2308"/>
        <v>666103.54720672616</v>
      </c>
      <c r="DY124" s="92">
        <f t="shared" si="2308"/>
        <v>667475.61145273363</v>
      </c>
      <c r="DZ124" s="92">
        <f t="shared" si="2308"/>
        <v>668850.50192643947</v>
      </c>
      <c r="EA124" s="92">
        <f t="shared" si="2308"/>
        <v>670228.22444940999</v>
      </c>
      <c r="EB124" s="92">
        <f t="shared" si="2308"/>
        <v>671608.784855203</v>
      </c>
      <c r="EC124" s="92">
        <f t="shared" si="2308"/>
        <v>672992.18898939283</v>
      </c>
      <c r="ED124" s="92">
        <f t="shared" si="2308"/>
        <v>674378.44270959415</v>
      </c>
      <c r="EE124" s="92">
        <f t="shared" si="2308"/>
        <v>675767.55188548728</v>
      </c>
      <c r="EF124" s="92">
        <f t="shared" si="2308"/>
        <v>677159.52239884401</v>
      </c>
      <c r="EG124" s="92">
        <f t="shared" si="2308"/>
        <v>678554.36014355044</v>
      </c>
      <c r="EH124" s="92">
        <f t="shared" si="2308"/>
        <v>679952.07102563407</v>
      </c>
      <c r="EI124" s="92">
        <f t="shared" si="2308"/>
        <v>681352.66096328746</v>
      </c>
      <c r="EJ124" s="92">
        <f t="shared" si="2308"/>
        <v>682756.13588689349</v>
      </c>
      <c r="EK124" s="92">
        <f t="shared" si="2308"/>
        <v>684162.50173905108</v>
      </c>
      <c r="EL124" s="92">
        <f t="shared" si="2308"/>
        <v>685571.76447459939</v>
      </c>
      <c r="EM124" s="92">
        <f t="shared" si="2308"/>
        <v>686983.9300606444</v>
      </c>
      <c r="EN124" s="92">
        <f t="shared" si="2308"/>
        <v>688399.00447658228</v>
      </c>
      <c r="EO124" s="92">
        <f t="shared" si="2308"/>
        <v>689816.99371412676</v>
      </c>
      <c r="EP124" s="92">
        <f t="shared" si="2308"/>
        <v>691237.90377733309</v>
      </c>
      <c r="EQ124" s="92">
        <f t="shared" si="2308"/>
        <v>692661.7406826237</v>
      </c>
      <c r="ER124" s="92">
        <f t="shared" si="2308"/>
        <v>694088.5104588141</v>
      </c>
      <c r="ES124" s="92">
        <f t="shared" ref="ES124:EU124" si="2309">SUM(ES120:ES123)</f>
        <v>695518.2191471383</v>
      </c>
      <c r="ET124" s="92">
        <f t="shared" si="2309"/>
        <v>696950.87280127406</v>
      </c>
      <c r="EU124" s="92">
        <f t="shared" si="2309"/>
        <v>698386.47748736863</v>
      </c>
      <c r="EW124" s="226" t="s">
        <v>183</v>
      </c>
      <c r="EX124" s="201"/>
      <c r="EY124" s="224"/>
      <c r="EZ124" s="224"/>
      <c r="FA124" s="224"/>
      <c r="FB124" s="224"/>
      <c r="FC124" s="216" t="s">
        <v>169</v>
      </c>
      <c r="FD124" s="223">
        <f>+FD$112</f>
        <v>1</v>
      </c>
      <c r="FE124" s="223">
        <f t="shared" ref="FE124:HP124" si="2310">+FE$112</f>
        <v>1</v>
      </c>
      <c r="FF124" s="223">
        <f t="shared" si="2310"/>
        <v>1</v>
      </c>
      <c r="FG124" s="223">
        <f t="shared" si="2310"/>
        <v>1</v>
      </c>
      <c r="FH124" s="223">
        <f t="shared" si="2310"/>
        <v>1</v>
      </c>
      <c r="FI124" s="223">
        <f t="shared" si="2310"/>
        <v>1</v>
      </c>
      <c r="FJ124" s="223">
        <f t="shared" si="2310"/>
        <v>1</v>
      </c>
      <c r="FK124" s="223">
        <f t="shared" si="2310"/>
        <v>1</v>
      </c>
      <c r="FL124" s="223">
        <f t="shared" si="2310"/>
        <v>1</v>
      </c>
      <c r="FM124" s="223">
        <f t="shared" si="2310"/>
        <v>1</v>
      </c>
      <c r="FN124" s="223">
        <f t="shared" si="2310"/>
        <v>1</v>
      </c>
      <c r="FO124" s="223">
        <f t="shared" si="2310"/>
        <v>1</v>
      </c>
      <c r="FP124" s="223">
        <f t="shared" si="2310"/>
        <v>2</v>
      </c>
      <c r="FQ124" s="223">
        <f t="shared" si="2310"/>
        <v>2</v>
      </c>
      <c r="FR124" s="223">
        <f t="shared" si="2310"/>
        <v>2</v>
      </c>
      <c r="FS124" s="223">
        <f t="shared" si="2310"/>
        <v>2</v>
      </c>
      <c r="FT124" s="223">
        <f t="shared" si="2310"/>
        <v>2</v>
      </c>
      <c r="FU124" s="223">
        <f t="shared" si="2310"/>
        <v>2</v>
      </c>
      <c r="FV124" s="223">
        <f t="shared" si="2310"/>
        <v>2</v>
      </c>
      <c r="FW124" s="223">
        <f t="shared" si="2310"/>
        <v>2</v>
      </c>
      <c r="FX124" s="223">
        <f t="shared" si="2310"/>
        <v>2</v>
      </c>
      <c r="FY124" s="223">
        <f t="shared" si="2310"/>
        <v>2</v>
      </c>
      <c r="FZ124" s="223">
        <f t="shared" si="2310"/>
        <v>2</v>
      </c>
      <c r="GA124" s="223">
        <f t="shared" si="2310"/>
        <v>2</v>
      </c>
      <c r="GB124" s="223">
        <f t="shared" si="2310"/>
        <v>3</v>
      </c>
      <c r="GC124" s="223">
        <f t="shared" si="2310"/>
        <v>3</v>
      </c>
      <c r="GD124" s="223">
        <f t="shared" si="2310"/>
        <v>3</v>
      </c>
      <c r="GE124" s="223">
        <f t="shared" si="2310"/>
        <v>3</v>
      </c>
      <c r="GF124" s="223">
        <f t="shared" si="2310"/>
        <v>3</v>
      </c>
      <c r="GG124" s="223">
        <f t="shared" si="2310"/>
        <v>3</v>
      </c>
      <c r="GH124" s="223">
        <f t="shared" si="2310"/>
        <v>3</v>
      </c>
      <c r="GI124" s="223">
        <f t="shared" si="2310"/>
        <v>3</v>
      </c>
      <c r="GJ124" s="223">
        <f t="shared" si="2310"/>
        <v>3</v>
      </c>
      <c r="GK124" s="223">
        <f t="shared" si="2310"/>
        <v>3</v>
      </c>
      <c r="GL124" s="223">
        <f t="shared" si="2310"/>
        <v>3</v>
      </c>
      <c r="GM124" s="223">
        <f t="shared" si="2310"/>
        <v>3</v>
      </c>
      <c r="GN124" s="223">
        <f t="shared" si="2310"/>
        <v>4</v>
      </c>
      <c r="GO124" s="223">
        <f t="shared" si="2310"/>
        <v>4</v>
      </c>
      <c r="GP124" s="223">
        <f t="shared" si="2310"/>
        <v>4</v>
      </c>
      <c r="GQ124" s="223">
        <f t="shared" si="2310"/>
        <v>4</v>
      </c>
      <c r="GR124" s="223">
        <f t="shared" si="2310"/>
        <v>4</v>
      </c>
      <c r="GS124" s="223">
        <f t="shared" si="2310"/>
        <v>4</v>
      </c>
      <c r="GT124" s="223">
        <f t="shared" si="2310"/>
        <v>4</v>
      </c>
      <c r="GU124" s="223">
        <f t="shared" si="2310"/>
        <v>4</v>
      </c>
      <c r="GV124" s="223">
        <f t="shared" si="2310"/>
        <v>4</v>
      </c>
      <c r="GW124" s="223">
        <f t="shared" si="2310"/>
        <v>4</v>
      </c>
      <c r="GX124" s="223">
        <f t="shared" si="2310"/>
        <v>4</v>
      </c>
      <c r="GY124" s="223">
        <f t="shared" si="2310"/>
        <v>4</v>
      </c>
      <c r="GZ124" s="223">
        <f t="shared" si="2310"/>
        <v>5</v>
      </c>
      <c r="HA124" s="223">
        <f t="shared" si="2310"/>
        <v>5</v>
      </c>
      <c r="HB124" s="223">
        <f t="shared" si="2310"/>
        <v>5</v>
      </c>
      <c r="HC124" s="223">
        <f t="shared" si="2310"/>
        <v>5</v>
      </c>
      <c r="HD124" s="223">
        <f t="shared" si="2310"/>
        <v>5</v>
      </c>
      <c r="HE124" s="223">
        <f t="shared" si="2310"/>
        <v>5</v>
      </c>
      <c r="HF124" s="223">
        <f t="shared" si="2310"/>
        <v>5</v>
      </c>
      <c r="HG124" s="223">
        <f t="shared" si="2310"/>
        <v>5</v>
      </c>
      <c r="HH124" s="223">
        <f t="shared" si="2310"/>
        <v>5</v>
      </c>
      <c r="HI124" s="223">
        <f t="shared" si="2310"/>
        <v>5</v>
      </c>
      <c r="HJ124" s="223">
        <f t="shared" si="2310"/>
        <v>5</v>
      </c>
      <c r="HK124" s="223">
        <f t="shared" si="2310"/>
        <v>5</v>
      </c>
      <c r="HL124" s="223">
        <f t="shared" si="2310"/>
        <v>6</v>
      </c>
      <c r="HM124" s="223">
        <f t="shared" si="2310"/>
        <v>6</v>
      </c>
      <c r="HN124" s="223">
        <f t="shared" si="2310"/>
        <v>6</v>
      </c>
      <c r="HO124" s="223">
        <f t="shared" si="2310"/>
        <v>6</v>
      </c>
      <c r="HP124" s="223">
        <f t="shared" si="2310"/>
        <v>6</v>
      </c>
      <c r="HQ124" s="223">
        <f t="shared" ref="HQ124:KB124" si="2311">+HQ$112</f>
        <v>6</v>
      </c>
      <c r="HR124" s="223">
        <f t="shared" si="2311"/>
        <v>6</v>
      </c>
      <c r="HS124" s="223">
        <f t="shared" si="2311"/>
        <v>6</v>
      </c>
      <c r="HT124" s="223">
        <f t="shared" si="2311"/>
        <v>6</v>
      </c>
      <c r="HU124" s="223">
        <f t="shared" si="2311"/>
        <v>6</v>
      </c>
      <c r="HV124" s="223">
        <f t="shared" si="2311"/>
        <v>6</v>
      </c>
      <c r="HW124" s="223">
        <f t="shared" si="2311"/>
        <v>6</v>
      </c>
      <c r="HX124" s="223">
        <f t="shared" si="2311"/>
        <v>7</v>
      </c>
      <c r="HY124" s="223">
        <f t="shared" si="2311"/>
        <v>7</v>
      </c>
      <c r="HZ124" s="223">
        <f t="shared" si="2311"/>
        <v>7</v>
      </c>
      <c r="IA124" s="223">
        <f t="shared" si="2311"/>
        <v>7</v>
      </c>
      <c r="IB124" s="223">
        <f t="shared" si="2311"/>
        <v>7</v>
      </c>
      <c r="IC124" s="223">
        <f t="shared" si="2311"/>
        <v>7</v>
      </c>
      <c r="ID124" s="223">
        <f t="shared" si="2311"/>
        <v>7</v>
      </c>
      <c r="IE124" s="223">
        <f t="shared" si="2311"/>
        <v>7</v>
      </c>
      <c r="IF124" s="223">
        <f t="shared" si="2311"/>
        <v>7</v>
      </c>
      <c r="IG124" s="223">
        <f t="shared" si="2311"/>
        <v>7</v>
      </c>
      <c r="IH124" s="223">
        <f t="shared" si="2311"/>
        <v>7</v>
      </c>
      <c r="II124" s="223">
        <f t="shared" si="2311"/>
        <v>7</v>
      </c>
      <c r="IJ124" s="223">
        <f t="shared" si="2311"/>
        <v>8</v>
      </c>
      <c r="IK124" s="223">
        <f t="shared" si="2311"/>
        <v>8</v>
      </c>
      <c r="IL124" s="223">
        <f t="shared" si="2311"/>
        <v>8</v>
      </c>
      <c r="IM124" s="223">
        <f t="shared" si="2311"/>
        <v>8</v>
      </c>
      <c r="IN124" s="223">
        <f t="shared" si="2311"/>
        <v>8</v>
      </c>
      <c r="IO124" s="223">
        <f t="shared" si="2311"/>
        <v>8</v>
      </c>
      <c r="IP124" s="223">
        <f t="shared" si="2311"/>
        <v>8</v>
      </c>
      <c r="IQ124" s="223">
        <f t="shared" si="2311"/>
        <v>8</v>
      </c>
      <c r="IR124" s="223">
        <f t="shared" si="2311"/>
        <v>8</v>
      </c>
      <c r="IS124" s="223">
        <f t="shared" si="2311"/>
        <v>8</v>
      </c>
      <c r="IT124" s="223">
        <f t="shared" si="2311"/>
        <v>8</v>
      </c>
      <c r="IU124" s="223">
        <f t="shared" si="2311"/>
        <v>8</v>
      </c>
      <c r="IV124" s="223">
        <f t="shared" si="2311"/>
        <v>9</v>
      </c>
      <c r="IW124" s="223">
        <f t="shared" si="2311"/>
        <v>9</v>
      </c>
      <c r="IX124" s="223">
        <f t="shared" si="2311"/>
        <v>9</v>
      </c>
      <c r="IY124" s="223">
        <f t="shared" si="2311"/>
        <v>9</v>
      </c>
      <c r="IZ124" s="223">
        <f t="shared" si="2311"/>
        <v>9</v>
      </c>
      <c r="JA124" s="223">
        <f t="shared" si="2311"/>
        <v>9</v>
      </c>
      <c r="JB124" s="223">
        <f t="shared" si="2311"/>
        <v>9</v>
      </c>
      <c r="JC124" s="223">
        <f t="shared" si="2311"/>
        <v>9</v>
      </c>
      <c r="JD124" s="223">
        <f t="shared" si="2311"/>
        <v>9</v>
      </c>
      <c r="JE124" s="223">
        <f t="shared" si="2311"/>
        <v>9</v>
      </c>
      <c r="JF124" s="223">
        <f t="shared" si="2311"/>
        <v>9</v>
      </c>
      <c r="JG124" s="223">
        <f t="shared" si="2311"/>
        <v>9</v>
      </c>
      <c r="JH124" s="223">
        <f t="shared" si="2311"/>
        <v>10</v>
      </c>
      <c r="JI124" s="223">
        <f t="shared" si="2311"/>
        <v>10</v>
      </c>
      <c r="JJ124" s="223">
        <f t="shared" si="2311"/>
        <v>10</v>
      </c>
      <c r="JK124" s="223">
        <f t="shared" si="2311"/>
        <v>10</v>
      </c>
      <c r="JL124" s="223">
        <f t="shared" si="2311"/>
        <v>10</v>
      </c>
      <c r="JM124" s="223">
        <f t="shared" si="2311"/>
        <v>10</v>
      </c>
      <c r="JN124" s="223">
        <f t="shared" si="2311"/>
        <v>10</v>
      </c>
      <c r="JO124" s="223">
        <f t="shared" si="2311"/>
        <v>10</v>
      </c>
      <c r="JP124" s="223">
        <f t="shared" si="2311"/>
        <v>10</v>
      </c>
      <c r="JQ124" s="223">
        <f t="shared" si="2311"/>
        <v>10</v>
      </c>
      <c r="JR124" s="223">
        <f t="shared" si="2311"/>
        <v>10</v>
      </c>
      <c r="JS124" s="223">
        <f t="shared" si="2311"/>
        <v>10</v>
      </c>
      <c r="JT124" s="223">
        <f t="shared" si="2311"/>
        <v>11</v>
      </c>
      <c r="JU124" s="223">
        <f t="shared" si="2311"/>
        <v>11</v>
      </c>
      <c r="JV124" s="223">
        <f t="shared" si="2311"/>
        <v>11</v>
      </c>
      <c r="JW124" s="223">
        <f t="shared" si="2311"/>
        <v>11</v>
      </c>
      <c r="JX124" s="223">
        <f t="shared" si="2311"/>
        <v>11</v>
      </c>
      <c r="JY124" s="223">
        <f t="shared" si="2311"/>
        <v>11</v>
      </c>
      <c r="JZ124" s="223">
        <f t="shared" si="2311"/>
        <v>11</v>
      </c>
      <c r="KA124" s="223">
        <f t="shared" si="2311"/>
        <v>11</v>
      </c>
      <c r="KB124" s="223">
        <f t="shared" si="2311"/>
        <v>11</v>
      </c>
      <c r="KC124" s="223">
        <f t="shared" ref="KC124:KE124" si="2312">+KC$112</f>
        <v>11</v>
      </c>
      <c r="KD124" s="223">
        <f t="shared" si="2312"/>
        <v>11</v>
      </c>
      <c r="KE124" s="223">
        <f t="shared" si="2312"/>
        <v>11</v>
      </c>
      <c r="KG124" s="226" t="s">
        <v>182</v>
      </c>
      <c r="KH124" s="201"/>
      <c r="KI124" s="224"/>
      <c r="KJ124" s="224"/>
      <c r="KK124" s="224"/>
      <c r="KL124" s="224"/>
      <c r="KM124" s="199" t="s">
        <v>169</v>
      </c>
      <c r="KN124" s="223">
        <f>KN$112</f>
        <v>1</v>
      </c>
      <c r="KO124" s="223">
        <f t="shared" ref="KO124:MZ124" si="2313">KO$112</f>
        <v>1</v>
      </c>
      <c r="KP124" s="223">
        <f t="shared" si="2313"/>
        <v>1</v>
      </c>
      <c r="KQ124" s="223">
        <f t="shared" si="2313"/>
        <v>1</v>
      </c>
      <c r="KR124" s="223">
        <f t="shared" si="2313"/>
        <v>1</v>
      </c>
      <c r="KS124" s="223">
        <f t="shared" si="2313"/>
        <v>1</v>
      </c>
      <c r="KT124" s="223">
        <f t="shared" si="2313"/>
        <v>1</v>
      </c>
      <c r="KU124" s="223">
        <f t="shared" si="2313"/>
        <v>1</v>
      </c>
      <c r="KV124" s="223">
        <f t="shared" si="2313"/>
        <v>1</v>
      </c>
      <c r="KW124" s="223">
        <f t="shared" si="2313"/>
        <v>1</v>
      </c>
      <c r="KX124" s="223">
        <f t="shared" si="2313"/>
        <v>1</v>
      </c>
      <c r="KY124" s="223">
        <f t="shared" si="2313"/>
        <v>1</v>
      </c>
      <c r="KZ124" s="223">
        <f t="shared" si="2313"/>
        <v>2</v>
      </c>
      <c r="LA124" s="223">
        <f t="shared" si="2313"/>
        <v>2</v>
      </c>
      <c r="LB124" s="223">
        <f t="shared" si="2313"/>
        <v>2</v>
      </c>
      <c r="LC124" s="223">
        <f t="shared" si="2313"/>
        <v>2</v>
      </c>
      <c r="LD124" s="223">
        <f t="shared" si="2313"/>
        <v>2</v>
      </c>
      <c r="LE124" s="223">
        <f t="shared" si="2313"/>
        <v>2</v>
      </c>
      <c r="LF124" s="223">
        <f t="shared" si="2313"/>
        <v>2</v>
      </c>
      <c r="LG124" s="223">
        <f t="shared" si="2313"/>
        <v>2</v>
      </c>
      <c r="LH124" s="223">
        <f t="shared" si="2313"/>
        <v>2</v>
      </c>
      <c r="LI124" s="223">
        <f t="shared" si="2313"/>
        <v>2</v>
      </c>
      <c r="LJ124" s="223">
        <f t="shared" si="2313"/>
        <v>2</v>
      </c>
      <c r="LK124" s="223">
        <f t="shared" si="2313"/>
        <v>2</v>
      </c>
      <c r="LL124" s="223">
        <f t="shared" si="2313"/>
        <v>3</v>
      </c>
      <c r="LM124" s="223">
        <f t="shared" si="2313"/>
        <v>3</v>
      </c>
      <c r="LN124" s="223">
        <f t="shared" si="2313"/>
        <v>3</v>
      </c>
      <c r="LO124" s="223">
        <f t="shared" si="2313"/>
        <v>3</v>
      </c>
      <c r="LP124" s="223">
        <f t="shared" si="2313"/>
        <v>3</v>
      </c>
      <c r="LQ124" s="223">
        <f t="shared" si="2313"/>
        <v>3</v>
      </c>
      <c r="LR124" s="223">
        <f t="shared" si="2313"/>
        <v>3</v>
      </c>
      <c r="LS124" s="223">
        <f t="shared" si="2313"/>
        <v>3</v>
      </c>
      <c r="LT124" s="223">
        <f t="shared" si="2313"/>
        <v>3</v>
      </c>
      <c r="LU124" s="223">
        <f t="shared" si="2313"/>
        <v>3</v>
      </c>
      <c r="LV124" s="223">
        <f t="shared" si="2313"/>
        <v>3</v>
      </c>
      <c r="LW124" s="223">
        <f t="shared" si="2313"/>
        <v>3</v>
      </c>
      <c r="LX124" s="223">
        <f t="shared" si="2313"/>
        <v>4</v>
      </c>
      <c r="LY124" s="223">
        <f t="shared" si="2313"/>
        <v>4</v>
      </c>
      <c r="LZ124" s="223">
        <f t="shared" si="2313"/>
        <v>4</v>
      </c>
      <c r="MA124" s="223">
        <f t="shared" si="2313"/>
        <v>4</v>
      </c>
      <c r="MB124" s="223">
        <f t="shared" si="2313"/>
        <v>4</v>
      </c>
      <c r="MC124" s="223">
        <f t="shared" si="2313"/>
        <v>4</v>
      </c>
      <c r="MD124" s="223">
        <f t="shared" si="2313"/>
        <v>4</v>
      </c>
      <c r="ME124" s="223">
        <f t="shared" si="2313"/>
        <v>4</v>
      </c>
      <c r="MF124" s="223">
        <f t="shared" si="2313"/>
        <v>4</v>
      </c>
      <c r="MG124" s="223">
        <f t="shared" si="2313"/>
        <v>4</v>
      </c>
      <c r="MH124" s="223">
        <f t="shared" si="2313"/>
        <v>4</v>
      </c>
      <c r="MI124" s="223">
        <f t="shared" si="2313"/>
        <v>4</v>
      </c>
      <c r="MJ124" s="223">
        <f t="shared" si="2313"/>
        <v>5</v>
      </c>
      <c r="MK124" s="223">
        <f t="shared" si="2313"/>
        <v>5</v>
      </c>
      <c r="ML124" s="223">
        <f t="shared" si="2313"/>
        <v>5</v>
      </c>
      <c r="MM124" s="223">
        <f t="shared" si="2313"/>
        <v>5</v>
      </c>
      <c r="MN124" s="223">
        <f t="shared" si="2313"/>
        <v>5</v>
      </c>
      <c r="MO124" s="223">
        <f t="shared" si="2313"/>
        <v>5</v>
      </c>
      <c r="MP124" s="223">
        <f t="shared" si="2313"/>
        <v>5</v>
      </c>
      <c r="MQ124" s="223">
        <f t="shared" si="2313"/>
        <v>5</v>
      </c>
      <c r="MR124" s="223">
        <f t="shared" si="2313"/>
        <v>5</v>
      </c>
      <c r="MS124" s="223">
        <f t="shared" si="2313"/>
        <v>5</v>
      </c>
      <c r="MT124" s="223">
        <f t="shared" si="2313"/>
        <v>5</v>
      </c>
      <c r="MU124" s="223">
        <f t="shared" si="2313"/>
        <v>5</v>
      </c>
      <c r="MV124" s="223">
        <f t="shared" si="2313"/>
        <v>6</v>
      </c>
      <c r="MW124" s="223">
        <f t="shared" si="2313"/>
        <v>6</v>
      </c>
      <c r="MX124" s="223">
        <f t="shared" si="2313"/>
        <v>6</v>
      </c>
      <c r="MY124" s="223">
        <f t="shared" si="2313"/>
        <v>6</v>
      </c>
      <c r="MZ124" s="223">
        <f t="shared" si="2313"/>
        <v>6</v>
      </c>
      <c r="NA124" s="223">
        <f t="shared" ref="NA124:PL124" si="2314">NA$112</f>
        <v>6</v>
      </c>
      <c r="NB124" s="223">
        <f t="shared" si="2314"/>
        <v>6</v>
      </c>
      <c r="NC124" s="223">
        <f t="shared" si="2314"/>
        <v>6</v>
      </c>
      <c r="ND124" s="223">
        <f t="shared" si="2314"/>
        <v>6</v>
      </c>
      <c r="NE124" s="223">
        <f t="shared" si="2314"/>
        <v>6</v>
      </c>
      <c r="NF124" s="223">
        <f t="shared" si="2314"/>
        <v>6</v>
      </c>
      <c r="NG124" s="223">
        <f t="shared" si="2314"/>
        <v>6</v>
      </c>
      <c r="NH124" s="223">
        <f t="shared" si="2314"/>
        <v>7</v>
      </c>
      <c r="NI124" s="223">
        <f t="shared" si="2314"/>
        <v>7</v>
      </c>
      <c r="NJ124" s="223">
        <f t="shared" si="2314"/>
        <v>7</v>
      </c>
      <c r="NK124" s="223">
        <f t="shared" si="2314"/>
        <v>7</v>
      </c>
      <c r="NL124" s="223">
        <f t="shared" si="2314"/>
        <v>7</v>
      </c>
      <c r="NM124" s="223">
        <f t="shared" si="2314"/>
        <v>7</v>
      </c>
      <c r="NN124" s="223">
        <f t="shared" si="2314"/>
        <v>7</v>
      </c>
      <c r="NO124" s="223">
        <f t="shared" si="2314"/>
        <v>7</v>
      </c>
      <c r="NP124" s="223">
        <f t="shared" si="2314"/>
        <v>7</v>
      </c>
      <c r="NQ124" s="223">
        <f t="shared" si="2314"/>
        <v>7</v>
      </c>
      <c r="NR124" s="223">
        <f t="shared" si="2314"/>
        <v>7</v>
      </c>
      <c r="NS124" s="223">
        <f t="shared" si="2314"/>
        <v>7</v>
      </c>
      <c r="NT124" s="223">
        <f t="shared" si="2314"/>
        <v>8</v>
      </c>
      <c r="NU124" s="223">
        <f t="shared" si="2314"/>
        <v>8</v>
      </c>
      <c r="NV124" s="223">
        <f t="shared" si="2314"/>
        <v>8</v>
      </c>
      <c r="NW124" s="223">
        <f t="shared" si="2314"/>
        <v>8</v>
      </c>
      <c r="NX124" s="223">
        <f t="shared" si="2314"/>
        <v>8</v>
      </c>
      <c r="NY124" s="223">
        <f t="shared" si="2314"/>
        <v>8</v>
      </c>
      <c r="NZ124" s="223">
        <f t="shared" si="2314"/>
        <v>8</v>
      </c>
      <c r="OA124" s="223">
        <f t="shared" si="2314"/>
        <v>8</v>
      </c>
      <c r="OB124" s="223">
        <f t="shared" si="2314"/>
        <v>8</v>
      </c>
      <c r="OC124" s="223">
        <f t="shared" si="2314"/>
        <v>8</v>
      </c>
      <c r="OD124" s="223">
        <f t="shared" si="2314"/>
        <v>8</v>
      </c>
      <c r="OE124" s="223">
        <f t="shared" si="2314"/>
        <v>8</v>
      </c>
      <c r="OF124" s="223">
        <f t="shared" si="2314"/>
        <v>9</v>
      </c>
      <c r="OG124" s="223">
        <f t="shared" si="2314"/>
        <v>9</v>
      </c>
      <c r="OH124" s="223">
        <f t="shared" si="2314"/>
        <v>9</v>
      </c>
      <c r="OI124" s="223">
        <f t="shared" si="2314"/>
        <v>9</v>
      </c>
      <c r="OJ124" s="223">
        <f t="shared" si="2314"/>
        <v>9</v>
      </c>
      <c r="OK124" s="223">
        <f t="shared" si="2314"/>
        <v>9</v>
      </c>
      <c r="OL124" s="223">
        <f t="shared" si="2314"/>
        <v>9</v>
      </c>
      <c r="OM124" s="223">
        <f t="shared" si="2314"/>
        <v>9</v>
      </c>
      <c r="ON124" s="223">
        <f t="shared" si="2314"/>
        <v>9</v>
      </c>
      <c r="OO124" s="223">
        <f t="shared" si="2314"/>
        <v>9</v>
      </c>
      <c r="OP124" s="223">
        <f t="shared" si="2314"/>
        <v>9</v>
      </c>
      <c r="OQ124" s="223">
        <f t="shared" si="2314"/>
        <v>9</v>
      </c>
      <c r="OR124" s="223">
        <f t="shared" si="2314"/>
        <v>10</v>
      </c>
      <c r="OS124" s="223">
        <f t="shared" si="2314"/>
        <v>10</v>
      </c>
      <c r="OT124" s="223">
        <f t="shared" si="2314"/>
        <v>10</v>
      </c>
      <c r="OU124" s="223">
        <f t="shared" si="2314"/>
        <v>10</v>
      </c>
      <c r="OV124" s="223">
        <f t="shared" si="2314"/>
        <v>10</v>
      </c>
      <c r="OW124" s="223">
        <f t="shared" si="2314"/>
        <v>10</v>
      </c>
      <c r="OX124" s="223">
        <f t="shared" si="2314"/>
        <v>10</v>
      </c>
      <c r="OY124" s="223">
        <f t="shared" si="2314"/>
        <v>10</v>
      </c>
      <c r="OZ124" s="223">
        <f t="shared" si="2314"/>
        <v>10</v>
      </c>
      <c r="PA124" s="223">
        <f t="shared" si="2314"/>
        <v>10</v>
      </c>
      <c r="PB124" s="223">
        <f t="shared" si="2314"/>
        <v>10</v>
      </c>
      <c r="PC124" s="223">
        <f t="shared" si="2314"/>
        <v>10</v>
      </c>
      <c r="PD124" s="223">
        <f t="shared" si="2314"/>
        <v>11</v>
      </c>
      <c r="PE124" s="223">
        <f t="shared" si="2314"/>
        <v>11</v>
      </c>
      <c r="PF124" s="223">
        <f t="shared" si="2314"/>
        <v>11</v>
      </c>
      <c r="PG124" s="223">
        <f t="shared" si="2314"/>
        <v>11</v>
      </c>
      <c r="PH124" s="223">
        <f t="shared" si="2314"/>
        <v>11</v>
      </c>
      <c r="PI124" s="223">
        <f t="shared" si="2314"/>
        <v>11</v>
      </c>
      <c r="PJ124" s="223">
        <f t="shared" si="2314"/>
        <v>11</v>
      </c>
      <c r="PK124" s="223">
        <f t="shared" si="2314"/>
        <v>11</v>
      </c>
      <c r="PL124" s="223">
        <f t="shared" si="2314"/>
        <v>11</v>
      </c>
      <c r="PM124" s="223">
        <f t="shared" ref="PM124:PO124" si="2315">PM$112</f>
        <v>11</v>
      </c>
      <c r="PN124" s="223">
        <f t="shared" si="2315"/>
        <v>11</v>
      </c>
      <c r="PO124" s="223">
        <f t="shared" si="2315"/>
        <v>11</v>
      </c>
      <c r="PQ124" s="201"/>
      <c r="PR124" s="201"/>
      <c r="PS124" s="201"/>
      <c r="PT124" s="201"/>
      <c r="PU124" s="201"/>
      <c r="PV124" s="201"/>
      <c r="PW124" s="201"/>
      <c r="PX124" s="201"/>
      <c r="PY124" s="201"/>
      <c r="PZ124" s="201"/>
      <c r="QA124" s="201"/>
      <c r="QB124" s="201"/>
      <c r="QC124" s="201"/>
      <c r="QD124" s="201"/>
      <c r="QE124" s="201"/>
      <c r="QF124" s="201"/>
      <c r="QG124" s="201"/>
      <c r="QH124" s="201"/>
      <c r="QI124" s="201"/>
      <c r="QJ124" s="201"/>
      <c r="QK124" s="201"/>
      <c r="QL124" s="201"/>
      <c r="QM124" s="201"/>
      <c r="QN124" s="201"/>
      <c r="QO124" s="201"/>
      <c r="QP124" s="201"/>
      <c r="QQ124" s="201"/>
      <c r="QR124" s="201"/>
      <c r="QS124" s="201"/>
      <c r="QT124" s="201"/>
      <c r="QU124" s="201"/>
      <c r="QV124" s="201"/>
      <c r="QW124" s="201"/>
      <c r="QX124" s="201"/>
      <c r="QY124" s="201"/>
      <c r="QZ124" s="201"/>
      <c r="RA124" s="201"/>
      <c r="RB124" s="201"/>
      <c r="RC124" s="201"/>
      <c r="RD124" s="201"/>
      <c r="RE124" s="201"/>
      <c r="RF124" s="201"/>
      <c r="RG124" s="201"/>
      <c r="RH124" s="201"/>
      <c r="RI124" s="201"/>
      <c r="RJ124" s="201"/>
      <c r="RK124" s="201"/>
      <c r="RL124" s="201"/>
      <c r="RM124" s="201"/>
      <c r="RN124" s="201"/>
      <c r="RO124" s="201"/>
      <c r="RP124" s="201"/>
      <c r="RQ124" s="201"/>
      <c r="RR124" s="201"/>
      <c r="RS124" s="201"/>
      <c r="RT124" s="201"/>
      <c r="RU124" s="201"/>
      <c r="RV124" s="201"/>
      <c r="RW124" s="201"/>
      <c r="RX124" s="201"/>
      <c r="RY124" s="201"/>
      <c r="RZ124" s="201"/>
      <c r="SA124" s="201"/>
      <c r="SB124" s="201"/>
      <c r="SC124" s="201"/>
      <c r="SD124" s="201"/>
      <c r="SE124" s="201"/>
      <c r="SF124" s="201"/>
      <c r="SG124" s="201"/>
      <c r="SH124" s="201"/>
      <c r="SI124" s="201"/>
      <c r="SJ124" s="201"/>
      <c r="SK124" s="201"/>
      <c r="SL124" s="201"/>
      <c r="SM124" s="201"/>
      <c r="SN124" s="201"/>
      <c r="SO124" s="201"/>
      <c r="SP124" s="201"/>
      <c r="SQ124" s="201"/>
      <c r="SR124" s="201"/>
      <c r="SS124" s="201"/>
      <c r="ST124" s="201"/>
      <c r="SU124" s="201"/>
      <c r="SV124" s="201"/>
      <c r="SW124" s="201"/>
      <c r="SX124" s="201"/>
      <c r="SY124" s="201"/>
      <c r="SZ124" s="201"/>
      <c r="TA124" s="201"/>
      <c r="TB124" s="201"/>
      <c r="TC124" s="201"/>
      <c r="TD124" s="201"/>
      <c r="TE124" s="201"/>
      <c r="TF124" s="201"/>
      <c r="TG124" s="201"/>
      <c r="TH124" s="201"/>
      <c r="TI124" s="201"/>
      <c r="TJ124" s="201"/>
      <c r="TK124" s="201"/>
      <c r="TL124" s="201"/>
      <c r="TM124" s="201"/>
      <c r="TN124" s="201"/>
      <c r="TO124" s="201"/>
      <c r="TP124" s="201"/>
      <c r="TQ124" s="201"/>
      <c r="TR124" s="201"/>
      <c r="TS124" s="201"/>
      <c r="TT124" s="201"/>
      <c r="TU124" s="201"/>
      <c r="TV124" s="201"/>
      <c r="TW124" s="201"/>
      <c r="TX124" s="201"/>
      <c r="TY124" s="201"/>
      <c r="TZ124" s="201"/>
      <c r="UA124" s="201"/>
      <c r="UB124" s="201"/>
      <c r="UC124" s="201"/>
      <c r="UD124" s="201"/>
      <c r="UE124" s="201"/>
      <c r="UF124" s="201"/>
      <c r="UG124" s="201"/>
      <c r="UH124" s="201"/>
      <c r="UI124" s="201"/>
      <c r="UJ124" s="201"/>
      <c r="UK124" s="201"/>
      <c r="UL124" s="201"/>
      <c r="UM124" s="201"/>
      <c r="UN124" s="201"/>
      <c r="UO124" s="201"/>
      <c r="UP124" s="201"/>
      <c r="UQ124" s="201"/>
      <c r="UR124" s="201"/>
      <c r="US124" s="201"/>
      <c r="UT124" s="201"/>
      <c r="UU124" s="201"/>
    </row>
    <row r="125" spans="2:567" ht="15.6" x14ac:dyDescent="0.4">
      <c r="B125" s="108" t="s">
        <v>134</v>
      </c>
      <c r="C125" s="29"/>
      <c r="D125" s="29"/>
      <c r="E125" s="29"/>
      <c r="F125" s="111"/>
      <c r="G125" s="132"/>
      <c r="H125" s="139"/>
      <c r="I125" s="112"/>
      <c r="J125" s="149"/>
      <c r="K125" s="129"/>
      <c r="R125" s="524"/>
      <c r="EX125" s="201"/>
      <c r="EY125" s="199" t="s">
        <v>676</v>
      </c>
      <c r="EZ125" s="199">
        <f>COUNTA(K126:K129)</f>
        <v>4</v>
      </c>
      <c r="FA125" s="221"/>
      <c r="FB125" s="221"/>
      <c r="FC125" s="227" t="s">
        <v>184</v>
      </c>
      <c r="FD125" s="204">
        <v>1</v>
      </c>
      <c r="FE125" s="204">
        <f t="shared" ref="FE125" si="2316">+FD125+1</f>
        <v>2</v>
      </c>
      <c r="FF125" s="204">
        <f t="shared" ref="FF125" si="2317">+FE125+1</f>
        <v>3</v>
      </c>
      <c r="FG125" s="204">
        <f t="shared" ref="FG125" si="2318">+FF125+1</f>
        <v>4</v>
      </c>
      <c r="FH125" s="204">
        <f t="shared" ref="FH125" si="2319">+FG125+1</f>
        <v>5</v>
      </c>
      <c r="FI125" s="204">
        <f t="shared" ref="FI125" si="2320">+FH125+1</f>
        <v>6</v>
      </c>
      <c r="FJ125" s="204">
        <f t="shared" ref="FJ125" si="2321">+FI125+1</f>
        <v>7</v>
      </c>
      <c r="FK125" s="204">
        <f t="shared" ref="FK125" si="2322">+FJ125+1</f>
        <v>8</v>
      </c>
      <c r="FL125" s="204">
        <f t="shared" ref="FL125" si="2323">+FK125+1</f>
        <v>9</v>
      </c>
      <c r="FM125" s="204">
        <f t="shared" ref="FM125" si="2324">+FL125+1</f>
        <v>10</v>
      </c>
      <c r="FN125" s="204">
        <f t="shared" ref="FN125" si="2325">+FM125+1</f>
        <v>11</v>
      </c>
      <c r="FO125" s="204">
        <f t="shared" ref="FO125" si="2326">+FN125+1</f>
        <v>12</v>
      </c>
      <c r="FP125" s="204">
        <f t="shared" ref="FP125" si="2327">+FO125+1</f>
        <v>13</v>
      </c>
      <c r="FQ125" s="204">
        <f t="shared" ref="FQ125" si="2328">+FP125+1</f>
        <v>14</v>
      </c>
      <c r="FR125" s="204">
        <f t="shared" ref="FR125" si="2329">+FQ125+1</f>
        <v>15</v>
      </c>
      <c r="FS125" s="204">
        <f t="shared" ref="FS125" si="2330">+FR125+1</f>
        <v>16</v>
      </c>
      <c r="FT125" s="204">
        <f t="shared" ref="FT125" si="2331">+FS125+1</f>
        <v>17</v>
      </c>
      <c r="FU125" s="204">
        <f t="shared" ref="FU125" si="2332">+FT125+1</f>
        <v>18</v>
      </c>
      <c r="FV125" s="204">
        <f t="shared" ref="FV125" si="2333">+FU125+1</f>
        <v>19</v>
      </c>
      <c r="FW125" s="204">
        <f t="shared" ref="FW125" si="2334">+FV125+1</f>
        <v>20</v>
      </c>
      <c r="FX125" s="204">
        <f t="shared" ref="FX125" si="2335">+FW125+1</f>
        <v>21</v>
      </c>
      <c r="FY125" s="204">
        <f t="shared" ref="FY125" si="2336">+FX125+1</f>
        <v>22</v>
      </c>
      <c r="FZ125" s="204">
        <f t="shared" ref="FZ125" si="2337">+FY125+1</f>
        <v>23</v>
      </c>
      <c r="GA125" s="204">
        <f t="shared" ref="GA125" si="2338">+FZ125+1</f>
        <v>24</v>
      </c>
      <c r="GB125" s="204">
        <f t="shared" ref="GB125" si="2339">+GA125+1</f>
        <v>25</v>
      </c>
      <c r="GC125" s="204">
        <f t="shared" ref="GC125" si="2340">+GB125+1</f>
        <v>26</v>
      </c>
      <c r="GD125" s="204">
        <f t="shared" ref="GD125" si="2341">+GC125+1</f>
        <v>27</v>
      </c>
      <c r="GE125" s="204">
        <f t="shared" ref="GE125" si="2342">+GD125+1</f>
        <v>28</v>
      </c>
      <c r="GF125" s="204">
        <f t="shared" ref="GF125" si="2343">+GE125+1</f>
        <v>29</v>
      </c>
      <c r="GG125" s="204">
        <f t="shared" ref="GG125" si="2344">+GF125+1</f>
        <v>30</v>
      </c>
      <c r="GH125" s="204">
        <f t="shared" ref="GH125" si="2345">+GG125+1</f>
        <v>31</v>
      </c>
      <c r="GI125" s="204">
        <f t="shared" ref="GI125" si="2346">+GH125+1</f>
        <v>32</v>
      </c>
      <c r="GJ125" s="204">
        <f t="shared" ref="GJ125" si="2347">+GI125+1</f>
        <v>33</v>
      </c>
      <c r="GK125" s="204">
        <f t="shared" ref="GK125" si="2348">+GJ125+1</f>
        <v>34</v>
      </c>
      <c r="GL125" s="204">
        <f t="shared" ref="GL125" si="2349">+GK125+1</f>
        <v>35</v>
      </c>
      <c r="GM125" s="204">
        <f t="shared" ref="GM125" si="2350">+GL125+1</f>
        <v>36</v>
      </c>
      <c r="GN125" s="204">
        <f t="shared" ref="GN125" si="2351">+GM125+1</f>
        <v>37</v>
      </c>
      <c r="GO125" s="204">
        <f t="shared" ref="GO125" si="2352">+GN125+1</f>
        <v>38</v>
      </c>
      <c r="GP125" s="204">
        <f t="shared" ref="GP125" si="2353">+GO125+1</f>
        <v>39</v>
      </c>
      <c r="GQ125" s="204">
        <f t="shared" ref="GQ125" si="2354">+GP125+1</f>
        <v>40</v>
      </c>
      <c r="GR125" s="204">
        <f t="shared" ref="GR125" si="2355">+GQ125+1</f>
        <v>41</v>
      </c>
      <c r="GS125" s="204">
        <f t="shared" ref="GS125" si="2356">+GR125+1</f>
        <v>42</v>
      </c>
      <c r="GT125" s="204">
        <f t="shared" ref="GT125" si="2357">+GS125+1</f>
        <v>43</v>
      </c>
      <c r="GU125" s="204">
        <f t="shared" ref="GU125" si="2358">+GT125+1</f>
        <v>44</v>
      </c>
      <c r="GV125" s="204">
        <f t="shared" ref="GV125" si="2359">+GU125+1</f>
        <v>45</v>
      </c>
      <c r="GW125" s="204">
        <f t="shared" ref="GW125" si="2360">+GV125+1</f>
        <v>46</v>
      </c>
      <c r="GX125" s="204">
        <f t="shared" ref="GX125" si="2361">+GW125+1</f>
        <v>47</v>
      </c>
      <c r="GY125" s="204">
        <f t="shared" ref="GY125" si="2362">+GX125+1</f>
        <v>48</v>
      </c>
      <c r="GZ125" s="204">
        <f t="shared" ref="GZ125" si="2363">+GY125+1</f>
        <v>49</v>
      </c>
      <c r="HA125" s="204">
        <f t="shared" ref="HA125" si="2364">+GZ125+1</f>
        <v>50</v>
      </c>
      <c r="HB125" s="204">
        <f t="shared" ref="HB125" si="2365">+HA125+1</f>
        <v>51</v>
      </c>
      <c r="HC125" s="204">
        <f t="shared" ref="HC125" si="2366">+HB125+1</f>
        <v>52</v>
      </c>
      <c r="HD125" s="204">
        <f t="shared" ref="HD125" si="2367">+HC125+1</f>
        <v>53</v>
      </c>
      <c r="HE125" s="204">
        <f t="shared" ref="HE125" si="2368">+HD125+1</f>
        <v>54</v>
      </c>
      <c r="HF125" s="204">
        <f t="shared" ref="HF125" si="2369">+HE125+1</f>
        <v>55</v>
      </c>
      <c r="HG125" s="204">
        <f t="shared" ref="HG125" si="2370">+HF125+1</f>
        <v>56</v>
      </c>
      <c r="HH125" s="204">
        <f t="shared" ref="HH125" si="2371">+HG125+1</f>
        <v>57</v>
      </c>
      <c r="HI125" s="204">
        <f t="shared" ref="HI125" si="2372">+HH125+1</f>
        <v>58</v>
      </c>
      <c r="HJ125" s="204">
        <f t="shared" ref="HJ125" si="2373">+HI125+1</f>
        <v>59</v>
      </c>
      <c r="HK125" s="204">
        <f t="shared" ref="HK125" si="2374">+HJ125+1</f>
        <v>60</v>
      </c>
      <c r="HL125" s="204">
        <f t="shared" ref="HL125" si="2375">+HK125+1</f>
        <v>61</v>
      </c>
      <c r="HM125" s="204">
        <f t="shared" ref="HM125" si="2376">+HL125+1</f>
        <v>62</v>
      </c>
      <c r="HN125" s="204">
        <f t="shared" ref="HN125" si="2377">+HM125+1</f>
        <v>63</v>
      </c>
      <c r="HO125" s="204">
        <f t="shared" ref="HO125" si="2378">+HN125+1</f>
        <v>64</v>
      </c>
      <c r="HP125" s="204">
        <f t="shared" ref="HP125" si="2379">+HO125+1</f>
        <v>65</v>
      </c>
      <c r="HQ125" s="204">
        <f t="shared" ref="HQ125" si="2380">+HP125+1</f>
        <v>66</v>
      </c>
      <c r="HR125" s="204">
        <f t="shared" ref="HR125" si="2381">+HQ125+1</f>
        <v>67</v>
      </c>
      <c r="HS125" s="204">
        <f t="shared" ref="HS125" si="2382">+HR125+1</f>
        <v>68</v>
      </c>
      <c r="HT125" s="204">
        <f t="shared" ref="HT125" si="2383">+HS125+1</f>
        <v>69</v>
      </c>
      <c r="HU125" s="204">
        <f t="shared" ref="HU125" si="2384">+HT125+1</f>
        <v>70</v>
      </c>
      <c r="HV125" s="204">
        <f t="shared" ref="HV125" si="2385">+HU125+1</f>
        <v>71</v>
      </c>
      <c r="HW125" s="204">
        <f t="shared" ref="HW125" si="2386">+HV125+1</f>
        <v>72</v>
      </c>
      <c r="HX125" s="204">
        <f t="shared" ref="HX125" si="2387">+HW125+1</f>
        <v>73</v>
      </c>
      <c r="HY125" s="204">
        <f t="shared" ref="HY125" si="2388">+HX125+1</f>
        <v>74</v>
      </c>
      <c r="HZ125" s="204">
        <f t="shared" ref="HZ125" si="2389">+HY125+1</f>
        <v>75</v>
      </c>
      <c r="IA125" s="204">
        <f t="shared" ref="IA125" si="2390">+HZ125+1</f>
        <v>76</v>
      </c>
      <c r="IB125" s="204">
        <f t="shared" ref="IB125" si="2391">+IA125+1</f>
        <v>77</v>
      </c>
      <c r="IC125" s="204">
        <f t="shared" ref="IC125" si="2392">+IB125+1</f>
        <v>78</v>
      </c>
      <c r="ID125" s="204">
        <f t="shared" ref="ID125" si="2393">+IC125+1</f>
        <v>79</v>
      </c>
      <c r="IE125" s="204">
        <f t="shared" ref="IE125" si="2394">+ID125+1</f>
        <v>80</v>
      </c>
      <c r="IF125" s="204">
        <f t="shared" ref="IF125" si="2395">+IE125+1</f>
        <v>81</v>
      </c>
      <c r="IG125" s="204">
        <f t="shared" ref="IG125" si="2396">+IF125+1</f>
        <v>82</v>
      </c>
      <c r="IH125" s="204">
        <f t="shared" ref="IH125" si="2397">+IG125+1</f>
        <v>83</v>
      </c>
      <c r="II125" s="204">
        <f t="shared" ref="II125" si="2398">+IH125+1</f>
        <v>84</v>
      </c>
      <c r="IJ125" s="204">
        <f t="shared" ref="IJ125" si="2399">+II125+1</f>
        <v>85</v>
      </c>
      <c r="IK125" s="204">
        <f t="shared" ref="IK125" si="2400">+IJ125+1</f>
        <v>86</v>
      </c>
      <c r="IL125" s="204">
        <f t="shared" ref="IL125" si="2401">+IK125+1</f>
        <v>87</v>
      </c>
      <c r="IM125" s="204">
        <f t="shared" ref="IM125" si="2402">+IL125+1</f>
        <v>88</v>
      </c>
      <c r="IN125" s="204">
        <f t="shared" ref="IN125" si="2403">+IM125+1</f>
        <v>89</v>
      </c>
      <c r="IO125" s="204">
        <f t="shared" ref="IO125" si="2404">+IN125+1</f>
        <v>90</v>
      </c>
      <c r="IP125" s="204">
        <f t="shared" ref="IP125" si="2405">+IO125+1</f>
        <v>91</v>
      </c>
      <c r="IQ125" s="204">
        <f t="shared" ref="IQ125" si="2406">+IP125+1</f>
        <v>92</v>
      </c>
      <c r="IR125" s="204">
        <f t="shared" ref="IR125" si="2407">+IQ125+1</f>
        <v>93</v>
      </c>
      <c r="IS125" s="204">
        <f t="shared" ref="IS125" si="2408">+IR125+1</f>
        <v>94</v>
      </c>
      <c r="IT125" s="204">
        <f t="shared" ref="IT125" si="2409">+IS125+1</f>
        <v>95</v>
      </c>
      <c r="IU125" s="204">
        <f t="shared" ref="IU125" si="2410">+IT125+1</f>
        <v>96</v>
      </c>
      <c r="IV125" s="204">
        <f t="shared" ref="IV125" si="2411">+IU125+1</f>
        <v>97</v>
      </c>
      <c r="IW125" s="204">
        <f t="shared" ref="IW125" si="2412">+IV125+1</f>
        <v>98</v>
      </c>
      <c r="IX125" s="204">
        <f t="shared" ref="IX125" si="2413">+IW125+1</f>
        <v>99</v>
      </c>
      <c r="IY125" s="204">
        <f t="shared" ref="IY125" si="2414">+IX125+1</f>
        <v>100</v>
      </c>
      <c r="IZ125" s="204">
        <f t="shared" ref="IZ125" si="2415">+IY125+1</f>
        <v>101</v>
      </c>
      <c r="JA125" s="204">
        <f t="shared" ref="JA125" si="2416">+IZ125+1</f>
        <v>102</v>
      </c>
      <c r="JB125" s="204">
        <f t="shared" ref="JB125" si="2417">+JA125+1</f>
        <v>103</v>
      </c>
      <c r="JC125" s="204">
        <f t="shared" ref="JC125" si="2418">+JB125+1</f>
        <v>104</v>
      </c>
      <c r="JD125" s="204">
        <f t="shared" ref="JD125" si="2419">+JC125+1</f>
        <v>105</v>
      </c>
      <c r="JE125" s="204">
        <f t="shared" ref="JE125" si="2420">+JD125+1</f>
        <v>106</v>
      </c>
      <c r="JF125" s="204">
        <f t="shared" ref="JF125" si="2421">+JE125+1</f>
        <v>107</v>
      </c>
      <c r="JG125" s="204">
        <f t="shared" ref="JG125" si="2422">+JF125+1</f>
        <v>108</v>
      </c>
      <c r="JH125" s="204">
        <f t="shared" ref="JH125" si="2423">+JG125+1</f>
        <v>109</v>
      </c>
      <c r="JI125" s="204">
        <f t="shared" ref="JI125" si="2424">+JH125+1</f>
        <v>110</v>
      </c>
      <c r="JJ125" s="204">
        <f t="shared" ref="JJ125" si="2425">+JI125+1</f>
        <v>111</v>
      </c>
      <c r="JK125" s="204">
        <f t="shared" ref="JK125" si="2426">+JJ125+1</f>
        <v>112</v>
      </c>
      <c r="JL125" s="204">
        <f t="shared" ref="JL125" si="2427">+JK125+1</f>
        <v>113</v>
      </c>
      <c r="JM125" s="204">
        <f t="shared" ref="JM125" si="2428">+JL125+1</f>
        <v>114</v>
      </c>
      <c r="JN125" s="204">
        <f t="shared" ref="JN125" si="2429">+JM125+1</f>
        <v>115</v>
      </c>
      <c r="JO125" s="204">
        <f t="shared" ref="JO125" si="2430">+JN125+1</f>
        <v>116</v>
      </c>
      <c r="JP125" s="204">
        <f t="shared" ref="JP125" si="2431">+JO125+1</f>
        <v>117</v>
      </c>
      <c r="JQ125" s="204">
        <f t="shared" ref="JQ125" si="2432">+JP125+1</f>
        <v>118</v>
      </c>
      <c r="JR125" s="204">
        <f t="shared" ref="JR125" si="2433">+JQ125+1</f>
        <v>119</v>
      </c>
      <c r="JS125" s="204">
        <f t="shared" ref="JS125" si="2434">+JR125+1</f>
        <v>120</v>
      </c>
      <c r="JT125" s="204">
        <f t="shared" ref="JT125" si="2435">+JS125+1</f>
        <v>121</v>
      </c>
      <c r="JU125" s="204">
        <f t="shared" ref="JU125" si="2436">+JT125+1</f>
        <v>122</v>
      </c>
      <c r="JV125" s="204">
        <f t="shared" ref="JV125" si="2437">+JU125+1</f>
        <v>123</v>
      </c>
      <c r="JW125" s="204">
        <f t="shared" ref="JW125" si="2438">+JV125+1</f>
        <v>124</v>
      </c>
      <c r="JX125" s="204">
        <f t="shared" ref="JX125" si="2439">+JW125+1</f>
        <v>125</v>
      </c>
      <c r="JY125" s="204">
        <f t="shared" ref="JY125" si="2440">+JX125+1</f>
        <v>126</v>
      </c>
      <c r="JZ125" s="204">
        <f t="shared" ref="JZ125" si="2441">+JY125+1</f>
        <v>127</v>
      </c>
      <c r="KA125" s="204">
        <f t="shared" ref="KA125" si="2442">+JZ125+1</f>
        <v>128</v>
      </c>
      <c r="KB125" s="204">
        <f t="shared" ref="KB125" si="2443">+KA125+1</f>
        <v>129</v>
      </c>
      <c r="KC125" s="204">
        <f t="shared" ref="KC125" si="2444">+KB125+1</f>
        <v>130</v>
      </c>
      <c r="KD125" s="204">
        <f t="shared" ref="KD125" si="2445">+KC125+1</f>
        <v>131</v>
      </c>
      <c r="KE125" s="204">
        <f t="shared" ref="KE125" si="2446">+KD125+1</f>
        <v>132</v>
      </c>
      <c r="KH125" s="201"/>
      <c r="KI125" s="221"/>
      <c r="KJ125" s="221"/>
      <c r="KK125" s="221"/>
      <c r="KL125" s="221"/>
      <c r="KM125" s="203" t="s">
        <v>181</v>
      </c>
      <c r="KN125" s="204">
        <v>1</v>
      </c>
      <c r="KO125" s="204">
        <f t="shared" ref="KO125" si="2447">+KN125+1</f>
        <v>2</v>
      </c>
      <c r="KP125" s="204">
        <f t="shared" ref="KP125" si="2448">+KO125+1</f>
        <v>3</v>
      </c>
      <c r="KQ125" s="204">
        <f t="shared" ref="KQ125" si="2449">+KP125+1</f>
        <v>4</v>
      </c>
      <c r="KR125" s="204">
        <f t="shared" ref="KR125" si="2450">+KQ125+1</f>
        <v>5</v>
      </c>
      <c r="KS125" s="204">
        <f t="shared" ref="KS125" si="2451">+KR125+1</f>
        <v>6</v>
      </c>
      <c r="KT125" s="204">
        <f t="shared" ref="KT125" si="2452">+KS125+1</f>
        <v>7</v>
      </c>
      <c r="KU125" s="204">
        <f t="shared" ref="KU125" si="2453">+KT125+1</f>
        <v>8</v>
      </c>
      <c r="KV125" s="204">
        <f t="shared" ref="KV125" si="2454">+KU125+1</f>
        <v>9</v>
      </c>
      <c r="KW125" s="204">
        <f t="shared" ref="KW125" si="2455">+KV125+1</f>
        <v>10</v>
      </c>
      <c r="KX125" s="204">
        <f t="shared" ref="KX125" si="2456">+KW125+1</f>
        <v>11</v>
      </c>
      <c r="KY125" s="204">
        <f t="shared" ref="KY125" si="2457">+KX125+1</f>
        <v>12</v>
      </c>
      <c r="KZ125" s="204">
        <f t="shared" ref="KZ125" si="2458">+KY125+1</f>
        <v>13</v>
      </c>
      <c r="LA125" s="204">
        <f t="shared" ref="LA125" si="2459">+KZ125+1</f>
        <v>14</v>
      </c>
      <c r="LB125" s="204">
        <f t="shared" ref="LB125" si="2460">+LA125+1</f>
        <v>15</v>
      </c>
      <c r="LC125" s="204">
        <f t="shared" ref="LC125" si="2461">+LB125+1</f>
        <v>16</v>
      </c>
      <c r="LD125" s="204">
        <f t="shared" ref="LD125" si="2462">+LC125+1</f>
        <v>17</v>
      </c>
      <c r="LE125" s="204">
        <f t="shared" ref="LE125" si="2463">+LD125+1</f>
        <v>18</v>
      </c>
      <c r="LF125" s="204">
        <f t="shared" ref="LF125" si="2464">+LE125+1</f>
        <v>19</v>
      </c>
      <c r="LG125" s="204">
        <f t="shared" ref="LG125" si="2465">+LF125+1</f>
        <v>20</v>
      </c>
      <c r="LH125" s="204">
        <f t="shared" ref="LH125" si="2466">+LG125+1</f>
        <v>21</v>
      </c>
      <c r="LI125" s="204">
        <f t="shared" ref="LI125" si="2467">+LH125+1</f>
        <v>22</v>
      </c>
      <c r="LJ125" s="204">
        <f t="shared" ref="LJ125" si="2468">+LI125+1</f>
        <v>23</v>
      </c>
      <c r="LK125" s="204">
        <f t="shared" ref="LK125" si="2469">+LJ125+1</f>
        <v>24</v>
      </c>
      <c r="LL125" s="204">
        <f t="shared" ref="LL125" si="2470">+LK125+1</f>
        <v>25</v>
      </c>
      <c r="LM125" s="204">
        <f t="shared" ref="LM125" si="2471">+LL125+1</f>
        <v>26</v>
      </c>
      <c r="LN125" s="204">
        <f t="shared" ref="LN125" si="2472">+LM125+1</f>
        <v>27</v>
      </c>
      <c r="LO125" s="204">
        <f t="shared" ref="LO125" si="2473">+LN125+1</f>
        <v>28</v>
      </c>
      <c r="LP125" s="204">
        <f t="shared" ref="LP125" si="2474">+LO125+1</f>
        <v>29</v>
      </c>
      <c r="LQ125" s="204">
        <f t="shared" ref="LQ125" si="2475">+LP125+1</f>
        <v>30</v>
      </c>
      <c r="LR125" s="204">
        <f t="shared" ref="LR125" si="2476">+LQ125+1</f>
        <v>31</v>
      </c>
      <c r="LS125" s="204">
        <f t="shared" ref="LS125" si="2477">+LR125+1</f>
        <v>32</v>
      </c>
      <c r="LT125" s="204">
        <f t="shared" ref="LT125" si="2478">+LS125+1</f>
        <v>33</v>
      </c>
      <c r="LU125" s="204">
        <f t="shared" ref="LU125" si="2479">+LT125+1</f>
        <v>34</v>
      </c>
      <c r="LV125" s="204">
        <f t="shared" ref="LV125" si="2480">+LU125+1</f>
        <v>35</v>
      </c>
      <c r="LW125" s="204">
        <f t="shared" ref="LW125" si="2481">+LV125+1</f>
        <v>36</v>
      </c>
      <c r="LX125" s="204">
        <f t="shared" ref="LX125" si="2482">+LW125+1</f>
        <v>37</v>
      </c>
      <c r="LY125" s="204">
        <f t="shared" ref="LY125" si="2483">+LX125+1</f>
        <v>38</v>
      </c>
      <c r="LZ125" s="204">
        <f t="shared" ref="LZ125" si="2484">+LY125+1</f>
        <v>39</v>
      </c>
      <c r="MA125" s="204">
        <f t="shared" ref="MA125" si="2485">+LZ125+1</f>
        <v>40</v>
      </c>
      <c r="MB125" s="204">
        <f t="shared" ref="MB125" si="2486">+MA125+1</f>
        <v>41</v>
      </c>
      <c r="MC125" s="204">
        <f t="shared" ref="MC125" si="2487">+MB125+1</f>
        <v>42</v>
      </c>
      <c r="MD125" s="204">
        <f t="shared" ref="MD125" si="2488">+MC125+1</f>
        <v>43</v>
      </c>
      <c r="ME125" s="204">
        <f t="shared" ref="ME125" si="2489">+MD125+1</f>
        <v>44</v>
      </c>
      <c r="MF125" s="204">
        <f t="shared" ref="MF125" si="2490">+ME125+1</f>
        <v>45</v>
      </c>
      <c r="MG125" s="204">
        <f t="shared" ref="MG125" si="2491">+MF125+1</f>
        <v>46</v>
      </c>
      <c r="MH125" s="204">
        <f t="shared" ref="MH125" si="2492">+MG125+1</f>
        <v>47</v>
      </c>
      <c r="MI125" s="204">
        <f t="shared" ref="MI125" si="2493">+MH125+1</f>
        <v>48</v>
      </c>
      <c r="MJ125" s="204">
        <f t="shared" ref="MJ125" si="2494">+MI125+1</f>
        <v>49</v>
      </c>
      <c r="MK125" s="204">
        <f t="shared" ref="MK125" si="2495">+MJ125+1</f>
        <v>50</v>
      </c>
      <c r="ML125" s="204">
        <f t="shared" ref="ML125" si="2496">+MK125+1</f>
        <v>51</v>
      </c>
      <c r="MM125" s="204">
        <f t="shared" ref="MM125" si="2497">+ML125+1</f>
        <v>52</v>
      </c>
      <c r="MN125" s="204">
        <f t="shared" ref="MN125" si="2498">+MM125+1</f>
        <v>53</v>
      </c>
      <c r="MO125" s="204">
        <f t="shared" ref="MO125" si="2499">+MN125+1</f>
        <v>54</v>
      </c>
      <c r="MP125" s="204">
        <f t="shared" ref="MP125" si="2500">+MO125+1</f>
        <v>55</v>
      </c>
      <c r="MQ125" s="204">
        <f t="shared" ref="MQ125" si="2501">+MP125+1</f>
        <v>56</v>
      </c>
      <c r="MR125" s="204">
        <f t="shared" ref="MR125" si="2502">+MQ125+1</f>
        <v>57</v>
      </c>
      <c r="MS125" s="204">
        <f t="shared" ref="MS125" si="2503">+MR125+1</f>
        <v>58</v>
      </c>
      <c r="MT125" s="204">
        <f t="shared" ref="MT125" si="2504">+MS125+1</f>
        <v>59</v>
      </c>
      <c r="MU125" s="204">
        <f t="shared" ref="MU125" si="2505">+MT125+1</f>
        <v>60</v>
      </c>
      <c r="MV125" s="204">
        <f t="shared" ref="MV125" si="2506">+MU125+1</f>
        <v>61</v>
      </c>
      <c r="MW125" s="204">
        <f t="shared" ref="MW125" si="2507">+MV125+1</f>
        <v>62</v>
      </c>
      <c r="MX125" s="204">
        <f t="shared" ref="MX125" si="2508">+MW125+1</f>
        <v>63</v>
      </c>
      <c r="MY125" s="204">
        <f t="shared" ref="MY125" si="2509">+MX125+1</f>
        <v>64</v>
      </c>
      <c r="MZ125" s="204">
        <f t="shared" ref="MZ125" si="2510">+MY125+1</f>
        <v>65</v>
      </c>
      <c r="NA125" s="204">
        <f t="shared" ref="NA125" si="2511">+MZ125+1</f>
        <v>66</v>
      </c>
      <c r="NB125" s="204">
        <f t="shared" ref="NB125" si="2512">+NA125+1</f>
        <v>67</v>
      </c>
      <c r="NC125" s="204">
        <f t="shared" ref="NC125" si="2513">+NB125+1</f>
        <v>68</v>
      </c>
      <c r="ND125" s="204">
        <f t="shared" ref="ND125" si="2514">+NC125+1</f>
        <v>69</v>
      </c>
      <c r="NE125" s="204">
        <f t="shared" ref="NE125" si="2515">+ND125+1</f>
        <v>70</v>
      </c>
      <c r="NF125" s="204">
        <f t="shared" ref="NF125" si="2516">+NE125+1</f>
        <v>71</v>
      </c>
      <c r="NG125" s="204">
        <f t="shared" ref="NG125" si="2517">+NF125+1</f>
        <v>72</v>
      </c>
      <c r="NH125" s="204">
        <f t="shared" ref="NH125" si="2518">+NG125+1</f>
        <v>73</v>
      </c>
      <c r="NI125" s="204">
        <f t="shared" ref="NI125" si="2519">+NH125+1</f>
        <v>74</v>
      </c>
      <c r="NJ125" s="204">
        <f t="shared" ref="NJ125" si="2520">+NI125+1</f>
        <v>75</v>
      </c>
      <c r="NK125" s="204">
        <f t="shared" ref="NK125" si="2521">+NJ125+1</f>
        <v>76</v>
      </c>
      <c r="NL125" s="204">
        <f t="shared" ref="NL125" si="2522">+NK125+1</f>
        <v>77</v>
      </c>
      <c r="NM125" s="204">
        <f t="shared" ref="NM125" si="2523">+NL125+1</f>
        <v>78</v>
      </c>
      <c r="NN125" s="204">
        <f t="shared" ref="NN125" si="2524">+NM125+1</f>
        <v>79</v>
      </c>
      <c r="NO125" s="204">
        <f t="shared" ref="NO125" si="2525">+NN125+1</f>
        <v>80</v>
      </c>
      <c r="NP125" s="204">
        <f t="shared" ref="NP125" si="2526">+NO125+1</f>
        <v>81</v>
      </c>
      <c r="NQ125" s="204">
        <f t="shared" ref="NQ125" si="2527">+NP125+1</f>
        <v>82</v>
      </c>
      <c r="NR125" s="204">
        <f t="shared" ref="NR125" si="2528">+NQ125+1</f>
        <v>83</v>
      </c>
      <c r="NS125" s="204">
        <f t="shared" ref="NS125" si="2529">+NR125+1</f>
        <v>84</v>
      </c>
      <c r="NT125" s="204">
        <f t="shared" ref="NT125" si="2530">+NS125+1</f>
        <v>85</v>
      </c>
      <c r="NU125" s="204">
        <f t="shared" ref="NU125" si="2531">+NT125+1</f>
        <v>86</v>
      </c>
      <c r="NV125" s="204">
        <f t="shared" ref="NV125" si="2532">+NU125+1</f>
        <v>87</v>
      </c>
      <c r="NW125" s="204">
        <f t="shared" ref="NW125" si="2533">+NV125+1</f>
        <v>88</v>
      </c>
      <c r="NX125" s="204">
        <f t="shared" ref="NX125" si="2534">+NW125+1</f>
        <v>89</v>
      </c>
      <c r="NY125" s="204">
        <f t="shared" ref="NY125" si="2535">+NX125+1</f>
        <v>90</v>
      </c>
      <c r="NZ125" s="204">
        <f t="shared" ref="NZ125" si="2536">+NY125+1</f>
        <v>91</v>
      </c>
      <c r="OA125" s="204">
        <f t="shared" ref="OA125" si="2537">+NZ125+1</f>
        <v>92</v>
      </c>
      <c r="OB125" s="204">
        <f t="shared" ref="OB125" si="2538">+OA125+1</f>
        <v>93</v>
      </c>
      <c r="OC125" s="204">
        <f t="shared" ref="OC125" si="2539">+OB125+1</f>
        <v>94</v>
      </c>
      <c r="OD125" s="204">
        <f t="shared" ref="OD125" si="2540">+OC125+1</f>
        <v>95</v>
      </c>
      <c r="OE125" s="204">
        <f t="shared" ref="OE125" si="2541">+OD125+1</f>
        <v>96</v>
      </c>
      <c r="OF125" s="204">
        <f t="shared" ref="OF125" si="2542">+OE125+1</f>
        <v>97</v>
      </c>
      <c r="OG125" s="204">
        <f t="shared" ref="OG125" si="2543">+OF125+1</f>
        <v>98</v>
      </c>
      <c r="OH125" s="204">
        <f t="shared" ref="OH125" si="2544">+OG125+1</f>
        <v>99</v>
      </c>
      <c r="OI125" s="204">
        <f t="shared" ref="OI125" si="2545">+OH125+1</f>
        <v>100</v>
      </c>
      <c r="OJ125" s="204">
        <f t="shared" ref="OJ125" si="2546">+OI125+1</f>
        <v>101</v>
      </c>
      <c r="OK125" s="204">
        <f t="shared" ref="OK125" si="2547">+OJ125+1</f>
        <v>102</v>
      </c>
      <c r="OL125" s="204">
        <f t="shared" ref="OL125" si="2548">+OK125+1</f>
        <v>103</v>
      </c>
      <c r="OM125" s="204">
        <f t="shared" ref="OM125" si="2549">+OL125+1</f>
        <v>104</v>
      </c>
      <c r="ON125" s="204">
        <f t="shared" ref="ON125" si="2550">+OM125+1</f>
        <v>105</v>
      </c>
      <c r="OO125" s="204">
        <f t="shared" ref="OO125" si="2551">+ON125+1</f>
        <v>106</v>
      </c>
      <c r="OP125" s="204">
        <f t="shared" ref="OP125" si="2552">+OO125+1</f>
        <v>107</v>
      </c>
      <c r="OQ125" s="204">
        <f t="shared" ref="OQ125" si="2553">+OP125+1</f>
        <v>108</v>
      </c>
      <c r="OR125" s="204">
        <f t="shared" ref="OR125" si="2554">+OQ125+1</f>
        <v>109</v>
      </c>
      <c r="OS125" s="204">
        <f t="shared" ref="OS125" si="2555">+OR125+1</f>
        <v>110</v>
      </c>
      <c r="OT125" s="204">
        <f t="shared" ref="OT125" si="2556">+OS125+1</f>
        <v>111</v>
      </c>
      <c r="OU125" s="204">
        <f t="shared" ref="OU125" si="2557">+OT125+1</f>
        <v>112</v>
      </c>
      <c r="OV125" s="204">
        <f t="shared" ref="OV125" si="2558">+OU125+1</f>
        <v>113</v>
      </c>
      <c r="OW125" s="204">
        <f t="shared" ref="OW125" si="2559">+OV125+1</f>
        <v>114</v>
      </c>
      <c r="OX125" s="204">
        <f t="shared" ref="OX125" si="2560">+OW125+1</f>
        <v>115</v>
      </c>
      <c r="OY125" s="204">
        <f t="shared" ref="OY125" si="2561">+OX125+1</f>
        <v>116</v>
      </c>
      <c r="OZ125" s="204">
        <f t="shared" ref="OZ125" si="2562">+OY125+1</f>
        <v>117</v>
      </c>
      <c r="PA125" s="204">
        <f t="shared" ref="PA125" si="2563">+OZ125+1</f>
        <v>118</v>
      </c>
      <c r="PB125" s="204">
        <f t="shared" ref="PB125" si="2564">+PA125+1</f>
        <v>119</v>
      </c>
      <c r="PC125" s="204">
        <f t="shared" ref="PC125" si="2565">+PB125+1</f>
        <v>120</v>
      </c>
      <c r="PD125" s="204">
        <f t="shared" ref="PD125" si="2566">+PC125+1</f>
        <v>121</v>
      </c>
      <c r="PE125" s="204">
        <f t="shared" ref="PE125" si="2567">+PD125+1</f>
        <v>122</v>
      </c>
      <c r="PF125" s="204">
        <f t="shared" ref="PF125" si="2568">+PE125+1</f>
        <v>123</v>
      </c>
      <c r="PG125" s="204">
        <f t="shared" ref="PG125" si="2569">+PF125+1</f>
        <v>124</v>
      </c>
      <c r="PH125" s="204">
        <f t="shared" ref="PH125" si="2570">+PG125+1</f>
        <v>125</v>
      </c>
      <c r="PI125" s="204">
        <f t="shared" ref="PI125" si="2571">+PH125+1</f>
        <v>126</v>
      </c>
      <c r="PJ125" s="204">
        <f t="shared" ref="PJ125" si="2572">+PI125+1</f>
        <v>127</v>
      </c>
      <c r="PK125" s="204">
        <f t="shared" ref="PK125" si="2573">+PJ125+1</f>
        <v>128</v>
      </c>
      <c r="PL125" s="204">
        <f t="shared" ref="PL125" si="2574">+PK125+1</f>
        <v>129</v>
      </c>
      <c r="PM125" s="204">
        <f t="shared" ref="PM125" si="2575">+PL125+1</f>
        <v>130</v>
      </c>
      <c r="PN125" s="204">
        <f t="shared" ref="PN125" si="2576">+PM125+1</f>
        <v>131</v>
      </c>
      <c r="PO125" s="204">
        <f t="shared" ref="PO125" si="2577">+PN125+1</f>
        <v>132</v>
      </c>
      <c r="PQ125" s="201"/>
      <c r="PR125" s="201"/>
      <c r="PS125" s="201"/>
      <c r="PT125" s="201"/>
      <c r="PU125" s="201"/>
      <c r="PV125" s="201"/>
      <c r="PW125" s="201"/>
      <c r="PX125" s="201"/>
      <c r="PY125" s="201"/>
      <c r="PZ125" s="201"/>
      <c r="QA125" s="201"/>
      <c r="QB125" s="201"/>
      <c r="QC125" s="201"/>
      <c r="QD125" s="201"/>
      <c r="QE125" s="201"/>
      <c r="QF125" s="201"/>
      <c r="QG125" s="201"/>
      <c r="QH125" s="201"/>
      <c r="QI125" s="201"/>
      <c r="QJ125" s="201"/>
      <c r="QK125" s="201"/>
      <c r="QL125" s="201"/>
      <c r="QM125" s="201"/>
      <c r="QN125" s="201"/>
      <c r="QO125" s="201"/>
      <c r="QP125" s="201"/>
      <c r="QQ125" s="201"/>
      <c r="QR125" s="201"/>
      <c r="QS125" s="201"/>
      <c r="QT125" s="201"/>
      <c r="QU125" s="201"/>
      <c r="QV125" s="201"/>
      <c r="QW125" s="201"/>
      <c r="QX125" s="201"/>
      <c r="QY125" s="201"/>
      <c r="QZ125" s="201"/>
      <c r="RA125" s="201"/>
      <c r="RB125" s="201"/>
      <c r="RC125" s="201"/>
      <c r="RD125" s="201"/>
      <c r="RE125" s="201"/>
      <c r="RF125" s="201"/>
      <c r="RG125" s="201"/>
      <c r="RH125" s="201"/>
      <c r="RI125" s="201"/>
      <c r="RJ125" s="201"/>
      <c r="RK125" s="201"/>
      <c r="RL125" s="201"/>
      <c r="RM125" s="201"/>
      <c r="RN125" s="201"/>
      <c r="RO125" s="201"/>
      <c r="RP125" s="201"/>
      <c r="RQ125" s="201"/>
      <c r="RR125" s="201"/>
      <c r="RS125" s="201"/>
      <c r="RT125" s="201"/>
      <c r="RU125" s="201"/>
      <c r="RV125" s="201"/>
      <c r="RW125" s="201"/>
      <c r="RX125" s="201"/>
      <c r="RY125" s="201"/>
      <c r="RZ125" s="201"/>
      <c r="SA125" s="201"/>
      <c r="SB125" s="201"/>
      <c r="SC125" s="201"/>
      <c r="SD125" s="201"/>
      <c r="SE125" s="201"/>
      <c r="SF125" s="201"/>
      <c r="SG125" s="201"/>
      <c r="SH125" s="201"/>
      <c r="SI125" s="201"/>
      <c r="SJ125" s="201"/>
      <c r="SK125" s="201"/>
      <c r="SL125" s="201"/>
      <c r="SM125" s="201"/>
      <c r="SN125" s="201"/>
      <c r="SO125" s="201"/>
      <c r="SP125" s="201"/>
      <c r="SQ125" s="201"/>
      <c r="SR125" s="201"/>
      <c r="SS125" s="201"/>
      <c r="ST125" s="201"/>
      <c r="SU125" s="201"/>
      <c r="SV125" s="201"/>
      <c r="SW125" s="201"/>
      <c r="SX125" s="201"/>
      <c r="SY125" s="201"/>
      <c r="SZ125" s="201"/>
      <c r="TA125" s="201"/>
      <c r="TB125" s="201"/>
      <c r="TC125" s="201"/>
      <c r="TD125" s="201"/>
      <c r="TE125" s="201"/>
      <c r="TF125" s="201"/>
      <c r="TG125" s="201"/>
      <c r="TH125" s="201"/>
      <c r="TI125" s="201"/>
      <c r="TJ125" s="201"/>
      <c r="TK125" s="201"/>
      <c r="TL125" s="201"/>
      <c r="TM125" s="201"/>
      <c r="TN125" s="201"/>
      <c r="TO125" s="201"/>
      <c r="TP125" s="201"/>
      <c r="TQ125" s="201"/>
      <c r="TR125" s="201"/>
      <c r="TS125" s="201"/>
      <c r="TT125" s="201"/>
      <c r="TU125" s="201"/>
      <c r="TV125" s="201"/>
      <c r="TW125" s="201"/>
      <c r="TX125" s="201"/>
      <c r="TY125" s="201"/>
      <c r="TZ125" s="201"/>
      <c r="UA125" s="201"/>
      <c r="UB125" s="201"/>
      <c r="UC125" s="201"/>
      <c r="UD125" s="201"/>
      <c r="UE125" s="201"/>
      <c r="UF125" s="201"/>
      <c r="UG125" s="201"/>
      <c r="UH125" s="201"/>
      <c r="UI125" s="201"/>
      <c r="UJ125" s="201"/>
      <c r="UK125" s="201"/>
      <c r="UL125" s="201"/>
      <c r="UM125" s="201"/>
      <c r="UN125" s="201"/>
      <c r="UO125" s="201"/>
      <c r="UP125" s="201"/>
      <c r="UQ125" s="201"/>
      <c r="UR125" s="201"/>
      <c r="US125" s="201"/>
      <c r="UT125" s="201"/>
      <c r="UU125" s="201"/>
    </row>
    <row r="126" spans="2:567" x14ac:dyDescent="0.25">
      <c r="B126" s="31" t="s">
        <v>135</v>
      </c>
      <c r="C126" s="26"/>
      <c r="D126" s="26"/>
      <c r="E126" s="56"/>
      <c r="F126" s="131" t="str">
        <f>Unit_Type_Plural&amp;"/Month"</f>
        <v>Units/Month</v>
      </c>
      <c r="G126" s="584">
        <v>30</v>
      </c>
      <c r="H126" s="131" t="str">
        <f>Unit_Type_Plural&amp;"/Month"</f>
        <v>Units/Month</v>
      </c>
      <c r="I126" s="584">
        <v>45</v>
      </c>
      <c r="J126" s="149">
        <f>((1-$E$120)*G126+$E$120*I126)*$C$120*12</f>
        <v>108000</v>
      </c>
      <c r="K126" s="149">
        <f>+I126*$C$120*12</f>
        <v>162000</v>
      </c>
      <c r="M126" s="3" t="s">
        <v>843</v>
      </c>
      <c r="T126" s="92">
        <f t="shared" ref="T126:AC129" si="2578">$C$120*((1-T$109)*FD126+T$109*KN126)</f>
        <v>9187.5</v>
      </c>
      <c r="U126" s="92">
        <f t="shared" si="2578"/>
        <v>9375</v>
      </c>
      <c r="V126" s="92">
        <f t="shared" si="2578"/>
        <v>9562.5</v>
      </c>
      <c r="W126" s="92">
        <f t="shared" si="2578"/>
        <v>9750</v>
      </c>
      <c r="X126" s="92">
        <f t="shared" si="2578"/>
        <v>9937.5</v>
      </c>
      <c r="Y126" s="92">
        <f t="shared" si="2578"/>
        <v>10125</v>
      </c>
      <c r="Z126" s="92">
        <f t="shared" si="2578"/>
        <v>10312.5</v>
      </c>
      <c r="AA126" s="92">
        <f t="shared" si="2578"/>
        <v>10500</v>
      </c>
      <c r="AB126" s="92">
        <f t="shared" si="2578"/>
        <v>10687.5</v>
      </c>
      <c r="AC126" s="92">
        <f t="shared" si="2578"/>
        <v>10875</v>
      </c>
      <c r="AD126" s="92">
        <f t="shared" ref="AD126:AM129" si="2579">$C$120*((1-AD$109)*FN126+AD$109*KX126)</f>
        <v>11062.5</v>
      </c>
      <c r="AE126" s="92">
        <f t="shared" si="2579"/>
        <v>11250</v>
      </c>
      <c r="AF126" s="92">
        <f t="shared" si="2579"/>
        <v>11461.059377336325</v>
      </c>
      <c r="AG126" s="92">
        <f t="shared" si="2579"/>
        <v>11672.940517282299</v>
      </c>
      <c r="AH126" s="92">
        <f t="shared" si="2579"/>
        <v>11885.64590972157</v>
      </c>
      <c r="AI126" s="92">
        <f t="shared" si="2579"/>
        <v>12099.178051308621</v>
      </c>
      <c r="AJ126" s="92">
        <f t="shared" si="2579"/>
        <v>12313.539445486087</v>
      </c>
      <c r="AK126" s="92">
        <f t="shared" si="2579"/>
        <v>12528.73260250213</v>
      </c>
      <c r="AL126" s="92">
        <f t="shared" si="2579"/>
        <v>12744.760039427865</v>
      </c>
      <c r="AM126" s="92">
        <f t="shared" si="2579"/>
        <v>12961.624280174796</v>
      </c>
      <c r="AN126" s="92">
        <f t="shared" ref="AN126:AW129" si="2580">$C$120*((1-AN$109)*FX126+AN$109*LH126)</f>
        <v>13179.327855512338</v>
      </c>
      <c r="AO126" s="92">
        <f t="shared" si="2580"/>
        <v>13397.873303085347</v>
      </c>
      <c r="AP126" s="92">
        <f t="shared" si="2580"/>
        <v>13617.263167431711</v>
      </c>
      <c r="AQ126" s="92">
        <f t="shared" si="2580"/>
        <v>13837.499999999978</v>
      </c>
      <c r="AR126" s="92">
        <f t="shared" si="2580"/>
        <v>13866.002984383927</v>
      </c>
      <c r="AS126" s="92">
        <f t="shared" si="2580"/>
        <v>13894.564680248908</v>
      </c>
      <c r="AT126" s="92">
        <f t="shared" si="2580"/>
        <v>13923.185208530962</v>
      </c>
      <c r="AU126" s="92">
        <f t="shared" si="2580"/>
        <v>13951.864690415232</v>
      </c>
      <c r="AV126" s="92">
        <f t="shared" si="2580"/>
        <v>13980.603247336487</v>
      </c>
      <c r="AW126" s="92">
        <f t="shared" si="2580"/>
        <v>14009.401000979633</v>
      </c>
      <c r="AX126" s="92">
        <f t="shared" ref="AX126:BG129" si="2581">$C$120*((1-AX$109)*GH126+AX$109*LR126)</f>
        <v>14038.258073280222</v>
      </c>
      <c r="AY126" s="92">
        <f t="shared" si="2581"/>
        <v>14067.174586424975</v>
      </c>
      <c r="AZ126" s="92">
        <f t="shared" si="2581"/>
        <v>14096.150662852304</v>
      </c>
      <c r="BA126" s="92">
        <f t="shared" si="2581"/>
        <v>14125.186425252814</v>
      </c>
      <c r="BB126" s="92">
        <f t="shared" si="2581"/>
        <v>14154.281996569842</v>
      </c>
      <c r="BC126" s="92">
        <f t="shared" si="2581"/>
        <v>14183.437499999958</v>
      </c>
      <c r="BD126" s="92">
        <f t="shared" si="2581"/>
        <v>14212.653058993505</v>
      </c>
      <c r="BE126" s="92">
        <f t="shared" si="2581"/>
        <v>14241.92879725511</v>
      </c>
      <c r="BF126" s="92">
        <f t="shared" si="2581"/>
        <v>14271.264838744215</v>
      </c>
      <c r="BG126" s="92">
        <f t="shared" si="2581"/>
        <v>14300.661307675591</v>
      </c>
      <c r="BH126" s="92">
        <f t="shared" ref="BH126:BQ129" si="2582">$C$120*((1-BH$109)*GR126+BH$109*MB126)</f>
        <v>14330.118328519879</v>
      </c>
      <c r="BI126" s="92">
        <f t="shared" si="2582"/>
        <v>14359.636026004102</v>
      </c>
      <c r="BJ126" s="92">
        <f t="shared" si="2582"/>
        <v>14389.214525112206</v>
      </c>
      <c r="BK126" s="92">
        <f t="shared" si="2582"/>
        <v>14418.853951085581</v>
      </c>
      <c r="BL126" s="92">
        <f t="shared" si="2582"/>
        <v>14448.554429423592</v>
      </c>
      <c r="BM126" s="92">
        <f t="shared" si="2582"/>
        <v>14478.316085884113</v>
      </c>
      <c r="BN126" s="92">
        <f t="shared" si="2582"/>
        <v>14508.139046484066</v>
      </c>
      <c r="BO126" s="92">
        <f t="shared" si="2582"/>
        <v>14538.023437499935</v>
      </c>
      <c r="BP126" s="92">
        <f t="shared" si="2582"/>
        <v>14567.969385468321</v>
      </c>
      <c r="BQ126" s="92">
        <f t="shared" si="2582"/>
        <v>14597.977017186467</v>
      </c>
      <c r="BR126" s="92">
        <f t="shared" ref="BR126:CA129" si="2583">$C$120*((1-BR$109)*HB126+BR$109*ML126)</f>
        <v>14628.046459712799</v>
      </c>
      <c r="BS126" s="92">
        <f t="shared" si="2583"/>
        <v>14658.17784036746</v>
      </c>
      <c r="BT126" s="92">
        <f t="shared" si="2583"/>
        <v>14688.371286732856</v>
      </c>
      <c r="BU126" s="92">
        <f t="shared" si="2583"/>
        <v>14718.626926654184</v>
      </c>
      <c r="BV126" s="92">
        <f t="shared" si="2583"/>
        <v>14748.944888239988</v>
      </c>
      <c r="BW126" s="92">
        <f t="shared" si="2583"/>
        <v>14779.325299862698</v>
      </c>
      <c r="BX126" s="92">
        <f t="shared" si="2583"/>
        <v>14809.768290159158</v>
      </c>
      <c r="BY126" s="92">
        <f t="shared" si="2583"/>
        <v>14840.273988031195</v>
      </c>
      <c r="BZ126" s="92">
        <f t="shared" si="2583"/>
        <v>14870.842522646144</v>
      </c>
      <c r="CA126" s="92">
        <f t="shared" si="2583"/>
        <v>14901.474023437411</v>
      </c>
      <c r="CB126" s="92">
        <f t="shared" ref="CB126:CK129" si="2584">$C$120*((1-CB$109)*HL126+CB$109*MV126)</f>
        <v>14932.168620105009</v>
      </c>
      <c r="CC126" s="92">
        <f t="shared" si="2584"/>
        <v>14962.926442616108</v>
      </c>
      <c r="CD126" s="92">
        <f t="shared" si="2584"/>
        <v>14993.747621205599</v>
      </c>
      <c r="CE126" s="92">
        <f t="shared" si="2584"/>
        <v>15024.632286376625</v>
      </c>
      <c r="CF126" s="92">
        <f t="shared" si="2584"/>
        <v>15055.580568901154</v>
      </c>
      <c r="CG126" s="92">
        <f t="shared" si="2584"/>
        <v>15086.592599820515</v>
      </c>
      <c r="CH126" s="92">
        <f t="shared" si="2584"/>
        <v>15117.668510445968</v>
      </c>
      <c r="CI126" s="92">
        <f t="shared" si="2584"/>
        <v>15148.808432359245</v>
      </c>
      <c r="CJ126" s="92">
        <f t="shared" si="2584"/>
        <v>15180.012497413119</v>
      </c>
      <c r="CK126" s="92">
        <f t="shared" si="2584"/>
        <v>15211.280837731956</v>
      </c>
      <c r="CL126" s="92">
        <f t="shared" ref="CL126:CU129" si="2585">$C$120*((1-CL$109)*HV126+CL$109*NF126)</f>
        <v>15242.613585712281</v>
      </c>
      <c r="CM126" s="92">
        <f t="shared" si="2585"/>
        <v>15274.010874023328</v>
      </c>
      <c r="CN126" s="92">
        <f t="shared" si="2585"/>
        <v>15305.472835607614</v>
      </c>
      <c r="CO126" s="92">
        <f t="shared" si="2585"/>
        <v>15336.999603681492</v>
      </c>
      <c r="CP126" s="92">
        <f t="shared" si="2585"/>
        <v>15368.59131173572</v>
      </c>
      <c r="CQ126" s="92">
        <f t="shared" si="2585"/>
        <v>15400.248093536022</v>
      </c>
      <c r="CR126" s="92">
        <f t="shared" si="2585"/>
        <v>15431.970083123662</v>
      </c>
      <c r="CS126" s="92">
        <f t="shared" si="2585"/>
        <v>15463.757414816009</v>
      </c>
      <c r="CT126" s="92">
        <f t="shared" si="2585"/>
        <v>15495.610223207095</v>
      </c>
      <c r="CU126" s="92">
        <f t="shared" si="2585"/>
        <v>15527.528643168203</v>
      </c>
      <c r="CV126" s="92">
        <f t="shared" ref="CV126:DE129" si="2586">$C$120*((1-CV$109)*IF126+CV$109*NP126)</f>
        <v>15559.512809848424</v>
      </c>
      <c r="CW126" s="92">
        <f t="shared" si="2586"/>
        <v>15591.562858675232</v>
      </c>
      <c r="CX126" s="92">
        <f t="shared" si="2586"/>
        <v>15623.678925355065</v>
      </c>
      <c r="CY126" s="92">
        <f t="shared" si="2586"/>
        <v>15655.861145873889</v>
      </c>
      <c r="CZ126" s="92">
        <f t="shared" si="2586"/>
        <v>15688.109656497782</v>
      </c>
      <c r="DA126" s="92">
        <f t="shared" si="2586"/>
        <v>15720.424593773505</v>
      </c>
      <c r="DB126" s="92">
        <f t="shared" si="2586"/>
        <v>15752.806094529087</v>
      </c>
      <c r="DC126" s="92">
        <f t="shared" si="2586"/>
        <v>15785.254295874398</v>
      </c>
      <c r="DD126" s="92">
        <f t="shared" si="2586"/>
        <v>15817.76933520173</v>
      </c>
      <c r="DE126" s="92">
        <f t="shared" si="2586"/>
        <v>15850.351350186385</v>
      </c>
      <c r="DF126" s="92">
        <f t="shared" ref="DF126:DO129" si="2587">$C$120*((1-DF$109)*IP126+DF$109*NZ126)</f>
        <v>15883.000478787251</v>
      </c>
      <c r="DG126" s="92">
        <f t="shared" si="2587"/>
        <v>15915.716859247386</v>
      </c>
      <c r="DH126" s="92">
        <f t="shared" si="2587"/>
        <v>15948.500630094612</v>
      </c>
      <c r="DI126" s="92">
        <f t="shared" si="2587"/>
        <v>15981.351930142089</v>
      </c>
      <c r="DJ126" s="92">
        <f t="shared" si="2587"/>
        <v>16014.270898488918</v>
      </c>
      <c r="DK126" s="92">
        <f t="shared" si="2587"/>
        <v>16047.257674520712</v>
      </c>
      <c r="DL126" s="92">
        <f t="shared" si="2587"/>
        <v>16080.312397910202</v>
      </c>
      <c r="DM126" s="92">
        <f t="shared" si="2587"/>
        <v>16113.435208617819</v>
      </c>
      <c r="DN126" s="92">
        <f t="shared" si="2587"/>
        <v>16146.626246892291</v>
      </c>
      <c r="DO126" s="92">
        <f t="shared" si="2587"/>
        <v>16179.885653271234</v>
      </c>
      <c r="DP126" s="92">
        <f t="shared" ref="DP126:DY129" si="2588">$C$120*((1-DP$109)*IZ126+DP$109*OJ126)</f>
        <v>16213.213568581752</v>
      </c>
      <c r="DQ126" s="92">
        <f t="shared" si="2588"/>
        <v>16246.610133941022</v>
      </c>
      <c r="DR126" s="92">
        <f t="shared" si="2588"/>
        <v>16280.07549075691</v>
      </c>
      <c r="DS126" s="92">
        <f t="shared" si="2588"/>
        <v>16313.609780728548</v>
      </c>
      <c r="DT126" s="92">
        <f t="shared" si="2588"/>
        <v>16347.213145846952</v>
      </c>
      <c r="DU126" s="92">
        <f t="shared" si="2588"/>
        <v>16380.885728395619</v>
      </c>
      <c r="DV126" s="92">
        <f t="shared" si="2588"/>
        <v>16414.627670951115</v>
      </c>
      <c r="DW126" s="92">
        <f t="shared" si="2588"/>
        <v>16448.439116383706</v>
      </c>
      <c r="DX126" s="92">
        <f t="shared" si="2588"/>
        <v>16482.320207857934</v>
      </c>
      <c r="DY126" s="92">
        <f t="shared" si="2588"/>
        <v>16516.27108883324</v>
      </c>
      <c r="DZ126" s="92">
        <f t="shared" ref="DZ126:EI129" si="2589">$C$120*((1-DZ$109)*JJ126+DZ$109*OT126)</f>
        <v>16550.291903064575</v>
      </c>
      <c r="EA126" s="92">
        <f t="shared" si="2589"/>
        <v>16584.382794602989</v>
      </c>
      <c r="EB126" s="92">
        <f t="shared" si="2589"/>
        <v>16618.543907796269</v>
      </c>
      <c r="EC126" s="92">
        <f t="shared" si="2589"/>
        <v>16652.775387289523</v>
      </c>
      <c r="ED126" s="92">
        <f t="shared" si="2589"/>
        <v>16687.077378025806</v>
      </c>
      <c r="EE126" s="92">
        <f t="shared" si="2589"/>
        <v>16721.450025246737</v>
      </c>
      <c r="EF126" s="92">
        <f t="shared" si="2589"/>
        <v>16755.893474493103</v>
      </c>
      <c r="EG126" s="92">
        <f t="shared" si="2589"/>
        <v>16790.407871605486</v>
      </c>
      <c r="EH126" s="92">
        <f t="shared" si="2589"/>
        <v>16824.993362724868</v>
      </c>
      <c r="EI126" s="92">
        <f t="shared" si="2589"/>
        <v>16859.650094293276</v>
      </c>
      <c r="EJ126" s="92">
        <f t="shared" ref="EJ126:ES129" si="2590">$C$120*((1-EJ$109)*JT126+EJ$109*PD126)</f>
        <v>16894.378213054359</v>
      </c>
      <c r="EK126" s="92">
        <f t="shared" si="2590"/>
        <v>16929.177866054048</v>
      </c>
      <c r="EL126" s="92">
        <f t="shared" si="2590"/>
        <v>16964.049200641162</v>
      </c>
      <c r="EM126" s="92">
        <f t="shared" si="2590"/>
        <v>16998.992364468042</v>
      </c>
      <c r="EN126" s="92">
        <f t="shared" si="2590"/>
        <v>17034.00750549115</v>
      </c>
      <c r="EO126" s="92">
        <f t="shared" si="2590"/>
        <v>17069.094771971737</v>
      </c>
      <c r="EP126" s="92">
        <f t="shared" si="2590"/>
        <v>17104.254312476427</v>
      </c>
      <c r="EQ126" s="92">
        <f t="shared" si="2590"/>
        <v>17139.48627587788</v>
      </c>
      <c r="ER126" s="92">
        <f t="shared" si="2590"/>
        <v>17174.790811355404</v>
      </c>
      <c r="ES126" s="92">
        <f t="shared" si="2590"/>
        <v>17210.168068395596</v>
      </c>
      <c r="ET126" s="92">
        <f t="shared" ref="ET126:EU129" si="2591">$C$120*((1-ET$109)*KD126+ET$109*PN126)</f>
        <v>17245.618196792966</v>
      </c>
      <c r="EU126" s="92">
        <f t="shared" si="2591"/>
        <v>17281.14134665058</v>
      </c>
      <c r="EW126" s="199" t="str">
        <f t="shared" ref="EW126:EW129" si="2592">+B126</f>
        <v>RUBS</v>
      </c>
      <c r="EX126" s="201"/>
      <c r="EY126" s="221"/>
      <c r="EZ126" s="221"/>
      <c r="FA126" s="221"/>
      <c r="FB126" s="221"/>
      <c r="FC126" s="207">
        <f t="shared" ref="FC126:FC129" si="2593">+G126</f>
        <v>30</v>
      </c>
      <c r="FD126" s="207">
        <f>FC126+IF(FD$124&gt;0,FC126*((1+INDEX($C$106:$H$106,1,MIN(FD$124,6)))^(1/12)-1))</f>
        <v>30</v>
      </c>
      <c r="FE126" s="207">
        <f t="shared" ref="FE126:HP126" si="2594">FD126+IF(FE$124&gt;0,FD126*((1+INDEX($C$106:$H$106,1,MIN(FE$124,6)))^(1/12)-1))</f>
        <v>30</v>
      </c>
      <c r="FF126" s="207">
        <f t="shared" si="2594"/>
        <v>30</v>
      </c>
      <c r="FG126" s="207">
        <f t="shared" si="2594"/>
        <v>30</v>
      </c>
      <c r="FH126" s="207">
        <f t="shared" si="2594"/>
        <v>30</v>
      </c>
      <c r="FI126" s="207">
        <f t="shared" si="2594"/>
        <v>30</v>
      </c>
      <c r="FJ126" s="207">
        <f t="shared" si="2594"/>
        <v>30</v>
      </c>
      <c r="FK126" s="207">
        <f t="shared" si="2594"/>
        <v>30</v>
      </c>
      <c r="FL126" s="207">
        <f t="shared" si="2594"/>
        <v>30</v>
      </c>
      <c r="FM126" s="207">
        <f t="shared" si="2594"/>
        <v>30</v>
      </c>
      <c r="FN126" s="207">
        <f t="shared" si="2594"/>
        <v>30</v>
      </c>
      <c r="FO126" s="207">
        <f t="shared" si="2594"/>
        <v>30</v>
      </c>
      <c r="FP126" s="207">
        <f t="shared" si="2594"/>
        <v>30.06179508809528</v>
      </c>
      <c r="FQ126" s="207">
        <f t="shared" si="2594"/>
        <v>30.123717463954318</v>
      </c>
      <c r="FR126" s="207">
        <f t="shared" si="2594"/>
        <v>30.185767389769065</v>
      </c>
      <c r="FS126" s="207">
        <f t="shared" si="2594"/>
        <v>30.247945128271549</v>
      </c>
      <c r="FT126" s="207">
        <f t="shared" si="2594"/>
        <v>30.310250942734978</v>
      </c>
      <c r="FU126" s="207">
        <f t="shared" si="2594"/>
        <v>30.372685096974859</v>
      </c>
      <c r="FV126" s="207">
        <f t="shared" si="2594"/>
        <v>30.43524785535012</v>
      </c>
      <c r="FW126" s="207">
        <f t="shared" si="2594"/>
        <v>30.497939482764224</v>
      </c>
      <c r="FX126" s="207">
        <f t="shared" si="2594"/>
        <v>30.560760244666291</v>
      </c>
      <c r="FY126" s="207">
        <f t="shared" si="2594"/>
        <v>30.623710407052222</v>
      </c>
      <c r="FZ126" s="207">
        <f t="shared" si="2594"/>
        <v>30.686790236465828</v>
      </c>
      <c r="GA126" s="207">
        <f t="shared" si="2594"/>
        <v>30.749999999999957</v>
      </c>
      <c r="GB126" s="207">
        <f t="shared" si="2594"/>
        <v>30.813339965297622</v>
      </c>
      <c r="GC126" s="207">
        <f t="shared" si="2594"/>
        <v>30.876810400553136</v>
      </c>
      <c r="GD126" s="207">
        <f t="shared" si="2594"/>
        <v>30.940411574513252</v>
      </c>
      <c r="GE126" s="207">
        <f t="shared" si="2594"/>
        <v>31.004143756478296</v>
      </c>
      <c r="GF126" s="207">
        <f t="shared" si="2594"/>
        <v>31.068007216303307</v>
      </c>
      <c r="GG126" s="207">
        <f t="shared" si="2594"/>
        <v>31.132002224399184</v>
      </c>
      <c r="GH126" s="207">
        <f t="shared" si="2594"/>
        <v>31.196129051733827</v>
      </c>
      <c r="GI126" s="207">
        <f t="shared" si="2594"/>
        <v>31.260387969833282</v>
      </c>
      <c r="GJ126" s="207">
        <f t="shared" si="2594"/>
        <v>31.3247792507829</v>
      </c>
      <c r="GK126" s="207">
        <f t="shared" si="2594"/>
        <v>31.38930316722848</v>
      </c>
      <c r="GL126" s="207">
        <f t="shared" si="2594"/>
        <v>31.453959992377428</v>
      </c>
      <c r="GM126" s="207">
        <f t="shared" si="2594"/>
        <v>31.518749999999908</v>
      </c>
      <c r="GN126" s="207">
        <f t="shared" si="2594"/>
        <v>31.583673464430014</v>
      </c>
      <c r="GO126" s="207">
        <f t="shared" si="2594"/>
        <v>31.648730660566915</v>
      </c>
      <c r="GP126" s="207">
        <f t="shared" si="2594"/>
        <v>31.713921863876035</v>
      </c>
      <c r="GQ126" s="207">
        <f t="shared" si="2594"/>
        <v>31.779247350390204</v>
      </c>
      <c r="GR126" s="207">
        <f t="shared" si="2594"/>
        <v>31.844707396710842</v>
      </c>
      <c r="GS126" s="207">
        <f t="shared" si="2594"/>
        <v>31.910302280009116</v>
      </c>
      <c r="GT126" s="207">
        <f t="shared" si="2594"/>
        <v>31.976032278027123</v>
      </c>
      <c r="GU126" s="207">
        <f t="shared" si="2594"/>
        <v>32.041897669079063</v>
      </c>
      <c r="GV126" s="207">
        <f t="shared" si="2594"/>
        <v>32.107898732052419</v>
      </c>
      <c r="GW126" s="207">
        <f t="shared" si="2594"/>
        <v>32.174035746409139</v>
      </c>
      <c r="GX126" s="207">
        <f t="shared" si="2594"/>
        <v>32.240308992186812</v>
      </c>
      <c r="GY126" s="207">
        <f t="shared" si="2594"/>
        <v>32.306718749999852</v>
      </c>
      <c r="GZ126" s="207">
        <f t="shared" si="2594"/>
        <v>32.373265301040711</v>
      </c>
      <c r="HA126" s="207">
        <f t="shared" si="2594"/>
        <v>32.439948927081034</v>
      </c>
      <c r="HB126" s="207">
        <f t="shared" si="2594"/>
        <v>32.506769910472883</v>
      </c>
      <c r="HC126" s="207">
        <f t="shared" si="2594"/>
        <v>32.573728534149907</v>
      </c>
      <c r="HD126" s="207">
        <f t="shared" si="2594"/>
        <v>32.640825081628563</v>
      </c>
      <c r="HE126" s="207">
        <f t="shared" si="2594"/>
        <v>32.708059837009294</v>
      </c>
      <c r="HF126" s="207">
        <f t="shared" si="2594"/>
        <v>32.775433084977756</v>
      </c>
      <c r="HG126" s="207">
        <f t="shared" si="2594"/>
        <v>32.842945110805999</v>
      </c>
      <c r="HH126" s="207">
        <f t="shared" si="2594"/>
        <v>32.910596200353694</v>
      </c>
      <c r="HI126" s="207">
        <f t="shared" si="2594"/>
        <v>32.978386640069331</v>
      </c>
      <c r="HJ126" s="207">
        <f t="shared" si="2594"/>
        <v>33.046316716991441</v>
      </c>
      <c r="HK126" s="207">
        <f t="shared" si="2594"/>
        <v>33.114386718749813</v>
      </c>
      <c r="HL126" s="207">
        <f t="shared" si="2594"/>
        <v>33.182596933566693</v>
      </c>
      <c r="HM126" s="207">
        <f t="shared" si="2594"/>
        <v>33.250947650258027</v>
      </c>
      <c r="HN126" s="207">
        <f t="shared" si="2594"/>
        <v>33.319439158234673</v>
      </c>
      <c r="HO126" s="207">
        <f t="shared" si="2594"/>
        <v>33.388071747503623</v>
      </c>
      <c r="HP126" s="207">
        <f t="shared" si="2594"/>
        <v>33.456845708669242</v>
      </c>
      <c r="HQ126" s="207">
        <f t="shared" ref="HQ126:KB126" si="2595">HP126+IF(HQ$124&gt;0,HP126*((1+INDEX($C$106:$H$106,1,MIN(HQ$124,6)))^(1/12)-1))</f>
        <v>33.525761332934493</v>
      </c>
      <c r="HR126" s="207">
        <f t="shared" si="2595"/>
        <v>33.594818912102163</v>
      </c>
      <c r="HS126" s="207">
        <f t="shared" si="2595"/>
        <v>33.664018738576111</v>
      </c>
      <c r="HT126" s="207">
        <f t="shared" si="2595"/>
        <v>33.733361105362498</v>
      </c>
      <c r="HU126" s="207">
        <f t="shared" si="2595"/>
        <v>33.802846306071025</v>
      </c>
      <c r="HV126" s="207">
        <f t="shared" si="2595"/>
        <v>33.872474634916188</v>
      </c>
      <c r="HW126" s="207">
        <f t="shared" si="2595"/>
        <v>33.942246386718516</v>
      </c>
      <c r="HX126" s="207">
        <f t="shared" si="2595"/>
        <v>34.01216185690582</v>
      </c>
      <c r="HY126" s="207">
        <f t="shared" si="2595"/>
        <v>34.082221341514433</v>
      </c>
      <c r="HZ126" s="207">
        <f t="shared" si="2595"/>
        <v>34.152425137190491</v>
      </c>
      <c r="IA126" s="207">
        <f t="shared" si="2595"/>
        <v>34.222773541191167</v>
      </c>
      <c r="IB126" s="207">
        <f t="shared" si="2595"/>
        <v>34.29326685138593</v>
      </c>
      <c r="IC126" s="207">
        <f t="shared" si="2595"/>
        <v>34.363905366257811</v>
      </c>
      <c r="ID126" s="207">
        <f t="shared" si="2595"/>
        <v>34.434689384904672</v>
      </c>
      <c r="IE126" s="207">
        <f t="shared" si="2595"/>
        <v>34.505619207040468</v>
      </c>
      <c r="IF126" s="207">
        <f t="shared" si="2595"/>
        <v>34.576695132996512</v>
      </c>
      <c r="IG126" s="207">
        <f t="shared" si="2595"/>
        <v>34.647917463722756</v>
      </c>
      <c r="IH126" s="207">
        <f t="shared" si="2595"/>
        <v>34.719286500789053</v>
      </c>
      <c r="II126" s="207">
        <f t="shared" si="2595"/>
        <v>34.790802546386438</v>
      </c>
      <c r="IJ126" s="207">
        <f t="shared" si="2595"/>
        <v>34.86246590332842</v>
      </c>
      <c r="IK126" s="207">
        <f t="shared" si="2595"/>
        <v>34.934276875052255</v>
      </c>
      <c r="IL126" s="207">
        <f t="shared" si="2595"/>
        <v>35.006235765620218</v>
      </c>
      <c r="IM126" s="207">
        <f t="shared" si="2595"/>
        <v>35.078342879720907</v>
      </c>
      <c r="IN126" s="207">
        <f t="shared" si="2595"/>
        <v>35.150598522670535</v>
      </c>
      <c r="IO126" s="207">
        <f t="shared" si="2595"/>
        <v>35.223003000414209</v>
      </c>
      <c r="IP126" s="207">
        <f t="shared" si="2595"/>
        <v>35.29555661952724</v>
      </c>
      <c r="IQ126" s="207">
        <f t="shared" si="2595"/>
        <v>35.36825968721643</v>
      </c>
      <c r="IR126" s="207">
        <f t="shared" si="2595"/>
        <v>35.441112511321371</v>
      </c>
      <c r="IS126" s="207">
        <f t="shared" si="2595"/>
        <v>35.514115400315767</v>
      </c>
      <c r="IT126" s="207">
        <f t="shared" si="2595"/>
        <v>35.58726866330872</v>
      </c>
      <c r="IU126" s="207">
        <f t="shared" si="2595"/>
        <v>35.660572610046039</v>
      </c>
      <c r="IV126" s="207">
        <f t="shared" si="2595"/>
        <v>35.73402755091157</v>
      </c>
      <c r="IW126" s="207">
        <f t="shared" si="2595"/>
        <v>35.807633796928499</v>
      </c>
      <c r="IX126" s="207">
        <f t="shared" si="2595"/>
        <v>35.881391659760659</v>
      </c>
      <c r="IY126" s="207">
        <f t="shared" si="2595"/>
        <v>35.955301451713865</v>
      </c>
      <c r="IZ126" s="207">
        <f t="shared" si="2595"/>
        <v>36.029363485737235</v>
      </c>
      <c r="JA126" s="207">
        <f t="shared" si="2595"/>
        <v>36.103578075424508</v>
      </c>
      <c r="JB126" s="207">
        <f t="shared" si="2595"/>
        <v>36.177945535015368</v>
      </c>
      <c r="JC126" s="207">
        <f t="shared" si="2595"/>
        <v>36.252466179396791</v>
      </c>
      <c r="JD126" s="207">
        <f t="shared" si="2595"/>
        <v>36.327140324104363</v>
      </c>
      <c r="JE126" s="207">
        <f t="shared" si="2595"/>
        <v>36.401968285323619</v>
      </c>
      <c r="JF126" s="207">
        <f t="shared" si="2595"/>
        <v>36.476950379891392</v>
      </c>
      <c r="JG126" s="207">
        <f t="shared" si="2595"/>
        <v>36.552086925297147</v>
      </c>
      <c r="JH126" s="207">
        <f t="shared" si="2595"/>
        <v>36.627378239684319</v>
      </c>
      <c r="JI126" s="207">
        <f t="shared" si="2595"/>
        <v>36.70282464185167</v>
      </c>
      <c r="JJ126" s="207">
        <f t="shared" si="2595"/>
        <v>36.778426451254632</v>
      </c>
      <c r="JK126" s="207">
        <f t="shared" si="2595"/>
        <v>36.854183988006668</v>
      </c>
      <c r="JL126" s="207">
        <f t="shared" si="2595"/>
        <v>36.930097572880619</v>
      </c>
      <c r="JM126" s="207">
        <f t="shared" si="2595"/>
        <v>37.006167527310069</v>
      </c>
      <c r="JN126" s="207">
        <f t="shared" si="2595"/>
        <v>37.082394173390696</v>
      </c>
      <c r="JO126" s="207">
        <f t="shared" si="2595"/>
        <v>37.158777833881651</v>
      </c>
      <c r="JP126" s="207">
        <f t="shared" si="2595"/>
        <v>37.235318832206907</v>
      </c>
      <c r="JQ126" s="207">
        <f t="shared" si="2595"/>
        <v>37.312017492456647</v>
      </c>
      <c r="JR126" s="207">
        <f t="shared" si="2595"/>
        <v>37.388874139388619</v>
      </c>
      <c r="JS126" s="207">
        <f t="shared" si="2595"/>
        <v>37.465889098429514</v>
      </c>
      <c r="JT126" s="207">
        <f t="shared" si="2595"/>
        <v>37.543062695676362</v>
      </c>
      <c r="JU126" s="207">
        <f t="shared" si="2595"/>
        <v>37.620395257897897</v>
      </c>
      <c r="JV126" s="207">
        <f t="shared" si="2595"/>
        <v>37.697887112535938</v>
      </c>
      <c r="JW126" s="207">
        <f t="shared" si="2595"/>
        <v>37.775538587706777</v>
      </c>
      <c r="JX126" s="207">
        <f t="shared" si="2595"/>
        <v>37.853350012202576</v>
      </c>
      <c r="JY126" s="207">
        <f t="shared" si="2595"/>
        <v>37.931321715492764</v>
      </c>
      <c r="JZ126" s="207">
        <f t="shared" si="2595"/>
        <v>38.009454027725411</v>
      </c>
      <c r="KA126" s="207">
        <f t="shared" si="2595"/>
        <v>38.087747279728639</v>
      </c>
      <c r="KB126" s="207">
        <f t="shared" si="2595"/>
        <v>38.166201803012029</v>
      </c>
      <c r="KC126" s="207">
        <f t="shared" ref="KC126:KE126" si="2596">KB126+IF(KC$124&gt;0,KB126*((1+INDEX($C$106:$H$106,1,MIN(KC$124,6)))^(1/12)-1))</f>
        <v>38.244817929768011</v>
      </c>
      <c r="KD126" s="207">
        <f t="shared" si="2596"/>
        <v>38.32359599287328</v>
      </c>
      <c r="KE126" s="207">
        <f t="shared" si="2596"/>
        <v>38.402536325890203</v>
      </c>
      <c r="KG126" s="199" t="str">
        <f t="shared" ref="KG126:KG129" si="2597">B126</f>
        <v>RUBS</v>
      </c>
      <c r="KH126" s="201"/>
      <c r="KI126" s="221"/>
      <c r="KJ126" s="221"/>
      <c r="KK126" s="221"/>
      <c r="KL126" s="221"/>
      <c r="KM126" s="207">
        <f t="shared" ref="KM126:KM129" si="2598">I126</f>
        <v>45</v>
      </c>
      <c r="KN126" s="207">
        <f>KM126+IF(KN$124&gt;0,KM126*((1+INDEX($C$106:$H$106,1,MIN(KN$124,6)))^(1/12)-1))</f>
        <v>45</v>
      </c>
      <c r="KO126" s="207">
        <f t="shared" ref="KO126:MZ126" si="2599">KN126+IF(KO$124&gt;0,KN126*((1+INDEX($C$106:$H$106,1,MIN(KO$124,6)))^(1/12)-1))</f>
        <v>45</v>
      </c>
      <c r="KP126" s="207">
        <f t="shared" si="2599"/>
        <v>45</v>
      </c>
      <c r="KQ126" s="207">
        <f t="shared" si="2599"/>
        <v>45</v>
      </c>
      <c r="KR126" s="207">
        <f t="shared" si="2599"/>
        <v>45</v>
      </c>
      <c r="KS126" s="207">
        <f t="shared" si="2599"/>
        <v>45</v>
      </c>
      <c r="KT126" s="207">
        <f t="shared" si="2599"/>
        <v>45</v>
      </c>
      <c r="KU126" s="207">
        <f t="shared" si="2599"/>
        <v>45</v>
      </c>
      <c r="KV126" s="207">
        <f t="shared" si="2599"/>
        <v>45</v>
      </c>
      <c r="KW126" s="207">
        <f t="shared" si="2599"/>
        <v>45</v>
      </c>
      <c r="KX126" s="207">
        <f t="shared" si="2599"/>
        <v>45</v>
      </c>
      <c r="KY126" s="207">
        <f t="shared" si="2599"/>
        <v>45</v>
      </c>
      <c r="KZ126" s="207">
        <f t="shared" si="2599"/>
        <v>45.092692632142921</v>
      </c>
      <c r="LA126" s="207">
        <f t="shared" si="2599"/>
        <v>45.185576195931482</v>
      </c>
      <c r="LB126" s="207">
        <f t="shared" si="2599"/>
        <v>45.278651084653603</v>
      </c>
      <c r="LC126" s="207">
        <f t="shared" si="2599"/>
        <v>45.37191769240733</v>
      </c>
      <c r="LD126" s="207">
        <f t="shared" si="2599"/>
        <v>45.465376414102472</v>
      </c>
      <c r="LE126" s="207">
        <f t="shared" si="2599"/>
        <v>45.559027645462294</v>
      </c>
      <c r="LF126" s="207">
        <f t="shared" si="2599"/>
        <v>45.652871783025184</v>
      </c>
      <c r="LG126" s="207">
        <f t="shared" si="2599"/>
        <v>45.746909224146336</v>
      </c>
      <c r="LH126" s="207">
        <f t="shared" si="2599"/>
        <v>45.841140366999433</v>
      </c>
      <c r="LI126" s="207">
        <f t="shared" si="2599"/>
        <v>45.93556561057833</v>
      </c>
      <c r="LJ126" s="207">
        <f t="shared" si="2599"/>
        <v>46.030185354698737</v>
      </c>
      <c r="LK126" s="207">
        <f t="shared" si="2599"/>
        <v>46.124999999999929</v>
      </c>
      <c r="LL126" s="207">
        <f t="shared" si="2599"/>
        <v>46.220009947946423</v>
      </c>
      <c r="LM126" s="207">
        <f t="shared" si="2599"/>
        <v>46.315215600829696</v>
      </c>
      <c r="LN126" s="207">
        <f t="shared" si="2599"/>
        <v>46.410617361769873</v>
      </c>
      <c r="LO126" s="207">
        <f t="shared" si="2599"/>
        <v>46.506215634717442</v>
      </c>
      <c r="LP126" s="207">
        <f t="shared" si="2599"/>
        <v>46.602010824454958</v>
      </c>
      <c r="LQ126" s="207">
        <f t="shared" si="2599"/>
        <v>46.698003336598774</v>
      </c>
      <c r="LR126" s="207">
        <f t="shared" si="2599"/>
        <v>46.794193577600737</v>
      </c>
      <c r="LS126" s="207">
        <f t="shared" si="2599"/>
        <v>46.890581954749919</v>
      </c>
      <c r="LT126" s="207">
        <f t="shared" si="2599"/>
        <v>46.987168876174344</v>
      </c>
      <c r="LU126" s="207">
        <f t="shared" si="2599"/>
        <v>47.083954750842715</v>
      </c>
      <c r="LV126" s="207">
        <f t="shared" si="2599"/>
        <v>47.180939988566138</v>
      </c>
      <c r="LW126" s="207">
        <f t="shared" si="2599"/>
        <v>47.278124999999861</v>
      </c>
      <c r="LX126" s="207">
        <f t="shared" si="2599"/>
        <v>47.375510196645017</v>
      </c>
      <c r="LY126" s="207">
        <f t="shared" si="2599"/>
        <v>47.473095990850368</v>
      </c>
      <c r="LZ126" s="207">
        <f t="shared" si="2599"/>
        <v>47.57088279581405</v>
      </c>
      <c r="MA126" s="207">
        <f t="shared" si="2599"/>
        <v>47.668871025585304</v>
      </c>
      <c r="MB126" s="207">
        <f t="shared" si="2599"/>
        <v>47.767061095066261</v>
      </c>
      <c r="MC126" s="207">
        <f t="shared" si="2599"/>
        <v>47.865453420013672</v>
      </c>
      <c r="MD126" s="207">
        <f t="shared" si="2599"/>
        <v>47.964048417040686</v>
      </c>
      <c r="ME126" s="207">
        <f t="shared" si="2599"/>
        <v>48.062846503618601</v>
      </c>
      <c r="MF126" s="207">
        <f t="shared" si="2599"/>
        <v>48.161848098078636</v>
      </c>
      <c r="MG126" s="207">
        <f t="shared" si="2599"/>
        <v>48.261053619613712</v>
      </c>
      <c r="MH126" s="207">
        <f t="shared" si="2599"/>
        <v>48.360463488280217</v>
      </c>
      <c r="MI126" s="207">
        <f t="shared" si="2599"/>
        <v>48.460078124999782</v>
      </c>
      <c r="MJ126" s="207">
        <f t="shared" si="2599"/>
        <v>48.559897951561069</v>
      </c>
      <c r="MK126" s="207">
        <f t="shared" si="2599"/>
        <v>48.659923390621557</v>
      </c>
      <c r="ML126" s="207">
        <f t="shared" si="2599"/>
        <v>48.760154865709332</v>
      </c>
      <c r="MM126" s="207">
        <f t="shared" si="2599"/>
        <v>48.860592801224868</v>
      </c>
      <c r="MN126" s="207">
        <f t="shared" si="2599"/>
        <v>48.961237622442852</v>
      </c>
      <c r="MO126" s="207">
        <f t="shared" si="2599"/>
        <v>49.062089755513945</v>
      </c>
      <c r="MP126" s="207">
        <f t="shared" si="2599"/>
        <v>49.16314962746663</v>
      </c>
      <c r="MQ126" s="207">
        <f t="shared" si="2599"/>
        <v>49.264417666208992</v>
      </c>
      <c r="MR126" s="207">
        <f t="shared" si="2599"/>
        <v>49.365894300530528</v>
      </c>
      <c r="MS126" s="207">
        <f t="shared" si="2599"/>
        <v>49.467579960103983</v>
      </c>
      <c r="MT126" s="207">
        <f t="shared" si="2599"/>
        <v>49.569475075487148</v>
      </c>
      <c r="MU126" s="207">
        <f t="shared" si="2599"/>
        <v>49.671580078124705</v>
      </c>
      <c r="MV126" s="207">
        <f t="shared" si="2599"/>
        <v>49.773895400350028</v>
      </c>
      <c r="MW126" s="207">
        <f t="shared" si="2599"/>
        <v>49.876421475387026</v>
      </c>
      <c r="MX126" s="207">
        <f t="shared" si="2599"/>
        <v>49.979158737351995</v>
      </c>
      <c r="MY126" s="207">
        <f t="shared" si="2599"/>
        <v>50.082107621255417</v>
      </c>
      <c r="MZ126" s="207">
        <f t="shared" si="2599"/>
        <v>50.185268563003845</v>
      </c>
      <c r="NA126" s="207">
        <f t="shared" ref="NA126:PL126" si="2600">MZ126+IF(NA$124&gt;0,MZ126*((1+INDEX($C$106:$H$106,1,MIN(NA$124,6)))^(1/12)-1))</f>
        <v>50.288641999401719</v>
      </c>
      <c r="NB126" s="207">
        <f t="shared" si="2600"/>
        <v>50.392228368153226</v>
      </c>
      <c r="NC126" s="207">
        <f t="shared" si="2600"/>
        <v>50.496028107864149</v>
      </c>
      <c r="ND126" s="207">
        <f t="shared" si="2600"/>
        <v>50.600041658043729</v>
      </c>
      <c r="NE126" s="207">
        <f t="shared" si="2600"/>
        <v>50.70426945910652</v>
      </c>
      <c r="NF126" s="207">
        <f t="shared" si="2600"/>
        <v>50.808711952374267</v>
      </c>
      <c r="NG126" s="207">
        <f t="shared" si="2600"/>
        <v>50.913369580077763</v>
      </c>
      <c r="NH126" s="207">
        <f t="shared" si="2600"/>
        <v>51.018242785358716</v>
      </c>
      <c r="NI126" s="207">
        <f t="shared" si="2600"/>
        <v>51.123332012271639</v>
      </c>
      <c r="NJ126" s="207">
        <f t="shared" si="2600"/>
        <v>51.228637705785729</v>
      </c>
      <c r="NK126" s="207">
        <f t="shared" si="2600"/>
        <v>51.334160311786739</v>
      </c>
      <c r="NL126" s="207">
        <f t="shared" si="2600"/>
        <v>51.439900277078877</v>
      </c>
      <c r="NM126" s="207">
        <f t="shared" si="2600"/>
        <v>51.545858049386695</v>
      </c>
      <c r="NN126" s="207">
        <f t="shared" si="2600"/>
        <v>51.652034077356987</v>
      </c>
      <c r="NO126" s="207">
        <f t="shared" si="2600"/>
        <v>51.75842881056068</v>
      </c>
      <c r="NP126" s="207">
        <f t="shared" si="2600"/>
        <v>51.865042699494744</v>
      </c>
      <c r="NQ126" s="207">
        <f t="shared" si="2600"/>
        <v>51.971876195584109</v>
      </c>
      <c r="NR126" s="207">
        <f t="shared" si="2600"/>
        <v>52.078929751183551</v>
      </c>
      <c r="NS126" s="207">
        <f t="shared" si="2600"/>
        <v>52.186203819579632</v>
      </c>
      <c r="NT126" s="207">
        <f t="shared" si="2600"/>
        <v>52.293698854992606</v>
      </c>
      <c r="NU126" s="207">
        <f t="shared" si="2600"/>
        <v>52.401415312578351</v>
      </c>
      <c r="NV126" s="207">
        <f t="shared" si="2600"/>
        <v>52.509353648430292</v>
      </c>
      <c r="NW126" s="207">
        <f t="shared" si="2600"/>
        <v>52.617514319581325</v>
      </c>
      <c r="NX126" s="207">
        <f t="shared" si="2600"/>
        <v>52.725897784005767</v>
      </c>
      <c r="NY126" s="207">
        <f t="shared" si="2600"/>
        <v>52.834504500621286</v>
      </c>
      <c r="NZ126" s="207">
        <f t="shared" si="2600"/>
        <v>52.943334929290835</v>
      </c>
      <c r="OA126" s="207">
        <f t="shared" si="2600"/>
        <v>53.05238953082462</v>
      </c>
      <c r="OB126" s="207">
        <f t="shared" si="2600"/>
        <v>53.161668766982039</v>
      </c>
      <c r="OC126" s="207">
        <f t="shared" si="2600"/>
        <v>53.271173100473632</v>
      </c>
      <c r="OD126" s="207">
        <f t="shared" si="2600"/>
        <v>53.380902994963058</v>
      </c>
      <c r="OE126" s="207">
        <f t="shared" si="2600"/>
        <v>53.49085891506904</v>
      </c>
      <c r="OF126" s="207">
        <f t="shared" si="2600"/>
        <v>53.601041326367337</v>
      </c>
      <c r="OG126" s="207">
        <f t="shared" si="2600"/>
        <v>53.711450695392728</v>
      </c>
      <c r="OH126" s="207">
        <f t="shared" si="2600"/>
        <v>53.822087489640971</v>
      </c>
      <c r="OI126" s="207">
        <f t="shared" si="2600"/>
        <v>53.932952177570783</v>
      </c>
      <c r="OJ126" s="207">
        <f t="shared" si="2600"/>
        <v>54.044045228605839</v>
      </c>
      <c r="OK126" s="207">
        <f t="shared" si="2600"/>
        <v>54.155367113136741</v>
      </c>
      <c r="OL126" s="207">
        <f t="shared" si="2600"/>
        <v>54.266918302523031</v>
      </c>
      <c r="OM126" s="207">
        <f t="shared" si="2600"/>
        <v>54.378699269095158</v>
      </c>
      <c r="ON126" s="207">
        <f t="shared" si="2600"/>
        <v>54.490710486156509</v>
      </c>
      <c r="OO126" s="207">
        <f t="shared" si="2600"/>
        <v>54.602952427985393</v>
      </c>
      <c r="OP126" s="207">
        <f t="shared" si="2600"/>
        <v>54.715425569837052</v>
      </c>
      <c r="OQ126" s="207">
        <f t="shared" si="2600"/>
        <v>54.828130387945684</v>
      </c>
      <c r="OR126" s="207">
        <f t="shared" si="2600"/>
        <v>54.941067359526443</v>
      </c>
      <c r="OS126" s="207">
        <f t="shared" si="2600"/>
        <v>55.054236962777466</v>
      </c>
      <c r="OT126" s="207">
        <f t="shared" si="2600"/>
        <v>55.167639676881912</v>
      </c>
      <c r="OU126" s="207">
        <f t="shared" si="2600"/>
        <v>55.281275982009966</v>
      </c>
      <c r="OV126" s="207">
        <f t="shared" si="2600"/>
        <v>55.395146359320897</v>
      </c>
      <c r="OW126" s="207">
        <f t="shared" si="2600"/>
        <v>55.509251290965075</v>
      </c>
      <c r="OX126" s="207">
        <f t="shared" si="2600"/>
        <v>55.623591260086023</v>
      </c>
      <c r="OY126" s="207">
        <f t="shared" si="2600"/>
        <v>55.738166750822458</v>
      </c>
      <c r="OZ126" s="207">
        <f t="shared" si="2600"/>
        <v>55.852978248310343</v>
      </c>
      <c r="PA126" s="207">
        <f t="shared" si="2600"/>
        <v>55.968026238684949</v>
      </c>
      <c r="PB126" s="207">
        <f t="shared" si="2600"/>
        <v>56.0833112090829</v>
      </c>
      <c r="PC126" s="207">
        <f t="shared" si="2600"/>
        <v>56.19883364764425</v>
      </c>
      <c r="PD126" s="207">
        <f t="shared" si="2600"/>
        <v>56.314594043514525</v>
      </c>
      <c r="PE126" s="207">
        <f t="shared" si="2600"/>
        <v>56.430592886846824</v>
      </c>
      <c r="PF126" s="207">
        <f t="shared" si="2600"/>
        <v>56.546830668803878</v>
      </c>
      <c r="PG126" s="207">
        <f t="shared" si="2600"/>
        <v>56.663307881560137</v>
      </c>
      <c r="PH126" s="207">
        <f t="shared" si="2600"/>
        <v>56.780025018303839</v>
      </c>
      <c r="PI126" s="207">
        <f t="shared" si="2600"/>
        <v>56.896982573239121</v>
      </c>
      <c r="PJ126" s="207">
        <f t="shared" si="2600"/>
        <v>57.014181041588088</v>
      </c>
      <c r="PK126" s="207">
        <f t="shared" si="2600"/>
        <v>57.131620919592933</v>
      </c>
      <c r="PL126" s="207">
        <f t="shared" si="2600"/>
        <v>57.249302704518016</v>
      </c>
      <c r="PM126" s="207">
        <f t="shared" ref="PM126:PO126" si="2601">PL126+IF(PM$124&gt;0,PL126*((1+INDEX($C$106:$H$106,1,MIN(PM$124,6)))^(1/12)-1))</f>
        <v>57.367226894651985</v>
      </c>
      <c r="PN126" s="207">
        <f t="shared" si="2601"/>
        <v>57.485393989309884</v>
      </c>
      <c r="PO126" s="207">
        <f t="shared" si="2601"/>
        <v>57.603804488835266</v>
      </c>
      <c r="PQ126" s="201"/>
      <c r="PR126" s="201"/>
      <c r="PS126" s="201"/>
      <c r="PT126" s="201"/>
      <c r="PU126" s="201"/>
      <c r="PV126" s="201"/>
      <c r="PW126" s="201"/>
      <c r="PX126" s="201"/>
      <c r="PY126" s="201"/>
      <c r="PZ126" s="201"/>
      <c r="QA126" s="201"/>
      <c r="QB126" s="201"/>
      <c r="QC126" s="201"/>
      <c r="QD126" s="201"/>
      <c r="QE126" s="201"/>
      <c r="QF126" s="201"/>
      <c r="QG126" s="201"/>
      <c r="QH126" s="201"/>
      <c r="QI126" s="201"/>
      <c r="QJ126" s="201"/>
      <c r="QK126" s="201"/>
      <c r="QL126" s="201"/>
      <c r="QM126" s="201"/>
      <c r="QN126" s="201"/>
      <c r="QO126" s="201"/>
      <c r="QP126" s="201"/>
      <c r="QQ126" s="201"/>
      <c r="QR126" s="201"/>
      <c r="QS126" s="201"/>
      <c r="QT126" s="201"/>
      <c r="QU126" s="201"/>
      <c r="QV126" s="201"/>
      <c r="QW126" s="201"/>
      <c r="QX126" s="201"/>
      <c r="QY126" s="201"/>
      <c r="QZ126" s="201"/>
      <c r="RA126" s="201"/>
      <c r="RB126" s="201"/>
      <c r="RC126" s="201"/>
      <c r="RD126" s="201"/>
      <c r="RE126" s="201"/>
      <c r="RF126" s="201"/>
      <c r="RG126" s="201"/>
      <c r="RH126" s="201"/>
      <c r="RI126" s="201"/>
      <c r="RJ126" s="201"/>
      <c r="RK126" s="201"/>
      <c r="RL126" s="201"/>
      <c r="RM126" s="201"/>
      <c r="RN126" s="201"/>
      <c r="RO126" s="201"/>
      <c r="RP126" s="201"/>
      <c r="RQ126" s="201"/>
      <c r="RR126" s="201"/>
      <c r="RS126" s="201"/>
      <c r="RT126" s="201"/>
      <c r="RU126" s="201"/>
      <c r="RV126" s="201"/>
      <c r="RW126" s="201"/>
      <c r="RX126" s="201"/>
      <c r="RY126" s="201"/>
      <c r="RZ126" s="201"/>
      <c r="SA126" s="201"/>
      <c r="SB126" s="201"/>
      <c r="SC126" s="201"/>
      <c r="SD126" s="201"/>
      <c r="SE126" s="201"/>
      <c r="SF126" s="201"/>
      <c r="SG126" s="201"/>
      <c r="SH126" s="201"/>
      <c r="SI126" s="201"/>
      <c r="SJ126" s="201"/>
      <c r="SK126" s="201"/>
      <c r="SL126" s="201"/>
      <c r="SM126" s="201"/>
      <c r="SN126" s="201"/>
      <c r="SO126" s="201"/>
      <c r="SP126" s="201"/>
      <c r="SQ126" s="201"/>
      <c r="SR126" s="201"/>
      <c r="SS126" s="201"/>
      <c r="ST126" s="201"/>
      <c r="SU126" s="201"/>
      <c r="SV126" s="201"/>
      <c r="SW126" s="201"/>
      <c r="SX126" s="201"/>
      <c r="SY126" s="201"/>
      <c r="SZ126" s="201"/>
      <c r="TA126" s="201"/>
      <c r="TB126" s="201"/>
      <c r="TC126" s="201"/>
      <c r="TD126" s="201"/>
      <c r="TE126" s="201"/>
      <c r="TF126" s="201"/>
      <c r="TG126" s="201"/>
      <c r="TH126" s="201"/>
      <c r="TI126" s="201"/>
      <c r="TJ126" s="201"/>
      <c r="TK126" s="201"/>
      <c r="TL126" s="201"/>
      <c r="TM126" s="201"/>
      <c r="TN126" s="201"/>
      <c r="TO126" s="201"/>
      <c r="TP126" s="201"/>
      <c r="TQ126" s="201"/>
      <c r="TR126" s="201"/>
      <c r="TS126" s="201"/>
      <c r="TT126" s="201"/>
      <c r="TU126" s="201"/>
      <c r="TV126" s="201"/>
      <c r="TW126" s="201"/>
      <c r="TX126" s="201"/>
      <c r="TY126" s="201"/>
      <c r="TZ126" s="201"/>
      <c r="UA126" s="201"/>
      <c r="UB126" s="201"/>
      <c r="UC126" s="201"/>
      <c r="UD126" s="201"/>
      <c r="UE126" s="201"/>
      <c r="UF126" s="201"/>
      <c r="UG126" s="201"/>
      <c r="UH126" s="201"/>
      <c r="UI126" s="201"/>
      <c r="UJ126" s="201"/>
      <c r="UK126" s="201"/>
      <c r="UL126" s="201"/>
      <c r="UM126" s="201"/>
      <c r="UN126" s="201"/>
      <c r="UO126" s="201"/>
      <c r="UP126" s="201"/>
      <c r="UQ126" s="201"/>
      <c r="UR126" s="201"/>
      <c r="US126" s="201"/>
      <c r="UT126" s="201"/>
      <c r="UU126" s="201"/>
    </row>
    <row r="127" spans="2:567" x14ac:dyDescent="0.25">
      <c r="B127" s="31" t="s">
        <v>118</v>
      </c>
      <c r="C127" s="26"/>
      <c r="D127" s="26"/>
      <c r="E127" s="56"/>
      <c r="F127" s="131" t="str">
        <f>Unit_Type_Plural&amp;"/Month"</f>
        <v>Units/Month</v>
      </c>
      <c r="G127" s="584">
        <v>25</v>
      </c>
      <c r="H127" s="131" t="str">
        <f>Unit_Type_Plural&amp;"/Month"</f>
        <v>Units/Month</v>
      </c>
      <c r="I127" s="584">
        <v>30</v>
      </c>
      <c r="J127" s="149">
        <f>((1-$E$120)*G127+$E$120*I127)*$C$120*12</f>
        <v>90000</v>
      </c>
      <c r="K127" s="149">
        <f t="shared" ref="K127:K129" si="2602">+I127*$C$120*12</f>
        <v>108000</v>
      </c>
      <c r="M127" s="3" t="s">
        <v>844</v>
      </c>
      <c r="T127" s="92">
        <f t="shared" si="2578"/>
        <v>7562.5000000000009</v>
      </c>
      <c r="U127" s="92">
        <f t="shared" si="2578"/>
        <v>7624.9999999999991</v>
      </c>
      <c r="V127" s="92">
        <f t="shared" si="2578"/>
        <v>7687.5</v>
      </c>
      <c r="W127" s="92">
        <f t="shared" si="2578"/>
        <v>7750.0000000000009</v>
      </c>
      <c r="X127" s="92">
        <f t="shared" si="2578"/>
        <v>7812.4999999999991</v>
      </c>
      <c r="Y127" s="92">
        <f t="shared" si="2578"/>
        <v>7875</v>
      </c>
      <c r="Z127" s="92">
        <f t="shared" si="2578"/>
        <v>7937.5</v>
      </c>
      <c r="AA127" s="92">
        <f t="shared" si="2578"/>
        <v>8000</v>
      </c>
      <c r="AB127" s="92">
        <f t="shared" si="2578"/>
        <v>8062.5</v>
      </c>
      <c r="AC127" s="92">
        <f t="shared" si="2578"/>
        <v>8125</v>
      </c>
      <c r="AD127" s="92">
        <f t="shared" si="2579"/>
        <v>8187.5</v>
      </c>
      <c r="AE127" s="92">
        <f t="shared" si="2579"/>
        <v>8250</v>
      </c>
      <c r="AF127" s="92">
        <f t="shared" si="2579"/>
        <v>8329.6223889930679</v>
      </c>
      <c r="AG127" s="92">
        <f t="shared" si="2579"/>
        <v>8409.537792020581</v>
      </c>
      <c r="AH127" s="92">
        <f t="shared" si="2579"/>
        <v>8489.7470783725494</v>
      </c>
      <c r="AI127" s="92">
        <f t="shared" si="2579"/>
        <v>8570.2511196769392</v>
      </c>
      <c r="AJ127" s="92">
        <f t="shared" si="2579"/>
        <v>8651.0507899056083</v>
      </c>
      <c r="AK127" s="92">
        <f t="shared" si="2579"/>
        <v>8732.1469653802724</v>
      </c>
      <c r="AL127" s="92">
        <f t="shared" si="2579"/>
        <v>8813.5405247784711</v>
      </c>
      <c r="AM127" s="92">
        <f t="shared" si="2579"/>
        <v>8895.2323491395655</v>
      </c>
      <c r="AN127" s="92">
        <f t="shared" si="2580"/>
        <v>8977.2233218707242</v>
      </c>
      <c r="AO127" s="92">
        <f t="shared" si="2580"/>
        <v>9059.51432875295</v>
      </c>
      <c r="AP127" s="92">
        <f t="shared" si="2580"/>
        <v>9142.1062579471109</v>
      </c>
      <c r="AQ127" s="92">
        <f t="shared" si="2580"/>
        <v>9224.9999999999873</v>
      </c>
      <c r="AR127" s="92">
        <f t="shared" si="2580"/>
        <v>9244.0019895892874</v>
      </c>
      <c r="AS127" s="92">
        <f t="shared" si="2580"/>
        <v>9263.0431201659412</v>
      </c>
      <c r="AT127" s="92">
        <f t="shared" si="2580"/>
        <v>9282.1234723539765</v>
      </c>
      <c r="AU127" s="92">
        <f t="shared" si="2580"/>
        <v>9301.2431269434892</v>
      </c>
      <c r="AV127" s="92">
        <f t="shared" si="2580"/>
        <v>9320.4021648909929</v>
      </c>
      <c r="AW127" s="92">
        <f t="shared" si="2580"/>
        <v>9339.6006673197553</v>
      </c>
      <c r="AX127" s="92">
        <f t="shared" si="2581"/>
        <v>9358.838715520149</v>
      </c>
      <c r="AY127" s="92">
        <f t="shared" si="2581"/>
        <v>9378.1163909499846</v>
      </c>
      <c r="AZ127" s="92">
        <f t="shared" si="2581"/>
        <v>9397.4337752348692</v>
      </c>
      <c r="BA127" s="92">
        <f t="shared" si="2581"/>
        <v>9416.7909501685444</v>
      </c>
      <c r="BB127" s="92">
        <f t="shared" si="2581"/>
        <v>9436.1879977132285</v>
      </c>
      <c r="BC127" s="92">
        <f t="shared" si="2581"/>
        <v>9455.6249999999727</v>
      </c>
      <c r="BD127" s="92">
        <f t="shared" si="2581"/>
        <v>9475.1020393290037</v>
      </c>
      <c r="BE127" s="92">
        <f t="shared" si="2581"/>
        <v>9494.619198170074</v>
      </c>
      <c r="BF127" s="92">
        <f t="shared" si="2581"/>
        <v>9514.17655916281</v>
      </c>
      <c r="BG127" s="92">
        <f t="shared" si="2581"/>
        <v>9533.7742051170608</v>
      </c>
      <c r="BH127" s="92">
        <f t="shared" si="2582"/>
        <v>9553.412219013253</v>
      </c>
      <c r="BI127" s="92">
        <f t="shared" si="2582"/>
        <v>9573.0906840027346</v>
      </c>
      <c r="BJ127" s="92">
        <f t="shared" si="2582"/>
        <v>9592.8096834081371</v>
      </c>
      <c r="BK127" s="92">
        <f t="shared" si="2582"/>
        <v>9612.5693007237187</v>
      </c>
      <c r="BL127" s="92">
        <f t="shared" si="2582"/>
        <v>9632.3696196157252</v>
      </c>
      <c r="BM127" s="92">
        <f t="shared" si="2582"/>
        <v>9652.2107239227425</v>
      </c>
      <c r="BN127" s="92">
        <f t="shared" si="2582"/>
        <v>9672.092697656044</v>
      </c>
      <c r="BO127" s="92">
        <f t="shared" si="2582"/>
        <v>9692.0156249999563</v>
      </c>
      <c r="BP127" s="92">
        <f t="shared" si="2582"/>
        <v>9711.979590312214</v>
      </c>
      <c r="BQ127" s="92">
        <f t="shared" si="2582"/>
        <v>9731.9846781243104</v>
      </c>
      <c r="BR127" s="92">
        <f t="shared" si="2583"/>
        <v>9752.0309731418656</v>
      </c>
      <c r="BS127" s="92">
        <f t="shared" si="2583"/>
        <v>9772.1185602449714</v>
      </c>
      <c r="BT127" s="92">
        <f t="shared" si="2583"/>
        <v>9792.2475244885682</v>
      </c>
      <c r="BU127" s="92">
        <f t="shared" si="2583"/>
        <v>9812.4179511027887</v>
      </c>
      <c r="BV127" s="92">
        <f t="shared" si="2583"/>
        <v>9832.6299254933274</v>
      </c>
      <c r="BW127" s="92">
        <f t="shared" si="2583"/>
        <v>9852.8835332418003</v>
      </c>
      <c r="BX127" s="92">
        <f t="shared" si="2583"/>
        <v>9873.1788601061089</v>
      </c>
      <c r="BY127" s="92">
        <f t="shared" si="2583"/>
        <v>9893.5159920207989</v>
      </c>
      <c r="BZ127" s="92">
        <f t="shared" si="2583"/>
        <v>9913.8950150974324</v>
      </c>
      <c r="CA127" s="92">
        <f t="shared" si="2583"/>
        <v>9934.3160156249432</v>
      </c>
      <c r="CB127" s="92">
        <f t="shared" si="2584"/>
        <v>9954.7790800700077</v>
      </c>
      <c r="CC127" s="92">
        <f t="shared" si="2584"/>
        <v>9975.2842950774084</v>
      </c>
      <c r="CD127" s="92">
        <f t="shared" si="2584"/>
        <v>9995.8317474704018</v>
      </c>
      <c r="CE127" s="92">
        <f t="shared" si="2584"/>
        <v>10016.421524251087</v>
      </c>
      <c r="CF127" s="92">
        <f t="shared" si="2584"/>
        <v>10037.053712600773</v>
      </c>
      <c r="CG127" s="92">
        <f t="shared" si="2584"/>
        <v>10057.728399880349</v>
      </c>
      <c r="CH127" s="92">
        <f t="shared" si="2584"/>
        <v>10078.445673630649</v>
      </c>
      <c r="CI127" s="92">
        <f t="shared" si="2584"/>
        <v>10099.205621572833</v>
      </c>
      <c r="CJ127" s="92">
        <f t="shared" si="2584"/>
        <v>10120.008331608749</v>
      </c>
      <c r="CK127" s="92">
        <f t="shared" si="2584"/>
        <v>10140.853891821307</v>
      </c>
      <c r="CL127" s="92">
        <f t="shared" si="2585"/>
        <v>10161.742390474856</v>
      </c>
      <c r="CM127" s="92">
        <f t="shared" si="2585"/>
        <v>10182.673916015554</v>
      </c>
      <c r="CN127" s="92">
        <f t="shared" si="2585"/>
        <v>10203.648557071747</v>
      </c>
      <c r="CO127" s="92">
        <f t="shared" si="2585"/>
        <v>10224.66640245433</v>
      </c>
      <c r="CP127" s="92">
        <f t="shared" si="2585"/>
        <v>10245.727541157148</v>
      </c>
      <c r="CQ127" s="92">
        <f t="shared" si="2585"/>
        <v>10266.832062357351</v>
      </c>
      <c r="CR127" s="92">
        <f t="shared" si="2585"/>
        <v>10287.980055415779</v>
      </c>
      <c r="CS127" s="92">
        <f t="shared" si="2585"/>
        <v>10309.171609877343</v>
      </c>
      <c r="CT127" s="92">
        <f t="shared" si="2585"/>
        <v>10330.406815471402</v>
      </c>
      <c r="CU127" s="92">
        <f t="shared" si="2585"/>
        <v>10351.68576211214</v>
      </c>
      <c r="CV127" s="92">
        <f t="shared" si="2586"/>
        <v>10373.008539898954</v>
      </c>
      <c r="CW127" s="92">
        <f t="shared" si="2586"/>
        <v>10394.375239116827</v>
      </c>
      <c r="CX127" s="92">
        <f t="shared" si="2586"/>
        <v>10415.785950236716</v>
      </c>
      <c r="CY127" s="92">
        <f t="shared" si="2586"/>
        <v>10437.240763915932</v>
      </c>
      <c r="CZ127" s="92">
        <f t="shared" si="2586"/>
        <v>10458.739770998525</v>
      </c>
      <c r="DA127" s="92">
        <f t="shared" si="2586"/>
        <v>10480.283062515677</v>
      </c>
      <c r="DB127" s="92">
        <f t="shared" si="2586"/>
        <v>10501.870729686065</v>
      </c>
      <c r="DC127" s="92">
        <f t="shared" si="2586"/>
        <v>10523.502863916272</v>
      </c>
      <c r="DD127" s="92">
        <f t="shared" si="2586"/>
        <v>10545.17955680116</v>
      </c>
      <c r="DE127" s="92">
        <f t="shared" si="2586"/>
        <v>10566.900900124263</v>
      </c>
      <c r="DF127" s="92">
        <f t="shared" si="2587"/>
        <v>10588.666985858172</v>
      </c>
      <c r="DG127" s="92">
        <f t="shared" si="2587"/>
        <v>10610.47790616493</v>
      </c>
      <c r="DH127" s="92">
        <f t="shared" si="2587"/>
        <v>10632.333753396411</v>
      </c>
      <c r="DI127" s="92">
        <f t="shared" si="2587"/>
        <v>10654.23462009473</v>
      </c>
      <c r="DJ127" s="92">
        <f t="shared" si="2587"/>
        <v>10676.180598992616</v>
      </c>
      <c r="DK127" s="92">
        <f t="shared" si="2587"/>
        <v>10698.171783013811</v>
      </c>
      <c r="DL127" s="92">
        <f t="shared" si="2587"/>
        <v>10720.208265273472</v>
      </c>
      <c r="DM127" s="92">
        <f t="shared" si="2587"/>
        <v>10742.29013907855</v>
      </c>
      <c r="DN127" s="92">
        <f t="shared" si="2587"/>
        <v>10764.417497928198</v>
      </c>
      <c r="DO127" s="92">
        <f t="shared" si="2587"/>
        <v>10786.590435514159</v>
      </c>
      <c r="DP127" s="92">
        <f t="shared" si="2588"/>
        <v>10808.809045721171</v>
      </c>
      <c r="DQ127" s="92">
        <f t="shared" si="2588"/>
        <v>10831.073422627353</v>
      </c>
      <c r="DR127" s="92">
        <f t="shared" si="2588"/>
        <v>10853.383660504611</v>
      </c>
      <c r="DS127" s="92">
        <f t="shared" si="2588"/>
        <v>10875.739853819037</v>
      </c>
      <c r="DT127" s="92">
        <f t="shared" si="2588"/>
        <v>10898.142097231308</v>
      </c>
      <c r="DU127" s="92">
        <f t="shared" si="2588"/>
        <v>10920.590485597086</v>
      </c>
      <c r="DV127" s="92">
        <f t="shared" si="2588"/>
        <v>10943.085113967418</v>
      </c>
      <c r="DW127" s="92">
        <f t="shared" si="2588"/>
        <v>10965.626077589144</v>
      </c>
      <c r="DX127" s="92">
        <f t="shared" si="2588"/>
        <v>10988.213471905296</v>
      </c>
      <c r="DY127" s="92">
        <f t="shared" si="2588"/>
        <v>11010.847392555501</v>
      </c>
      <c r="DZ127" s="92">
        <f t="shared" si="2589"/>
        <v>11033.527935376389</v>
      </c>
      <c r="EA127" s="92">
        <f t="shared" si="2589"/>
        <v>11056.255196402</v>
      </c>
      <c r="EB127" s="92">
        <f t="shared" si="2589"/>
        <v>11079.029271864185</v>
      </c>
      <c r="EC127" s="92">
        <f t="shared" si="2589"/>
        <v>11101.850258193021</v>
      </c>
      <c r="ED127" s="92">
        <f t="shared" si="2589"/>
        <v>11124.718252017208</v>
      </c>
      <c r="EE127" s="92">
        <f t="shared" si="2589"/>
        <v>11147.633350164495</v>
      </c>
      <c r="EF127" s="92">
        <f t="shared" si="2589"/>
        <v>11170.595649662073</v>
      </c>
      <c r="EG127" s="92">
        <f t="shared" si="2589"/>
        <v>11193.605247736994</v>
      </c>
      <c r="EH127" s="92">
        <f t="shared" si="2589"/>
        <v>11216.662241816586</v>
      </c>
      <c r="EI127" s="92">
        <f t="shared" si="2589"/>
        <v>11239.766729528854</v>
      </c>
      <c r="EJ127" s="92">
        <f t="shared" si="2590"/>
        <v>11262.918808702909</v>
      </c>
      <c r="EK127" s="92">
        <f t="shared" si="2590"/>
        <v>11286.118577369369</v>
      </c>
      <c r="EL127" s="92">
        <f t="shared" si="2590"/>
        <v>11309.366133760781</v>
      </c>
      <c r="EM127" s="92">
        <f t="shared" si="2590"/>
        <v>11332.661576312034</v>
      </c>
      <c r="EN127" s="92">
        <f t="shared" si="2590"/>
        <v>11356.005003660774</v>
      </c>
      <c r="EO127" s="92">
        <f t="shared" si="2590"/>
        <v>11379.396514647829</v>
      </c>
      <c r="EP127" s="92">
        <f t="shared" si="2590"/>
        <v>11402.836208317623</v>
      </c>
      <c r="EQ127" s="92">
        <f t="shared" si="2590"/>
        <v>11426.324183918592</v>
      </c>
      <c r="ER127" s="92">
        <f t="shared" si="2590"/>
        <v>11449.860540903608</v>
      </c>
      <c r="ES127" s="92">
        <f t="shared" si="2590"/>
        <v>11473.445378930403</v>
      </c>
      <c r="ET127" s="92">
        <f t="shared" si="2591"/>
        <v>11497.078797861985</v>
      </c>
      <c r="EU127" s="92">
        <f t="shared" si="2591"/>
        <v>11520.760897767061</v>
      </c>
      <c r="EW127" s="199" t="str">
        <f t="shared" si="2592"/>
        <v>Other Income</v>
      </c>
      <c r="EX127" s="201"/>
      <c r="EY127" s="221"/>
      <c r="EZ127" s="221"/>
      <c r="FA127" s="221"/>
      <c r="FB127" s="221"/>
      <c r="FC127" s="207">
        <f t="shared" si="2593"/>
        <v>25</v>
      </c>
      <c r="FD127" s="207">
        <f t="shared" ref="FD127:HO127" si="2603">FC127+IF(FD$124&gt;0,FC127*((1+INDEX($C$106:$H$106,1,MIN(FD$124,6)))^(1/12)-1))</f>
        <v>25</v>
      </c>
      <c r="FE127" s="207">
        <f t="shared" si="2603"/>
        <v>25</v>
      </c>
      <c r="FF127" s="207">
        <f t="shared" si="2603"/>
        <v>25</v>
      </c>
      <c r="FG127" s="207">
        <f t="shared" si="2603"/>
        <v>25</v>
      </c>
      <c r="FH127" s="207">
        <f t="shared" si="2603"/>
        <v>25</v>
      </c>
      <c r="FI127" s="207">
        <f t="shared" si="2603"/>
        <v>25</v>
      </c>
      <c r="FJ127" s="207">
        <f t="shared" si="2603"/>
        <v>25</v>
      </c>
      <c r="FK127" s="207">
        <f t="shared" si="2603"/>
        <v>25</v>
      </c>
      <c r="FL127" s="207">
        <f t="shared" si="2603"/>
        <v>25</v>
      </c>
      <c r="FM127" s="207">
        <f t="shared" si="2603"/>
        <v>25</v>
      </c>
      <c r="FN127" s="207">
        <f t="shared" si="2603"/>
        <v>25</v>
      </c>
      <c r="FO127" s="207">
        <f t="shared" si="2603"/>
        <v>25</v>
      </c>
      <c r="FP127" s="207">
        <f t="shared" si="2603"/>
        <v>25.051495906746069</v>
      </c>
      <c r="FQ127" s="207">
        <f t="shared" si="2603"/>
        <v>25.103097886628603</v>
      </c>
      <c r="FR127" s="207">
        <f t="shared" si="2603"/>
        <v>25.154806158140893</v>
      </c>
      <c r="FS127" s="207">
        <f t="shared" si="2603"/>
        <v>25.206620940226294</v>
      </c>
      <c r="FT127" s="207">
        <f t="shared" si="2603"/>
        <v>25.258542452279151</v>
      </c>
      <c r="FU127" s="207">
        <f t="shared" si="2603"/>
        <v>25.310570914145718</v>
      </c>
      <c r="FV127" s="207">
        <f t="shared" si="2603"/>
        <v>25.3627065461251</v>
      </c>
      <c r="FW127" s="207">
        <f t="shared" si="2603"/>
        <v>25.414949568970187</v>
      </c>
      <c r="FX127" s="207">
        <f t="shared" si="2603"/>
        <v>25.467300203888577</v>
      </c>
      <c r="FY127" s="207">
        <f t="shared" si="2603"/>
        <v>25.519758672543521</v>
      </c>
      <c r="FZ127" s="207">
        <f t="shared" si="2603"/>
        <v>25.572325197054859</v>
      </c>
      <c r="GA127" s="207">
        <f t="shared" si="2603"/>
        <v>25.624999999999964</v>
      </c>
      <c r="GB127" s="207">
        <f t="shared" si="2603"/>
        <v>25.677783304414685</v>
      </c>
      <c r="GC127" s="207">
        <f t="shared" si="2603"/>
        <v>25.730675333794281</v>
      </c>
      <c r="GD127" s="207">
        <f t="shared" si="2603"/>
        <v>25.783676312094379</v>
      </c>
      <c r="GE127" s="207">
        <f t="shared" si="2603"/>
        <v>25.836786463731915</v>
      </c>
      <c r="GF127" s="207">
        <f t="shared" si="2603"/>
        <v>25.890006013586092</v>
      </c>
      <c r="GG127" s="207">
        <f t="shared" si="2603"/>
        <v>25.943335186999324</v>
      </c>
      <c r="GH127" s="207">
        <f t="shared" si="2603"/>
        <v>25.996774209778192</v>
      </c>
      <c r="GI127" s="207">
        <f t="shared" si="2603"/>
        <v>26.050323308194404</v>
      </c>
      <c r="GJ127" s="207">
        <f t="shared" si="2603"/>
        <v>26.103982708985754</v>
      </c>
      <c r="GK127" s="207">
        <f t="shared" si="2603"/>
        <v>26.157752639357071</v>
      </c>
      <c r="GL127" s="207">
        <f t="shared" si="2603"/>
        <v>26.211633326981193</v>
      </c>
      <c r="GM127" s="207">
        <f t="shared" si="2603"/>
        <v>26.265624999999929</v>
      </c>
      <c r="GN127" s="207">
        <f t="shared" si="2603"/>
        <v>26.319727887025017</v>
      </c>
      <c r="GO127" s="207">
        <f t="shared" si="2603"/>
        <v>26.373942217139103</v>
      </c>
      <c r="GP127" s="207">
        <f t="shared" si="2603"/>
        <v>26.428268219896701</v>
      </c>
      <c r="GQ127" s="207">
        <f t="shared" si="2603"/>
        <v>26.482706125325176</v>
      </c>
      <c r="GR127" s="207">
        <f t="shared" si="2603"/>
        <v>26.537256163925708</v>
      </c>
      <c r="GS127" s="207">
        <f t="shared" si="2603"/>
        <v>26.59191856667427</v>
      </c>
      <c r="GT127" s="207">
        <f t="shared" si="2603"/>
        <v>26.646693565022609</v>
      </c>
      <c r="GU127" s="207">
        <f t="shared" si="2603"/>
        <v>26.701581390899229</v>
      </c>
      <c r="GV127" s="207">
        <f t="shared" si="2603"/>
        <v>26.756582276710361</v>
      </c>
      <c r="GW127" s="207">
        <f t="shared" si="2603"/>
        <v>26.811696455340961</v>
      </c>
      <c r="GX127" s="207">
        <f t="shared" si="2603"/>
        <v>26.866924160155687</v>
      </c>
      <c r="GY127" s="207">
        <f t="shared" si="2603"/>
        <v>26.922265624999891</v>
      </c>
      <c r="GZ127" s="207">
        <f t="shared" si="2603"/>
        <v>26.977721084200606</v>
      </c>
      <c r="HA127" s="207">
        <f t="shared" si="2603"/>
        <v>27.033290772567543</v>
      </c>
      <c r="HB127" s="207">
        <f t="shared" si="2603"/>
        <v>27.088974925394083</v>
      </c>
      <c r="HC127" s="207">
        <f t="shared" si="2603"/>
        <v>27.144773778458269</v>
      </c>
      <c r="HD127" s="207">
        <f t="shared" si="2603"/>
        <v>27.200687568023813</v>
      </c>
      <c r="HE127" s="207">
        <f t="shared" si="2603"/>
        <v>27.256716530841089</v>
      </c>
      <c r="HF127" s="207">
        <f t="shared" si="2603"/>
        <v>27.312860904148138</v>
      </c>
      <c r="HG127" s="207">
        <f t="shared" si="2603"/>
        <v>27.369120925671673</v>
      </c>
      <c r="HH127" s="207">
        <f t="shared" si="2603"/>
        <v>27.425496833628085</v>
      </c>
      <c r="HI127" s="207">
        <f t="shared" si="2603"/>
        <v>27.48198886672445</v>
      </c>
      <c r="HJ127" s="207">
        <f t="shared" si="2603"/>
        <v>27.538597264159542</v>
      </c>
      <c r="HK127" s="207">
        <f t="shared" si="2603"/>
        <v>27.595322265624848</v>
      </c>
      <c r="HL127" s="207">
        <f t="shared" si="2603"/>
        <v>27.652164111305581</v>
      </c>
      <c r="HM127" s="207">
        <f t="shared" si="2603"/>
        <v>27.709123041881693</v>
      </c>
      <c r="HN127" s="207">
        <f t="shared" si="2603"/>
        <v>27.766199298528896</v>
      </c>
      <c r="HO127" s="207">
        <f t="shared" si="2603"/>
        <v>27.823393122919686</v>
      </c>
      <c r="HP127" s="207">
        <f t="shared" ref="HP127:KA127" si="2604">HO127+IF(HP$124&gt;0,HO127*((1+INDEX($C$106:$H$106,1,MIN(HP$124,6)))^(1/12)-1))</f>
        <v>27.880704757224368</v>
      </c>
      <c r="HQ127" s="207">
        <f t="shared" si="2604"/>
        <v>27.938134444112077</v>
      </c>
      <c r="HR127" s="207">
        <f t="shared" si="2604"/>
        <v>27.995682426751802</v>
      </c>
      <c r="HS127" s="207">
        <f t="shared" si="2604"/>
        <v>28.053348948813426</v>
      </c>
      <c r="HT127" s="207">
        <f t="shared" si="2604"/>
        <v>28.111134254468748</v>
      </c>
      <c r="HU127" s="207">
        <f t="shared" si="2604"/>
        <v>28.169038588392521</v>
      </c>
      <c r="HV127" s="207">
        <f t="shared" si="2604"/>
        <v>28.227062195763491</v>
      </c>
      <c r="HW127" s="207">
        <f t="shared" si="2604"/>
        <v>28.28520532226543</v>
      </c>
      <c r="HX127" s="207">
        <f t="shared" si="2604"/>
        <v>28.34346821408818</v>
      </c>
      <c r="HY127" s="207">
        <f t="shared" si="2604"/>
        <v>28.401851117928693</v>
      </c>
      <c r="HZ127" s="207">
        <f t="shared" si="2604"/>
        <v>28.460354280992075</v>
      </c>
      <c r="IA127" s="207">
        <f t="shared" si="2604"/>
        <v>28.518977950992635</v>
      </c>
      <c r="IB127" s="207">
        <f t="shared" si="2604"/>
        <v>28.577722376154934</v>
      </c>
      <c r="IC127" s="207">
        <f t="shared" si="2604"/>
        <v>28.636587805214834</v>
      </c>
      <c r="ID127" s="207">
        <f t="shared" si="2604"/>
        <v>28.695574487420551</v>
      </c>
      <c r="IE127" s="207">
        <f t="shared" si="2604"/>
        <v>28.754682672533715</v>
      </c>
      <c r="IF127" s="207">
        <f t="shared" si="2604"/>
        <v>28.813912610830418</v>
      </c>
      <c r="IG127" s="207">
        <f t="shared" si="2604"/>
        <v>28.873264553102285</v>
      </c>
      <c r="IH127" s="207">
        <f t="shared" si="2604"/>
        <v>28.932738750657528</v>
      </c>
      <c r="II127" s="207">
        <f t="shared" si="2604"/>
        <v>28.992335455322017</v>
      </c>
      <c r="IJ127" s="207">
        <f t="shared" si="2604"/>
        <v>29.052054919440337</v>
      </c>
      <c r="IK127" s="207">
        <f t="shared" si="2604"/>
        <v>29.111897395876863</v>
      </c>
      <c r="IL127" s="207">
        <f t="shared" si="2604"/>
        <v>29.171863138016832</v>
      </c>
      <c r="IM127" s="207">
        <f t="shared" si="2604"/>
        <v>29.231952399767408</v>
      </c>
      <c r="IN127" s="207">
        <f t="shared" si="2604"/>
        <v>29.292165435558765</v>
      </c>
      <c r="IO127" s="207">
        <f t="shared" si="2604"/>
        <v>29.352502500345164</v>
      </c>
      <c r="IP127" s="207">
        <f t="shared" si="2604"/>
        <v>29.412963849606026</v>
      </c>
      <c r="IQ127" s="207">
        <f t="shared" si="2604"/>
        <v>29.473549739347018</v>
      </c>
      <c r="IR127" s="207">
        <f t="shared" si="2604"/>
        <v>29.534260426101138</v>
      </c>
      <c r="IS127" s="207">
        <f t="shared" si="2604"/>
        <v>29.595096166929803</v>
      </c>
      <c r="IT127" s="207">
        <f t="shared" si="2604"/>
        <v>29.656057219423928</v>
      </c>
      <c r="IU127" s="207">
        <f t="shared" si="2604"/>
        <v>29.717143841705031</v>
      </c>
      <c r="IV127" s="207">
        <f t="shared" si="2604"/>
        <v>29.778356292426309</v>
      </c>
      <c r="IW127" s="207">
        <f t="shared" si="2604"/>
        <v>29.839694830773748</v>
      </c>
      <c r="IX127" s="207">
        <f t="shared" si="2604"/>
        <v>29.901159716467216</v>
      </c>
      <c r="IY127" s="207">
        <f t="shared" si="2604"/>
        <v>29.962751209761556</v>
      </c>
      <c r="IZ127" s="207">
        <f t="shared" si="2604"/>
        <v>30.024469571447696</v>
      </c>
      <c r="JA127" s="207">
        <f t="shared" si="2604"/>
        <v>30.086315062853753</v>
      </c>
      <c r="JB127" s="207">
        <f t="shared" si="2604"/>
        <v>30.148287945846135</v>
      </c>
      <c r="JC127" s="207">
        <f t="shared" si="2604"/>
        <v>30.210388482830652</v>
      </c>
      <c r="JD127" s="207">
        <f t="shared" si="2604"/>
        <v>30.272616936753625</v>
      </c>
      <c r="JE127" s="207">
        <f t="shared" si="2604"/>
        <v>30.334973571103006</v>
      </c>
      <c r="JF127" s="207">
        <f t="shared" si="2604"/>
        <v>30.397458649909485</v>
      </c>
      <c r="JG127" s="207">
        <f t="shared" si="2604"/>
        <v>30.460072437747613</v>
      </c>
      <c r="JH127" s="207">
        <f t="shared" si="2604"/>
        <v>30.522815199736922</v>
      </c>
      <c r="JI127" s="207">
        <f t="shared" si="2604"/>
        <v>30.585687201543045</v>
      </c>
      <c r="JJ127" s="207">
        <f t="shared" si="2604"/>
        <v>30.648688709378849</v>
      </c>
      <c r="JK127" s="207">
        <f t="shared" si="2604"/>
        <v>30.711819990005548</v>
      </c>
      <c r="JL127" s="207">
        <f t="shared" si="2604"/>
        <v>30.775081310733842</v>
      </c>
      <c r="JM127" s="207">
        <f t="shared" si="2604"/>
        <v>30.838472939425053</v>
      </c>
      <c r="JN127" s="207">
        <f t="shared" si="2604"/>
        <v>30.901995144492243</v>
      </c>
      <c r="JO127" s="207">
        <f t="shared" si="2604"/>
        <v>30.965648194901373</v>
      </c>
      <c r="JP127" s="207">
        <f t="shared" si="2604"/>
        <v>31.029432360172422</v>
      </c>
      <c r="JQ127" s="207">
        <f t="shared" si="2604"/>
        <v>31.093347910380537</v>
      </c>
      <c r="JR127" s="207">
        <f t="shared" si="2604"/>
        <v>31.157395116157179</v>
      </c>
      <c r="JS127" s="207">
        <f t="shared" si="2604"/>
        <v>31.221574248691262</v>
      </c>
      <c r="JT127" s="207">
        <f t="shared" si="2604"/>
        <v>31.285885579730305</v>
      </c>
      <c r="JU127" s="207">
        <f t="shared" si="2604"/>
        <v>31.350329381581584</v>
      </c>
      <c r="JV127" s="207">
        <f t="shared" si="2604"/>
        <v>31.414905927113281</v>
      </c>
      <c r="JW127" s="207">
        <f t="shared" si="2604"/>
        <v>31.479615489755648</v>
      </c>
      <c r="JX127" s="207">
        <f t="shared" si="2604"/>
        <v>31.54445834350215</v>
      </c>
      <c r="JY127" s="207">
        <f t="shared" si="2604"/>
        <v>31.609434762910638</v>
      </c>
      <c r="JZ127" s="207">
        <f t="shared" si="2604"/>
        <v>31.67454502310451</v>
      </c>
      <c r="KA127" s="207">
        <f t="shared" si="2604"/>
        <v>31.739789399773869</v>
      </c>
      <c r="KB127" s="207">
        <f t="shared" ref="KB127:KE127" si="2605">KA127+IF(KB$124&gt;0,KA127*((1+INDEX($C$106:$H$106,1,MIN(KB$124,6)))^(1/12)-1))</f>
        <v>31.805168169176692</v>
      </c>
      <c r="KC127" s="207">
        <f t="shared" si="2605"/>
        <v>31.870681608140011</v>
      </c>
      <c r="KD127" s="207">
        <f t="shared" si="2605"/>
        <v>31.936329994061069</v>
      </c>
      <c r="KE127" s="207">
        <f t="shared" si="2605"/>
        <v>32.002113604908502</v>
      </c>
      <c r="KG127" s="199" t="str">
        <f t="shared" si="2597"/>
        <v>Other Income</v>
      </c>
      <c r="KH127" s="201"/>
      <c r="KI127" s="221"/>
      <c r="KJ127" s="221"/>
      <c r="KK127" s="221"/>
      <c r="KL127" s="221"/>
      <c r="KM127" s="207">
        <f t="shared" si="2598"/>
        <v>30</v>
      </c>
      <c r="KN127" s="207">
        <f t="shared" ref="KN127:MY127" si="2606">KM127+IF(KN$124&gt;0,KM127*((1+INDEX($C$106:$H$106,1,MIN(KN$124,6)))^(1/12)-1))</f>
        <v>30</v>
      </c>
      <c r="KO127" s="207">
        <f t="shared" si="2606"/>
        <v>30</v>
      </c>
      <c r="KP127" s="207">
        <f t="shared" si="2606"/>
        <v>30</v>
      </c>
      <c r="KQ127" s="207">
        <f t="shared" si="2606"/>
        <v>30</v>
      </c>
      <c r="KR127" s="207">
        <f t="shared" si="2606"/>
        <v>30</v>
      </c>
      <c r="KS127" s="207">
        <f t="shared" si="2606"/>
        <v>30</v>
      </c>
      <c r="KT127" s="207">
        <f t="shared" si="2606"/>
        <v>30</v>
      </c>
      <c r="KU127" s="207">
        <f t="shared" si="2606"/>
        <v>30</v>
      </c>
      <c r="KV127" s="207">
        <f t="shared" si="2606"/>
        <v>30</v>
      </c>
      <c r="KW127" s="207">
        <f t="shared" si="2606"/>
        <v>30</v>
      </c>
      <c r="KX127" s="207">
        <f t="shared" si="2606"/>
        <v>30</v>
      </c>
      <c r="KY127" s="207">
        <f t="shared" si="2606"/>
        <v>30</v>
      </c>
      <c r="KZ127" s="207">
        <f t="shared" si="2606"/>
        <v>30.06179508809528</v>
      </c>
      <c r="LA127" s="207">
        <f t="shared" si="2606"/>
        <v>30.123717463954318</v>
      </c>
      <c r="LB127" s="207">
        <f t="shared" si="2606"/>
        <v>30.185767389769065</v>
      </c>
      <c r="LC127" s="207">
        <f t="shared" si="2606"/>
        <v>30.247945128271549</v>
      </c>
      <c r="LD127" s="207">
        <f t="shared" si="2606"/>
        <v>30.310250942734978</v>
      </c>
      <c r="LE127" s="207">
        <f t="shared" si="2606"/>
        <v>30.372685096974859</v>
      </c>
      <c r="LF127" s="207">
        <f t="shared" si="2606"/>
        <v>30.43524785535012</v>
      </c>
      <c r="LG127" s="207">
        <f t="shared" si="2606"/>
        <v>30.497939482764224</v>
      </c>
      <c r="LH127" s="207">
        <f t="shared" si="2606"/>
        <v>30.560760244666291</v>
      </c>
      <c r="LI127" s="207">
        <f t="shared" si="2606"/>
        <v>30.623710407052222</v>
      </c>
      <c r="LJ127" s="207">
        <f t="shared" si="2606"/>
        <v>30.686790236465828</v>
      </c>
      <c r="LK127" s="207">
        <f t="shared" si="2606"/>
        <v>30.749999999999957</v>
      </c>
      <c r="LL127" s="207">
        <f t="shared" si="2606"/>
        <v>30.813339965297622</v>
      </c>
      <c r="LM127" s="207">
        <f t="shared" si="2606"/>
        <v>30.876810400553136</v>
      </c>
      <c r="LN127" s="207">
        <f t="shared" si="2606"/>
        <v>30.940411574513252</v>
      </c>
      <c r="LO127" s="207">
        <f t="shared" si="2606"/>
        <v>31.004143756478296</v>
      </c>
      <c r="LP127" s="207">
        <f t="shared" si="2606"/>
        <v>31.068007216303307</v>
      </c>
      <c r="LQ127" s="207">
        <f t="shared" si="2606"/>
        <v>31.132002224399184</v>
      </c>
      <c r="LR127" s="207">
        <f t="shared" si="2606"/>
        <v>31.196129051733827</v>
      </c>
      <c r="LS127" s="207">
        <f t="shared" si="2606"/>
        <v>31.260387969833282</v>
      </c>
      <c r="LT127" s="207">
        <f t="shared" si="2606"/>
        <v>31.3247792507829</v>
      </c>
      <c r="LU127" s="207">
        <f t="shared" si="2606"/>
        <v>31.38930316722848</v>
      </c>
      <c r="LV127" s="207">
        <f t="shared" si="2606"/>
        <v>31.453959992377428</v>
      </c>
      <c r="LW127" s="207">
        <f t="shared" si="2606"/>
        <v>31.518749999999908</v>
      </c>
      <c r="LX127" s="207">
        <f t="shared" si="2606"/>
        <v>31.583673464430014</v>
      </c>
      <c r="LY127" s="207">
        <f t="shared" si="2606"/>
        <v>31.648730660566915</v>
      </c>
      <c r="LZ127" s="207">
        <f t="shared" si="2606"/>
        <v>31.713921863876035</v>
      </c>
      <c r="MA127" s="207">
        <f t="shared" si="2606"/>
        <v>31.779247350390204</v>
      </c>
      <c r="MB127" s="207">
        <f t="shared" si="2606"/>
        <v>31.844707396710842</v>
      </c>
      <c r="MC127" s="207">
        <f t="shared" si="2606"/>
        <v>31.910302280009116</v>
      </c>
      <c r="MD127" s="207">
        <f t="shared" si="2606"/>
        <v>31.976032278027123</v>
      </c>
      <c r="ME127" s="207">
        <f t="shared" si="2606"/>
        <v>32.041897669079063</v>
      </c>
      <c r="MF127" s="207">
        <f t="shared" si="2606"/>
        <v>32.107898732052419</v>
      </c>
      <c r="MG127" s="207">
        <f t="shared" si="2606"/>
        <v>32.174035746409139</v>
      </c>
      <c r="MH127" s="207">
        <f t="shared" si="2606"/>
        <v>32.240308992186812</v>
      </c>
      <c r="MI127" s="207">
        <f t="shared" si="2606"/>
        <v>32.306718749999852</v>
      </c>
      <c r="MJ127" s="207">
        <f t="shared" si="2606"/>
        <v>32.373265301040711</v>
      </c>
      <c r="MK127" s="207">
        <f t="shared" si="2606"/>
        <v>32.439948927081034</v>
      </c>
      <c r="ML127" s="207">
        <f t="shared" si="2606"/>
        <v>32.506769910472883</v>
      </c>
      <c r="MM127" s="207">
        <f t="shared" si="2606"/>
        <v>32.573728534149907</v>
      </c>
      <c r="MN127" s="207">
        <f t="shared" si="2606"/>
        <v>32.640825081628563</v>
      </c>
      <c r="MO127" s="207">
        <f t="shared" si="2606"/>
        <v>32.708059837009294</v>
      </c>
      <c r="MP127" s="207">
        <f t="shared" si="2606"/>
        <v>32.775433084977756</v>
      </c>
      <c r="MQ127" s="207">
        <f t="shared" si="2606"/>
        <v>32.842945110805999</v>
      </c>
      <c r="MR127" s="207">
        <f t="shared" si="2606"/>
        <v>32.910596200353694</v>
      </c>
      <c r="MS127" s="207">
        <f t="shared" si="2606"/>
        <v>32.978386640069331</v>
      </c>
      <c r="MT127" s="207">
        <f t="shared" si="2606"/>
        <v>33.046316716991441</v>
      </c>
      <c r="MU127" s="207">
        <f t="shared" si="2606"/>
        <v>33.114386718749813</v>
      </c>
      <c r="MV127" s="207">
        <f t="shared" si="2606"/>
        <v>33.182596933566693</v>
      </c>
      <c r="MW127" s="207">
        <f t="shared" si="2606"/>
        <v>33.250947650258027</v>
      </c>
      <c r="MX127" s="207">
        <f t="shared" si="2606"/>
        <v>33.319439158234673</v>
      </c>
      <c r="MY127" s="207">
        <f t="shared" si="2606"/>
        <v>33.388071747503623</v>
      </c>
      <c r="MZ127" s="207">
        <f t="shared" ref="MZ127:PK127" si="2607">MY127+IF(MZ$124&gt;0,MY127*((1+INDEX($C$106:$H$106,1,MIN(MZ$124,6)))^(1/12)-1))</f>
        <v>33.456845708669242</v>
      </c>
      <c r="NA127" s="207">
        <f t="shared" si="2607"/>
        <v>33.525761332934493</v>
      </c>
      <c r="NB127" s="207">
        <f t="shared" si="2607"/>
        <v>33.594818912102163</v>
      </c>
      <c r="NC127" s="207">
        <f t="shared" si="2607"/>
        <v>33.664018738576111</v>
      </c>
      <c r="ND127" s="207">
        <f t="shared" si="2607"/>
        <v>33.733361105362498</v>
      </c>
      <c r="NE127" s="207">
        <f t="shared" si="2607"/>
        <v>33.802846306071025</v>
      </c>
      <c r="NF127" s="207">
        <f t="shared" si="2607"/>
        <v>33.872474634916188</v>
      </c>
      <c r="NG127" s="207">
        <f t="shared" si="2607"/>
        <v>33.942246386718516</v>
      </c>
      <c r="NH127" s="207">
        <f t="shared" si="2607"/>
        <v>34.01216185690582</v>
      </c>
      <c r="NI127" s="207">
        <f t="shared" si="2607"/>
        <v>34.082221341514433</v>
      </c>
      <c r="NJ127" s="207">
        <f t="shared" si="2607"/>
        <v>34.152425137190491</v>
      </c>
      <c r="NK127" s="207">
        <f t="shared" si="2607"/>
        <v>34.222773541191167</v>
      </c>
      <c r="NL127" s="207">
        <f t="shared" si="2607"/>
        <v>34.29326685138593</v>
      </c>
      <c r="NM127" s="207">
        <f t="shared" si="2607"/>
        <v>34.363905366257811</v>
      </c>
      <c r="NN127" s="207">
        <f t="shared" si="2607"/>
        <v>34.434689384904672</v>
      </c>
      <c r="NO127" s="207">
        <f t="shared" si="2607"/>
        <v>34.505619207040468</v>
      </c>
      <c r="NP127" s="207">
        <f t="shared" si="2607"/>
        <v>34.576695132996512</v>
      </c>
      <c r="NQ127" s="207">
        <f t="shared" si="2607"/>
        <v>34.647917463722756</v>
      </c>
      <c r="NR127" s="207">
        <f t="shared" si="2607"/>
        <v>34.719286500789053</v>
      </c>
      <c r="NS127" s="207">
        <f t="shared" si="2607"/>
        <v>34.790802546386438</v>
      </c>
      <c r="NT127" s="207">
        <f t="shared" si="2607"/>
        <v>34.86246590332842</v>
      </c>
      <c r="NU127" s="207">
        <f t="shared" si="2607"/>
        <v>34.934276875052255</v>
      </c>
      <c r="NV127" s="207">
        <f t="shared" si="2607"/>
        <v>35.006235765620218</v>
      </c>
      <c r="NW127" s="207">
        <f t="shared" si="2607"/>
        <v>35.078342879720907</v>
      </c>
      <c r="NX127" s="207">
        <f t="shared" si="2607"/>
        <v>35.150598522670535</v>
      </c>
      <c r="NY127" s="207">
        <f t="shared" si="2607"/>
        <v>35.223003000414209</v>
      </c>
      <c r="NZ127" s="207">
        <f t="shared" si="2607"/>
        <v>35.29555661952724</v>
      </c>
      <c r="OA127" s="207">
        <f t="shared" si="2607"/>
        <v>35.36825968721643</v>
      </c>
      <c r="OB127" s="207">
        <f t="shared" si="2607"/>
        <v>35.441112511321371</v>
      </c>
      <c r="OC127" s="207">
        <f t="shared" si="2607"/>
        <v>35.514115400315767</v>
      </c>
      <c r="OD127" s="207">
        <f t="shared" si="2607"/>
        <v>35.58726866330872</v>
      </c>
      <c r="OE127" s="207">
        <f t="shared" si="2607"/>
        <v>35.660572610046039</v>
      </c>
      <c r="OF127" s="207">
        <f t="shared" si="2607"/>
        <v>35.73402755091157</v>
      </c>
      <c r="OG127" s="207">
        <f t="shared" si="2607"/>
        <v>35.807633796928499</v>
      </c>
      <c r="OH127" s="207">
        <f t="shared" si="2607"/>
        <v>35.881391659760659</v>
      </c>
      <c r="OI127" s="207">
        <f t="shared" si="2607"/>
        <v>35.955301451713865</v>
      </c>
      <c r="OJ127" s="207">
        <f t="shared" si="2607"/>
        <v>36.029363485737235</v>
      </c>
      <c r="OK127" s="207">
        <f t="shared" si="2607"/>
        <v>36.103578075424508</v>
      </c>
      <c r="OL127" s="207">
        <f t="shared" si="2607"/>
        <v>36.177945535015368</v>
      </c>
      <c r="OM127" s="207">
        <f t="shared" si="2607"/>
        <v>36.252466179396791</v>
      </c>
      <c r="ON127" s="207">
        <f t="shared" si="2607"/>
        <v>36.327140324104363</v>
      </c>
      <c r="OO127" s="207">
        <f t="shared" si="2607"/>
        <v>36.401968285323619</v>
      </c>
      <c r="OP127" s="207">
        <f t="shared" si="2607"/>
        <v>36.476950379891392</v>
      </c>
      <c r="OQ127" s="207">
        <f t="shared" si="2607"/>
        <v>36.552086925297147</v>
      </c>
      <c r="OR127" s="207">
        <f t="shared" si="2607"/>
        <v>36.627378239684319</v>
      </c>
      <c r="OS127" s="207">
        <f t="shared" si="2607"/>
        <v>36.70282464185167</v>
      </c>
      <c r="OT127" s="207">
        <f t="shared" si="2607"/>
        <v>36.778426451254632</v>
      </c>
      <c r="OU127" s="207">
        <f t="shared" si="2607"/>
        <v>36.854183988006668</v>
      </c>
      <c r="OV127" s="207">
        <f t="shared" si="2607"/>
        <v>36.930097572880619</v>
      </c>
      <c r="OW127" s="207">
        <f t="shared" si="2607"/>
        <v>37.006167527310069</v>
      </c>
      <c r="OX127" s="207">
        <f t="shared" si="2607"/>
        <v>37.082394173390696</v>
      </c>
      <c r="OY127" s="207">
        <f t="shared" si="2607"/>
        <v>37.158777833881651</v>
      </c>
      <c r="OZ127" s="207">
        <f t="shared" si="2607"/>
        <v>37.235318832206907</v>
      </c>
      <c r="PA127" s="207">
        <f t="shared" si="2607"/>
        <v>37.312017492456647</v>
      </c>
      <c r="PB127" s="207">
        <f t="shared" si="2607"/>
        <v>37.388874139388619</v>
      </c>
      <c r="PC127" s="207">
        <f t="shared" si="2607"/>
        <v>37.465889098429514</v>
      </c>
      <c r="PD127" s="207">
        <f t="shared" si="2607"/>
        <v>37.543062695676362</v>
      </c>
      <c r="PE127" s="207">
        <f t="shared" si="2607"/>
        <v>37.620395257897897</v>
      </c>
      <c r="PF127" s="207">
        <f t="shared" si="2607"/>
        <v>37.697887112535938</v>
      </c>
      <c r="PG127" s="207">
        <f t="shared" si="2607"/>
        <v>37.775538587706777</v>
      </c>
      <c r="PH127" s="207">
        <f t="shared" si="2607"/>
        <v>37.853350012202576</v>
      </c>
      <c r="PI127" s="207">
        <f t="shared" si="2607"/>
        <v>37.931321715492764</v>
      </c>
      <c r="PJ127" s="207">
        <f t="shared" si="2607"/>
        <v>38.009454027725411</v>
      </c>
      <c r="PK127" s="207">
        <f t="shared" si="2607"/>
        <v>38.087747279728639</v>
      </c>
      <c r="PL127" s="207">
        <f t="shared" ref="PL127:PO127" si="2608">PK127+IF(PL$124&gt;0,PK127*((1+INDEX($C$106:$H$106,1,MIN(PL$124,6)))^(1/12)-1))</f>
        <v>38.166201803012029</v>
      </c>
      <c r="PM127" s="207">
        <f t="shared" si="2608"/>
        <v>38.244817929768011</v>
      </c>
      <c r="PN127" s="207">
        <f t="shared" si="2608"/>
        <v>38.32359599287328</v>
      </c>
      <c r="PO127" s="207">
        <f t="shared" si="2608"/>
        <v>38.402536325890203</v>
      </c>
      <c r="PQ127" s="201"/>
      <c r="PR127" s="201"/>
      <c r="PS127" s="201"/>
      <c r="PT127" s="201"/>
      <c r="PU127" s="201"/>
      <c r="PV127" s="201"/>
      <c r="PW127" s="201"/>
      <c r="PX127" s="201"/>
      <c r="PY127" s="201"/>
      <c r="PZ127" s="201"/>
      <c r="QA127" s="201"/>
      <c r="QB127" s="201"/>
      <c r="QC127" s="201"/>
      <c r="QD127" s="201"/>
      <c r="QE127" s="201"/>
      <c r="QF127" s="201"/>
      <c r="QG127" s="201"/>
      <c r="QH127" s="201"/>
      <c r="QI127" s="201"/>
      <c r="QJ127" s="201"/>
      <c r="QK127" s="201"/>
      <c r="QL127" s="201"/>
      <c r="QM127" s="201"/>
      <c r="QN127" s="201"/>
      <c r="QO127" s="201"/>
      <c r="QP127" s="201"/>
      <c r="QQ127" s="201"/>
      <c r="QR127" s="201"/>
      <c r="QS127" s="201"/>
      <c r="QT127" s="201"/>
      <c r="QU127" s="201"/>
      <c r="QV127" s="201"/>
      <c r="QW127" s="201"/>
      <c r="QX127" s="201"/>
      <c r="QY127" s="201"/>
      <c r="QZ127" s="201"/>
      <c r="RA127" s="201"/>
      <c r="RB127" s="201"/>
      <c r="RC127" s="201"/>
      <c r="RD127" s="201"/>
      <c r="RE127" s="201"/>
      <c r="RF127" s="201"/>
      <c r="RG127" s="201"/>
      <c r="RH127" s="201"/>
      <c r="RI127" s="201"/>
      <c r="RJ127" s="201"/>
      <c r="RK127" s="201"/>
      <c r="RL127" s="201"/>
      <c r="RM127" s="201"/>
      <c r="RN127" s="201"/>
      <c r="RO127" s="201"/>
      <c r="RP127" s="201"/>
      <c r="RQ127" s="201"/>
      <c r="RR127" s="201"/>
      <c r="RS127" s="201"/>
      <c r="RT127" s="201"/>
      <c r="RU127" s="201"/>
      <c r="RV127" s="201"/>
      <c r="RW127" s="201"/>
      <c r="RX127" s="201"/>
      <c r="RY127" s="201"/>
      <c r="RZ127" s="201"/>
      <c r="SA127" s="201"/>
      <c r="SB127" s="201"/>
      <c r="SC127" s="201"/>
      <c r="SD127" s="201"/>
      <c r="SE127" s="201"/>
      <c r="SF127" s="201"/>
      <c r="SG127" s="201"/>
      <c r="SH127" s="201"/>
      <c r="SI127" s="201"/>
      <c r="SJ127" s="201"/>
      <c r="SK127" s="201"/>
      <c r="SL127" s="201"/>
      <c r="SM127" s="201"/>
      <c r="SN127" s="201"/>
      <c r="SO127" s="201"/>
      <c r="SP127" s="201"/>
      <c r="SQ127" s="201"/>
      <c r="SR127" s="201"/>
      <c r="SS127" s="201"/>
      <c r="ST127" s="201"/>
      <c r="SU127" s="201"/>
      <c r="SV127" s="201"/>
      <c r="SW127" s="201"/>
      <c r="SX127" s="201"/>
      <c r="SY127" s="201"/>
      <c r="SZ127" s="201"/>
      <c r="TA127" s="201"/>
      <c r="TB127" s="201"/>
      <c r="TC127" s="201"/>
      <c r="TD127" s="201"/>
      <c r="TE127" s="201"/>
      <c r="TF127" s="201"/>
      <c r="TG127" s="201"/>
      <c r="TH127" s="201"/>
      <c r="TI127" s="201"/>
      <c r="TJ127" s="201"/>
      <c r="TK127" s="201"/>
      <c r="TL127" s="201"/>
      <c r="TM127" s="201"/>
      <c r="TN127" s="201"/>
      <c r="TO127" s="201"/>
      <c r="TP127" s="201"/>
      <c r="TQ127" s="201"/>
      <c r="TR127" s="201"/>
      <c r="TS127" s="201"/>
      <c r="TT127" s="201"/>
      <c r="TU127" s="201"/>
      <c r="TV127" s="201"/>
      <c r="TW127" s="201"/>
      <c r="TX127" s="201"/>
      <c r="TY127" s="201"/>
      <c r="TZ127" s="201"/>
      <c r="UA127" s="201"/>
      <c r="UB127" s="201"/>
      <c r="UC127" s="201"/>
      <c r="UD127" s="201"/>
      <c r="UE127" s="201"/>
      <c r="UF127" s="201"/>
      <c r="UG127" s="201"/>
      <c r="UH127" s="201"/>
      <c r="UI127" s="201"/>
      <c r="UJ127" s="201"/>
      <c r="UK127" s="201"/>
      <c r="UL127" s="201"/>
      <c r="UM127" s="201"/>
      <c r="UN127" s="201"/>
      <c r="UO127" s="201"/>
      <c r="UP127" s="201"/>
      <c r="UQ127" s="201"/>
      <c r="UR127" s="201"/>
      <c r="US127" s="201"/>
      <c r="UT127" s="201"/>
      <c r="UU127" s="201"/>
    </row>
    <row r="128" spans="2:567" x14ac:dyDescent="0.25">
      <c r="B128" s="31" t="s">
        <v>136</v>
      </c>
      <c r="C128" s="26"/>
      <c r="D128" s="26"/>
      <c r="E128" s="56"/>
      <c r="F128" s="131" t="str">
        <f>Unit_Type_Plural&amp;"/Month"</f>
        <v>Units/Month</v>
      </c>
      <c r="G128" s="584">
        <v>0</v>
      </c>
      <c r="H128" s="131" t="str">
        <f>Unit_Type_Plural&amp;"/Month"</f>
        <v>Units/Month</v>
      </c>
      <c r="I128" s="584">
        <v>10</v>
      </c>
      <c r="J128" s="149">
        <f t="shared" ref="J128:J129" si="2609">((1-$E$120)*G128+$E$120*I128)*$C$120*12</f>
        <v>0</v>
      </c>
      <c r="K128" s="149">
        <f t="shared" si="2602"/>
        <v>36000</v>
      </c>
      <c r="M128" s="460" t="s">
        <v>845</v>
      </c>
      <c r="T128" s="92">
        <f t="shared" si="2578"/>
        <v>124.99999999999999</v>
      </c>
      <c r="U128" s="92">
        <f t="shared" si="2578"/>
        <v>249.99999999999997</v>
      </c>
      <c r="V128" s="92">
        <f t="shared" si="2578"/>
        <v>375</v>
      </c>
      <c r="W128" s="92">
        <f t="shared" si="2578"/>
        <v>499.99999999999994</v>
      </c>
      <c r="X128" s="92">
        <f t="shared" si="2578"/>
        <v>625</v>
      </c>
      <c r="Y128" s="92">
        <f t="shared" si="2578"/>
        <v>750</v>
      </c>
      <c r="Z128" s="92">
        <f t="shared" si="2578"/>
        <v>875.00000000000011</v>
      </c>
      <c r="AA128" s="92">
        <f t="shared" si="2578"/>
        <v>999.99999999999989</v>
      </c>
      <c r="AB128" s="92">
        <f t="shared" si="2578"/>
        <v>1125</v>
      </c>
      <c r="AC128" s="92">
        <f t="shared" si="2578"/>
        <v>1250</v>
      </c>
      <c r="AD128" s="92">
        <f t="shared" si="2579"/>
        <v>1375</v>
      </c>
      <c r="AE128" s="92">
        <f t="shared" si="2579"/>
        <v>1500</v>
      </c>
      <c r="AF128" s="92">
        <f t="shared" si="2579"/>
        <v>1628.3472339384941</v>
      </c>
      <c r="AG128" s="92">
        <f t="shared" si="2579"/>
        <v>1757.2168520640023</v>
      </c>
      <c r="AH128" s="92">
        <f t="shared" si="2579"/>
        <v>1886.6104618605671</v>
      </c>
      <c r="AI128" s="92">
        <f t="shared" si="2579"/>
        <v>2016.5296752181034</v>
      </c>
      <c r="AJ128" s="92">
        <f t="shared" si="2579"/>
        <v>2146.9761084437278</v>
      </c>
      <c r="AK128" s="92">
        <f t="shared" si="2579"/>
        <v>2277.9513822731146</v>
      </c>
      <c r="AL128" s="92">
        <f t="shared" si="2579"/>
        <v>2409.4571218818846</v>
      </c>
      <c r="AM128" s="92">
        <f t="shared" si="2579"/>
        <v>2541.4949568970192</v>
      </c>
      <c r="AN128" s="92">
        <f t="shared" si="2580"/>
        <v>2674.066521408301</v>
      </c>
      <c r="AO128" s="92">
        <f t="shared" si="2580"/>
        <v>2807.1734539797872</v>
      </c>
      <c r="AP128" s="92">
        <f t="shared" si="2580"/>
        <v>2940.8173976613084</v>
      </c>
      <c r="AQ128" s="92">
        <f t="shared" si="2580"/>
        <v>3074.9999999999959</v>
      </c>
      <c r="AR128" s="92">
        <f t="shared" si="2580"/>
        <v>3081.3339965297623</v>
      </c>
      <c r="AS128" s="92">
        <f t="shared" si="2580"/>
        <v>3087.6810400553136</v>
      </c>
      <c r="AT128" s="92">
        <f t="shared" si="2580"/>
        <v>3094.0411574513259</v>
      </c>
      <c r="AU128" s="92">
        <f t="shared" si="2580"/>
        <v>3100.4143756478302</v>
      </c>
      <c r="AV128" s="92">
        <f t="shared" si="2580"/>
        <v>3106.8007216303313</v>
      </c>
      <c r="AW128" s="92">
        <f t="shared" si="2580"/>
        <v>3113.2002224399189</v>
      </c>
      <c r="AX128" s="92">
        <f t="shared" si="2581"/>
        <v>3119.6129051733833</v>
      </c>
      <c r="AY128" s="92">
        <f t="shared" si="2581"/>
        <v>3126.0387969833291</v>
      </c>
      <c r="AZ128" s="92">
        <f t="shared" si="2581"/>
        <v>3132.4779250782908</v>
      </c>
      <c r="BA128" s="92">
        <f t="shared" si="2581"/>
        <v>3138.9303167228486</v>
      </c>
      <c r="BB128" s="92">
        <f t="shared" si="2581"/>
        <v>3145.3959992377431</v>
      </c>
      <c r="BC128" s="92">
        <f t="shared" si="2581"/>
        <v>3151.8749999999914</v>
      </c>
      <c r="BD128" s="92">
        <f t="shared" si="2581"/>
        <v>3158.3673464430021</v>
      </c>
      <c r="BE128" s="92">
        <f t="shared" si="2581"/>
        <v>3164.8730660566926</v>
      </c>
      <c r="BF128" s="92">
        <f t="shared" si="2581"/>
        <v>3171.3921863876044</v>
      </c>
      <c r="BG128" s="92">
        <f t="shared" si="2581"/>
        <v>3177.9247350390219</v>
      </c>
      <c r="BH128" s="92">
        <f t="shared" si="2582"/>
        <v>3184.4707396710855</v>
      </c>
      <c r="BI128" s="92">
        <f t="shared" si="2582"/>
        <v>3191.0302280009132</v>
      </c>
      <c r="BJ128" s="92">
        <f t="shared" si="2582"/>
        <v>3197.6032278027137</v>
      </c>
      <c r="BK128" s="92">
        <f t="shared" si="2582"/>
        <v>3204.1897669079081</v>
      </c>
      <c r="BL128" s="92">
        <f t="shared" si="2582"/>
        <v>3210.789873205244</v>
      </c>
      <c r="BM128" s="92">
        <f t="shared" si="2582"/>
        <v>3217.4035746409158</v>
      </c>
      <c r="BN128" s="92">
        <f t="shared" si="2582"/>
        <v>3224.0308992186829</v>
      </c>
      <c r="BO128" s="92">
        <f t="shared" si="2582"/>
        <v>3230.6718749999868</v>
      </c>
      <c r="BP128" s="92">
        <f t="shared" si="2582"/>
        <v>3237.3265301040728</v>
      </c>
      <c r="BQ128" s="92">
        <f t="shared" si="2582"/>
        <v>3243.9948927081055</v>
      </c>
      <c r="BR128" s="92">
        <f t="shared" si="2583"/>
        <v>3250.6769910472899</v>
      </c>
      <c r="BS128" s="92">
        <f t="shared" si="2583"/>
        <v>3257.3728534149927</v>
      </c>
      <c r="BT128" s="92">
        <f t="shared" si="2583"/>
        <v>3264.0825081628577</v>
      </c>
      <c r="BU128" s="92">
        <f t="shared" si="2583"/>
        <v>3270.8059837009309</v>
      </c>
      <c r="BV128" s="92">
        <f t="shared" si="2583"/>
        <v>3277.5433084977772</v>
      </c>
      <c r="BW128" s="92">
        <f t="shared" si="2583"/>
        <v>3284.2945110806008</v>
      </c>
      <c r="BX128" s="92">
        <f t="shared" si="2583"/>
        <v>3291.0596200353702</v>
      </c>
      <c r="BY128" s="92">
        <f t="shared" si="2583"/>
        <v>3297.8386640069339</v>
      </c>
      <c r="BZ128" s="92">
        <f t="shared" si="2583"/>
        <v>3304.6316716991446</v>
      </c>
      <c r="CA128" s="92">
        <f t="shared" si="2583"/>
        <v>3311.438671874982</v>
      </c>
      <c r="CB128" s="92">
        <f t="shared" si="2584"/>
        <v>3318.2596933566697</v>
      </c>
      <c r="CC128" s="92">
        <f t="shared" si="2584"/>
        <v>3325.0947650258031</v>
      </c>
      <c r="CD128" s="92">
        <f t="shared" si="2584"/>
        <v>3331.9439158234673</v>
      </c>
      <c r="CE128" s="92">
        <f t="shared" si="2584"/>
        <v>3338.8071747503623</v>
      </c>
      <c r="CF128" s="92">
        <f t="shared" si="2584"/>
        <v>3345.6845708669243</v>
      </c>
      <c r="CG128" s="92">
        <f t="shared" si="2584"/>
        <v>3352.5761332934489</v>
      </c>
      <c r="CH128" s="92">
        <f t="shared" si="2584"/>
        <v>3359.481891210216</v>
      </c>
      <c r="CI128" s="92">
        <f t="shared" si="2584"/>
        <v>3366.4018738576106</v>
      </c>
      <c r="CJ128" s="92">
        <f t="shared" si="2584"/>
        <v>3373.3361105362492</v>
      </c>
      <c r="CK128" s="92">
        <f t="shared" si="2584"/>
        <v>3380.2846306071019</v>
      </c>
      <c r="CL128" s="92">
        <f t="shared" si="2585"/>
        <v>3387.2474634916184</v>
      </c>
      <c r="CM128" s="92">
        <f t="shared" si="2585"/>
        <v>3394.2246386718516</v>
      </c>
      <c r="CN128" s="92">
        <f t="shared" si="2585"/>
        <v>3401.2161856905818</v>
      </c>
      <c r="CO128" s="92">
        <f t="shared" si="2585"/>
        <v>3408.2221341514437</v>
      </c>
      <c r="CP128" s="92">
        <f t="shared" si="2585"/>
        <v>3415.2425137190494</v>
      </c>
      <c r="CQ128" s="92">
        <f t="shared" si="2585"/>
        <v>3422.2773541191168</v>
      </c>
      <c r="CR128" s="92">
        <f t="shared" si="2585"/>
        <v>3429.3266851385924</v>
      </c>
      <c r="CS128" s="92">
        <f t="shared" si="2585"/>
        <v>3436.3905366257809</v>
      </c>
      <c r="CT128" s="92">
        <f t="shared" si="2585"/>
        <v>3443.4689384904668</v>
      </c>
      <c r="CU128" s="92">
        <f t="shared" si="2585"/>
        <v>3450.5619207040463</v>
      </c>
      <c r="CV128" s="92">
        <f t="shared" si="2586"/>
        <v>3457.669513299651</v>
      </c>
      <c r="CW128" s="92">
        <f t="shared" si="2586"/>
        <v>3464.7917463722752</v>
      </c>
      <c r="CX128" s="92">
        <f t="shared" si="2586"/>
        <v>3471.9286500789044</v>
      </c>
      <c r="CY128" s="92">
        <f t="shared" si="2586"/>
        <v>3479.0802546386431</v>
      </c>
      <c r="CZ128" s="92">
        <f t="shared" si="2586"/>
        <v>3486.2465903328421</v>
      </c>
      <c r="DA128" s="92">
        <f t="shared" si="2586"/>
        <v>3493.4276875052246</v>
      </c>
      <c r="DB128" s="92">
        <f t="shared" si="2586"/>
        <v>3500.6235765620213</v>
      </c>
      <c r="DC128" s="92">
        <f t="shared" si="2586"/>
        <v>3507.8342879720904</v>
      </c>
      <c r="DD128" s="92">
        <f t="shared" si="2586"/>
        <v>3515.059852267053</v>
      </c>
      <c r="DE128" s="92">
        <f t="shared" si="2586"/>
        <v>3522.300300041421</v>
      </c>
      <c r="DF128" s="92">
        <f t="shared" si="2587"/>
        <v>3529.5556619527238</v>
      </c>
      <c r="DG128" s="92">
        <f t="shared" si="2587"/>
        <v>3536.8259687216428</v>
      </c>
      <c r="DH128" s="92">
        <f t="shared" si="2587"/>
        <v>3544.1112511321371</v>
      </c>
      <c r="DI128" s="92">
        <f t="shared" si="2587"/>
        <v>3551.4115400315768</v>
      </c>
      <c r="DJ128" s="92">
        <f t="shared" si="2587"/>
        <v>3558.7268663308723</v>
      </c>
      <c r="DK128" s="92">
        <f t="shared" si="2587"/>
        <v>3566.0572610046042</v>
      </c>
      <c r="DL128" s="92">
        <f t="shared" si="2587"/>
        <v>3573.4027550911574</v>
      </c>
      <c r="DM128" s="92">
        <f t="shared" si="2587"/>
        <v>3580.7633796928503</v>
      </c>
      <c r="DN128" s="92">
        <f t="shared" si="2587"/>
        <v>3588.1391659760661</v>
      </c>
      <c r="DO128" s="92">
        <f t="shared" si="2587"/>
        <v>3595.5301451713867</v>
      </c>
      <c r="DP128" s="92">
        <f t="shared" si="2588"/>
        <v>3602.9363485737235</v>
      </c>
      <c r="DQ128" s="92">
        <f t="shared" si="2588"/>
        <v>3610.3578075424502</v>
      </c>
      <c r="DR128" s="92">
        <f t="shared" si="2588"/>
        <v>3617.794553501536</v>
      </c>
      <c r="DS128" s="92">
        <f t="shared" si="2588"/>
        <v>3625.2466179396779</v>
      </c>
      <c r="DT128" s="92">
        <f t="shared" si="2588"/>
        <v>3632.7140324104348</v>
      </c>
      <c r="DU128" s="92">
        <f t="shared" si="2588"/>
        <v>3640.1968285323601</v>
      </c>
      <c r="DV128" s="92">
        <f t="shared" si="2588"/>
        <v>3647.6950379891377</v>
      </c>
      <c r="DW128" s="92">
        <f t="shared" si="2588"/>
        <v>3655.2086925297135</v>
      </c>
      <c r="DX128" s="92">
        <f t="shared" si="2588"/>
        <v>3662.7378239684308</v>
      </c>
      <c r="DY128" s="92">
        <f t="shared" si="2588"/>
        <v>3670.2824641851657</v>
      </c>
      <c r="DZ128" s="92">
        <f t="shared" si="2589"/>
        <v>3677.8426451254622</v>
      </c>
      <c r="EA128" s="92">
        <f t="shared" si="2589"/>
        <v>3685.4183988006657</v>
      </c>
      <c r="EB128" s="92">
        <f t="shared" si="2589"/>
        <v>3693.0097572880613</v>
      </c>
      <c r="EC128" s="92">
        <f t="shared" si="2589"/>
        <v>3700.6167527310067</v>
      </c>
      <c r="ED128" s="92">
        <f t="shared" si="2589"/>
        <v>3708.2394173390694</v>
      </c>
      <c r="EE128" s="92">
        <f t="shared" si="2589"/>
        <v>3715.8777833881654</v>
      </c>
      <c r="EF128" s="92">
        <f t="shared" si="2589"/>
        <v>3723.5318832206913</v>
      </c>
      <c r="EG128" s="92">
        <f t="shared" si="2589"/>
        <v>3731.2017492456653</v>
      </c>
      <c r="EH128" s="92">
        <f t="shared" si="2589"/>
        <v>3738.8874139388618</v>
      </c>
      <c r="EI128" s="92">
        <f t="shared" si="2589"/>
        <v>3746.588909842952</v>
      </c>
      <c r="EJ128" s="92">
        <f t="shared" si="2590"/>
        <v>3754.3062695676372</v>
      </c>
      <c r="EK128" s="92">
        <f t="shared" si="2590"/>
        <v>3762.0395257897908</v>
      </c>
      <c r="EL128" s="92">
        <f t="shared" si="2590"/>
        <v>3769.788711253595</v>
      </c>
      <c r="EM128" s="92">
        <f t="shared" si="2590"/>
        <v>3777.5538587706787</v>
      </c>
      <c r="EN128" s="92">
        <f t="shared" si="2590"/>
        <v>3785.3350012202586</v>
      </c>
      <c r="EO128" s="92">
        <f t="shared" si="2590"/>
        <v>3793.1321715492772</v>
      </c>
      <c r="EP128" s="92">
        <f t="shared" si="2590"/>
        <v>3800.9454027725419</v>
      </c>
      <c r="EQ128" s="92">
        <f t="shared" si="2590"/>
        <v>3808.7747279728651</v>
      </c>
      <c r="ER128" s="92">
        <f t="shared" si="2590"/>
        <v>3816.6201803012036</v>
      </c>
      <c r="ES128" s="92">
        <f t="shared" si="2590"/>
        <v>3824.4817929768019</v>
      </c>
      <c r="ET128" s="92">
        <f t="shared" si="2591"/>
        <v>3832.3595992873288</v>
      </c>
      <c r="EU128" s="92">
        <f t="shared" si="2591"/>
        <v>3840.2536325890205</v>
      </c>
      <c r="EW128" s="199" t="str">
        <f t="shared" si="2592"/>
        <v>Parking Income</v>
      </c>
      <c r="EX128" s="201"/>
      <c r="EY128" s="221"/>
      <c r="EZ128" s="221"/>
      <c r="FA128" s="221"/>
      <c r="FB128" s="221"/>
      <c r="FC128" s="207">
        <f t="shared" si="2593"/>
        <v>0</v>
      </c>
      <c r="FD128" s="207">
        <f t="shared" ref="FD128:HO128" si="2610">FC128+IF(FD$124&gt;0,FC128*((1+INDEX($C$106:$H$106,1,MIN(FD$124,6)))^(1/12)-1))</f>
        <v>0</v>
      </c>
      <c r="FE128" s="207">
        <f t="shared" si="2610"/>
        <v>0</v>
      </c>
      <c r="FF128" s="207">
        <f t="shared" si="2610"/>
        <v>0</v>
      </c>
      <c r="FG128" s="207">
        <f t="shared" si="2610"/>
        <v>0</v>
      </c>
      <c r="FH128" s="207">
        <f t="shared" si="2610"/>
        <v>0</v>
      </c>
      <c r="FI128" s="207">
        <f t="shared" si="2610"/>
        <v>0</v>
      </c>
      <c r="FJ128" s="207">
        <f t="shared" si="2610"/>
        <v>0</v>
      </c>
      <c r="FK128" s="207">
        <f t="shared" si="2610"/>
        <v>0</v>
      </c>
      <c r="FL128" s="207">
        <f t="shared" si="2610"/>
        <v>0</v>
      </c>
      <c r="FM128" s="207">
        <f t="shared" si="2610"/>
        <v>0</v>
      </c>
      <c r="FN128" s="207">
        <f t="shared" si="2610"/>
        <v>0</v>
      </c>
      <c r="FO128" s="207">
        <f t="shared" si="2610"/>
        <v>0</v>
      </c>
      <c r="FP128" s="207">
        <f t="shared" si="2610"/>
        <v>0</v>
      </c>
      <c r="FQ128" s="207">
        <f t="shared" si="2610"/>
        <v>0</v>
      </c>
      <c r="FR128" s="207">
        <f t="shared" si="2610"/>
        <v>0</v>
      </c>
      <c r="FS128" s="207">
        <f t="shared" si="2610"/>
        <v>0</v>
      </c>
      <c r="FT128" s="207">
        <f t="shared" si="2610"/>
        <v>0</v>
      </c>
      <c r="FU128" s="207">
        <f t="shared" si="2610"/>
        <v>0</v>
      </c>
      <c r="FV128" s="207">
        <f t="shared" si="2610"/>
        <v>0</v>
      </c>
      <c r="FW128" s="207">
        <f t="shared" si="2610"/>
        <v>0</v>
      </c>
      <c r="FX128" s="207">
        <f t="shared" si="2610"/>
        <v>0</v>
      </c>
      <c r="FY128" s="207">
        <f t="shared" si="2610"/>
        <v>0</v>
      </c>
      <c r="FZ128" s="207">
        <f t="shared" si="2610"/>
        <v>0</v>
      </c>
      <c r="GA128" s="207">
        <f t="shared" si="2610"/>
        <v>0</v>
      </c>
      <c r="GB128" s="207">
        <f t="shared" si="2610"/>
        <v>0</v>
      </c>
      <c r="GC128" s="207">
        <f t="shared" si="2610"/>
        <v>0</v>
      </c>
      <c r="GD128" s="207">
        <f t="shared" si="2610"/>
        <v>0</v>
      </c>
      <c r="GE128" s="207">
        <f t="shared" si="2610"/>
        <v>0</v>
      </c>
      <c r="GF128" s="207">
        <f t="shared" si="2610"/>
        <v>0</v>
      </c>
      <c r="GG128" s="207">
        <f t="shared" si="2610"/>
        <v>0</v>
      </c>
      <c r="GH128" s="207">
        <f t="shared" si="2610"/>
        <v>0</v>
      </c>
      <c r="GI128" s="207">
        <f t="shared" si="2610"/>
        <v>0</v>
      </c>
      <c r="GJ128" s="207">
        <f t="shared" si="2610"/>
        <v>0</v>
      </c>
      <c r="GK128" s="207">
        <f t="shared" si="2610"/>
        <v>0</v>
      </c>
      <c r="GL128" s="207">
        <f t="shared" si="2610"/>
        <v>0</v>
      </c>
      <c r="GM128" s="207">
        <f t="shared" si="2610"/>
        <v>0</v>
      </c>
      <c r="GN128" s="207">
        <f t="shared" si="2610"/>
        <v>0</v>
      </c>
      <c r="GO128" s="207">
        <f t="shared" si="2610"/>
        <v>0</v>
      </c>
      <c r="GP128" s="207">
        <f t="shared" si="2610"/>
        <v>0</v>
      </c>
      <c r="GQ128" s="207">
        <f t="shared" si="2610"/>
        <v>0</v>
      </c>
      <c r="GR128" s="207">
        <f t="shared" si="2610"/>
        <v>0</v>
      </c>
      <c r="GS128" s="207">
        <f t="shared" si="2610"/>
        <v>0</v>
      </c>
      <c r="GT128" s="207">
        <f t="shared" si="2610"/>
        <v>0</v>
      </c>
      <c r="GU128" s="207">
        <f t="shared" si="2610"/>
        <v>0</v>
      </c>
      <c r="GV128" s="207">
        <f t="shared" si="2610"/>
        <v>0</v>
      </c>
      <c r="GW128" s="207">
        <f t="shared" si="2610"/>
        <v>0</v>
      </c>
      <c r="GX128" s="207">
        <f t="shared" si="2610"/>
        <v>0</v>
      </c>
      <c r="GY128" s="207">
        <f t="shared" si="2610"/>
        <v>0</v>
      </c>
      <c r="GZ128" s="207">
        <f t="shared" si="2610"/>
        <v>0</v>
      </c>
      <c r="HA128" s="207">
        <f t="shared" si="2610"/>
        <v>0</v>
      </c>
      <c r="HB128" s="207">
        <f t="shared" si="2610"/>
        <v>0</v>
      </c>
      <c r="HC128" s="207">
        <f t="shared" si="2610"/>
        <v>0</v>
      </c>
      <c r="HD128" s="207">
        <f t="shared" si="2610"/>
        <v>0</v>
      </c>
      <c r="HE128" s="207">
        <f t="shared" si="2610"/>
        <v>0</v>
      </c>
      <c r="HF128" s="207">
        <f t="shared" si="2610"/>
        <v>0</v>
      </c>
      <c r="HG128" s="207">
        <f t="shared" si="2610"/>
        <v>0</v>
      </c>
      <c r="HH128" s="207">
        <f t="shared" si="2610"/>
        <v>0</v>
      </c>
      <c r="HI128" s="207">
        <f t="shared" si="2610"/>
        <v>0</v>
      </c>
      <c r="HJ128" s="207">
        <f t="shared" si="2610"/>
        <v>0</v>
      </c>
      <c r="HK128" s="207">
        <f t="shared" si="2610"/>
        <v>0</v>
      </c>
      <c r="HL128" s="207">
        <f t="shared" si="2610"/>
        <v>0</v>
      </c>
      <c r="HM128" s="207">
        <f t="shared" si="2610"/>
        <v>0</v>
      </c>
      <c r="HN128" s="207">
        <f t="shared" si="2610"/>
        <v>0</v>
      </c>
      <c r="HO128" s="207">
        <f t="shared" si="2610"/>
        <v>0</v>
      </c>
      <c r="HP128" s="207">
        <f t="shared" ref="HP128:KA128" si="2611">HO128+IF(HP$124&gt;0,HO128*((1+INDEX($C$106:$H$106,1,MIN(HP$124,6)))^(1/12)-1))</f>
        <v>0</v>
      </c>
      <c r="HQ128" s="207">
        <f t="shared" si="2611"/>
        <v>0</v>
      </c>
      <c r="HR128" s="207">
        <f t="shared" si="2611"/>
        <v>0</v>
      </c>
      <c r="HS128" s="207">
        <f t="shared" si="2611"/>
        <v>0</v>
      </c>
      <c r="HT128" s="207">
        <f t="shared" si="2611"/>
        <v>0</v>
      </c>
      <c r="HU128" s="207">
        <f t="shared" si="2611"/>
        <v>0</v>
      </c>
      <c r="HV128" s="207">
        <f t="shared" si="2611"/>
        <v>0</v>
      </c>
      <c r="HW128" s="207">
        <f t="shared" si="2611"/>
        <v>0</v>
      </c>
      <c r="HX128" s="207">
        <f t="shared" si="2611"/>
        <v>0</v>
      </c>
      <c r="HY128" s="207">
        <f t="shared" si="2611"/>
        <v>0</v>
      </c>
      <c r="HZ128" s="207">
        <f t="shared" si="2611"/>
        <v>0</v>
      </c>
      <c r="IA128" s="207">
        <f t="shared" si="2611"/>
        <v>0</v>
      </c>
      <c r="IB128" s="207">
        <f t="shared" si="2611"/>
        <v>0</v>
      </c>
      <c r="IC128" s="207">
        <f t="shared" si="2611"/>
        <v>0</v>
      </c>
      <c r="ID128" s="207">
        <f t="shared" si="2611"/>
        <v>0</v>
      </c>
      <c r="IE128" s="207">
        <f t="shared" si="2611"/>
        <v>0</v>
      </c>
      <c r="IF128" s="207">
        <f t="shared" si="2611"/>
        <v>0</v>
      </c>
      <c r="IG128" s="207">
        <f t="shared" si="2611"/>
        <v>0</v>
      </c>
      <c r="IH128" s="207">
        <f t="shared" si="2611"/>
        <v>0</v>
      </c>
      <c r="II128" s="207">
        <f t="shared" si="2611"/>
        <v>0</v>
      </c>
      <c r="IJ128" s="207">
        <f t="shared" si="2611"/>
        <v>0</v>
      </c>
      <c r="IK128" s="207">
        <f t="shared" si="2611"/>
        <v>0</v>
      </c>
      <c r="IL128" s="207">
        <f t="shared" si="2611"/>
        <v>0</v>
      </c>
      <c r="IM128" s="207">
        <f t="shared" si="2611"/>
        <v>0</v>
      </c>
      <c r="IN128" s="207">
        <f t="shared" si="2611"/>
        <v>0</v>
      </c>
      <c r="IO128" s="207">
        <f t="shared" si="2611"/>
        <v>0</v>
      </c>
      <c r="IP128" s="207">
        <f t="shared" si="2611"/>
        <v>0</v>
      </c>
      <c r="IQ128" s="207">
        <f t="shared" si="2611"/>
        <v>0</v>
      </c>
      <c r="IR128" s="207">
        <f t="shared" si="2611"/>
        <v>0</v>
      </c>
      <c r="IS128" s="207">
        <f t="shared" si="2611"/>
        <v>0</v>
      </c>
      <c r="IT128" s="207">
        <f t="shared" si="2611"/>
        <v>0</v>
      </c>
      <c r="IU128" s="207">
        <f t="shared" si="2611"/>
        <v>0</v>
      </c>
      <c r="IV128" s="207">
        <f t="shared" si="2611"/>
        <v>0</v>
      </c>
      <c r="IW128" s="207">
        <f t="shared" si="2611"/>
        <v>0</v>
      </c>
      <c r="IX128" s="207">
        <f t="shared" si="2611"/>
        <v>0</v>
      </c>
      <c r="IY128" s="207">
        <f t="shared" si="2611"/>
        <v>0</v>
      </c>
      <c r="IZ128" s="207">
        <f t="shared" si="2611"/>
        <v>0</v>
      </c>
      <c r="JA128" s="207">
        <f t="shared" si="2611"/>
        <v>0</v>
      </c>
      <c r="JB128" s="207">
        <f t="shared" si="2611"/>
        <v>0</v>
      </c>
      <c r="JC128" s="207">
        <f t="shared" si="2611"/>
        <v>0</v>
      </c>
      <c r="JD128" s="207">
        <f t="shared" si="2611"/>
        <v>0</v>
      </c>
      <c r="JE128" s="207">
        <f t="shared" si="2611"/>
        <v>0</v>
      </c>
      <c r="JF128" s="207">
        <f t="shared" si="2611"/>
        <v>0</v>
      </c>
      <c r="JG128" s="207">
        <f t="shared" si="2611"/>
        <v>0</v>
      </c>
      <c r="JH128" s="207">
        <f t="shared" si="2611"/>
        <v>0</v>
      </c>
      <c r="JI128" s="207">
        <f t="shared" si="2611"/>
        <v>0</v>
      </c>
      <c r="JJ128" s="207">
        <f t="shared" si="2611"/>
        <v>0</v>
      </c>
      <c r="JK128" s="207">
        <f t="shared" si="2611"/>
        <v>0</v>
      </c>
      <c r="JL128" s="207">
        <f t="shared" si="2611"/>
        <v>0</v>
      </c>
      <c r="JM128" s="207">
        <f t="shared" si="2611"/>
        <v>0</v>
      </c>
      <c r="JN128" s="207">
        <f t="shared" si="2611"/>
        <v>0</v>
      </c>
      <c r="JO128" s="207">
        <f t="shared" si="2611"/>
        <v>0</v>
      </c>
      <c r="JP128" s="207">
        <f t="shared" si="2611"/>
        <v>0</v>
      </c>
      <c r="JQ128" s="207">
        <f t="shared" si="2611"/>
        <v>0</v>
      </c>
      <c r="JR128" s="207">
        <f t="shared" si="2611"/>
        <v>0</v>
      </c>
      <c r="JS128" s="207">
        <f t="shared" si="2611"/>
        <v>0</v>
      </c>
      <c r="JT128" s="207">
        <f t="shared" si="2611"/>
        <v>0</v>
      </c>
      <c r="JU128" s="207">
        <f t="shared" si="2611"/>
        <v>0</v>
      </c>
      <c r="JV128" s="207">
        <f t="shared" si="2611"/>
        <v>0</v>
      </c>
      <c r="JW128" s="207">
        <f t="shared" si="2611"/>
        <v>0</v>
      </c>
      <c r="JX128" s="207">
        <f t="shared" si="2611"/>
        <v>0</v>
      </c>
      <c r="JY128" s="207">
        <f t="shared" si="2611"/>
        <v>0</v>
      </c>
      <c r="JZ128" s="207">
        <f t="shared" si="2611"/>
        <v>0</v>
      </c>
      <c r="KA128" s="207">
        <f t="shared" si="2611"/>
        <v>0</v>
      </c>
      <c r="KB128" s="207">
        <f t="shared" ref="KB128:KE128" si="2612">KA128+IF(KB$124&gt;0,KA128*((1+INDEX($C$106:$H$106,1,MIN(KB$124,6)))^(1/12)-1))</f>
        <v>0</v>
      </c>
      <c r="KC128" s="207">
        <f t="shared" si="2612"/>
        <v>0</v>
      </c>
      <c r="KD128" s="207">
        <f t="shared" si="2612"/>
        <v>0</v>
      </c>
      <c r="KE128" s="207">
        <f t="shared" si="2612"/>
        <v>0</v>
      </c>
      <c r="KG128" s="199" t="str">
        <f t="shared" si="2597"/>
        <v>Parking Income</v>
      </c>
      <c r="KH128" s="201"/>
      <c r="KI128" s="221"/>
      <c r="KJ128" s="221"/>
      <c r="KK128" s="221"/>
      <c r="KL128" s="221"/>
      <c r="KM128" s="207">
        <f t="shared" si="2598"/>
        <v>10</v>
      </c>
      <c r="KN128" s="207">
        <f t="shared" ref="KN128:MY128" si="2613">KM128+IF(KN$124&gt;0,KM128*((1+INDEX($C$106:$H$106,1,MIN(KN$124,6)))^(1/12)-1))</f>
        <v>10</v>
      </c>
      <c r="KO128" s="207">
        <f t="shared" si="2613"/>
        <v>10</v>
      </c>
      <c r="KP128" s="207">
        <f t="shared" si="2613"/>
        <v>10</v>
      </c>
      <c r="KQ128" s="207">
        <f t="shared" si="2613"/>
        <v>10</v>
      </c>
      <c r="KR128" s="207">
        <f t="shared" si="2613"/>
        <v>10</v>
      </c>
      <c r="KS128" s="207">
        <f t="shared" si="2613"/>
        <v>10</v>
      </c>
      <c r="KT128" s="207">
        <f t="shared" si="2613"/>
        <v>10</v>
      </c>
      <c r="KU128" s="207">
        <f t="shared" si="2613"/>
        <v>10</v>
      </c>
      <c r="KV128" s="207">
        <f t="shared" si="2613"/>
        <v>10</v>
      </c>
      <c r="KW128" s="207">
        <f t="shared" si="2613"/>
        <v>10</v>
      </c>
      <c r="KX128" s="207">
        <f t="shared" si="2613"/>
        <v>10</v>
      </c>
      <c r="KY128" s="207">
        <f t="shared" si="2613"/>
        <v>10</v>
      </c>
      <c r="KZ128" s="207">
        <f t="shared" si="2613"/>
        <v>10.020598362698427</v>
      </c>
      <c r="LA128" s="207">
        <f t="shared" si="2613"/>
        <v>10.041239154651441</v>
      </c>
      <c r="LB128" s="207">
        <f t="shared" si="2613"/>
        <v>10.061922463256357</v>
      </c>
      <c r="LC128" s="207">
        <f t="shared" si="2613"/>
        <v>10.082648376090518</v>
      </c>
      <c r="LD128" s="207">
        <f t="shared" si="2613"/>
        <v>10.103416980911661</v>
      </c>
      <c r="LE128" s="207">
        <f t="shared" si="2613"/>
        <v>10.124228365658288</v>
      </c>
      <c r="LF128" s="207">
        <f t="shared" si="2613"/>
        <v>10.145082618450042</v>
      </c>
      <c r="LG128" s="207">
        <f t="shared" si="2613"/>
        <v>10.165979827588076</v>
      </c>
      <c r="LH128" s="207">
        <f t="shared" si="2613"/>
        <v>10.186920081555431</v>
      </c>
      <c r="LI128" s="207">
        <f t="shared" si="2613"/>
        <v>10.207903469017408</v>
      </c>
      <c r="LJ128" s="207">
        <f t="shared" si="2613"/>
        <v>10.228930078821943</v>
      </c>
      <c r="LK128" s="207">
        <f t="shared" si="2613"/>
        <v>10.249999999999986</v>
      </c>
      <c r="LL128" s="207">
        <f t="shared" si="2613"/>
        <v>10.271113321765874</v>
      </c>
      <c r="LM128" s="207">
        <f t="shared" si="2613"/>
        <v>10.292270133517713</v>
      </c>
      <c r="LN128" s="207">
        <f t="shared" si="2613"/>
        <v>10.313470524837753</v>
      </c>
      <c r="LO128" s="207">
        <f t="shared" si="2613"/>
        <v>10.334714585492767</v>
      </c>
      <c r="LP128" s="207">
        <f t="shared" si="2613"/>
        <v>10.356002405434438</v>
      </c>
      <c r="LQ128" s="207">
        <f t="shared" si="2613"/>
        <v>10.37733407479973</v>
      </c>
      <c r="LR128" s="207">
        <f t="shared" si="2613"/>
        <v>10.398709683911278</v>
      </c>
      <c r="LS128" s="207">
        <f t="shared" si="2613"/>
        <v>10.420129323277763</v>
      </c>
      <c r="LT128" s="207">
        <f t="shared" si="2613"/>
        <v>10.441593083594302</v>
      </c>
      <c r="LU128" s="207">
        <f t="shared" si="2613"/>
        <v>10.463101055742829</v>
      </c>
      <c r="LV128" s="207">
        <f t="shared" si="2613"/>
        <v>10.484653330792478</v>
      </c>
      <c r="LW128" s="207">
        <f t="shared" si="2613"/>
        <v>10.506249999999971</v>
      </c>
      <c r="LX128" s="207">
        <f t="shared" si="2613"/>
        <v>10.527891154810007</v>
      </c>
      <c r="LY128" s="207">
        <f t="shared" si="2613"/>
        <v>10.549576886855641</v>
      </c>
      <c r="LZ128" s="207">
        <f t="shared" si="2613"/>
        <v>10.571307287958682</v>
      </c>
      <c r="MA128" s="207">
        <f t="shared" si="2613"/>
        <v>10.593082450130073</v>
      </c>
      <c r="MB128" s="207">
        <f t="shared" si="2613"/>
        <v>10.614902465570285</v>
      </c>
      <c r="MC128" s="207">
        <f t="shared" si="2613"/>
        <v>10.63676742666971</v>
      </c>
      <c r="MD128" s="207">
        <f t="shared" si="2613"/>
        <v>10.658677426009046</v>
      </c>
      <c r="ME128" s="207">
        <f t="shared" si="2613"/>
        <v>10.680632556359694</v>
      </c>
      <c r="MF128" s="207">
        <f t="shared" si="2613"/>
        <v>10.702632910684146</v>
      </c>
      <c r="MG128" s="207">
        <f t="shared" si="2613"/>
        <v>10.724678582136386</v>
      </c>
      <c r="MH128" s="207">
        <f t="shared" si="2613"/>
        <v>10.746769664062276</v>
      </c>
      <c r="MI128" s="207">
        <f t="shared" si="2613"/>
        <v>10.768906249999956</v>
      </c>
      <c r="MJ128" s="207">
        <f t="shared" si="2613"/>
        <v>10.791088433680242</v>
      </c>
      <c r="MK128" s="207">
        <f t="shared" si="2613"/>
        <v>10.813316309027018</v>
      </c>
      <c r="ML128" s="207">
        <f t="shared" si="2613"/>
        <v>10.835589970157633</v>
      </c>
      <c r="MM128" s="207">
        <f t="shared" si="2613"/>
        <v>10.857909511383308</v>
      </c>
      <c r="MN128" s="207">
        <f t="shared" si="2613"/>
        <v>10.880275027209526</v>
      </c>
      <c r="MO128" s="207">
        <f t="shared" si="2613"/>
        <v>10.902686612336437</v>
      </c>
      <c r="MP128" s="207">
        <f t="shared" si="2613"/>
        <v>10.925144361659257</v>
      </c>
      <c r="MQ128" s="207">
        <f t="shared" si="2613"/>
        <v>10.94764837026867</v>
      </c>
      <c r="MR128" s="207">
        <f t="shared" si="2613"/>
        <v>10.970198733451234</v>
      </c>
      <c r="MS128" s="207">
        <f t="shared" si="2613"/>
        <v>10.992795546689779</v>
      </c>
      <c r="MT128" s="207">
        <f t="shared" si="2613"/>
        <v>11.015438905663816</v>
      </c>
      <c r="MU128" s="207">
        <f t="shared" si="2613"/>
        <v>11.038128906249939</v>
      </c>
      <c r="MV128" s="207">
        <f t="shared" si="2613"/>
        <v>11.060865644522233</v>
      </c>
      <c r="MW128" s="207">
        <f t="shared" si="2613"/>
        <v>11.083649216752677</v>
      </c>
      <c r="MX128" s="207">
        <f t="shared" si="2613"/>
        <v>11.106479719411558</v>
      </c>
      <c r="MY128" s="207">
        <f t="shared" si="2613"/>
        <v>11.129357249167874</v>
      </c>
      <c r="MZ128" s="207">
        <f t="shared" ref="MZ128:PK128" si="2614">MY128+IF(MZ$124&gt;0,MY128*((1+INDEX($C$106:$H$106,1,MIN(MZ$124,6)))^(1/12)-1))</f>
        <v>11.152281902889747</v>
      </c>
      <c r="NA128" s="207">
        <f t="shared" si="2614"/>
        <v>11.17525377764483</v>
      </c>
      <c r="NB128" s="207">
        <f t="shared" si="2614"/>
        <v>11.198272970700719</v>
      </c>
      <c r="NC128" s="207">
        <f t="shared" si="2614"/>
        <v>11.221339579525369</v>
      </c>
      <c r="ND128" s="207">
        <f t="shared" si="2614"/>
        <v>11.244453701787497</v>
      </c>
      <c r="NE128" s="207">
        <f t="shared" si="2614"/>
        <v>11.267615435357007</v>
      </c>
      <c r="NF128" s="207">
        <f t="shared" si="2614"/>
        <v>11.290824878305395</v>
      </c>
      <c r="NG128" s="207">
        <f t="shared" si="2614"/>
        <v>11.314082128906172</v>
      </c>
      <c r="NH128" s="207">
        <f t="shared" si="2614"/>
        <v>11.337387285635273</v>
      </c>
      <c r="NI128" s="207">
        <f t="shared" si="2614"/>
        <v>11.360740447171478</v>
      </c>
      <c r="NJ128" s="207">
        <f t="shared" si="2614"/>
        <v>11.384141712396831</v>
      </c>
      <c r="NK128" s="207">
        <f t="shared" si="2614"/>
        <v>11.407591180397056</v>
      </c>
      <c r="NL128" s="207">
        <f t="shared" si="2614"/>
        <v>11.431088950461975</v>
      </c>
      <c r="NM128" s="207">
        <f t="shared" si="2614"/>
        <v>11.454635122085936</v>
      </c>
      <c r="NN128" s="207">
        <f t="shared" si="2614"/>
        <v>11.478229794968223</v>
      </c>
      <c r="NO128" s="207">
        <f t="shared" si="2614"/>
        <v>11.501873069013488</v>
      </c>
      <c r="NP128" s="207">
        <f t="shared" si="2614"/>
        <v>11.52556504433217</v>
      </c>
      <c r="NQ128" s="207">
        <f t="shared" si="2614"/>
        <v>11.549305821240917</v>
      </c>
      <c r="NR128" s="207">
        <f t="shared" si="2614"/>
        <v>11.573095500263015</v>
      </c>
      <c r="NS128" s="207">
        <f t="shared" si="2614"/>
        <v>11.596934182128811</v>
      </c>
      <c r="NT128" s="207">
        <f t="shared" si="2614"/>
        <v>11.62082196777614</v>
      </c>
      <c r="NU128" s="207">
        <f t="shared" si="2614"/>
        <v>11.644758958350749</v>
      </c>
      <c r="NV128" s="207">
        <f t="shared" si="2614"/>
        <v>11.668745255206737</v>
      </c>
      <c r="NW128" s="207">
        <f t="shared" si="2614"/>
        <v>11.692780959906967</v>
      </c>
      <c r="NX128" s="207">
        <f t="shared" si="2614"/>
        <v>11.71686617422351</v>
      </c>
      <c r="NY128" s="207">
        <f t="shared" si="2614"/>
        <v>11.74100100013807</v>
      </c>
      <c r="NZ128" s="207">
        <f t="shared" si="2614"/>
        <v>11.765185539842413</v>
      </c>
      <c r="OA128" s="207">
        <f t="shared" si="2614"/>
        <v>11.78941989573881</v>
      </c>
      <c r="OB128" s="207">
        <f t="shared" si="2614"/>
        <v>11.813704170440458</v>
      </c>
      <c r="OC128" s="207">
        <f t="shared" si="2614"/>
        <v>11.838038466771923</v>
      </c>
      <c r="OD128" s="207">
        <f t="shared" si="2614"/>
        <v>11.862422887769574</v>
      </c>
      <c r="OE128" s="207">
        <f t="shared" si="2614"/>
        <v>11.886857536682014</v>
      </c>
      <c r="OF128" s="207">
        <f t="shared" si="2614"/>
        <v>11.911342516970524</v>
      </c>
      <c r="OG128" s="207">
        <f t="shared" si="2614"/>
        <v>11.9358779323095</v>
      </c>
      <c r="OH128" s="207">
        <f t="shared" si="2614"/>
        <v>11.960463886586886</v>
      </c>
      <c r="OI128" s="207">
        <f t="shared" si="2614"/>
        <v>11.985100483904622</v>
      </c>
      <c r="OJ128" s="207">
        <f t="shared" si="2614"/>
        <v>12.009787828579078</v>
      </c>
      <c r="OK128" s="207">
        <f t="shared" si="2614"/>
        <v>12.034526025141501</v>
      </c>
      <c r="OL128" s="207">
        <f t="shared" si="2614"/>
        <v>12.059315178338453</v>
      </c>
      <c r="OM128" s="207">
        <f t="shared" si="2614"/>
        <v>12.08415539313226</v>
      </c>
      <c r="ON128" s="207">
        <f t="shared" si="2614"/>
        <v>12.109046774701449</v>
      </c>
      <c r="OO128" s="207">
        <f t="shared" si="2614"/>
        <v>12.1339894284412</v>
      </c>
      <c r="OP128" s="207">
        <f t="shared" si="2614"/>
        <v>12.158983459963792</v>
      </c>
      <c r="OQ128" s="207">
        <f t="shared" si="2614"/>
        <v>12.184028975099045</v>
      </c>
      <c r="OR128" s="207">
        <f t="shared" si="2614"/>
        <v>12.209126079894769</v>
      </c>
      <c r="OS128" s="207">
        <f t="shared" si="2614"/>
        <v>12.234274880617219</v>
      </c>
      <c r="OT128" s="207">
        <f t="shared" si="2614"/>
        <v>12.25947548375154</v>
      </c>
      <c r="OU128" s="207">
        <f t="shared" si="2614"/>
        <v>12.28472799600222</v>
      </c>
      <c r="OV128" s="207">
        <f t="shared" si="2614"/>
        <v>12.310032524293538</v>
      </c>
      <c r="OW128" s="207">
        <f t="shared" si="2614"/>
        <v>12.335389175770022</v>
      </c>
      <c r="OX128" s="207">
        <f t="shared" si="2614"/>
        <v>12.360798057796899</v>
      </c>
      <c r="OY128" s="207">
        <f t="shared" si="2614"/>
        <v>12.386259277960551</v>
      </c>
      <c r="OZ128" s="207">
        <f t="shared" si="2614"/>
        <v>12.411772944068971</v>
      </c>
      <c r="PA128" s="207">
        <f t="shared" si="2614"/>
        <v>12.437339164152217</v>
      </c>
      <c r="PB128" s="207">
        <f t="shared" si="2614"/>
        <v>12.462958046462873</v>
      </c>
      <c r="PC128" s="207">
        <f t="shared" si="2614"/>
        <v>12.488629699476506</v>
      </c>
      <c r="PD128" s="207">
        <f t="shared" si="2614"/>
        <v>12.514354231892124</v>
      </c>
      <c r="PE128" s="207">
        <f t="shared" si="2614"/>
        <v>12.540131752632636</v>
      </c>
      <c r="PF128" s="207">
        <f t="shared" si="2614"/>
        <v>12.565962370845316</v>
      </c>
      <c r="PG128" s="207">
        <f t="shared" si="2614"/>
        <v>12.591846195902262</v>
      </c>
      <c r="PH128" s="207">
        <f t="shared" si="2614"/>
        <v>12.617783337400862</v>
      </c>
      <c r="PI128" s="207">
        <f t="shared" si="2614"/>
        <v>12.643773905164258</v>
      </c>
      <c r="PJ128" s="207">
        <f t="shared" si="2614"/>
        <v>12.669818009241807</v>
      </c>
      <c r="PK128" s="207">
        <f t="shared" si="2614"/>
        <v>12.69591575990955</v>
      </c>
      <c r="PL128" s="207">
        <f t="shared" ref="PL128:PO128" si="2615">PK128+IF(PL$124&gt;0,PK128*((1+INDEX($C$106:$H$106,1,MIN(PL$124,6)))^(1/12)-1))</f>
        <v>12.722067267670679</v>
      </c>
      <c r="PM128" s="207">
        <f t="shared" si="2615"/>
        <v>12.748272643256007</v>
      </c>
      <c r="PN128" s="207">
        <f t="shared" si="2615"/>
        <v>12.774531997624429</v>
      </c>
      <c r="PO128" s="207">
        <f t="shared" si="2615"/>
        <v>12.800845441963402</v>
      </c>
      <c r="PQ128" s="201"/>
      <c r="PR128" s="201"/>
      <c r="PS128" s="201"/>
      <c r="PT128" s="201"/>
      <c r="PU128" s="201"/>
      <c r="PV128" s="201"/>
      <c r="PW128" s="201"/>
      <c r="PX128" s="201"/>
      <c r="PY128" s="201"/>
      <c r="PZ128" s="201"/>
      <c r="QA128" s="201"/>
      <c r="QB128" s="201"/>
      <c r="QC128" s="201"/>
      <c r="QD128" s="201"/>
      <c r="QE128" s="201"/>
      <c r="QF128" s="201"/>
      <c r="QG128" s="201"/>
      <c r="QH128" s="201"/>
      <c r="QI128" s="201"/>
      <c r="QJ128" s="201"/>
      <c r="QK128" s="201"/>
      <c r="QL128" s="201"/>
      <c r="QM128" s="201"/>
      <c r="QN128" s="201"/>
      <c r="QO128" s="201"/>
      <c r="QP128" s="201"/>
      <c r="QQ128" s="201"/>
      <c r="QR128" s="201"/>
      <c r="QS128" s="201"/>
      <c r="QT128" s="201"/>
      <c r="QU128" s="201"/>
      <c r="QV128" s="201"/>
      <c r="QW128" s="201"/>
      <c r="QX128" s="201"/>
      <c r="QY128" s="201"/>
      <c r="QZ128" s="201"/>
      <c r="RA128" s="201"/>
      <c r="RB128" s="201"/>
      <c r="RC128" s="201"/>
      <c r="RD128" s="201"/>
      <c r="RE128" s="201"/>
      <c r="RF128" s="201"/>
      <c r="RG128" s="201"/>
      <c r="RH128" s="201"/>
      <c r="RI128" s="201"/>
      <c r="RJ128" s="201"/>
      <c r="RK128" s="201"/>
      <c r="RL128" s="201"/>
      <c r="RM128" s="201"/>
      <c r="RN128" s="201"/>
      <c r="RO128" s="201"/>
      <c r="RP128" s="201"/>
      <c r="RQ128" s="201"/>
      <c r="RR128" s="201"/>
      <c r="RS128" s="201"/>
      <c r="RT128" s="201"/>
      <c r="RU128" s="201"/>
      <c r="RV128" s="201"/>
      <c r="RW128" s="201"/>
      <c r="RX128" s="201"/>
      <c r="RY128" s="201"/>
      <c r="RZ128" s="201"/>
      <c r="SA128" s="201"/>
      <c r="SB128" s="201"/>
      <c r="SC128" s="201"/>
      <c r="SD128" s="201"/>
      <c r="SE128" s="201"/>
      <c r="SF128" s="201"/>
      <c r="SG128" s="201"/>
      <c r="SH128" s="201"/>
      <c r="SI128" s="201"/>
      <c r="SJ128" s="201"/>
      <c r="SK128" s="201"/>
      <c r="SL128" s="201"/>
      <c r="SM128" s="201"/>
      <c r="SN128" s="201"/>
      <c r="SO128" s="201"/>
      <c r="SP128" s="201"/>
      <c r="SQ128" s="201"/>
      <c r="SR128" s="201"/>
      <c r="SS128" s="201"/>
      <c r="ST128" s="201"/>
      <c r="SU128" s="201"/>
      <c r="SV128" s="201"/>
      <c r="SW128" s="201"/>
      <c r="SX128" s="201"/>
      <c r="SY128" s="201"/>
      <c r="SZ128" s="201"/>
      <c r="TA128" s="201"/>
      <c r="TB128" s="201"/>
      <c r="TC128" s="201"/>
      <c r="TD128" s="201"/>
      <c r="TE128" s="201"/>
      <c r="TF128" s="201"/>
      <c r="TG128" s="201"/>
      <c r="TH128" s="201"/>
      <c r="TI128" s="201"/>
      <c r="TJ128" s="201"/>
      <c r="TK128" s="201"/>
      <c r="TL128" s="201"/>
      <c r="TM128" s="201"/>
      <c r="TN128" s="201"/>
      <c r="TO128" s="201"/>
      <c r="TP128" s="201"/>
      <c r="TQ128" s="201"/>
      <c r="TR128" s="201"/>
      <c r="TS128" s="201"/>
      <c r="TT128" s="201"/>
      <c r="TU128" s="201"/>
      <c r="TV128" s="201"/>
      <c r="TW128" s="201"/>
      <c r="TX128" s="201"/>
      <c r="TY128" s="201"/>
      <c r="TZ128" s="201"/>
      <c r="UA128" s="201"/>
      <c r="UB128" s="201"/>
      <c r="UC128" s="201"/>
      <c r="UD128" s="201"/>
      <c r="UE128" s="201"/>
      <c r="UF128" s="201"/>
      <c r="UG128" s="201"/>
      <c r="UH128" s="201"/>
      <c r="UI128" s="201"/>
      <c r="UJ128" s="201"/>
      <c r="UK128" s="201"/>
      <c r="UL128" s="201"/>
      <c r="UM128" s="201"/>
      <c r="UN128" s="201"/>
      <c r="UO128" s="201"/>
      <c r="UP128" s="201"/>
      <c r="UQ128" s="201"/>
      <c r="UR128" s="201"/>
      <c r="US128" s="201"/>
      <c r="UT128" s="201"/>
      <c r="UU128" s="201"/>
    </row>
    <row r="129" spans="1:567" ht="15.6" x14ac:dyDescent="0.4">
      <c r="B129" s="31" t="s">
        <v>137</v>
      </c>
      <c r="C129" s="26"/>
      <c r="D129" s="26"/>
      <c r="E129" s="122"/>
      <c r="F129" s="131" t="str">
        <f>Unit_Type_Plural&amp;"/Month"</f>
        <v>Units/Month</v>
      </c>
      <c r="G129" s="584">
        <v>0</v>
      </c>
      <c r="H129" s="131" t="str">
        <f>Unit_Type_Plural&amp;"/Month"</f>
        <v>Units/Month</v>
      </c>
      <c r="I129" s="584">
        <v>0</v>
      </c>
      <c r="J129" s="151">
        <f t="shared" si="2609"/>
        <v>0</v>
      </c>
      <c r="K129" s="150">
        <f t="shared" si="2602"/>
        <v>0</v>
      </c>
      <c r="T129" s="96">
        <f t="shared" si="2578"/>
        <v>0</v>
      </c>
      <c r="U129" s="96">
        <f t="shared" si="2578"/>
        <v>0</v>
      </c>
      <c r="V129" s="96">
        <f t="shared" si="2578"/>
        <v>0</v>
      </c>
      <c r="W129" s="96">
        <f t="shared" si="2578"/>
        <v>0</v>
      </c>
      <c r="X129" s="96">
        <f t="shared" si="2578"/>
        <v>0</v>
      </c>
      <c r="Y129" s="96">
        <f t="shared" si="2578"/>
        <v>0</v>
      </c>
      <c r="Z129" s="96">
        <f t="shared" si="2578"/>
        <v>0</v>
      </c>
      <c r="AA129" s="96">
        <f t="shared" si="2578"/>
        <v>0</v>
      </c>
      <c r="AB129" s="96">
        <f t="shared" si="2578"/>
        <v>0</v>
      </c>
      <c r="AC129" s="96">
        <f t="shared" si="2578"/>
        <v>0</v>
      </c>
      <c r="AD129" s="96">
        <f t="shared" si="2579"/>
        <v>0</v>
      </c>
      <c r="AE129" s="96">
        <f t="shared" si="2579"/>
        <v>0</v>
      </c>
      <c r="AF129" s="96">
        <f t="shared" si="2579"/>
        <v>0</v>
      </c>
      <c r="AG129" s="96">
        <f t="shared" si="2579"/>
        <v>0</v>
      </c>
      <c r="AH129" s="96">
        <f t="shared" si="2579"/>
        <v>0</v>
      </c>
      <c r="AI129" s="96">
        <f t="shared" si="2579"/>
        <v>0</v>
      </c>
      <c r="AJ129" s="96">
        <f t="shared" si="2579"/>
        <v>0</v>
      </c>
      <c r="AK129" s="96">
        <f t="shared" si="2579"/>
        <v>0</v>
      </c>
      <c r="AL129" s="96">
        <f t="shared" si="2579"/>
        <v>0</v>
      </c>
      <c r="AM129" s="96">
        <f t="shared" si="2579"/>
        <v>0</v>
      </c>
      <c r="AN129" s="96">
        <f t="shared" si="2580"/>
        <v>0</v>
      </c>
      <c r="AO129" s="96">
        <f t="shared" si="2580"/>
        <v>0</v>
      </c>
      <c r="AP129" s="96">
        <f t="shared" si="2580"/>
        <v>0</v>
      </c>
      <c r="AQ129" s="96">
        <f t="shared" si="2580"/>
        <v>0</v>
      </c>
      <c r="AR129" s="96">
        <f t="shared" si="2580"/>
        <v>0</v>
      </c>
      <c r="AS129" s="96">
        <f t="shared" si="2580"/>
        <v>0</v>
      </c>
      <c r="AT129" s="96">
        <f t="shared" si="2580"/>
        <v>0</v>
      </c>
      <c r="AU129" s="96">
        <f t="shared" si="2580"/>
        <v>0</v>
      </c>
      <c r="AV129" s="96">
        <f t="shared" si="2580"/>
        <v>0</v>
      </c>
      <c r="AW129" s="96">
        <f t="shared" si="2580"/>
        <v>0</v>
      </c>
      <c r="AX129" s="96">
        <f t="shared" si="2581"/>
        <v>0</v>
      </c>
      <c r="AY129" s="96">
        <f t="shared" si="2581"/>
        <v>0</v>
      </c>
      <c r="AZ129" s="96">
        <f t="shared" si="2581"/>
        <v>0</v>
      </c>
      <c r="BA129" s="96">
        <f t="shared" si="2581"/>
        <v>0</v>
      </c>
      <c r="BB129" s="96">
        <f t="shared" si="2581"/>
        <v>0</v>
      </c>
      <c r="BC129" s="96">
        <f t="shared" si="2581"/>
        <v>0</v>
      </c>
      <c r="BD129" s="96">
        <f t="shared" si="2581"/>
        <v>0</v>
      </c>
      <c r="BE129" s="96">
        <f t="shared" si="2581"/>
        <v>0</v>
      </c>
      <c r="BF129" s="96">
        <f t="shared" si="2581"/>
        <v>0</v>
      </c>
      <c r="BG129" s="96">
        <f t="shared" si="2581"/>
        <v>0</v>
      </c>
      <c r="BH129" s="96">
        <f t="shared" si="2582"/>
        <v>0</v>
      </c>
      <c r="BI129" s="96">
        <f t="shared" si="2582"/>
        <v>0</v>
      </c>
      <c r="BJ129" s="96">
        <f t="shared" si="2582"/>
        <v>0</v>
      </c>
      <c r="BK129" s="96">
        <f t="shared" si="2582"/>
        <v>0</v>
      </c>
      <c r="BL129" s="96">
        <f t="shared" si="2582"/>
        <v>0</v>
      </c>
      <c r="BM129" s="96">
        <f t="shared" si="2582"/>
        <v>0</v>
      </c>
      <c r="BN129" s="96">
        <f t="shared" si="2582"/>
        <v>0</v>
      </c>
      <c r="BO129" s="96">
        <f t="shared" si="2582"/>
        <v>0</v>
      </c>
      <c r="BP129" s="96">
        <f t="shared" si="2582"/>
        <v>0</v>
      </c>
      <c r="BQ129" s="96">
        <f t="shared" si="2582"/>
        <v>0</v>
      </c>
      <c r="BR129" s="96">
        <f t="shared" si="2583"/>
        <v>0</v>
      </c>
      <c r="BS129" s="96">
        <f t="shared" si="2583"/>
        <v>0</v>
      </c>
      <c r="BT129" s="96">
        <f t="shared" si="2583"/>
        <v>0</v>
      </c>
      <c r="BU129" s="96">
        <f t="shared" si="2583"/>
        <v>0</v>
      </c>
      <c r="BV129" s="96">
        <f t="shared" si="2583"/>
        <v>0</v>
      </c>
      <c r="BW129" s="96">
        <f t="shared" si="2583"/>
        <v>0</v>
      </c>
      <c r="BX129" s="96">
        <f t="shared" si="2583"/>
        <v>0</v>
      </c>
      <c r="BY129" s="96">
        <f t="shared" si="2583"/>
        <v>0</v>
      </c>
      <c r="BZ129" s="96">
        <f t="shared" si="2583"/>
        <v>0</v>
      </c>
      <c r="CA129" s="96">
        <f t="shared" si="2583"/>
        <v>0</v>
      </c>
      <c r="CB129" s="96">
        <f t="shared" si="2584"/>
        <v>0</v>
      </c>
      <c r="CC129" s="96">
        <f t="shared" si="2584"/>
        <v>0</v>
      </c>
      <c r="CD129" s="96">
        <f t="shared" si="2584"/>
        <v>0</v>
      </c>
      <c r="CE129" s="96">
        <f t="shared" si="2584"/>
        <v>0</v>
      </c>
      <c r="CF129" s="96">
        <f t="shared" si="2584"/>
        <v>0</v>
      </c>
      <c r="CG129" s="96">
        <f t="shared" si="2584"/>
        <v>0</v>
      </c>
      <c r="CH129" s="96">
        <f t="shared" si="2584"/>
        <v>0</v>
      </c>
      <c r="CI129" s="96">
        <f t="shared" si="2584"/>
        <v>0</v>
      </c>
      <c r="CJ129" s="96">
        <f t="shared" si="2584"/>
        <v>0</v>
      </c>
      <c r="CK129" s="96">
        <f t="shared" si="2584"/>
        <v>0</v>
      </c>
      <c r="CL129" s="96">
        <f t="shared" si="2585"/>
        <v>0</v>
      </c>
      <c r="CM129" s="96">
        <f t="shared" si="2585"/>
        <v>0</v>
      </c>
      <c r="CN129" s="96">
        <f t="shared" si="2585"/>
        <v>0</v>
      </c>
      <c r="CO129" s="96">
        <f t="shared" si="2585"/>
        <v>0</v>
      </c>
      <c r="CP129" s="96">
        <f t="shared" si="2585"/>
        <v>0</v>
      </c>
      <c r="CQ129" s="96">
        <f t="shared" si="2585"/>
        <v>0</v>
      </c>
      <c r="CR129" s="96">
        <f t="shared" si="2585"/>
        <v>0</v>
      </c>
      <c r="CS129" s="96">
        <f t="shared" si="2585"/>
        <v>0</v>
      </c>
      <c r="CT129" s="96">
        <f t="shared" si="2585"/>
        <v>0</v>
      </c>
      <c r="CU129" s="96">
        <f t="shared" si="2585"/>
        <v>0</v>
      </c>
      <c r="CV129" s="96">
        <f t="shared" si="2586"/>
        <v>0</v>
      </c>
      <c r="CW129" s="96">
        <f t="shared" si="2586"/>
        <v>0</v>
      </c>
      <c r="CX129" s="96">
        <f t="shared" si="2586"/>
        <v>0</v>
      </c>
      <c r="CY129" s="96">
        <f t="shared" si="2586"/>
        <v>0</v>
      </c>
      <c r="CZ129" s="96">
        <f t="shared" si="2586"/>
        <v>0</v>
      </c>
      <c r="DA129" s="96">
        <f t="shared" si="2586"/>
        <v>0</v>
      </c>
      <c r="DB129" s="96">
        <f t="shared" si="2586"/>
        <v>0</v>
      </c>
      <c r="DC129" s="96">
        <f t="shared" si="2586"/>
        <v>0</v>
      </c>
      <c r="DD129" s="96">
        <f t="shared" si="2586"/>
        <v>0</v>
      </c>
      <c r="DE129" s="96">
        <f t="shared" si="2586"/>
        <v>0</v>
      </c>
      <c r="DF129" s="96">
        <f t="shared" si="2587"/>
        <v>0</v>
      </c>
      <c r="DG129" s="96">
        <f t="shared" si="2587"/>
        <v>0</v>
      </c>
      <c r="DH129" s="96">
        <f t="shared" si="2587"/>
        <v>0</v>
      </c>
      <c r="DI129" s="96">
        <f t="shared" si="2587"/>
        <v>0</v>
      </c>
      <c r="DJ129" s="96">
        <f t="shared" si="2587"/>
        <v>0</v>
      </c>
      <c r="DK129" s="96">
        <f t="shared" si="2587"/>
        <v>0</v>
      </c>
      <c r="DL129" s="96">
        <f t="shared" si="2587"/>
        <v>0</v>
      </c>
      <c r="DM129" s="96">
        <f t="shared" si="2587"/>
        <v>0</v>
      </c>
      <c r="DN129" s="96">
        <f t="shared" si="2587"/>
        <v>0</v>
      </c>
      <c r="DO129" s="96">
        <f t="shared" si="2587"/>
        <v>0</v>
      </c>
      <c r="DP129" s="96">
        <f t="shared" si="2588"/>
        <v>0</v>
      </c>
      <c r="DQ129" s="96">
        <f t="shared" si="2588"/>
        <v>0</v>
      </c>
      <c r="DR129" s="96">
        <f t="shared" si="2588"/>
        <v>0</v>
      </c>
      <c r="DS129" s="96">
        <f t="shared" si="2588"/>
        <v>0</v>
      </c>
      <c r="DT129" s="96">
        <f t="shared" si="2588"/>
        <v>0</v>
      </c>
      <c r="DU129" s="96">
        <f t="shared" si="2588"/>
        <v>0</v>
      </c>
      <c r="DV129" s="96">
        <f t="shared" si="2588"/>
        <v>0</v>
      </c>
      <c r="DW129" s="96">
        <f t="shared" si="2588"/>
        <v>0</v>
      </c>
      <c r="DX129" s="96">
        <f t="shared" si="2588"/>
        <v>0</v>
      </c>
      <c r="DY129" s="96">
        <f t="shared" si="2588"/>
        <v>0</v>
      </c>
      <c r="DZ129" s="96">
        <f t="shared" si="2589"/>
        <v>0</v>
      </c>
      <c r="EA129" s="96">
        <f t="shared" si="2589"/>
        <v>0</v>
      </c>
      <c r="EB129" s="96">
        <f t="shared" si="2589"/>
        <v>0</v>
      </c>
      <c r="EC129" s="96">
        <f t="shared" si="2589"/>
        <v>0</v>
      </c>
      <c r="ED129" s="96">
        <f t="shared" si="2589"/>
        <v>0</v>
      </c>
      <c r="EE129" s="96">
        <f t="shared" si="2589"/>
        <v>0</v>
      </c>
      <c r="EF129" s="96">
        <f t="shared" si="2589"/>
        <v>0</v>
      </c>
      <c r="EG129" s="96">
        <f t="shared" si="2589"/>
        <v>0</v>
      </c>
      <c r="EH129" s="96">
        <f t="shared" si="2589"/>
        <v>0</v>
      </c>
      <c r="EI129" s="96">
        <f t="shared" si="2589"/>
        <v>0</v>
      </c>
      <c r="EJ129" s="96">
        <f t="shared" si="2590"/>
        <v>0</v>
      </c>
      <c r="EK129" s="96">
        <f t="shared" si="2590"/>
        <v>0</v>
      </c>
      <c r="EL129" s="96">
        <f t="shared" si="2590"/>
        <v>0</v>
      </c>
      <c r="EM129" s="96">
        <f t="shared" si="2590"/>
        <v>0</v>
      </c>
      <c r="EN129" s="96">
        <f t="shared" si="2590"/>
        <v>0</v>
      </c>
      <c r="EO129" s="96">
        <f t="shared" si="2590"/>
        <v>0</v>
      </c>
      <c r="EP129" s="96">
        <f t="shared" si="2590"/>
        <v>0</v>
      </c>
      <c r="EQ129" s="96">
        <f t="shared" si="2590"/>
        <v>0</v>
      </c>
      <c r="ER129" s="96">
        <f t="shared" si="2590"/>
        <v>0</v>
      </c>
      <c r="ES129" s="96">
        <f t="shared" si="2590"/>
        <v>0</v>
      </c>
      <c r="ET129" s="96">
        <f t="shared" si="2591"/>
        <v>0</v>
      </c>
      <c r="EU129" s="96">
        <f t="shared" si="2591"/>
        <v>0</v>
      </c>
      <c r="EW129" s="199" t="str">
        <f t="shared" si="2592"/>
        <v>[Other Income Item]</v>
      </c>
      <c r="EX129" s="201"/>
      <c r="EY129" s="221"/>
      <c r="EZ129" s="221"/>
      <c r="FA129" s="221"/>
      <c r="FB129" s="221"/>
      <c r="FC129" s="207">
        <f t="shared" si="2593"/>
        <v>0</v>
      </c>
      <c r="FD129" s="207">
        <f t="shared" ref="FD129:HO129" si="2616">FC129+IF(FD$124&gt;0,FC129*((1+INDEX($C$106:$H$106,1,MIN(FD$124,6)))^(1/12)-1))</f>
        <v>0</v>
      </c>
      <c r="FE129" s="207">
        <f t="shared" si="2616"/>
        <v>0</v>
      </c>
      <c r="FF129" s="207">
        <f t="shared" si="2616"/>
        <v>0</v>
      </c>
      <c r="FG129" s="207">
        <f t="shared" si="2616"/>
        <v>0</v>
      </c>
      <c r="FH129" s="207">
        <f t="shared" si="2616"/>
        <v>0</v>
      </c>
      <c r="FI129" s="207">
        <f t="shared" si="2616"/>
        <v>0</v>
      </c>
      <c r="FJ129" s="207">
        <f t="shared" si="2616"/>
        <v>0</v>
      </c>
      <c r="FK129" s="207">
        <f t="shared" si="2616"/>
        <v>0</v>
      </c>
      <c r="FL129" s="207">
        <f t="shared" si="2616"/>
        <v>0</v>
      </c>
      <c r="FM129" s="207">
        <f t="shared" si="2616"/>
        <v>0</v>
      </c>
      <c r="FN129" s="207">
        <f t="shared" si="2616"/>
        <v>0</v>
      </c>
      <c r="FO129" s="207">
        <f t="shared" si="2616"/>
        <v>0</v>
      </c>
      <c r="FP129" s="207">
        <f t="shared" si="2616"/>
        <v>0</v>
      </c>
      <c r="FQ129" s="207">
        <f t="shared" si="2616"/>
        <v>0</v>
      </c>
      <c r="FR129" s="207">
        <f t="shared" si="2616"/>
        <v>0</v>
      </c>
      <c r="FS129" s="207">
        <f t="shared" si="2616"/>
        <v>0</v>
      </c>
      <c r="FT129" s="207">
        <f t="shared" si="2616"/>
        <v>0</v>
      </c>
      <c r="FU129" s="207">
        <f t="shared" si="2616"/>
        <v>0</v>
      </c>
      <c r="FV129" s="207">
        <f t="shared" si="2616"/>
        <v>0</v>
      </c>
      <c r="FW129" s="207">
        <f t="shared" si="2616"/>
        <v>0</v>
      </c>
      <c r="FX129" s="207">
        <f t="shared" si="2616"/>
        <v>0</v>
      </c>
      <c r="FY129" s="207">
        <f t="shared" si="2616"/>
        <v>0</v>
      </c>
      <c r="FZ129" s="207">
        <f t="shared" si="2616"/>
        <v>0</v>
      </c>
      <c r="GA129" s="207">
        <f t="shared" si="2616"/>
        <v>0</v>
      </c>
      <c r="GB129" s="207">
        <f t="shared" si="2616"/>
        <v>0</v>
      </c>
      <c r="GC129" s="207">
        <f t="shared" si="2616"/>
        <v>0</v>
      </c>
      <c r="GD129" s="207">
        <f t="shared" si="2616"/>
        <v>0</v>
      </c>
      <c r="GE129" s="207">
        <f t="shared" si="2616"/>
        <v>0</v>
      </c>
      <c r="GF129" s="207">
        <f t="shared" si="2616"/>
        <v>0</v>
      </c>
      <c r="GG129" s="207">
        <f t="shared" si="2616"/>
        <v>0</v>
      </c>
      <c r="GH129" s="207">
        <f t="shared" si="2616"/>
        <v>0</v>
      </c>
      <c r="GI129" s="207">
        <f t="shared" si="2616"/>
        <v>0</v>
      </c>
      <c r="GJ129" s="207">
        <f t="shared" si="2616"/>
        <v>0</v>
      </c>
      <c r="GK129" s="207">
        <f t="shared" si="2616"/>
        <v>0</v>
      </c>
      <c r="GL129" s="207">
        <f t="shared" si="2616"/>
        <v>0</v>
      </c>
      <c r="GM129" s="207">
        <f t="shared" si="2616"/>
        <v>0</v>
      </c>
      <c r="GN129" s="207">
        <f t="shared" si="2616"/>
        <v>0</v>
      </c>
      <c r="GO129" s="207">
        <f t="shared" si="2616"/>
        <v>0</v>
      </c>
      <c r="GP129" s="207">
        <f t="shared" si="2616"/>
        <v>0</v>
      </c>
      <c r="GQ129" s="207">
        <f t="shared" si="2616"/>
        <v>0</v>
      </c>
      <c r="GR129" s="207">
        <f t="shared" si="2616"/>
        <v>0</v>
      </c>
      <c r="GS129" s="207">
        <f t="shared" si="2616"/>
        <v>0</v>
      </c>
      <c r="GT129" s="207">
        <f t="shared" si="2616"/>
        <v>0</v>
      </c>
      <c r="GU129" s="207">
        <f t="shared" si="2616"/>
        <v>0</v>
      </c>
      <c r="GV129" s="207">
        <f t="shared" si="2616"/>
        <v>0</v>
      </c>
      <c r="GW129" s="207">
        <f t="shared" si="2616"/>
        <v>0</v>
      </c>
      <c r="GX129" s="207">
        <f t="shared" si="2616"/>
        <v>0</v>
      </c>
      <c r="GY129" s="207">
        <f t="shared" si="2616"/>
        <v>0</v>
      </c>
      <c r="GZ129" s="207">
        <f t="shared" si="2616"/>
        <v>0</v>
      </c>
      <c r="HA129" s="207">
        <f t="shared" si="2616"/>
        <v>0</v>
      </c>
      <c r="HB129" s="207">
        <f t="shared" si="2616"/>
        <v>0</v>
      </c>
      <c r="HC129" s="207">
        <f t="shared" si="2616"/>
        <v>0</v>
      </c>
      <c r="HD129" s="207">
        <f t="shared" si="2616"/>
        <v>0</v>
      </c>
      <c r="HE129" s="207">
        <f t="shared" si="2616"/>
        <v>0</v>
      </c>
      <c r="HF129" s="207">
        <f t="shared" si="2616"/>
        <v>0</v>
      </c>
      <c r="HG129" s="207">
        <f t="shared" si="2616"/>
        <v>0</v>
      </c>
      <c r="HH129" s="207">
        <f t="shared" si="2616"/>
        <v>0</v>
      </c>
      <c r="HI129" s="207">
        <f t="shared" si="2616"/>
        <v>0</v>
      </c>
      <c r="HJ129" s="207">
        <f t="shared" si="2616"/>
        <v>0</v>
      </c>
      <c r="HK129" s="207">
        <f t="shared" si="2616"/>
        <v>0</v>
      </c>
      <c r="HL129" s="207">
        <f t="shared" si="2616"/>
        <v>0</v>
      </c>
      <c r="HM129" s="207">
        <f t="shared" si="2616"/>
        <v>0</v>
      </c>
      <c r="HN129" s="207">
        <f t="shared" si="2616"/>
        <v>0</v>
      </c>
      <c r="HO129" s="207">
        <f t="shared" si="2616"/>
        <v>0</v>
      </c>
      <c r="HP129" s="207">
        <f t="shared" ref="HP129:KA129" si="2617">HO129+IF(HP$124&gt;0,HO129*((1+INDEX($C$106:$H$106,1,MIN(HP$124,6)))^(1/12)-1))</f>
        <v>0</v>
      </c>
      <c r="HQ129" s="207">
        <f t="shared" si="2617"/>
        <v>0</v>
      </c>
      <c r="HR129" s="207">
        <f t="shared" si="2617"/>
        <v>0</v>
      </c>
      <c r="HS129" s="207">
        <f t="shared" si="2617"/>
        <v>0</v>
      </c>
      <c r="HT129" s="207">
        <f t="shared" si="2617"/>
        <v>0</v>
      </c>
      <c r="HU129" s="207">
        <f t="shared" si="2617"/>
        <v>0</v>
      </c>
      <c r="HV129" s="207">
        <f t="shared" si="2617"/>
        <v>0</v>
      </c>
      <c r="HW129" s="207">
        <f t="shared" si="2617"/>
        <v>0</v>
      </c>
      <c r="HX129" s="207">
        <f t="shared" si="2617"/>
        <v>0</v>
      </c>
      <c r="HY129" s="207">
        <f t="shared" si="2617"/>
        <v>0</v>
      </c>
      <c r="HZ129" s="207">
        <f t="shared" si="2617"/>
        <v>0</v>
      </c>
      <c r="IA129" s="207">
        <f t="shared" si="2617"/>
        <v>0</v>
      </c>
      <c r="IB129" s="207">
        <f t="shared" si="2617"/>
        <v>0</v>
      </c>
      <c r="IC129" s="207">
        <f t="shared" si="2617"/>
        <v>0</v>
      </c>
      <c r="ID129" s="207">
        <f t="shared" si="2617"/>
        <v>0</v>
      </c>
      <c r="IE129" s="207">
        <f t="shared" si="2617"/>
        <v>0</v>
      </c>
      <c r="IF129" s="207">
        <f t="shared" si="2617"/>
        <v>0</v>
      </c>
      <c r="IG129" s="207">
        <f t="shared" si="2617"/>
        <v>0</v>
      </c>
      <c r="IH129" s="207">
        <f t="shared" si="2617"/>
        <v>0</v>
      </c>
      <c r="II129" s="207">
        <f t="shared" si="2617"/>
        <v>0</v>
      </c>
      <c r="IJ129" s="207">
        <f t="shared" si="2617"/>
        <v>0</v>
      </c>
      <c r="IK129" s="207">
        <f t="shared" si="2617"/>
        <v>0</v>
      </c>
      <c r="IL129" s="207">
        <f t="shared" si="2617"/>
        <v>0</v>
      </c>
      <c r="IM129" s="207">
        <f t="shared" si="2617"/>
        <v>0</v>
      </c>
      <c r="IN129" s="207">
        <f t="shared" si="2617"/>
        <v>0</v>
      </c>
      <c r="IO129" s="207">
        <f t="shared" si="2617"/>
        <v>0</v>
      </c>
      <c r="IP129" s="207">
        <f t="shared" si="2617"/>
        <v>0</v>
      </c>
      <c r="IQ129" s="207">
        <f t="shared" si="2617"/>
        <v>0</v>
      </c>
      <c r="IR129" s="207">
        <f t="shared" si="2617"/>
        <v>0</v>
      </c>
      <c r="IS129" s="207">
        <f t="shared" si="2617"/>
        <v>0</v>
      </c>
      <c r="IT129" s="207">
        <f t="shared" si="2617"/>
        <v>0</v>
      </c>
      <c r="IU129" s="207">
        <f t="shared" si="2617"/>
        <v>0</v>
      </c>
      <c r="IV129" s="207">
        <f t="shared" si="2617"/>
        <v>0</v>
      </c>
      <c r="IW129" s="207">
        <f t="shared" si="2617"/>
        <v>0</v>
      </c>
      <c r="IX129" s="207">
        <f t="shared" si="2617"/>
        <v>0</v>
      </c>
      <c r="IY129" s="207">
        <f t="shared" si="2617"/>
        <v>0</v>
      </c>
      <c r="IZ129" s="207">
        <f t="shared" si="2617"/>
        <v>0</v>
      </c>
      <c r="JA129" s="207">
        <f t="shared" si="2617"/>
        <v>0</v>
      </c>
      <c r="JB129" s="207">
        <f t="shared" si="2617"/>
        <v>0</v>
      </c>
      <c r="JC129" s="207">
        <f t="shared" si="2617"/>
        <v>0</v>
      </c>
      <c r="JD129" s="207">
        <f t="shared" si="2617"/>
        <v>0</v>
      </c>
      <c r="JE129" s="207">
        <f t="shared" si="2617"/>
        <v>0</v>
      </c>
      <c r="JF129" s="207">
        <f t="shared" si="2617"/>
        <v>0</v>
      </c>
      <c r="JG129" s="207">
        <f t="shared" si="2617"/>
        <v>0</v>
      </c>
      <c r="JH129" s="207">
        <f t="shared" si="2617"/>
        <v>0</v>
      </c>
      <c r="JI129" s="207">
        <f t="shared" si="2617"/>
        <v>0</v>
      </c>
      <c r="JJ129" s="207">
        <f t="shared" si="2617"/>
        <v>0</v>
      </c>
      <c r="JK129" s="207">
        <f t="shared" si="2617"/>
        <v>0</v>
      </c>
      <c r="JL129" s="207">
        <f t="shared" si="2617"/>
        <v>0</v>
      </c>
      <c r="JM129" s="207">
        <f t="shared" si="2617"/>
        <v>0</v>
      </c>
      <c r="JN129" s="207">
        <f t="shared" si="2617"/>
        <v>0</v>
      </c>
      <c r="JO129" s="207">
        <f t="shared" si="2617"/>
        <v>0</v>
      </c>
      <c r="JP129" s="207">
        <f t="shared" si="2617"/>
        <v>0</v>
      </c>
      <c r="JQ129" s="207">
        <f t="shared" si="2617"/>
        <v>0</v>
      </c>
      <c r="JR129" s="207">
        <f t="shared" si="2617"/>
        <v>0</v>
      </c>
      <c r="JS129" s="207">
        <f t="shared" si="2617"/>
        <v>0</v>
      </c>
      <c r="JT129" s="207">
        <f t="shared" si="2617"/>
        <v>0</v>
      </c>
      <c r="JU129" s="207">
        <f t="shared" si="2617"/>
        <v>0</v>
      </c>
      <c r="JV129" s="207">
        <f t="shared" si="2617"/>
        <v>0</v>
      </c>
      <c r="JW129" s="207">
        <f t="shared" si="2617"/>
        <v>0</v>
      </c>
      <c r="JX129" s="207">
        <f t="shared" si="2617"/>
        <v>0</v>
      </c>
      <c r="JY129" s="207">
        <f t="shared" si="2617"/>
        <v>0</v>
      </c>
      <c r="JZ129" s="207">
        <f t="shared" si="2617"/>
        <v>0</v>
      </c>
      <c r="KA129" s="207">
        <f t="shared" si="2617"/>
        <v>0</v>
      </c>
      <c r="KB129" s="207">
        <f t="shared" ref="KB129:KE129" si="2618">KA129+IF(KB$124&gt;0,KA129*((1+INDEX($C$106:$H$106,1,MIN(KB$124,6)))^(1/12)-1))</f>
        <v>0</v>
      </c>
      <c r="KC129" s="207">
        <f t="shared" si="2618"/>
        <v>0</v>
      </c>
      <c r="KD129" s="207">
        <f t="shared" si="2618"/>
        <v>0</v>
      </c>
      <c r="KE129" s="207">
        <f t="shared" si="2618"/>
        <v>0</v>
      </c>
      <c r="KG129" s="199" t="str">
        <f t="shared" si="2597"/>
        <v>[Other Income Item]</v>
      </c>
      <c r="KH129" s="201"/>
      <c r="KI129" s="221"/>
      <c r="KJ129" s="221"/>
      <c r="KK129" s="221"/>
      <c r="KL129" s="221"/>
      <c r="KM129" s="207">
        <f t="shared" si="2598"/>
        <v>0</v>
      </c>
      <c r="KN129" s="207">
        <f t="shared" ref="KN129:MY129" si="2619">KM129+IF(KN$124&gt;0,KM129*((1+INDEX($C$106:$H$106,1,MIN(KN$124,6)))^(1/12)-1))</f>
        <v>0</v>
      </c>
      <c r="KO129" s="207">
        <f t="shared" si="2619"/>
        <v>0</v>
      </c>
      <c r="KP129" s="207">
        <f t="shared" si="2619"/>
        <v>0</v>
      </c>
      <c r="KQ129" s="207">
        <f t="shared" si="2619"/>
        <v>0</v>
      </c>
      <c r="KR129" s="207">
        <f t="shared" si="2619"/>
        <v>0</v>
      </c>
      <c r="KS129" s="207">
        <f t="shared" si="2619"/>
        <v>0</v>
      </c>
      <c r="KT129" s="207">
        <f t="shared" si="2619"/>
        <v>0</v>
      </c>
      <c r="KU129" s="207">
        <f t="shared" si="2619"/>
        <v>0</v>
      </c>
      <c r="KV129" s="207">
        <f t="shared" si="2619"/>
        <v>0</v>
      </c>
      <c r="KW129" s="207">
        <f t="shared" si="2619"/>
        <v>0</v>
      </c>
      <c r="KX129" s="207">
        <f t="shared" si="2619"/>
        <v>0</v>
      </c>
      <c r="KY129" s="207">
        <f t="shared" si="2619"/>
        <v>0</v>
      </c>
      <c r="KZ129" s="207">
        <f t="shared" si="2619"/>
        <v>0</v>
      </c>
      <c r="LA129" s="207">
        <f t="shared" si="2619"/>
        <v>0</v>
      </c>
      <c r="LB129" s="207">
        <f t="shared" si="2619"/>
        <v>0</v>
      </c>
      <c r="LC129" s="207">
        <f t="shared" si="2619"/>
        <v>0</v>
      </c>
      <c r="LD129" s="207">
        <f t="shared" si="2619"/>
        <v>0</v>
      </c>
      <c r="LE129" s="207">
        <f t="shared" si="2619"/>
        <v>0</v>
      </c>
      <c r="LF129" s="207">
        <f t="shared" si="2619"/>
        <v>0</v>
      </c>
      <c r="LG129" s="207">
        <f t="shared" si="2619"/>
        <v>0</v>
      </c>
      <c r="LH129" s="207">
        <f t="shared" si="2619"/>
        <v>0</v>
      </c>
      <c r="LI129" s="207">
        <f t="shared" si="2619"/>
        <v>0</v>
      </c>
      <c r="LJ129" s="207">
        <f t="shared" si="2619"/>
        <v>0</v>
      </c>
      <c r="LK129" s="207">
        <f t="shared" si="2619"/>
        <v>0</v>
      </c>
      <c r="LL129" s="207">
        <f t="shared" si="2619"/>
        <v>0</v>
      </c>
      <c r="LM129" s="207">
        <f t="shared" si="2619"/>
        <v>0</v>
      </c>
      <c r="LN129" s="207">
        <f t="shared" si="2619"/>
        <v>0</v>
      </c>
      <c r="LO129" s="207">
        <f t="shared" si="2619"/>
        <v>0</v>
      </c>
      <c r="LP129" s="207">
        <f t="shared" si="2619"/>
        <v>0</v>
      </c>
      <c r="LQ129" s="207">
        <f t="shared" si="2619"/>
        <v>0</v>
      </c>
      <c r="LR129" s="207">
        <f t="shared" si="2619"/>
        <v>0</v>
      </c>
      <c r="LS129" s="207">
        <f t="shared" si="2619"/>
        <v>0</v>
      </c>
      <c r="LT129" s="207">
        <f t="shared" si="2619"/>
        <v>0</v>
      </c>
      <c r="LU129" s="207">
        <f t="shared" si="2619"/>
        <v>0</v>
      </c>
      <c r="LV129" s="207">
        <f t="shared" si="2619"/>
        <v>0</v>
      </c>
      <c r="LW129" s="207">
        <f t="shared" si="2619"/>
        <v>0</v>
      </c>
      <c r="LX129" s="207">
        <f t="shared" si="2619"/>
        <v>0</v>
      </c>
      <c r="LY129" s="207">
        <f t="shared" si="2619"/>
        <v>0</v>
      </c>
      <c r="LZ129" s="207">
        <f t="shared" si="2619"/>
        <v>0</v>
      </c>
      <c r="MA129" s="207">
        <f t="shared" si="2619"/>
        <v>0</v>
      </c>
      <c r="MB129" s="207">
        <f t="shared" si="2619"/>
        <v>0</v>
      </c>
      <c r="MC129" s="207">
        <f t="shared" si="2619"/>
        <v>0</v>
      </c>
      <c r="MD129" s="207">
        <f t="shared" si="2619"/>
        <v>0</v>
      </c>
      <c r="ME129" s="207">
        <f t="shared" si="2619"/>
        <v>0</v>
      </c>
      <c r="MF129" s="207">
        <f t="shared" si="2619"/>
        <v>0</v>
      </c>
      <c r="MG129" s="207">
        <f t="shared" si="2619"/>
        <v>0</v>
      </c>
      <c r="MH129" s="207">
        <f t="shared" si="2619"/>
        <v>0</v>
      </c>
      <c r="MI129" s="207">
        <f t="shared" si="2619"/>
        <v>0</v>
      </c>
      <c r="MJ129" s="207">
        <f t="shared" si="2619"/>
        <v>0</v>
      </c>
      <c r="MK129" s="207">
        <f t="shared" si="2619"/>
        <v>0</v>
      </c>
      <c r="ML129" s="207">
        <f t="shared" si="2619"/>
        <v>0</v>
      </c>
      <c r="MM129" s="207">
        <f t="shared" si="2619"/>
        <v>0</v>
      </c>
      <c r="MN129" s="207">
        <f t="shared" si="2619"/>
        <v>0</v>
      </c>
      <c r="MO129" s="207">
        <f t="shared" si="2619"/>
        <v>0</v>
      </c>
      <c r="MP129" s="207">
        <f t="shared" si="2619"/>
        <v>0</v>
      </c>
      <c r="MQ129" s="207">
        <f t="shared" si="2619"/>
        <v>0</v>
      </c>
      <c r="MR129" s="207">
        <f t="shared" si="2619"/>
        <v>0</v>
      </c>
      <c r="MS129" s="207">
        <f t="shared" si="2619"/>
        <v>0</v>
      </c>
      <c r="MT129" s="207">
        <f t="shared" si="2619"/>
        <v>0</v>
      </c>
      <c r="MU129" s="207">
        <f t="shared" si="2619"/>
        <v>0</v>
      </c>
      <c r="MV129" s="207">
        <f t="shared" si="2619"/>
        <v>0</v>
      </c>
      <c r="MW129" s="207">
        <f t="shared" si="2619"/>
        <v>0</v>
      </c>
      <c r="MX129" s="207">
        <f t="shared" si="2619"/>
        <v>0</v>
      </c>
      <c r="MY129" s="207">
        <f t="shared" si="2619"/>
        <v>0</v>
      </c>
      <c r="MZ129" s="207">
        <f t="shared" ref="MZ129:PK129" si="2620">MY129+IF(MZ$124&gt;0,MY129*((1+INDEX($C$106:$H$106,1,MIN(MZ$124,6)))^(1/12)-1))</f>
        <v>0</v>
      </c>
      <c r="NA129" s="207">
        <f t="shared" si="2620"/>
        <v>0</v>
      </c>
      <c r="NB129" s="207">
        <f t="shared" si="2620"/>
        <v>0</v>
      </c>
      <c r="NC129" s="207">
        <f t="shared" si="2620"/>
        <v>0</v>
      </c>
      <c r="ND129" s="207">
        <f t="shared" si="2620"/>
        <v>0</v>
      </c>
      <c r="NE129" s="207">
        <f t="shared" si="2620"/>
        <v>0</v>
      </c>
      <c r="NF129" s="207">
        <f t="shared" si="2620"/>
        <v>0</v>
      </c>
      <c r="NG129" s="207">
        <f t="shared" si="2620"/>
        <v>0</v>
      </c>
      <c r="NH129" s="207">
        <f t="shared" si="2620"/>
        <v>0</v>
      </c>
      <c r="NI129" s="207">
        <f t="shared" si="2620"/>
        <v>0</v>
      </c>
      <c r="NJ129" s="207">
        <f t="shared" si="2620"/>
        <v>0</v>
      </c>
      <c r="NK129" s="207">
        <f t="shared" si="2620"/>
        <v>0</v>
      </c>
      <c r="NL129" s="207">
        <f t="shared" si="2620"/>
        <v>0</v>
      </c>
      <c r="NM129" s="207">
        <f t="shared" si="2620"/>
        <v>0</v>
      </c>
      <c r="NN129" s="207">
        <f t="shared" si="2620"/>
        <v>0</v>
      </c>
      <c r="NO129" s="207">
        <f t="shared" si="2620"/>
        <v>0</v>
      </c>
      <c r="NP129" s="207">
        <f t="shared" si="2620"/>
        <v>0</v>
      </c>
      <c r="NQ129" s="207">
        <f t="shared" si="2620"/>
        <v>0</v>
      </c>
      <c r="NR129" s="207">
        <f t="shared" si="2620"/>
        <v>0</v>
      </c>
      <c r="NS129" s="207">
        <f t="shared" si="2620"/>
        <v>0</v>
      </c>
      <c r="NT129" s="207">
        <f t="shared" si="2620"/>
        <v>0</v>
      </c>
      <c r="NU129" s="207">
        <f t="shared" si="2620"/>
        <v>0</v>
      </c>
      <c r="NV129" s="207">
        <f t="shared" si="2620"/>
        <v>0</v>
      </c>
      <c r="NW129" s="207">
        <f t="shared" si="2620"/>
        <v>0</v>
      </c>
      <c r="NX129" s="207">
        <f t="shared" si="2620"/>
        <v>0</v>
      </c>
      <c r="NY129" s="207">
        <f t="shared" si="2620"/>
        <v>0</v>
      </c>
      <c r="NZ129" s="207">
        <f t="shared" si="2620"/>
        <v>0</v>
      </c>
      <c r="OA129" s="207">
        <f t="shared" si="2620"/>
        <v>0</v>
      </c>
      <c r="OB129" s="207">
        <f t="shared" si="2620"/>
        <v>0</v>
      </c>
      <c r="OC129" s="207">
        <f t="shared" si="2620"/>
        <v>0</v>
      </c>
      <c r="OD129" s="207">
        <f t="shared" si="2620"/>
        <v>0</v>
      </c>
      <c r="OE129" s="207">
        <f t="shared" si="2620"/>
        <v>0</v>
      </c>
      <c r="OF129" s="207">
        <f t="shared" si="2620"/>
        <v>0</v>
      </c>
      <c r="OG129" s="207">
        <f t="shared" si="2620"/>
        <v>0</v>
      </c>
      <c r="OH129" s="207">
        <f t="shared" si="2620"/>
        <v>0</v>
      </c>
      <c r="OI129" s="207">
        <f t="shared" si="2620"/>
        <v>0</v>
      </c>
      <c r="OJ129" s="207">
        <f t="shared" si="2620"/>
        <v>0</v>
      </c>
      <c r="OK129" s="207">
        <f t="shared" si="2620"/>
        <v>0</v>
      </c>
      <c r="OL129" s="207">
        <f t="shared" si="2620"/>
        <v>0</v>
      </c>
      <c r="OM129" s="207">
        <f t="shared" si="2620"/>
        <v>0</v>
      </c>
      <c r="ON129" s="207">
        <f t="shared" si="2620"/>
        <v>0</v>
      </c>
      <c r="OO129" s="207">
        <f t="shared" si="2620"/>
        <v>0</v>
      </c>
      <c r="OP129" s="207">
        <f t="shared" si="2620"/>
        <v>0</v>
      </c>
      <c r="OQ129" s="207">
        <f t="shared" si="2620"/>
        <v>0</v>
      </c>
      <c r="OR129" s="207">
        <f t="shared" si="2620"/>
        <v>0</v>
      </c>
      <c r="OS129" s="207">
        <f t="shared" si="2620"/>
        <v>0</v>
      </c>
      <c r="OT129" s="207">
        <f t="shared" si="2620"/>
        <v>0</v>
      </c>
      <c r="OU129" s="207">
        <f t="shared" si="2620"/>
        <v>0</v>
      </c>
      <c r="OV129" s="207">
        <f t="shared" si="2620"/>
        <v>0</v>
      </c>
      <c r="OW129" s="207">
        <f t="shared" si="2620"/>
        <v>0</v>
      </c>
      <c r="OX129" s="207">
        <f t="shared" si="2620"/>
        <v>0</v>
      </c>
      <c r="OY129" s="207">
        <f t="shared" si="2620"/>
        <v>0</v>
      </c>
      <c r="OZ129" s="207">
        <f t="shared" si="2620"/>
        <v>0</v>
      </c>
      <c r="PA129" s="207">
        <f t="shared" si="2620"/>
        <v>0</v>
      </c>
      <c r="PB129" s="207">
        <f t="shared" si="2620"/>
        <v>0</v>
      </c>
      <c r="PC129" s="207">
        <f t="shared" si="2620"/>
        <v>0</v>
      </c>
      <c r="PD129" s="207">
        <f t="shared" si="2620"/>
        <v>0</v>
      </c>
      <c r="PE129" s="207">
        <f t="shared" si="2620"/>
        <v>0</v>
      </c>
      <c r="PF129" s="207">
        <f t="shared" si="2620"/>
        <v>0</v>
      </c>
      <c r="PG129" s="207">
        <f t="shared" si="2620"/>
        <v>0</v>
      </c>
      <c r="PH129" s="207">
        <f t="shared" si="2620"/>
        <v>0</v>
      </c>
      <c r="PI129" s="207">
        <f t="shared" si="2620"/>
        <v>0</v>
      </c>
      <c r="PJ129" s="207">
        <f t="shared" si="2620"/>
        <v>0</v>
      </c>
      <c r="PK129" s="207">
        <f t="shared" si="2620"/>
        <v>0</v>
      </c>
      <c r="PL129" s="207">
        <f t="shared" ref="PL129:PO129" si="2621">PK129+IF(PL$124&gt;0,PK129*((1+INDEX($C$106:$H$106,1,MIN(PL$124,6)))^(1/12)-1))</f>
        <v>0</v>
      </c>
      <c r="PM129" s="207">
        <f t="shared" si="2621"/>
        <v>0</v>
      </c>
      <c r="PN129" s="207">
        <f t="shared" si="2621"/>
        <v>0</v>
      </c>
      <c r="PO129" s="207">
        <f t="shared" si="2621"/>
        <v>0</v>
      </c>
      <c r="PQ129" s="201"/>
      <c r="PR129" s="201"/>
      <c r="PS129" s="201"/>
      <c r="PT129" s="201"/>
      <c r="PU129" s="201"/>
      <c r="PV129" s="201"/>
      <c r="PW129" s="201"/>
      <c r="PX129" s="201"/>
      <c r="PY129" s="201"/>
      <c r="PZ129" s="201"/>
      <c r="QA129" s="201"/>
      <c r="QB129" s="201"/>
      <c r="QC129" s="201"/>
      <c r="QD129" s="201"/>
      <c r="QE129" s="201"/>
      <c r="QF129" s="201"/>
      <c r="QG129" s="201"/>
      <c r="QH129" s="201"/>
      <c r="QI129" s="201"/>
      <c r="QJ129" s="201"/>
      <c r="QK129" s="201"/>
      <c r="QL129" s="201"/>
      <c r="QM129" s="201"/>
      <c r="QN129" s="201"/>
      <c r="QO129" s="201"/>
      <c r="QP129" s="201"/>
      <c r="QQ129" s="201"/>
      <c r="QR129" s="201"/>
      <c r="QS129" s="201"/>
      <c r="QT129" s="201"/>
      <c r="QU129" s="201"/>
      <c r="QV129" s="201"/>
      <c r="QW129" s="201"/>
      <c r="QX129" s="201"/>
      <c r="QY129" s="201"/>
      <c r="QZ129" s="201"/>
      <c r="RA129" s="201"/>
      <c r="RB129" s="201"/>
      <c r="RC129" s="201"/>
      <c r="RD129" s="201"/>
      <c r="RE129" s="201"/>
      <c r="RF129" s="201"/>
      <c r="RG129" s="201"/>
      <c r="RH129" s="201"/>
      <c r="RI129" s="201"/>
      <c r="RJ129" s="201"/>
      <c r="RK129" s="201"/>
      <c r="RL129" s="201"/>
      <c r="RM129" s="201"/>
      <c r="RN129" s="201"/>
      <c r="RO129" s="201"/>
      <c r="RP129" s="201"/>
      <c r="RQ129" s="201"/>
      <c r="RR129" s="201"/>
      <c r="RS129" s="201"/>
      <c r="RT129" s="201"/>
      <c r="RU129" s="201"/>
      <c r="RV129" s="201"/>
      <c r="RW129" s="201"/>
      <c r="RX129" s="201"/>
      <c r="RY129" s="201"/>
      <c r="RZ129" s="201"/>
      <c r="SA129" s="201"/>
      <c r="SB129" s="201"/>
      <c r="SC129" s="201"/>
      <c r="SD129" s="201"/>
      <c r="SE129" s="201"/>
      <c r="SF129" s="201"/>
      <c r="SG129" s="201"/>
      <c r="SH129" s="201"/>
      <c r="SI129" s="201"/>
      <c r="SJ129" s="201"/>
      <c r="SK129" s="201"/>
      <c r="SL129" s="201"/>
      <c r="SM129" s="201"/>
      <c r="SN129" s="201"/>
      <c r="SO129" s="201"/>
      <c r="SP129" s="201"/>
      <c r="SQ129" s="201"/>
      <c r="SR129" s="201"/>
      <c r="SS129" s="201"/>
      <c r="ST129" s="201"/>
      <c r="SU129" s="201"/>
      <c r="SV129" s="201"/>
      <c r="SW129" s="201"/>
      <c r="SX129" s="201"/>
      <c r="SY129" s="201"/>
      <c r="SZ129" s="201"/>
      <c r="TA129" s="201"/>
      <c r="TB129" s="201"/>
      <c r="TC129" s="201"/>
      <c r="TD129" s="201"/>
      <c r="TE129" s="201"/>
      <c r="TF129" s="201"/>
      <c r="TG129" s="201"/>
      <c r="TH129" s="201"/>
      <c r="TI129" s="201"/>
      <c r="TJ129" s="201"/>
      <c r="TK129" s="201"/>
      <c r="TL129" s="201"/>
      <c r="TM129" s="201"/>
      <c r="TN129" s="201"/>
      <c r="TO129" s="201"/>
      <c r="TP129" s="201"/>
      <c r="TQ129" s="201"/>
      <c r="TR129" s="201"/>
      <c r="TS129" s="201"/>
      <c r="TT129" s="201"/>
      <c r="TU129" s="201"/>
      <c r="TV129" s="201"/>
      <c r="TW129" s="201"/>
      <c r="TX129" s="201"/>
      <c r="TY129" s="201"/>
      <c r="TZ129" s="201"/>
      <c r="UA129" s="201"/>
      <c r="UB129" s="201"/>
      <c r="UC129" s="201"/>
      <c r="UD129" s="201"/>
      <c r="UE129" s="201"/>
      <c r="UF129" s="201"/>
      <c r="UG129" s="201"/>
      <c r="UH129" s="201"/>
      <c r="UI129" s="201"/>
      <c r="UJ129" s="201"/>
      <c r="UK129" s="201"/>
      <c r="UL129" s="201"/>
      <c r="UM129" s="201"/>
      <c r="UN129" s="201"/>
      <c r="UO129" s="201"/>
      <c r="UP129" s="201"/>
      <c r="UQ129" s="201"/>
      <c r="UR129" s="201"/>
      <c r="US129" s="201"/>
      <c r="UT129" s="201"/>
      <c r="UU129" s="201"/>
    </row>
    <row r="130" spans="1:567" x14ac:dyDescent="0.25">
      <c r="B130" s="38" t="s">
        <v>138</v>
      </c>
      <c r="C130" s="26"/>
      <c r="D130" s="26"/>
      <c r="E130" s="26"/>
      <c r="F130" s="133"/>
      <c r="G130" s="134"/>
      <c r="H130" s="138"/>
      <c r="I130" s="137"/>
      <c r="J130" s="149">
        <f>SUM(J126:J129)</f>
        <v>198000</v>
      </c>
      <c r="K130" s="129">
        <f>SUM(K126:K129)</f>
        <v>306000</v>
      </c>
      <c r="S130" s="145"/>
      <c r="T130" s="92">
        <f t="shared" ref="T130:AY130" si="2622">SUM(T126:T129)</f>
        <v>16875</v>
      </c>
      <c r="U130" s="92">
        <f t="shared" si="2622"/>
        <v>17250</v>
      </c>
      <c r="V130" s="92">
        <f t="shared" si="2622"/>
        <v>17625</v>
      </c>
      <c r="W130" s="92">
        <f t="shared" si="2622"/>
        <v>18000</v>
      </c>
      <c r="X130" s="92">
        <f t="shared" si="2622"/>
        <v>18375</v>
      </c>
      <c r="Y130" s="92">
        <f t="shared" si="2622"/>
        <v>18750</v>
      </c>
      <c r="Z130" s="92">
        <f t="shared" si="2622"/>
        <v>19125</v>
      </c>
      <c r="AA130" s="92">
        <f t="shared" si="2622"/>
        <v>19500</v>
      </c>
      <c r="AB130" s="92">
        <f t="shared" si="2622"/>
        <v>19875</v>
      </c>
      <c r="AC130" s="92">
        <f t="shared" si="2622"/>
        <v>20250</v>
      </c>
      <c r="AD130" s="92">
        <f t="shared" si="2622"/>
        <v>20625</v>
      </c>
      <c r="AE130" s="92">
        <f t="shared" si="2622"/>
        <v>21000</v>
      </c>
      <c r="AF130" s="92">
        <f t="shared" si="2622"/>
        <v>21419.029000267885</v>
      </c>
      <c r="AG130" s="92">
        <f t="shared" si="2622"/>
        <v>21839.695161366883</v>
      </c>
      <c r="AH130" s="92">
        <f t="shared" si="2622"/>
        <v>22262.003449954689</v>
      </c>
      <c r="AI130" s="92">
        <f t="shared" si="2622"/>
        <v>22685.958846203663</v>
      </c>
      <c r="AJ130" s="92">
        <f t="shared" si="2622"/>
        <v>23111.566343835424</v>
      </c>
      <c r="AK130" s="92">
        <f t="shared" si="2622"/>
        <v>23538.830950155516</v>
      </c>
      <c r="AL130" s="92">
        <f t="shared" si="2622"/>
        <v>23967.757686088222</v>
      </c>
      <c r="AM130" s="92">
        <f t="shared" si="2622"/>
        <v>24398.351586211378</v>
      </c>
      <c r="AN130" s="92">
        <f t="shared" si="2622"/>
        <v>24830.617698791364</v>
      </c>
      <c r="AO130" s="92">
        <f t="shared" si="2622"/>
        <v>25264.561085818084</v>
      </c>
      <c r="AP130" s="92">
        <f t="shared" si="2622"/>
        <v>25700.186823040127</v>
      </c>
      <c r="AQ130" s="92">
        <f t="shared" si="2622"/>
        <v>26137.49999999996</v>
      </c>
      <c r="AR130" s="92">
        <f t="shared" si="2622"/>
        <v>26191.338970502977</v>
      </c>
      <c r="AS130" s="92">
        <f t="shared" si="2622"/>
        <v>26245.288840470166</v>
      </c>
      <c r="AT130" s="92">
        <f t="shared" si="2622"/>
        <v>26299.349838336268</v>
      </c>
      <c r="AU130" s="92">
        <f t="shared" si="2622"/>
        <v>26353.522193006553</v>
      </c>
      <c r="AV130" s="92">
        <f t="shared" si="2622"/>
        <v>26407.806133857812</v>
      </c>
      <c r="AW130" s="92">
        <f t="shared" si="2622"/>
        <v>26462.201890739307</v>
      </c>
      <c r="AX130" s="92">
        <f t="shared" si="2622"/>
        <v>26516.709693973757</v>
      </c>
      <c r="AY130" s="92">
        <f t="shared" si="2622"/>
        <v>26571.329774358288</v>
      </c>
      <c r="AZ130" s="92">
        <f t="shared" ref="AZ130:CE130" si="2623">SUM(AZ126:AZ129)</f>
        <v>26626.062363165463</v>
      </c>
      <c r="BA130" s="92">
        <f t="shared" si="2623"/>
        <v>26680.90769214421</v>
      </c>
      <c r="BB130" s="92">
        <f t="shared" si="2623"/>
        <v>26735.865993520812</v>
      </c>
      <c r="BC130" s="92">
        <f t="shared" si="2623"/>
        <v>26790.937499999924</v>
      </c>
      <c r="BD130" s="92">
        <f t="shared" si="2623"/>
        <v>26846.122444765511</v>
      </c>
      <c r="BE130" s="92">
        <f t="shared" si="2623"/>
        <v>26901.42106148188</v>
      </c>
      <c r="BF130" s="92">
        <f t="shared" si="2623"/>
        <v>26956.833584294629</v>
      </c>
      <c r="BG130" s="92">
        <f t="shared" si="2623"/>
        <v>27012.360247831675</v>
      </c>
      <c r="BH130" s="92">
        <f t="shared" si="2623"/>
        <v>27068.001287204221</v>
      </c>
      <c r="BI130" s="92">
        <f t="shared" si="2623"/>
        <v>27123.756938007748</v>
      </c>
      <c r="BJ130" s="92">
        <f t="shared" si="2623"/>
        <v>27179.627436323055</v>
      </c>
      <c r="BK130" s="92">
        <f t="shared" si="2623"/>
        <v>27235.613018717206</v>
      </c>
      <c r="BL130" s="92">
        <f t="shared" si="2623"/>
        <v>27291.713922244562</v>
      </c>
      <c r="BM130" s="92">
        <f t="shared" si="2623"/>
        <v>27347.930384447773</v>
      </c>
      <c r="BN130" s="92">
        <f t="shared" si="2623"/>
        <v>27404.262643358794</v>
      </c>
      <c r="BO130" s="92">
        <f t="shared" si="2623"/>
        <v>27460.710937499876</v>
      </c>
      <c r="BP130" s="92">
        <f t="shared" si="2623"/>
        <v>27517.275505884609</v>
      </c>
      <c r="BQ130" s="92">
        <f t="shared" si="2623"/>
        <v>27573.956588018882</v>
      </c>
      <c r="BR130" s="92">
        <f t="shared" si="2623"/>
        <v>27630.754423901955</v>
      </c>
      <c r="BS130" s="92">
        <f t="shared" si="2623"/>
        <v>27687.669254027423</v>
      </c>
      <c r="BT130" s="92">
        <f t="shared" si="2623"/>
        <v>27744.701319384279</v>
      </c>
      <c r="BU130" s="92">
        <f t="shared" si="2623"/>
        <v>27801.850861457904</v>
      </c>
      <c r="BV130" s="92">
        <f t="shared" si="2623"/>
        <v>27859.118122231092</v>
      </c>
      <c r="BW130" s="92">
        <f t="shared" si="2623"/>
        <v>27916.503344185097</v>
      </c>
      <c r="BX130" s="92">
        <f t="shared" si="2623"/>
        <v>27974.006770300635</v>
      </c>
      <c r="BY130" s="92">
        <f t="shared" si="2623"/>
        <v>28031.628644058928</v>
      </c>
      <c r="BZ130" s="92">
        <f t="shared" si="2623"/>
        <v>28089.369209442721</v>
      </c>
      <c r="CA130" s="92">
        <f t="shared" si="2623"/>
        <v>28147.228710937336</v>
      </c>
      <c r="CB130" s="92">
        <f t="shared" si="2623"/>
        <v>28205.207393531688</v>
      </c>
      <c r="CC130" s="92">
        <f t="shared" si="2623"/>
        <v>28263.305502719319</v>
      </c>
      <c r="CD130" s="92">
        <f t="shared" si="2623"/>
        <v>28321.523284499468</v>
      </c>
      <c r="CE130" s="92">
        <f t="shared" si="2623"/>
        <v>28379.860985378076</v>
      </c>
      <c r="CF130" s="92">
        <f t="shared" ref="CF130:DK130" si="2624">SUM(CF126:CF129)</f>
        <v>28438.318852368851</v>
      </c>
      <c r="CG130" s="92">
        <f t="shared" si="2624"/>
        <v>28496.897132994312</v>
      </c>
      <c r="CH130" s="92">
        <f t="shared" si="2624"/>
        <v>28555.596075286834</v>
      </c>
      <c r="CI130" s="92">
        <f t="shared" si="2624"/>
        <v>28614.415927789691</v>
      </c>
      <c r="CJ130" s="92">
        <f t="shared" si="2624"/>
        <v>28673.356939558118</v>
      </c>
      <c r="CK130" s="92">
        <f t="shared" si="2624"/>
        <v>28732.419360160362</v>
      </c>
      <c r="CL130" s="92">
        <f t="shared" si="2624"/>
        <v>28791.603439678755</v>
      </c>
      <c r="CM130" s="92">
        <f t="shared" si="2624"/>
        <v>28850.909428710733</v>
      </c>
      <c r="CN130" s="92">
        <f t="shared" si="2624"/>
        <v>28910.337578369941</v>
      </c>
      <c r="CO130" s="92">
        <f t="shared" si="2624"/>
        <v>28969.888140287265</v>
      </c>
      <c r="CP130" s="92">
        <f t="shared" si="2624"/>
        <v>29029.561366611917</v>
      </c>
      <c r="CQ130" s="92">
        <f t="shared" si="2624"/>
        <v>29089.357510012491</v>
      </c>
      <c r="CR130" s="92">
        <f t="shared" si="2624"/>
        <v>29149.276823678032</v>
      </c>
      <c r="CS130" s="92">
        <f t="shared" si="2624"/>
        <v>29209.319561319135</v>
      </c>
      <c r="CT130" s="92">
        <f t="shared" si="2624"/>
        <v>29269.485977168963</v>
      </c>
      <c r="CU130" s="92">
        <f t="shared" si="2624"/>
        <v>29329.776325984389</v>
      </c>
      <c r="CV130" s="92">
        <f t="shared" si="2624"/>
        <v>29390.190863047028</v>
      </c>
      <c r="CW130" s="92">
        <f t="shared" si="2624"/>
        <v>29450.729844164336</v>
      </c>
      <c r="CX130" s="92">
        <f t="shared" si="2624"/>
        <v>29511.393525670686</v>
      </c>
      <c r="CY130" s="92">
        <f t="shared" si="2624"/>
        <v>29572.182164428465</v>
      </c>
      <c r="CZ130" s="92">
        <f t="shared" si="2624"/>
        <v>29633.09601782915</v>
      </c>
      <c r="DA130" s="92">
        <f t="shared" si="2624"/>
        <v>29694.135343794405</v>
      </c>
      <c r="DB130" s="92">
        <f t="shared" si="2624"/>
        <v>29755.300400777174</v>
      </c>
      <c r="DC130" s="92">
        <f t="shared" si="2624"/>
        <v>29816.591447762763</v>
      </c>
      <c r="DD130" s="92">
        <f t="shared" si="2624"/>
        <v>29878.008744269941</v>
      </c>
      <c r="DE130" s="92">
        <f t="shared" si="2624"/>
        <v>29939.552550352069</v>
      </c>
      <c r="DF130" s="92">
        <f t="shared" si="2624"/>
        <v>30001.223126598146</v>
      </c>
      <c r="DG130" s="92">
        <f t="shared" si="2624"/>
        <v>30063.020734133956</v>
      </c>
      <c r="DH130" s="92">
        <f t="shared" si="2624"/>
        <v>30124.94563462316</v>
      </c>
      <c r="DI130" s="92">
        <f t="shared" si="2624"/>
        <v>30186.998090268396</v>
      </c>
      <c r="DJ130" s="92">
        <f t="shared" si="2624"/>
        <v>30249.178363812403</v>
      </c>
      <c r="DK130" s="92">
        <f t="shared" si="2624"/>
        <v>30311.486718539127</v>
      </c>
      <c r="DL130" s="92">
        <f t="shared" ref="DL130:EQ130" si="2625">SUM(DL126:DL129)</f>
        <v>30373.92341827483</v>
      </c>
      <c r="DM130" s="92">
        <f t="shared" si="2625"/>
        <v>30436.488727389216</v>
      </c>
      <c r="DN130" s="92">
        <f t="shared" si="2625"/>
        <v>30499.182910796557</v>
      </c>
      <c r="DO130" s="92">
        <f t="shared" si="2625"/>
        <v>30562.006233956778</v>
      </c>
      <c r="DP130" s="92">
        <f t="shared" si="2625"/>
        <v>30624.958962876644</v>
      </c>
      <c r="DQ130" s="92">
        <f t="shared" si="2625"/>
        <v>30688.041364110824</v>
      </c>
      <c r="DR130" s="92">
        <f t="shared" si="2625"/>
        <v>30751.253704763058</v>
      </c>
      <c r="DS130" s="92">
        <f t="shared" si="2625"/>
        <v>30814.596252487267</v>
      </c>
      <c r="DT130" s="92">
        <f t="shared" si="2625"/>
        <v>30878.069275488691</v>
      </c>
      <c r="DU130" s="92">
        <f t="shared" si="2625"/>
        <v>30941.673042525064</v>
      </c>
      <c r="DV130" s="92">
        <f t="shared" si="2625"/>
        <v>31005.407822907673</v>
      </c>
      <c r="DW130" s="92">
        <f t="shared" si="2625"/>
        <v>31069.27388650256</v>
      </c>
      <c r="DX130" s="92">
        <f t="shared" si="2625"/>
        <v>31133.271503731659</v>
      </c>
      <c r="DY130" s="92">
        <f t="shared" si="2625"/>
        <v>31197.400945573907</v>
      </c>
      <c r="DZ130" s="92">
        <f t="shared" si="2625"/>
        <v>31261.662483566426</v>
      </c>
      <c r="EA130" s="92">
        <f t="shared" si="2625"/>
        <v>31326.056389805653</v>
      </c>
      <c r="EB130" s="92">
        <f t="shared" si="2625"/>
        <v>31390.582936948515</v>
      </c>
      <c r="EC130" s="92">
        <f t="shared" si="2625"/>
        <v>31455.242398213548</v>
      </c>
      <c r="ED130" s="92">
        <f t="shared" si="2625"/>
        <v>31520.035047382087</v>
      </c>
      <c r="EE130" s="92">
        <f t="shared" si="2625"/>
        <v>31584.961158799397</v>
      </c>
      <c r="EF130" s="92">
        <f t="shared" si="2625"/>
        <v>31650.021007375864</v>
      </c>
      <c r="EG130" s="92">
        <f t="shared" si="2625"/>
        <v>31715.214868588148</v>
      </c>
      <c r="EH130" s="92">
        <f t="shared" si="2625"/>
        <v>31780.543018480315</v>
      </c>
      <c r="EI130" s="92">
        <f t="shared" si="2625"/>
        <v>31846.005733665083</v>
      </c>
      <c r="EJ130" s="92">
        <f t="shared" si="2625"/>
        <v>31911.603291324904</v>
      </c>
      <c r="EK130" s="92">
        <f t="shared" si="2625"/>
        <v>31977.335969213207</v>
      </c>
      <c r="EL130" s="92">
        <f t="shared" si="2625"/>
        <v>32043.204045655537</v>
      </c>
      <c r="EM130" s="92">
        <f t="shared" si="2625"/>
        <v>32109.207799550753</v>
      </c>
      <c r="EN130" s="92">
        <f t="shared" si="2625"/>
        <v>32175.347510372179</v>
      </c>
      <c r="EO130" s="92">
        <f t="shared" si="2625"/>
        <v>32241.623458168844</v>
      </c>
      <c r="EP130" s="92">
        <f t="shared" si="2625"/>
        <v>32308.035923566593</v>
      </c>
      <c r="EQ130" s="92">
        <f t="shared" si="2625"/>
        <v>32374.585187769335</v>
      </c>
      <c r="ER130" s="92">
        <f t="shared" ref="ER130:EU130" si="2626">SUM(ER126:ER129)</f>
        <v>32441.271532560215</v>
      </c>
      <c r="ES130" s="92">
        <f t="shared" si="2626"/>
        <v>32508.095240302802</v>
      </c>
      <c r="ET130" s="92">
        <f t="shared" si="2626"/>
        <v>32575.056593942281</v>
      </c>
      <c r="EU130" s="92">
        <f t="shared" si="2626"/>
        <v>32642.155877006662</v>
      </c>
      <c r="EX130" s="201"/>
      <c r="EY130" s="221"/>
      <c r="EZ130" s="221"/>
      <c r="FA130" s="221"/>
      <c r="FB130" s="221"/>
      <c r="KH130" s="201"/>
      <c r="KI130" s="221"/>
      <c r="KJ130" s="221"/>
      <c r="KK130" s="221"/>
      <c r="KL130" s="221"/>
      <c r="KM130" s="207"/>
      <c r="KN130" s="207"/>
      <c r="KO130" s="207"/>
      <c r="KP130" s="207"/>
      <c r="KQ130" s="207"/>
      <c r="KR130" s="207"/>
      <c r="KS130" s="207"/>
      <c r="KT130" s="207"/>
      <c r="KU130" s="207"/>
      <c r="KV130" s="207"/>
      <c r="KW130" s="207"/>
      <c r="KX130" s="207"/>
      <c r="KY130" s="207"/>
      <c r="KZ130" s="207"/>
      <c r="LA130" s="207"/>
      <c r="LB130" s="207"/>
      <c r="LC130" s="207"/>
      <c r="LD130" s="207"/>
      <c r="LE130" s="207"/>
      <c r="LF130" s="207"/>
      <c r="LG130" s="207"/>
      <c r="LH130" s="207"/>
      <c r="LI130" s="207"/>
      <c r="LJ130" s="207"/>
      <c r="LK130" s="207"/>
      <c r="LL130" s="207"/>
      <c r="LM130" s="207"/>
      <c r="LN130" s="207"/>
      <c r="LO130" s="207"/>
      <c r="LP130" s="207"/>
      <c r="LQ130" s="207"/>
      <c r="LR130" s="207"/>
      <c r="LS130" s="207"/>
      <c r="LT130" s="207"/>
      <c r="LU130" s="207"/>
      <c r="LV130" s="207"/>
      <c r="LW130" s="207"/>
      <c r="LX130" s="207"/>
      <c r="LY130" s="207"/>
      <c r="LZ130" s="207"/>
      <c r="MA130" s="207"/>
      <c r="MB130" s="207"/>
      <c r="MC130" s="207"/>
      <c r="MD130" s="207"/>
      <c r="ME130" s="207"/>
      <c r="MF130" s="207"/>
      <c r="MG130" s="207"/>
      <c r="MH130" s="207"/>
      <c r="MI130" s="207"/>
      <c r="MJ130" s="207"/>
      <c r="MK130" s="207"/>
      <c r="ML130" s="207"/>
      <c r="MM130" s="207"/>
      <c r="MN130" s="207"/>
      <c r="MO130" s="207"/>
      <c r="MP130" s="207"/>
      <c r="MQ130" s="207"/>
      <c r="MR130" s="207"/>
      <c r="MS130" s="207"/>
      <c r="MT130" s="207"/>
      <c r="MU130" s="207"/>
      <c r="MV130" s="207"/>
      <c r="MW130" s="207"/>
      <c r="MX130" s="207"/>
      <c r="MY130" s="207"/>
      <c r="MZ130" s="207"/>
      <c r="NA130" s="207"/>
      <c r="NB130" s="207"/>
      <c r="NC130" s="207"/>
      <c r="ND130" s="207"/>
      <c r="NE130" s="207"/>
      <c r="NF130" s="207"/>
      <c r="NG130" s="207"/>
      <c r="NH130" s="207"/>
      <c r="NI130" s="207"/>
      <c r="NJ130" s="207"/>
      <c r="NK130" s="207"/>
      <c r="NL130" s="207"/>
      <c r="NM130" s="207"/>
      <c r="NN130" s="207"/>
      <c r="NO130" s="207"/>
      <c r="NP130" s="207"/>
      <c r="NQ130" s="207"/>
      <c r="NR130" s="207"/>
      <c r="NS130" s="207"/>
      <c r="NT130" s="207"/>
      <c r="NU130" s="207"/>
      <c r="NV130" s="207"/>
      <c r="NW130" s="207"/>
      <c r="NX130" s="207"/>
      <c r="NY130" s="207"/>
      <c r="NZ130" s="207"/>
      <c r="OA130" s="207"/>
      <c r="OB130" s="207"/>
      <c r="OC130" s="207"/>
      <c r="OD130" s="207"/>
      <c r="OE130" s="207"/>
      <c r="OF130" s="207"/>
      <c r="OG130" s="207"/>
      <c r="OH130" s="207"/>
      <c r="OI130" s="207"/>
      <c r="OJ130" s="207"/>
      <c r="OK130" s="207"/>
      <c r="OL130" s="207"/>
      <c r="OM130" s="207"/>
      <c r="ON130" s="207"/>
      <c r="OO130" s="207"/>
      <c r="OP130" s="207"/>
      <c r="OQ130" s="207"/>
      <c r="OR130" s="207"/>
      <c r="OS130" s="207"/>
      <c r="OT130" s="207"/>
      <c r="OU130" s="207"/>
      <c r="OV130" s="207"/>
      <c r="OW130" s="207"/>
      <c r="OX130" s="207"/>
      <c r="OY130" s="207"/>
      <c r="OZ130" s="207"/>
      <c r="PA130" s="207"/>
      <c r="PB130" s="207"/>
      <c r="PC130" s="207"/>
      <c r="PD130" s="207"/>
      <c r="PE130" s="207"/>
      <c r="PF130" s="207"/>
      <c r="PG130" s="207"/>
      <c r="PH130" s="207"/>
      <c r="PI130" s="207"/>
      <c r="PJ130" s="207"/>
      <c r="PK130" s="207"/>
      <c r="PL130" s="207"/>
      <c r="PM130" s="207"/>
      <c r="PN130" s="207"/>
      <c r="PO130" s="207"/>
      <c r="PQ130" s="201"/>
      <c r="PR130" s="201"/>
      <c r="PS130" s="201"/>
      <c r="PT130" s="201"/>
      <c r="PU130" s="201"/>
      <c r="PV130" s="201"/>
      <c r="PW130" s="201"/>
      <c r="PX130" s="201"/>
      <c r="PY130" s="201"/>
      <c r="PZ130" s="201"/>
      <c r="QA130" s="201"/>
      <c r="QB130" s="201"/>
      <c r="QC130" s="201"/>
      <c r="QD130" s="201"/>
      <c r="QE130" s="201"/>
      <c r="QF130" s="201"/>
      <c r="QG130" s="201"/>
      <c r="QH130" s="201"/>
      <c r="QI130" s="201"/>
      <c r="QJ130" s="201"/>
      <c r="QK130" s="201"/>
      <c r="QL130" s="201"/>
      <c r="QM130" s="201"/>
      <c r="QN130" s="201"/>
      <c r="QO130" s="201"/>
      <c r="QP130" s="201"/>
      <c r="QQ130" s="201"/>
      <c r="QR130" s="201"/>
      <c r="QS130" s="201"/>
      <c r="QT130" s="201"/>
      <c r="QU130" s="201"/>
      <c r="QV130" s="201"/>
      <c r="QW130" s="201"/>
      <c r="QX130" s="201"/>
      <c r="QY130" s="201"/>
      <c r="QZ130" s="201"/>
      <c r="RA130" s="201"/>
      <c r="RB130" s="201"/>
      <c r="RC130" s="201"/>
      <c r="RD130" s="201"/>
      <c r="RE130" s="201"/>
      <c r="RF130" s="201"/>
      <c r="RG130" s="201"/>
      <c r="RH130" s="201"/>
      <c r="RI130" s="201"/>
      <c r="RJ130" s="201"/>
      <c r="RK130" s="201"/>
      <c r="RL130" s="201"/>
      <c r="RM130" s="201"/>
      <c r="RN130" s="201"/>
      <c r="RO130" s="201"/>
      <c r="RP130" s="201"/>
      <c r="RQ130" s="201"/>
      <c r="RR130" s="201"/>
      <c r="RS130" s="201"/>
      <c r="RT130" s="201"/>
      <c r="RU130" s="201"/>
      <c r="RV130" s="201"/>
      <c r="RW130" s="201"/>
      <c r="RX130" s="201"/>
      <c r="RY130" s="201"/>
      <c r="RZ130" s="201"/>
      <c r="SA130" s="201"/>
      <c r="SB130" s="201"/>
      <c r="SC130" s="201"/>
      <c r="SD130" s="201"/>
      <c r="SE130" s="201"/>
      <c r="SF130" s="201"/>
      <c r="SG130" s="201"/>
      <c r="SH130" s="201"/>
      <c r="SI130" s="201"/>
      <c r="SJ130" s="201"/>
      <c r="SK130" s="201"/>
      <c r="SL130" s="201"/>
      <c r="SM130" s="201"/>
      <c r="SN130" s="201"/>
      <c r="SO130" s="201"/>
      <c r="SP130" s="201"/>
      <c r="SQ130" s="201"/>
      <c r="SR130" s="201"/>
      <c r="SS130" s="201"/>
      <c r="ST130" s="201"/>
      <c r="SU130" s="201"/>
      <c r="SV130" s="201"/>
      <c r="SW130" s="201"/>
      <c r="SX130" s="201"/>
      <c r="SY130" s="201"/>
      <c r="SZ130" s="201"/>
      <c r="TA130" s="201"/>
      <c r="TB130" s="201"/>
      <c r="TC130" s="201"/>
      <c r="TD130" s="201"/>
      <c r="TE130" s="201"/>
      <c r="TF130" s="201"/>
      <c r="TG130" s="201"/>
      <c r="TH130" s="201"/>
      <c r="TI130" s="201"/>
      <c r="TJ130" s="201"/>
      <c r="TK130" s="201"/>
      <c r="TL130" s="201"/>
      <c r="TM130" s="201"/>
      <c r="TN130" s="201"/>
      <c r="TO130" s="201"/>
      <c r="TP130" s="201"/>
      <c r="TQ130" s="201"/>
      <c r="TR130" s="201"/>
      <c r="TS130" s="201"/>
      <c r="TT130" s="201"/>
      <c r="TU130" s="201"/>
      <c r="TV130" s="201"/>
      <c r="TW130" s="201"/>
      <c r="TX130" s="201"/>
      <c r="TY130" s="201"/>
      <c r="TZ130" s="201"/>
      <c r="UA130" s="201"/>
      <c r="UB130" s="201"/>
      <c r="UC130" s="201"/>
      <c r="UD130" s="201"/>
      <c r="UE130" s="201"/>
      <c r="UF130" s="201"/>
      <c r="UG130" s="201"/>
      <c r="UH130" s="201"/>
      <c r="UI130" s="201"/>
      <c r="UJ130" s="201"/>
      <c r="UK130" s="201"/>
      <c r="UL130" s="201"/>
      <c r="UM130" s="201"/>
      <c r="UN130" s="201"/>
      <c r="UO130" s="201"/>
      <c r="UP130" s="201"/>
      <c r="UQ130" s="201"/>
      <c r="UR130" s="201"/>
      <c r="US130" s="201"/>
      <c r="UT130" s="201"/>
      <c r="UU130" s="201"/>
    </row>
    <row r="131" spans="1:567" x14ac:dyDescent="0.25">
      <c r="B131" s="109" t="s">
        <v>748</v>
      </c>
      <c r="C131" s="26"/>
      <c r="D131" s="67"/>
      <c r="E131" s="26"/>
      <c r="F131" s="131"/>
      <c r="G131" s="134"/>
      <c r="H131" s="140"/>
      <c r="I131" s="137"/>
      <c r="J131" s="149">
        <f>+J130+J124</f>
        <v>5465620.3153846152</v>
      </c>
      <c r="K131" s="129">
        <f>+K130+K124</f>
        <v>6852940.7999999998</v>
      </c>
      <c r="S131" s="145"/>
      <c r="T131" s="92">
        <f t="shared" ref="T131:AY131" si="2627">+T130+T124</f>
        <v>438803.9846153846</v>
      </c>
      <c r="U131" s="92">
        <f t="shared" si="2627"/>
        <v>443349.56538461539</v>
      </c>
      <c r="V131" s="92">
        <f t="shared" si="2627"/>
        <v>447914.28076923074</v>
      </c>
      <c r="W131" s="92">
        <f t="shared" si="2627"/>
        <v>452498.13076923077</v>
      </c>
      <c r="X131" s="92">
        <f t="shared" si="2627"/>
        <v>457101.11538461538</v>
      </c>
      <c r="Y131" s="92">
        <f t="shared" si="2627"/>
        <v>461723.2346153846</v>
      </c>
      <c r="Z131" s="92">
        <f t="shared" si="2627"/>
        <v>466364.48846153845</v>
      </c>
      <c r="AA131" s="92">
        <f t="shared" si="2627"/>
        <v>471024.87692307692</v>
      </c>
      <c r="AB131" s="92">
        <f t="shared" si="2627"/>
        <v>475704.4</v>
      </c>
      <c r="AC131" s="92">
        <f t="shared" si="2627"/>
        <v>480403.05769230769</v>
      </c>
      <c r="AD131" s="92">
        <f t="shared" si="2627"/>
        <v>485120.85</v>
      </c>
      <c r="AE131" s="92">
        <f t="shared" si="2627"/>
        <v>489857.77692307695</v>
      </c>
      <c r="AF131" s="92">
        <f t="shared" si="2627"/>
        <v>495632.66198556771</v>
      </c>
      <c r="AG131" s="92">
        <f t="shared" si="2627"/>
        <v>501448.47277835826</v>
      </c>
      <c r="AH131" s="92">
        <f t="shared" si="2627"/>
        <v>507305.39297636488</v>
      </c>
      <c r="AI131" s="92">
        <f t="shared" si="2627"/>
        <v>513203.60691906058</v>
      </c>
      <c r="AJ131" s="92">
        <f t="shared" si="2627"/>
        <v>519143.29961260181</v>
      </c>
      <c r="AK131" s="92">
        <f t="shared" si="2627"/>
        <v>525124.65673196199</v>
      </c>
      <c r="AL131" s="92">
        <f t="shared" si="2627"/>
        <v>531147.8646230693</v>
      </c>
      <c r="AM131" s="92">
        <f t="shared" si="2627"/>
        <v>537213.11030495213</v>
      </c>
      <c r="AN131" s="92">
        <f t="shared" si="2627"/>
        <v>543320.58147189161</v>
      </c>
      <c r="AO131" s="92">
        <f t="shared" si="2627"/>
        <v>549470.46649557818</v>
      </c>
      <c r="AP131" s="92">
        <f t="shared" si="2627"/>
        <v>555662.9544272772</v>
      </c>
      <c r="AQ131" s="92">
        <f t="shared" si="2627"/>
        <v>561898.23499999917</v>
      </c>
      <c r="AR131" s="92">
        <f t="shared" si="2627"/>
        <v>586561.09620127396</v>
      </c>
      <c r="AS131" s="92">
        <f t="shared" si="2627"/>
        <v>587769.31602170819</v>
      </c>
      <c r="AT131" s="92">
        <f t="shared" si="2627"/>
        <v>588980.02457715024</v>
      </c>
      <c r="AU131" s="92">
        <f t="shared" si="2627"/>
        <v>590193.22699398722</v>
      </c>
      <c r="AV131" s="92">
        <f t="shared" si="2627"/>
        <v>591408.92840916489</v>
      </c>
      <c r="AW131" s="92">
        <f t="shared" si="2627"/>
        <v>592627.13397021103</v>
      </c>
      <c r="AX131" s="92">
        <f t="shared" si="2627"/>
        <v>593847.84883525583</v>
      </c>
      <c r="AY131" s="92">
        <f t="shared" si="2627"/>
        <v>595071.07817305473</v>
      </c>
      <c r="AZ131" s="92">
        <f t="shared" ref="AZ131:CE131" si="2628">+AZ130+AZ124</f>
        <v>596296.8271630099</v>
      </c>
      <c r="BA131" s="92">
        <f t="shared" si="2628"/>
        <v>597525.10099519254</v>
      </c>
      <c r="BB131" s="92">
        <f t="shared" si="2628"/>
        <v>598755.90487036377</v>
      </c>
      <c r="BC131" s="92">
        <f t="shared" si="2628"/>
        <v>599989.24399999832</v>
      </c>
      <c r="BD131" s="92">
        <f t="shared" si="2628"/>
        <v>601225.12360630499</v>
      </c>
      <c r="BE131" s="92">
        <f t="shared" si="2628"/>
        <v>602463.54892225005</v>
      </c>
      <c r="BF131" s="92">
        <f t="shared" si="2628"/>
        <v>603704.52519157832</v>
      </c>
      <c r="BG131" s="92">
        <f t="shared" si="2628"/>
        <v>604948.05766883609</v>
      </c>
      <c r="BH131" s="92">
        <f t="shared" si="2628"/>
        <v>606194.15161939315</v>
      </c>
      <c r="BI131" s="92">
        <f t="shared" si="2628"/>
        <v>607442.81231946533</v>
      </c>
      <c r="BJ131" s="92">
        <f t="shared" si="2628"/>
        <v>608694.04505613633</v>
      </c>
      <c r="BK131" s="92">
        <f t="shared" si="2628"/>
        <v>609947.85512738011</v>
      </c>
      <c r="BL131" s="92">
        <f t="shared" si="2628"/>
        <v>611204.24784208438</v>
      </c>
      <c r="BM131" s="92">
        <f t="shared" si="2628"/>
        <v>612463.22852007148</v>
      </c>
      <c r="BN131" s="92">
        <f t="shared" si="2628"/>
        <v>613724.80249212217</v>
      </c>
      <c r="BO131" s="92">
        <f t="shared" si="2628"/>
        <v>614988.97509999748</v>
      </c>
      <c r="BP131" s="92">
        <f t="shared" si="2628"/>
        <v>616255.75169646181</v>
      </c>
      <c r="BQ131" s="92">
        <f t="shared" si="2628"/>
        <v>617525.13764530548</v>
      </c>
      <c r="BR131" s="92">
        <f t="shared" si="2628"/>
        <v>618797.13832136663</v>
      </c>
      <c r="BS131" s="92">
        <f t="shared" si="2628"/>
        <v>620071.75911055598</v>
      </c>
      <c r="BT131" s="92">
        <f t="shared" si="2628"/>
        <v>621349.00540987717</v>
      </c>
      <c r="BU131" s="92">
        <f t="shared" si="2628"/>
        <v>622628.88262745121</v>
      </c>
      <c r="BV131" s="92">
        <f t="shared" si="2628"/>
        <v>623911.39618253883</v>
      </c>
      <c r="BW131" s="92">
        <f t="shared" si="2628"/>
        <v>625196.5515055639</v>
      </c>
      <c r="BX131" s="92">
        <f t="shared" si="2628"/>
        <v>626484.35403813573</v>
      </c>
      <c r="BY131" s="92">
        <f t="shared" si="2628"/>
        <v>627774.80923307245</v>
      </c>
      <c r="BZ131" s="92">
        <f t="shared" si="2628"/>
        <v>629067.92255442427</v>
      </c>
      <c r="CA131" s="92">
        <f t="shared" si="2628"/>
        <v>630363.69947749644</v>
      </c>
      <c r="CB131" s="92">
        <f t="shared" si="2628"/>
        <v>631662.14548887254</v>
      </c>
      <c r="CC131" s="92">
        <f t="shared" si="2628"/>
        <v>632963.26608643727</v>
      </c>
      <c r="CD131" s="92">
        <f t="shared" si="2628"/>
        <v>634267.06677940011</v>
      </c>
      <c r="CE131" s="92">
        <f t="shared" si="2628"/>
        <v>635573.55308831902</v>
      </c>
      <c r="CF131" s="92">
        <f t="shared" ref="CF131:DK131" si="2629">+CF130+CF124</f>
        <v>636882.73054512334</v>
      </c>
      <c r="CG131" s="92">
        <f t="shared" si="2629"/>
        <v>638194.60469313641</v>
      </c>
      <c r="CH131" s="92">
        <f t="shared" si="2629"/>
        <v>639509.18108710158</v>
      </c>
      <c r="CI131" s="92">
        <f t="shared" si="2629"/>
        <v>640826.46529320208</v>
      </c>
      <c r="CJ131" s="92">
        <f t="shared" si="2629"/>
        <v>642146.4628890882</v>
      </c>
      <c r="CK131" s="92">
        <f t="shared" si="2629"/>
        <v>643469.1794638983</v>
      </c>
      <c r="CL131" s="92">
        <f t="shared" si="2629"/>
        <v>644794.6206182841</v>
      </c>
      <c r="CM131" s="92">
        <f t="shared" si="2629"/>
        <v>646122.79196443304</v>
      </c>
      <c r="CN131" s="92">
        <f t="shared" si="2629"/>
        <v>647453.69912609342</v>
      </c>
      <c r="CO131" s="92">
        <f t="shared" si="2629"/>
        <v>648787.34773859708</v>
      </c>
      <c r="CP131" s="92">
        <f t="shared" si="2629"/>
        <v>650123.74344888423</v>
      </c>
      <c r="CQ131" s="92">
        <f t="shared" si="2629"/>
        <v>651462.89191552624</v>
      </c>
      <c r="CR131" s="92">
        <f t="shared" si="2629"/>
        <v>652804.79880875046</v>
      </c>
      <c r="CS131" s="92">
        <f t="shared" si="2629"/>
        <v>654149.46981046419</v>
      </c>
      <c r="CT131" s="92">
        <f t="shared" si="2629"/>
        <v>655496.91061427805</v>
      </c>
      <c r="CU131" s="92">
        <f t="shared" si="2629"/>
        <v>656847.12692553131</v>
      </c>
      <c r="CV131" s="92">
        <f t="shared" si="2629"/>
        <v>658200.12446131452</v>
      </c>
      <c r="CW131" s="92">
        <f t="shared" si="2629"/>
        <v>659555.90895049484</v>
      </c>
      <c r="CX131" s="92">
        <f t="shared" si="2629"/>
        <v>660914.48613374005</v>
      </c>
      <c r="CY131" s="92">
        <f t="shared" si="2629"/>
        <v>662275.86176354298</v>
      </c>
      <c r="CZ131" s="92">
        <f t="shared" si="2629"/>
        <v>663640.04160424473</v>
      </c>
      <c r="DA131" s="92">
        <f t="shared" si="2629"/>
        <v>665007.03143206111</v>
      </c>
      <c r="DB131" s="92">
        <f t="shared" si="2629"/>
        <v>666376.83703510533</v>
      </c>
      <c r="DC131" s="92">
        <f t="shared" si="2629"/>
        <v>667749.46421341354</v>
      </c>
      <c r="DD131" s="92">
        <f t="shared" si="2629"/>
        <v>669124.91877896828</v>
      </c>
      <c r="DE131" s="92">
        <f t="shared" si="2629"/>
        <v>670503.20655572473</v>
      </c>
      <c r="DF131" s="92">
        <f t="shared" si="2629"/>
        <v>671884.33337963407</v>
      </c>
      <c r="DG131" s="92">
        <f t="shared" si="2629"/>
        <v>673268.30509866867</v>
      </c>
      <c r="DH131" s="92">
        <f t="shared" si="2629"/>
        <v>674655.12757284637</v>
      </c>
      <c r="DI131" s="92">
        <f t="shared" si="2629"/>
        <v>676044.80667425622</v>
      </c>
      <c r="DJ131" s="92">
        <f t="shared" si="2629"/>
        <v>677437.34828708274</v>
      </c>
      <c r="DK131" s="92">
        <f t="shared" si="2629"/>
        <v>678832.75830763066</v>
      </c>
      <c r="DL131" s="92">
        <f t="shared" ref="DL131:EQ131" si="2630">+DL130+DL124</f>
        <v>680231.04264434997</v>
      </c>
      <c r="DM131" s="92">
        <f t="shared" si="2630"/>
        <v>681632.2072178619</v>
      </c>
      <c r="DN131" s="92">
        <f t="shared" si="2630"/>
        <v>683036.25796098227</v>
      </c>
      <c r="DO131" s="92">
        <f t="shared" si="2630"/>
        <v>684443.20081874798</v>
      </c>
      <c r="DP131" s="92">
        <f t="shared" si="2630"/>
        <v>685853.04174844164</v>
      </c>
      <c r="DQ131" s="92">
        <f t="shared" si="2630"/>
        <v>687265.78671961697</v>
      </c>
      <c r="DR131" s="92">
        <f t="shared" si="2630"/>
        <v>688681.44171412394</v>
      </c>
      <c r="DS131" s="92">
        <f t="shared" si="2630"/>
        <v>690100.01272613439</v>
      </c>
      <c r="DT131" s="92">
        <f t="shared" si="2630"/>
        <v>691521.50576216658</v>
      </c>
      <c r="DU131" s="92">
        <f t="shared" si="2630"/>
        <v>692945.92684111185</v>
      </c>
      <c r="DV131" s="92">
        <f t="shared" si="2630"/>
        <v>694373.28199425898</v>
      </c>
      <c r="DW131" s="92">
        <f t="shared" si="2630"/>
        <v>695803.57726532058</v>
      </c>
      <c r="DX131" s="92">
        <f t="shared" si="2630"/>
        <v>697236.81871045777</v>
      </c>
      <c r="DY131" s="92">
        <f t="shared" si="2630"/>
        <v>698673.01239830756</v>
      </c>
      <c r="DZ131" s="92">
        <f t="shared" si="2630"/>
        <v>700112.16441000591</v>
      </c>
      <c r="EA131" s="92">
        <f t="shared" si="2630"/>
        <v>701554.28083921561</v>
      </c>
      <c r="EB131" s="92">
        <f t="shared" si="2630"/>
        <v>702999.36779215152</v>
      </c>
      <c r="EC131" s="92">
        <f t="shared" si="2630"/>
        <v>704447.43138760643</v>
      </c>
      <c r="ED131" s="92">
        <f t="shared" si="2630"/>
        <v>705898.47775697627</v>
      </c>
      <c r="EE131" s="92">
        <f t="shared" si="2630"/>
        <v>707352.51304428664</v>
      </c>
      <c r="EF131" s="92">
        <f t="shared" si="2630"/>
        <v>708809.54340621992</v>
      </c>
      <c r="EG131" s="92">
        <f t="shared" si="2630"/>
        <v>710269.57501213858</v>
      </c>
      <c r="EH131" s="92">
        <f t="shared" si="2630"/>
        <v>711732.61404411437</v>
      </c>
      <c r="EI131" s="92">
        <f t="shared" si="2630"/>
        <v>713198.66669695254</v>
      </c>
      <c r="EJ131" s="92">
        <f t="shared" si="2630"/>
        <v>714667.73917821841</v>
      </c>
      <c r="EK131" s="92">
        <f t="shared" si="2630"/>
        <v>716139.83770826424</v>
      </c>
      <c r="EL131" s="92">
        <f t="shared" si="2630"/>
        <v>717614.96852025494</v>
      </c>
      <c r="EM131" s="92">
        <f t="shared" si="2630"/>
        <v>719093.13786019513</v>
      </c>
      <c r="EN131" s="92">
        <f t="shared" si="2630"/>
        <v>720574.35198695445</v>
      </c>
      <c r="EO131" s="92">
        <f t="shared" si="2630"/>
        <v>722058.61717229558</v>
      </c>
      <c r="EP131" s="92">
        <f t="shared" si="2630"/>
        <v>723545.93970089965</v>
      </c>
      <c r="EQ131" s="92">
        <f t="shared" si="2630"/>
        <v>725036.32587039308</v>
      </c>
      <c r="ER131" s="92">
        <f t="shared" ref="ER131:EU131" si="2631">+ER130+ER124</f>
        <v>726529.78199137433</v>
      </c>
      <c r="ES131" s="92">
        <f t="shared" si="2631"/>
        <v>728026.31438744115</v>
      </c>
      <c r="ET131" s="92">
        <f t="shared" si="2631"/>
        <v>729525.92939521628</v>
      </c>
      <c r="EU131" s="92">
        <f t="shared" si="2631"/>
        <v>731028.63336437533</v>
      </c>
      <c r="FC131" s="199"/>
      <c r="FD131" s="199"/>
      <c r="FE131" s="199"/>
      <c r="FF131" s="199"/>
      <c r="FG131" s="199"/>
      <c r="FH131" s="199"/>
      <c r="FI131" s="199"/>
      <c r="FJ131" s="199"/>
      <c r="FK131" s="199"/>
      <c r="FL131" s="199"/>
      <c r="FM131" s="199"/>
      <c r="FN131" s="199"/>
      <c r="FO131" s="199"/>
      <c r="FP131" s="199"/>
      <c r="FQ131" s="199"/>
      <c r="FR131" s="199"/>
      <c r="FS131" s="199"/>
      <c r="FT131" s="199"/>
      <c r="FU131" s="199"/>
      <c r="FV131" s="199"/>
      <c r="FW131" s="199"/>
      <c r="FX131" s="199"/>
      <c r="FY131" s="199"/>
      <c r="FZ131" s="199"/>
      <c r="GA131" s="199"/>
      <c r="GB131" s="199"/>
      <c r="GC131" s="199"/>
      <c r="GD131" s="199"/>
      <c r="GE131" s="199"/>
      <c r="GF131" s="199"/>
      <c r="GG131" s="199"/>
      <c r="GH131" s="199"/>
      <c r="GI131" s="199"/>
      <c r="GJ131" s="199"/>
      <c r="GK131" s="199"/>
      <c r="GL131" s="199"/>
      <c r="GM131" s="199"/>
      <c r="GN131" s="199"/>
      <c r="GO131" s="199"/>
      <c r="GP131" s="199"/>
      <c r="GQ131" s="199"/>
      <c r="GR131" s="199"/>
      <c r="GS131" s="199"/>
      <c r="GT131" s="199"/>
      <c r="GU131" s="199"/>
      <c r="GV131" s="199"/>
      <c r="GW131" s="199"/>
      <c r="GX131" s="199"/>
      <c r="GY131" s="199"/>
      <c r="GZ131" s="199"/>
      <c r="HA131" s="199"/>
      <c r="HB131" s="199"/>
      <c r="HC131" s="199"/>
      <c r="HD131" s="199"/>
      <c r="HE131" s="199"/>
      <c r="HF131" s="199"/>
      <c r="HG131" s="199"/>
      <c r="HH131" s="199"/>
      <c r="HI131" s="199"/>
      <c r="HJ131" s="199"/>
      <c r="HK131" s="199"/>
      <c r="HL131" s="199"/>
      <c r="HM131" s="199"/>
      <c r="HN131" s="199"/>
      <c r="HO131" s="199"/>
      <c r="HP131" s="199"/>
      <c r="HQ131" s="199"/>
      <c r="HR131" s="199"/>
      <c r="HS131" s="199"/>
      <c r="HT131" s="199"/>
      <c r="HU131" s="199"/>
      <c r="HV131" s="199"/>
      <c r="HW131" s="199"/>
      <c r="HX131" s="199"/>
      <c r="HY131" s="199"/>
      <c r="HZ131" s="199"/>
      <c r="IA131" s="199"/>
      <c r="IB131" s="199"/>
      <c r="IC131" s="199"/>
      <c r="ID131" s="199"/>
      <c r="IE131" s="199"/>
      <c r="IF131" s="199"/>
      <c r="IG131" s="199"/>
      <c r="IH131" s="199"/>
      <c r="II131" s="199"/>
      <c r="IJ131" s="199"/>
      <c r="IK131" s="199"/>
      <c r="IL131" s="199"/>
      <c r="IM131" s="199"/>
      <c r="IN131" s="199"/>
      <c r="IO131" s="199"/>
      <c r="IP131" s="199"/>
      <c r="IQ131" s="199"/>
      <c r="IR131" s="199"/>
      <c r="IS131" s="199"/>
      <c r="IT131" s="199"/>
      <c r="IU131" s="199"/>
      <c r="IV131" s="199"/>
      <c r="IW131" s="199"/>
      <c r="IX131" s="199"/>
      <c r="IY131" s="199"/>
      <c r="IZ131" s="199"/>
      <c r="JA131" s="199"/>
      <c r="JB131" s="199"/>
      <c r="JC131" s="199"/>
      <c r="JD131" s="199"/>
      <c r="JE131" s="199"/>
      <c r="JF131" s="199"/>
      <c r="JG131" s="199"/>
      <c r="JH131" s="199"/>
      <c r="JI131" s="199"/>
      <c r="JJ131" s="199"/>
      <c r="JK131" s="199"/>
      <c r="JL131" s="199"/>
      <c r="JM131" s="199"/>
      <c r="JN131" s="199"/>
      <c r="JO131" s="199"/>
      <c r="JP131" s="199"/>
      <c r="JQ131" s="199"/>
      <c r="JR131" s="199"/>
      <c r="JS131" s="199"/>
      <c r="JT131" s="199"/>
      <c r="JU131" s="199"/>
      <c r="JV131" s="199"/>
      <c r="JW131" s="199"/>
      <c r="JX131" s="199"/>
      <c r="JY131" s="199"/>
      <c r="JZ131" s="199"/>
      <c r="KA131" s="199"/>
      <c r="KB131" s="199"/>
      <c r="KC131" s="199"/>
      <c r="KD131" s="199"/>
      <c r="KE131" s="199"/>
      <c r="PQ131" s="201"/>
      <c r="PR131" s="201"/>
      <c r="PS131" s="201"/>
      <c r="PT131" s="201"/>
      <c r="PU131" s="201"/>
      <c r="PV131" s="201"/>
      <c r="PW131" s="201"/>
      <c r="PX131" s="201"/>
      <c r="PY131" s="201"/>
      <c r="PZ131" s="201"/>
      <c r="QA131" s="201"/>
      <c r="QB131" s="201"/>
      <c r="QC131" s="201"/>
      <c r="QD131" s="201"/>
      <c r="QE131" s="201"/>
      <c r="QF131" s="201"/>
      <c r="QG131" s="201"/>
      <c r="QH131" s="201"/>
      <c r="QI131" s="201"/>
      <c r="QJ131" s="201"/>
      <c r="QK131" s="201"/>
      <c r="QL131" s="201"/>
      <c r="QM131" s="201"/>
      <c r="QN131" s="201"/>
      <c r="QO131" s="201"/>
      <c r="QP131" s="201"/>
      <c r="QQ131" s="201"/>
      <c r="QR131" s="201"/>
      <c r="QS131" s="201"/>
      <c r="QT131" s="201"/>
      <c r="QU131" s="201"/>
      <c r="QV131" s="201"/>
      <c r="QW131" s="201"/>
      <c r="QX131" s="201"/>
      <c r="QY131" s="201"/>
      <c r="QZ131" s="201"/>
      <c r="RA131" s="201"/>
      <c r="RB131" s="201"/>
      <c r="RC131" s="201"/>
      <c r="RD131" s="201"/>
      <c r="RE131" s="201"/>
      <c r="RF131" s="201"/>
      <c r="RG131" s="201"/>
      <c r="RH131" s="201"/>
      <c r="RI131" s="201"/>
      <c r="RJ131" s="201"/>
      <c r="RK131" s="201"/>
      <c r="RL131" s="201"/>
      <c r="RM131" s="201"/>
      <c r="RN131" s="201"/>
      <c r="RO131" s="201"/>
      <c r="RP131" s="201"/>
      <c r="RQ131" s="201"/>
      <c r="RR131" s="201"/>
      <c r="RS131" s="201"/>
      <c r="RT131" s="201"/>
      <c r="RU131" s="201"/>
      <c r="RV131" s="201"/>
      <c r="RW131" s="201"/>
      <c r="RX131" s="201"/>
      <c r="RY131" s="201"/>
      <c r="RZ131" s="201"/>
      <c r="SA131" s="201"/>
      <c r="SB131" s="201"/>
      <c r="SC131" s="201"/>
      <c r="SD131" s="201"/>
      <c r="SE131" s="201"/>
      <c r="SF131" s="201"/>
      <c r="SG131" s="201"/>
      <c r="SH131" s="201"/>
      <c r="SI131" s="201"/>
      <c r="SJ131" s="201"/>
      <c r="SK131" s="201"/>
      <c r="SL131" s="201"/>
      <c r="SM131" s="201"/>
      <c r="SN131" s="201"/>
      <c r="SO131" s="201"/>
      <c r="SP131" s="201"/>
      <c r="SQ131" s="201"/>
      <c r="SR131" s="201"/>
      <c r="SS131" s="201"/>
      <c r="ST131" s="201"/>
      <c r="SU131" s="201"/>
      <c r="SV131" s="201"/>
      <c r="SW131" s="201"/>
      <c r="SX131" s="201"/>
      <c r="SY131" s="201"/>
      <c r="SZ131" s="201"/>
      <c r="TA131" s="201"/>
      <c r="TB131" s="201"/>
      <c r="TC131" s="201"/>
      <c r="TD131" s="201"/>
      <c r="TE131" s="201"/>
      <c r="TF131" s="201"/>
      <c r="TG131" s="201"/>
      <c r="TH131" s="201"/>
      <c r="TI131" s="201"/>
      <c r="TJ131" s="201"/>
      <c r="TK131" s="201"/>
      <c r="TL131" s="201"/>
      <c r="TM131" s="201"/>
      <c r="TN131" s="201"/>
      <c r="TO131" s="201"/>
      <c r="TP131" s="201"/>
      <c r="TQ131" s="201"/>
      <c r="TR131" s="201"/>
      <c r="TS131" s="201"/>
      <c r="TT131" s="201"/>
      <c r="TU131" s="201"/>
      <c r="TV131" s="201"/>
      <c r="TW131" s="201"/>
      <c r="TX131" s="201"/>
      <c r="TY131" s="201"/>
      <c r="TZ131" s="201"/>
      <c r="UA131" s="201"/>
      <c r="UB131" s="201"/>
      <c r="UC131" s="201"/>
      <c r="UD131" s="201"/>
      <c r="UE131" s="201"/>
      <c r="UF131" s="201"/>
      <c r="UG131" s="201"/>
      <c r="UH131" s="201"/>
      <c r="UI131" s="201"/>
      <c r="UJ131" s="201"/>
      <c r="UK131" s="201"/>
      <c r="UL131" s="201"/>
      <c r="UM131" s="201"/>
      <c r="UN131" s="201"/>
      <c r="UO131" s="201"/>
      <c r="UP131" s="201"/>
      <c r="UQ131" s="201"/>
      <c r="UR131" s="201"/>
      <c r="US131" s="201"/>
      <c r="UT131" s="201"/>
      <c r="UU131" s="201"/>
    </row>
    <row r="132" spans="1:567" x14ac:dyDescent="0.25">
      <c r="B132" s="107" t="s">
        <v>399</v>
      </c>
      <c r="C132" s="26"/>
      <c r="D132" s="67"/>
      <c r="E132" s="19" t="s">
        <v>623</v>
      </c>
      <c r="F132" s="131" t="s">
        <v>747</v>
      </c>
      <c r="G132" s="136">
        <v>7.0000000000000007E-2</v>
      </c>
      <c r="H132" s="131" t="s">
        <v>747</v>
      </c>
      <c r="I132" s="136">
        <v>0.05</v>
      </c>
      <c r="J132" s="149">
        <f>-((1-$E$120)*G132+$E$120*I132)*J131</f>
        <v>-382593.42207692307</v>
      </c>
      <c r="K132" s="129">
        <f>-I132*K131</f>
        <v>-342647.04000000004</v>
      </c>
      <c r="M132" s="3" t="s">
        <v>846</v>
      </c>
      <c r="S132" s="398"/>
      <c r="T132" s="92">
        <f>IF($E$132="Standard",-($G$132-($G$132-$I$132)*T109)*T131,-T112*T131)</f>
        <v>-30350.608935897435</v>
      </c>
      <c r="U132" s="92">
        <f t="shared" ref="U132:AY132" si="2632">IF($E$132="Standard",-($G$132-($G$132-$I$132)*U109)*U131,-U112*U131)</f>
        <v>-30295.553634615389</v>
      </c>
      <c r="V132" s="92">
        <f t="shared" si="2632"/>
        <v>-30234.213951923077</v>
      </c>
      <c r="W132" s="92">
        <f t="shared" si="2632"/>
        <v>-30166.542051282056</v>
      </c>
      <c r="X132" s="92">
        <f t="shared" si="2632"/>
        <v>-30092.490096153848</v>
      </c>
      <c r="Y132" s="92">
        <f t="shared" si="2632"/>
        <v>-30012.010249999999</v>
      </c>
      <c r="Z132" s="92">
        <f t="shared" si="2632"/>
        <v>-29925.054676282056</v>
      </c>
      <c r="AA132" s="92">
        <f t="shared" si="2632"/>
        <v>-29831.57553846154</v>
      </c>
      <c r="AB132" s="92">
        <f t="shared" si="2632"/>
        <v>-29731.525000000001</v>
      </c>
      <c r="AC132" s="92">
        <f t="shared" si="2632"/>
        <v>-29624.855224358977</v>
      </c>
      <c r="AD132" s="92">
        <f t="shared" si="2632"/>
        <v>-29511.518375</v>
      </c>
      <c r="AE132" s="92">
        <f t="shared" si="2632"/>
        <v>-29391.466615384619</v>
      </c>
      <c r="AF132" s="92">
        <f t="shared" si="2632"/>
        <v>-29324.93250081276</v>
      </c>
      <c r="AG132" s="92">
        <f t="shared" si="2632"/>
        <v>-29251.1609120709</v>
      </c>
      <c r="AH132" s="92">
        <f t="shared" si="2632"/>
        <v>-29170.06009614098</v>
      </c>
      <c r="AI132" s="92">
        <f t="shared" si="2632"/>
        <v>-29081.537725413436</v>
      </c>
      <c r="AJ132" s="92">
        <f t="shared" si="2632"/>
        <v>-28985.500895036937</v>
      </c>
      <c r="AK132" s="92">
        <f t="shared" si="2632"/>
        <v>-28881.856120257915</v>
      </c>
      <c r="AL132" s="92">
        <f t="shared" si="2632"/>
        <v>-28770.509333749589</v>
      </c>
      <c r="AM132" s="92">
        <f t="shared" si="2632"/>
        <v>-28651.365882930782</v>
      </c>
      <c r="AN132" s="92">
        <f t="shared" si="2632"/>
        <v>-28524.330527274313</v>
      </c>
      <c r="AO132" s="92">
        <f t="shared" si="2632"/>
        <v>-28389.307435604871</v>
      </c>
      <c r="AP132" s="92">
        <f t="shared" si="2632"/>
        <v>-28246.200183386591</v>
      </c>
      <c r="AQ132" s="92">
        <f t="shared" si="2632"/>
        <v>-28094.911749999959</v>
      </c>
      <c r="AR132" s="92">
        <f t="shared" si="2632"/>
        <v>-29328.054810063699</v>
      </c>
      <c r="AS132" s="92">
        <f t="shared" si="2632"/>
        <v>-29388.465801085411</v>
      </c>
      <c r="AT132" s="92">
        <f t="shared" si="2632"/>
        <v>-29449.001228857513</v>
      </c>
      <c r="AU132" s="92">
        <f t="shared" si="2632"/>
        <v>-29509.661349699363</v>
      </c>
      <c r="AV132" s="92">
        <f t="shared" si="2632"/>
        <v>-29570.446420458247</v>
      </c>
      <c r="AW132" s="92">
        <f t="shared" si="2632"/>
        <v>-29631.356698510554</v>
      </c>
      <c r="AX132" s="92">
        <f t="shared" si="2632"/>
        <v>-29692.392441762793</v>
      </c>
      <c r="AY132" s="92">
        <f t="shared" si="2632"/>
        <v>-29753.553908652739</v>
      </c>
      <c r="AZ132" s="92">
        <f t="shared" ref="AZ132:CE132" si="2633">IF($E$132="Standard",-($G$132-($G$132-$I$132)*AZ109)*AZ131,-AZ112*AZ131)</f>
        <v>-29814.841358150497</v>
      </c>
      <c r="BA132" s="92">
        <f t="shared" si="2633"/>
        <v>-29876.255049759628</v>
      </c>
      <c r="BB132" s="92">
        <f t="shared" si="2633"/>
        <v>-29937.795243518191</v>
      </c>
      <c r="BC132" s="92">
        <f t="shared" si="2633"/>
        <v>-29999.462199999918</v>
      </c>
      <c r="BD132" s="92">
        <f t="shared" si="2633"/>
        <v>-30061.256180315249</v>
      </c>
      <c r="BE132" s="92">
        <f t="shared" si="2633"/>
        <v>-30123.177446112502</v>
      </c>
      <c r="BF132" s="92">
        <f t="shared" si="2633"/>
        <v>-30185.226259578918</v>
      </c>
      <c r="BG132" s="92">
        <f t="shared" si="2633"/>
        <v>-30247.402883441806</v>
      </c>
      <c r="BH132" s="92">
        <f t="shared" si="2633"/>
        <v>-30309.707580969658</v>
      </c>
      <c r="BI132" s="92">
        <f t="shared" si="2633"/>
        <v>-30372.140615973269</v>
      </c>
      <c r="BJ132" s="92">
        <f t="shared" si="2633"/>
        <v>-30434.702252806819</v>
      </c>
      <c r="BK132" s="92">
        <f t="shared" si="2633"/>
        <v>-30497.392756369009</v>
      </c>
      <c r="BL132" s="92">
        <f t="shared" si="2633"/>
        <v>-30560.212392104222</v>
      </c>
      <c r="BM132" s="92">
        <f t="shared" si="2633"/>
        <v>-30623.161426003575</v>
      </c>
      <c r="BN132" s="92">
        <f t="shared" si="2633"/>
        <v>-30686.240124606109</v>
      </c>
      <c r="BO132" s="92">
        <f t="shared" si="2633"/>
        <v>-30749.448754999874</v>
      </c>
      <c r="BP132" s="92">
        <f t="shared" si="2633"/>
        <v>-30812.787584823091</v>
      </c>
      <c r="BQ132" s="92">
        <f t="shared" si="2633"/>
        <v>-30876.256882265276</v>
      </c>
      <c r="BR132" s="92">
        <f t="shared" si="2633"/>
        <v>-30939.856916068333</v>
      </c>
      <c r="BS132" s="92">
        <f t="shared" si="2633"/>
        <v>-31003.587955527801</v>
      </c>
      <c r="BT132" s="92">
        <f t="shared" si="2633"/>
        <v>-31067.45027049386</v>
      </c>
      <c r="BU132" s="92">
        <f t="shared" si="2633"/>
        <v>-31131.444131372562</v>
      </c>
      <c r="BV132" s="92">
        <f t="shared" si="2633"/>
        <v>-31195.569809126944</v>
      </c>
      <c r="BW132" s="92">
        <f t="shared" si="2633"/>
        <v>-31259.827575278196</v>
      </c>
      <c r="BX132" s="92">
        <f t="shared" si="2633"/>
        <v>-31324.217701906789</v>
      </c>
      <c r="BY132" s="92">
        <f t="shared" si="2633"/>
        <v>-31388.740461653622</v>
      </c>
      <c r="BZ132" s="92">
        <f t="shared" si="2633"/>
        <v>-31453.396127721215</v>
      </c>
      <c r="CA132" s="92">
        <f t="shared" si="2633"/>
        <v>-31518.184973874824</v>
      </c>
      <c r="CB132" s="92">
        <f t="shared" si="2633"/>
        <v>-31583.107274443628</v>
      </c>
      <c r="CC132" s="92">
        <f t="shared" si="2633"/>
        <v>-31648.163304321864</v>
      </c>
      <c r="CD132" s="92">
        <f t="shared" si="2633"/>
        <v>-31713.353338970006</v>
      </c>
      <c r="CE132" s="92">
        <f t="shared" si="2633"/>
        <v>-31778.677654415951</v>
      </c>
      <c r="CF132" s="92">
        <f t="shared" ref="CF132:DK132" si="2634">IF($E$132="Standard",-($G$132-($G$132-$I$132)*CF109)*CF131,-CF112*CF131)</f>
        <v>-31844.136527256167</v>
      </c>
      <c r="CG132" s="92">
        <f t="shared" si="2634"/>
        <v>-31909.730234656821</v>
      </c>
      <c r="CH132" s="92">
        <f t="shared" si="2634"/>
        <v>-31975.45905435508</v>
      </c>
      <c r="CI132" s="92">
        <f t="shared" si="2634"/>
        <v>-32041.323264660106</v>
      </c>
      <c r="CJ132" s="92">
        <f t="shared" si="2634"/>
        <v>-32107.323144454411</v>
      </c>
      <c r="CK132" s="92">
        <f t="shared" si="2634"/>
        <v>-32173.458973194916</v>
      </c>
      <c r="CL132" s="92">
        <f t="shared" si="2634"/>
        <v>-32239.731030914205</v>
      </c>
      <c r="CM132" s="92">
        <f t="shared" si="2634"/>
        <v>-32306.139598221653</v>
      </c>
      <c r="CN132" s="92">
        <f t="shared" si="2634"/>
        <v>-32372.684956304671</v>
      </c>
      <c r="CO132" s="92">
        <f t="shared" si="2634"/>
        <v>-32439.367386929855</v>
      </c>
      <c r="CP132" s="92">
        <f t="shared" si="2634"/>
        <v>-32506.187172444214</v>
      </c>
      <c r="CQ132" s="92">
        <f t="shared" si="2634"/>
        <v>-32573.144595776314</v>
      </c>
      <c r="CR132" s="92">
        <f t="shared" si="2634"/>
        <v>-32640.239940437525</v>
      </c>
      <c r="CS132" s="92">
        <f t="shared" si="2634"/>
        <v>-32707.473490523211</v>
      </c>
      <c r="CT132" s="92">
        <f t="shared" si="2634"/>
        <v>-32774.845530713901</v>
      </c>
      <c r="CU132" s="92">
        <f t="shared" si="2634"/>
        <v>-32842.356346276567</v>
      </c>
      <c r="CV132" s="92">
        <f t="shared" si="2634"/>
        <v>-32910.006223065728</v>
      </c>
      <c r="CW132" s="92">
        <f t="shared" si="2634"/>
        <v>-32977.795447524746</v>
      </c>
      <c r="CX132" s="92">
        <f t="shared" si="2634"/>
        <v>-33045.724306687007</v>
      </c>
      <c r="CY132" s="92">
        <f t="shared" si="2634"/>
        <v>-33113.793088177154</v>
      </c>
      <c r="CZ132" s="92">
        <f t="shared" si="2634"/>
        <v>-33182.002080212238</v>
      </c>
      <c r="DA132" s="92">
        <f t="shared" si="2634"/>
        <v>-33250.35157160306</v>
      </c>
      <c r="DB132" s="92">
        <f t="shared" si="2634"/>
        <v>-33318.841851755271</v>
      </c>
      <c r="DC132" s="92">
        <f t="shared" si="2634"/>
        <v>-33387.47321067068</v>
      </c>
      <c r="DD132" s="92">
        <f t="shared" si="2634"/>
        <v>-33456.245938948414</v>
      </c>
      <c r="DE132" s="92">
        <f t="shared" si="2634"/>
        <v>-33525.160327786238</v>
      </c>
      <c r="DF132" s="92">
        <f t="shared" si="2634"/>
        <v>-33594.216668981702</v>
      </c>
      <c r="DG132" s="92">
        <f t="shared" si="2634"/>
        <v>-33663.415254933432</v>
      </c>
      <c r="DH132" s="92">
        <f t="shared" si="2634"/>
        <v>-33732.75637864232</v>
      </c>
      <c r="DI132" s="92">
        <f t="shared" si="2634"/>
        <v>-33802.240333712813</v>
      </c>
      <c r="DJ132" s="92">
        <f t="shared" si="2634"/>
        <v>-33871.867414354136</v>
      </c>
      <c r="DK132" s="92">
        <f t="shared" si="2634"/>
        <v>-33941.637915381536</v>
      </c>
      <c r="DL132" s="92">
        <f t="shared" ref="DL132:EQ132" si="2635">IF($E$132="Standard",-($G$132-($G$132-$I$132)*DL109)*DL131,-DL112*DL131)</f>
        <v>-34011.552132217497</v>
      </c>
      <c r="DM132" s="92">
        <f t="shared" si="2635"/>
        <v>-34081.610360893093</v>
      </c>
      <c r="DN132" s="92">
        <f t="shared" si="2635"/>
        <v>-34151.812898049116</v>
      </c>
      <c r="DO132" s="92">
        <f t="shared" si="2635"/>
        <v>-34222.1600409374</v>
      </c>
      <c r="DP132" s="92">
        <f t="shared" si="2635"/>
        <v>-34292.652087422081</v>
      </c>
      <c r="DQ132" s="92">
        <f t="shared" si="2635"/>
        <v>-34363.289335980851</v>
      </c>
      <c r="DR132" s="92">
        <f t="shared" si="2635"/>
        <v>-34434.072085706197</v>
      </c>
      <c r="DS132" s="92">
        <f t="shared" si="2635"/>
        <v>-34505.000636306722</v>
      </c>
      <c r="DT132" s="92">
        <f t="shared" si="2635"/>
        <v>-34576.075288108332</v>
      </c>
      <c r="DU132" s="92">
        <f t="shared" si="2635"/>
        <v>-34647.296342055597</v>
      </c>
      <c r="DV132" s="92">
        <f t="shared" si="2635"/>
        <v>-34718.664099712951</v>
      </c>
      <c r="DW132" s="92">
        <f t="shared" si="2635"/>
        <v>-34790.178863266032</v>
      </c>
      <c r="DX132" s="92">
        <f t="shared" si="2635"/>
        <v>-34861.840935522887</v>
      </c>
      <c r="DY132" s="92">
        <f t="shared" si="2635"/>
        <v>-34933.650619915381</v>
      </c>
      <c r="DZ132" s="92">
        <f t="shared" si="2635"/>
        <v>-35005.608220500297</v>
      </c>
      <c r="EA132" s="92">
        <f t="shared" si="2635"/>
        <v>-35077.714041960782</v>
      </c>
      <c r="EB132" s="92">
        <f t="shared" si="2635"/>
        <v>-35149.96838960758</v>
      </c>
      <c r="EC132" s="92">
        <f t="shared" si="2635"/>
        <v>-35222.371569380324</v>
      </c>
      <c r="ED132" s="92">
        <f t="shared" si="2635"/>
        <v>-35294.923887848818</v>
      </c>
      <c r="EE132" s="92">
        <f t="shared" si="2635"/>
        <v>-35367.62565221433</v>
      </c>
      <c r="EF132" s="92">
        <f t="shared" si="2635"/>
        <v>-35440.477170310995</v>
      </c>
      <c r="EG132" s="92">
        <f t="shared" si="2635"/>
        <v>-35513.478750606933</v>
      </c>
      <c r="EH132" s="92">
        <f t="shared" si="2635"/>
        <v>-35586.630702205723</v>
      </c>
      <c r="EI132" s="92">
        <f t="shared" si="2635"/>
        <v>-35659.933334847628</v>
      </c>
      <c r="EJ132" s="92">
        <f t="shared" si="2635"/>
        <v>-35733.386958910924</v>
      </c>
      <c r="EK132" s="92">
        <f t="shared" si="2635"/>
        <v>-35806.991885413212</v>
      </c>
      <c r="EL132" s="92">
        <f t="shared" si="2635"/>
        <v>-35880.748426012746</v>
      </c>
      <c r="EM132" s="92">
        <f t="shared" si="2635"/>
        <v>-35954.656893009756</v>
      </c>
      <c r="EN132" s="92">
        <f t="shared" si="2635"/>
        <v>-36028.717599347721</v>
      </c>
      <c r="EO132" s="92">
        <f t="shared" si="2635"/>
        <v>-36102.930858614782</v>
      </c>
      <c r="EP132" s="92">
        <f t="shared" si="2635"/>
        <v>-36177.296985044981</v>
      </c>
      <c r="EQ132" s="92">
        <f t="shared" si="2635"/>
        <v>-36251.816293519652</v>
      </c>
      <c r="ER132" s="92">
        <f t="shared" ref="ER132:EU132" si="2636">IF($E$132="Standard",-($G$132-($G$132-$I$132)*ER109)*ER131,-ER112*ER131)</f>
        <v>-36326.489099568716</v>
      </c>
      <c r="ES132" s="92">
        <f t="shared" si="2636"/>
        <v>-36401.315719372062</v>
      </c>
      <c r="ET132" s="92">
        <f t="shared" si="2636"/>
        <v>-36476.296469760819</v>
      </c>
      <c r="EU132" s="92">
        <f t="shared" si="2636"/>
        <v>-36551.431668218771</v>
      </c>
      <c r="FC132" s="199"/>
      <c r="FD132" s="199"/>
      <c r="FE132" s="199"/>
      <c r="FF132" s="199"/>
      <c r="FG132" s="199"/>
      <c r="FH132" s="199"/>
      <c r="FI132" s="199"/>
      <c r="FJ132" s="199"/>
      <c r="FK132" s="199"/>
      <c r="FL132" s="199"/>
      <c r="FM132" s="199"/>
      <c r="FN132" s="199"/>
      <c r="FO132" s="199"/>
      <c r="FP132" s="199"/>
      <c r="FQ132" s="199"/>
      <c r="FR132" s="199"/>
      <c r="FS132" s="199"/>
      <c r="FT132" s="199"/>
      <c r="FU132" s="199"/>
      <c r="FV132" s="199"/>
      <c r="FW132" s="199"/>
      <c r="FX132" s="199"/>
      <c r="FY132" s="199"/>
      <c r="FZ132" s="199"/>
      <c r="GA132" s="199"/>
      <c r="GB132" s="199"/>
      <c r="GC132" s="199"/>
      <c r="GD132" s="199"/>
      <c r="GE132" s="199"/>
      <c r="GF132" s="199"/>
      <c r="GG132" s="199"/>
      <c r="GH132" s="199"/>
      <c r="GI132" s="199"/>
      <c r="GJ132" s="199"/>
      <c r="GK132" s="199"/>
      <c r="GL132" s="199"/>
      <c r="GM132" s="199"/>
      <c r="GN132" s="199"/>
      <c r="GO132" s="199"/>
      <c r="GP132" s="199"/>
      <c r="GQ132" s="199"/>
      <c r="GR132" s="199"/>
      <c r="GS132" s="199"/>
      <c r="GT132" s="199"/>
      <c r="GU132" s="199"/>
      <c r="GV132" s="199"/>
      <c r="GW132" s="199"/>
      <c r="GX132" s="199"/>
      <c r="GY132" s="199"/>
      <c r="GZ132" s="199"/>
      <c r="HA132" s="199"/>
      <c r="HB132" s="199"/>
      <c r="HC132" s="199"/>
      <c r="HD132" s="199"/>
      <c r="HE132" s="199"/>
      <c r="HF132" s="199"/>
      <c r="HG132" s="199"/>
      <c r="HH132" s="199"/>
      <c r="HI132" s="199"/>
      <c r="HJ132" s="199"/>
      <c r="HK132" s="199"/>
      <c r="HL132" s="199"/>
      <c r="HM132" s="199"/>
      <c r="HN132" s="199"/>
      <c r="HO132" s="199"/>
      <c r="HP132" s="199"/>
      <c r="HQ132" s="199"/>
      <c r="HR132" s="199"/>
      <c r="HS132" s="199"/>
      <c r="HT132" s="199"/>
      <c r="HU132" s="199"/>
      <c r="HV132" s="199"/>
      <c r="HW132" s="199"/>
      <c r="HX132" s="199"/>
      <c r="HY132" s="199"/>
      <c r="HZ132" s="199"/>
      <c r="IA132" s="199"/>
      <c r="IB132" s="199"/>
      <c r="IC132" s="199"/>
      <c r="ID132" s="199"/>
      <c r="IE132" s="199"/>
      <c r="IF132" s="199"/>
      <c r="IG132" s="199"/>
      <c r="IH132" s="199"/>
      <c r="II132" s="199"/>
      <c r="IJ132" s="199"/>
      <c r="IK132" s="199"/>
      <c r="IL132" s="199"/>
      <c r="IM132" s="199"/>
      <c r="IN132" s="199"/>
      <c r="IO132" s="199"/>
      <c r="IP132" s="199"/>
      <c r="IQ132" s="199"/>
      <c r="IR132" s="199"/>
      <c r="IS132" s="199"/>
      <c r="IT132" s="199"/>
      <c r="IU132" s="199"/>
      <c r="IV132" s="199"/>
      <c r="IW132" s="199"/>
      <c r="IX132" s="199"/>
      <c r="IY132" s="199"/>
      <c r="IZ132" s="199"/>
      <c r="JA132" s="199"/>
      <c r="JB132" s="199"/>
      <c r="JC132" s="199"/>
      <c r="JD132" s="199"/>
      <c r="JE132" s="199"/>
      <c r="JF132" s="199"/>
      <c r="JG132" s="199"/>
      <c r="JH132" s="199"/>
      <c r="JI132" s="199"/>
      <c r="JJ132" s="199"/>
      <c r="JK132" s="199"/>
      <c r="JL132" s="199"/>
      <c r="JM132" s="199"/>
      <c r="JN132" s="199"/>
      <c r="JO132" s="199"/>
      <c r="JP132" s="199"/>
      <c r="JQ132" s="199"/>
      <c r="JR132" s="199"/>
      <c r="JS132" s="199"/>
      <c r="JT132" s="199"/>
      <c r="JU132" s="199"/>
      <c r="JV132" s="199"/>
      <c r="JW132" s="199"/>
      <c r="JX132" s="199"/>
      <c r="JY132" s="199"/>
      <c r="JZ132" s="199"/>
      <c r="KA132" s="199"/>
      <c r="KB132" s="199"/>
      <c r="KC132" s="199"/>
      <c r="KD132" s="199"/>
      <c r="KE132" s="199"/>
      <c r="PQ132" s="201"/>
      <c r="PR132" s="201"/>
      <c r="PS132" s="201"/>
      <c r="PT132" s="201"/>
      <c r="PU132" s="201"/>
      <c r="PV132" s="201"/>
      <c r="PW132" s="201"/>
      <c r="PX132" s="201"/>
      <c r="PY132" s="201"/>
      <c r="PZ132" s="201"/>
      <c r="QA132" s="201"/>
      <c r="QB132" s="201"/>
      <c r="QC132" s="201"/>
      <c r="QD132" s="201"/>
      <c r="QE132" s="201"/>
      <c r="QF132" s="201"/>
      <c r="QG132" s="201"/>
      <c r="QH132" s="201"/>
      <c r="QI132" s="201"/>
      <c r="QJ132" s="201"/>
      <c r="QK132" s="201"/>
      <c r="QL132" s="201"/>
      <c r="QM132" s="201"/>
      <c r="QN132" s="201"/>
      <c r="QO132" s="201"/>
      <c r="QP132" s="201"/>
      <c r="QQ132" s="201"/>
      <c r="QR132" s="201"/>
      <c r="QS132" s="201"/>
      <c r="QT132" s="201"/>
      <c r="QU132" s="201"/>
      <c r="QV132" s="201"/>
      <c r="QW132" s="201"/>
      <c r="QX132" s="201"/>
      <c r="QY132" s="201"/>
      <c r="QZ132" s="201"/>
      <c r="RA132" s="201"/>
      <c r="RB132" s="201"/>
      <c r="RC132" s="201"/>
      <c r="RD132" s="201"/>
      <c r="RE132" s="201"/>
      <c r="RF132" s="201"/>
      <c r="RG132" s="201"/>
      <c r="RH132" s="201"/>
      <c r="RI132" s="201"/>
      <c r="RJ132" s="201"/>
      <c r="RK132" s="201"/>
      <c r="RL132" s="201"/>
      <c r="RM132" s="201"/>
      <c r="RN132" s="201"/>
      <c r="RO132" s="201"/>
      <c r="RP132" s="201"/>
      <c r="RQ132" s="201"/>
      <c r="RR132" s="201"/>
      <c r="RS132" s="201"/>
      <c r="RT132" s="201"/>
      <c r="RU132" s="201"/>
      <c r="RV132" s="201"/>
      <c r="RW132" s="201"/>
      <c r="RX132" s="201"/>
      <c r="RY132" s="201"/>
      <c r="RZ132" s="201"/>
      <c r="SA132" s="201"/>
      <c r="SB132" s="201"/>
      <c r="SC132" s="201"/>
      <c r="SD132" s="201"/>
      <c r="SE132" s="201"/>
      <c r="SF132" s="201"/>
      <c r="SG132" s="201"/>
      <c r="SH132" s="201"/>
      <c r="SI132" s="201"/>
      <c r="SJ132" s="201"/>
      <c r="SK132" s="201"/>
      <c r="SL132" s="201"/>
      <c r="SM132" s="201"/>
      <c r="SN132" s="201"/>
      <c r="SO132" s="201"/>
      <c r="SP132" s="201"/>
      <c r="SQ132" s="201"/>
      <c r="SR132" s="201"/>
      <c r="SS132" s="201"/>
      <c r="ST132" s="201"/>
      <c r="SU132" s="201"/>
      <c r="SV132" s="201"/>
      <c r="SW132" s="201"/>
      <c r="SX132" s="201"/>
      <c r="SY132" s="201"/>
      <c r="SZ132" s="201"/>
      <c r="TA132" s="201"/>
      <c r="TB132" s="201"/>
      <c r="TC132" s="201"/>
      <c r="TD132" s="201"/>
      <c r="TE132" s="201"/>
      <c r="TF132" s="201"/>
      <c r="TG132" s="201"/>
      <c r="TH132" s="201"/>
      <c r="TI132" s="201"/>
      <c r="TJ132" s="201"/>
      <c r="TK132" s="201"/>
      <c r="TL132" s="201"/>
      <c r="TM132" s="201"/>
      <c r="TN132" s="201"/>
      <c r="TO132" s="201"/>
      <c r="TP132" s="201"/>
      <c r="TQ132" s="201"/>
      <c r="TR132" s="201"/>
      <c r="TS132" s="201"/>
      <c r="TT132" s="201"/>
      <c r="TU132" s="201"/>
      <c r="TV132" s="201"/>
      <c r="TW132" s="201"/>
      <c r="TX132" s="201"/>
      <c r="TY132" s="201"/>
      <c r="TZ132" s="201"/>
      <c r="UA132" s="201"/>
      <c r="UB132" s="201"/>
      <c r="UC132" s="201"/>
      <c r="UD132" s="201"/>
      <c r="UE132" s="201"/>
      <c r="UF132" s="201"/>
      <c r="UG132" s="201"/>
      <c r="UH132" s="201"/>
      <c r="UI132" s="201"/>
      <c r="UJ132" s="201"/>
      <c r="UK132" s="201"/>
      <c r="UL132" s="201"/>
      <c r="UM132" s="201"/>
      <c r="UN132" s="201"/>
      <c r="UO132" s="201"/>
      <c r="UP132" s="201"/>
      <c r="UQ132" s="201"/>
      <c r="UR132" s="201"/>
      <c r="US132" s="201"/>
      <c r="UT132" s="201"/>
      <c r="UU132" s="201"/>
    </row>
    <row r="133" spans="1:567" ht="15.6" x14ac:dyDescent="0.4">
      <c r="B133" s="107" t="s">
        <v>400</v>
      </c>
      <c r="C133" s="26"/>
      <c r="D133" s="67"/>
      <c r="E133" s="19"/>
      <c r="F133" s="131" t="s">
        <v>747</v>
      </c>
      <c r="G133" s="136">
        <v>0.01</v>
      </c>
      <c r="H133" s="131" t="s">
        <v>747</v>
      </c>
      <c r="I133" s="136">
        <f>+G133</f>
        <v>0.01</v>
      </c>
      <c r="J133" s="400">
        <f>-((1-$E$120)*G133+$E$120*I133)*J131</f>
        <v>-54656.203153846152</v>
      </c>
      <c r="K133" s="401">
        <f>-I133*K131</f>
        <v>-68529.407999999996</v>
      </c>
      <c r="M133" s="3" t="s">
        <v>847</v>
      </c>
      <c r="S133" s="398"/>
      <c r="T133" s="399">
        <f>IF($E$132="Standard",-($G$133-($G$133-$I$133)*T109)*T131,-T113*T131)</f>
        <v>-4388.0398461538462</v>
      </c>
      <c r="U133" s="96">
        <f t="shared" ref="U133:CF133" si="2637">IF($E$132="Standard",-($G$133-($G$133-$I$133)*U109)*U131,-U113*U131)</f>
        <v>-4433.4956538461538</v>
      </c>
      <c r="V133" s="96">
        <f t="shared" si="2637"/>
        <v>-4479.1428076923075</v>
      </c>
      <c r="W133" s="96">
        <f t="shared" si="2637"/>
        <v>-4524.9813076923083</v>
      </c>
      <c r="X133" s="96">
        <f t="shared" si="2637"/>
        <v>-4571.0111538461542</v>
      </c>
      <c r="Y133" s="96">
        <f t="shared" si="2637"/>
        <v>-4617.2323461538463</v>
      </c>
      <c r="Z133" s="96">
        <f t="shared" si="2637"/>
        <v>-4663.6448846153844</v>
      </c>
      <c r="AA133" s="96">
        <f t="shared" si="2637"/>
        <v>-4710.2487692307695</v>
      </c>
      <c r="AB133" s="96">
        <f t="shared" si="2637"/>
        <v>-4757.0440000000008</v>
      </c>
      <c r="AC133" s="96">
        <f t="shared" si="2637"/>
        <v>-4804.0305769230772</v>
      </c>
      <c r="AD133" s="96">
        <f t="shared" si="2637"/>
        <v>-4851.2084999999997</v>
      </c>
      <c r="AE133" s="96">
        <f t="shared" si="2637"/>
        <v>-4898.5777692307693</v>
      </c>
      <c r="AF133" s="96">
        <f t="shared" si="2637"/>
        <v>-4956.3266198556776</v>
      </c>
      <c r="AG133" s="96">
        <f t="shared" si="2637"/>
        <v>-5014.4847277835825</v>
      </c>
      <c r="AH133" s="96">
        <f t="shared" si="2637"/>
        <v>-5073.0539297636487</v>
      </c>
      <c r="AI133" s="96">
        <f t="shared" si="2637"/>
        <v>-5132.0360691906062</v>
      </c>
      <c r="AJ133" s="96">
        <f t="shared" si="2637"/>
        <v>-5191.4329961260182</v>
      </c>
      <c r="AK133" s="96">
        <f t="shared" si="2637"/>
        <v>-5251.2465673196202</v>
      </c>
      <c r="AL133" s="96">
        <f t="shared" si="2637"/>
        <v>-5311.4786462306929</v>
      </c>
      <c r="AM133" s="96">
        <f t="shared" si="2637"/>
        <v>-5372.1311030495217</v>
      </c>
      <c r="AN133" s="96">
        <f t="shared" si="2637"/>
        <v>-5433.2058147189164</v>
      </c>
      <c r="AO133" s="96">
        <f t="shared" si="2637"/>
        <v>-5494.7046649557815</v>
      </c>
      <c r="AP133" s="96">
        <f t="shared" si="2637"/>
        <v>-5556.6295442727724</v>
      </c>
      <c r="AQ133" s="96">
        <f t="shared" si="2637"/>
        <v>-5618.982349999992</v>
      </c>
      <c r="AR133" s="96">
        <f t="shared" si="2637"/>
        <v>-5865.6109620127399</v>
      </c>
      <c r="AS133" s="96">
        <f t="shared" si="2637"/>
        <v>-5877.6931602170816</v>
      </c>
      <c r="AT133" s="96">
        <f t="shared" si="2637"/>
        <v>-5889.8002457715029</v>
      </c>
      <c r="AU133" s="96">
        <f t="shared" si="2637"/>
        <v>-5901.9322699398726</v>
      </c>
      <c r="AV133" s="96">
        <f t="shared" si="2637"/>
        <v>-5914.0892840916486</v>
      </c>
      <c r="AW133" s="96">
        <f t="shared" si="2637"/>
        <v>-5926.2713397021107</v>
      </c>
      <c r="AX133" s="96">
        <f t="shared" si="2637"/>
        <v>-5938.4784883525581</v>
      </c>
      <c r="AY133" s="96">
        <f t="shared" si="2637"/>
        <v>-5950.7107817305478</v>
      </c>
      <c r="AZ133" s="96">
        <f t="shared" si="2637"/>
        <v>-5962.9682716300995</v>
      </c>
      <c r="BA133" s="96">
        <f t="shared" si="2637"/>
        <v>-5975.2510099519259</v>
      </c>
      <c r="BB133" s="96">
        <f t="shared" si="2637"/>
        <v>-5987.5590487036379</v>
      </c>
      <c r="BC133" s="96">
        <f t="shared" si="2637"/>
        <v>-5999.8924399999833</v>
      </c>
      <c r="BD133" s="96">
        <f t="shared" si="2637"/>
        <v>-6012.2512360630499</v>
      </c>
      <c r="BE133" s="96">
        <f t="shared" si="2637"/>
        <v>-6024.6354892225008</v>
      </c>
      <c r="BF133" s="96">
        <f t="shared" si="2637"/>
        <v>-6037.0452519157834</v>
      </c>
      <c r="BG133" s="96">
        <f t="shared" si="2637"/>
        <v>-6049.480576688361</v>
      </c>
      <c r="BH133" s="96">
        <f t="shared" si="2637"/>
        <v>-6061.9415161939314</v>
      </c>
      <c r="BI133" s="96">
        <f t="shared" si="2637"/>
        <v>-6074.4281231946534</v>
      </c>
      <c r="BJ133" s="96">
        <f t="shared" si="2637"/>
        <v>-6086.9404505613629</v>
      </c>
      <c r="BK133" s="96">
        <f t="shared" si="2637"/>
        <v>-6099.4785512738008</v>
      </c>
      <c r="BL133" s="96">
        <f t="shared" si="2637"/>
        <v>-6112.0424784208444</v>
      </c>
      <c r="BM133" s="96">
        <f t="shared" si="2637"/>
        <v>-6124.6322852007152</v>
      </c>
      <c r="BN133" s="96">
        <f t="shared" si="2637"/>
        <v>-6137.2480249212222</v>
      </c>
      <c r="BO133" s="96">
        <f t="shared" si="2637"/>
        <v>-6149.8897509999751</v>
      </c>
      <c r="BP133" s="96">
        <f t="shared" si="2637"/>
        <v>-6162.5575169646181</v>
      </c>
      <c r="BQ133" s="96">
        <f t="shared" si="2637"/>
        <v>-6175.2513764530549</v>
      </c>
      <c r="BR133" s="96">
        <f t="shared" si="2637"/>
        <v>-6187.9713832136667</v>
      </c>
      <c r="BS133" s="96">
        <f t="shared" si="2637"/>
        <v>-6200.7175911055601</v>
      </c>
      <c r="BT133" s="96">
        <f t="shared" si="2637"/>
        <v>-6213.4900540987719</v>
      </c>
      <c r="BU133" s="96">
        <f t="shared" si="2637"/>
        <v>-6226.2888262745118</v>
      </c>
      <c r="BV133" s="96">
        <f t="shared" si="2637"/>
        <v>-6239.1139618253883</v>
      </c>
      <c r="BW133" s="96">
        <f t="shared" si="2637"/>
        <v>-6251.9655150556391</v>
      </c>
      <c r="BX133" s="96">
        <f t="shared" si="2637"/>
        <v>-6264.8435403813573</v>
      </c>
      <c r="BY133" s="96">
        <f t="shared" si="2637"/>
        <v>-6277.7480923307248</v>
      </c>
      <c r="BZ133" s="96">
        <f t="shared" si="2637"/>
        <v>-6290.6792255442424</v>
      </c>
      <c r="CA133" s="96">
        <f t="shared" si="2637"/>
        <v>-6303.6369947749645</v>
      </c>
      <c r="CB133" s="96">
        <f t="shared" si="2637"/>
        <v>-6316.6214548887256</v>
      </c>
      <c r="CC133" s="96">
        <f t="shared" si="2637"/>
        <v>-6329.6326608643731</v>
      </c>
      <c r="CD133" s="96">
        <f t="shared" si="2637"/>
        <v>-6342.670667794001</v>
      </c>
      <c r="CE133" s="96">
        <f t="shared" si="2637"/>
        <v>-6355.7355308831902</v>
      </c>
      <c r="CF133" s="96">
        <f t="shared" si="2637"/>
        <v>-6368.8273054512338</v>
      </c>
      <c r="CG133" s="96">
        <f t="shared" ref="CG133:ER133" si="2638">IF($E$132="Standard",-($G$133-($G$133-$I$133)*CG109)*CG131,-CG113*CG131)</f>
        <v>-6381.9460469313644</v>
      </c>
      <c r="CH133" s="96">
        <f t="shared" si="2638"/>
        <v>-6395.0918108710157</v>
      </c>
      <c r="CI133" s="96">
        <f t="shared" si="2638"/>
        <v>-6408.2646529320209</v>
      </c>
      <c r="CJ133" s="96">
        <f t="shared" si="2638"/>
        <v>-6421.4646288908825</v>
      </c>
      <c r="CK133" s="96">
        <f t="shared" si="2638"/>
        <v>-6434.6917946389831</v>
      </c>
      <c r="CL133" s="96">
        <f t="shared" si="2638"/>
        <v>-6447.9462061828408</v>
      </c>
      <c r="CM133" s="96">
        <f t="shared" si="2638"/>
        <v>-6461.2279196443305</v>
      </c>
      <c r="CN133" s="96">
        <f t="shared" si="2638"/>
        <v>-6474.536991260934</v>
      </c>
      <c r="CO133" s="96">
        <f t="shared" si="2638"/>
        <v>-6487.8734773859705</v>
      </c>
      <c r="CP133" s="96">
        <f t="shared" si="2638"/>
        <v>-6501.2374344888422</v>
      </c>
      <c r="CQ133" s="96">
        <f t="shared" si="2638"/>
        <v>-6514.6289191552623</v>
      </c>
      <c r="CR133" s="96">
        <f t="shared" si="2638"/>
        <v>-6528.0479880875046</v>
      </c>
      <c r="CS133" s="96">
        <f t="shared" si="2638"/>
        <v>-6541.4946981046423</v>
      </c>
      <c r="CT133" s="96">
        <f t="shared" si="2638"/>
        <v>-6554.9691061427802</v>
      </c>
      <c r="CU133" s="96">
        <f t="shared" si="2638"/>
        <v>-6568.471269255313</v>
      </c>
      <c r="CV133" s="96">
        <f t="shared" si="2638"/>
        <v>-6582.001244613145</v>
      </c>
      <c r="CW133" s="96">
        <f t="shared" si="2638"/>
        <v>-6595.5590895049481</v>
      </c>
      <c r="CX133" s="96">
        <f t="shared" si="2638"/>
        <v>-6609.1448613374005</v>
      </c>
      <c r="CY133" s="96">
        <f t="shared" si="2638"/>
        <v>-6622.7586176354298</v>
      </c>
      <c r="CZ133" s="96">
        <f t="shared" si="2638"/>
        <v>-6636.4004160424474</v>
      </c>
      <c r="DA133" s="96">
        <f t="shared" si="2638"/>
        <v>-6650.070314320611</v>
      </c>
      <c r="DB133" s="96">
        <f t="shared" si="2638"/>
        <v>-6663.7683703510538</v>
      </c>
      <c r="DC133" s="96">
        <f t="shared" si="2638"/>
        <v>-6677.4946421341356</v>
      </c>
      <c r="DD133" s="96">
        <f t="shared" si="2638"/>
        <v>-6691.2491877896828</v>
      </c>
      <c r="DE133" s="96">
        <f t="shared" si="2638"/>
        <v>-6705.0320655572477</v>
      </c>
      <c r="DF133" s="96">
        <f t="shared" si="2638"/>
        <v>-6718.8433337963406</v>
      </c>
      <c r="DG133" s="96">
        <f t="shared" si="2638"/>
        <v>-6732.6830509866868</v>
      </c>
      <c r="DH133" s="96">
        <f t="shared" si="2638"/>
        <v>-6746.5512757284641</v>
      </c>
      <c r="DI133" s="96">
        <f t="shared" si="2638"/>
        <v>-6760.4480667425623</v>
      </c>
      <c r="DJ133" s="96">
        <f t="shared" si="2638"/>
        <v>-6774.3734828708275</v>
      </c>
      <c r="DK133" s="96">
        <f t="shared" si="2638"/>
        <v>-6788.3275830763068</v>
      </c>
      <c r="DL133" s="96">
        <f t="shared" si="2638"/>
        <v>-6802.3104264434996</v>
      </c>
      <c r="DM133" s="96">
        <f t="shared" si="2638"/>
        <v>-6816.3220721786192</v>
      </c>
      <c r="DN133" s="96">
        <f t="shared" si="2638"/>
        <v>-6830.3625796098231</v>
      </c>
      <c r="DO133" s="96">
        <f t="shared" si="2638"/>
        <v>-6844.4320081874803</v>
      </c>
      <c r="DP133" s="96">
        <f t="shared" si="2638"/>
        <v>-6858.5304174844168</v>
      </c>
      <c r="DQ133" s="96">
        <f t="shared" si="2638"/>
        <v>-6872.6578671961697</v>
      </c>
      <c r="DR133" s="96">
        <f t="shared" si="2638"/>
        <v>-6886.8144171412396</v>
      </c>
      <c r="DS133" s="96">
        <f t="shared" si="2638"/>
        <v>-6901.0001272613445</v>
      </c>
      <c r="DT133" s="96">
        <f t="shared" si="2638"/>
        <v>-6915.2150576216663</v>
      </c>
      <c r="DU133" s="96">
        <f t="shared" si="2638"/>
        <v>-6929.4592684111185</v>
      </c>
      <c r="DV133" s="96">
        <f t="shared" si="2638"/>
        <v>-6943.7328199425901</v>
      </c>
      <c r="DW133" s="96">
        <f t="shared" si="2638"/>
        <v>-6958.0357726532056</v>
      </c>
      <c r="DX133" s="96">
        <f t="shared" si="2638"/>
        <v>-6972.3681871045774</v>
      </c>
      <c r="DY133" s="96">
        <f t="shared" si="2638"/>
        <v>-6986.7301239830758</v>
      </c>
      <c r="DZ133" s="96">
        <f t="shared" si="2638"/>
        <v>-7001.1216441000588</v>
      </c>
      <c r="EA133" s="96">
        <f t="shared" si="2638"/>
        <v>-7015.5428083921561</v>
      </c>
      <c r="EB133" s="96">
        <f t="shared" si="2638"/>
        <v>-7029.993677921515</v>
      </c>
      <c r="EC133" s="96">
        <f t="shared" si="2638"/>
        <v>-7044.4743138760641</v>
      </c>
      <c r="ED133" s="96">
        <f t="shared" si="2638"/>
        <v>-7058.9847775697626</v>
      </c>
      <c r="EE133" s="96">
        <f t="shared" si="2638"/>
        <v>-7073.5251304428666</v>
      </c>
      <c r="EF133" s="96">
        <f t="shared" si="2638"/>
        <v>-7088.0954340621993</v>
      </c>
      <c r="EG133" s="96">
        <f t="shared" si="2638"/>
        <v>-7102.6957501213856</v>
      </c>
      <c r="EH133" s="96">
        <f t="shared" si="2638"/>
        <v>-7117.3261404411442</v>
      </c>
      <c r="EI133" s="96">
        <f t="shared" si="2638"/>
        <v>-7131.9866669695257</v>
      </c>
      <c r="EJ133" s="96">
        <f t="shared" si="2638"/>
        <v>-7146.6773917821847</v>
      </c>
      <c r="EK133" s="96">
        <f t="shared" si="2638"/>
        <v>-7161.3983770826426</v>
      </c>
      <c r="EL133" s="96">
        <f t="shared" si="2638"/>
        <v>-7176.1496852025493</v>
      </c>
      <c r="EM133" s="96">
        <f t="shared" si="2638"/>
        <v>-7190.9313786019511</v>
      </c>
      <c r="EN133" s="96">
        <f t="shared" si="2638"/>
        <v>-7205.7435198695448</v>
      </c>
      <c r="EO133" s="96">
        <f t="shared" si="2638"/>
        <v>-7220.5861717229564</v>
      </c>
      <c r="EP133" s="96">
        <f t="shared" si="2638"/>
        <v>-7235.4593970089963</v>
      </c>
      <c r="EQ133" s="96">
        <f t="shared" si="2638"/>
        <v>-7250.363258703931</v>
      </c>
      <c r="ER133" s="96">
        <f t="shared" si="2638"/>
        <v>-7265.2978199137433</v>
      </c>
      <c r="ES133" s="96">
        <f t="shared" ref="ES133:EU133" si="2639">IF($E$132="Standard",-($G$133-($G$133-$I$133)*ES109)*ES131,-ES113*ES131)</f>
        <v>-7280.263143874412</v>
      </c>
      <c r="ET133" s="96">
        <f t="shared" si="2639"/>
        <v>-7295.2592939521628</v>
      </c>
      <c r="EU133" s="96">
        <f t="shared" si="2639"/>
        <v>-7310.2863336437531</v>
      </c>
      <c r="FC133" s="199"/>
      <c r="FD133" s="199"/>
      <c r="FE133" s="199"/>
      <c r="FF133" s="199"/>
      <c r="FG133" s="199"/>
      <c r="FH133" s="199"/>
      <c r="FI133" s="199"/>
      <c r="FJ133" s="199"/>
      <c r="FK133" s="199"/>
      <c r="FL133" s="199"/>
      <c r="FM133" s="199"/>
      <c r="FN133" s="199"/>
      <c r="FO133" s="199"/>
      <c r="FP133" s="199"/>
      <c r="FQ133" s="199"/>
      <c r="FR133" s="199"/>
      <c r="FS133" s="199"/>
      <c r="FT133" s="199"/>
      <c r="FU133" s="199"/>
      <c r="FV133" s="199"/>
      <c r="FW133" s="199"/>
      <c r="FX133" s="199"/>
      <c r="FY133" s="199"/>
      <c r="FZ133" s="199"/>
      <c r="GA133" s="199"/>
      <c r="GB133" s="199"/>
      <c r="GC133" s="199"/>
      <c r="GD133" s="199"/>
      <c r="GE133" s="199"/>
      <c r="GF133" s="199"/>
      <c r="GG133" s="199"/>
      <c r="GH133" s="199"/>
      <c r="GI133" s="199"/>
      <c r="GJ133" s="199"/>
      <c r="GK133" s="199"/>
      <c r="GL133" s="199"/>
      <c r="GM133" s="199"/>
      <c r="GN133" s="199"/>
      <c r="GO133" s="199"/>
      <c r="GP133" s="199"/>
      <c r="GQ133" s="199"/>
      <c r="GR133" s="199"/>
      <c r="GS133" s="199"/>
      <c r="GT133" s="199"/>
      <c r="GU133" s="199"/>
      <c r="GV133" s="199"/>
      <c r="GW133" s="199"/>
      <c r="GX133" s="199"/>
      <c r="GY133" s="199"/>
      <c r="GZ133" s="199"/>
      <c r="HA133" s="199"/>
      <c r="HB133" s="199"/>
      <c r="HC133" s="199"/>
      <c r="HD133" s="199"/>
      <c r="HE133" s="199"/>
      <c r="HF133" s="199"/>
      <c r="HG133" s="199"/>
      <c r="HH133" s="199"/>
      <c r="HI133" s="199"/>
      <c r="HJ133" s="199"/>
      <c r="HK133" s="199"/>
      <c r="HL133" s="199"/>
      <c r="HM133" s="199"/>
      <c r="HN133" s="199"/>
      <c r="HO133" s="199"/>
      <c r="HP133" s="199"/>
      <c r="HQ133" s="199"/>
      <c r="HR133" s="199"/>
      <c r="HS133" s="199"/>
      <c r="HT133" s="199"/>
      <c r="HU133" s="199"/>
      <c r="HV133" s="199"/>
      <c r="HW133" s="199"/>
      <c r="HX133" s="199"/>
      <c r="HY133" s="199"/>
      <c r="HZ133" s="199"/>
      <c r="IA133" s="199"/>
      <c r="IB133" s="199"/>
      <c r="IC133" s="199"/>
      <c r="ID133" s="199"/>
      <c r="IE133" s="199"/>
      <c r="IF133" s="199"/>
      <c r="IG133" s="199"/>
      <c r="IH133" s="199"/>
      <c r="II133" s="199"/>
      <c r="IJ133" s="199"/>
      <c r="IK133" s="199"/>
      <c r="IL133" s="199"/>
      <c r="IM133" s="199"/>
      <c r="IN133" s="199"/>
      <c r="IO133" s="199"/>
      <c r="IP133" s="199"/>
      <c r="IQ133" s="199"/>
      <c r="IR133" s="199"/>
      <c r="IS133" s="199"/>
      <c r="IT133" s="199"/>
      <c r="IU133" s="199"/>
      <c r="IV133" s="199"/>
      <c r="IW133" s="199"/>
      <c r="IX133" s="199"/>
      <c r="IY133" s="199"/>
      <c r="IZ133" s="199"/>
      <c r="JA133" s="199"/>
      <c r="JB133" s="199"/>
      <c r="JC133" s="199"/>
      <c r="JD133" s="199"/>
      <c r="JE133" s="199"/>
      <c r="JF133" s="199"/>
      <c r="JG133" s="199"/>
      <c r="JH133" s="199"/>
      <c r="JI133" s="199"/>
      <c r="JJ133" s="199"/>
      <c r="JK133" s="199"/>
      <c r="JL133" s="199"/>
      <c r="JM133" s="199"/>
      <c r="JN133" s="199"/>
      <c r="JO133" s="199"/>
      <c r="JP133" s="199"/>
      <c r="JQ133" s="199"/>
      <c r="JR133" s="199"/>
      <c r="JS133" s="199"/>
      <c r="JT133" s="199"/>
      <c r="JU133" s="199"/>
      <c r="JV133" s="199"/>
      <c r="JW133" s="199"/>
      <c r="JX133" s="199"/>
      <c r="JY133" s="199"/>
      <c r="JZ133" s="199"/>
      <c r="KA133" s="199"/>
      <c r="KB133" s="199"/>
      <c r="KC133" s="199"/>
      <c r="KD133" s="199"/>
      <c r="KE133" s="199"/>
      <c r="PQ133" s="201"/>
      <c r="PR133" s="201"/>
      <c r="PS133" s="201"/>
      <c r="PT133" s="201"/>
      <c r="PU133" s="201"/>
      <c r="PV133" s="201"/>
      <c r="PW133" s="201"/>
      <c r="PX133" s="201"/>
      <c r="PY133" s="201"/>
      <c r="PZ133" s="201"/>
      <c r="QA133" s="201"/>
      <c r="QB133" s="201"/>
      <c r="QC133" s="201"/>
      <c r="QD133" s="201"/>
      <c r="QE133" s="201"/>
      <c r="QF133" s="201"/>
      <c r="QG133" s="201"/>
      <c r="QH133" s="201"/>
      <c r="QI133" s="201"/>
      <c r="QJ133" s="201"/>
      <c r="QK133" s="201"/>
      <c r="QL133" s="201"/>
      <c r="QM133" s="201"/>
      <c r="QN133" s="201"/>
      <c r="QO133" s="201"/>
      <c r="QP133" s="201"/>
      <c r="QQ133" s="201"/>
      <c r="QR133" s="201"/>
      <c r="QS133" s="201"/>
      <c r="QT133" s="201"/>
      <c r="QU133" s="201"/>
      <c r="QV133" s="201"/>
      <c r="QW133" s="201"/>
      <c r="QX133" s="201"/>
      <c r="QY133" s="201"/>
      <c r="QZ133" s="201"/>
      <c r="RA133" s="201"/>
      <c r="RB133" s="201"/>
      <c r="RC133" s="201"/>
      <c r="RD133" s="201"/>
      <c r="RE133" s="201"/>
      <c r="RF133" s="201"/>
      <c r="RG133" s="201"/>
      <c r="RH133" s="201"/>
      <c r="RI133" s="201"/>
      <c r="RJ133" s="201"/>
      <c r="RK133" s="201"/>
      <c r="RL133" s="201"/>
      <c r="RM133" s="201"/>
      <c r="RN133" s="201"/>
      <c r="RO133" s="201"/>
      <c r="RP133" s="201"/>
      <c r="RQ133" s="201"/>
      <c r="RR133" s="201"/>
      <c r="RS133" s="201"/>
      <c r="RT133" s="201"/>
      <c r="RU133" s="201"/>
      <c r="RV133" s="201"/>
      <c r="RW133" s="201"/>
      <c r="RX133" s="201"/>
      <c r="RY133" s="201"/>
      <c r="RZ133" s="201"/>
      <c r="SA133" s="201"/>
      <c r="SB133" s="201"/>
      <c r="SC133" s="201"/>
      <c r="SD133" s="201"/>
      <c r="SE133" s="201"/>
      <c r="SF133" s="201"/>
      <c r="SG133" s="201"/>
      <c r="SH133" s="201"/>
      <c r="SI133" s="201"/>
      <c r="SJ133" s="201"/>
      <c r="SK133" s="201"/>
      <c r="SL133" s="201"/>
      <c r="SM133" s="201"/>
      <c r="SN133" s="201"/>
      <c r="SO133" s="201"/>
      <c r="SP133" s="201"/>
      <c r="SQ133" s="201"/>
      <c r="SR133" s="201"/>
      <c r="SS133" s="201"/>
      <c r="ST133" s="201"/>
      <c r="SU133" s="201"/>
      <c r="SV133" s="201"/>
      <c r="SW133" s="201"/>
      <c r="SX133" s="201"/>
      <c r="SY133" s="201"/>
      <c r="SZ133" s="201"/>
      <c r="TA133" s="201"/>
      <c r="TB133" s="201"/>
      <c r="TC133" s="201"/>
      <c r="TD133" s="201"/>
      <c r="TE133" s="201"/>
      <c r="TF133" s="201"/>
      <c r="TG133" s="201"/>
      <c r="TH133" s="201"/>
      <c r="TI133" s="201"/>
      <c r="TJ133" s="201"/>
      <c r="TK133" s="201"/>
      <c r="TL133" s="201"/>
      <c r="TM133" s="201"/>
      <c r="TN133" s="201"/>
      <c r="TO133" s="201"/>
      <c r="TP133" s="201"/>
      <c r="TQ133" s="201"/>
      <c r="TR133" s="201"/>
      <c r="TS133" s="201"/>
      <c r="TT133" s="201"/>
      <c r="TU133" s="201"/>
      <c r="TV133" s="201"/>
      <c r="TW133" s="201"/>
      <c r="TX133" s="201"/>
      <c r="TY133" s="201"/>
      <c r="TZ133" s="201"/>
      <c r="UA133" s="201"/>
      <c r="UB133" s="201"/>
      <c r="UC133" s="201"/>
      <c r="UD133" s="201"/>
      <c r="UE133" s="201"/>
      <c r="UF133" s="201"/>
      <c r="UG133" s="201"/>
      <c r="UH133" s="201"/>
      <c r="UI133" s="201"/>
      <c r="UJ133" s="201"/>
      <c r="UK133" s="201"/>
      <c r="UL133" s="201"/>
      <c r="UM133" s="201"/>
      <c r="UN133" s="201"/>
      <c r="UO133" s="201"/>
      <c r="UP133" s="201"/>
      <c r="UQ133" s="201"/>
      <c r="UR133" s="201"/>
      <c r="US133" s="201"/>
      <c r="UT133" s="201"/>
      <c r="UU133" s="201"/>
    </row>
    <row r="134" spans="1:567" x14ac:dyDescent="0.25">
      <c r="B134" s="18" t="s">
        <v>752</v>
      </c>
      <c r="C134" s="26"/>
      <c r="D134" s="26"/>
      <c r="E134" s="26"/>
      <c r="F134" s="135"/>
      <c r="G134" s="134"/>
      <c r="H134" s="138"/>
      <c r="I134" s="137"/>
      <c r="J134" s="149">
        <f>SUM(J131:J133)</f>
        <v>5028370.6901538465</v>
      </c>
      <c r="K134" s="129">
        <f>SUM(K131:K133)</f>
        <v>6441764.352</v>
      </c>
      <c r="S134" s="145"/>
      <c r="T134" s="92">
        <f>SUM(T131:T133)</f>
        <v>404065.33583333332</v>
      </c>
      <c r="U134" s="92">
        <f t="shared" ref="U134:CF134" si="2640">SUM(U131:U133)</f>
        <v>408620.51609615388</v>
      </c>
      <c r="V134" s="92">
        <f t="shared" si="2640"/>
        <v>413200.92400961538</v>
      </c>
      <c r="W134" s="92">
        <f t="shared" si="2640"/>
        <v>417806.6074102564</v>
      </c>
      <c r="X134" s="92">
        <f t="shared" si="2640"/>
        <v>422437.61413461535</v>
      </c>
      <c r="Y134" s="92">
        <f t="shared" si="2640"/>
        <v>427093.99201923079</v>
      </c>
      <c r="Z134" s="92">
        <f t="shared" si="2640"/>
        <v>431775.78890064103</v>
      </c>
      <c r="AA134" s="92">
        <f t="shared" si="2640"/>
        <v>436483.05261538457</v>
      </c>
      <c r="AB134" s="92">
        <f t="shared" si="2640"/>
        <v>441215.83100000001</v>
      </c>
      <c r="AC134" s="92">
        <f t="shared" si="2640"/>
        <v>445974.17189102562</v>
      </c>
      <c r="AD134" s="92">
        <f t="shared" si="2640"/>
        <v>450758.12312499998</v>
      </c>
      <c r="AE134" s="92">
        <f t="shared" si="2640"/>
        <v>455567.73253846157</v>
      </c>
      <c r="AF134" s="92">
        <f t="shared" si="2640"/>
        <v>461351.40286489931</v>
      </c>
      <c r="AG134" s="92">
        <f t="shared" si="2640"/>
        <v>467182.82713850378</v>
      </c>
      <c r="AH134" s="92">
        <f t="shared" si="2640"/>
        <v>473062.2789504602</v>
      </c>
      <c r="AI134" s="92">
        <f t="shared" si="2640"/>
        <v>478990.03312445653</v>
      </c>
      <c r="AJ134" s="92">
        <f t="shared" si="2640"/>
        <v>484966.36572143889</v>
      </c>
      <c r="AK134" s="92">
        <f t="shared" si="2640"/>
        <v>490991.55404438445</v>
      </c>
      <c r="AL134" s="92">
        <f t="shared" si="2640"/>
        <v>497065.876643089</v>
      </c>
      <c r="AM134" s="92">
        <f t="shared" si="2640"/>
        <v>503189.61331897182</v>
      </c>
      <c r="AN134" s="92">
        <f t="shared" si="2640"/>
        <v>509363.04512989841</v>
      </c>
      <c r="AO134" s="92">
        <f t="shared" si="2640"/>
        <v>515586.45439501753</v>
      </c>
      <c r="AP134" s="92">
        <f t="shared" si="2640"/>
        <v>521860.12469961785</v>
      </c>
      <c r="AQ134" s="92">
        <f t="shared" si="2640"/>
        <v>528184.34089999925</v>
      </c>
      <c r="AR134" s="92">
        <f t="shared" si="2640"/>
        <v>551367.4304291975</v>
      </c>
      <c r="AS134" s="92">
        <f t="shared" si="2640"/>
        <v>552503.15706040559</v>
      </c>
      <c r="AT134" s="92">
        <f t="shared" si="2640"/>
        <v>553641.22310252115</v>
      </c>
      <c r="AU134" s="92">
        <f t="shared" si="2640"/>
        <v>554781.63337434793</v>
      </c>
      <c r="AV134" s="92">
        <f t="shared" si="2640"/>
        <v>555924.39270461502</v>
      </c>
      <c r="AW134" s="92">
        <f t="shared" si="2640"/>
        <v>557069.50593199837</v>
      </c>
      <c r="AX134" s="92">
        <f t="shared" si="2640"/>
        <v>558216.97790514037</v>
      </c>
      <c r="AY134" s="92">
        <f t="shared" si="2640"/>
        <v>559366.81348267139</v>
      </c>
      <c r="AZ134" s="92">
        <f t="shared" si="2640"/>
        <v>560519.01753322931</v>
      </c>
      <c r="BA134" s="92">
        <f t="shared" si="2640"/>
        <v>561673.59493548097</v>
      </c>
      <c r="BB134" s="92">
        <f t="shared" si="2640"/>
        <v>562830.55057814193</v>
      </c>
      <c r="BC134" s="92">
        <f t="shared" si="2640"/>
        <v>563989.8893599984</v>
      </c>
      <c r="BD134" s="92">
        <f t="shared" si="2640"/>
        <v>565151.61618992663</v>
      </c>
      <c r="BE134" s="92">
        <f t="shared" si="2640"/>
        <v>566315.73598691507</v>
      </c>
      <c r="BF134" s="92">
        <f t="shared" si="2640"/>
        <v>567482.25368008355</v>
      </c>
      <c r="BG134" s="92">
        <f t="shared" si="2640"/>
        <v>568651.17420870601</v>
      </c>
      <c r="BH134" s="92">
        <f t="shared" si="2640"/>
        <v>569822.50252222957</v>
      </c>
      <c r="BI134" s="92">
        <f t="shared" si="2640"/>
        <v>570996.24358029745</v>
      </c>
      <c r="BJ134" s="92">
        <f t="shared" si="2640"/>
        <v>572172.40235276811</v>
      </c>
      <c r="BK134" s="92">
        <f t="shared" si="2640"/>
        <v>573350.98381973733</v>
      </c>
      <c r="BL134" s="92">
        <f t="shared" si="2640"/>
        <v>574531.99297155929</v>
      </c>
      <c r="BM134" s="92">
        <f t="shared" si="2640"/>
        <v>575715.43480886717</v>
      </c>
      <c r="BN134" s="92">
        <f t="shared" si="2640"/>
        <v>576901.31434259494</v>
      </c>
      <c r="BO134" s="92">
        <f t="shared" si="2640"/>
        <v>578089.63659399759</v>
      </c>
      <c r="BP134" s="92">
        <f t="shared" si="2640"/>
        <v>579280.4065946741</v>
      </c>
      <c r="BQ134" s="92">
        <f t="shared" si="2640"/>
        <v>580473.62938658707</v>
      </c>
      <c r="BR134" s="92">
        <f t="shared" si="2640"/>
        <v>581669.31002208462</v>
      </c>
      <c r="BS134" s="92">
        <f t="shared" si="2640"/>
        <v>582867.45356392255</v>
      </c>
      <c r="BT134" s="92">
        <f t="shared" si="2640"/>
        <v>584068.06508528453</v>
      </c>
      <c r="BU134" s="92">
        <f t="shared" si="2640"/>
        <v>585271.14966980403</v>
      </c>
      <c r="BV134" s="92">
        <f t="shared" si="2640"/>
        <v>586476.71241158654</v>
      </c>
      <c r="BW134" s="92">
        <f t="shared" si="2640"/>
        <v>587684.75841522997</v>
      </c>
      <c r="BX134" s="92">
        <f t="shared" si="2640"/>
        <v>588895.29279584752</v>
      </c>
      <c r="BY134" s="92">
        <f t="shared" si="2640"/>
        <v>590108.32067908812</v>
      </c>
      <c r="BZ134" s="92">
        <f t="shared" si="2640"/>
        <v>591323.84720115887</v>
      </c>
      <c r="CA134" s="92">
        <f t="shared" si="2640"/>
        <v>592541.87750884669</v>
      </c>
      <c r="CB134" s="92">
        <f t="shared" si="2640"/>
        <v>593762.41675954021</v>
      </c>
      <c r="CC134" s="92">
        <f t="shared" si="2640"/>
        <v>594985.47012125107</v>
      </c>
      <c r="CD134" s="92">
        <f t="shared" si="2640"/>
        <v>596211.04277263617</v>
      </c>
      <c r="CE134" s="92">
        <f t="shared" si="2640"/>
        <v>597439.13990301988</v>
      </c>
      <c r="CF134" s="92">
        <f t="shared" si="2640"/>
        <v>598669.76671241596</v>
      </c>
      <c r="CG134" s="92">
        <f t="shared" ref="CG134:ER134" si="2641">SUM(CG131:CG133)</f>
        <v>599902.92841154826</v>
      </c>
      <c r="CH134" s="92">
        <f t="shared" si="2641"/>
        <v>601138.6302218755</v>
      </c>
      <c r="CI134" s="92">
        <f t="shared" si="2641"/>
        <v>602376.87737560994</v>
      </c>
      <c r="CJ134" s="92">
        <f t="shared" si="2641"/>
        <v>603617.67511574295</v>
      </c>
      <c r="CK134" s="92">
        <f t="shared" si="2641"/>
        <v>604861.02869606437</v>
      </c>
      <c r="CL134" s="92">
        <f t="shared" si="2641"/>
        <v>606106.94338118704</v>
      </c>
      <c r="CM134" s="92">
        <f t="shared" si="2641"/>
        <v>607355.42444656708</v>
      </c>
      <c r="CN134" s="92">
        <f t="shared" si="2641"/>
        <v>608606.47717852774</v>
      </c>
      <c r="CO134" s="92">
        <f t="shared" si="2641"/>
        <v>609860.10687428131</v>
      </c>
      <c r="CP134" s="92">
        <f t="shared" si="2641"/>
        <v>611116.3188419512</v>
      </c>
      <c r="CQ134" s="92">
        <f t="shared" si="2641"/>
        <v>612375.11840059469</v>
      </c>
      <c r="CR134" s="92">
        <f t="shared" si="2641"/>
        <v>613636.51088022545</v>
      </c>
      <c r="CS134" s="92">
        <f t="shared" si="2641"/>
        <v>614900.50162183633</v>
      </c>
      <c r="CT134" s="92">
        <f t="shared" si="2641"/>
        <v>616167.09597742138</v>
      </c>
      <c r="CU134" s="92">
        <f t="shared" si="2641"/>
        <v>617436.29930999945</v>
      </c>
      <c r="CV134" s="92">
        <f t="shared" si="2641"/>
        <v>618708.11699363554</v>
      </c>
      <c r="CW134" s="92">
        <f t="shared" si="2641"/>
        <v>619982.55441346508</v>
      </c>
      <c r="CX134" s="92">
        <f t="shared" si="2641"/>
        <v>621259.61696571566</v>
      </c>
      <c r="CY134" s="92">
        <f t="shared" si="2641"/>
        <v>622539.31005773041</v>
      </c>
      <c r="CZ134" s="92">
        <f t="shared" si="2641"/>
        <v>623821.63910799008</v>
      </c>
      <c r="DA134" s="92">
        <f t="shared" si="2641"/>
        <v>625106.60954613739</v>
      </c>
      <c r="DB134" s="92">
        <f t="shared" si="2641"/>
        <v>626394.226812999</v>
      </c>
      <c r="DC134" s="92">
        <f t="shared" si="2641"/>
        <v>627684.49636060873</v>
      </c>
      <c r="DD134" s="92">
        <f t="shared" si="2641"/>
        <v>628977.4236522303</v>
      </c>
      <c r="DE134" s="92">
        <f t="shared" si="2641"/>
        <v>630273.0141623813</v>
      </c>
      <c r="DF134" s="92">
        <f t="shared" si="2641"/>
        <v>631571.273376856</v>
      </c>
      <c r="DG134" s="92">
        <f t="shared" si="2641"/>
        <v>632872.20679274853</v>
      </c>
      <c r="DH134" s="92">
        <f t="shared" si="2641"/>
        <v>634175.81991847558</v>
      </c>
      <c r="DI134" s="92">
        <f t="shared" si="2641"/>
        <v>635482.11827380094</v>
      </c>
      <c r="DJ134" s="92">
        <f t="shared" si="2641"/>
        <v>636791.10738985776</v>
      </c>
      <c r="DK134" s="92">
        <f t="shared" si="2641"/>
        <v>638102.79280917277</v>
      </c>
      <c r="DL134" s="92">
        <f t="shared" si="2641"/>
        <v>639417.18008568906</v>
      </c>
      <c r="DM134" s="92">
        <f t="shared" si="2641"/>
        <v>640734.27478479024</v>
      </c>
      <c r="DN134" s="92">
        <f t="shared" si="2641"/>
        <v>642054.08248332329</v>
      </c>
      <c r="DO134" s="92">
        <f t="shared" si="2641"/>
        <v>643376.6087696231</v>
      </c>
      <c r="DP134" s="92">
        <f t="shared" si="2641"/>
        <v>644701.85924353509</v>
      </c>
      <c r="DQ134" s="92">
        <f t="shared" si="2641"/>
        <v>646029.83951643994</v>
      </c>
      <c r="DR134" s="92">
        <f t="shared" si="2641"/>
        <v>647360.55521127651</v>
      </c>
      <c r="DS134" s="92">
        <f t="shared" si="2641"/>
        <v>648694.01196256629</v>
      </c>
      <c r="DT134" s="92">
        <f t="shared" si="2641"/>
        <v>650030.21541643655</v>
      </c>
      <c r="DU134" s="92">
        <f t="shared" si="2641"/>
        <v>651369.17123064515</v>
      </c>
      <c r="DV134" s="92">
        <f t="shared" si="2641"/>
        <v>652710.88507460337</v>
      </c>
      <c r="DW134" s="92">
        <f t="shared" si="2641"/>
        <v>654055.36262940138</v>
      </c>
      <c r="DX134" s="92">
        <f t="shared" si="2641"/>
        <v>655402.60958783026</v>
      </c>
      <c r="DY134" s="92">
        <f t="shared" si="2641"/>
        <v>656752.63165440911</v>
      </c>
      <c r="DZ134" s="92">
        <f t="shared" si="2641"/>
        <v>658105.43454540556</v>
      </c>
      <c r="EA134" s="92">
        <f t="shared" si="2641"/>
        <v>659461.02398886264</v>
      </c>
      <c r="EB134" s="92">
        <f t="shared" si="2641"/>
        <v>660819.40572462243</v>
      </c>
      <c r="EC134" s="92">
        <f t="shared" si="2641"/>
        <v>662180.58550435014</v>
      </c>
      <c r="ED134" s="92">
        <f t="shared" si="2641"/>
        <v>663544.56909155764</v>
      </c>
      <c r="EE134" s="92">
        <f t="shared" si="2641"/>
        <v>664911.36226162955</v>
      </c>
      <c r="EF134" s="92">
        <f t="shared" si="2641"/>
        <v>666280.97080184671</v>
      </c>
      <c r="EG134" s="92">
        <f t="shared" si="2641"/>
        <v>667653.40051141032</v>
      </c>
      <c r="EH134" s="92">
        <f t="shared" si="2641"/>
        <v>669028.65720146755</v>
      </c>
      <c r="EI134" s="92">
        <f t="shared" si="2641"/>
        <v>670406.74669513537</v>
      </c>
      <c r="EJ134" s="92">
        <f t="shared" si="2641"/>
        <v>671787.67482752528</v>
      </c>
      <c r="EK134" s="92">
        <f t="shared" si="2641"/>
        <v>673171.4474457684</v>
      </c>
      <c r="EL134" s="92">
        <f t="shared" si="2641"/>
        <v>674558.07040903973</v>
      </c>
      <c r="EM134" s="92">
        <f t="shared" si="2641"/>
        <v>675947.54958858341</v>
      </c>
      <c r="EN134" s="92">
        <f t="shared" si="2641"/>
        <v>677339.89086773724</v>
      </c>
      <c r="EO134" s="92">
        <f t="shared" si="2641"/>
        <v>678735.10014195787</v>
      </c>
      <c r="EP134" s="92">
        <f t="shared" si="2641"/>
        <v>680133.18331884569</v>
      </c>
      <c r="EQ134" s="92">
        <f t="shared" si="2641"/>
        <v>681534.14631816943</v>
      </c>
      <c r="ER134" s="92">
        <f t="shared" si="2641"/>
        <v>682937.99507189193</v>
      </c>
      <c r="ES134" s="92">
        <f t="shared" ref="ES134:EU134" si="2642">SUM(ES131:ES133)</f>
        <v>684344.73552419478</v>
      </c>
      <c r="ET134" s="92">
        <f t="shared" si="2642"/>
        <v>685754.37363150332</v>
      </c>
      <c r="EU134" s="92">
        <f t="shared" si="2642"/>
        <v>687166.91536251281</v>
      </c>
      <c r="EW134" s="226" t="s">
        <v>658</v>
      </c>
      <c r="EX134" s="201"/>
      <c r="EY134" s="224"/>
      <c r="EZ134" s="224"/>
      <c r="FA134" s="224"/>
      <c r="FB134" s="224"/>
      <c r="FC134" s="216" t="s">
        <v>169</v>
      </c>
      <c r="FD134" s="223">
        <f>+FD$112</f>
        <v>1</v>
      </c>
      <c r="FE134" s="223">
        <f t="shared" ref="FE134:HP134" si="2643">+FE$112</f>
        <v>1</v>
      </c>
      <c r="FF134" s="223">
        <f t="shared" si="2643"/>
        <v>1</v>
      </c>
      <c r="FG134" s="223">
        <f t="shared" si="2643"/>
        <v>1</v>
      </c>
      <c r="FH134" s="223">
        <f t="shared" si="2643"/>
        <v>1</v>
      </c>
      <c r="FI134" s="223">
        <f t="shared" si="2643"/>
        <v>1</v>
      </c>
      <c r="FJ134" s="223">
        <f t="shared" si="2643"/>
        <v>1</v>
      </c>
      <c r="FK134" s="223">
        <f t="shared" si="2643"/>
        <v>1</v>
      </c>
      <c r="FL134" s="223">
        <f t="shared" si="2643"/>
        <v>1</v>
      </c>
      <c r="FM134" s="223">
        <f t="shared" si="2643"/>
        <v>1</v>
      </c>
      <c r="FN134" s="223">
        <f t="shared" si="2643"/>
        <v>1</v>
      </c>
      <c r="FO134" s="223">
        <f t="shared" si="2643"/>
        <v>1</v>
      </c>
      <c r="FP134" s="223">
        <f t="shared" si="2643"/>
        <v>2</v>
      </c>
      <c r="FQ134" s="223">
        <f t="shared" si="2643"/>
        <v>2</v>
      </c>
      <c r="FR134" s="223">
        <f t="shared" si="2643"/>
        <v>2</v>
      </c>
      <c r="FS134" s="223">
        <f t="shared" si="2643"/>
        <v>2</v>
      </c>
      <c r="FT134" s="223">
        <f t="shared" si="2643"/>
        <v>2</v>
      </c>
      <c r="FU134" s="223">
        <f t="shared" si="2643"/>
        <v>2</v>
      </c>
      <c r="FV134" s="223">
        <f t="shared" si="2643"/>
        <v>2</v>
      </c>
      <c r="FW134" s="223">
        <f t="shared" si="2643"/>
        <v>2</v>
      </c>
      <c r="FX134" s="223">
        <f t="shared" si="2643"/>
        <v>2</v>
      </c>
      <c r="FY134" s="223">
        <f t="shared" si="2643"/>
        <v>2</v>
      </c>
      <c r="FZ134" s="223">
        <f t="shared" si="2643"/>
        <v>2</v>
      </c>
      <c r="GA134" s="223">
        <f t="shared" si="2643"/>
        <v>2</v>
      </c>
      <c r="GB134" s="223">
        <f t="shared" si="2643"/>
        <v>3</v>
      </c>
      <c r="GC134" s="223">
        <f t="shared" si="2643"/>
        <v>3</v>
      </c>
      <c r="GD134" s="223">
        <f t="shared" si="2643"/>
        <v>3</v>
      </c>
      <c r="GE134" s="223">
        <f t="shared" si="2643"/>
        <v>3</v>
      </c>
      <c r="GF134" s="223">
        <f t="shared" si="2643"/>
        <v>3</v>
      </c>
      <c r="GG134" s="223">
        <f t="shared" si="2643"/>
        <v>3</v>
      </c>
      <c r="GH134" s="223">
        <f t="shared" si="2643"/>
        <v>3</v>
      </c>
      <c r="GI134" s="223">
        <f t="shared" si="2643"/>
        <v>3</v>
      </c>
      <c r="GJ134" s="223">
        <f t="shared" si="2643"/>
        <v>3</v>
      </c>
      <c r="GK134" s="223">
        <f t="shared" si="2643"/>
        <v>3</v>
      </c>
      <c r="GL134" s="223">
        <f t="shared" si="2643"/>
        <v>3</v>
      </c>
      <c r="GM134" s="223">
        <f t="shared" si="2643"/>
        <v>3</v>
      </c>
      <c r="GN134" s="223">
        <f t="shared" si="2643"/>
        <v>4</v>
      </c>
      <c r="GO134" s="223">
        <f t="shared" si="2643"/>
        <v>4</v>
      </c>
      <c r="GP134" s="223">
        <f t="shared" si="2643"/>
        <v>4</v>
      </c>
      <c r="GQ134" s="223">
        <f t="shared" si="2643"/>
        <v>4</v>
      </c>
      <c r="GR134" s="223">
        <f t="shared" si="2643"/>
        <v>4</v>
      </c>
      <c r="GS134" s="223">
        <f t="shared" si="2643"/>
        <v>4</v>
      </c>
      <c r="GT134" s="223">
        <f t="shared" si="2643"/>
        <v>4</v>
      </c>
      <c r="GU134" s="223">
        <f t="shared" si="2643"/>
        <v>4</v>
      </c>
      <c r="GV134" s="223">
        <f t="shared" si="2643"/>
        <v>4</v>
      </c>
      <c r="GW134" s="223">
        <f t="shared" si="2643"/>
        <v>4</v>
      </c>
      <c r="GX134" s="223">
        <f t="shared" si="2643"/>
        <v>4</v>
      </c>
      <c r="GY134" s="223">
        <f t="shared" si="2643"/>
        <v>4</v>
      </c>
      <c r="GZ134" s="223">
        <f t="shared" si="2643"/>
        <v>5</v>
      </c>
      <c r="HA134" s="223">
        <f t="shared" si="2643"/>
        <v>5</v>
      </c>
      <c r="HB134" s="223">
        <f t="shared" si="2643"/>
        <v>5</v>
      </c>
      <c r="HC134" s="223">
        <f t="shared" si="2643"/>
        <v>5</v>
      </c>
      <c r="HD134" s="223">
        <f t="shared" si="2643"/>
        <v>5</v>
      </c>
      <c r="HE134" s="223">
        <f t="shared" si="2643"/>
        <v>5</v>
      </c>
      <c r="HF134" s="223">
        <f t="shared" si="2643"/>
        <v>5</v>
      </c>
      <c r="HG134" s="223">
        <f t="shared" si="2643"/>
        <v>5</v>
      </c>
      <c r="HH134" s="223">
        <f t="shared" si="2643"/>
        <v>5</v>
      </c>
      <c r="HI134" s="223">
        <f t="shared" si="2643"/>
        <v>5</v>
      </c>
      <c r="HJ134" s="223">
        <f t="shared" si="2643"/>
        <v>5</v>
      </c>
      <c r="HK134" s="223">
        <f t="shared" si="2643"/>
        <v>5</v>
      </c>
      <c r="HL134" s="223">
        <f t="shared" si="2643"/>
        <v>6</v>
      </c>
      <c r="HM134" s="223">
        <f t="shared" si="2643"/>
        <v>6</v>
      </c>
      <c r="HN134" s="223">
        <f t="shared" si="2643"/>
        <v>6</v>
      </c>
      <c r="HO134" s="223">
        <f t="shared" si="2643"/>
        <v>6</v>
      </c>
      <c r="HP134" s="223">
        <f t="shared" si="2643"/>
        <v>6</v>
      </c>
      <c r="HQ134" s="223">
        <f t="shared" ref="HQ134:KB134" si="2644">+HQ$112</f>
        <v>6</v>
      </c>
      <c r="HR134" s="223">
        <f t="shared" si="2644"/>
        <v>6</v>
      </c>
      <c r="HS134" s="223">
        <f t="shared" si="2644"/>
        <v>6</v>
      </c>
      <c r="HT134" s="223">
        <f t="shared" si="2644"/>
        <v>6</v>
      </c>
      <c r="HU134" s="223">
        <f t="shared" si="2644"/>
        <v>6</v>
      </c>
      <c r="HV134" s="223">
        <f t="shared" si="2644"/>
        <v>6</v>
      </c>
      <c r="HW134" s="223">
        <f t="shared" si="2644"/>
        <v>6</v>
      </c>
      <c r="HX134" s="223">
        <f t="shared" si="2644"/>
        <v>7</v>
      </c>
      <c r="HY134" s="223">
        <f t="shared" si="2644"/>
        <v>7</v>
      </c>
      <c r="HZ134" s="223">
        <f t="shared" si="2644"/>
        <v>7</v>
      </c>
      <c r="IA134" s="223">
        <f t="shared" si="2644"/>
        <v>7</v>
      </c>
      <c r="IB134" s="223">
        <f t="shared" si="2644"/>
        <v>7</v>
      </c>
      <c r="IC134" s="223">
        <f t="shared" si="2644"/>
        <v>7</v>
      </c>
      <c r="ID134" s="223">
        <f t="shared" si="2644"/>
        <v>7</v>
      </c>
      <c r="IE134" s="223">
        <f t="shared" si="2644"/>
        <v>7</v>
      </c>
      <c r="IF134" s="223">
        <f t="shared" si="2644"/>
        <v>7</v>
      </c>
      <c r="IG134" s="223">
        <f t="shared" si="2644"/>
        <v>7</v>
      </c>
      <c r="IH134" s="223">
        <f t="shared" si="2644"/>
        <v>7</v>
      </c>
      <c r="II134" s="223">
        <f t="shared" si="2644"/>
        <v>7</v>
      </c>
      <c r="IJ134" s="223">
        <f t="shared" si="2644"/>
        <v>8</v>
      </c>
      <c r="IK134" s="223">
        <f t="shared" si="2644"/>
        <v>8</v>
      </c>
      <c r="IL134" s="223">
        <f t="shared" si="2644"/>
        <v>8</v>
      </c>
      <c r="IM134" s="223">
        <f t="shared" si="2644"/>
        <v>8</v>
      </c>
      <c r="IN134" s="223">
        <f t="shared" si="2644"/>
        <v>8</v>
      </c>
      <c r="IO134" s="223">
        <f t="shared" si="2644"/>
        <v>8</v>
      </c>
      <c r="IP134" s="223">
        <f t="shared" si="2644"/>
        <v>8</v>
      </c>
      <c r="IQ134" s="223">
        <f t="shared" si="2644"/>
        <v>8</v>
      </c>
      <c r="IR134" s="223">
        <f t="shared" si="2644"/>
        <v>8</v>
      </c>
      <c r="IS134" s="223">
        <f t="shared" si="2644"/>
        <v>8</v>
      </c>
      <c r="IT134" s="223">
        <f t="shared" si="2644"/>
        <v>8</v>
      </c>
      <c r="IU134" s="223">
        <f t="shared" si="2644"/>
        <v>8</v>
      </c>
      <c r="IV134" s="223">
        <f t="shared" si="2644"/>
        <v>9</v>
      </c>
      <c r="IW134" s="223">
        <f t="shared" si="2644"/>
        <v>9</v>
      </c>
      <c r="IX134" s="223">
        <f t="shared" si="2644"/>
        <v>9</v>
      </c>
      <c r="IY134" s="223">
        <f t="shared" si="2644"/>
        <v>9</v>
      </c>
      <c r="IZ134" s="223">
        <f t="shared" si="2644"/>
        <v>9</v>
      </c>
      <c r="JA134" s="223">
        <f t="shared" si="2644"/>
        <v>9</v>
      </c>
      <c r="JB134" s="223">
        <f t="shared" si="2644"/>
        <v>9</v>
      </c>
      <c r="JC134" s="223">
        <f t="shared" si="2644"/>
        <v>9</v>
      </c>
      <c r="JD134" s="223">
        <f t="shared" si="2644"/>
        <v>9</v>
      </c>
      <c r="JE134" s="223">
        <f t="shared" si="2644"/>
        <v>9</v>
      </c>
      <c r="JF134" s="223">
        <f t="shared" si="2644"/>
        <v>9</v>
      </c>
      <c r="JG134" s="223">
        <f t="shared" si="2644"/>
        <v>9</v>
      </c>
      <c r="JH134" s="223">
        <f t="shared" si="2644"/>
        <v>10</v>
      </c>
      <c r="JI134" s="223">
        <f t="shared" si="2644"/>
        <v>10</v>
      </c>
      <c r="JJ134" s="223">
        <f t="shared" si="2644"/>
        <v>10</v>
      </c>
      <c r="JK134" s="223">
        <f t="shared" si="2644"/>
        <v>10</v>
      </c>
      <c r="JL134" s="223">
        <f t="shared" si="2644"/>
        <v>10</v>
      </c>
      <c r="JM134" s="223">
        <f t="shared" si="2644"/>
        <v>10</v>
      </c>
      <c r="JN134" s="223">
        <f t="shared" si="2644"/>
        <v>10</v>
      </c>
      <c r="JO134" s="223">
        <f t="shared" si="2644"/>
        <v>10</v>
      </c>
      <c r="JP134" s="223">
        <f t="shared" si="2644"/>
        <v>10</v>
      </c>
      <c r="JQ134" s="223">
        <f t="shared" si="2644"/>
        <v>10</v>
      </c>
      <c r="JR134" s="223">
        <f t="shared" si="2644"/>
        <v>10</v>
      </c>
      <c r="JS134" s="223">
        <f t="shared" si="2644"/>
        <v>10</v>
      </c>
      <c r="JT134" s="223">
        <f t="shared" si="2644"/>
        <v>11</v>
      </c>
      <c r="JU134" s="223">
        <f t="shared" si="2644"/>
        <v>11</v>
      </c>
      <c r="JV134" s="223">
        <f t="shared" si="2644"/>
        <v>11</v>
      </c>
      <c r="JW134" s="223">
        <f t="shared" si="2644"/>
        <v>11</v>
      </c>
      <c r="JX134" s="223">
        <f t="shared" si="2644"/>
        <v>11</v>
      </c>
      <c r="JY134" s="223">
        <f t="shared" si="2644"/>
        <v>11</v>
      </c>
      <c r="JZ134" s="223">
        <f t="shared" si="2644"/>
        <v>11</v>
      </c>
      <c r="KA134" s="223">
        <f t="shared" si="2644"/>
        <v>11</v>
      </c>
      <c r="KB134" s="223">
        <f t="shared" si="2644"/>
        <v>11</v>
      </c>
      <c r="KC134" s="223">
        <f t="shared" ref="KC134:KE134" si="2645">+KC$112</f>
        <v>11</v>
      </c>
      <c r="KD134" s="223">
        <f t="shared" si="2645"/>
        <v>11</v>
      </c>
      <c r="KE134" s="223">
        <f t="shared" si="2645"/>
        <v>11</v>
      </c>
      <c r="KG134" s="226" t="s">
        <v>186</v>
      </c>
      <c r="KH134" s="201"/>
      <c r="KI134" s="224"/>
      <c r="KJ134" s="224"/>
      <c r="KK134" s="224"/>
      <c r="KL134" s="224"/>
      <c r="KM134" s="199" t="s">
        <v>169</v>
      </c>
      <c r="KN134" s="223">
        <f>KN$112</f>
        <v>1</v>
      </c>
      <c r="KO134" s="223">
        <f t="shared" ref="KO134:MZ134" si="2646">KO$112</f>
        <v>1</v>
      </c>
      <c r="KP134" s="223">
        <f t="shared" si="2646"/>
        <v>1</v>
      </c>
      <c r="KQ134" s="223">
        <f t="shared" si="2646"/>
        <v>1</v>
      </c>
      <c r="KR134" s="223">
        <f t="shared" si="2646"/>
        <v>1</v>
      </c>
      <c r="KS134" s="223">
        <f t="shared" si="2646"/>
        <v>1</v>
      </c>
      <c r="KT134" s="223">
        <f t="shared" si="2646"/>
        <v>1</v>
      </c>
      <c r="KU134" s="223">
        <f t="shared" si="2646"/>
        <v>1</v>
      </c>
      <c r="KV134" s="223">
        <f t="shared" si="2646"/>
        <v>1</v>
      </c>
      <c r="KW134" s="223">
        <f t="shared" si="2646"/>
        <v>1</v>
      </c>
      <c r="KX134" s="223">
        <f t="shared" si="2646"/>
        <v>1</v>
      </c>
      <c r="KY134" s="223">
        <f t="shared" si="2646"/>
        <v>1</v>
      </c>
      <c r="KZ134" s="223">
        <f t="shared" si="2646"/>
        <v>2</v>
      </c>
      <c r="LA134" s="223">
        <f t="shared" si="2646"/>
        <v>2</v>
      </c>
      <c r="LB134" s="223">
        <f t="shared" si="2646"/>
        <v>2</v>
      </c>
      <c r="LC134" s="223">
        <f t="shared" si="2646"/>
        <v>2</v>
      </c>
      <c r="LD134" s="223">
        <f t="shared" si="2646"/>
        <v>2</v>
      </c>
      <c r="LE134" s="223">
        <f t="shared" si="2646"/>
        <v>2</v>
      </c>
      <c r="LF134" s="223">
        <f t="shared" si="2646"/>
        <v>2</v>
      </c>
      <c r="LG134" s="223">
        <f t="shared" si="2646"/>
        <v>2</v>
      </c>
      <c r="LH134" s="223">
        <f t="shared" si="2646"/>
        <v>2</v>
      </c>
      <c r="LI134" s="223">
        <f t="shared" si="2646"/>
        <v>2</v>
      </c>
      <c r="LJ134" s="223">
        <f t="shared" si="2646"/>
        <v>2</v>
      </c>
      <c r="LK134" s="223">
        <f t="shared" si="2646"/>
        <v>2</v>
      </c>
      <c r="LL134" s="223">
        <f t="shared" si="2646"/>
        <v>3</v>
      </c>
      <c r="LM134" s="223">
        <f t="shared" si="2646"/>
        <v>3</v>
      </c>
      <c r="LN134" s="223">
        <f t="shared" si="2646"/>
        <v>3</v>
      </c>
      <c r="LO134" s="223">
        <f t="shared" si="2646"/>
        <v>3</v>
      </c>
      <c r="LP134" s="223">
        <f t="shared" si="2646"/>
        <v>3</v>
      </c>
      <c r="LQ134" s="223">
        <f t="shared" si="2646"/>
        <v>3</v>
      </c>
      <c r="LR134" s="223">
        <f t="shared" si="2646"/>
        <v>3</v>
      </c>
      <c r="LS134" s="223">
        <f t="shared" si="2646"/>
        <v>3</v>
      </c>
      <c r="LT134" s="223">
        <f t="shared" si="2646"/>
        <v>3</v>
      </c>
      <c r="LU134" s="223">
        <f t="shared" si="2646"/>
        <v>3</v>
      </c>
      <c r="LV134" s="223">
        <f t="shared" si="2646"/>
        <v>3</v>
      </c>
      <c r="LW134" s="223">
        <f t="shared" si="2646"/>
        <v>3</v>
      </c>
      <c r="LX134" s="223">
        <f t="shared" si="2646"/>
        <v>4</v>
      </c>
      <c r="LY134" s="223">
        <f t="shared" si="2646"/>
        <v>4</v>
      </c>
      <c r="LZ134" s="223">
        <f t="shared" si="2646"/>
        <v>4</v>
      </c>
      <c r="MA134" s="223">
        <f t="shared" si="2646"/>
        <v>4</v>
      </c>
      <c r="MB134" s="223">
        <f t="shared" si="2646"/>
        <v>4</v>
      </c>
      <c r="MC134" s="223">
        <f t="shared" si="2646"/>
        <v>4</v>
      </c>
      <c r="MD134" s="223">
        <f t="shared" si="2646"/>
        <v>4</v>
      </c>
      <c r="ME134" s="223">
        <f t="shared" si="2646"/>
        <v>4</v>
      </c>
      <c r="MF134" s="223">
        <f t="shared" si="2646"/>
        <v>4</v>
      </c>
      <c r="MG134" s="223">
        <f t="shared" si="2646"/>
        <v>4</v>
      </c>
      <c r="MH134" s="223">
        <f t="shared" si="2646"/>
        <v>4</v>
      </c>
      <c r="MI134" s="223">
        <f t="shared" si="2646"/>
        <v>4</v>
      </c>
      <c r="MJ134" s="223">
        <f t="shared" si="2646"/>
        <v>5</v>
      </c>
      <c r="MK134" s="223">
        <f t="shared" si="2646"/>
        <v>5</v>
      </c>
      <c r="ML134" s="223">
        <f t="shared" si="2646"/>
        <v>5</v>
      </c>
      <c r="MM134" s="223">
        <f t="shared" si="2646"/>
        <v>5</v>
      </c>
      <c r="MN134" s="223">
        <f t="shared" si="2646"/>
        <v>5</v>
      </c>
      <c r="MO134" s="223">
        <f t="shared" si="2646"/>
        <v>5</v>
      </c>
      <c r="MP134" s="223">
        <f t="shared" si="2646"/>
        <v>5</v>
      </c>
      <c r="MQ134" s="223">
        <f t="shared" si="2646"/>
        <v>5</v>
      </c>
      <c r="MR134" s="223">
        <f t="shared" si="2646"/>
        <v>5</v>
      </c>
      <c r="MS134" s="223">
        <f t="shared" si="2646"/>
        <v>5</v>
      </c>
      <c r="MT134" s="223">
        <f t="shared" si="2646"/>
        <v>5</v>
      </c>
      <c r="MU134" s="223">
        <f t="shared" si="2646"/>
        <v>5</v>
      </c>
      <c r="MV134" s="223">
        <f t="shared" si="2646"/>
        <v>6</v>
      </c>
      <c r="MW134" s="223">
        <f t="shared" si="2646"/>
        <v>6</v>
      </c>
      <c r="MX134" s="223">
        <f t="shared" si="2646"/>
        <v>6</v>
      </c>
      <c r="MY134" s="223">
        <f t="shared" si="2646"/>
        <v>6</v>
      </c>
      <c r="MZ134" s="223">
        <f t="shared" si="2646"/>
        <v>6</v>
      </c>
      <c r="NA134" s="223">
        <f t="shared" ref="NA134:PL134" si="2647">NA$112</f>
        <v>6</v>
      </c>
      <c r="NB134" s="223">
        <f t="shared" si="2647"/>
        <v>6</v>
      </c>
      <c r="NC134" s="223">
        <f t="shared" si="2647"/>
        <v>6</v>
      </c>
      <c r="ND134" s="223">
        <f t="shared" si="2647"/>
        <v>6</v>
      </c>
      <c r="NE134" s="223">
        <f t="shared" si="2647"/>
        <v>6</v>
      </c>
      <c r="NF134" s="223">
        <f t="shared" si="2647"/>
        <v>6</v>
      </c>
      <c r="NG134" s="223">
        <f t="shared" si="2647"/>
        <v>6</v>
      </c>
      <c r="NH134" s="223">
        <f t="shared" si="2647"/>
        <v>7</v>
      </c>
      <c r="NI134" s="223">
        <f t="shared" si="2647"/>
        <v>7</v>
      </c>
      <c r="NJ134" s="223">
        <f t="shared" si="2647"/>
        <v>7</v>
      </c>
      <c r="NK134" s="223">
        <f t="shared" si="2647"/>
        <v>7</v>
      </c>
      <c r="NL134" s="223">
        <f t="shared" si="2647"/>
        <v>7</v>
      </c>
      <c r="NM134" s="223">
        <f t="shared" si="2647"/>
        <v>7</v>
      </c>
      <c r="NN134" s="223">
        <f t="shared" si="2647"/>
        <v>7</v>
      </c>
      <c r="NO134" s="223">
        <f t="shared" si="2647"/>
        <v>7</v>
      </c>
      <c r="NP134" s="223">
        <f t="shared" si="2647"/>
        <v>7</v>
      </c>
      <c r="NQ134" s="223">
        <f t="shared" si="2647"/>
        <v>7</v>
      </c>
      <c r="NR134" s="223">
        <f t="shared" si="2647"/>
        <v>7</v>
      </c>
      <c r="NS134" s="223">
        <f t="shared" si="2647"/>
        <v>7</v>
      </c>
      <c r="NT134" s="223">
        <f t="shared" si="2647"/>
        <v>8</v>
      </c>
      <c r="NU134" s="223">
        <f t="shared" si="2647"/>
        <v>8</v>
      </c>
      <c r="NV134" s="223">
        <f t="shared" si="2647"/>
        <v>8</v>
      </c>
      <c r="NW134" s="223">
        <f t="shared" si="2647"/>
        <v>8</v>
      </c>
      <c r="NX134" s="223">
        <f t="shared" si="2647"/>
        <v>8</v>
      </c>
      <c r="NY134" s="223">
        <f t="shared" si="2647"/>
        <v>8</v>
      </c>
      <c r="NZ134" s="223">
        <f t="shared" si="2647"/>
        <v>8</v>
      </c>
      <c r="OA134" s="223">
        <f t="shared" si="2647"/>
        <v>8</v>
      </c>
      <c r="OB134" s="223">
        <f t="shared" si="2647"/>
        <v>8</v>
      </c>
      <c r="OC134" s="223">
        <f t="shared" si="2647"/>
        <v>8</v>
      </c>
      <c r="OD134" s="223">
        <f t="shared" si="2647"/>
        <v>8</v>
      </c>
      <c r="OE134" s="223">
        <f t="shared" si="2647"/>
        <v>8</v>
      </c>
      <c r="OF134" s="223">
        <f t="shared" si="2647"/>
        <v>9</v>
      </c>
      <c r="OG134" s="223">
        <f t="shared" si="2647"/>
        <v>9</v>
      </c>
      <c r="OH134" s="223">
        <f t="shared" si="2647"/>
        <v>9</v>
      </c>
      <c r="OI134" s="223">
        <f t="shared" si="2647"/>
        <v>9</v>
      </c>
      <c r="OJ134" s="223">
        <f t="shared" si="2647"/>
        <v>9</v>
      </c>
      <c r="OK134" s="223">
        <f t="shared" si="2647"/>
        <v>9</v>
      </c>
      <c r="OL134" s="223">
        <f t="shared" si="2647"/>
        <v>9</v>
      </c>
      <c r="OM134" s="223">
        <f t="shared" si="2647"/>
        <v>9</v>
      </c>
      <c r="ON134" s="223">
        <f t="shared" si="2647"/>
        <v>9</v>
      </c>
      <c r="OO134" s="223">
        <f t="shared" si="2647"/>
        <v>9</v>
      </c>
      <c r="OP134" s="223">
        <f t="shared" si="2647"/>
        <v>9</v>
      </c>
      <c r="OQ134" s="223">
        <f t="shared" si="2647"/>
        <v>9</v>
      </c>
      <c r="OR134" s="223">
        <f t="shared" si="2647"/>
        <v>10</v>
      </c>
      <c r="OS134" s="223">
        <f t="shared" si="2647"/>
        <v>10</v>
      </c>
      <c r="OT134" s="223">
        <f t="shared" si="2647"/>
        <v>10</v>
      </c>
      <c r="OU134" s="223">
        <f t="shared" si="2647"/>
        <v>10</v>
      </c>
      <c r="OV134" s="223">
        <f t="shared" si="2647"/>
        <v>10</v>
      </c>
      <c r="OW134" s="223">
        <f t="shared" si="2647"/>
        <v>10</v>
      </c>
      <c r="OX134" s="223">
        <f t="shared" si="2647"/>
        <v>10</v>
      </c>
      <c r="OY134" s="223">
        <f t="shared" si="2647"/>
        <v>10</v>
      </c>
      <c r="OZ134" s="223">
        <f t="shared" si="2647"/>
        <v>10</v>
      </c>
      <c r="PA134" s="223">
        <f t="shared" si="2647"/>
        <v>10</v>
      </c>
      <c r="PB134" s="223">
        <f t="shared" si="2647"/>
        <v>10</v>
      </c>
      <c r="PC134" s="223">
        <f t="shared" si="2647"/>
        <v>10</v>
      </c>
      <c r="PD134" s="223">
        <f t="shared" si="2647"/>
        <v>11</v>
      </c>
      <c r="PE134" s="223">
        <f t="shared" si="2647"/>
        <v>11</v>
      </c>
      <c r="PF134" s="223">
        <f t="shared" si="2647"/>
        <v>11</v>
      </c>
      <c r="PG134" s="223">
        <f t="shared" si="2647"/>
        <v>11</v>
      </c>
      <c r="PH134" s="223">
        <f t="shared" si="2647"/>
        <v>11</v>
      </c>
      <c r="PI134" s="223">
        <f t="shared" si="2647"/>
        <v>11</v>
      </c>
      <c r="PJ134" s="223">
        <f t="shared" si="2647"/>
        <v>11</v>
      </c>
      <c r="PK134" s="223">
        <f t="shared" si="2647"/>
        <v>11</v>
      </c>
      <c r="PL134" s="223">
        <f t="shared" si="2647"/>
        <v>11</v>
      </c>
      <c r="PM134" s="223">
        <f t="shared" ref="PM134:PO134" si="2648">PM$112</f>
        <v>11</v>
      </c>
      <c r="PN134" s="223">
        <f t="shared" si="2648"/>
        <v>11</v>
      </c>
      <c r="PO134" s="223">
        <f t="shared" si="2648"/>
        <v>11</v>
      </c>
      <c r="PQ134" s="201"/>
      <c r="PR134" s="201"/>
      <c r="PS134" s="201"/>
      <c r="PT134" s="201"/>
      <c r="PU134" s="201"/>
      <c r="PV134" s="201"/>
      <c r="PW134" s="201"/>
      <c r="PX134" s="201"/>
      <c r="PY134" s="201"/>
      <c r="PZ134" s="201"/>
      <c r="QA134" s="201"/>
      <c r="QB134" s="201"/>
      <c r="QC134" s="201"/>
      <c r="QD134" s="201"/>
      <c r="QE134" s="201"/>
      <c r="QF134" s="201"/>
      <c r="QG134" s="201"/>
      <c r="QH134" s="201"/>
      <c r="QI134" s="201"/>
      <c r="QJ134" s="201"/>
      <c r="QK134" s="201"/>
      <c r="QL134" s="201"/>
      <c r="QM134" s="201"/>
      <c r="QN134" s="201"/>
      <c r="QO134" s="201"/>
      <c r="QP134" s="201"/>
      <c r="QQ134" s="201"/>
      <c r="QR134" s="201"/>
      <c r="QS134" s="201"/>
      <c r="QT134" s="201"/>
      <c r="QU134" s="201"/>
      <c r="QV134" s="201"/>
      <c r="QW134" s="201"/>
      <c r="QX134" s="201"/>
      <c r="QY134" s="201"/>
      <c r="QZ134" s="201"/>
      <c r="RA134" s="201"/>
      <c r="RB134" s="201"/>
      <c r="RC134" s="201"/>
      <c r="RD134" s="201"/>
      <c r="RE134" s="201"/>
      <c r="RF134" s="201"/>
      <c r="RG134" s="201"/>
      <c r="RH134" s="201"/>
      <c r="RI134" s="201"/>
      <c r="RJ134" s="201"/>
      <c r="RK134" s="201"/>
      <c r="RL134" s="201"/>
      <c r="RM134" s="201"/>
      <c r="RN134" s="201"/>
      <c r="RO134" s="201"/>
      <c r="RP134" s="201"/>
      <c r="RQ134" s="201"/>
      <c r="RR134" s="201"/>
      <c r="RS134" s="201"/>
      <c r="RT134" s="201"/>
      <c r="RU134" s="201"/>
      <c r="RV134" s="201"/>
      <c r="RW134" s="201"/>
      <c r="RX134" s="201"/>
      <c r="RY134" s="201"/>
      <c r="RZ134" s="201"/>
      <c r="SA134" s="201"/>
      <c r="SB134" s="201"/>
      <c r="SC134" s="201"/>
      <c r="SD134" s="201"/>
      <c r="SE134" s="201"/>
      <c r="SF134" s="201"/>
      <c r="SG134" s="201"/>
      <c r="SH134" s="201"/>
      <c r="SI134" s="201"/>
      <c r="SJ134" s="201"/>
      <c r="SK134" s="201"/>
      <c r="SL134" s="201"/>
      <c r="SM134" s="201"/>
      <c r="SN134" s="201"/>
      <c r="SO134" s="201"/>
      <c r="SP134" s="201"/>
      <c r="SQ134" s="201"/>
      <c r="SR134" s="201"/>
      <c r="SS134" s="201"/>
      <c r="ST134" s="201"/>
      <c r="SU134" s="201"/>
      <c r="SV134" s="201"/>
      <c r="SW134" s="201"/>
      <c r="SX134" s="201"/>
      <c r="SY134" s="201"/>
      <c r="SZ134" s="201"/>
      <c r="TA134" s="201"/>
      <c r="TB134" s="201"/>
      <c r="TC134" s="201"/>
      <c r="TD134" s="201"/>
      <c r="TE134" s="201"/>
      <c r="TF134" s="201"/>
      <c r="TG134" s="201"/>
      <c r="TH134" s="201"/>
      <c r="TI134" s="201"/>
      <c r="TJ134" s="201"/>
      <c r="TK134" s="201"/>
      <c r="TL134" s="201"/>
      <c r="TM134" s="201"/>
      <c r="TN134" s="201"/>
      <c r="TO134" s="201"/>
      <c r="TP134" s="201"/>
      <c r="TQ134" s="201"/>
      <c r="TR134" s="201"/>
      <c r="TS134" s="201"/>
      <c r="TT134" s="201"/>
      <c r="TU134" s="201"/>
      <c r="TV134" s="201"/>
      <c r="TW134" s="201"/>
      <c r="TX134" s="201"/>
      <c r="TY134" s="201"/>
      <c r="TZ134" s="201"/>
      <c r="UA134" s="201"/>
      <c r="UB134" s="201"/>
      <c r="UC134" s="201"/>
      <c r="UD134" s="201"/>
      <c r="UE134" s="201"/>
      <c r="UF134" s="201"/>
      <c r="UG134" s="201"/>
      <c r="UH134" s="201"/>
      <c r="UI134" s="201"/>
      <c r="UJ134" s="201"/>
      <c r="UK134" s="201"/>
      <c r="UL134" s="201"/>
      <c r="UM134" s="201"/>
      <c r="UN134" s="201"/>
      <c r="UO134" s="201"/>
      <c r="UP134" s="201"/>
      <c r="UQ134" s="201"/>
      <c r="UR134" s="201"/>
      <c r="US134" s="201"/>
      <c r="UT134" s="201"/>
      <c r="UU134" s="201"/>
    </row>
    <row r="135" spans="1:567" x14ac:dyDescent="0.25">
      <c r="A135" s="175">
        <v>1</v>
      </c>
      <c r="B135" s="28" t="s">
        <v>144</v>
      </c>
      <c r="C135" s="26"/>
      <c r="D135" s="379" t="s">
        <v>451</v>
      </c>
      <c r="E135" s="379" t="s">
        <v>452</v>
      </c>
      <c r="F135" s="613" t="s">
        <v>782</v>
      </c>
      <c r="G135" s="614"/>
      <c r="H135" s="613" t="s">
        <v>750</v>
      </c>
      <c r="I135" s="614"/>
      <c r="J135" s="149"/>
      <c r="K135" s="149"/>
      <c r="EX135" s="201"/>
      <c r="EY135" s="221"/>
      <c r="EZ135" s="221"/>
      <c r="FA135" s="221"/>
      <c r="FB135" s="221"/>
      <c r="FC135" s="227" t="s">
        <v>184</v>
      </c>
      <c r="FD135" s="204">
        <v>1</v>
      </c>
      <c r="FE135" s="204">
        <f t="shared" ref="FE135" si="2649">+FD135+1</f>
        <v>2</v>
      </c>
      <c r="FF135" s="204">
        <f t="shared" ref="FF135" si="2650">+FE135+1</f>
        <v>3</v>
      </c>
      <c r="FG135" s="204">
        <f t="shared" ref="FG135" si="2651">+FF135+1</f>
        <v>4</v>
      </c>
      <c r="FH135" s="204">
        <f t="shared" ref="FH135" si="2652">+FG135+1</f>
        <v>5</v>
      </c>
      <c r="FI135" s="204">
        <f t="shared" ref="FI135" si="2653">+FH135+1</f>
        <v>6</v>
      </c>
      <c r="FJ135" s="204">
        <f t="shared" ref="FJ135" si="2654">+FI135+1</f>
        <v>7</v>
      </c>
      <c r="FK135" s="204">
        <f t="shared" ref="FK135" si="2655">+FJ135+1</f>
        <v>8</v>
      </c>
      <c r="FL135" s="204">
        <f t="shared" ref="FL135" si="2656">+FK135+1</f>
        <v>9</v>
      </c>
      <c r="FM135" s="204">
        <f t="shared" ref="FM135" si="2657">+FL135+1</f>
        <v>10</v>
      </c>
      <c r="FN135" s="204">
        <f t="shared" ref="FN135" si="2658">+FM135+1</f>
        <v>11</v>
      </c>
      <c r="FO135" s="204">
        <f t="shared" ref="FO135" si="2659">+FN135+1</f>
        <v>12</v>
      </c>
      <c r="FP135" s="204">
        <f t="shared" ref="FP135" si="2660">+FO135+1</f>
        <v>13</v>
      </c>
      <c r="FQ135" s="204">
        <f t="shared" ref="FQ135" si="2661">+FP135+1</f>
        <v>14</v>
      </c>
      <c r="FR135" s="204">
        <f t="shared" ref="FR135" si="2662">+FQ135+1</f>
        <v>15</v>
      </c>
      <c r="FS135" s="204">
        <f t="shared" ref="FS135" si="2663">+FR135+1</f>
        <v>16</v>
      </c>
      <c r="FT135" s="204">
        <f t="shared" ref="FT135" si="2664">+FS135+1</f>
        <v>17</v>
      </c>
      <c r="FU135" s="204">
        <f t="shared" ref="FU135" si="2665">+FT135+1</f>
        <v>18</v>
      </c>
      <c r="FV135" s="204">
        <f t="shared" ref="FV135" si="2666">+FU135+1</f>
        <v>19</v>
      </c>
      <c r="FW135" s="204">
        <f t="shared" ref="FW135" si="2667">+FV135+1</f>
        <v>20</v>
      </c>
      <c r="FX135" s="204">
        <f t="shared" ref="FX135" si="2668">+FW135+1</f>
        <v>21</v>
      </c>
      <c r="FY135" s="204">
        <f t="shared" ref="FY135" si="2669">+FX135+1</f>
        <v>22</v>
      </c>
      <c r="FZ135" s="204">
        <f t="shared" ref="FZ135" si="2670">+FY135+1</f>
        <v>23</v>
      </c>
      <c r="GA135" s="204">
        <f t="shared" ref="GA135" si="2671">+FZ135+1</f>
        <v>24</v>
      </c>
      <c r="GB135" s="204">
        <f t="shared" ref="GB135" si="2672">+GA135+1</f>
        <v>25</v>
      </c>
      <c r="GC135" s="204">
        <f t="shared" ref="GC135" si="2673">+GB135+1</f>
        <v>26</v>
      </c>
      <c r="GD135" s="204">
        <f t="shared" ref="GD135" si="2674">+GC135+1</f>
        <v>27</v>
      </c>
      <c r="GE135" s="204">
        <f t="shared" ref="GE135" si="2675">+GD135+1</f>
        <v>28</v>
      </c>
      <c r="GF135" s="204">
        <f t="shared" ref="GF135" si="2676">+GE135+1</f>
        <v>29</v>
      </c>
      <c r="GG135" s="204">
        <f t="shared" ref="GG135" si="2677">+GF135+1</f>
        <v>30</v>
      </c>
      <c r="GH135" s="204">
        <f t="shared" ref="GH135" si="2678">+GG135+1</f>
        <v>31</v>
      </c>
      <c r="GI135" s="204">
        <f t="shared" ref="GI135" si="2679">+GH135+1</f>
        <v>32</v>
      </c>
      <c r="GJ135" s="204">
        <f t="shared" ref="GJ135" si="2680">+GI135+1</f>
        <v>33</v>
      </c>
      <c r="GK135" s="204">
        <f t="shared" ref="GK135" si="2681">+GJ135+1</f>
        <v>34</v>
      </c>
      <c r="GL135" s="204">
        <f t="shared" ref="GL135" si="2682">+GK135+1</f>
        <v>35</v>
      </c>
      <c r="GM135" s="204">
        <f t="shared" ref="GM135" si="2683">+GL135+1</f>
        <v>36</v>
      </c>
      <c r="GN135" s="204">
        <f t="shared" ref="GN135" si="2684">+GM135+1</f>
        <v>37</v>
      </c>
      <c r="GO135" s="204">
        <f t="shared" ref="GO135" si="2685">+GN135+1</f>
        <v>38</v>
      </c>
      <c r="GP135" s="204">
        <f t="shared" ref="GP135" si="2686">+GO135+1</f>
        <v>39</v>
      </c>
      <c r="GQ135" s="204">
        <f t="shared" ref="GQ135" si="2687">+GP135+1</f>
        <v>40</v>
      </c>
      <c r="GR135" s="204">
        <f t="shared" ref="GR135" si="2688">+GQ135+1</f>
        <v>41</v>
      </c>
      <c r="GS135" s="204">
        <f t="shared" ref="GS135" si="2689">+GR135+1</f>
        <v>42</v>
      </c>
      <c r="GT135" s="204">
        <f t="shared" ref="GT135" si="2690">+GS135+1</f>
        <v>43</v>
      </c>
      <c r="GU135" s="204">
        <f t="shared" ref="GU135" si="2691">+GT135+1</f>
        <v>44</v>
      </c>
      <c r="GV135" s="204">
        <f t="shared" ref="GV135" si="2692">+GU135+1</f>
        <v>45</v>
      </c>
      <c r="GW135" s="204">
        <f t="shared" ref="GW135" si="2693">+GV135+1</f>
        <v>46</v>
      </c>
      <c r="GX135" s="204">
        <f t="shared" ref="GX135" si="2694">+GW135+1</f>
        <v>47</v>
      </c>
      <c r="GY135" s="204">
        <f t="shared" ref="GY135" si="2695">+GX135+1</f>
        <v>48</v>
      </c>
      <c r="GZ135" s="204">
        <f t="shared" ref="GZ135" si="2696">+GY135+1</f>
        <v>49</v>
      </c>
      <c r="HA135" s="204">
        <f t="shared" ref="HA135" si="2697">+GZ135+1</f>
        <v>50</v>
      </c>
      <c r="HB135" s="204">
        <f t="shared" ref="HB135" si="2698">+HA135+1</f>
        <v>51</v>
      </c>
      <c r="HC135" s="204">
        <f t="shared" ref="HC135" si="2699">+HB135+1</f>
        <v>52</v>
      </c>
      <c r="HD135" s="204">
        <f t="shared" ref="HD135" si="2700">+HC135+1</f>
        <v>53</v>
      </c>
      <c r="HE135" s="204">
        <f t="shared" ref="HE135" si="2701">+HD135+1</f>
        <v>54</v>
      </c>
      <c r="HF135" s="204">
        <f t="shared" ref="HF135" si="2702">+HE135+1</f>
        <v>55</v>
      </c>
      <c r="HG135" s="204">
        <f t="shared" ref="HG135" si="2703">+HF135+1</f>
        <v>56</v>
      </c>
      <c r="HH135" s="204">
        <f t="shared" ref="HH135" si="2704">+HG135+1</f>
        <v>57</v>
      </c>
      <c r="HI135" s="204">
        <f t="shared" ref="HI135" si="2705">+HH135+1</f>
        <v>58</v>
      </c>
      <c r="HJ135" s="204">
        <f t="shared" ref="HJ135" si="2706">+HI135+1</f>
        <v>59</v>
      </c>
      <c r="HK135" s="204">
        <f t="shared" ref="HK135" si="2707">+HJ135+1</f>
        <v>60</v>
      </c>
      <c r="HL135" s="204">
        <f t="shared" ref="HL135" si="2708">+HK135+1</f>
        <v>61</v>
      </c>
      <c r="HM135" s="204">
        <f t="shared" ref="HM135" si="2709">+HL135+1</f>
        <v>62</v>
      </c>
      <c r="HN135" s="204">
        <f t="shared" ref="HN135" si="2710">+HM135+1</f>
        <v>63</v>
      </c>
      <c r="HO135" s="204">
        <f t="shared" ref="HO135" si="2711">+HN135+1</f>
        <v>64</v>
      </c>
      <c r="HP135" s="204">
        <f t="shared" ref="HP135" si="2712">+HO135+1</f>
        <v>65</v>
      </c>
      <c r="HQ135" s="204">
        <f t="shared" ref="HQ135" si="2713">+HP135+1</f>
        <v>66</v>
      </c>
      <c r="HR135" s="204">
        <f t="shared" ref="HR135" si="2714">+HQ135+1</f>
        <v>67</v>
      </c>
      <c r="HS135" s="204">
        <f t="shared" ref="HS135" si="2715">+HR135+1</f>
        <v>68</v>
      </c>
      <c r="HT135" s="204">
        <f t="shared" ref="HT135" si="2716">+HS135+1</f>
        <v>69</v>
      </c>
      <c r="HU135" s="204">
        <f t="shared" ref="HU135" si="2717">+HT135+1</f>
        <v>70</v>
      </c>
      <c r="HV135" s="204">
        <f t="shared" ref="HV135" si="2718">+HU135+1</f>
        <v>71</v>
      </c>
      <c r="HW135" s="204">
        <f t="shared" ref="HW135" si="2719">+HV135+1</f>
        <v>72</v>
      </c>
      <c r="HX135" s="204">
        <f t="shared" ref="HX135" si="2720">+HW135+1</f>
        <v>73</v>
      </c>
      <c r="HY135" s="204">
        <f t="shared" ref="HY135" si="2721">+HX135+1</f>
        <v>74</v>
      </c>
      <c r="HZ135" s="204">
        <f t="shared" ref="HZ135" si="2722">+HY135+1</f>
        <v>75</v>
      </c>
      <c r="IA135" s="204">
        <f t="shared" ref="IA135" si="2723">+HZ135+1</f>
        <v>76</v>
      </c>
      <c r="IB135" s="204">
        <f t="shared" ref="IB135" si="2724">+IA135+1</f>
        <v>77</v>
      </c>
      <c r="IC135" s="204">
        <f t="shared" ref="IC135" si="2725">+IB135+1</f>
        <v>78</v>
      </c>
      <c r="ID135" s="204">
        <f t="shared" ref="ID135" si="2726">+IC135+1</f>
        <v>79</v>
      </c>
      <c r="IE135" s="204">
        <f t="shared" ref="IE135" si="2727">+ID135+1</f>
        <v>80</v>
      </c>
      <c r="IF135" s="204">
        <f t="shared" ref="IF135" si="2728">+IE135+1</f>
        <v>81</v>
      </c>
      <c r="IG135" s="204">
        <f t="shared" ref="IG135" si="2729">+IF135+1</f>
        <v>82</v>
      </c>
      <c r="IH135" s="204">
        <f t="shared" ref="IH135" si="2730">+IG135+1</f>
        <v>83</v>
      </c>
      <c r="II135" s="204">
        <f t="shared" ref="II135" si="2731">+IH135+1</f>
        <v>84</v>
      </c>
      <c r="IJ135" s="204">
        <f t="shared" ref="IJ135" si="2732">+II135+1</f>
        <v>85</v>
      </c>
      <c r="IK135" s="204">
        <f t="shared" ref="IK135" si="2733">+IJ135+1</f>
        <v>86</v>
      </c>
      <c r="IL135" s="204">
        <f t="shared" ref="IL135" si="2734">+IK135+1</f>
        <v>87</v>
      </c>
      <c r="IM135" s="204">
        <f t="shared" ref="IM135" si="2735">+IL135+1</f>
        <v>88</v>
      </c>
      <c r="IN135" s="204">
        <f t="shared" ref="IN135" si="2736">+IM135+1</f>
        <v>89</v>
      </c>
      <c r="IO135" s="204">
        <f t="shared" ref="IO135" si="2737">+IN135+1</f>
        <v>90</v>
      </c>
      <c r="IP135" s="204">
        <f t="shared" ref="IP135" si="2738">+IO135+1</f>
        <v>91</v>
      </c>
      <c r="IQ135" s="204">
        <f t="shared" ref="IQ135" si="2739">+IP135+1</f>
        <v>92</v>
      </c>
      <c r="IR135" s="204">
        <f t="shared" ref="IR135" si="2740">+IQ135+1</f>
        <v>93</v>
      </c>
      <c r="IS135" s="204">
        <f t="shared" ref="IS135" si="2741">+IR135+1</f>
        <v>94</v>
      </c>
      <c r="IT135" s="204">
        <f t="shared" ref="IT135" si="2742">+IS135+1</f>
        <v>95</v>
      </c>
      <c r="IU135" s="204">
        <f t="shared" ref="IU135" si="2743">+IT135+1</f>
        <v>96</v>
      </c>
      <c r="IV135" s="204">
        <f t="shared" ref="IV135" si="2744">+IU135+1</f>
        <v>97</v>
      </c>
      <c r="IW135" s="204">
        <f t="shared" ref="IW135" si="2745">+IV135+1</f>
        <v>98</v>
      </c>
      <c r="IX135" s="204">
        <f t="shared" ref="IX135" si="2746">+IW135+1</f>
        <v>99</v>
      </c>
      <c r="IY135" s="204">
        <f t="shared" ref="IY135" si="2747">+IX135+1</f>
        <v>100</v>
      </c>
      <c r="IZ135" s="204">
        <f t="shared" ref="IZ135" si="2748">+IY135+1</f>
        <v>101</v>
      </c>
      <c r="JA135" s="204">
        <f t="shared" ref="JA135" si="2749">+IZ135+1</f>
        <v>102</v>
      </c>
      <c r="JB135" s="204">
        <f t="shared" ref="JB135" si="2750">+JA135+1</f>
        <v>103</v>
      </c>
      <c r="JC135" s="204">
        <f t="shared" ref="JC135" si="2751">+JB135+1</f>
        <v>104</v>
      </c>
      <c r="JD135" s="204">
        <f t="shared" ref="JD135" si="2752">+JC135+1</f>
        <v>105</v>
      </c>
      <c r="JE135" s="204">
        <f t="shared" ref="JE135" si="2753">+JD135+1</f>
        <v>106</v>
      </c>
      <c r="JF135" s="204">
        <f t="shared" ref="JF135" si="2754">+JE135+1</f>
        <v>107</v>
      </c>
      <c r="JG135" s="204">
        <f t="shared" ref="JG135" si="2755">+JF135+1</f>
        <v>108</v>
      </c>
      <c r="JH135" s="204">
        <f t="shared" ref="JH135" si="2756">+JG135+1</f>
        <v>109</v>
      </c>
      <c r="JI135" s="204">
        <f t="shared" ref="JI135" si="2757">+JH135+1</f>
        <v>110</v>
      </c>
      <c r="JJ135" s="204">
        <f t="shared" ref="JJ135" si="2758">+JI135+1</f>
        <v>111</v>
      </c>
      <c r="JK135" s="204">
        <f t="shared" ref="JK135" si="2759">+JJ135+1</f>
        <v>112</v>
      </c>
      <c r="JL135" s="204">
        <f t="shared" ref="JL135" si="2760">+JK135+1</f>
        <v>113</v>
      </c>
      <c r="JM135" s="204">
        <f t="shared" ref="JM135" si="2761">+JL135+1</f>
        <v>114</v>
      </c>
      <c r="JN135" s="204">
        <f t="shared" ref="JN135" si="2762">+JM135+1</f>
        <v>115</v>
      </c>
      <c r="JO135" s="204">
        <f t="shared" ref="JO135" si="2763">+JN135+1</f>
        <v>116</v>
      </c>
      <c r="JP135" s="204">
        <f t="shared" ref="JP135" si="2764">+JO135+1</f>
        <v>117</v>
      </c>
      <c r="JQ135" s="204">
        <f t="shared" ref="JQ135" si="2765">+JP135+1</f>
        <v>118</v>
      </c>
      <c r="JR135" s="204">
        <f t="shared" ref="JR135" si="2766">+JQ135+1</f>
        <v>119</v>
      </c>
      <c r="JS135" s="204">
        <f t="shared" ref="JS135" si="2767">+JR135+1</f>
        <v>120</v>
      </c>
      <c r="JT135" s="204">
        <f t="shared" ref="JT135" si="2768">+JS135+1</f>
        <v>121</v>
      </c>
      <c r="JU135" s="204">
        <f t="shared" ref="JU135" si="2769">+JT135+1</f>
        <v>122</v>
      </c>
      <c r="JV135" s="204">
        <f t="shared" ref="JV135" si="2770">+JU135+1</f>
        <v>123</v>
      </c>
      <c r="JW135" s="204">
        <f t="shared" ref="JW135" si="2771">+JV135+1</f>
        <v>124</v>
      </c>
      <c r="JX135" s="204">
        <f t="shared" ref="JX135" si="2772">+JW135+1</f>
        <v>125</v>
      </c>
      <c r="JY135" s="204">
        <f t="shared" ref="JY135" si="2773">+JX135+1</f>
        <v>126</v>
      </c>
      <c r="JZ135" s="204">
        <f t="shared" ref="JZ135" si="2774">+JY135+1</f>
        <v>127</v>
      </c>
      <c r="KA135" s="204">
        <f t="shared" ref="KA135" si="2775">+JZ135+1</f>
        <v>128</v>
      </c>
      <c r="KB135" s="204">
        <f t="shared" ref="KB135" si="2776">+KA135+1</f>
        <v>129</v>
      </c>
      <c r="KC135" s="204">
        <f t="shared" ref="KC135" si="2777">+KB135+1</f>
        <v>130</v>
      </c>
      <c r="KD135" s="204">
        <f t="shared" ref="KD135" si="2778">+KC135+1</f>
        <v>131</v>
      </c>
      <c r="KE135" s="204">
        <f t="shared" ref="KE135" si="2779">+KD135+1</f>
        <v>132</v>
      </c>
      <c r="KH135" s="201"/>
      <c r="KI135" s="221"/>
      <c r="KJ135" s="221"/>
      <c r="KK135" s="221"/>
      <c r="KL135" s="221"/>
      <c r="KM135" s="203" t="s">
        <v>185</v>
      </c>
      <c r="KN135" s="204">
        <v>1</v>
      </c>
      <c r="KO135" s="204">
        <f t="shared" ref="KO135" si="2780">+KN135+1</f>
        <v>2</v>
      </c>
      <c r="KP135" s="204">
        <f t="shared" ref="KP135" si="2781">+KO135+1</f>
        <v>3</v>
      </c>
      <c r="KQ135" s="204">
        <f t="shared" ref="KQ135" si="2782">+KP135+1</f>
        <v>4</v>
      </c>
      <c r="KR135" s="204">
        <f t="shared" ref="KR135" si="2783">+KQ135+1</f>
        <v>5</v>
      </c>
      <c r="KS135" s="204">
        <f t="shared" ref="KS135" si="2784">+KR135+1</f>
        <v>6</v>
      </c>
      <c r="KT135" s="204">
        <f t="shared" ref="KT135" si="2785">+KS135+1</f>
        <v>7</v>
      </c>
      <c r="KU135" s="204">
        <f t="shared" ref="KU135" si="2786">+KT135+1</f>
        <v>8</v>
      </c>
      <c r="KV135" s="204">
        <f t="shared" ref="KV135" si="2787">+KU135+1</f>
        <v>9</v>
      </c>
      <c r="KW135" s="204">
        <f t="shared" ref="KW135" si="2788">+KV135+1</f>
        <v>10</v>
      </c>
      <c r="KX135" s="204">
        <f t="shared" ref="KX135" si="2789">+KW135+1</f>
        <v>11</v>
      </c>
      <c r="KY135" s="204">
        <f t="shared" ref="KY135" si="2790">+KX135+1</f>
        <v>12</v>
      </c>
      <c r="KZ135" s="204">
        <f t="shared" ref="KZ135" si="2791">+KY135+1</f>
        <v>13</v>
      </c>
      <c r="LA135" s="204">
        <f t="shared" ref="LA135" si="2792">+KZ135+1</f>
        <v>14</v>
      </c>
      <c r="LB135" s="204">
        <f t="shared" ref="LB135" si="2793">+LA135+1</f>
        <v>15</v>
      </c>
      <c r="LC135" s="204">
        <f t="shared" ref="LC135" si="2794">+LB135+1</f>
        <v>16</v>
      </c>
      <c r="LD135" s="204">
        <f t="shared" ref="LD135" si="2795">+LC135+1</f>
        <v>17</v>
      </c>
      <c r="LE135" s="204">
        <f t="shared" ref="LE135" si="2796">+LD135+1</f>
        <v>18</v>
      </c>
      <c r="LF135" s="204">
        <f t="shared" ref="LF135" si="2797">+LE135+1</f>
        <v>19</v>
      </c>
      <c r="LG135" s="204">
        <f t="shared" ref="LG135" si="2798">+LF135+1</f>
        <v>20</v>
      </c>
      <c r="LH135" s="204">
        <f t="shared" ref="LH135" si="2799">+LG135+1</f>
        <v>21</v>
      </c>
      <c r="LI135" s="204">
        <f t="shared" ref="LI135" si="2800">+LH135+1</f>
        <v>22</v>
      </c>
      <c r="LJ135" s="204">
        <f t="shared" ref="LJ135" si="2801">+LI135+1</f>
        <v>23</v>
      </c>
      <c r="LK135" s="204">
        <f t="shared" ref="LK135" si="2802">+LJ135+1</f>
        <v>24</v>
      </c>
      <c r="LL135" s="204">
        <f t="shared" ref="LL135" si="2803">+LK135+1</f>
        <v>25</v>
      </c>
      <c r="LM135" s="204">
        <f t="shared" ref="LM135" si="2804">+LL135+1</f>
        <v>26</v>
      </c>
      <c r="LN135" s="204">
        <f t="shared" ref="LN135" si="2805">+LM135+1</f>
        <v>27</v>
      </c>
      <c r="LO135" s="204">
        <f t="shared" ref="LO135" si="2806">+LN135+1</f>
        <v>28</v>
      </c>
      <c r="LP135" s="204">
        <f t="shared" ref="LP135" si="2807">+LO135+1</f>
        <v>29</v>
      </c>
      <c r="LQ135" s="204">
        <f t="shared" ref="LQ135" si="2808">+LP135+1</f>
        <v>30</v>
      </c>
      <c r="LR135" s="204">
        <f t="shared" ref="LR135" si="2809">+LQ135+1</f>
        <v>31</v>
      </c>
      <c r="LS135" s="204">
        <f t="shared" ref="LS135" si="2810">+LR135+1</f>
        <v>32</v>
      </c>
      <c r="LT135" s="204">
        <f t="shared" ref="LT135" si="2811">+LS135+1</f>
        <v>33</v>
      </c>
      <c r="LU135" s="204">
        <f t="shared" ref="LU135" si="2812">+LT135+1</f>
        <v>34</v>
      </c>
      <c r="LV135" s="204">
        <f t="shared" ref="LV135" si="2813">+LU135+1</f>
        <v>35</v>
      </c>
      <c r="LW135" s="204">
        <f t="shared" ref="LW135" si="2814">+LV135+1</f>
        <v>36</v>
      </c>
      <c r="LX135" s="204">
        <f t="shared" ref="LX135" si="2815">+LW135+1</f>
        <v>37</v>
      </c>
      <c r="LY135" s="204">
        <f t="shared" ref="LY135" si="2816">+LX135+1</f>
        <v>38</v>
      </c>
      <c r="LZ135" s="204">
        <f t="shared" ref="LZ135" si="2817">+LY135+1</f>
        <v>39</v>
      </c>
      <c r="MA135" s="204">
        <f t="shared" ref="MA135" si="2818">+LZ135+1</f>
        <v>40</v>
      </c>
      <c r="MB135" s="204">
        <f t="shared" ref="MB135" si="2819">+MA135+1</f>
        <v>41</v>
      </c>
      <c r="MC135" s="204">
        <f t="shared" ref="MC135" si="2820">+MB135+1</f>
        <v>42</v>
      </c>
      <c r="MD135" s="204">
        <f t="shared" ref="MD135" si="2821">+MC135+1</f>
        <v>43</v>
      </c>
      <c r="ME135" s="204">
        <f t="shared" ref="ME135" si="2822">+MD135+1</f>
        <v>44</v>
      </c>
      <c r="MF135" s="204">
        <f t="shared" ref="MF135" si="2823">+ME135+1</f>
        <v>45</v>
      </c>
      <c r="MG135" s="204">
        <f t="shared" ref="MG135" si="2824">+MF135+1</f>
        <v>46</v>
      </c>
      <c r="MH135" s="204">
        <f t="shared" ref="MH135" si="2825">+MG135+1</f>
        <v>47</v>
      </c>
      <c r="MI135" s="204">
        <f t="shared" ref="MI135" si="2826">+MH135+1</f>
        <v>48</v>
      </c>
      <c r="MJ135" s="204">
        <f t="shared" ref="MJ135" si="2827">+MI135+1</f>
        <v>49</v>
      </c>
      <c r="MK135" s="204">
        <f t="shared" ref="MK135" si="2828">+MJ135+1</f>
        <v>50</v>
      </c>
      <c r="ML135" s="204">
        <f t="shared" ref="ML135" si="2829">+MK135+1</f>
        <v>51</v>
      </c>
      <c r="MM135" s="204">
        <f t="shared" ref="MM135" si="2830">+ML135+1</f>
        <v>52</v>
      </c>
      <c r="MN135" s="204">
        <f t="shared" ref="MN135" si="2831">+MM135+1</f>
        <v>53</v>
      </c>
      <c r="MO135" s="204">
        <f t="shared" ref="MO135" si="2832">+MN135+1</f>
        <v>54</v>
      </c>
      <c r="MP135" s="204">
        <f t="shared" ref="MP135" si="2833">+MO135+1</f>
        <v>55</v>
      </c>
      <c r="MQ135" s="204">
        <f t="shared" ref="MQ135" si="2834">+MP135+1</f>
        <v>56</v>
      </c>
      <c r="MR135" s="204">
        <f t="shared" ref="MR135" si="2835">+MQ135+1</f>
        <v>57</v>
      </c>
      <c r="MS135" s="204">
        <f t="shared" ref="MS135" si="2836">+MR135+1</f>
        <v>58</v>
      </c>
      <c r="MT135" s="204">
        <f t="shared" ref="MT135" si="2837">+MS135+1</f>
        <v>59</v>
      </c>
      <c r="MU135" s="204">
        <f t="shared" ref="MU135" si="2838">+MT135+1</f>
        <v>60</v>
      </c>
      <c r="MV135" s="204">
        <f t="shared" ref="MV135" si="2839">+MU135+1</f>
        <v>61</v>
      </c>
      <c r="MW135" s="204">
        <f t="shared" ref="MW135" si="2840">+MV135+1</f>
        <v>62</v>
      </c>
      <c r="MX135" s="204">
        <f t="shared" ref="MX135" si="2841">+MW135+1</f>
        <v>63</v>
      </c>
      <c r="MY135" s="204">
        <f t="shared" ref="MY135" si="2842">+MX135+1</f>
        <v>64</v>
      </c>
      <c r="MZ135" s="204">
        <f t="shared" ref="MZ135" si="2843">+MY135+1</f>
        <v>65</v>
      </c>
      <c r="NA135" s="204">
        <f t="shared" ref="NA135" si="2844">+MZ135+1</f>
        <v>66</v>
      </c>
      <c r="NB135" s="204">
        <f t="shared" ref="NB135" si="2845">+NA135+1</f>
        <v>67</v>
      </c>
      <c r="NC135" s="204">
        <f t="shared" ref="NC135" si="2846">+NB135+1</f>
        <v>68</v>
      </c>
      <c r="ND135" s="204">
        <f t="shared" ref="ND135" si="2847">+NC135+1</f>
        <v>69</v>
      </c>
      <c r="NE135" s="204">
        <f t="shared" ref="NE135" si="2848">+ND135+1</f>
        <v>70</v>
      </c>
      <c r="NF135" s="204">
        <f t="shared" ref="NF135" si="2849">+NE135+1</f>
        <v>71</v>
      </c>
      <c r="NG135" s="204">
        <f t="shared" ref="NG135" si="2850">+NF135+1</f>
        <v>72</v>
      </c>
      <c r="NH135" s="204">
        <f t="shared" ref="NH135" si="2851">+NG135+1</f>
        <v>73</v>
      </c>
      <c r="NI135" s="204">
        <f t="shared" ref="NI135" si="2852">+NH135+1</f>
        <v>74</v>
      </c>
      <c r="NJ135" s="204">
        <f t="shared" ref="NJ135" si="2853">+NI135+1</f>
        <v>75</v>
      </c>
      <c r="NK135" s="204">
        <f t="shared" ref="NK135" si="2854">+NJ135+1</f>
        <v>76</v>
      </c>
      <c r="NL135" s="204">
        <f t="shared" ref="NL135" si="2855">+NK135+1</f>
        <v>77</v>
      </c>
      <c r="NM135" s="204">
        <f t="shared" ref="NM135" si="2856">+NL135+1</f>
        <v>78</v>
      </c>
      <c r="NN135" s="204">
        <f t="shared" ref="NN135" si="2857">+NM135+1</f>
        <v>79</v>
      </c>
      <c r="NO135" s="204">
        <f t="shared" ref="NO135" si="2858">+NN135+1</f>
        <v>80</v>
      </c>
      <c r="NP135" s="204">
        <f t="shared" ref="NP135" si="2859">+NO135+1</f>
        <v>81</v>
      </c>
      <c r="NQ135" s="204">
        <f t="shared" ref="NQ135" si="2860">+NP135+1</f>
        <v>82</v>
      </c>
      <c r="NR135" s="204">
        <f t="shared" ref="NR135" si="2861">+NQ135+1</f>
        <v>83</v>
      </c>
      <c r="NS135" s="204">
        <f t="shared" ref="NS135" si="2862">+NR135+1</f>
        <v>84</v>
      </c>
      <c r="NT135" s="204">
        <f t="shared" ref="NT135" si="2863">+NS135+1</f>
        <v>85</v>
      </c>
      <c r="NU135" s="204">
        <f t="shared" ref="NU135" si="2864">+NT135+1</f>
        <v>86</v>
      </c>
      <c r="NV135" s="204">
        <f t="shared" ref="NV135" si="2865">+NU135+1</f>
        <v>87</v>
      </c>
      <c r="NW135" s="204">
        <f t="shared" ref="NW135" si="2866">+NV135+1</f>
        <v>88</v>
      </c>
      <c r="NX135" s="204">
        <f t="shared" ref="NX135" si="2867">+NW135+1</f>
        <v>89</v>
      </c>
      <c r="NY135" s="204">
        <f t="shared" ref="NY135" si="2868">+NX135+1</f>
        <v>90</v>
      </c>
      <c r="NZ135" s="204">
        <f t="shared" ref="NZ135" si="2869">+NY135+1</f>
        <v>91</v>
      </c>
      <c r="OA135" s="204">
        <f t="shared" ref="OA135" si="2870">+NZ135+1</f>
        <v>92</v>
      </c>
      <c r="OB135" s="204">
        <f t="shared" ref="OB135" si="2871">+OA135+1</f>
        <v>93</v>
      </c>
      <c r="OC135" s="204">
        <f t="shared" ref="OC135" si="2872">+OB135+1</f>
        <v>94</v>
      </c>
      <c r="OD135" s="204">
        <f t="shared" ref="OD135" si="2873">+OC135+1</f>
        <v>95</v>
      </c>
      <c r="OE135" s="204">
        <f t="shared" ref="OE135" si="2874">+OD135+1</f>
        <v>96</v>
      </c>
      <c r="OF135" s="204">
        <f t="shared" ref="OF135" si="2875">+OE135+1</f>
        <v>97</v>
      </c>
      <c r="OG135" s="204">
        <f t="shared" ref="OG135" si="2876">+OF135+1</f>
        <v>98</v>
      </c>
      <c r="OH135" s="204">
        <f t="shared" ref="OH135" si="2877">+OG135+1</f>
        <v>99</v>
      </c>
      <c r="OI135" s="204">
        <f t="shared" ref="OI135" si="2878">+OH135+1</f>
        <v>100</v>
      </c>
      <c r="OJ135" s="204">
        <f t="shared" ref="OJ135" si="2879">+OI135+1</f>
        <v>101</v>
      </c>
      <c r="OK135" s="204">
        <f t="shared" ref="OK135" si="2880">+OJ135+1</f>
        <v>102</v>
      </c>
      <c r="OL135" s="204">
        <f t="shared" ref="OL135" si="2881">+OK135+1</f>
        <v>103</v>
      </c>
      <c r="OM135" s="204">
        <f t="shared" ref="OM135" si="2882">+OL135+1</f>
        <v>104</v>
      </c>
      <c r="ON135" s="204">
        <f t="shared" ref="ON135" si="2883">+OM135+1</f>
        <v>105</v>
      </c>
      <c r="OO135" s="204">
        <f t="shared" ref="OO135" si="2884">+ON135+1</f>
        <v>106</v>
      </c>
      <c r="OP135" s="204">
        <f t="shared" ref="OP135" si="2885">+OO135+1</f>
        <v>107</v>
      </c>
      <c r="OQ135" s="204">
        <f t="shared" ref="OQ135" si="2886">+OP135+1</f>
        <v>108</v>
      </c>
      <c r="OR135" s="204">
        <f t="shared" ref="OR135" si="2887">+OQ135+1</f>
        <v>109</v>
      </c>
      <c r="OS135" s="204">
        <f t="shared" ref="OS135" si="2888">+OR135+1</f>
        <v>110</v>
      </c>
      <c r="OT135" s="204">
        <f t="shared" ref="OT135" si="2889">+OS135+1</f>
        <v>111</v>
      </c>
      <c r="OU135" s="204">
        <f t="shared" ref="OU135" si="2890">+OT135+1</f>
        <v>112</v>
      </c>
      <c r="OV135" s="204">
        <f t="shared" ref="OV135" si="2891">+OU135+1</f>
        <v>113</v>
      </c>
      <c r="OW135" s="204">
        <f t="shared" ref="OW135" si="2892">+OV135+1</f>
        <v>114</v>
      </c>
      <c r="OX135" s="204">
        <f t="shared" ref="OX135" si="2893">+OW135+1</f>
        <v>115</v>
      </c>
      <c r="OY135" s="204">
        <f t="shared" ref="OY135" si="2894">+OX135+1</f>
        <v>116</v>
      </c>
      <c r="OZ135" s="204">
        <f t="shared" ref="OZ135" si="2895">+OY135+1</f>
        <v>117</v>
      </c>
      <c r="PA135" s="204">
        <f t="shared" ref="PA135" si="2896">+OZ135+1</f>
        <v>118</v>
      </c>
      <c r="PB135" s="204">
        <f t="shared" ref="PB135" si="2897">+PA135+1</f>
        <v>119</v>
      </c>
      <c r="PC135" s="204">
        <f t="shared" ref="PC135" si="2898">+PB135+1</f>
        <v>120</v>
      </c>
      <c r="PD135" s="204">
        <f t="shared" ref="PD135" si="2899">+PC135+1</f>
        <v>121</v>
      </c>
      <c r="PE135" s="204">
        <f t="shared" ref="PE135" si="2900">+PD135+1</f>
        <v>122</v>
      </c>
      <c r="PF135" s="204">
        <f t="shared" ref="PF135" si="2901">+PE135+1</f>
        <v>123</v>
      </c>
      <c r="PG135" s="204">
        <f t="shared" ref="PG135" si="2902">+PF135+1</f>
        <v>124</v>
      </c>
      <c r="PH135" s="204">
        <f t="shared" ref="PH135" si="2903">+PG135+1</f>
        <v>125</v>
      </c>
      <c r="PI135" s="204">
        <f t="shared" ref="PI135" si="2904">+PH135+1</f>
        <v>126</v>
      </c>
      <c r="PJ135" s="204">
        <f t="shared" ref="PJ135" si="2905">+PI135+1</f>
        <v>127</v>
      </c>
      <c r="PK135" s="204">
        <f t="shared" ref="PK135" si="2906">+PJ135+1</f>
        <v>128</v>
      </c>
      <c r="PL135" s="204">
        <f t="shared" ref="PL135" si="2907">+PK135+1</f>
        <v>129</v>
      </c>
      <c r="PM135" s="204">
        <f t="shared" ref="PM135" si="2908">+PL135+1</f>
        <v>130</v>
      </c>
      <c r="PN135" s="204">
        <f t="shared" ref="PN135" si="2909">+PM135+1</f>
        <v>131</v>
      </c>
      <c r="PO135" s="204">
        <f t="shared" ref="PO135" si="2910">+PN135+1</f>
        <v>132</v>
      </c>
      <c r="PQ135" s="201"/>
      <c r="PR135" s="201"/>
      <c r="PS135" s="201"/>
      <c r="PT135" s="201"/>
      <c r="PU135" s="201"/>
      <c r="PV135" s="201"/>
      <c r="PW135" s="201"/>
      <c r="PX135" s="201"/>
      <c r="PY135" s="201"/>
      <c r="PZ135" s="201"/>
      <c r="QA135" s="201"/>
      <c r="QB135" s="201"/>
      <c r="QC135" s="201"/>
      <c r="QD135" s="201"/>
      <c r="QE135" s="201"/>
      <c r="QF135" s="201"/>
      <c r="QG135" s="201"/>
      <c r="QH135" s="201"/>
      <c r="QI135" s="201"/>
      <c r="QJ135" s="201"/>
      <c r="QK135" s="201"/>
      <c r="QL135" s="201"/>
      <c r="QM135" s="201"/>
      <c r="QN135" s="201"/>
      <c r="QO135" s="201"/>
      <c r="QP135" s="201"/>
      <c r="QQ135" s="201"/>
      <c r="QR135" s="201"/>
      <c r="QS135" s="201"/>
      <c r="QT135" s="201"/>
      <c r="QU135" s="201"/>
      <c r="QV135" s="201"/>
      <c r="QW135" s="201"/>
      <c r="QX135" s="201"/>
      <c r="QY135" s="201"/>
      <c r="QZ135" s="201"/>
      <c r="RA135" s="201"/>
      <c r="RB135" s="201"/>
      <c r="RC135" s="201"/>
      <c r="RD135" s="201"/>
      <c r="RE135" s="201"/>
      <c r="RF135" s="201"/>
      <c r="RG135" s="201"/>
      <c r="RH135" s="201"/>
      <c r="RI135" s="201"/>
      <c r="RJ135" s="201"/>
      <c r="RK135" s="201"/>
      <c r="RL135" s="201"/>
      <c r="RM135" s="201"/>
      <c r="RN135" s="201"/>
      <c r="RO135" s="201"/>
      <c r="RP135" s="201"/>
      <c r="RQ135" s="201"/>
      <c r="RR135" s="201"/>
      <c r="RS135" s="201"/>
      <c r="RT135" s="201"/>
      <c r="RU135" s="201"/>
      <c r="RV135" s="201"/>
      <c r="RW135" s="201"/>
      <c r="RX135" s="201"/>
      <c r="RY135" s="201"/>
      <c r="RZ135" s="201"/>
      <c r="SA135" s="201"/>
      <c r="SB135" s="201"/>
      <c r="SC135" s="201"/>
      <c r="SD135" s="201"/>
      <c r="SE135" s="201"/>
      <c r="SF135" s="201"/>
      <c r="SG135" s="201"/>
      <c r="SH135" s="201"/>
      <c r="SI135" s="201"/>
      <c r="SJ135" s="201"/>
      <c r="SK135" s="201"/>
      <c r="SL135" s="201"/>
      <c r="SM135" s="201"/>
      <c r="SN135" s="201"/>
      <c r="SO135" s="201"/>
      <c r="SP135" s="201"/>
      <c r="SQ135" s="201"/>
      <c r="SR135" s="201"/>
      <c r="SS135" s="201"/>
      <c r="ST135" s="201"/>
      <c r="SU135" s="201"/>
      <c r="SV135" s="201"/>
      <c r="SW135" s="201"/>
      <c r="SX135" s="201"/>
      <c r="SY135" s="201"/>
      <c r="SZ135" s="201"/>
      <c r="TA135" s="201"/>
      <c r="TB135" s="201"/>
      <c r="TC135" s="201"/>
      <c r="TD135" s="201"/>
      <c r="TE135" s="201"/>
      <c r="TF135" s="201"/>
      <c r="TG135" s="201"/>
      <c r="TH135" s="201"/>
      <c r="TI135" s="201"/>
      <c r="TJ135" s="201"/>
      <c r="TK135" s="201"/>
      <c r="TL135" s="201"/>
      <c r="TM135" s="201"/>
      <c r="TN135" s="201"/>
      <c r="TO135" s="201"/>
      <c r="TP135" s="201"/>
      <c r="TQ135" s="201"/>
      <c r="TR135" s="201"/>
      <c r="TS135" s="201"/>
      <c r="TT135" s="201"/>
      <c r="TU135" s="201"/>
      <c r="TV135" s="201"/>
      <c r="TW135" s="201"/>
      <c r="TX135" s="201"/>
      <c r="TY135" s="201"/>
      <c r="TZ135" s="201"/>
      <c r="UA135" s="201"/>
      <c r="UB135" s="201"/>
      <c r="UC135" s="201"/>
      <c r="UD135" s="201"/>
      <c r="UE135" s="201"/>
      <c r="UF135" s="201"/>
      <c r="UG135" s="201"/>
      <c r="UH135" s="201"/>
      <c r="UI135" s="201"/>
      <c r="UJ135" s="201"/>
      <c r="UK135" s="201"/>
      <c r="UL135" s="201"/>
      <c r="UM135" s="201"/>
      <c r="UN135" s="201"/>
      <c r="UO135" s="201"/>
      <c r="UP135" s="201"/>
      <c r="UQ135" s="201"/>
      <c r="UR135" s="201"/>
      <c r="US135" s="201"/>
      <c r="UT135" s="201"/>
      <c r="UU135" s="201"/>
    </row>
    <row r="136" spans="1:567" x14ac:dyDescent="0.25">
      <c r="B136" s="44" t="s">
        <v>145</v>
      </c>
      <c r="C136" s="26"/>
      <c r="D136" s="26"/>
      <c r="E136" s="104"/>
      <c r="F136" s="131" t="str">
        <f t="shared" ref="F136:F142" si="2911">Unit_Type_Plural&amp;"/Year"</f>
        <v>Units/Year</v>
      </c>
      <c r="G136" s="584">
        <v>350</v>
      </c>
      <c r="H136" s="131" t="str">
        <f t="shared" ref="H136:H142" si="2912">Unit_Type_Plural&amp;"/Year"</f>
        <v>Units/Year</v>
      </c>
      <c r="I136" s="584">
        <v>350</v>
      </c>
      <c r="J136" s="149">
        <f>((1-$E$120)*G136+$E$120*I136)*$C$120</f>
        <v>105000</v>
      </c>
      <c r="K136" s="149">
        <f>+I136*$C$120</f>
        <v>105000</v>
      </c>
      <c r="M136" s="3" t="s">
        <v>849</v>
      </c>
      <c r="T136" s="92">
        <f t="shared" ref="T136:AC142" si="2913">$C$120*((1-T$109)*FD136+T$109*KN136)/12</f>
        <v>8750</v>
      </c>
      <c r="U136" s="92">
        <f t="shared" si="2913"/>
        <v>8750</v>
      </c>
      <c r="V136" s="92">
        <f t="shared" si="2913"/>
        <v>8750</v>
      </c>
      <c r="W136" s="92">
        <f t="shared" si="2913"/>
        <v>8750</v>
      </c>
      <c r="X136" s="92">
        <f t="shared" si="2913"/>
        <v>8750</v>
      </c>
      <c r="Y136" s="92">
        <f t="shared" si="2913"/>
        <v>8750</v>
      </c>
      <c r="Z136" s="92">
        <f t="shared" si="2913"/>
        <v>8750</v>
      </c>
      <c r="AA136" s="92">
        <f t="shared" si="2913"/>
        <v>8750</v>
      </c>
      <c r="AB136" s="92">
        <f t="shared" si="2913"/>
        <v>8750</v>
      </c>
      <c r="AC136" s="92">
        <f t="shared" si="2913"/>
        <v>8750</v>
      </c>
      <c r="AD136" s="92">
        <f t="shared" ref="AD136:AM142" si="2914">$C$120*((1-AD$109)*FN136+AD$109*KX136)/12</f>
        <v>8750</v>
      </c>
      <c r="AE136" s="92">
        <f t="shared" si="2914"/>
        <v>8750</v>
      </c>
      <c r="AF136" s="92">
        <f t="shared" si="2914"/>
        <v>8768.0235673611242</v>
      </c>
      <c r="AG136" s="92">
        <f t="shared" si="2914"/>
        <v>8786.084260320009</v>
      </c>
      <c r="AH136" s="92">
        <f t="shared" si="2914"/>
        <v>8804.1821553493119</v>
      </c>
      <c r="AI136" s="92">
        <f t="shared" si="2914"/>
        <v>8822.317329079202</v>
      </c>
      <c r="AJ136" s="92">
        <f t="shared" si="2914"/>
        <v>8840.4898582977021</v>
      </c>
      <c r="AK136" s="92">
        <f t="shared" si="2914"/>
        <v>8858.6998199509999</v>
      </c>
      <c r="AL136" s="92">
        <f t="shared" si="2914"/>
        <v>8876.9472911437824</v>
      </c>
      <c r="AM136" s="92">
        <f t="shared" si="2914"/>
        <v>8895.2323491395637</v>
      </c>
      <c r="AN136" s="92">
        <f t="shared" ref="AN136:AW142" si="2915">$C$120*((1-AN$109)*FX136+AN$109*LH136)/12</f>
        <v>8913.5550713609991</v>
      </c>
      <c r="AO136" s="92">
        <f t="shared" si="2915"/>
        <v>8931.9155353902297</v>
      </c>
      <c r="AP136" s="92">
        <f t="shared" si="2915"/>
        <v>8950.3138189691981</v>
      </c>
      <c r="AQ136" s="92">
        <f t="shared" si="2915"/>
        <v>8968.7499999999854</v>
      </c>
      <c r="AR136" s="92">
        <f t="shared" si="2915"/>
        <v>8987.2241565451386</v>
      </c>
      <c r="AS136" s="92">
        <f t="shared" si="2915"/>
        <v>9005.7363668279959</v>
      </c>
      <c r="AT136" s="92">
        <f t="shared" si="2915"/>
        <v>9024.2867092330289</v>
      </c>
      <c r="AU136" s="92">
        <f t="shared" si="2915"/>
        <v>9042.8752623061682</v>
      </c>
      <c r="AV136" s="92">
        <f t="shared" si="2915"/>
        <v>9061.5021047551309</v>
      </c>
      <c r="AW136" s="92">
        <f t="shared" si="2915"/>
        <v>9080.1673154497621</v>
      </c>
      <c r="AX136" s="92">
        <f t="shared" ref="AX136:BG142" si="2916">$C$120*((1-AX$109)*GH136+AX$109*LR136)/12</f>
        <v>9098.8709734223667</v>
      </c>
      <c r="AY136" s="92">
        <f t="shared" si="2916"/>
        <v>9117.6131578680415</v>
      </c>
      <c r="AZ136" s="92">
        <f t="shared" si="2916"/>
        <v>9136.3939481450125</v>
      </c>
      <c r="BA136" s="92">
        <f t="shared" si="2916"/>
        <v>9155.2134237749742</v>
      </c>
      <c r="BB136" s="92">
        <f t="shared" si="2916"/>
        <v>9174.0716644434178</v>
      </c>
      <c r="BC136" s="92">
        <f t="shared" si="2916"/>
        <v>9192.9687499999745</v>
      </c>
      <c r="BD136" s="92">
        <f t="shared" si="2916"/>
        <v>9211.9047604587558</v>
      </c>
      <c r="BE136" s="92">
        <f t="shared" si="2916"/>
        <v>9230.8797759986846</v>
      </c>
      <c r="BF136" s="92">
        <f t="shared" si="2916"/>
        <v>9249.8938769638444</v>
      </c>
      <c r="BG136" s="92">
        <f t="shared" si="2916"/>
        <v>9268.947143863812</v>
      </c>
      <c r="BH136" s="92">
        <f t="shared" ref="BH136:BQ142" si="2917">$C$120*((1-BH$109)*GR136+BH$109*MB136)/12</f>
        <v>9288.0396573739981</v>
      </c>
      <c r="BI136" s="92">
        <f t="shared" si="2917"/>
        <v>9307.1714983359943</v>
      </c>
      <c r="BJ136" s="92">
        <f t="shared" si="2917"/>
        <v>9326.3427477579116</v>
      </c>
      <c r="BK136" s="92">
        <f t="shared" si="2917"/>
        <v>9345.5534868147297</v>
      </c>
      <c r="BL136" s="92">
        <f t="shared" si="2917"/>
        <v>9364.803796848626</v>
      </c>
      <c r="BM136" s="92">
        <f t="shared" si="2917"/>
        <v>9384.0937593693361</v>
      </c>
      <c r="BN136" s="92">
        <f t="shared" si="2917"/>
        <v>9403.4234560544901</v>
      </c>
      <c r="BO136" s="92">
        <f t="shared" si="2917"/>
        <v>9422.7929687499618</v>
      </c>
      <c r="BP136" s="92">
        <f t="shared" si="2917"/>
        <v>9442.2023794702109</v>
      </c>
      <c r="BQ136" s="92">
        <f t="shared" si="2917"/>
        <v>9461.6517703986392</v>
      </c>
      <c r="BR136" s="92">
        <f t="shared" ref="BR136:CA142" si="2918">$C$120*((1-BR$109)*HB136+BR$109*ML136)/12</f>
        <v>9481.1412238879293</v>
      </c>
      <c r="BS136" s="92">
        <f t="shared" si="2918"/>
        <v>9500.6708224603935</v>
      </c>
      <c r="BT136" s="92">
        <f t="shared" si="2918"/>
        <v>9520.2406488083343</v>
      </c>
      <c r="BU136" s="92">
        <f t="shared" si="2918"/>
        <v>9539.8507857943823</v>
      </c>
      <c r="BV136" s="92">
        <f t="shared" si="2918"/>
        <v>9559.5013164518477</v>
      </c>
      <c r="BW136" s="92">
        <f t="shared" si="2918"/>
        <v>9579.1923239850857</v>
      </c>
      <c r="BX136" s="92">
        <f t="shared" si="2918"/>
        <v>9598.9238917698294</v>
      </c>
      <c r="BY136" s="92">
        <f t="shared" si="2918"/>
        <v>9618.6961033535572</v>
      </c>
      <c r="BZ136" s="92">
        <f t="shared" si="2918"/>
        <v>9638.5090424558402</v>
      </c>
      <c r="CA136" s="92">
        <f t="shared" si="2918"/>
        <v>9658.3627929686972</v>
      </c>
      <c r="CB136" s="92">
        <f t="shared" ref="CB136:CK142" si="2919">$C$120*((1-CB$109)*HL136+CB$109*MV136)/12</f>
        <v>9678.2574389569545</v>
      </c>
      <c r="CC136" s="92">
        <f t="shared" si="2919"/>
        <v>9698.1930646585934</v>
      </c>
      <c r="CD136" s="92">
        <f t="shared" si="2919"/>
        <v>9718.169754485114</v>
      </c>
      <c r="CE136" s="92">
        <f t="shared" si="2919"/>
        <v>9738.1875930218921</v>
      </c>
      <c r="CF136" s="92">
        <f t="shared" si="2919"/>
        <v>9758.2466650285314</v>
      </c>
      <c r="CG136" s="92">
        <f t="shared" si="2919"/>
        <v>9778.3470554392297</v>
      </c>
      <c r="CH136" s="92">
        <f t="shared" si="2919"/>
        <v>9798.4888493631333</v>
      </c>
      <c r="CI136" s="92">
        <f t="shared" si="2919"/>
        <v>9818.6721320847009</v>
      </c>
      <c r="CJ136" s="92">
        <f t="shared" si="2919"/>
        <v>9838.8969890640637</v>
      </c>
      <c r="CK136" s="92">
        <f t="shared" si="2919"/>
        <v>9859.1635059373839</v>
      </c>
      <c r="CL136" s="92">
        <f t="shared" ref="CL136:CU142" si="2920">$C$120*((1-CL$109)*HV136+CL$109*NF136)/12</f>
        <v>9879.4717685172236</v>
      </c>
      <c r="CM136" s="92">
        <f t="shared" si="2920"/>
        <v>9899.8218627929036</v>
      </c>
      <c r="CN136" s="92">
        <f t="shared" si="2920"/>
        <v>9920.213874930867</v>
      </c>
      <c r="CO136" s="92">
        <f t="shared" si="2920"/>
        <v>9940.6478912750463</v>
      </c>
      <c r="CP136" s="92">
        <f t="shared" si="2920"/>
        <v>9961.1239983472296</v>
      </c>
      <c r="CQ136" s="92">
        <f t="shared" si="2920"/>
        <v>9981.6422828474279</v>
      </c>
      <c r="CR136" s="92">
        <f t="shared" si="2920"/>
        <v>10002.202831654233</v>
      </c>
      <c r="CS136" s="92">
        <f t="shared" si="2920"/>
        <v>10022.805731825198</v>
      </c>
      <c r="CT136" s="92">
        <f t="shared" si="2920"/>
        <v>10043.451070597199</v>
      </c>
      <c r="CU136" s="92">
        <f t="shared" si="2920"/>
        <v>10064.138935386805</v>
      </c>
      <c r="CV136" s="92">
        <f t="shared" ref="CV136:DE142" si="2921">$C$120*((1-CV$109)*IF136+CV$109*NP136)/12</f>
        <v>10084.869413790651</v>
      </c>
      <c r="CW136" s="92">
        <f t="shared" si="2921"/>
        <v>10105.642593585806</v>
      </c>
      <c r="CX136" s="92">
        <f t="shared" si="2921"/>
        <v>10126.45856273014</v>
      </c>
      <c r="CY136" s="92">
        <f t="shared" si="2921"/>
        <v>10147.317409362711</v>
      </c>
      <c r="CZ136" s="92">
        <f t="shared" si="2921"/>
        <v>10168.219221804124</v>
      </c>
      <c r="DA136" s="92">
        <f t="shared" si="2921"/>
        <v>10189.164088556909</v>
      </c>
      <c r="DB136" s="92">
        <f t="shared" si="2921"/>
        <v>10210.152098305896</v>
      </c>
      <c r="DC136" s="92">
        <f t="shared" si="2921"/>
        <v>10231.183339918598</v>
      </c>
      <c r="DD136" s="92">
        <f t="shared" si="2921"/>
        <v>10252.257902445572</v>
      </c>
      <c r="DE136" s="92">
        <f t="shared" si="2921"/>
        <v>10273.375875120812</v>
      </c>
      <c r="DF136" s="92">
        <f t="shared" ref="DF136:DO142" si="2922">$C$120*((1-DF$109)*IP136+DF$109*NZ136)/12</f>
        <v>10294.537347362113</v>
      </c>
      <c r="DG136" s="92">
        <f t="shared" si="2922"/>
        <v>10315.742408771461</v>
      </c>
      <c r="DH136" s="92">
        <f t="shared" si="2922"/>
        <v>10336.991149135403</v>
      </c>
      <c r="DI136" s="92">
        <f t="shared" si="2922"/>
        <v>10358.283658425435</v>
      </c>
      <c r="DJ136" s="92">
        <f t="shared" si="2922"/>
        <v>10379.620026798379</v>
      </c>
      <c r="DK136" s="92">
        <f t="shared" si="2922"/>
        <v>10401.000344596765</v>
      </c>
      <c r="DL136" s="92">
        <f t="shared" si="2922"/>
        <v>10422.424702349212</v>
      </c>
      <c r="DM136" s="92">
        <f t="shared" si="2922"/>
        <v>10443.893190770816</v>
      </c>
      <c r="DN136" s="92">
        <f t="shared" si="2922"/>
        <v>10465.405900763528</v>
      </c>
      <c r="DO136" s="92">
        <f t="shared" si="2922"/>
        <v>10486.962923416548</v>
      </c>
      <c r="DP136" s="92">
        <f t="shared" ref="DP136:DY142" si="2923">$C$120*((1-DP$109)*IZ136+DP$109*OJ136)/12</f>
        <v>10508.564350006696</v>
      </c>
      <c r="DQ136" s="92">
        <f t="shared" si="2923"/>
        <v>10530.210271998816</v>
      </c>
      <c r="DR136" s="92">
        <f t="shared" si="2923"/>
        <v>10551.90078104615</v>
      </c>
      <c r="DS136" s="92">
        <f t="shared" si="2923"/>
        <v>10573.635968990731</v>
      </c>
      <c r="DT136" s="92">
        <f t="shared" si="2923"/>
        <v>10595.415927863773</v>
      </c>
      <c r="DU136" s="92">
        <f t="shared" si="2923"/>
        <v>10617.240749886058</v>
      </c>
      <c r="DV136" s="92">
        <f t="shared" si="2923"/>
        <v>10639.110527468323</v>
      </c>
      <c r="DW136" s="92">
        <f t="shared" si="2923"/>
        <v>10661.025353211668</v>
      </c>
      <c r="DX136" s="92">
        <f t="shared" si="2923"/>
        <v>10682.985319907926</v>
      </c>
      <c r="DY136" s="92">
        <f t="shared" si="2923"/>
        <v>10704.99052054007</v>
      </c>
      <c r="DZ136" s="92">
        <f t="shared" ref="DZ136:EI142" si="2924">$C$120*((1-DZ$109)*JJ136+DZ$109*OT136)/12</f>
        <v>10727.041048282603</v>
      </c>
      <c r="EA136" s="92">
        <f t="shared" si="2924"/>
        <v>10749.136996501948</v>
      </c>
      <c r="EB136" s="92">
        <f t="shared" si="2924"/>
        <v>10771.278458756851</v>
      </c>
      <c r="EC136" s="92">
        <f t="shared" si="2924"/>
        <v>10793.465528798773</v>
      </c>
      <c r="ED136" s="92">
        <f t="shared" si="2924"/>
        <v>10815.69830057229</v>
      </c>
      <c r="EE136" s="92">
        <f t="shared" si="2924"/>
        <v>10837.976868215486</v>
      </c>
      <c r="EF136" s="92">
        <f t="shared" si="2924"/>
        <v>10860.301326060353</v>
      </c>
      <c r="EG136" s="92">
        <f t="shared" si="2924"/>
        <v>10882.671768633192</v>
      </c>
      <c r="EH136" s="92">
        <f t="shared" si="2924"/>
        <v>10905.088290655016</v>
      </c>
      <c r="EI136" s="92">
        <f t="shared" si="2924"/>
        <v>10927.550987041946</v>
      </c>
      <c r="EJ136" s="92">
        <f t="shared" ref="EJ136:ES142" si="2925">$C$120*((1-EJ$109)*JT136+EJ$109*PD136)/12</f>
        <v>10950.059952905611</v>
      </c>
      <c r="EK136" s="92">
        <f t="shared" si="2925"/>
        <v>10972.615283553556</v>
      </c>
      <c r="EL136" s="92">
        <f t="shared" si="2925"/>
        <v>10995.217074489652</v>
      </c>
      <c r="EM136" s="92">
        <f t="shared" si="2925"/>
        <v>11017.865421414479</v>
      </c>
      <c r="EN136" s="92">
        <f t="shared" si="2925"/>
        <v>11040.560420225755</v>
      </c>
      <c r="EO136" s="92">
        <f t="shared" si="2925"/>
        <v>11063.302167018725</v>
      </c>
      <c r="EP136" s="92">
        <f t="shared" si="2925"/>
        <v>11086.090758086582</v>
      </c>
      <c r="EQ136" s="92">
        <f t="shared" si="2925"/>
        <v>11108.926289920855</v>
      </c>
      <c r="ER136" s="92">
        <f t="shared" si="2925"/>
        <v>11131.808859211844</v>
      </c>
      <c r="ES136" s="92">
        <f t="shared" si="2925"/>
        <v>11154.738562849006</v>
      </c>
      <c r="ET136" s="92">
        <f t="shared" ref="ET136:EU142" si="2926">$C$120*((1-ET$109)*KD136+ET$109*PN136)/12</f>
        <v>11177.715497921376</v>
      </c>
      <c r="EU136" s="92">
        <f t="shared" si="2926"/>
        <v>11200.739761717976</v>
      </c>
      <c r="EW136" s="199" t="str">
        <f t="shared" ref="EW136:EW139" si="2927">+B136</f>
        <v>Repairs and Maintenance</v>
      </c>
      <c r="EX136" s="201"/>
      <c r="EY136" s="221"/>
      <c r="EZ136" s="221"/>
      <c r="FA136" s="221"/>
      <c r="FB136" s="221"/>
      <c r="FC136" s="207">
        <f t="shared" ref="FC136:FC139" si="2928">+G136</f>
        <v>350</v>
      </c>
      <c r="FD136" s="207">
        <f>FC136+IF(FD$124&gt;0,FC136*((1+INDEX($C$107:$H$107,1,MIN(FD$124,6)))^(1/12)-1))</f>
        <v>350</v>
      </c>
      <c r="FE136" s="207">
        <f t="shared" ref="FE136:HP136" si="2929">FD136+IF(FE$124&gt;0,FD136*((1+INDEX($C$107:$H$107,1,MIN(FE$124,6)))^(1/12)-1))</f>
        <v>350</v>
      </c>
      <c r="FF136" s="207">
        <f t="shared" si="2929"/>
        <v>350</v>
      </c>
      <c r="FG136" s="207">
        <f t="shared" si="2929"/>
        <v>350</v>
      </c>
      <c r="FH136" s="207">
        <f t="shared" si="2929"/>
        <v>350</v>
      </c>
      <c r="FI136" s="207">
        <f t="shared" si="2929"/>
        <v>350</v>
      </c>
      <c r="FJ136" s="207">
        <f t="shared" si="2929"/>
        <v>350</v>
      </c>
      <c r="FK136" s="207">
        <f t="shared" si="2929"/>
        <v>350</v>
      </c>
      <c r="FL136" s="207">
        <f t="shared" si="2929"/>
        <v>350</v>
      </c>
      <c r="FM136" s="207">
        <f t="shared" si="2929"/>
        <v>350</v>
      </c>
      <c r="FN136" s="207">
        <f t="shared" si="2929"/>
        <v>350</v>
      </c>
      <c r="FO136" s="207">
        <f t="shared" si="2929"/>
        <v>350</v>
      </c>
      <c r="FP136" s="207">
        <f t="shared" si="2929"/>
        <v>350.72094269444494</v>
      </c>
      <c r="FQ136" s="207">
        <f t="shared" si="2929"/>
        <v>351.44337041280039</v>
      </c>
      <c r="FR136" s="207">
        <f t="shared" si="2929"/>
        <v>352.16728621397243</v>
      </c>
      <c r="FS136" s="207">
        <f t="shared" si="2929"/>
        <v>352.89269316316808</v>
      </c>
      <c r="FT136" s="207">
        <f t="shared" si="2929"/>
        <v>353.61959433190805</v>
      </c>
      <c r="FU136" s="207">
        <f t="shared" si="2929"/>
        <v>354.34799279803997</v>
      </c>
      <c r="FV136" s="207">
        <f t="shared" si="2929"/>
        <v>355.07789164575132</v>
      </c>
      <c r="FW136" s="207">
        <f t="shared" si="2929"/>
        <v>355.80929396558253</v>
      </c>
      <c r="FX136" s="207">
        <f t="shared" si="2929"/>
        <v>356.54220285443995</v>
      </c>
      <c r="FY136" s="207">
        <f t="shared" si="2929"/>
        <v>357.27662141560916</v>
      </c>
      <c r="FZ136" s="207">
        <f t="shared" si="2929"/>
        <v>358.01255275876792</v>
      </c>
      <c r="GA136" s="207">
        <f t="shared" si="2929"/>
        <v>358.74999999999943</v>
      </c>
      <c r="GB136" s="207">
        <f t="shared" si="2929"/>
        <v>359.4889662618055</v>
      </c>
      <c r="GC136" s="207">
        <f t="shared" si="2929"/>
        <v>360.22945467311985</v>
      </c>
      <c r="GD136" s="207">
        <f t="shared" si="2929"/>
        <v>360.9714683693212</v>
      </c>
      <c r="GE136" s="207">
        <f t="shared" si="2929"/>
        <v>361.71501049224673</v>
      </c>
      <c r="GF136" s="207">
        <f t="shared" si="2929"/>
        <v>362.46008419020524</v>
      </c>
      <c r="GG136" s="207">
        <f t="shared" si="2929"/>
        <v>363.20669261799048</v>
      </c>
      <c r="GH136" s="207">
        <f t="shared" si="2929"/>
        <v>363.95483893689465</v>
      </c>
      <c r="GI136" s="207">
        <f t="shared" si="2929"/>
        <v>364.70452631472165</v>
      </c>
      <c r="GJ136" s="207">
        <f t="shared" si="2929"/>
        <v>365.45575792580053</v>
      </c>
      <c r="GK136" s="207">
        <f t="shared" si="2929"/>
        <v>366.20853695099896</v>
      </c>
      <c r="GL136" s="207">
        <f t="shared" si="2929"/>
        <v>366.96286657773669</v>
      </c>
      <c r="GM136" s="207">
        <f t="shared" si="2929"/>
        <v>367.71874999999898</v>
      </c>
      <c r="GN136" s="207">
        <f t="shared" si="2929"/>
        <v>368.4761904183502</v>
      </c>
      <c r="GO136" s="207">
        <f t="shared" si="2929"/>
        <v>369.23519103994738</v>
      </c>
      <c r="GP136" s="207">
        <f t="shared" si="2929"/>
        <v>369.99575507855377</v>
      </c>
      <c r="GQ136" s="207">
        <f t="shared" si="2929"/>
        <v>370.75788575455243</v>
      </c>
      <c r="GR136" s="207">
        <f t="shared" si="2929"/>
        <v>371.52158629495989</v>
      </c>
      <c r="GS136" s="207">
        <f t="shared" si="2929"/>
        <v>372.28685993343976</v>
      </c>
      <c r="GT136" s="207">
        <f t="shared" si="2929"/>
        <v>373.05370991031651</v>
      </c>
      <c r="GU136" s="207">
        <f t="shared" si="2929"/>
        <v>373.82213947258919</v>
      </c>
      <c r="GV136" s="207">
        <f t="shared" si="2929"/>
        <v>374.59215187394506</v>
      </c>
      <c r="GW136" s="207">
        <f t="shared" si="2929"/>
        <v>375.36375037477347</v>
      </c>
      <c r="GX136" s="207">
        <f t="shared" si="2929"/>
        <v>376.13693824217961</v>
      </c>
      <c r="GY136" s="207">
        <f t="shared" si="2929"/>
        <v>376.91171874999844</v>
      </c>
      <c r="GZ136" s="207">
        <f t="shared" si="2929"/>
        <v>377.68809517880845</v>
      </c>
      <c r="HA136" s="207">
        <f t="shared" si="2929"/>
        <v>378.46607081594556</v>
      </c>
      <c r="HB136" s="207">
        <f t="shared" si="2929"/>
        <v>379.24564895551714</v>
      </c>
      <c r="HC136" s="207">
        <f t="shared" si="2929"/>
        <v>380.02683289841576</v>
      </c>
      <c r="HD136" s="207">
        <f t="shared" si="2929"/>
        <v>380.80962595233336</v>
      </c>
      <c r="HE136" s="207">
        <f t="shared" si="2929"/>
        <v>381.59403143177525</v>
      </c>
      <c r="HF136" s="207">
        <f t="shared" si="2929"/>
        <v>382.38005265807391</v>
      </c>
      <c r="HG136" s="207">
        <f t="shared" si="2929"/>
        <v>383.16769295940338</v>
      </c>
      <c r="HH136" s="207">
        <f t="shared" si="2929"/>
        <v>383.95695567079315</v>
      </c>
      <c r="HI136" s="207">
        <f t="shared" si="2929"/>
        <v>384.74784413414227</v>
      </c>
      <c r="HJ136" s="207">
        <f t="shared" si="2929"/>
        <v>385.5403616982336</v>
      </c>
      <c r="HK136" s="207">
        <f t="shared" si="2929"/>
        <v>386.33451171874793</v>
      </c>
      <c r="HL136" s="207">
        <f t="shared" si="2929"/>
        <v>387.13029755827819</v>
      </c>
      <c r="HM136" s="207">
        <f t="shared" si="2929"/>
        <v>387.92772258634375</v>
      </c>
      <c r="HN136" s="207">
        <f t="shared" si="2929"/>
        <v>388.72679017940459</v>
      </c>
      <c r="HO136" s="207">
        <f t="shared" si="2929"/>
        <v>389.5275037208757</v>
      </c>
      <c r="HP136" s="207">
        <f t="shared" si="2929"/>
        <v>390.32986660114125</v>
      </c>
      <c r="HQ136" s="207">
        <f t="shared" ref="HQ136:KB136" si="2930">HP136+IF(HQ$124&gt;0,HP136*((1+INDEX($C$107:$H$107,1,MIN(HQ$124,6)))^(1/12)-1))</f>
        <v>391.13388221756918</v>
      </c>
      <c r="HR136" s="207">
        <f t="shared" si="2930"/>
        <v>391.93955397452532</v>
      </c>
      <c r="HS136" s="207">
        <f t="shared" si="2930"/>
        <v>392.74688528338805</v>
      </c>
      <c r="HT136" s="207">
        <f t="shared" si="2930"/>
        <v>393.55587956256255</v>
      </c>
      <c r="HU136" s="207">
        <f t="shared" si="2930"/>
        <v>394.36654023749537</v>
      </c>
      <c r="HV136" s="207">
        <f t="shared" si="2930"/>
        <v>395.17887074068898</v>
      </c>
      <c r="HW136" s="207">
        <f t="shared" si="2930"/>
        <v>395.99287451171614</v>
      </c>
      <c r="HX136" s="207">
        <f t="shared" si="2930"/>
        <v>396.80855499723464</v>
      </c>
      <c r="HY136" s="207">
        <f t="shared" si="2930"/>
        <v>397.62591565100183</v>
      </c>
      <c r="HZ136" s="207">
        <f t="shared" si="2930"/>
        <v>398.44495993388921</v>
      </c>
      <c r="IA136" s="207">
        <f t="shared" si="2930"/>
        <v>399.26569131389709</v>
      </c>
      <c r="IB136" s="207">
        <f t="shared" si="2930"/>
        <v>400.08811326616927</v>
      </c>
      <c r="IC136" s="207">
        <f t="shared" si="2930"/>
        <v>400.91222927300788</v>
      </c>
      <c r="ID136" s="207">
        <f t="shared" si="2930"/>
        <v>401.73804282388795</v>
      </c>
      <c r="IE136" s="207">
        <f t="shared" si="2930"/>
        <v>402.56555741547226</v>
      </c>
      <c r="IF136" s="207">
        <f t="shared" si="2930"/>
        <v>403.39477655162608</v>
      </c>
      <c r="IG136" s="207">
        <f t="shared" si="2930"/>
        <v>404.22570374343223</v>
      </c>
      <c r="IH136" s="207">
        <f t="shared" si="2930"/>
        <v>405.05834250920566</v>
      </c>
      <c r="II136" s="207">
        <f t="shared" si="2930"/>
        <v>405.89269637450849</v>
      </c>
      <c r="IJ136" s="207">
        <f t="shared" si="2930"/>
        <v>406.72876887216495</v>
      </c>
      <c r="IK136" s="207">
        <f t="shared" si="2930"/>
        <v>407.5665635422763</v>
      </c>
      <c r="IL136" s="207">
        <f t="shared" si="2930"/>
        <v>408.40608393223584</v>
      </c>
      <c r="IM136" s="207">
        <f t="shared" si="2930"/>
        <v>409.24733359674389</v>
      </c>
      <c r="IN136" s="207">
        <f t="shared" si="2930"/>
        <v>410.09031609782289</v>
      </c>
      <c r="IO136" s="207">
        <f t="shared" si="2930"/>
        <v>410.93503500483246</v>
      </c>
      <c r="IP136" s="207">
        <f t="shared" si="2930"/>
        <v>411.78149389448453</v>
      </c>
      <c r="IQ136" s="207">
        <f t="shared" si="2930"/>
        <v>412.62969635085841</v>
      </c>
      <c r="IR136" s="207">
        <f t="shared" si="2930"/>
        <v>413.47964596541613</v>
      </c>
      <c r="IS136" s="207">
        <f t="shared" si="2930"/>
        <v>414.33134633701741</v>
      </c>
      <c r="IT136" s="207">
        <f t="shared" si="2930"/>
        <v>415.18480107193517</v>
      </c>
      <c r="IU136" s="207">
        <f t="shared" si="2930"/>
        <v>416.04001378387056</v>
      </c>
      <c r="IV136" s="207">
        <f t="shared" si="2930"/>
        <v>416.89698809396845</v>
      </c>
      <c r="IW136" s="207">
        <f t="shared" si="2930"/>
        <v>417.75572763083261</v>
      </c>
      <c r="IX136" s="207">
        <f t="shared" si="2930"/>
        <v>418.61623603054113</v>
      </c>
      <c r="IY136" s="207">
        <f t="shared" si="2930"/>
        <v>419.47851693666189</v>
      </c>
      <c r="IZ136" s="207">
        <f t="shared" si="2930"/>
        <v>420.34257400026786</v>
      </c>
      <c r="JA136" s="207">
        <f t="shared" si="2930"/>
        <v>421.20841087995268</v>
      </c>
      <c r="JB136" s="207">
        <f t="shared" si="2930"/>
        <v>422.07603124184601</v>
      </c>
      <c r="JC136" s="207">
        <f t="shared" si="2930"/>
        <v>422.94543875962927</v>
      </c>
      <c r="JD136" s="207">
        <f t="shared" si="2930"/>
        <v>423.81663711455093</v>
      </c>
      <c r="JE136" s="207">
        <f t="shared" si="2930"/>
        <v>424.68962999544226</v>
      </c>
      <c r="JF136" s="207">
        <f t="shared" si="2930"/>
        <v>425.56442109873296</v>
      </c>
      <c r="JG136" s="207">
        <f t="shared" si="2930"/>
        <v>426.44101412846675</v>
      </c>
      <c r="JH136" s="207">
        <f t="shared" si="2930"/>
        <v>427.31941279631707</v>
      </c>
      <c r="JI136" s="207">
        <f t="shared" si="2930"/>
        <v>428.19962082160282</v>
      </c>
      <c r="JJ136" s="207">
        <f t="shared" si="2930"/>
        <v>429.08164193130409</v>
      </c>
      <c r="JK136" s="207">
        <f t="shared" si="2930"/>
        <v>429.96547986007789</v>
      </c>
      <c r="JL136" s="207">
        <f t="shared" si="2930"/>
        <v>430.85113835027403</v>
      </c>
      <c r="JM136" s="207">
        <f t="shared" si="2930"/>
        <v>431.73862115195095</v>
      </c>
      <c r="JN136" s="207">
        <f t="shared" si="2930"/>
        <v>432.62793202289163</v>
      </c>
      <c r="JO136" s="207">
        <f t="shared" si="2930"/>
        <v>433.51907472861944</v>
      </c>
      <c r="JP136" s="207">
        <f t="shared" si="2930"/>
        <v>434.41205304241413</v>
      </c>
      <c r="JQ136" s="207">
        <f t="shared" si="2930"/>
        <v>435.30687074532773</v>
      </c>
      <c r="JR136" s="207">
        <f t="shared" si="2930"/>
        <v>436.20353162620069</v>
      </c>
      <c r="JS136" s="207">
        <f t="shared" si="2930"/>
        <v>437.10203948167782</v>
      </c>
      <c r="JT136" s="207">
        <f t="shared" si="2930"/>
        <v>438.00239811622441</v>
      </c>
      <c r="JU136" s="207">
        <f t="shared" si="2930"/>
        <v>438.90461134214229</v>
      </c>
      <c r="JV136" s="207">
        <f t="shared" si="2930"/>
        <v>439.80868297958608</v>
      </c>
      <c r="JW136" s="207">
        <f t="shared" si="2930"/>
        <v>440.7146168565792</v>
      </c>
      <c r="JX136" s="207">
        <f t="shared" si="2930"/>
        <v>441.6224168090302</v>
      </c>
      <c r="JY136" s="207">
        <f t="shared" si="2930"/>
        <v>442.53208668074905</v>
      </c>
      <c r="JZ136" s="207">
        <f t="shared" si="2930"/>
        <v>443.44363032346325</v>
      </c>
      <c r="KA136" s="207">
        <f t="shared" si="2930"/>
        <v>444.35705159683425</v>
      </c>
      <c r="KB136" s="207">
        <f t="shared" si="2930"/>
        <v>445.27235436847377</v>
      </c>
      <c r="KC136" s="207">
        <f t="shared" ref="KC136:KE136" si="2931">KB136+IF(KC$124&gt;0,KB136*((1+INDEX($C$107:$H$107,1,MIN(KC$124,6)))^(1/12)-1))</f>
        <v>446.18954251396025</v>
      </c>
      <c r="KD136" s="207">
        <f t="shared" si="2931"/>
        <v>447.10861991685505</v>
      </c>
      <c r="KE136" s="207">
        <f t="shared" si="2931"/>
        <v>448.02959046871911</v>
      </c>
      <c r="KG136" s="199" t="str">
        <f t="shared" ref="KG136:KG139" si="2932">B136</f>
        <v>Repairs and Maintenance</v>
      </c>
      <c r="KH136" s="201"/>
      <c r="KI136" s="221"/>
      <c r="KJ136" s="221"/>
      <c r="KK136" s="221"/>
      <c r="KL136" s="221"/>
      <c r="KM136" s="207">
        <f t="shared" ref="KM136:KM139" si="2933">I136</f>
        <v>350</v>
      </c>
      <c r="KN136" s="207">
        <f>KM136+IF(KN$124&gt;0,KM136*((1+INDEX($C$107:$H$107,1,MIN(KN$124,6)))^(1/12)-1))</f>
        <v>350</v>
      </c>
      <c r="KO136" s="207">
        <f t="shared" ref="KO136:MZ136" si="2934">KN136+IF(KO$124&gt;0,KN136*((1+INDEX($C$107:$H$107,1,MIN(KO$124,6)))^(1/12)-1))</f>
        <v>350</v>
      </c>
      <c r="KP136" s="207">
        <f t="shared" si="2934"/>
        <v>350</v>
      </c>
      <c r="KQ136" s="207">
        <f t="shared" si="2934"/>
        <v>350</v>
      </c>
      <c r="KR136" s="207">
        <f t="shared" si="2934"/>
        <v>350</v>
      </c>
      <c r="KS136" s="207">
        <f t="shared" si="2934"/>
        <v>350</v>
      </c>
      <c r="KT136" s="207">
        <f t="shared" si="2934"/>
        <v>350</v>
      </c>
      <c r="KU136" s="207">
        <f t="shared" si="2934"/>
        <v>350</v>
      </c>
      <c r="KV136" s="207">
        <f t="shared" si="2934"/>
        <v>350</v>
      </c>
      <c r="KW136" s="207">
        <f t="shared" si="2934"/>
        <v>350</v>
      </c>
      <c r="KX136" s="207">
        <f t="shared" si="2934"/>
        <v>350</v>
      </c>
      <c r="KY136" s="207">
        <f t="shared" si="2934"/>
        <v>350</v>
      </c>
      <c r="KZ136" s="207">
        <f t="shared" si="2934"/>
        <v>350.72094269444494</v>
      </c>
      <c r="LA136" s="207">
        <f t="shared" si="2934"/>
        <v>351.44337041280039</v>
      </c>
      <c r="LB136" s="207">
        <f t="shared" si="2934"/>
        <v>352.16728621397243</v>
      </c>
      <c r="LC136" s="207">
        <f t="shared" si="2934"/>
        <v>352.89269316316808</v>
      </c>
      <c r="LD136" s="207">
        <f t="shared" si="2934"/>
        <v>353.61959433190805</v>
      </c>
      <c r="LE136" s="207">
        <f t="shared" si="2934"/>
        <v>354.34799279803997</v>
      </c>
      <c r="LF136" s="207">
        <f t="shared" si="2934"/>
        <v>355.07789164575132</v>
      </c>
      <c r="LG136" s="207">
        <f t="shared" si="2934"/>
        <v>355.80929396558253</v>
      </c>
      <c r="LH136" s="207">
        <f t="shared" si="2934"/>
        <v>356.54220285443995</v>
      </c>
      <c r="LI136" s="207">
        <f t="shared" si="2934"/>
        <v>357.27662141560916</v>
      </c>
      <c r="LJ136" s="207">
        <f t="shared" si="2934"/>
        <v>358.01255275876792</v>
      </c>
      <c r="LK136" s="207">
        <f t="shared" si="2934"/>
        <v>358.74999999999943</v>
      </c>
      <c r="LL136" s="207">
        <f t="shared" si="2934"/>
        <v>359.4889662618055</v>
      </c>
      <c r="LM136" s="207">
        <f t="shared" si="2934"/>
        <v>360.22945467311985</v>
      </c>
      <c r="LN136" s="207">
        <f t="shared" si="2934"/>
        <v>360.9714683693212</v>
      </c>
      <c r="LO136" s="207">
        <f t="shared" si="2934"/>
        <v>361.71501049224673</v>
      </c>
      <c r="LP136" s="207">
        <f t="shared" si="2934"/>
        <v>362.46008419020524</v>
      </c>
      <c r="LQ136" s="207">
        <f t="shared" si="2934"/>
        <v>363.20669261799048</v>
      </c>
      <c r="LR136" s="207">
        <f t="shared" si="2934"/>
        <v>363.95483893689465</v>
      </c>
      <c r="LS136" s="207">
        <f t="shared" si="2934"/>
        <v>364.70452631472165</v>
      </c>
      <c r="LT136" s="207">
        <f t="shared" si="2934"/>
        <v>365.45575792580053</v>
      </c>
      <c r="LU136" s="207">
        <f t="shared" si="2934"/>
        <v>366.20853695099896</v>
      </c>
      <c r="LV136" s="207">
        <f t="shared" si="2934"/>
        <v>366.96286657773669</v>
      </c>
      <c r="LW136" s="207">
        <f t="shared" si="2934"/>
        <v>367.71874999999898</v>
      </c>
      <c r="LX136" s="207">
        <f t="shared" si="2934"/>
        <v>368.4761904183502</v>
      </c>
      <c r="LY136" s="207">
        <f t="shared" si="2934"/>
        <v>369.23519103994738</v>
      </c>
      <c r="LZ136" s="207">
        <f t="shared" si="2934"/>
        <v>369.99575507855377</v>
      </c>
      <c r="MA136" s="207">
        <f t="shared" si="2934"/>
        <v>370.75788575455243</v>
      </c>
      <c r="MB136" s="207">
        <f t="shared" si="2934"/>
        <v>371.52158629495989</v>
      </c>
      <c r="MC136" s="207">
        <f t="shared" si="2934"/>
        <v>372.28685993343976</v>
      </c>
      <c r="MD136" s="207">
        <f t="shared" si="2934"/>
        <v>373.05370991031651</v>
      </c>
      <c r="ME136" s="207">
        <f t="shared" si="2934"/>
        <v>373.82213947258919</v>
      </c>
      <c r="MF136" s="207">
        <f t="shared" si="2934"/>
        <v>374.59215187394506</v>
      </c>
      <c r="MG136" s="207">
        <f t="shared" si="2934"/>
        <v>375.36375037477347</v>
      </c>
      <c r="MH136" s="207">
        <f t="shared" si="2934"/>
        <v>376.13693824217961</v>
      </c>
      <c r="MI136" s="207">
        <f t="shared" si="2934"/>
        <v>376.91171874999844</v>
      </c>
      <c r="MJ136" s="207">
        <f t="shared" si="2934"/>
        <v>377.68809517880845</v>
      </c>
      <c r="MK136" s="207">
        <f t="shared" si="2934"/>
        <v>378.46607081594556</v>
      </c>
      <c r="ML136" s="207">
        <f t="shared" si="2934"/>
        <v>379.24564895551714</v>
      </c>
      <c r="MM136" s="207">
        <f t="shared" si="2934"/>
        <v>380.02683289841576</v>
      </c>
      <c r="MN136" s="207">
        <f t="shared" si="2934"/>
        <v>380.80962595233336</v>
      </c>
      <c r="MO136" s="207">
        <f t="shared" si="2934"/>
        <v>381.59403143177525</v>
      </c>
      <c r="MP136" s="207">
        <f t="shared" si="2934"/>
        <v>382.38005265807391</v>
      </c>
      <c r="MQ136" s="207">
        <f t="shared" si="2934"/>
        <v>383.16769295940338</v>
      </c>
      <c r="MR136" s="207">
        <f t="shared" si="2934"/>
        <v>383.95695567079315</v>
      </c>
      <c r="MS136" s="207">
        <f t="shared" si="2934"/>
        <v>384.74784413414227</v>
      </c>
      <c r="MT136" s="207">
        <f t="shared" si="2934"/>
        <v>385.5403616982336</v>
      </c>
      <c r="MU136" s="207">
        <f t="shared" si="2934"/>
        <v>386.33451171874793</v>
      </c>
      <c r="MV136" s="207">
        <f t="shared" si="2934"/>
        <v>387.13029755827819</v>
      </c>
      <c r="MW136" s="207">
        <f t="shared" si="2934"/>
        <v>387.92772258634375</v>
      </c>
      <c r="MX136" s="207">
        <f t="shared" si="2934"/>
        <v>388.72679017940459</v>
      </c>
      <c r="MY136" s="207">
        <f t="shared" si="2934"/>
        <v>389.5275037208757</v>
      </c>
      <c r="MZ136" s="207">
        <f t="shared" si="2934"/>
        <v>390.32986660114125</v>
      </c>
      <c r="NA136" s="207">
        <f t="shared" ref="NA136:PL136" si="2935">MZ136+IF(NA$124&gt;0,MZ136*((1+INDEX($C$107:$H$107,1,MIN(NA$124,6)))^(1/12)-1))</f>
        <v>391.13388221756918</v>
      </c>
      <c r="NB136" s="207">
        <f t="shared" si="2935"/>
        <v>391.93955397452532</v>
      </c>
      <c r="NC136" s="207">
        <f t="shared" si="2935"/>
        <v>392.74688528338805</v>
      </c>
      <c r="ND136" s="207">
        <f t="shared" si="2935"/>
        <v>393.55587956256255</v>
      </c>
      <c r="NE136" s="207">
        <f t="shared" si="2935"/>
        <v>394.36654023749537</v>
      </c>
      <c r="NF136" s="207">
        <f t="shared" si="2935"/>
        <v>395.17887074068898</v>
      </c>
      <c r="NG136" s="207">
        <f t="shared" si="2935"/>
        <v>395.99287451171614</v>
      </c>
      <c r="NH136" s="207">
        <f t="shared" si="2935"/>
        <v>396.80855499723464</v>
      </c>
      <c r="NI136" s="207">
        <f t="shared" si="2935"/>
        <v>397.62591565100183</v>
      </c>
      <c r="NJ136" s="207">
        <f t="shared" si="2935"/>
        <v>398.44495993388921</v>
      </c>
      <c r="NK136" s="207">
        <f t="shared" si="2935"/>
        <v>399.26569131389709</v>
      </c>
      <c r="NL136" s="207">
        <f t="shared" si="2935"/>
        <v>400.08811326616927</v>
      </c>
      <c r="NM136" s="207">
        <f t="shared" si="2935"/>
        <v>400.91222927300788</v>
      </c>
      <c r="NN136" s="207">
        <f t="shared" si="2935"/>
        <v>401.73804282388795</v>
      </c>
      <c r="NO136" s="207">
        <f t="shared" si="2935"/>
        <v>402.56555741547226</v>
      </c>
      <c r="NP136" s="207">
        <f t="shared" si="2935"/>
        <v>403.39477655162608</v>
      </c>
      <c r="NQ136" s="207">
        <f t="shared" si="2935"/>
        <v>404.22570374343223</v>
      </c>
      <c r="NR136" s="207">
        <f t="shared" si="2935"/>
        <v>405.05834250920566</v>
      </c>
      <c r="NS136" s="207">
        <f t="shared" si="2935"/>
        <v>405.89269637450849</v>
      </c>
      <c r="NT136" s="207">
        <f t="shared" si="2935"/>
        <v>406.72876887216495</v>
      </c>
      <c r="NU136" s="207">
        <f t="shared" si="2935"/>
        <v>407.5665635422763</v>
      </c>
      <c r="NV136" s="207">
        <f t="shared" si="2935"/>
        <v>408.40608393223584</v>
      </c>
      <c r="NW136" s="207">
        <f t="shared" si="2935"/>
        <v>409.24733359674389</v>
      </c>
      <c r="NX136" s="207">
        <f t="shared" si="2935"/>
        <v>410.09031609782289</v>
      </c>
      <c r="NY136" s="207">
        <f t="shared" si="2935"/>
        <v>410.93503500483246</v>
      </c>
      <c r="NZ136" s="207">
        <f t="shared" si="2935"/>
        <v>411.78149389448453</v>
      </c>
      <c r="OA136" s="207">
        <f t="shared" si="2935"/>
        <v>412.62969635085841</v>
      </c>
      <c r="OB136" s="207">
        <f t="shared" si="2935"/>
        <v>413.47964596541613</v>
      </c>
      <c r="OC136" s="207">
        <f t="shared" si="2935"/>
        <v>414.33134633701741</v>
      </c>
      <c r="OD136" s="207">
        <f t="shared" si="2935"/>
        <v>415.18480107193517</v>
      </c>
      <c r="OE136" s="207">
        <f t="shared" si="2935"/>
        <v>416.04001378387056</v>
      </c>
      <c r="OF136" s="207">
        <f t="shared" si="2935"/>
        <v>416.89698809396845</v>
      </c>
      <c r="OG136" s="207">
        <f t="shared" si="2935"/>
        <v>417.75572763083261</v>
      </c>
      <c r="OH136" s="207">
        <f t="shared" si="2935"/>
        <v>418.61623603054113</v>
      </c>
      <c r="OI136" s="207">
        <f t="shared" si="2935"/>
        <v>419.47851693666189</v>
      </c>
      <c r="OJ136" s="207">
        <f t="shared" si="2935"/>
        <v>420.34257400026786</v>
      </c>
      <c r="OK136" s="207">
        <f t="shared" si="2935"/>
        <v>421.20841087995268</v>
      </c>
      <c r="OL136" s="207">
        <f t="shared" si="2935"/>
        <v>422.07603124184601</v>
      </c>
      <c r="OM136" s="207">
        <f t="shared" si="2935"/>
        <v>422.94543875962927</v>
      </c>
      <c r="ON136" s="207">
        <f t="shared" si="2935"/>
        <v>423.81663711455093</v>
      </c>
      <c r="OO136" s="207">
        <f t="shared" si="2935"/>
        <v>424.68962999544226</v>
      </c>
      <c r="OP136" s="207">
        <f t="shared" si="2935"/>
        <v>425.56442109873296</v>
      </c>
      <c r="OQ136" s="207">
        <f t="shared" si="2935"/>
        <v>426.44101412846675</v>
      </c>
      <c r="OR136" s="207">
        <f t="shared" si="2935"/>
        <v>427.31941279631707</v>
      </c>
      <c r="OS136" s="207">
        <f t="shared" si="2935"/>
        <v>428.19962082160282</v>
      </c>
      <c r="OT136" s="207">
        <f t="shared" si="2935"/>
        <v>429.08164193130409</v>
      </c>
      <c r="OU136" s="207">
        <f t="shared" si="2935"/>
        <v>429.96547986007789</v>
      </c>
      <c r="OV136" s="207">
        <f t="shared" si="2935"/>
        <v>430.85113835027403</v>
      </c>
      <c r="OW136" s="207">
        <f t="shared" si="2935"/>
        <v>431.73862115195095</v>
      </c>
      <c r="OX136" s="207">
        <f t="shared" si="2935"/>
        <v>432.62793202289163</v>
      </c>
      <c r="OY136" s="207">
        <f t="shared" si="2935"/>
        <v>433.51907472861944</v>
      </c>
      <c r="OZ136" s="207">
        <f t="shared" si="2935"/>
        <v>434.41205304241413</v>
      </c>
      <c r="PA136" s="207">
        <f t="shared" si="2935"/>
        <v>435.30687074532773</v>
      </c>
      <c r="PB136" s="207">
        <f t="shared" si="2935"/>
        <v>436.20353162620069</v>
      </c>
      <c r="PC136" s="207">
        <f t="shared" si="2935"/>
        <v>437.10203948167782</v>
      </c>
      <c r="PD136" s="207">
        <f t="shared" si="2935"/>
        <v>438.00239811622441</v>
      </c>
      <c r="PE136" s="207">
        <f t="shared" si="2935"/>
        <v>438.90461134214229</v>
      </c>
      <c r="PF136" s="207">
        <f t="shared" si="2935"/>
        <v>439.80868297958608</v>
      </c>
      <c r="PG136" s="207">
        <f t="shared" si="2935"/>
        <v>440.7146168565792</v>
      </c>
      <c r="PH136" s="207">
        <f t="shared" si="2935"/>
        <v>441.6224168090302</v>
      </c>
      <c r="PI136" s="207">
        <f t="shared" si="2935"/>
        <v>442.53208668074905</v>
      </c>
      <c r="PJ136" s="207">
        <f t="shared" si="2935"/>
        <v>443.44363032346325</v>
      </c>
      <c r="PK136" s="207">
        <f t="shared" si="2935"/>
        <v>444.35705159683425</v>
      </c>
      <c r="PL136" s="207">
        <f t="shared" si="2935"/>
        <v>445.27235436847377</v>
      </c>
      <c r="PM136" s="207">
        <f t="shared" ref="PM136:PO136" si="2936">PL136+IF(PM$124&gt;0,PL136*((1+INDEX($C$107:$H$107,1,MIN(PM$124,6)))^(1/12)-1))</f>
        <v>446.18954251396025</v>
      </c>
      <c r="PN136" s="207">
        <f t="shared" si="2936"/>
        <v>447.10861991685505</v>
      </c>
      <c r="PO136" s="207">
        <f t="shared" si="2936"/>
        <v>448.02959046871911</v>
      </c>
      <c r="PQ136" s="201"/>
      <c r="PR136" s="201"/>
      <c r="PS136" s="201"/>
      <c r="PT136" s="201"/>
      <c r="PU136" s="201"/>
      <c r="PV136" s="201"/>
      <c r="PW136" s="201"/>
      <c r="PX136" s="201"/>
      <c r="PY136" s="201"/>
      <c r="PZ136" s="201"/>
      <c r="QA136" s="201"/>
      <c r="QB136" s="201"/>
      <c r="QC136" s="201"/>
      <c r="QD136" s="201"/>
      <c r="QE136" s="201"/>
      <c r="QF136" s="201"/>
      <c r="QG136" s="201"/>
      <c r="QH136" s="201"/>
      <c r="QI136" s="201"/>
      <c r="QJ136" s="201"/>
      <c r="QK136" s="201"/>
      <c r="QL136" s="201"/>
      <c r="QM136" s="201"/>
      <c r="QN136" s="201"/>
      <c r="QO136" s="201"/>
      <c r="QP136" s="201"/>
      <c r="QQ136" s="201"/>
      <c r="QR136" s="201"/>
      <c r="QS136" s="201"/>
      <c r="QT136" s="201"/>
      <c r="QU136" s="201"/>
      <c r="QV136" s="201"/>
      <c r="QW136" s="201"/>
      <c r="QX136" s="201"/>
      <c r="QY136" s="201"/>
      <c r="QZ136" s="201"/>
      <c r="RA136" s="201"/>
      <c r="RB136" s="201"/>
      <c r="RC136" s="201"/>
      <c r="RD136" s="201"/>
      <c r="RE136" s="201"/>
      <c r="RF136" s="201"/>
      <c r="RG136" s="201"/>
      <c r="RH136" s="201"/>
      <c r="RI136" s="201"/>
      <c r="RJ136" s="201"/>
      <c r="RK136" s="201"/>
      <c r="RL136" s="201"/>
      <c r="RM136" s="201"/>
      <c r="RN136" s="201"/>
      <c r="RO136" s="201"/>
      <c r="RP136" s="201"/>
      <c r="RQ136" s="201"/>
      <c r="RR136" s="201"/>
      <c r="RS136" s="201"/>
      <c r="RT136" s="201"/>
      <c r="RU136" s="201"/>
      <c r="RV136" s="201"/>
      <c r="RW136" s="201"/>
      <c r="RX136" s="201"/>
      <c r="RY136" s="201"/>
      <c r="RZ136" s="201"/>
      <c r="SA136" s="201"/>
      <c r="SB136" s="201"/>
      <c r="SC136" s="201"/>
      <c r="SD136" s="201"/>
      <c r="SE136" s="201"/>
      <c r="SF136" s="201"/>
      <c r="SG136" s="201"/>
      <c r="SH136" s="201"/>
      <c r="SI136" s="201"/>
      <c r="SJ136" s="201"/>
      <c r="SK136" s="201"/>
      <c r="SL136" s="201"/>
      <c r="SM136" s="201"/>
      <c r="SN136" s="201"/>
      <c r="SO136" s="201"/>
      <c r="SP136" s="201"/>
      <c r="SQ136" s="201"/>
      <c r="SR136" s="201"/>
      <c r="SS136" s="201"/>
      <c r="ST136" s="201"/>
      <c r="SU136" s="201"/>
      <c r="SV136" s="201"/>
      <c r="SW136" s="201"/>
      <c r="SX136" s="201"/>
      <c r="SY136" s="201"/>
      <c r="SZ136" s="201"/>
      <c r="TA136" s="201"/>
      <c r="TB136" s="201"/>
      <c r="TC136" s="201"/>
      <c r="TD136" s="201"/>
      <c r="TE136" s="201"/>
      <c r="TF136" s="201"/>
      <c r="TG136" s="201"/>
      <c r="TH136" s="201"/>
      <c r="TI136" s="201"/>
      <c r="TJ136" s="201"/>
      <c r="TK136" s="201"/>
      <c r="TL136" s="201"/>
      <c r="TM136" s="201"/>
      <c r="TN136" s="201"/>
      <c r="TO136" s="201"/>
      <c r="TP136" s="201"/>
      <c r="TQ136" s="201"/>
      <c r="TR136" s="201"/>
      <c r="TS136" s="201"/>
      <c r="TT136" s="201"/>
      <c r="TU136" s="201"/>
      <c r="TV136" s="201"/>
      <c r="TW136" s="201"/>
      <c r="TX136" s="201"/>
      <c r="TY136" s="201"/>
      <c r="TZ136" s="201"/>
      <c r="UA136" s="201"/>
      <c r="UB136" s="201"/>
      <c r="UC136" s="201"/>
      <c r="UD136" s="201"/>
      <c r="UE136" s="201"/>
      <c r="UF136" s="201"/>
      <c r="UG136" s="201"/>
      <c r="UH136" s="201"/>
      <c r="UI136" s="201"/>
      <c r="UJ136" s="201"/>
      <c r="UK136" s="201"/>
      <c r="UL136" s="201"/>
      <c r="UM136" s="201"/>
      <c r="UN136" s="201"/>
      <c r="UO136" s="201"/>
      <c r="UP136" s="201"/>
      <c r="UQ136" s="201"/>
      <c r="UR136" s="201"/>
      <c r="US136" s="201"/>
      <c r="UT136" s="201"/>
      <c r="UU136" s="201"/>
    </row>
    <row r="137" spans="1:567" x14ac:dyDescent="0.25">
      <c r="B137" s="44" t="s">
        <v>146</v>
      </c>
      <c r="C137" s="26"/>
      <c r="D137" s="26"/>
      <c r="E137" s="104"/>
      <c r="F137" s="131" t="str">
        <f t="shared" si="2911"/>
        <v>Units/Year</v>
      </c>
      <c r="G137" s="584">
        <v>1100</v>
      </c>
      <c r="H137" s="131" t="str">
        <f t="shared" si="2912"/>
        <v>Units/Year</v>
      </c>
      <c r="I137" s="584">
        <v>1100</v>
      </c>
      <c r="J137" s="149">
        <f t="shared" ref="J137:J142" si="2937">((1-$E$120)*G137+$E$120*I137)*$C$120</f>
        <v>330000</v>
      </c>
      <c r="K137" s="149">
        <f t="shared" ref="K137:K142" si="2938">+I137*$C$120</f>
        <v>330000</v>
      </c>
      <c r="M137" s="3" t="s">
        <v>849</v>
      </c>
      <c r="T137" s="92">
        <f t="shared" si="2913"/>
        <v>27500</v>
      </c>
      <c r="U137" s="92">
        <f t="shared" si="2913"/>
        <v>27500</v>
      </c>
      <c r="V137" s="92">
        <f t="shared" si="2913"/>
        <v>27500</v>
      </c>
      <c r="W137" s="92">
        <f t="shared" si="2913"/>
        <v>27500</v>
      </c>
      <c r="X137" s="92">
        <f t="shared" si="2913"/>
        <v>27500</v>
      </c>
      <c r="Y137" s="92">
        <f t="shared" si="2913"/>
        <v>27500</v>
      </c>
      <c r="Z137" s="92">
        <f t="shared" si="2913"/>
        <v>27500</v>
      </c>
      <c r="AA137" s="92">
        <f t="shared" si="2913"/>
        <v>27500</v>
      </c>
      <c r="AB137" s="92">
        <f t="shared" si="2913"/>
        <v>27500</v>
      </c>
      <c r="AC137" s="92">
        <f t="shared" si="2913"/>
        <v>27500</v>
      </c>
      <c r="AD137" s="92">
        <f t="shared" si="2914"/>
        <v>27500</v>
      </c>
      <c r="AE137" s="92">
        <f t="shared" si="2914"/>
        <v>27500</v>
      </c>
      <c r="AF137" s="92">
        <f t="shared" si="2914"/>
        <v>27556.645497420675</v>
      </c>
      <c r="AG137" s="92">
        <f t="shared" si="2914"/>
        <v>27613.407675291459</v>
      </c>
      <c r="AH137" s="92">
        <f t="shared" si="2914"/>
        <v>27670.28677395498</v>
      </c>
      <c r="AI137" s="92">
        <f t="shared" si="2914"/>
        <v>27727.283034248921</v>
      </c>
      <c r="AJ137" s="92">
        <f t="shared" si="2914"/>
        <v>27784.396697507062</v>
      </c>
      <c r="AK137" s="92">
        <f t="shared" si="2914"/>
        <v>27841.628005560284</v>
      </c>
      <c r="AL137" s="92">
        <f t="shared" si="2914"/>
        <v>27898.977200737605</v>
      </c>
      <c r="AM137" s="92">
        <f t="shared" si="2914"/>
        <v>27956.444525867206</v>
      </c>
      <c r="AN137" s="92">
        <f t="shared" si="2915"/>
        <v>28014.030224277434</v>
      </c>
      <c r="AO137" s="92">
        <f t="shared" si="2915"/>
        <v>28071.734539797868</v>
      </c>
      <c r="AP137" s="92">
        <f t="shared" si="2915"/>
        <v>28129.557716760344</v>
      </c>
      <c r="AQ137" s="92">
        <f t="shared" si="2915"/>
        <v>28187.49999999996</v>
      </c>
      <c r="AR137" s="92">
        <f t="shared" si="2915"/>
        <v>28245.561634856156</v>
      </c>
      <c r="AS137" s="92">
        <f t="shared" si="2915"/>
        <v>28303.742867173711</v>
      </c>
      <c r="AT137" s="92">
        <f t="shared" si="2915"/>
        <v>28362.043943303815</v>
      </c>
      <c r="AU137" s="92">
        <f t="shared" si="2915"/>
        <v>28420.465110105109</v>
      </c>
      <c r="AV137" s="92">
        <f t="shared" si="2915"/>
        <v>28479.006614944698</v>
      </c>
      <c r="AW137" s="92">
        <f t="shared" si="2915"/>
        <v>28537.668705699252</v>
      </c>
      <c r="AX137" s="92">
        <f t="shared" si="2916"/>
        <v>28596.451630756008</v>
      </c>
      <c r="AY137" s="92">
        <f t="shared" si="2916"/>
        <v>28655.35563901384</v>
      </c>
      <c r="AZ137" s="92">
        <f t="shared" si="2916"/>
        <v>28714.380979884325</v>
      </c>
      <c r="BA137" s="92">
        <f t="shared" si="2916"/>
        <v>28773.527903292768</v>
      </c>
      <c r="BB137" s="92">
        <f t="shared" si="2916"/>
        <v>28832.796659679301</v>
      </c>
      <c r="BC137" s="92">
        <f t="shared" si="2916"/>
        <v>28892.187499999909</v>
      </c>
      <c r="BD137" s="92">
        <f t="shared" si="2916"/>
        <v>28951.700675727505</v>
      </c>
      <c r="BE137" s="92">
        <f t="shared" si="2916"/>
        <v>29011.336438852999</v>
      </c>
      <c r="BF137" s="92">
        <f t="shared" si="2916"/>
        <v>29071.095041886361</v>
      </c>
      <c r="BG137" s="92">
        <f t="shared" si="2916"/>
        <v>29130.976737857683</v>
      </c>
      <c r="BH137" s="92">
        <f t="shared" si="2917"/>
        <v>29190.98178031827</v>
      </c>
      <c r="BI137" s="92">
        <f t="shared" si="2917"/>
        <v>29251.110423341685</v>
      </c>
      <c r="BJ137" s="92">
        <f t="shared" si="2917"/>
        <v>29311.362921524855</v>
      </c>
      <c r="BK137" s="92">
        <f t="shared" si="2917"/>
        <v>29371.73952998914</v>
      </c>
      <c r="BL137" s="92">
        <f t="shared" si="2917"/>
        <v>29432.240504381381</v>
      </c>
      <c r="BM137" s="92">
        <f t="shared" si="2917"/>
        <v>29492.866100875039</v>
      </c>
      <c r="BN137" s="92">
        <f t="shared" si="2917"/>
        <v>29553.616576171236</v>
      </c>
      <c r="BO137" s="92">
        <f t="shared" si="2917"/>
        <v>29614.492187499858</v>
      </c>
      <c r="BP137" s="92">
        <f t="shared" si="2917"/>
        <v>29675.493192620648</v>
      </c>
      <c r="BQ137" s="92">
        <f t="shared" si="2917"/>
        <v>29736.619849824277</v>
      </c>
      <c r="BR137" s="92">
        <f t="shared" si="2918"/>
        <v>29797.872417933471</v>
      </c>
      <c r="BS137" s="92">
        <f t="shared" si="2918"/>
        <v>29859.251156304075</v>
      </c>
      <c r="BT137" s="92">
        <f t="shared" si="2918"/>
        <v>29920.756324826176</v>
      </c>
      <c r="BU137" s="92">
        <f t="shared" si="2918"/>
        <v>29982.388183925181</v>
      </c>
      <c r="BV137" s="92">
        <f t="shared" si="2918"/>
        <v>30044.146994562932</v>
      </c>
      <c r="BW137" s="92">
        <f t="shared" si="2918"/>
        <v>30106.033018238813</v>
      </c>
      <c r="BX137" s="92">
        <f t="shared" si="2918"/>
        <v>30168.046516990868</v>
      </c>
      <c r="BY137" s="92">
        <f t="shared" si="2918"/>
        <v>30230.187753396865</v>
      </c>
      <c r="BZ137" s="92">
        <f t="shared" si="2918"/>
        <v>30292.456990575465</v>
      </c>
      <c r="CA137" s="92">
        <f t="shared" si="2918"/>
        <v>30354.8544921873</v>
      </c>
      <c r="CB137" s="92">
        <f t="shared" si="2919"/>
        <v>30417.380522436109</v>
      </c>
      <c r="CC137" s="92">
        <f t="shared" si="2919"/>
        <v>30480.035346069835</v>
      </c>
      <c r="CD137" s="92">
        <f t="shared" si="2919"/>
        <v>30542.819228381759</v>
      </c>
      <c r="CE137" s="92">
        <f t="shared" si="2919"/>
        <v>30605.732435211627</v>
      </c>
      <c r="CF137" s="92">
        <f t="shared" si="2919"/>
        <v>30668.77523294678</v>
      </c>
      <c r="CG137" s="92">
        <f t="shared" si="2919"/>
        <v>30731.947888523257</v>
      </c>
      <c r="CH137" s="92">
        <f t="shared" si="2919"/>
        <v>30795.25066942695</v>
      </c>
      <c r="CI137" s="92">
        <f t="shared" si="2919"/>
        <v>30858.683843694733</v>
      </c>
      <c r="CJ137" s="92">
        <f t="shared" si="2919"/>
        <v>30922.247679915585</v>
      </c>
      <c r="CK137" s="92">
        <f t="shared" si="2919"/>
        <v>30985.942447231737</v>
      </c>
      <c r="CL137" s="92">
        <f t="shared" si="2920"/>
        <v>31049.768415339804</v>
      </c>
      <c r="CM137" s="92">
        <f t="shared" si="2920"/>
        <v>31113.725854491942</v>
      </c>
      <c r="CN137" s="92">
        <f t="shared" si="2920"/>
        <v>31177.815035496969</v>
      </c>
      <c r="CO137" s="92">
        <f t="shared" si="2920"/>
        <v>31242.036229721532</v>
      </c>
      <c r="CP137" s="92">
        <f t="shared" si="2920"/>
        <v>31306.389709091251</v>
      </c>
      <c r="CQ137" s="92">
        <f t="shared" si="2920"/>
        <v>31370.875746091871</v>
      </c>
      <c r="CR137" s="92">
        <f t="shared" si="2920"/>
        <v>31435.494613770399</v>
      </c>
      <c r="CS137" s="92">
        <f t="shared" si="2920"/>
        <v>31500.246585736295</v>
      </c>
      <c r="CT137" s="92">
        <f t="shared" si="2920"/>
        <v>31565.131936162583</v>
      </c>
      <c r="CU137" s="92">
        <f t="shared" si="2920"/>
        <v>31630.150939787065</v>
      </c>
      <c r="CV137" s="92">
        <f t="shared" si="2921"/>
        <v>31695.303871913438</v>
      </c>
      <c r="CW137" s="92">
        <f t="shared" si="2921"/>
        <v>31760.591008412492</v>
      </c>
      <c r="CX137" s="92">
        <f t="shared" si="2921"/>
        <v>31826.012625723259</v>
      </c>
      <c r="CY137" s="92">
        <f t="shared" si="2921"/>
        <v>31891.569000854197</v>
      </c>
      <c r="CZ137" s="92">
        <f t="shared" si="2921"/>
        <v>31957.260411384344</v>
      </c>
      <c r="DA137" s="92">
        <f t="shared" si="2921"/>
        <v>32023.087135464521</v>
      </c>
      <c r="DB137" s="92">
        <f t="shared" si="2921"/>
        <v>32089.049451818486</v>
      </c>
      <c r="DC137" s="92">
        <f t="shared" si="2921"/>
        <v>32155.147639744118</v>
      </c>
      <c r="DD137" s="92">
        <f t="shared" si="2921"/>
        <v>32221.381979114612</v>
      </c>
      <c r="DE137" s="92">
        <f t="shared" si="2921"/>
        <v>32287.752750379648</v>
      </c>
      <c r="DF137" s="92">
        <f t="shared" si="2922"/>
        <v>32354.260234566595</v>
      </c>
      <c r="DG137" s="92">
        <f t="shared" si="2922"/>
        <v>32420.904713281689</v>
      </c>
      <c r="DH137" s="92">
        <f t="shared" si="2922"/>
        <v>32487.686468711221</v>
      </c>
      <c r="DI137" s="92">
        <f t="shared" si="2922"/>
        <v>32554.605783622745</v>
      </c>
      <c r="DJ137" s="92">
        <f t="shared" si="2922"/>
        <v>32621.662941366289</v>
      </c>
      <c r="DK137" s="92">
        <f t="shared" si="2922"/>
        <v>32688.858225875501</v>
      </c>
      <c r="DL137" s="92">
        <f t="shared" si="2922"/>
        <v>32756.191921668902</v>
      </c>
      <c r="DM137" s="92">
        <f t="shared" si="2922"/>
        <v>32823.664313851092</v>
      </c>
      <c r="DN137" s="92">
        <f t="shared" si="2922"/>
        <v>32891.275688113907</v>
      </c>
      <c r="DO137" s="92">
        <f t="shared" si="2922"/>
        <v>32959.026330737681</v>
      </c>
      <c r="DP137" s="92">
        <f t="shared" si="2923"/>
        <v>33026.916528592439</v>
      </c>
      <c r="DQ137" s="92">
        <f t="shared" si="2923"/>
        <v>33094.946569139101</v>
      </c>
      <c r="DR137" s="92">
        <f t="shared" si="2923"/>
        <v>33163.116740430727</v>
      </c>
      <c r="DS137" s="92">
        <f t="shared" si="2923"/>
        <v>33231.427331113686</v>
      </c>
      <c r="DT137" s="92">
        <f t="shared" si="2923"/>
        <v>33299.878630428961</v>
      </c>
      <c r="DU137" s="92">
        <f t="shared" si="2923"/>
        <v>33368.470928213283</v>
      </c>
      <c r="DV137" s="92">
        <f t="shared" si="2923"/>
        <v>33437.204514900404</v>
      </c>
      <c r="DW137" s="92">
        <f t="shared" si="2923"/>
        <v>33506.079681522344</v>
      </c>
      <c r="DX137" s="92">
        <f t="shared" si="2923"/>
        <v>33575.096719710586</v>
      </c>
      <c r="DY137" s="92">
        <f t="shared" si="2923"/>
        <v>33644.255921697324</v>
      </c>
      <c r="DZ137" s="92">
        <f t="shared" si="2924"/>
        <v>33713.557580316708</v>
      </c>
      <c r="EA137" s="92">
        <f t="shared" si="2924"/>
        <v>33783.001989006072</v>
      </c>
      <c r="EB137" s="92">
        <f t="shared" si="2924"/>
        <v>33852.589441807198</v>
      </c>
      <c r="EC137" s="92">
        <f t="shared" si="2924"/>
        <v>33922.320233367522</v>
      </c>
      <c r="ED137" s="92">
        <f t="shared" si="2924"/>
        <v>33992.194658941437</v>
      </c>
      <c r="EE137" s="92">
        <f t="shared" si="2924"/>
        <v>34062.213014391476</v>
      </c>
      <c r="EF137" s="92">
        <f t="shared" si="2924"/>
        <v>34132.375596189631</v>
      </c>
      <c r="EG137" s="92">
        <f t="shared" si="2924"/>
        <v>34202.682701418562</v>
      </c>
      <c r="EH137" s="92">
        <f t="shared" si="2924"/>
        <v>34273.134627772866</v>
      </c>
      <c r="EI137" s="92">
        <f t="shared" si="2924"/>
        <v>34343.731673560353</v>
      </c>
      <c r="EJ137" s="92">
        <f t="shared" si="2925"/>
        <v>34414.474137703299</v>
      </c>
      <c r="EK137" s="92">
        <f t="shared" si="2925"/>
        <v>34485.362319739703</v>
      </c>
      <c r="EL137" s="92">
        <f t="shared" si="2925"/>
        <v>34556.396519824579</v>
      </c>
      <c r="EM137" s="92">
        <f t="shared" si="2925"/>
        <v>34627.577038731171</v>
      </c>
      <c r="EN137" s="92">
        <f t="shared" si="2925"/>
        <v>34698.904177852331</v>
      </c>
      <c r="EO137" s="92">
        <f t="shared" si="2925"/>
        <v>34770.378239201673</v>
      </c>
      <c r="EP137" s="92">
        <f t="shared" si="2925"/>
        <v>34841.999525414933</v>
      </c>
      <c r="EQ137" s="92">
        <f t="shared" si="2925"/>
        <v>34913.768339751223</v>
      </c>
      <c r="ER137" s="92">
        <f t="shared" si="2925"/>
        <v>34985.684986094326</v>
      </c>
      <c r="ES137" s="92">
        <f t="shared" si="2925"/>
        <v>35057.749768953981</v>
      </c>
      <c r="ET137" s="92">
        <f t="shared" si="2926"/>
        <v>35129.962993467139</v>
      </c>
      <c r="EU137" s="92">
        <f t="shared" si="2926"/>
        <v>35202.324965399319</v>
      </c>
      <c r="EW137" s="199" t="str">
        <f t="shared" si="2927"/>
        <v>Payroll</v>
      </c>
      <c r="EX137" s="201"/>
      <c r="EY137" s="221"/>
      <c r="EZ137" s="221"/>
      <c r="FA137" s="221"/>
      <c r="FB137" s="221"/>
      <c r="FC137" s="207">
        <f t="shared" si="2928"/>
        <v>1100</v>
      </c>
      <c r="FD137" s="207">
        <f t="shared" ref="FD137:HO137" si="2939">FC137+IF(FD$124&gt;0,FC137*((1+INDEX($C$107:$H$107,1,MIN(FD$124,6)))^(1/12)-1))</f>
        <v>1100</v>
      </c>
      <c r="FE137" s="207">
        <f t="shared" si="2939"/>
        <v>1100</v>
      </c>
      <c r="FF137" s="207">
        <f t="shared" si="2939"/>
        <v>1100</v>
      </c>
      <c r="FG137" s="207">
        <f t="shared" si="2939"/>
        <v>1100</v>
      </c>
      <c r="FH137" s="207">
        <f t="shared" si="2939"/>
        <v>1100</v>
      </c>
      <c r="FI137" s="207">
        <f t="shared" si="2939"/>
        <v>1100</v>
      </c>
      <c r="FJ137" s="207">
        <f t="shared" si="2939"/>
        <v>1100</v>
      </c>
      <c r="FK137" s="207">
        <f t="shared" si="2939"/>
        <v>1100</v>
      </c>
      <c r="FL137" s="207">
        <f t="shared" si="2939"/>
        <v>1100</v>
      </c>
      <c r="FM137" s="207">
        <f t="shared" si="2939"/>
        <v>1100</v>
      </c>
      <c r="FN137" s="207">
        <f t="shared" si="2939"/>
        <v>1100</v>
      </c>
      <c r="FO137" s="207">
        <f t="shared" si="2939"/>
        <v>1100</v>
      </c>
      <c r="FP137" s="207">
        <f t="shared" si="2939"/>
        <v>1102.265819896827</v>
      </c>
      <c r="FQ137" s="207">
        <f t="shared" si="2939"/>
        <v>1104.5363070116584</v>
      </c>
      <c r="FR137" s="207">
        <f t="shared" si="2939"/>
        <v>1106.8114709581992</v>
      </c>
      <c r="FS137" s="207">
        <f t="shared" si="2939"/>
        <v>1109.0913213699569</v>
      </c>
      <c r="FT137" s="207">
        <f t="shared" si="2939"/>
        <v>1111.3758679002824</v>
      </c>
      <c r="FU137" s="207">
        <f t="shared" si="2939"/>
        <v>1113.6651202224114</v>
      </c>
      <c r="FV137" s="207">
        <f t="shared" si="2939"/>
        <v>1115.9590880295043</v>
      </c>
      <c r="FW137" s="207">
        <f t="shared" si="2939"/>
        <v>1118.2577810346882</v>
      </c>
      <c r="FX137" s="207">
        <f t="shared" si="2939"/>
        <v>1120.5612089710974</v>
      </c>
      <c r="FY137" s="207">
        <f t="shared" si="2939"/>
        <v>1122.8693815919148</v>
      </c>
      <c r="FZ137" s="207">
        <f t="shared" si="2939"/>
        <v>1125.1823086704137</v>
      </c>
      <c r="GA137" s="207">
        <f t="shared" si="2939"/>
        <v>1127.4999999999984</v>
      </c>
      <c r="GB137" s="207">
        <f t="shared" si="2939"/>
        <v>1129.8224653942461</v>
      </c>
      <c r="GC137" s="207">
        <f t="shared" si="2939"/>
        <v>1132.1497146869483</v>
      </c>
      <c r="GD137" s="207">
        <f t="shared" si="2939"/>
        <v>1134.4817577321526</v>
      </c>
      <c r="GE137" s="207">
        <f t="shared" si="2939"/>
        <v>1136.8186044042043</v>
      </c>
      <c r="GF137" s="207">
        <f t="shared" si="2939"/>
        <v>1139.160264597788</v>
      </c>
      <c r="GG137" s="207">
        <f t="shared" si="2939"/>
        <v>1141.5067482279701</v>
      </c>
      <c r="GH137" s="207">
        <f t="shared" si="2939"/>
        <v>1143.8580652302403</v>
      </c>
      <c r="GI137" s="207">
        <f t="shared" si="2939"/>
        <v>1146.2142255605536</v>
      </c>
      <c r="GJ137" s="207">
        <f t="shared" si="2939"/>
        <v>1148.5752391953729</v>
      </c>
      <c r="GK137" s="207">
        <f t="shared" si="2939"/>
        <v>1150.9411161317107</v>
      </c>
      <c r="GL137" s="207">
        <f t="shared" si="2939"/>
        <v>1153.3118663871721</v>
      </c>
      <c r="GM137" s="207">
        <f t="shared" si="2939"/>
        <v>1155.6874999999964</v>
      </c>
      <c r="GN137" s="207">
        <f t="shared" si="2939"/>
        <v>1158.0680270291002</v>
      </c>
      <c r="GO137" s="207">
        <f t="shared" si="2939"/>
        <v>1160.45345755412</v>
      </c>
      <c r="GP137" s="207">
        <f t="shared" si="2939"/>
        <v>1162.8438016754544</v>
      </c>
      <c r="GQ137" s="207">
        <f t="shared" si="2939"/>
        <v>1165.2390695143074</v>
      </c>
      <c r="GR137" s="207">
        <f t="shared" si="2939"/>
        <v>1167.6392712127308</v>
      </c>
      <c r="GS137" s="207">
        <f t="shared" si="2939"/>
        <v>1170.0444169336674</v>
      </c>
      <c r="GT137" s="207">
        <f t="shared" si="2939"/>
        <v>1172.4545168609943</v>
      </c>
      <c r="GU137" s="207">
        <f t="shared" si="2939"/>
        <v>1174.8695811995656</v>
      </c>
      <c r="GV137" s="207">
        <f t="shared" si="2939"/>
        <v>1177.2896201752553</v>
      </c>
      <c r="GW137" s="207">
        <f t="shared" si="2939"/>
        <v>1179.7146440350016</v>
      </c>
      <c r="GX137" s="207">
        <f t="shared" si="2939"/>
        <v>1182.1446630468495</v>
      </c>
      <c r="GY137" s="207">
        <f t="shared" si="2939"/>
        <v>1184.5796874999944</v>
      </c>
      <c r="GZ137" s="207">
        <f t="shared" si="2939"/>
        <v>1187.019727704826</v>
      </c>
      <c r="HA137" s="207">
        <f t="shared" si="2939"/>
        <v>1189.4647939929712</v>
      </c>
      <c r="HB137" s="207">
        <f t="shared" si="2939"/>
        <v>1191.9148967173389</v>
      </c>
      <c r="HC137" s="207">
        <f t="shared" si="2939"/>
        <v>1194.3700462521631</v>
      </c>
      <c r="HD137" s="207">
        <f t="shared" si="2939"/>
        <v>1196.830252993047</v>
      </c>
      <c r="HE137" s="207">
        <f t="shared" si="2939"/>
        <v>1199.2955273570071</v>
      </c>
      <c r="HF137" s="207">
        <f t="shared" si="2939"/>
        <v>1201.7658797825172</v>
      </c>
      <c r="HG137" s="207">
        <f t="shared" si="2939"/>
        <v>1204.2413207295526</v>
      </c>
      <c r="HH137" s="207">
        <f t="shared" si="2939"/>
        <v>1206.7218606796346</v>
      </c>
      <c r="HI137" s="207">
        <f t="shared" si="2939"/>
        <v>1209.2075101358746</v>
      </c>
      <c r="HJ137" s="207">
        <f t="shared" si="2939"/>
        <v>1211.6982796230186</v>
      </c>
      <c r="HK137" s="207">
        <f t="shared" si="2939"/>
        <v>1214.1941796874921</v>
      </c>
      <c r="HL137" s="207">
        <f t="shared" si="2939"/>
        <v>1216.6952208974444</v>
      </c>
      <c r="HM137" s="207">
        <f t="shared" si="2939"/>
        <v>1219.2014138427933</v>
      </c>
      <c r="HN137" s="207">
        <f t="shared" si="2939"/>
        <v>1221.7127691352703</v>
      </c>
      <c r="HO137" s="207">
        <f t="shared" si="2939"/>
        <v>1224.2292974084651</v>
      </c>
      <c r="HP137" s="207">
        <f t="shared" ref="HP137:KA137" si="2940">HO137+IF(HP$124&gt;0,HO137*((1+INDEX($C$107:$H$107,1,MIN(HP$124,6)))^(1/12)-1))</f>
        <v>1226.7510093178712</v>
      </c>
      <c r="HQ137" s="207">
        <f t="shared" si="2940"/>
        <v>1229.2779155409303</v>
      </c>
      <c r="HR137" s="207">
        <f t="shared" si="2940"/>
        <v>1231.8100267770781</v>
      </c>
      <c r="HS137" s="207">
        <f t="shared" si="2940"/>
        <v>1234.3473537477894</v>
      </c>
      <c r="HT137" s="207">
        <f t="shared" si="2940"/>
        <v>1236.8899071966234</v>
      </c>
      <c r="HU137" s="207">
        <f t="shared" si="2940"/>
        <v>1239.4376978892694</v>
      </c>
      <c r="HV137" s="207">
        <f t="shared" si="2940"/>
        <v>1241.9907366135922</v>
      </c>
      <c r="HW137" s="207">
        <f t="shared" si="2940"/>
        <v>1244.5490341796776</v>
      </c>
      <c r="HX137" s="207">
        <f t="shared" si="2940"/>
        <v>1247.1126014198787</v>
      </c>
      <c r="HY137" s="207">
        <f t="shared" si="2940"/>
        <v>1249.6814491888613</v>
      </c>
      <c r="HZ137" s="207">
        <f t="shared" si="2940"/>
        <v>1252.2555883636501</v>
      </c>
      <c r="IA137" s="207">
        <f t="shared" si="2940"/>
        <v>1254.8350298436749</v>
      </c>
      <c r="IB137" s="207">
        <f t="shared" si="2940"/>
        <v>1257.4197845508161</v>
      </c>
      <c r="IC137" s="207">
        <f t="shared" si="2940"/>
        <v>1260.0098634294518</v>
      </c>
      <c r="ID137" s="207">
        <f t="shared" si="2940"/>
        <v>1262.6052774465034</v>
      </c>
      <c r="IE137" s="207">
        <f t="shared" si="2940"/>
        <v>1265.2060375914825</v>
      </c>
      <c r="IF137" s="207">
        <f t="shared" si="2940"/>
        <v>1267.8121548765375</v>
      </c>
      <c r="IG137" s="207">
        <f t="shared" si="2940"/>
        <v>1270.4236403364996</v>
      </c>
      <c r="IH137" s="207">
        <f t="shared" si="2940"/>
        <v>1273.0405050289303</v>
      </c>
      <c r="II137" s="207">
        <f t="shared" si="2940"/>
        <v>1275.6627600341678</v>
      </c>
      <c r="IJ137" s="207">
        <f t="shared" si="2940"/>
        <v>1278.2904164553738</v>
      </c>
      <c r="IK137" s="207">
        <f t="shared" si="2940"/>
        <v>1280.9234854185809</v>
      </c>
      <c r="IL137" s="207">
        <f t="shared" si="2940"/>
        <v>1283.5619780727395</v>
      </c>
      <c r="IM137" s="207">
        <f t="shared" si="2940"/>
        <v>1286.2059055897648</v>
      </c>
      <c r="IN137" s="207">
        <f t="shared" si="2940"/>
        <v>1288.8552791645845</v>
      </c>
      <c r="IO137" s="207">
        <f t="shared" si="2940"/>
        <v>1291.510110015186</v>
      </c>
      <c r="IP137" s="207">
        <f t="shared" si="2940"/>
        <v>1294.1704093826638</v>
      </c>
      <c r="IQ137" s="207">
        <f t="shared" si="2940"/>
        <v>1296.8361885312675</v>
      </c>
      <c r="IR137" s="207">
        <f t="shared" si="2940"/>
        <v>1299.5074587484487</v>
      </c>
      <c r="IS137" s="207">
        <f t="shared" si="2940"/>
        <v>1302.1842313449099</v>
      </c>
      <c r="IT137" s="207">
        <f t="shared" si="2940"/>
        <v>1304.8665176546515</v>
      </c>
      <c r="IU137" s="207">
        <f t="shared" si="2940"/>
        <v>1307.5543290350199</v>
      </c>
      <c r="IV137" s="207">
        <f t="shared" si="2940"/>
        <v>1310.2476768667561</v>
      </c>
      <c r="IW137" s="207">
        <f t="shared" si="2940"/>
        <v>1312.9465725540435</v>
      </c>
      <c r="IX137" s="207">
        <f t="shared" si="2940"/>
        <v>1315.6510275245562</v>
      </c>
      <c r="IY137" s="207">
        <f t="shared" si="2940"/>
        <v>1318.3610532295072</v>
      </c>
      <c r="IZ137" s="207">
        <f t="shared" si="2940"/>
        <v>1321.0766611436975</v>
      </c>
      <c r="JA137" s="207">
        <f t="shared" si="2940"/>
        <v>1323.7978627655641</v>
      </c>
      <c r="JB137" s="207">
        <f t="shared" si="2940"/>
        <v>1326.5246696172289</v>
      </c>
      <c r="JC137" s="207">
        <f t="shared" si="2940"/>
        <v>1329.2570932445476</v>
      </c>
      <c r="JD137" s="207">
        <f t="shared" si="2940"/>
        <v>1331.9951452171586</v>
      </c>
      <c r="JE137" s="207">
        <f t="shared" si="2940"/>
        <v>1334.7388371285313</v>
      </c>
      <c r="JF137" s="207">
        <f t="shared" si="2940"/>
        <v>1337.4881805960163</v>
      </c>
      <c r="JG137" s="207">
        <f t="shared" si="2940"/>
        <v>1340.2431872608938</v>
      </c>
      <c r="JH137" s="207">
        <f t="shared" si="2940"/>
        <v>1343.0038687884235</v>
      </c>
      <c r="JI137" s="207">
        <f t="shared" si="2940"/>
        <v>1345.7702368678929</v>
      </c>
      <c r="JJ137" s="207">
        <f t="shared" si="2940"/>
        <v>1348.5423032126682</v>
      </c>
      <c r="JK137" s="207">
        <f t="shared" si="2940"/>
        <v>1351.3200795602429</v>
      </c>
      <c r="JL137" s="207">
        <f t="shared" si="2940"/>
        <v>1354.1035776722879</v>
      </c>
      <c r="JM137" s="207">
        <f t="shared" si="2940"/>
        <v>1356.892809334701</v>
      </c>
      <c r="JN137" s="207">
        <f t="shared" si="2940"/>
        <v>1359.6877863576574</v>
      </c>
      <c r="JO137" s="207">
        <f t="shared" si="2940"/>
        <v>1362.4885205756591</v>
      </c>
      <c r="JP137" s="207">
        <f t="shared" si="2940"/>
        <v>1365.2950238475853</v>
      </c>
      <c r="JQ137" s="207">
        <f t="shared" si="2940"/>
        <v>1368.1073080567423</v>
      </c>
      <c r="JR137" s="207">
        <f t="shared" si="2940"/>
        <v>1370.9253851109145</v>
      </c>
      <c r="JS137" s="207">
        <f t="shared" si="2940"/>
        <v>1373.7492669424141</v>
      </c>
      <c r="JT137" s="207">
        <f t="shared" si="2940"/>
        <v>1376.5789655081319</v>
      </c>
      <c r="JU137" s="207">
        <f t="shared" si="2940"/>
        <v>1379.4144927895882</v>
      </c>
      <c r="JV137" s="207">
        <f t="shared" si="2940"/>
        <v>1382.255860792983</v>
      </c>
      <c r="JW137" s="207">
        <f t="shared" si="2940"/>
        <v>1385.103081549247</v>
      </c>
      <c r="JX137" s="207">
        <f t="shared" si="2940"/>
        <v>1387.9561671140932</v>
      </c>
      <c r="JY137" s="207">
        <f t="shared" si="2940"/>
        <v>1390.8151295680668</v>
      </c>
      <c r="JZ137" s="207">
        <f t="shared" si="2940"/>
        <v>1393.6799810165971</v>
      </c>
      <c r="KA137" s="207">
        <f t="shared" si="2940"/>
        <v>1396.5507335900488</v>
      </c>
      <c r="KB137" s="207">
        <f t="shared" ref="KB137:KE137" si="2941">KA137+IF(KB$124&gt;0,KA137*((1+INDEX($C$107:$H$107,1,MIN(KB$124,6)))^(1/12)-1))</f>
        <v>1399.4273994437731</v>
      </c>
      <c r="KC137" s="207">
        <f t="shared" si="2941"/>
        <v>1402.3099907581591</v>
      </c>
      <c r="KD137" s="207">
        <f t="shared" si="2941"/>
        <v>1405.1985197386855</v>
      </c>
      <c r="KE137" s="207">
        <f t="shared" si="2941"/>
        <v>1408.0929986159726</v>
      </c>
      <c r="KG137" s="199" t="str">
        <f t="shared" si="2932"/>
        <v>Payroll</v>
      </c>
      <c r="KH137" s="201"/>
      <c r="KI137" s="221"/>
      <c r="KJ137" s="221"/>
      <c r="KK137" s="221"/>
      <c r="KL137" s="221"/>
      <c r="KM137" s="207">
        <f t="shared" si="2933"/>
        <v>1100</v>
      </c>
      <c r="KN137" s="207">
        <f t="shared" ref="KN137:MY137" si="2942">KM137+IF(KN$124&gt;0,KM137*((1+INDEX($C$107:$H$107,1,MIN(KN$124,6)))^(1/12)-1))</f>
        <v>1100</v>
      </c>
      <c r="KO137" s="207">
        <f t="shared" si="2942"/>
        <v>1100</v>
      </c>
      <c r="KP137" s="207">
        <f t="shared" si="2942"/>
        <v>1100</v>
      </c>
      <c r="KQ137" s="207">
        <f t="shared" si="2942"/>
        <v>1100</v>
      </c>
      <c r="KR137" s="207">
        <f t="shared" si="2942"/>
        <v>1100</v>
      </c>
      <c r="KS137" s="207">
        <f t="shared" si="2942"/>
        <v>1100</v>
      </c>
      <c r="KT137" s="207">
        <f t="shared" si="2942"/>
        <v>1100</v>
      </c>
      <c r="KU137" s="207">
        <f t="shared" si="2942"/>
        <v>1100</v>
      </c>
      <c r="KV137" s="207">
        <f t="shared" si="2942"/>
        <v>1100</v>
      </c>
      <c r="KW137" s="207">
        <f t="shared" si="2942"/>
        <v>1100</v>
      </c>
      <c r="KX137" s="207">
        <f t="shared" si="2942"/>
        <v>1100</v>
      </c>
      <c r="KY137" s="207">
        <f t="shared" si="2942"/>
        <v>1100</v>
      </c>
      <c r="KZ137" s="207">
        <f t="shared" si="2942"/>
        <v>1102.265819896827</v>
      </c>
      <c r="LA137" s="207">
        <f t="shared" si="2942"/>
        <v>1104.5363070116584</v>
      </c>
      <c r="LB137" s="207">
        <f t="shared" si="2942"/>
        <v>1106.8114709581992</v>
      </c>
      <c r="LC137" s="207">
        <f t="shared" si="2942"/>
        <v>1109.0913213699569</v>
      </c>
      <c r="LD137" s="207">
        <f t="shared" si="2942"/>
        <v>1111.3758679002824</v>
      </c>
      <c r="LE137" s="207">
        <f t="shared" si="2942"/>
        <v>1113.6651202224114</v>
      </c>
      <c r="LF137" s="207">
        <f t="shared" si="2942"/>
        <v>1115.9590880295043</v>
      </c>
      <c r="LG137" s="207">
        <f t="shared" si="2942"/>
        <v>1118.2577810346882</v>
      </c>
      <c r="LH137" s="207">
        <f t="shared" si="2942"/>
        <v>1120.5612089710974</v>
      </c>
      <c r="LI137" s="207">
        <f t="shared" si="2942"/>
        <v>1122.8693815919148</v>
      </c>
      <c r="LJ137" s="207">
        <f t="shared" si="2942"/>
        <v>1125.1823086704137</v>
      </c>
      <c r="LK137" s="207">
        <f t="shared" si="2942"/>
        <v>1127.4999999999984</v>
      </c>
      <c r="LL137" s="207">
        <f t="shared" si="2942"/>
        <v>1129.8224653942461</v>
      </c>
      <c r="LM137" s="207">
        <f t="shared" si="2942"/>
        <v>1132.1497146869483</v>
      </c>
      <c r="LN137" s="207">
        <f t="shared" si="2942"/>
        <v>1134.4817577321526</v>
      </c>
      <c r="LO137" s="207">
        <f t="shared" si="2942"/>
        <v>1136.8186044042043</v>
      </c>
      <c r="LP137" s="207">
        <f t="shared" si="2942"/>
        <v>1139.160264597788</v>
      </c>
      <c r="LQ137" s="207">
        <f t="shared" si="2942"/>
        <v>1141.5067482279701</v>
      </c>
      <c r="LR137" s="207">
        <f t="shared" si="2942"/>
        <v>1143.8580652302403</v>
      </c>
      <c r="LS137" s="207">
        <f t="shared" si="2942"/>
        <v>1146.2142255605536</v>
      </c>
      <c r="LT137" s="207">
        <f t="shared" si="2942"/>
        <v>1148.5752391953729</v>
      </c>
      <c r="LU137" s="207">
        <f t="shared" si="2942"/>
        <v>1150.9411161317107</v>
      </c>
      <c r="LV137" s="207">
        <f t="shared" si="2942"/>
        <v>1153.3118663871721</v>
      </c>
      <c r="LW137" s="207">
        <f t="shared" si="2942"/>
        <v>1155.6874999999964</v>
      </c>
      <c r="LX137" s="207">
        <f t="shared" si="2942"/>
        <v>1158.0680270291002</v>
      </c>
      <c r="LY137" s="207">
        <f t="shared" si="2942"/>
        <v>1160.45345755412</v>
      </c>
      <c r="LZ137" s="207">
        <f t="shared" si="2942"/>
        <v>1162.8438016754544</v>
      </c>
      <c r="MA137" s="207">
        <f t="shared" si="2942"/>
        <v>1165.2390695143074</v>
      </c>
      <c r="MB137" s="207">
        <f t="shared" si="2942"/>
        <v>1167.6392712127308</v>
      </c>
      <c r="MC137" s="207">
        <f t="shared" si="2942"/>
        <v>1170.0444169336674</v>
      </c>
      <c r="MD137" s="207">
        <f t="shared" si="2942"/>
        <v>1172.4545168609943</v>
      </c>
      <c r="ME137" s="207">
        <f t="shared" si="2942"/>
        <v>1174.8695811995656</v>
      </c>
      <c r="MF137" s="207">
        <f t="shared" si="2942"/>
        <v>1177.2896201752553</v>
      </c>
      <c r="MG137" s="207">
        <f t="shared" si="2942"/>
        <v>1179.7146440350016</v>
      </c>
      <c r="MH137" s="207">
        <f t="shared" si="2942"/>
        <v>1182.1446630468495</v>
      </c>
      <c r="MI137" s="207">
        <f t="shared" si="2942"/>
        <v>1184.5796874999944</v>
      </c>
      <c r="MJ137" s="207">
        <f t="shared" si="2942"/>
        <v>1187.019727704826</v>
      </c>
      <c r="MK137" s="207">
        <f t="shared" si="2942"/>
        <v>1189.4647939929712</v>
      </c>
      <c r="ML137" s="207">
        <f t="shared" si="2942"/>
        <v>1191.9148967173389</v>
      </c>
      <c r="MM137" s="207">
        <f t="shared" si="2942"/>
        <v>1194.3700462521631</v>
      </c>
      <c r="MN137" s="207">
        <f t="shared" si="2942"/>
        <v>1196.830252993047</v>
      </c>
      <c r="MO137" s="207">
        <f t="shared" si="2942"/>
        <v>1199.2955273570071</v>
      </c>
      <c r="MP137" s="207">
        <f t="shared" si="2942"/>
        <v>1201.7658797825172</v>
      </c>
      <c r="MQ137" s="207">
        <f t="shared" si="2942"/>
        <v>1204.2413207295526</v>
      </c>
      <c r="MR137" s="207">
        <f t="shared" si="2942"/>
        <v>1206.7218606796346</v>
      </c>
      <c r="MS137" s="207">
        <f t="shared" si="2942"/>
        <v>1209.2075101358746</v>
      </c>
      <c r="MT137" s="207">
        <f t="shared" si="2942"/>
        <v>1211.6982796230186</v>
      </c>
      <c r="MU137" s="207">
        <f t="shared" si="2942"/>
        <v>1214.1941796874921</v>
      </c>
      <c r="MV137" s="207">
        <f t="shared" si="2942"/>
        <v>1216.6952208974444</v>
      </c>
      <c r="MW137" s="207">
        <f t="shared" si="2942"/>
        <v>1219.2014138427933</v>
      </c>
      <c r="MX137" s="207">
        <f t="shared" si="2942"/>
        <v>1221.7127691352703</v>
      </c>
      <c r="MY137" s="207">
        <f t="shared" si="2942"/>
        <v>1224.2292974084651</v>
      </c>
      <c r="MZ137" s="207">
        <f t="shared" ref="MZ137:PK137" si="2943">MY137+IF(MZ$124&gt;0,MY137*((1+INDEX($C$107:$H$107,1,MIN(MZ$124,6)))^(1/12)-1))</f>
        <v>1226.7510093178712</v>
      </c>
      <c r="NA137" s="207">
        <f t="shared" si="2943"/>
        <v>1229.2779155409303</v>
      </c>
      <c r="NB137" s="207">
        <f t="shared" si="2943"/>
        <v>1231.8100267770781</v>
      </c>
      <c r="NC137" s="207">
        <f t="shared" si="2943"/>
        <v>1234.3473537477894</v>
      </c>
      <c r="ND137" s="207">
        <f t="shared" si="2943"/>
        <v>1236.8899071966234</v>
      </c>
      <c r="NE137" s="207">
        <f t="shared" si="2943"/>
        <v>1239.4376978892694</v>
      </c>
      <c r="NF137" s="207">
        <f t="shared" si="2943"/>
        <v>1241.9907366135922</v>
      </c>
      <c r="NG137" s="207">
        <f t="shared" si="2943"/>
        <v>1244.5490341796776</v>
      </c>
      <c r="NH137" s="207">
        <f t="shared" si="2943"/>
        <v>1247.1126014198787</v>
      </c>
      <c r="NI137" s="207">
        <f t="shared" si="2943"/>
        <v>1249.6814491888613</v>
      </c>
      <c r="NJ137" s="207">
        <f t="shared" si="2943"/>
        <v>1252.2555883636501</v>
      </c>
      <c r="NK137" s="207">
        <f t="shared" si="2943"/>
        <v>1254.8350298436749</v>
      </c>
      <c r="NL137" s="207">
        <f t="shared" si="2943"/>
        <v>1257.4197845508161</v>
      </c>
      <c r="NM137" s="207">
        <f t="shared" si="2943"/>
        <v>1260.0098634294518</v>
      </c>
      <c r="NN137" s="207">
        <f t="shared" si="2943"/>
        <v>1262.6052774465034</v>
      </c>
      <c r="NO137" s="207">
        <f t="shared" si="2943"/>
        <v>1265.2060375914825</v>
      </c>
      <c r="NP137" s="207">
        <f t="shared" si="2943"/>
        <v>1267.8121548765375</v>
      </c>
      <c r="NQ137" s="207">
        <f t="shared" si="2943"/>
        <v>1270.4236403364996</v>
      </c>
      <c r="NR137" s="207">
        <f t="shared" si="2943"/>
        <v>1273.0405050289303</v>
      </c>
      <c r="NS137" s="207">
        <f t="shared" si="2943"/>
        <v>1275.6627600341678</v>
      </c>
      <c r="NT137" s="207">
        <f t="shared" si="2943"/>
        <v>1278.2904164553738</v>
      </c>
      <c r="NU137" s="207">
        <f t="shared" si="2943"/>
        <v>1280.9234854185809</v>
      </c>
      <c r="NV137" s="207">
        <f t="shared" si="2943"/>
        <v>1283.5619780727395</v>
      </c>
      <c r="NW137" s="207">
        <f t="shared" si="2943"/>
        <v>1286.2059055897648</v>
      </c>
      <c r="NX137" s="207">
        <f t="shared" si="2943"/>
        <v>1288.8552791645845</v>
      </c>
      <c r="NY137" s="207">
        <f t="shared" si="2943"/>
        <v>1291.510110015186</v>
      </c>
      <c r="NZ137" s="207">
        <f t="shared" si="2943"/>
        <v>1294.1704093826638</v>
      </c>
      <c r="OA137" s="207">
        <f t="shared" si="2943"/>
        <v>1296.8361885312675</v>
      </c>
      <c r="OB137" s="207">
        <f t="shared" si="2943"/>
        <v>1299.5074587484487</v>
      </c>
      <c r="OC137" s="207">
        <f t="shared" si="2943"/>
        <v>1302.1842313449099</v>
      </c>
      <c r="OD137" s="207">
        <f t="shared" si="2943"/>
        <v>1304.8665176546515</v>
      </c>
      <c r="OE137" s="207">
        <f t="shared" si="2943"/>
        <v>1307.5543290350199</v>
      </c>
      <c r="OF137" s="207">
        <f t="shared" si="2943"/>
        <v>1310.2476768667561</v>
      </c>
      <c r="OG137" s="207">
        <f t="shared" si="2943"/>
        <v>1312.9465725540435</v>
      </c>
      <c r="OH137" s="207">
        <f t="shared" si="2943"/>
        <v>1315.6510275245562</v>
      </c>
      <c r="OI137" s="207">
        <f t="shared" si="2943"/>
        <v>1318.3610532295072</v>
      </c>
      <c r="OJ137" s="207">
        <f t="shared" si="2943"/>
        <v>1321.0766611436975</v>
      </c>
      <c r="OK137" s="207">
        <f t="shared" si="2943"/>
        <v>1323.7978627655641</v>
      </c>
      <c r="OL137" s="207">
        <f t="shared" si="2943"/>
        <v>1326.5246696172289</v>
      </c>
      <c r="OM137" s="207">
        <f t="shared" si="2943"/>
        <v>1329.2570932445476</v>
      </c>
      <c r="ON137" s="207">
        <f t="shared" si="2943"/>
        <v>1331.9951452171586</v>
      </c>
      <c r="OO137" s="207">
        <f t="shared" si="2943"/>
        <v>1334.7388371285313</v>
      </c>
      <c r="OP137" s="207">
        <f t="shared" si="2943"/>
        <v>1337.4881805960163</v>
      </c>
      <c r="OQ137" s="207">
        <f t="shared" si="2943"/>
        <v>1340.2431872608938</v>
      </c>
      <c r="OR137" s="207">
        <f t="shared" si="2943"/>
        <v>1343.0038687884235</v>
      </c>
      <c r="OS137" s="207">
        <f t="shared" si="2943"/>
        <v>1345.7702368678929</v>
      </c>
      <c r="OT137" s="207">
        <f t="shared" si="2943"/>
        <v>1348.5423032126682</v>
      </c>
      <c r="OU137" s="207">
        <f t="shared" si="2943"/>
        <v>1351.3200795602429</v>
      </c>
      <c r="OV137" s="207">
        <f t="shared" si="2943"/>
        <v>1354.1035776722879</v>
      </c>
      <c r="OW137" s="207">
        <f t="shared" si="2943"/>
        <v>1356.892809334701</v>
      </c>
      <c r="OX137" s="207">
        <f t="shared" si="2943"/>
        <v>1359.6877863576574</v>
      </c>
      <c r="OY137" s="207">
        <f t="shared" si="2943"/>
        <v>1362.4885205756591</v>
      </c>
      <c r="OZ137" s="207">
        <f t="shared" si="2943"/>
        <v>1365.2950238475853</v>
      </c>
      <c r="PA137" s="207">
        <f t="shared" si="2943"/>
        <v>1368.1073080567423</v>
      </c>
      <c r="PB137" s="207">
        <f t="shared" si="2943"/>
        <v>1370.9253851109145</v>
      </c>
      <c r="PC137" s="207">
        <f t="shared" si="2943"/>
        <v>1373.7492669424141</v>
      </c>
      <c r="PD137" s="207">
        <f t="shared" si="2943"/>
        <v>1376.5789655081319</v>
      </c>
      <c r="PE137" s="207">
        <f t="shared" si="2943"/>
        <v>1379.4144927895882</v>
      </c>
      <c r="PF137" s="207">
        <f t="shared" si="2943"/>
        <v>1382.255860792983</v>
      </c>
      <c r="PG137" s="207">
        <f t="shared" si="2943"/>
        <v>1385.103081549247</v>
      </c>
      <c r="PH137" s="207">
        <f t="shared" si="2943"/>
        <v>1387.9561671140932</v>
      </c>
      <c r="PI137" s="207">
        <f t="shared" si="2943"/>
        <v>1390.8151295680668</v>
      </c>
      <c r="PJ137" s="207">
        <f t="shared" si="2943"/>
        <v>1393.6799810165971</v>
      </c>
      <c r="PK137" s="207">
        <f t="shared" si="2943"/>
        <v>1396.5507335900488</v>
      </c>
      <c r="PL137" s="207">
        <f t="shared" ref="PL137:PO137" si="2944">PK137+IF(PL$124&gt;0,PK137*((1+INDEX($C$107:$H$107,1,MIN(PL$124,6)))^(1/12)-1))</f>
        <v>1399.4273994437731</v>
      </c>
      <c r="PM137" s="207">
        <f t="shared" si="2944"/>
        <v>1402.3099907581591</v>
      </c>
      <c r="PN137" s="207">
        <f t="shared" si="2944"/>
        <v>1405.1985197386855</v>
      </c>
      <c r="PO137" s="207">
        <f t="shared" si="2944"/>
        <v>1408.0929986159726</v>
      </c>
      <c r="PQ137" s="201"/>
      <c r="PR137" s="201"/>
      <c r="PS137" s="201"/>
      <c r="PT137" s="201"/>
      <c r="PU137" s="201"/>
      <c r="PV137" s="201"/>
      <c r="PW137" s="201"/>
      <c r="PX137" s="201"/>
      <c r="PY137" s="201"/>
      <c r="PZ137" s="201"/>
      <c r="QA137" s="201"/>
      <c r="QB137" s="201"/>
      <c r="QC137" s="201"/>
      <c r="QD137" s="201"/>
      <c r="QE137" s="201"/>
      <c r="QF137" s="201"/>
      <c r="QG137" s="201"/>
      <c r="QH137" s="201"/>
      <c r="QI137" s="201"/>
      <c r="QJ137" s="201"/>
      <c r="QK137" s="201"/>
      <c r="QL137" s="201"/>
      <c r="QM137" s="201"/>
      <c r="QN137" s="201"/>
      <c r="QO137" s="201"/>
      <c r="QP137" s="201"/>
      <c r="QQ137" s="201"/>
      <c r="QR137" s="201"/>
      <c r="QS137" s="201"/>
      <c r="QT137" s="201"/>
      <c r="QU137" s="201"/>
      <c r="QV137" s="201"/>
      <c r="QW137" s="201"/>
      <c r="QX137" s="201"/>
      <c r="QY137" s="201"/>
      <c r="QZ137" s="201"/>
      <c r="RA137" s="201"/>
      <c r="RB137" s="201"/>
      <c r="RC137" s="201"/>
      <c r="RD137" s="201"/>
      <c r="RE137" s="201"/>
      <c r="RF137" s="201"/>
      <c r="RG137" s="201"/>
      <c r="RH137" s="201"/>
      <c r="RI137" s="201"/>
      <c r="RJ137" s="201"/>
      <c r="RK137" s="201"/>
      <c r="RL137" s="201"/>
      <c r="RM137" s="201"/>
      <c r="RN137" s="201"/>
      <c r="RO137" s="201"/>
      <c r="RP137" s="201"/>
      <c r="RQ137" s="201"/>
      <c r="RR137" s="201"/>
      <c r="RS137" s="201"/>
      <c r="RT137" s="201"/>
      <c r="RU137" s="201"/>
      <c r="RV137" s="201"/>
      <c r="RW137" s="201"/>
      <c r="RX137" s="201"/>
      <c r="RY137" s="201"/>
      <c r="RZ137" s="201"/>
      <c r="SA137" s="201"/>
      <c r="SB137" s="201"/>
      <c r="SC137" s="201"/>
      <c r="SD137" s="201"/>
      <c r="SE137" s="201"/>
      <c r="SF137" s="201"/>
      <c r="SG137" s="201"/>
      <c r="SH137" s="201"/>
      <c r="SI137" s="201"/>
      <c r="SJ137" s="201"/>
      <c r="SK137" s="201"/>
      <c r="SL137" s="201"/>
      <c r="SM137" s="201"/>
      <c r="SN137" s="201"/>
      <c r="SO137" s="201"/>
      <c r="SP137" s="201"/>
      <c r="SQ137" s="201"/>
      <c r="SR137" s="201"/>
      <c r="SS137" s="201"/>
      <c r="ST137" s="201"/>
      <c r="SU137" s="201"/>
      <c r="SV137" s="201"/>
      <c r="SW137" s="201"/>
      <c r="SX137" s="201"/>
      <c r="SY137" s="201"/>
      <c r="SZ137" s="201"/>
      <c r="TA137" s="201"/>
      <c r="TB137" s="201"/>
      <c r="TC137" s="201"/>
      <c r="TD137" s="201"/>
      <c r="TE137" s="201"/>
      <c r="TF137" s="201"/>
      <c r="TG137" s="201"/>
      <c r="TH137" s="201"/>
      <c r="TI137" s="201"/>
      <c r="TJ137" s="201"/>
      <c r="TK137" s="201"/>
      <c r="TL137" s="201"/>
      <c r="TM137" s="201"/>
      <c r="TN137" s="201"/>
      <c r="TO137" s="201"/>
      <c r="TP137" s="201"/>
      <c r="TQ137" s="201"/>
      <c r="TR137" s="201"/>
      <c r="TS137" s="201"/>
      <c r="TT137" s="201"/>
      <c r="TU137" s="201"/>
      <c r="TV137" s="201"/>
      <c r="TW137" s="201"/>
      <c r="TX137" s="201"/>
      <c r="TY137" s="201"/>
      <c r="TZ137" s="201"/>
      <c r="UA137" s="201"/>
      <c r="UB137" s="201"/>
      <c r="UC137" s="201"/>
      <c r="UD137" s="201"/>
      <c r="UE137" s="201"/>
      <c r="UF137" s="201"/>
      <c r="UG137" s="201"/>
      <c r="UH137" s="201"/>
      <c r="UI137" s="201"/>
      <c r="UJ137" s="201"/>
      <c r="UK137" s="201"/>
      <c r="UL137" s="201"/>
      <c r="UM137" s="201"/>
      <c r="UN137" s="201"/>
      <c r="UO137" s="201"/>
      <c r="UP137" s="201"/>
      <c r="UQ137" s="201"/>
      <c r="UR137" s="201"/>
      <c r="US137" s="201"/>
      <c r="UT137" s="201"/>
      <c r="UU137" s="201"/>
    </row>
    <row r="138" spans="1:567" x14ac:dyDescent="0.25">
      <c r="B138" s="44" t="s">
        <v>147</v>
      </c>
      <c r="C138" s="26"/>
      <c r="D138" s="26"/>
      <c r="E138" s="104"/>
      <c r="F138" s="131" t="str">
        <f t="shared" si="2911"/>
        <v>Units/Year</v>
      </c>
      <c r="G138" s="584">
        <v>300</v>
      </c>
      <c r="H138" s="131" t="str">
        <f t="shared" si="2912"/>
        <v>Units/Year</v>
      </c>
      <c r="I138" s="584">
        <v>300</v>
      </c>
      <c r="J138" s="149">
        <f t="shared" si="2937"/>
        <v>90000</v>
      </c>
      <c r="K138" s="149">
        <f t="shared" si="2938"/>
        <v>90000</v>
      </c>
      <c r="M138" s="3" t="s">
        <v>849</v>
      </c>
      <c r="T138" s="92">
        <f t="shared" si="2913"/>
        <v>7500</v>
      </c>
      <c r="U138" s="92">
        <f t="shared" si="2913"/>
        <v>7500</v>
      </c>
      <c r="V138" s="92">
        <f t="shared" si="2913"/>
        <v>7500</v>
      </c>
      <c r="W138" s="92">
        <f t="shared" si="2913"/>
        <v>7500</v>
      </c>
      <c r="X138" s="92">
        <f t="shared" si="2913"/>
        <v>7500</v>
      </c>
      <c r="Y138" s="92">
        <f t="shared" si="2913"/>
        <v>7500</v>
      </c>
      <c r="Z138" s="92">
        <f t="shared" si="2913"/>
        <v>7500</v>
      </c>
      <c r="AA138" s="92">
        <f t="shared" si="2913"/>
        <v>7500</v>
      </c>
      <c r="AB138" s="92">
        <f t="shared" si="2913"/>
        <v>7500</v>
      </c>
      <c r="AC138" s="92">
        <f t="shared" si="2913"/>
        <v>7500</v>
      </c>
      <c r="AD138" s="92">
        <f t="shared" si="2914"/>
        <v>7500</v>
      </c>
      <c r="AE138" s="92">
        <f t="shared" si="2914"/>
        <v>7500</v>
      </c>
      <c r="AF138" s="92">
        <f t="shared" si="2914"/>
        <v>7515.4487720238212</v>
      </c>
      <c r="AG138" s="92">
        <f t="shared" si="2914"/>
        <v>7530.9293659885807</v>
      </c>
      <c r="AH138" s="92">
        <f t="shared" si="2914"/>
        <v>7546.4418474422682</v>
      </c>
      <c r="AI138" s="92">
        <f t="shared" si="2914"/>
        <v>7561.9862820678891</v>
      </c>
      <c r="AJ138" s="92">
        <f t="shared" si="2914"/>
        <v>7577.5627356837458</v>
      </c>
      <c r="AK138" s="92">
        <f t="shared" si="2914"/>
        <v>7593.1712742437157</v>
      </c>
      <c r="AL138" s="92">
        <f t="shared" si="2914"/>
        <v>7608.811963837531</v>
      </c>
      <c r="AM138" s="92">
        <f t="shared" si="2914"/>
        <v>7624.4848706910561</v>
      </c>
      <c r="AN138" s="92">
        <f t="shared" si="2915"/>
        <v>7640.1900611665724</v>
      </c>
      <c r="AO138" s="92">
        <f t="shared" si="2915"/>
        <v>7655.9276017630555</v>
      </c>
      <c r="AP138" s="92">
        <f t="shared" si="2915"/>
        <v>7671.6975591164564</v>
      </c>
      <c r="AQ138" s="92">
        <f t="shared" si="2915"/>
        <v>7687.4999999999891</v>
      </c>
      <c r="AR138" s="92">
        <f t="shared" si="2915"/>
        <v>7703.3349913244056</v>
      </c>
      <c r="AS138" s="92">
        <f t="shared" si="2915"/>
        <v>7719.2026001382837</v>
      </c>
      <c r="AT138" s="92">
        <f t="shared" si="2915"/>
        <v>7735.1028936283137</v>
      </c>
      <c r="AU138" s="92">
        <f t="shared" si="2915"/>
        <v>7751.0359391195734</v>
      </c>
      <c r="AV138" s="92">
        <f t="shared" si="2915"/>
        <v>7767.0018040758259</v>
      </c>
      <c r="AW138" s="92">
        <f t="shared" si="2915"/>
        <v>7783.0005560997961</v>
      </c>
      <c r="AX138" s="92">
        <f t="shared" si="2916"/>
        <v>7799.0322629334578</v>
      </c>
      <c r="AY138" s="92">
        <f t="shared" si="2916"/>
        <v>7815.0969924583214</v>
      </c>
      <c r="AZ138" s="92">
        <f t="shared" si="2916"/>
        <v>7831.194812695725</v>
      </c>
      <c r="BA138" s="92">
        <f t="shared" si="2916"/>
        <v>7847.3257918071204</v>
      </c>
      <c r="BB138" s="92">
        <f t="shared" si="2916"/>
        <v>7863.4899980943555</v>
      </c>
      <c r="BC138" s="92">
        <f t="shared" si="2916"/>
        <v>7879.6874999999754</v>
      </c>
      <c r="BD138" s="92">
        <f t="shared" si="2916"/>
        <v>7895.9183661075012</v>
      </c>
      <c r="BE138" s="92">
        <f t="shared" si="2916"/>
        <v>7912.1826651417277</v>
      </c>
      <c r="BF138" s="92">
        <f t="shared" si="2916"/>
        <v>7928.480465969008</v>
      </c>
      <c r="BG138" s="92">
        <f t="shared" si="2916"/>
        <v>7944.8118375975509</v>
      </c>
      <c r="BH138" s="92">
        <f t="shared" si="2917"/>
        <v>7961.1768491777102</v>
      </c>
      <c r="BI138" s="92">
        <f t="shared" si="2917"/>
        <v>7977.5755700022783</v>
      </c>
      <c r="BJ138" s="92">
        <f t="shared" si="2917"/>
        <v>7994.0080695067809</v>
      </c>
      <c r="BK138" s="92">
        <f t="shared" si="2917"/>
        <v>8010.4744172697656</v>
      </c>
      <c r="BL138" s="92">
        <f t="shared" si="2917"/>
        <v>8026.9746830131053</v>
      </c>
      <c r="BM138" s="92">
        <f t="shared" si="2917"/>
        <v>8043.5089366022848</v>
      </c>
      <c r="BN138" s="92">
        <f t="shared" si="2917"/>
        <v>8060.0772480467031</v>
      </c>
      <c r="BO138" s="92">
        <f t="shared" si="2917"/>
        <v>8076.6796874999636</v>
      </c>
      <c r="BP138" s="92">
        <f t="shared" si="2917"/>
        <v>8093.316325260178</v>
      </c>
      <c r="BQ138" s="92">
        <f t="shared" si="2917"/>
        <v>8109.9872317702602</v>
      </c>
      <c r="BR138" s="92">
        <f t="shared" si="2918"/>
        <v>8126.6924776182213</v>
      </c>
      <c r="BS138" s="92">
        <f t="shared" si="2918"/>
        <v>8143.4321335374798</v>
      </c>
      <c r="BT138" s="92">
        <f t="shared" si="2918"/>
        <v>8160.2062704071432</v>
      </c>
      <c r="BU138" s="92">
        <f t="shared" si="2918"/>
        <v>8177.0149592523258</v>
      </c>
      <c r="BV138" s="92">
        <f t="shared" si="2918"/>
        <v>8193.8582712444404</v>
      </c>
      <c r="BW138" s="92">
        <f t="shared" si="2918"/>
        <v>8210.7362777014987</v>
      </c>
      <c r="BX138" s="92">
        <f t="shared" si="2918"/>
        <v>8227.6490500884229</v>
      </c>
      <c r="BY138" s="92">
        <f t="shared" si="2918"/>
        <v>8244.5966600173324</v>
      </c>
      <c r="BZ138" s="92">
        <f t="shared" si="2918"/>
        <v>8261.5791792478612</v>
      </c>
      <c r="CA138" s="92">
        <f t="shared" si="2918"/>
        <v>8278.5966796874545</v>
      </c>
      <c r="CB138" s="92">
        <f t="shared" si="2919"/>
        <v>8295.649233391674</v>
      </c>
      <c r="CC138" s="92">
        <f t="shared" si="2919"/>
        <v>8312.7369125645073</v>
      </c>
      <c r="CD138" s="92">
        <f t="shared" si="2919"/>
        <v>8329.8597895586681</v>
      </c>
      <c r="CE138" s="92">
        <f t="shared" si="2919"/>
        <v>8347.0179368759073</v>
      </c>
      <c r="CF138" s="92">
        <f t="shared" si="2919"/>
        <v>8364.2114271673108</v>
      </c>
      <c r="CG138" s="92">
        <f t="shared" si="2919"/>
        <v>8381.4403332336224</v>
      </c>
      <c r="CH138" s="92">
        <f t="shared" si="2919"/>
        <v>8398.7047280255392</v>
      </c>
      <c r="CI138" s="92">
        <f t="shared" si="2919"/>
        <v>8416.0046846440255</v>
      </c>
      <c r="CJ138" s="92">
        <f t="shared" si="2919"/>
        <v>8433.3402763406229</v>
      </c>
      <c r="CK138" s="92">
        <f t="shared" si="2919"/>
        <v>8450.711576517755</v>
      </c>
      <c r="CL138" s="92">
        <f t="shared" si="2920"/>
        <v>8468.1186587290449</v>
      </c>
      <c r="CM138" s="92">
        <f t="shared" si="2920"/>
        <v>8485.5615966796267</v>
      </c>
      <c r="CN138" s="92">
        <f t="shared" si="2920"/>
        <v>8503.040464226453</v>
      </c>
      <c r="CO138" s="92">
        <f t="shared" si="2920"/>
        <v>8520.5553353786072</v>
      </c>
      <c r="CP138" s="92">
        <f t="shared" si="2920"/>
        <v>8538.1062842976226</v>
      </c>
      <c r="CQ138" s="92">
        <f t="shared" si="2920"/>
        <v>8555.6933852977909</v>
      </c>
      <c r="CR138" s="92">
        <f t="shared" si="2920"/>
        <v>8573.3167128464793</v>
      </c>
      <c r="CS138" s="92">
        <f t="shared" si="2920"/>
        <v>8590.9763415644502</v>
      </c>
      <c r="CT138" s="92">
        <f t="shared" si="2920"/>
        <v>8608.6723462261671</v>
      </c>
      <c r="CU138" s="92">
        <f t="shared" si="2920"/>
        <v>8626.4048017601144</v>
      </c>
      <c r="CV138" s="92">
        <f t="shared" si="2921"/>
        <v>8644.1737832491253</v>
      </c>
      <c r="CW138" s="92">
        <f t="shared" si="2921"/>
        <v>8661.979365930687</v>
      </c>
      <c r="CX138" s="92">
        <f t="shared" si="2921"/>
        <v>8679.8216251972608</v>
      </c>
      <c r="CY138" s="92">
        <f t="shared" si="2921"/>
        <v>8697.7006365966081</v>
      </c>
      <c r="CZ138" s="92">
        <f t="shared" si="2921"/>
        <v>8715.6164758321047</v>
      </c>
      <c r="DA138" s="92">
        <f t="shared" si="2921"/>
        <v>8733.5692187630611</v>
      </c>
      <c r="DB138" s="92">
        <f t="shared" si="2921"/>
        <v>8751.5589414050501</v>
      </c>
      <c r="DC138" s="92">
        <f t="shared" si="2921"/>
        <v>8769.5857199302245</v>
      </c>
      <c r="DD138" s="92">
        <f t="shared" si="2921"/>
        <v>8787.6496306676327</v>
      </c>
      <c r="DE138" s="92">
        <f t="shared" si="2921"/>
        <v>8805.7507501035525</v>
      </c>
      <c r="DF138" s="92">
        <f t="shared" si="2922"/>
        <v>8823.8891548818101</v>
      </c>
      <c r="DG138" s="92">
        <f t="shared" si="2922"/>
        <v>8842.064921804109</v>
      </c>
      <c r="DH138" s="92">
        <f t="shared" si="2922"/>
        <v>8860.2781278303428</v>
      </c>
      <c r="DI138" s="92">
        <f t="shared" si="2922"/>
        <v>8878.5288500789429</v>
      </c>
      <c r="DJ138" s="92">
        <f t="shared" si="2922"/>
        <v>8896.8171658271804</v>
      </c>
      <c r="DK138" s="92">
        <f t="shared" si="2922"/>
        <v>8915.1431525115113</v>
      </c>
      <c r="DL138" s="92">
        <f t="shared" si="2922"/>
        <v>8933.5068877278954</v>
      </c>
      <c r="DM138" s="92">
        <f t="shared" si="2922"/>
        <v>8951.9084492321253</v>
      </c>
      <c r="DN138" s="92">
        <f t="shared" si="2922"/>
        <v>8970.3479149401664</v>
      </c>
      <c r="DO138" s="92">
        <f t="shared" si="2922"/>
        <v>8988.8253629284682</v>
      </c>
      <c r="DP138" s="92">
        <f t="shared" si="2923"/>
        <v>9007.3408714343113</v>
      </c>
      <c r="DQ138" s="92">
        <f t="shared" si="2923"/>
        <v>9025.8945188561265</v>
      </c>
      <c r="DR138" s="92">
        <f t="shared" si="2923"/>
        <v>9044.4863837538414</v>
      </c>
      <c r="DS138" s="92">
        <f t="shared" si="2923"/>
        <v>9063.1165448491975</v>
      </c>
      <c r="DT138" s="92">
        <f t="shared" si="2923"/>
        <v>9081.7850810260898</v>
      </c>
      <c r="DU138" s="92">
        <f t="shared" si="2923"/>
        <v>9100.4920713309039</v>
      </c>
      <c r="DV138" s="92">
        <f t="shared" si="2923"/>
        <v>9119.2375949728466</v>
      </c>
      <c r="DW138" s="92">
        <f t="shared" si="2923"/>
        <v>9138.0217313242847</v>
      </c>
      <c r="DX138" s="92">
        <f t="shared" si="2923"/>
        <v>9156.8445599210772</v>
      </c>
      <c r="DY138" s="92">
        <f t="shared" si="2923"/>
        <v>9175.7061604629162</v>
      </c>
      <c r="DZ138" s="92">
        <f t="shared" si="2924"/>
        <v>9194.6066128136572</v>
      </c>
      <c r="EA138" s="92">
        <f t="shared" si="2924"/>
        <v>9213.5459970016655</v>
      </c>
      <c r="EB138" s="92">
        <f t="shared" si="2924"/>
        <v>9232.5243932201538</v>
      </c>
      <c r="EC138" s="92">
        <f t="shared" si="2924"/>
        <v>9251.5418818275157</v>
      </c>
      <c r="ED138" s="92">
        <f t="shared" si="2924"/>
        <v>9270.5985433476744</v>
      </c>
      <c r="EE138" s="92">
        <f t="shared" si="2924"/>
        <v>9289.6944584704124</v>
      </c>
      <c r="EF138" s="92">
        <f t="shared" si="2924"/>
        <v>9308.8297080517277</v>
      </c>
      <c r="EG138" s="92">
        <f t="shared" si="2924"/>
        <v>9328.0043731141614</v>
      </c>
      <c r="EH138" s="92">
        <f t="shared" si="2924"/>
        <v>9347.2185348471539</v>
      </c>
      <c r="EI138" s="92">
        <f t="shared" si="2924"/>
        <v>9366.4722746073803</v>
      </c>
      <c r="EJ138" s="92">
        <f t="shared" si="2925"/>
        <v>9385.7656739190916</v>
      </c>
      <c r="EK138" s="92">
        <f t="shared" si="2925"/>
        <v>9405.0988144744751</v>
      </c>
      <c r="EL138" s="92">
        <f t="shared" si="2925"/>
        <v>9424.4717781339841</v>
      </c>
      <c r="EM138" s="92">
        <f t="shared" si="2925"/>
        <v>9443.8846469266937</v>
      </c>
      <c r="EN138" s="92">
        <f t="shared" si="2925"/>
        <v>9463.337503050645</v>
      </c>
      <c r="EO138" s="92">
        <f t="shared" si="2925"/>
        <v>9482.8304288731906</v>
      </c>
      <c r="EP138" s="92">
        <f t="shared" si="2925"/>
        <v>9502.3635069313532</v>
      </c>
      <c r="EQ138" s="92">
        <f t="shared" si="2925"/>
        <v>9521.9368199321598</v>
      </c>
      <c r="ER138" s="92">
        <f t="shared" si="2925"/>
        <v>9541.5504507530077</v>
      </c>
      <c r="ES138" s="92">
        <f t="shared" si="2925"/>
        <v>9561.2044824420027</v>
      </c>
      <c r="ET138" s="92">
        <f t="shared" si="2926"/>
        <v>9580.8989982183211</v>
      </c>
      <c r="EU138" s="92">
        <f t="shared" si="2926"/>
        <v>9600.63408147255</v>
      </c>
      <c r="EW138" s="199" t="str">
        <f t="shared" si="2927"/>
        <v>General &amp; Administrative</v>
      </c>
      <c r="EX138" s="201"/>
      <c r="EY138" s="221"/>
      <c r="EZ138" s="221"/>
      <c r="FA138" s="221"/>
      <c r="FB138" s="221"/>
      <c r="FC138" s="207">
        <f t="shared" si="2928"/>
        <v>300</v>
      </c>
      <c r="FD138" s="207">
        <f t="shared" ref="FD138:HO138" si="2945">FC138+IF(FD$124&gt;0,FC138*((1+INDEX($C$107:$H$107,1,MIN(FD$124,6)))^(1/12)-1))</f>
        <v>300</v>
      </c>
      <c r="FE138" s="207">
        <f t="shared" si="2945"/>
        <v>300</v>
      </c>
      <c r="FF138" s="207">
        <f t="shared" si="2945"/>
        <v>300</v>
      </c>
      <c r="FG138" s="207">
        <f t="shared" si="2945"/>
        <v>300</v>
      </c>
      <c r="FH138" s="207">
        <f t="shared" si="2945"/>
        <v>300</v>
      </c>
      <c r="FI138" s="207">
        <f t="shared" si="2945"/>
        <v>300</v>
      </c>
      <c r="FJ138" s="207">
        <f t="shared" si="2945"/>
        <v>300</v>
      </c>
      <c r="FK138" s="207">
        <f t="shared" si="2945"/>
        <v>300</v>
      </c>
      <c r="FL138" s="207">
        <f t="shared" si="2945"/>
        <v>300</v>
      </c>
      <c r="FM138" s="207">
        <f t="shared" si="2945"/>
        <v>300</v>
      </c>
      <c r="FN138" s="207">
        <f t="shared" si="2945"/>
        <v>300</v>
      </c>
      <c r="FO138" s="207">
        <f t="shared" si="2945"/>
        <v>300</v>
      </c>
      <c r="FP138" s="207">
        <f t="shared" si="2945"/>
        <v>300.61795088095283</v>
      </c>
      <c r="FQ138" s="207">
        <f t="shared" si="2945"/>
        <v>301.23717463954324</v>
      </c>
      <c r="FR138" s="207">
        <f t="shared" si="2945"/>
        <v>301.85767389769074</v>
      </c>
      <c r="FS138" s="207">
        <f t="shared" si="2945"/>
        <v>302.47945128271556</v>
      </c>
      <c r="FT138" s="207">
        <f t="shared" si="2945"/>
        <v>303.10250942734984</v>
      </c>
      <c r="FU138" s="207">
        <f t="shared" si="2945"/>
        <v>303.72685096974863</v>
      </c>
      <c r="FV138" s="207">
        <f t="shared" si="2945"/>
        <v>304.35247855350121</v>
      </c>
      <c r="FW138" s="207">
        <f t="shared" si="2945"/>
        <v>304.97939482764224</v>
      </c>
      <c r="FX138" s="207">
        <f t="shared" si="2945"/>
        <v>305.6076024466629</v>
      </c>
      <c r="FY138" s="207">
        <f t="shared" si="2945"/>
        <v>306.23710407052221</v>
      </c>
      <c r="FZ138" s="207">
        <f t="shared" si="2945"/>
        <v>306.86790236465828</v>
      </c>
      <c r="GA138" s="207">
        <f t="shared" si="2945"/>
        <v>307.49999999999955</v>
      </c>
      <c r="GB138" s="207">
        <f t="shared" si="2945"/>
        <v>308.13339965297621</v>
      </c>
      <c r="GC138" s="207">
        <f t="shared" si="2945"/>
        <v>308.76810400553137</v>
      </c>
      <c r="GD138" s="207">
        <f t="shared" si="2945"/>
        <v>309.40411574513251</v>
      </c>
      <c r="GE138" s="207">
        <f t="shared" si="2945"/>
        <v>310.04143756478294</v>
      </c>
      <c r="GF138" s="207">
        <f t="shared" si="2945"/>
        <v>310.68007216303306</v>
      </c>
      <c r="GG138" s="207">
        <f t="shared" si="2945"/>
        <v>311.32002224399184</v>
      </c>
      <c r="GH138" s="207">
        <f t="shared" si="2945"/>
        <v>311.96129051733828</v>
      </c>
      <c r="GI138" s="207">
        <f t="shared" si="2945"/>
        <v>312.60387969833283</v>
      </c>
      <c r="GJ138" s="207">
        <f t="shared" si="2945"/>
        <v>313.24779250782899</v>
      </c>
      <c r="GK138" s="207">
        <f t="shared" si="2945"/>
        <v>313.89303167228479</v>
      </c>
      <c r="GL138" s="207">
        <f t="shared" si="2945"/>
        <v>314.53959992377423</v>
      </c>
      <c r="GM138" s="207">
        <f t="shared" si="2945"/>
        <v>315.18749999999903</v>
      </c>
      <c r="GN138" s="207">
        <f t="shared" si="2945"/>
        <v>315.83673464430007</v>
      </c>
      <c r="GO138" s="207">
        <f t="shared" si="2945"/>
        <v>316.48730660566912</v>
      </c>
      <c r="GP138" s="207">
        <f t="shared" si="2945"/>
        <v>317.13921863876033</v>
      </c>
      <c r="GQ138" s="207">
        <f t="shared" si="2945"/>
        <v>317.79247350390204</v>
      </c>
      <c r="GR138" s="207">
        <f t="shared" si="2945"/>
        <v>318.44707396710839</v>
      </c>
      <c r="GS138" s="207">
        <f t="shared" si="2945"/>
        <v>319.10302280009114</v>
      </c>
      <c r="GT138" s="207">
        <f t="shared" si="2945"/>
        <v>319.76032278027122</v>
      </c>
      <c r="GU138" s="207">
        <f t="shared" si="2945"/>
        <v>320.41897669079066</v>
      </c>
      <c r="GV138" s="207">
        <f t="shared" si="2945"/>
        <v>321.07898732052422</v>
      </c>
      <c r="GW138" s="207">
        <f t="shared" si="2945"/>
        <v>321.7403574640914</v>
      </c>
      <c r="GX138" s="207">
        <f t="shared" si="2945"/>
        <v>322.40308992186812</v>
      </c>
      <c r="GY138" s="207">
        <f t="shared" si="2945"/>
        <v>323.06718749999857</v>
      </c>
      <c r="GZ138" s="207">
        <f t="shared" si="2945"/>
        <v>323.73265301040715</v>
      </c>
      <c r="HA138" s="207">
        <f t="shared" si="2945"/>
        <v>324.39948927081042</v>
      </c>
      <c r="HB138" s="207">
        <f t="shared" si="2945"/>
        <v>325.06769910472889</v>
      </c>
      <c r="HC138" s="207">
        <f t="shared" si="2945"/>
        <v>325.73728534149916</v>
      </c>
      <c r="HD138" s="207">
        <f t="shared" si="2945"/>
        <v>326.40825081628572</v>
      </c>
      <c r="HE138" s="207">
        <f t="shared" si="2945"/>
        <v>327.08059837009301</v>
      </c>
      <c r="HF138" s="207">
        <f t="shared" si="2945"/>
        <v>327.7543308497776</v>
      </c>
      <c r="HG138" s="207">
        <f t="shared" si="2945"/>
        <v>328.42945110805999</v>
      </c>
      <c r="HH138" s="207">
        <f t="shared" si="2945"/>
        <v>329.10596200353694</v>
      </c>
      <c r="HI138" s="207">
        <f t="shared" si="2945"/>
        <v>329.78386640069334</v>
      </c>
      <c r="HJ138" s="207">
        <f t="shared" si="2945"/>
        <v>330.46316716991447</v>
      </c>
      <c r="HK138" s="207">
        <f t="shared" si="2945"/>
        <v>331.14386718749819</v>
      </c>
      <c r="HL138" s="207">
        <f t="shared" si="2945"/>
        <v>331.82596933566697</v>
      </c>
      <c r="HM138" s="207">
        <f t="shared" si="2945"/>
        <v>332.5094765025803</v>
      </c>
      <c r="HN138" s="207">
        <f t="shared" si="2945"/>
        <v>333.19439158234673</v>
      </c>
      <c r="HO138" s="207">
        <f t="shared" si="2945"/>
        <v>333.88071747503625</v>
      </c>
      <c r="HP138" s="207">
        <f t="shared" ref="HP138:KA138" si="2946">HO138+IF(HP$124&gt;0,HO138*((1+INDEX($C$107:$H$107,1,MIN(HP$124,6)))^(1/12)-1))</f>
        <v>334.56845708669243</v>
      </c>
      <c r="HQ138" s="207">
        <f t="shared" si="2946"/>
        <v>335.25761332934491</v>
      </c>
      <c r="HR138" s="207">
        <f t="shared" si="2946"/>
        <v>335.94818912102158</v>
      </c>
      <c r="HS138" s="207">
        <f t="shared" si="2946"/>
        <v>336.64018738576107</v>
      </c>
      <c r="HT138" s="207">
        <f t="shared" si="2946"/>
        <v>337.33361105362491</v>
      </c>
      <c r="HU138" s="207">
        <f t="shared" si="2946"/>
        <v>338.02846306071018</v>
      </c>
      <c r="HV138" s="207">
        <f t="shared" si="2946"/>
        <v>338.72474634916182</v>
      </c>
      <c r="HW138" s="207">
        <f t="shared" si="2946"/>
        <v>339.42246386718512</v>
      </c>
      <c r="HX138" s="207">
        <f t="shared" si="2946"/>
        <v>340.12161856905811</v>
      </c>
      <c r="HY138" s="207">
        <f t="shared" si="2946"/>
        <v>340.82221341514429</v>
      </c>
      <c r="HZ138" s="207">
        <f t="shared" si="2946"/>
        <v>341.52425137190488</v>
      </c>
      <c r="IA138" s="207">
        <f t="shared" si="2946"/>
        <v>342.22773541191162</v>
      </c>
      <c r="IB138" s="207">
        <f t="shared" si="2946"/>
        <v>342.9326685138592</v>
      </c>
      <c r="IC138" s="207">
        <f t="shared" si="2946"/>
        <v>343.63905366257802</v>
      </c>
      <c r="ID138" s="207">
        <f t="shared" si="2946"/>
        <v>344.34689384904664</v>
      </c>
      <c r="IE138" s="207">
        <f t="shared" si="2946"/>
        <v>345.05619207040456</v>
      </c>
      <c r="IF138" s="207">
        <f t="shared" si="2946"/>
        <v>345.76695132996502</v>
      </c>
      <c r="IG138" s="207">
        <f t="shared" si="2946"/>
        <v>346.47917463722746</v>
      </c>
      <c r="IH138" s="207">
        <f t="shared" si="2946"/>
        <v>347.19286500789042</v>
      </c>
      <c r="II138" s="207">
        <f t="shared" si="2946"/>
        <v>347.90802546386431</v>
      </c>
      <c r="IJ138" s="207">
        <f t="shared" si="2946"/>
        <v>348.62465903328416</v>
      </c>
      <c r="IK138" s="207">
        <f t="shared" si="2946"/>
        <v>349.34276875052245</v>
      </c>
      <c r="IL138" s="207">
        <f t="shared" si="2946"/>
        <v>350.06235765620204</v>
      </c>
      <c r="IM138" s="207">
        <f t="shared" si="2946"/>
        <v>350.78342879720896</v>
      </c>
      <c r="IN138" s="207">
        <f t="shared" si="2946"/>
        <v>351.50598522670526</v>
      </c>
      <c r="IO138" s="207">
        <f t="shared" si="2946"/>
        <v>352.23003000414207</v>
      </c>
      <c r="IP138" s="207">
        <f t="shared" si="2946"/>
        <v>352.95556619527241</v>
      </c>
      <c r="IQ138" s="207">
        <f t="shared" si="2946"/>
        <v>353.68259687216431</v>
      </c>
      <c r="IR138" s="207">
        <f t="shared" si="2946"/>
        <v>354.41112511321376</v>
      </c>
      <c r="IS138" s="207">
        <f t="shared" si="2946"/>
        <v>355.14115400315774</v>
      </c>
      <c r="IT138" s="207">
        <f t="shared" si="2946"/>
        <v>355.87268663308726</v>
      </c>
      <c r="IU138" s="207">
        <f t="shared" si="2946"/>
        <v>356.60572610046046</v>
      </c>
      <c r="IV138" s="207">
        <f t="shared" si="2946"/>
        <v>357.34027550911577</v>
      </c>
      <c r="IW138" s="207">
        <f t="shared" si="2946"/>
        <v>358.07633796928502</v>
      </c>
      <c r="IX138" s="207">
        <f t="shared" si="2946"/>
        <v>358.81391659760664</v>
      </c>
      <c r="IY138" s="207">
        <f t="shared" si="2946"/>
        <v>359.55301451713871</v>
      </c>
      <c r="IZ138" s="207">
        <f t="shared" si="2946"/>
        <v>360.29363485737241</v>
      </c>
      <c r="JA138" s="207">
        <f t="shared" si="2946"/>
        <v>361.03578075424508</v>
      </c>
      <c r="JB138" s="207">
        <f t="shared" si="2946"/>
        <v>361.77945535015368</v>
      </c>
      <c r="JC138" s="207">
        <f t="shared" si="2946"/>
        <v>362.52466179396788</v>
      </c>
      <c r="JD138" s="207">
        <f t="shared" si="2946"/>
        <v>363.27140324104357</v>
      </c>
      <c r="JE138" s="207">
        <f t="shared" si="2946"/>
        <v>364.01968285323613</v>
      </c>
      <c r="JF138" s="207">
        <f t="shared" si="2946"/>
        <v>364.76950379891389</v>
      </c>
      <c r="JG138" s="207">
        <f t="shared" si="2946"/>
        <v>365.52086925297141</v>
      </c>
      <c r="JH138" s="207">
        <f t="shared" si="2946"/>
        <v>366.2737823968431</v>
      </c>
      <c r="JI138" s="207">
        <f t="shared" si="2946"/>
        <v>367.02824641851663</v>
      </c>
      <c r="JJ138" s="207">
        <f t="shared" si="2946"/>
        <v>367.78426451254626</v>
      </c>
      <c r="JK138" s="207">
        <f t="shared" si="2946"/>
        <v>368.54183988006662</v>
      </c>
      <c r="JL138" s="207">
        <f t="shared" si="2946"/>
        <v>369.30097572880618</v>
      </c>
      <c r="JM138" s="207">
        <f t="shared" si="2946"/>
        <v>370.06167527310066</v>
      </c>
      <c r="JN138" s="207">
        <f t="shared" si="2946"/>
        <v>370.82394173390696</v>
      </c>
      <c r="JO138" s="207">
        <f t="shared" si="2946"/>
        <v>371.58777833881652</v>
      </c>
      <c r="JP138" s="207">
        <f t="shared" si="2946"/>
        <v>372.35318832206912</v>
      </c>
      <c r="JQ138" s="207">
        <f t="shared" si="2946"/>
        <v>373.12017492456647</v>
      </c>
      <c r="JR138" s="207">
        <f t="shared" si="2946"/>
        <v>373.88874139388616</v>
      </c>
      <c r="JS138" s="207">
        <f t="shared" si="2946"/>
        <v>374.65889098429517</v>
      </c>
      <c r="JT138" s="207">
        <f t="shared" si="2946"/>
        <v>375.43062695676366</v>
      </c>
      <c r="JU138" s="207">
        <f t="shared" si="2946"/>
        <v>376.203952578979</v>
      </c>
      <c r="JV138" s="207">
        <f t="shared" si="2946"/>
        <v>376.97887112535938</v>
      </c>
      <c r="JW138" s="207">
        <f t="shared" si="2946"/>
        <v>377.75538587706774</v>
      </c>
      <c r="JX138" s="207">
        <f t="shared" si="2946"/>
        <v>378.53350012202577</v>
      </c>
      <c r="JY138" s="207">
        <f t="shared" si="2946"/>
        <v>379.31321715492766</v>
      </c>
      <c r="JZ138" s="207">
        <f t="shared" si="2946"/>
        <v>380.09454027725411</v>
      </c>
      <c r="KA138" s="207">
        <f t="shared" si="2946"/>
        <v>380.87747279728643</v>
      </c>
      <c r="KB138" s="207">
        <f t="shared" ref="KB138:KE138" si="2947">KA138+IF(KB$124&gt;0,KA138*((1+INDEX($C$107:$H$107,1,MIN(KB$124,6)))^(1/12)-1))</f>
        <v>381.66201803012035</v>
      </c>
      <c r="KC138" s="207">
        <f t="shared" si="2947"/>
        <v>382.44817929768016</v>
      </c>
      <c r="KD138" s="207">
        <f t="shared" si="2947"/>
        <v>383.23595992873283</v>
      </c>
      <c r="KE138" s="207">
        <f t="shared" si="2947"/>
        <v>384.02536325890202</v>
      </c>
      <c r="KG138" s="199" t="str">
        <f t="shared" si="2932"/>
        <v>General &amp; Administrative</v>
      </c>
      <c r="KH138" s="201"/>
      <c r="KI138" s="221"/>
      <c r="KJ138" s="221"/>
      <c r="KK138" s="221"/>
      <c r="KL138" s="221"/>
      <c r="KM138" s="207">
        <f t="shared" si="2933"/>
        <v>300</v>
      </c>
      <c r="KN138" s="207">
        <f t="shared" ref="KN138:MY138" si="2948">KM138+IF(KN$124&gt;0,KM138*((1+INDEX($C$107:$H$107,1,MIN(KN$124,6)))^(1/12)-1))</f>
        <v>300</v>
      </c>
      <c r="KO138" s="207">
        <f t="shared" si="2948"/>
        <v>300</v>
      </c>
      <c r="KP138" s="207">
        <f t="shared" si="2948"/>
        <v>300</v>
      </c>
      <c r="KQ138" s="207">
        <f t="shared" si="2948"/>
        <v>300</v>
      </c>
      <c r="KR138" s="207">
        <f t="shared" si="2948"/>
        <v>300</v>
      </c>
      <c r="KS138" s="207">
        <f t="shared" si="2948"/>
        <v>300</v>
      </c>
      <c r="KT138" s="207">
        <f t="shared" si="2948"/>
        <v>300</v>
      </c>
      <c r="KU138" s="207">
        <f t="shared" si="2948"/>
        <v>300</v>
      </c>
      <c r="KV138" s="207">
        <f t="shared" si="2948"/>
        <v>300</v>
      </c>
      <c r="KW138" s="207">
        <f t="shared" si="2948"/>
        <v>300</v>
      </c>
      <c r="KX138" s="207">
        <f t="shared" si="2948"/>
        <v>300</v>
      </c>
      <c r="KY138" s="207">
        <f t="shared" si="2948"/>
        <v>300</v>
      </c>
      <c r="KZ138" s="207">
        <f t="shared" si="2948"/>
        <v>300.61795088095283</v>
      </c>
      <c r="LA138" s="207">
        <f t="shared" si="2948"/>
        <v>301.23717463954324</v>
      </c>
      <c r="LB138" s="207">
        <f t="shared" si="2948"/>
        <v>301.85767389769074</v>
      </c>
      <c r="LC138" s="207">
        <f t="shared" si="2948"/>
        <v>302.47945128271556</v>
      </c>
      <c r="LD138" s="207">
        <f t="shared" si="2948"/>
        <v>303.10250942734984</v>
      </c>
      <c r="LE138" s="207">
        <f t="shared" si="2948"/>
        <v>303.72685096974863</v>
      </c>
      <c r="LF138" s="207">
        <f t="shared" si="2948"/>
        <v>304.35247855350121</v>
      </c>
      <c r="LG138" s="207">
        <f t="shared" si="2948"/>
        <v>304.97939482764224</v>
      </c>
      <c r="LH138" s="207">
        <f t="shared" si="2948"/>
        <v>305.6076024466629</v>
      </c>
      <c r="LI138" s="207">
        <f t="shared" si="2948"/>
        <v>306.23710407052221</v>
      </c>
      <c r="LJ138" s="207">
        <f t="shared" si="2948"/>
        <v>306.86790236465828</v>
      </c>
      <c r="LK138" s="207">
        <f t="shared" si="2948"/>
        <v>307.49999999999955</v>
      </c>
      <c r="LL138" s="207">
        <f t="shared" si="2948"/>
        <v>308.13339965297621</v>
      </c>
      <c r="LM138" s="207">
        <f t="shared" si="2948"/>
        <v>308.76810400553137</v>
      </c>
      <c r="LN138" s="207">
        <f t="shared" si="2948"/>
        <v>309.40411574513251</v>
      </c>
      <c r="LO138" s="207">
        <f t="shared" si="2948"/>
        <v>310.04143756478294</v>
      </c>
      <c r="LP138" s="207">
        <f t="shared" si="2948"/>
        <v>310.68007216303306</v>
      </c>
      <c r="LQ138" s="207">
        <f t="shared" si="2948"/>
        <v>311.32002224399184</v>
      </c>
      <c r="LR138" s="207">
        <f t="shared" si="2948"/>
        <v>311.96129051733828</v>
      </c>
      <c r="LS138" s="207">
        <f t="shared" si="2948"/>
        <v>312.60387969833283</v>
      </c>
      <c r="LT138" s="207">
        <f t="shared" si="2948"/>
        <v>313.24779250782899</v>
      </c>
      <c r="LU138" s="207">
        <f t="shared" si="2948"/>
        <v>313.89303167228479</v>
      </c>
      <c r="LV138" s="207">
        <f t="shared" si="2948"/>
        <v>314.53959992377423</v>
      </c>
      <c r="LW138" s="207">
        <f t="shared" si="2948"/>
        <v>315.18749999999903</v>
      </c>
      <c r="LX138" s="207">
        <f t="shared" si="2948"/>
        <v>315.83673464430007</v>
      </c>
      <c r="LY138" s="207">
        <f t="shared" si="2948"/>
        <v>316.48730660566912</v>
      </c>
      <c r="LZ138" s="207">
        <f t="shared" si="2948"/>
        <v>317.13921863876033</v>
      </c>
      <c r="MA138" s="207">
        <f t="shared" si="2948"/>
        <v>317.79247350390204</v>
      </c>
      <c r="MB138" s="207">
        <f t="shared" si="2948"/>
        <v>318.44707396710839</v>
      </c>
      <c r="MC138" s="207">
        <f t="shared" si="2948"/>
        <v>319.10302280009114</v>
      </c>
      <c r="MD138" s="207">
        <f t="shared" si="2948"/>
        <v>319.76032278027122</v>
      </c>
      <c r="ME138" s="207">
        <f t="shared" si="2948"/>
        <v>320.41897669079066</v>
      </c>
      <c r="MF138" s="207">
        <f t="shared" si="2948"/>
        <v>321.07898732052422</v>
      </c>
      <c r="MG138" s="207">
        <f t="shared" si="2948"/>
        <v>321.7403574640914</v>
      </c>
      <c r="MH138" s="207">
        <f t="shared" si="2948"/>
        <v>322.40308992186812</v>
      </c>
      <c r="MI138" s="207">
        <f t="shared" si="2948"/>
        <v>323.06718749999857</v>
      </c>
      <c r="MJ138" s="207">
        <f t="shared" si="2948"/>
        <v>323.73265301040715</v>
      </c>
      <c r="MK138" s="207">
        <f t="shared" si="2948"/>
        <v>324.39948927081042</v>
      </c>
      <c r="ML138" s="207">
        <f t="shared" si="2948"/>
        <v>325.06769910472889</v>
      </c>
      <c r="MM138" s="207">
        <f t="shared" si="2948"/>
        <v>325.73728534149916</v>
      </c>
      <c r="MN138" s="207">
        <f t="shared" si="2948"/>
        <v>326.40825081628572</v>
      </c>
      <c r="MO138" s="207">
        <f t="shared" si="2948"/>
        <v>327.08059837009301</v>
      </c>
      <c r="MP138" s="207">
        <f t="shared" si="2948"/>
        <v>327.7543308497776</v>
      </c>
      <c r="MQ138" s="207">
        <f t="shared" si="2948"/>
        <v>328.42945110805999</v>
      </c>
      <c r="MR138" s="207">
        <f t="shared" si="2948"/>
        <v>329.10596200353694</v>
      </c>
      <c r="MS138" s="207">
        <f t="shared" si="2948"/>
        <v>329.78386640069334</v>
      </c>
      <c r="MT138" s="207">
        <f t="shared" si="2948"/>
        <v>330.46316716991447</v>
      </c>
      <c r="MU138" s="207">
        <f t="shared" si="2948"/>
        <v>331.14386718749819</v>
      </c>
      <c r="MV138" s="207">
        <f t="shared" si="2948"/>
        <v>331.82596933566697</v>
      </c>
      <c r="MW138" s="207">
        <f t="shared" si="2948"/>
        <v>332.5094765025803</v>
      </c>
      <c r="MX138" s="207">
        <f t="shared" si="2948"/>
        <v>333.19439158234673</v>
      </c>
      <c r="MY138" s="207">
        <f t="shared" si="2948"/>
        <v>333.88071747503625</v>
      </c>
      <c r="MZ138" s="207">
        <f t="shared" ref="MZ138:PK138" si="2949">MY138+IF(MZ$124&gt;0,MY138*((1+INDEX($C$107:$H$107,1,MIN(MZ$124,6)))^(1/12)-1))</f>
        <v>334.56845708669243</v>
      </c>
      <c r="NA138" s="207">
        <f t="shared" si="2949"/>
        <v>335.25761332934491</v>
      </c>
      <c r="NB138" s="207">
        <f t="shared" si="2949"/>
        <v>335.94818912102158</v>
      </c>
      <c r="NC138" s="207">
        <f t="shared" si="2949"/>
        <v>336.64018738576107</v>
      </c>
      <c r="ND138" s="207">
        <f t="shared" si="2949"/>
        <v>337.33361105362491</v>
      </c>
      <c r="NE138" s="207">
        <f t="shared" si="2949"/>
        <v>338.02846306071018</v>
      </c>
      <c r="NF138" s="207">
        <f t="shared" si="2949"/>
        <v>338.72474634916182</v>
      </c>
      <c r="NG138" s="207">
        <f t="shared" si="2949"/>
        <v>339.42246386718512</v>
      </c>
      <c r="NH138" s="207">
        <f t="shared" si="2949"/>
        <v>340.12161856905811</v>
      </c>
      <c r="NI138" s="207">
        <f t="shared" si="2949"/>
        <v>340.82221341514429</v>
      </c>
      <c r="NJ138" s="207">
        <f t="shared" si="2949"/>
        <v>341.52425137190488</v>
      </c>
      <c r="NK138" s="207">
        <f t="shared" si="2949"/>
        <v>342.22773541191162</v>
      </c>
      <c r="NL138" s="207">
        <f t="shared" si="2949"/>
        <v>342.9326685138592</v>
      </c>
      <c r="NM138" s="207">
        <f t="shared" si="2949"/>
        <v>343.63905366257802</v>
      </c>
      <c r="NN138" s="207">
        <f t="shared" si="2949"/>
        <v>344.34689384904664</v>
      </c>
      <c r="NO138" s="207">
        <f t="shared" si="2949"/>
        <v>345.05619207040456</v>
      </c>
      <c r="NP138" s="207">
        <f t="shared" si="2949"/>
        <v>345.76695132996502</v>
      </c>
      <c r="NQ138" s="207">
        <f t="shared" si="2949"/>
        <v>346.47917463722746</v>
      </c>
      <c r="NR138" s="207">
        <f t="shared" si="2949"/>
        <v>347.19286500789042</v>
      </c>
      <c r="NS138" s="207">
        <f t="shared" si="2949"/>
        <v>347.90802546386431</v>
      </c>
      <c r="NT138" s="207">
        <f t="shared" si="2949"/>
        <v>348.62465903328416</v>
      </c>
      <c r="NU138" s="207">
        <f t="shared" si="2949"/>
        <v>349.34276875052245</v>
      </c>
      <c r="NV138" s="207">
        <f t="shared" si="2949"/>
        <v>350.06235765620204</v>
      </c>
      <c r="NW138" s="207">
        <f t="shared" si="2949"/>
        <v>350.78342879720896</v>
      </c>
      <c r="NX138" s="207">
        <f t="shared" si="2949"/>
        <v>351.50598522670526</v>
      </c>
      <c r="NY138" s="207">
        <f t="shared" si="2949"/>
        <v>352.23003000414207</v>
      </c>
      <c r="NZ138" s="207">
        <f t="shared" si="2949"/>
        <v>352.95556619527241</v>
      </c>
      <c r="OA138" s="207">
        <f t="shared" si="2949"/>
        <v>353.68259687216431</v>
      </c>
      <c r="OB138" s="207">
        <f t="shared" si="2949"/>
        <v>354.41112511321376</v>
      </c>
      <c r="OC138" s="207">
        <f t="shared" si="2949"/>
        <v>355.14115400315774</v>
      </c>
      <c r="OD138" s="207">
        <f t="shared" si="2949"/>
        <v>355.87268663308726</v>
      </c>
      <c r="OE138" s="207">
        <f t="shared" si="2949"/>
        <v>356.60572610046046</v>
      </c>
      <c r="OF138" s="207">
        <f t="shared" si="2949"/>
        <v>357.34027550911577</v>
      </c>
      <c r="OG138" s="207">
        <f t="shared" si="2949"/>
        <v>358.07633796928502</v>
      </c>
      <c r="OH138" s="207">
        <f t="shared" si="2949"/>
        <v>358.81391659760664</v>
      </c>
      <c r="OI138" s="207">
        <f t="shared" si="2949"/>
        <v>359.55301451713871</v>
      </c>
      <c r="OJ138" s="207">
        <f t="shared" si="2949"/>
        <v>360.29363485737241</v>
      </c>
      <c r="OK138" s="207">
        <f t="shared" si="2949"/>
        <v>361.03578075424508</v>
      </c>
      <c r="OL138" s="207">
        <f t="shared" si="2949"/>
        <v>361.77945535015368</v>
      </c>
      <c r="OM138" s="207">
        <f t="shared" si="2949"/>
        <v>362.52466179396788</v>
      </c>
      <c r="ON138" s="207">
        <f t="shared" si="2949"/>
        <v>363.27140324104357</v>
      </c>
      <c r="OO138" s="207">
        <f t="shared" si="2949"/>
        <v>364.01968285323613</v>
      </c>
      <c r="OP138" s="207">
        <f t="shared" si="2949"/>
        <v>364.76950379891389</v>
      </c>
      <c r="OQ138" s="207">
        <f t="shared" si="2949"/>
        <v>365.52086925297141</v>
      </c>
      <c r="OR138" s="207">
        <f t="shared" si="2949"/>
        <v>366.2737823968431</v>
      </c>
      <c r="OS138" s="207">
        <f t="shared" si="2949"/>
        <v>367.02824641851663</v>
      </c>
      <c r="OT138" s="207">
        <f t="shared" si="2949"/>
        <v>367.78426451254626</v>
      </c>
      <c r="OU138" s="207">
        <f t="shared" si="2949"/>
        <v>368.54183988006662</v>
      </c>
      <c r="OV138" s="207">
        <f t="shared" si="2949"/>
        <v>369.30097572880618</v>
      </c>
      <c r="OW138" s="207">
        <f t="shared" si="2949"/>
        <v>370.06167527310066</v>
      </c>
      <c r="OX138" s="207">
        <f t="shared" si="2949"/>
        <v>370.82394173390696</v>
      </c>
      <c r="OY138" s="207">
        <f t="shared" si="2949"/>
        <v>371.58777833881652</v>
      </c>
      <c r="OZ138" s="207">
        <f t="shared" si="2949"/>
        <v>372.35318832206912</v>
      </c>
      <c r="PA138" s="207">
        <f t="shared" si="2949"/>
        <v>373.12017492456647</v>
      </c>
      <c r="PB138" s="207">
        <f t="shared" si="2949"/>
        <v>373.88874139388616</v>
      </c>
      <c r="PC138" s="207">
        <f t="shared" si="2949"/>
        <v>374.65889098429517</v>
      </c>
      <c r="PD138" s="207">
        <f t="shared" si="2949"/>
        <v>375.43062695676366</v>
      </c>
      <c r="PE138" s="207">
        <f t="shared" si="2949"/>
        <v>376.203952578979</v>
      </c>
      <c r="PF138" s="207">
        <f t="shared" si="2949"/>
        <v>376.97887112535938</v>
      </c>
      <c r="PG138" s="207">
        <f t="shared" si="2949"/>
        <v>377.75538587706774</v>
      </c>
      <c r="PH138" s="207">
        <f t="shared" si="2949"/>
        <v>378.53350012202577</v>
      </c>
      <c r="PI138" s="207">
        <f t="shared" si="2949"/>
        <v>379.31321715492766</v>
      </c>
      <c r="PJ138" s="207">
        <f t="shared" si="2949"/>
        <v>380.09454027725411</v>
      </c>
      <c r="PK138" s="207">
        <f t="shared" si="2949"/>
        <v>380.87747279728643</v>
      </c>
      <c r="PL138" s="207">
        <f t="shared" ref="PL138:PO138" si="2950">PK138+IF(PL$124&gt;0,PK138*((1+INDEX($C$107:$H$107,1,MIN(PL$124,6)))^(1/12)-1))</f>
        <v>381.66201803012035</v>
      </c>
      <c r="PM138" s="207">
        <f t="shared" si="2950"/>
        <v>382.44817929768016</v>
      </c>
      <c r="PN138" s="207">
        <f t="shared" si="2950"/>
        <v>383.23595992873283</v>
      </c>
      <c r="PO138" s="207">
        <f t="shared" si="2950"/>
        <v>384.02536325890202</v>
      </c>
      <c r="PQ138" s="201"/>
      <c r="PR138" s="201"/>
      <c r="PS138" s="201"/>
      <c r="PT138" s="201"/>
      <c r="PU138" s="201"/>
      <c r="PV138" s="201"/>
      <c r="PW138" s="201"/>
      <c r="PX138" s="201"/>
      <c r="PY138" s="201"/>
      <c r="PZ138" s="201"/>
      <c r="QA138" s="201"/>
      <c r="QB138" s="201"/>
      <c r="QC138" s="201"/>
      <c r="QD138" s="201"/>
      <c r="QE138" s="201"/>
      <c r="QF138" s="201"/>
      <c r="QG138" s="201"/>
      <c r="QH138" s="201"/>
      <c r="QI138" s="201"/>
      <c r="QJ138" s="201"/>
      <c r="QK138" s="201"/>
      <c r="QL138" s="201"/>
      <c r="QM138" s="201"/>
      <c r="QN138" s="201"/>
      <c r="QO138" s="201"/>
      <c r="QP138" s="201"/>
      <c r="QQ138" s="201"/>
      <c r="QR138" s="201"/>
      <c r="QS138" s="201"/>
      <c r="QT138" s="201"/>
      <c r="QU138" s="201"/>
      <c r="QV138" s="201"/>
      <c r="QW138" s="201"/>
      <c r="QX138" s="201"/>
      <c r="QY138" s="201"/>
      <c r="QZ138" s="201"/>
      <c r="RA138" s="201"/>
      <c r="RB138" s="201"/>
      <c r="RC138" s="201"/>
      <c r="RD138" s="201"/>
      <c r="RE138" s="201"/>
      <c r="RF138" s="201"/>
      <c r="RG138" s="201"/>
      <c r="RH138" s="201"/>
      <c r="RI138" s="201"/>
      <c r="RJ138" s="201"/>
      <c r="RK138" s="201"/>
      <c r="RL138" s="201"/>
      <c r="RM138" s="201"/>
      <c r="RN138" s="201"/>
      <c r="RO138" s="201"/>
      <c r="RP138" s="201"/>
      <c r="RQ138" s="201"/>
      <c r="RR138" s="201"/>
      <c r="RS138" s="201"/>
      <c r="RT138" s="201"/>
      <c r="RU138" s="201"/>
      <c r="RV138" s="201"/>
      <c r="RW138" s="201"/>
      <c r="RX138" s="201"/>
      <c r="RY138" s="201"/>
      <c r="RZ138" s="201"/>
      <c r="SA138" s="201"/>
      <c r="SB138" s="201"/>
      <c r="SC138" s="201"/>
      <c r="SD138" s="201"/>
      <c r="SE138" s="201"/>
      <c r="SF138" s="201"/>
      <c r="SG138" s="201"/>
      <c r="SH138" s="201"/>
      <c r="SI138" s="201"/>
      <c r="SJ138" s="201"/>
      <c r="SK138" s="201"/>
      <c r="SL138" s="201"/>
      <c r="SM138" s="201"/>
      <c r="SN138" s="201"/>
      <c r="SO138" s="201"/>
      <c r="SP138" s="201"/>
      <c r="SQ138" s="201"/>
      <c r="SR138" s="201"/>
      <c r="SS138" s="201"/>
      <c r="ST138" s="201"/>
      <c r="SU138" s="201"/>
      <c r="SV138" s="201"/>
      <c r="SW138" s="201"/>
      <c r="SX138" s="201"/>
      <c r="SY138" s="201"/>
      <c r="SZ138" s="201"/>
      <c r="TA138" s="201"/>
      <c r="TB138" s="201"/>
      <c r="TC138" s="201"/>
      <c r="TD138" s="201"/>
      <c r="TE138" s="201"/>
      <c r="TF138" s="201"/>
      <c r="TG138" s="201"/>
      <c r="TH138" s="201"/>
      <c r="TI138" s="201"/>
      <c r="TJ138" s="201"/>
      <c r="TK138" s="201"/>
      <c r="TL138" s="201"/>
      <c r="TM138" s="201"/>
      <c r="TN138" s="201"/>
      <c r="TO138" s="201"/>
      <c r="TP138" s="201"/>
      <c r="TQ138" s="201"/>
      <c r="TR138" s="201"/>
      <c r="TS138" s="201"/>
      <c r="TT138" s="201"/>
      <c r="TU138" s="201"/>
      <c r="TV138" s="201"/>
      <c r="TW138" s="201"/>
      <c r="TX138" s="201"/>
      <c r="TY138" s="201"/>
      <c r="TZ138" s="201"/>
      <c r="UA138" s="201"/>
      <c r="UB138" s="201"/>
      <c r="UC138" s="201"/>
      <c r="UD138" s="201"/>
      <c r="UE138" s="201"/>
      <c r="UF138" s="201"/>
      <c r="UG138" s="201"/>
      <c r="UH138" s="201"/>
      <c r="UI138" s="201"/>
      <c r="UJ138" s="201"/>
      <c r="UK138" s="201"/>
      <c r="UL138" s="201"/>
      <c r="UM138" s="201"/>
      <c r="UN138" s="201"/>
      <c r="UO138" s="201"/>
      <c r="UP138" s="201"/>
      <c r="UQ138" s="201"/>
      <c r="UR138" s="201"/>
      <c r="US138" s="201"/>
      <c r="UT138" s="201"/>
      <c r="UU138" s="201"/>
    </row>
    <row r="139" spans="1:567" x14ac:dyDescent="0.25">
      <c r="B139" s="44" t="s">
        <v>148</v>
      </c>
      <c r="C139" s="26"/>
      <c r="D139" s="26"/>
      <c r="E139" s="104"/>
      <c r="F139" s="131" t="str">
        <f t="shared" si="2911"/>
        <v>Units/Year</v>
      </c>
      <c r="G139" s="584">
        <v>250</v>
      </c>
      <c r="H139" s="131" t="str">
        <f t="shared" si="2912"/>
        <v>Units/Year</v>
      </c>
      <c r="I139" s="584">
        <v>250</v>
      </c>
      <c r="J139" s="149">
        <f t="shared" si="2937"/>
        <v>75000</v>
      </c>
      <c r="K139" s="149">
        <f t="shared" si="2938"/>
        <v>75000</v>
      </c>
      <c r="M139" s="3" t="s">
        <v>849</v>
      </c>
      <c r="T139" s="92">
        <f t="shared" si="2913"/>
        <v>6250</v>
      </c>
      <c r="U139" s="92">
        <f t="shared" si="2913"/>
        <v>6250</v>
      </c>
      <c r="V139" s="92">
        <f t="shared" si="2913"/>
        <v>6250</v>
      </c>
      <c r="W139" s="92">
        <f t="shared" si="2913"/>
        <v>6250</v>
      </c>
      <c r="X139" s="92">
        <f t="shared" si="2913"/>
        <v>6250</v>
      </c>
      <c r="Y139" s="92">
        <f t="shared" si="2913"/>
        <v>6250</v>
      </c>
      <c r="Z139" s="92">
        <f t="shared" si="2913"/>
        <v>6250</v>
      </c>
      <c r="AA139" s="92">
        <f t="shared" si="2913"/>
        <v>6250</v>
      </c>
      <c r="AB139" s="92">
        <f t="shared" si="2913"/>
        <v>6250</v>
      </c>
      <c r="AC139" s="92">
        <f t="shared" si="2913"/>
        <v>6250</v>
      </c>
      <c r="AD139" s="92">
        <f t="shared" si="2914"/>
        <v>6250</v>
      </c>
      <c r="AE139" s="92">
        <f t="shared" si="2914"/>
        <v>6250</v>
      </c>
      <c r="AF139" s="92">
        <f t="shared" si="2914"/>
        <v>6262.8739766865174</v>
      </c>
      <c r="AG139" s="92">
        <f t="shared" si="2914"/>
        <v>6275.7744716571506</v>
      </c>
      <c r="AH139" s="92">
        <f t="shared" si="2914"/>
        <v>6288.7015395352237</v>
      </c>
      <c r="AI139" s="92">
        <f t="shared" si="2914"/>
        <v>6301.6552350565735</v>
      </c>
      <c r="AJ139" s="92">
        <f t="shared" si="2914"/>
        <v>6314.6356130697868</v>
      </c>
      <c r="AK139" s="92">
        <f t="shared" si="2914"/>
        <v>6327.6427285364289</v>
      </c>
      <c r="AL139" s="92">
        <f t="shared" si="2914"/>
        <v>6340.6766365312751</v>
      </c>
      <c r="AM139" s="92">
        <f t="shared" si="2914"/>
        <v>6353.7373922425468</v>
      </c>
      <c r="AN139" s="92">
        <f t="shared" si="2915"/>
        <v>6366.8250509721438</v>
      </c>
      <c r="AO139" s="92">
        <f t="shared" si="2915"/>
        <v>6379.9396681358785</v>
      </c>
      <c r="AP139" s="92">
        <f t="shared" si="2915"/>
        <v>6393.0812992637148</v>
      </c>
      <c r="AQ139" s="92">
        <f t="shared" si="2915"/>
        <v>6406.2499999999918</v>
      </c>
      <c r="AR139" s="92">
        <f t="shared" si="2915"/>
        <v>6419.4458261036716</v>
      </c>
      <c r="AS139" s="92">
        <f t="shared" si="2915"/>
        <v>6432.6688334485707</v>
      </c>
      <c r="AT139" s="92">
        <f t="shared" si="2915"/>
        <v>6445.9190780235958</v>
      </c>
      <c r="AU139" s="92">
        <f t="shared" si="2915"/>
        <v>6459.1966159329795</v>
      </c>
      <c r="AV139" s="92">
        <f t="shared" si="2915"/>
        <v>6472.5015033965246</v>
      </c>
      <c r="AW139" s="92">
        <f t="shared" si="2915"/>
        <v>6485.8337967498328</v>
      </c>
      <c r="AX139" s="92">
        <f t="shared" si="2916"/>
        <v>6499.1935524445498</v>
      </c>
      <c r="AY139" s="92">
        <f t="shared" si="2916"/>
        <v>6512.5808270486041</v>
      </c>
      <c r="AZ139" s="92">
        <f t="shared" si="2916"/>
        <v>6525.9956772464402</v>
      </c>
      <c r="BA139" s="92">
        <f t="shared" si="2916"/>
        <v>6539.4381598392692</v>
      </c>
      <c r="BB139" s="92">
        <f t="shared" si="2916"/>
        <v>6552.9083317453005</v>
      </c>
      <c r="BC139" s="92">
        <f t="shared" si="2916"/>
        <v>6566.4062499999845</v>
      </c>
      <c r="BD139" s="92">
        <f t="shared" si="2916"/>
        <v>6579.9319717562566</v>
      </c>
      <c r="BE139" s="92">
        <f t="shared" si="2916"/>
        <v>6593.485554284779</v>
      </c>
      <c r="BF139" s="92">
        <f t="shared" si="2916"/>
        <v>6607.0670549741799</v>
      </c>
      <c r="BG139" s="92">
        <f t="shared" si="2916"/>
        <v>6620.6765313312981</v>
      </c>
      <c r="BH139" s="92">
        <f t="shared" si="2917"/>
        <v>6634.3140409814305</v>
      </c>
      <c r="BI139" s="92">
        <f t="shared" si="2917"/>
        <v>6647.9796416685713</v>
      </c>
      <c r="BJ139" s="92">
        <f t="shared" si="2917"/>
        <v>6661.6733912556565</v>
      </c>
      <c r="BK139" s="92">
        <f t="shared" si="2917"/>
        <v>6675.3953477248115</v>
      </c>
      <c r="BL139" s="92">
        <f t="shared" si="2917"/>
        <v>6689.1455691775946</v>
      </c>
      <c r="BM139" s="92">
        <f t="shared" si="2917"/>
        <v>6702.9241138352445</v>
      </c>
      <c r="BN139" s="92">
        <f t="shared" si="2917"/>
        <v>6716.7310400389251</v>
      </c>
      <c r="BO139" s="92">
        <f t="shared" si="2917"/>
        <v>6730.5664062499754</v>
      </c>
      <c r="BP139" s="92">
        <f t="shared" si="2917"/>
        <v>6744.4302710501543</v>
      </c>
      <c r="BQ139" s="92">
        <f t="shared" si="2917"/>
        <v>6758.3226931418894</v>
      </c>
      <c r="BR139" s="92">
        <f t="shared" si="2918"/>
        <v>6772.2437313485243</v>
      </c>
      <c r="BS139" s="92">
        <f t="shared" si="2918"/>
        <v>6786.1934446145715</v>
      </c>
      <c r="BT139" s="92">
        <f t="shared" si="2918"/>
        <v>6800.1718920059575</v>
      </c>
      <c r="BU139" s="92">
        <f t="shared" si="2918"/>
        <v>6814.1791327102765</v>
      </c>
      <c r="BV139" s="92">
        <f t="shared" si="2918"/>
        <v>6828.2152260370385</v>
      </c>
      <c r="BW139" s="92">
        <f t="shared" si="2918"/>
        <v>6842.2802314179216</v>
      </c>
      <c r="BX139" s="92">
        <f t="shared" si="2918"/>
        <v>6856.3742084070245</v>
      </c>
      <c r="BY139" s="92">
        <f t="shared" si="2918"/>
        <v>6870.497216681114</v>
      </c>
      <c r="BZ139" s="92">
        <f t="shared" si="2918"/>
        <v>6884.6493160398886</v>
      </c>
      <c r="CA139" s="92">
        <f t="shared" si="2918"/>
        <v>6898.8305664062145</v>
      </c>
      <c r="CB139" s="92">
        <f t="shared" si="2919"/>
        <v>6913.041027826398</v>
      </c>
      <c r="CC139" s="92">
        <f t="shared" si="2919"/>
        <v>6927.2807604704258</v>
      </c>
      <c r="CD139" s="92">
        <f t="shared" si="2919"/>
        <v>6941.549824632225</v>
      </c>
      <c r="CE139" s="92">
        <f t="shared" si="2919"/>
        <v>6955.8482807299251</v>
      </c>
      <c r="CF139" s="92">
        <f t="shared" si="2919"/>
        <v>6970.1761893060948</v>
      </c>
      <c r="CG139" s="92">
        <f t="shared" si="2919"/>
        <v>6984.5336110280214</v>
      </c>
      <c r="CH139" s="92">
        <f t="shared" si="2919"/>
        <v>6998.9206066879533</v>
      </c>
      <c r="CI139" s="92">
        <f t="shared" si="2919"/>
        <v>7013.3372372033591</v>
      </c>
      <c r="CJ139" s="92">
        <f t="shared" si="2919"/>
        <v>7027.7835636171885</v>
      </c>
      <c r="CK139" s="92">
        <f t="shared" si="2919"/>
        <v>7042.2596470981325</v>
      </c>
      <c r="CL139" s="92">
        <f t="shared" si="2920"/>
        <v>7056.7655489408753</v>
      </c>
      <c r="CM139" s="92">
        <f t="shared" si="2920"/>
        <v>7071.3013305663617</v>
      </c>
      <c r="CN139" s="92">
        <f t="shared" si="2920"/>
        <v>7085.8670535220481</v>
      </c>
      <c r="CO139" s="92">
        <f t="shared" si="2920"/>
        <v>7100.4627794821763</v>
      </c>
      <c r="CP139" s="92">
        <f t="shared" si="2920"/>
        <v>7115.0885702480227</v>
      </c>
      <c r="CQ139" s="92">
        <f t="shared" si="2920"/>
        <v>7129.7444877481621</v>
      </c>
      <c r="CR139" s="92">
        <f t="shared" si="2920"/>
        <v>7144.4305940387385</v>
      </c>
      <c r="CS139" s="92">
        <f t="shared" si="2920"/>
        <v>7159.1469513037127</v>
      </c>
      <c r="CT139" s="92">
        <f t="shared" si="2920"/>
        <v>7173.8936218551416</v>
      </c>
      <c r="CU139" s="92">
        <f t="shared" si="2920"/>
        <v>7188.6706681334317</v>
      </c>
      <c r="CV139" s="92">
        <f t="shared" si="2921"/>
        <v>7203.4781527076075</v>
      </c>
      <c r="CW139" s="92">
        <f t="shared" si="2921"/>
        <v>7218.3161382755743</v>
      </c>
      <c r="CX139" s="92">
        <f t="shared" si="2921"/>
        <v>7233.1846876643858</v>
      </c>
      <c r="CY139" s="92">
        <f t="shared" si="2921"/>
        <v>7248.0838638305067</v>
      </c>
      <c r="CZ139" s="92">
        <f t="shared" si="2921"/>
        <v>7263.0137298600866</v>
      </c>
      <c r="DA139" s="92">
        <f t="shared" si="2921"/>
        <v>7277.9743489692191</v>
      </c>
      <c r="DB139" s="92">
        <f t="shared" si="2921"/>
        <v>7292.965784504212</v>
      </c>
      <c r="DC139" s="92">
        <f t="shared" si="2921"/>
        <v>7307.9880999418556</v>
      </c>
      <c r="DD139" s="92">
        <f t="shared" si="2921"/>
        <v>7323.0413588896945</v>
      </c>
      <c r="DE139" s="92">
        <f t="shared" si="2921"/>
        <v>7338.1256250862934</v>
      </c>
      <c r="DF139" s="92">
        <f t="shared" si="2922"/>
        <v>7353.240962401509</v>
      </c>
      <c r="DG139" s="92">
        <f t="shared" si="2922"/>
        <v>7368.3874348367572</v>
      </c>
      <c r="DH139" s="92">
        <f t="shared" si="2922"/>
        <v>7383.5651065252869</v>
      </c>
      <c r="DI139" s="92">
        <f t="shared" si="2922"/>
        <v>7398.774041732453</v>
      </c>
      <c r="DJ139" s="92">
        <f t="shared" si="2922"/>
        <v>7414.0143048559848</v>
      </c>
      <c r="DK139" s="92">
        <f t="shared" si="2922"/>
        <v>7429.2859604262603</v>
      </c>
      <c r="DL139" s="92">
        <f t="shared" si="2922"/>
        <v>7444.5890731065801</v>
      </c>
      <c r="DM139" s="92">
        <f t="shared" si="2922"/>
        <v>7459.9237076934405</v>
      </c>
      <c r="DN139" s="92">
        <f t="shared" si="2922"/>
        <v>7475.2899291168069</v>
      </c>
      <c r="DO139" s="92">
        <f t="shared" si="2922"/>
        <v>7490.6878024403914</v>
      </c>
      <c r="DP139" s="92">
        <f t="shared" si="2923"/>
        <v>7506.1173928619273</v>
      </c>
      <c r="DQ139" s="92">
        <f t="shared" si="2923"/>
        <v>7521.5787657134415</v>
      </c>
      <c r="DR139" s="92">
        <f t="shared" si="2923"/>
        <v>7537.0719864615376</v>
      </c>
      <c r="DS139" s="92">
        <f t="shared" si="2923"/>
        <v>7552.5971207076664</v>
      </c>
      <c r="DT139" s="92">
        <f t="shared" si="2923"/>
        <v>7568.1542341884096</v>
      </c>
      <c r="DU139" s="92">
        <f t="shared" si="2923"/>
        <v>7583.7433927757547</v>
      </c>
      <c r="DV139" s="92">
        <f t="shared" si="2923"/>
        <v>7599.3646624773746</v>
      </c>
      <c r="DW139" s="92">
        <f t="shared" si="2923"/>
        <v>7615.0181094369063</v>
      </c>
      <c r="DX139" s="92">
        <f t="shared" si="2923"/>
        <v>7630.7037999342328</v>
      </c>
      <c r="DY139" s="92">
        <f t="shared" si="2923"/>
        <v>7646.4218003857641</v>
      </c>
      <c r="DZ139" s="92">
        <f t="shared" si="2924"/>
        <v>7662.1721773447143</v>
      </c>
      <c r="EA139" s="92">
        <f t="shared" si="2924"/>
        <v>7677.9549975013897</v>
      </c>
      <c r="EB139" s="92">
        <f t="shared" si="2924"/>
        <v>7693.7703276834627</v>
      </c>
      <c r="EC139" s="92">
        <f t="shared" si="2924"/>
        <v>7709.6182348562652</v>
      </c>
      <c r="ED139" s="92">
        <f t="shared" si="2924"/>
        <v>7725.4987861230629</v>
      </c>
      <c r="EE139" s="92">
        <f t="shared" si="2924"/>
        <v>7741.4120487253458</v>
      </c>
      <c r="EF139" s="92">
        <f t="shared" si="2924"/>
        <v>7757.3580900431079</v>
      </c>
      <c r="EG139" s="92">
        <f t="shared" si="2924"/>
        <v>7773.3369775951369</v>
      </c>
      <c r="EH139" s="92">
        <f t="shared" si="2924"/>
        <v>7789.3487790392983</v>
      </c>
      <c r="EI139" s="92">
        <f t="shared" si="2924"/>
        <v>7805.3935621728187</v>
      </c>
      <c r="EJ139" s="92">
        <f t="shared" si="2925"/>
        <v>7821.4713949325806</v>
      </c>
      <c r="EK139" s="92">
        <f t="shared" si="2925"/>
        <v>7837.5823453953999</v>
      </c>
      <c r="EL139" s="92">
        <f t="shared" si="2925"/>
        <v>7853.7264817783243</v>
      </c>
      <c r="EM139" s="92">
        <f t="shared" si="2925"/>
        <v>7869.9038724389147</v>
      </c>
      <c r="EN139" s="92">
        <f t="shared" si="2925"/>
        <v>7886.1145858755408</v>
      </c>
      <c r="EO139" s="92">
        <f t="shared" si="2925"/>
        <v>7902.3586907276622</v>
      </c>
      <c r="EP139" s="92">
        <f t="shared" si="2925"/>
        <v>7918.6362557761304</v>
      </c>
      <c r="EQ139" s="92">
        <f t="shared" si="2925"/>
        <v>7934.9473499434689</v>
      </c>
      <c r="ER139" s="92">
        <f t="shared" si="2925"/>
        <v>7951.2920422941761</v>
      </c>
      <c r="ES139" s="92">
        <f t="shared" si="2925"/>
        <v>7967.6704020350053</v>
      </c>
      <c r="ET139" s="92">
        <f t="shared" si="2926"/>
        <v>7984.0824985152713</v>
      </c>
      <c r="EU139" s="92">
        <f t="shared" si="2926"/>
        <v>8000.5284012271295</v>
      </c>
      <c r="EW139" s="199" t="str">
        <f t="shared" si="2927"/>
        <v>Marketing</v>
      </c>
      <c r="EX139" s="201"/>
      <c r="EY139" s="221"/>
      <c r="EZ139" s="221"/>
      <c r="FA139" s="221"/>
      <c r="FB139" s="221"/>
      <c r="FC139" s="207">
        <f t="shared" si="2928"/>
        <v>250</v>
      </c>
      <c r="FD139" s="207">
        <f t="shared" ref="FD139:HO139" si="2951">FC139+IF(FD$124&gt;0,FC139*((1+INDEX($C$107:$H$107,1,MIN(FD$124,6)))^(1/12)-1))</f>
        <v>250</v>
      </c>
      <c r="FE139" s="207">
        <f t="shared" si="2951"/>
        <v>250</v>
      </c>
      <c r="FF139" s="207">
        <f t="shared" si="2951"/>
        <v>250</v>
      </c>
      <c r="FG139" s="207">
        <f t="shared" si="2951"/>
        <v>250</v>
      </c>
      <c r="FH139" s="207">
        <f t="shared" si="2951"/>
        <v>250</v>
      </c>
      <c r="FI139" s="207">
        <f t="shared" si="2951"/>
        <v>250</v>
      </c>
      <c r="FJ139" s="207">
        <f t="shared" si="2951"/>
        <v>250</v>
      </c>
      <c r="FK139" s="207">
        <f t="shared" si="2951"/>
        <v>250</v>
      </c>
      <c r="FL139" s="207">
        <f t="shared" si="2951"/>
        <v>250</v>
      </c>
      <c r="FM139" s="207">
        <f t="shared" si="2951"/>
        <v>250</v>
      </c>
      <c r="FN139" s="207">
        <f t="shared" si="2951"/>
        <v>250</v>
      </c>
      <c r="FO139" s="207">
        <f t="shared" si="2951"/>
        <v>250</v>
      </c>
      <c r="FP139" s="207">
        <f t="shared" si="2951"/>
        <v>250.51495906746069</v>
      </c>
      <c r="FQ139" s="207">
        <f t="shared" si="2951"/>
        <v>251.03097886628601</v>
      </c>
      <c r="FR139" s="207">
        <f t="shared" si="2951"/>
        <v>251.54806158140892</v>
      </c>
      <c r="FS139" s="207">
        <f t="shared" si="2951"/>
        <v>252.06620940226293</v>
      </c>
      <c r="FT139" s="207">
        <f t="shared" si="2951"/>
        <v>252.58542452279147</v>
      </c>
      <c r="FU139" s="207">
        <f t="shared" si="2951"/>
        <v>253.10570914145714</v>
      </c>
      <c r="FV139" s="207">
        <f t="shared" si="2951"/>
        <v>253.62706546125099</v>
      </c>
      <c r="FW139" s="207">
        <f t="shared" si="2951"/>
        <v>254.14949568970187</v>
      </c>
      <c r="FX139" s="207">
        <f t="shared" si="2951"/>
        <v>254.67300203888576</v>
      </c>
      <c r="FY139" s="207">
        <f t="shared" si="2951"/>
        <v>255.19758672543517</v>
      </c>
      <c r="FZ139" s="207">
        <f t="shared" si="2951"/>
        <v>255.72325197054857</v>
      </c>
      <c r="GA139" s="207">
        <f t="shared" si="2951"/>
        <v>256.24999999999966</v>
      </c>
      <c r="GB139" s="207">
        <f t="shared" si="2951"/>
        <v>256.77783304414686</v>
      </c>
      <c r="GC139" s="207">
        <f t="shared" si="2951"/>
        <v>257.30675333794284</v>
      </c>
      <c r="GD139" s="207">
        <f t="shared" si="2951"/>
        <v>257.83676312094383</v>
      </c>
      <c r="GE139" s="207">
        <f t="shared" si="2951"/>
        <v>258.3678646373192</v>
      </c>
      <c r="GF139" s="207">
        <f t="shared" si="2951"/>
        <v>258.900060135861</v>
      </c>
      <c r="GG139" s="207">
        <f t="shared" si="2951"/>
        <v>259.43335186999332</v>
      </c>
      <c r="GH139" s="207">
        <f t="shared" si="2951"/>
        <v>259.96774209778198</v>
      </c>
      <c r="GI139" s="207">
        <f t="shared" si="2951"/>
        <v>260.50323308194413</v>
      </c>
      <c r="GJ139" s="207">
        <f t="shared" si="2951"/>
        <v>261.03982708985762</v>
      </c>
      <c r="GK139" s="207">
        <f t="shared" si="2951"/>
        <v>261.57752639357079</v>
      </c>
      <c r="GL139" s="207">
        <f t="shared" si="2951"/>
        <v>262.116333269812</v>
      </c>
      <c r="GM139" s="207">
        <f t="shared" si="2951"/>
        <v>262.65624999999937</v>
      </c>
      <c r="GN139" s="207">
        <f t="shared" si="2951"/>
        <v>263.19727887025027</v>
      </c>
      <c r="GO139" s="207">
        <f t="shared" si="2951"/>
        <v>263.73942217139114</v>
      </c>
      <c r="GP139" s="207">
        <f t="shared" si="2951"/>
        <v>264.28268219896717</v>
      </c>
      <c r="GQ139" s="207">
        <f t="shared" si="2951"/>
        <v>264.82706125325194</v>
      </c>
      <c r="GR139" s="207">
        <f t="shared" si="2951"/>
        <v>265.37256163925724</v>
      </c>
      <c r="GS139" s="207">
        <f t="shared" si="2951"/>
        <v>265.91918566674286</v>
      </c>
      <c r="GT139" s="207">
        <f t="shared" si="2951"/>
        <v>266.46693565022628</v>
      </c>
      <c r="GU139" s="207">
        <f t="shared" si="2951"/>
        <v>267.01581390899247</v>
      </c>
      <c r="GV139" s="207">
        <f t="shared" si="2951"/>
        <v>267.56582276710378</v>
      </c>
      <c r="GW139" s="207">
        <f t="shared" si="2951"/>
        <v>268.11696455340979</v>
      </c>
      <c r="GX139" s="207">
        <f t="shared" si="2951"/>
        <v>268.66924160155702</v>
      </c>
      <c r="GY139" s="207">
        <f t="shared" si="2951"/>
        <v>269.22265624999903</v>
      </c>
      <c r="GZ139" s="207">
        <f t="shared" si="2951"/>
        <v>269.77721084200618</v>
      </c>
      <c r="HA139" s="207">
        <f t="shared" si="2951"/>
        <v>270.33290772567557</v>
      </c>
      <c r="HB139" s="207">
        <f t="shared" si="2951"/>
        <v>270.88974925394098</v>
      </c>
      <c r="HC139" s="207">
        <f t="shared" si="2951"/>
        <v>271.44773778458284</v>
      </c>
      <c r="HD139" s="207">
        <f t="shared" si="2951"/>
        <v>272.00687568023829</v>
      </c>
      <c r="HE139" s="207">
        <f t="shared" si="2951"/>
        <v>272.56716530841106</v>
      </c>
      <c r="HF139" s="207">
        <f t="shared" si="2951"/>
        <v>273.12860904148152</v>
      </c>
      <c r="HG139" s="207">
        <f t="shared" si="2951"/>
        <v>273.69120925671689</v>
      </c>
      <c r="HH139" s="207">
        <f t="shared" si="2951"/>
        <v>274.25496833628097</v>
      </c>
      <c r="HI139" s="207">
        <f t="shared" si="2951"/>
        <v>274.81988866724458</v>
      </c>
      <c r="HJ139" s="207">
        <f t="shared" si="2951"/>
        <v>275.38597264159552</v>
      </c>
      <c r="HK139" s="207">
        <f t="shared" si="2951"/>
        <v>275.95322265624861</v>
      </c>
      <c r="HL139" s="207">
        <f t="shared" si="2951"/>
        <v>276.52164111305592</v>
      </c>
      <c r="HM139" s="207">
        <f t="shared" si="2951"/>
        <v>277.09123041881702</v>
      </c>
      <c r="HN139" s="207">
        <f t="shared" si="2951"/>
        <v>277.66199298528903</v>
      </c>
      <c r="HO139" s="207">
        <f t="shared" si="2951"/>
        <v>278.23393122919697</v>
      </c>
      <c r="HP139" s="207">
        <f t="shared" ref="HP139:KA139" si="2952">HO139+IF(HP$124&gt;0,HO139*((1+INDEX($C$107:$H$107,1,MIN(HP$124,6)))^(1/12)-1))</f>
        <v>278.80704757224379</v>
      </c>
      <c r="HQ139" s="207">
        <f t="shared" si="2952"/>
        <v>279.38134444112086</v>
      </c>
      <c r="HR139" s="207">
        <f t="shared" si="2952"/>
        <v>279.95682426751813</v>
      </c>
      <c r="HS139" s="207">
        <f t="shared" si="2952"/>
        <v>280.53348948813436</v>
      </c>
      <c r="HT139" s="207">
        <f t="shared" si="2952"/>
        <v>281.11134254468755</v>
      </c>
      <c r="HU139" s="207">
        <f t="shared" si="2952"/>
        <v>281.69038588392527</v>
      </c>
      <c r="HV139" s="207">
        <f t="shared" si="2952"/>
        <v>282.270621957635</v>
      </c>
      <c r="HW139" s="207">
        <f t="shared" si="2952"/>
        <v>282.85205322265443</v>
      </c>
      <c r="HX139" s="207">
        <f t="shared" si="2952"/>
        <v>283.43468214088193</v>
      </c>
      <c r="HY139" s="207">
        <f t="shared" si="2952"/>
        <v>284.01851117928709</v>
      </c>
      <c r="HZ139" s="207">
        <f t="shared" si="2952"/>
        <v>284.6035428099209</v>
      </c>
      <c r="IA139" s="207">
        <f t="shared" si="2952"/>
        <v>285.1897795099265</v>
      </c>
      <c r="IB139" s="207">
        <f t="shared" si="2952"/>
        <v>285.77722376154952</v>
      </c>
      <c r="IC139" s="207">
        <f t="shared" si="2952"/>
        <v>286.3658780521485</v>
      </c>
      <c r="ID139" s="207">
        <f t="shared" si="2952"/>
        <v>286.95574487420566</v>
      </c>
      <c r="IE139" s="207">
        <f t="shared" si="2952"/>
        <v>287.54682672533727</v>
      </c>
      <c r="IF139" s="207">
        <f t="shared" si="2952"/>
        <v>288.13912610830431</v>
      </c>
      <c r="IG139" s="207">
        <f t="shared" si="2952"/>
        <v>288.73264553102297</v>
      </c>
      <c r="IH139" s="207">
        <f t="shared" si="2952"/>
        <v>289.32738750657541</v>
      </c>
      <c r="II139" s="207">
        <f t="shared" si="2952"/>
        <v>289.92335455322029</v>
      </c>
      <c r="IJ139" s="207">
        <f t="shared" si="2952"/>
        <v>290.52054919440349</v>
      </c>
      <c r="IK139" s="207">
        <f t="shared" si="2952"/>
        <v>291.11897395876878</v>
      </c>
      <c r="IL139" s="207">
        <f t="shared" si="2952"/>
        <v>291.71863138016846</v>
      </c>
      <c r="IM139" s="207">
        <f t="shared" si="2952"/>
        <v>292.3195239976742</v>
      </c>
      <c r="IN139" s="207">
        <f t="shared" si="2952"/>
        <v>292.92165435558775</v>
      </c>
      <c r="IO139" s="207">
        <f t="shared" si="2952"/>
        <v>293.52502500345173</v>
      </c>
      <c r="IP139" s="207">
        <f t="shared" si="2952"/>
        <v>294.12963849606035</v>
      </c>
      <c r="IQ139" s="207">
        <f t="shared" si="2952"/>
        <v>294.73549739347027</v>
      </c>
      <c r="IR139" s="207">
        <f t="shared" si="2952"/>
        <v>295.3426042610115</v>
      </c>
      <c r="IS139" s="207">
        <f t="shared" si="2952"/>
        <v>295.95096166929812</v>
      </c>
      <c r="IT139" s="207">
        <f t="shared" si="2952"/>
        <v>296.5605721942394</v>
      </c>
      <c r="IU139" s="207">
        <f t="shared" si="2952"/>
        <v>297.17143841705041</v>
      </c>
      <c r="IV139" s="207">
        <f t="shared" si="2952"/>
        <v>297.78356292426321</v>
      </c>
      <c r="IW139" s="207">
        <f t="shared" si="2952"/>
        <v>298.3969483077376</v>
      </c>
      <c r="IX139" s="207">
        <f t="shared" si="2952"/>
        <v>299.01159716467225</v>
      </c>
      <c r="IY139" s="207">
        <f t="shared" si="2952"/>
        <v>299.62751209761564</v>
      </c>
      <c r="IZ139" s="207">
        <f t="shared" si="2952"/>
        <v>300.24469571447707</v>
      </c>
      <c r="JA139" s="207">
        <f t="shared" si="2952"/>
        <v>300.86315062853765</v>
      </c>
      <c r="JB139" s="207">
        <f t="shared" si="2952"/>
        <v>301.48287945846147</v>
      </c>
      <c r="JC139" s="207">
        <f t="shared" si="2952"/>
        <v>302.10388482830666</v>
      </c>
      <c r="JD139" s="207">
        <f t="shared" si="2952"/>
        <v>302.72616936753639</v>
      </c>
      <c r="JE139" s="207">
        <f t="shared" si="2952"/>
        <v>303.34973571103018</v>
      </c>
      <c r="JF139" s="207">
        <f t="shared" si="2952"/>
        <v>303.97458649909498</v>
      </c>
      <c r="JG139" s="207">
        <f t="shared" si="2952"/>
        <v>304.60072437747624</v>
      </c>
      <c r="JH139" s="207">
        <f t="shared" si="2952"/>
        <v>305.22815199736931</v>
      </c>
      <c r="JI139" s="207">
        <f t="shared" si="2952"/>
        <v>305.85687201543055</v>
      </c>
      <c r="JJ139" s="207">
        <f t="shared" si="2952"/>
        <v>306.4868870937886</v>
      </c>
      <c r="JK139" s="207">
        <f t="shared" si="2952"/>
        <v>307.11819990005557</v>
      </c>
      <c r="JL139" s="207">
        <f t="shared" si="2952"/>
        <v>307.7508131073385</v>
      </c>
      <c r="JM139" s="207">
        <f t="shared" si="2952"/>
        <v>308.3847293942506</v>
      </c>
      <c r="JN139" s="207">
        <f t="shared" si="2952"/>
        <v>309.01995144492253</v>
      </c>
      <c r="JO139" s="207">
        <f t="shared" si="2952"/>
        <v>309.65648194901382</v>
      </c>
      <c r="JP139" s="207">
        <f t="shared" si="2952"/>
        <v>310.29432360172433</v>
      </c>
      <c r="JQ139" s="207">
        <f t="shared" si="2952"/>
        <v>310.9334791038055</v>
      </c>
      <c r="JR139" s="207">
        <f t="shared" si="2952"/>
        <v>311.57395116157193</v>
      </c>
      <c r="JS139" s="207">
        <f t="shared" si="2952"/>
        <v>312.21574248691275</v>
      </c>
      <c r="JT139" s="207">
        <f t="shared" si="2952"/>
        <v>312.85885579730319</v>
      </c>
      <c r="JU139" s="207">
        <f t="shared" si="2952"/>
        <v>313.50329381581599</v>
      </c>
      <c r="JV139" s="207">
        <f t="shared" si="2952"/>
        <v>314.14905927113296</v>
      </c>
      <c r="JW139" s="207">
        <f t="shared" si="2952"/>
        <v>314.79615489755662</v>
      </c>
      <c r="JX139" s="207">
        <f t="shared" si="2952"/>
        <v>315.44458343502163</v>
      </c>
      <c r="JY139" s="207">
        <f t="shared" si="2952"/>
        <v>316.09434762910649</v>
      </c>
      <c r="JZ139" s="207">
        <f t="shared" si="2952"/>
        <v>316.7454502310452</v>
      </c>
      <c r="KA139" s="207">
        <f t="shared" si="2952"/>
        <v>317.39789399773878</v>
      </c>
      <c r="KB139" s="207">
        <f t="shared" ref="KB139:KE139" si="2953">KA139+IF(KB$124&gt;0,KA139*((1+INDEX($C$107:$H$107,1,MIN(KB$124,6)))^(1/12)-1))</f>
        <v>318.05168169176704</v>
      </c>
      <c r="KC139" s="207">
        <f t="shared" si="2953"/>
        <v>318.70681608140023</v>
      </c>
      <c r="KD139" s="207">
        <f t="shared" si="2953"/>
        <v>319.36329994061083</v>
      </c>
      <c r="KE139" s="207">
        <f t="shared" si="2953"/>
        <v>320.02113604908516</v>
      </c>
      <c r="KG139" s="199" t="str">
        <f t="shared" si="2932"/>
        <v>Marketing</v>
      </c>
      <c r="KH139" s="201"/>
      <c r="KI139" s="221"/>
      <c r="KJ139" s="221"/>
      <c r="KK139" s="221"/>
      <c r="KL139" s="221"/>
      <c r="KM139" s="207">
        <f t="shared" si="2933"/>
        <v>250</v>
      </c>
      <c r="KN139" s="207">
        <f t="shared" ref="KN139:MY139" si="2954">KM139+IF(KN$124&gt;0,KM139*((1+INDEX($C$107:$H$107,1,MIN(KN$124,6)))^(1/12)-1))</f>
        <v>250</v>
      </c>
      <c r="KO139" s="207">
        <f t="shared" si="2954"/>
        <v>250</v>
      </c>
      <c r="KP139" s="207">
        <f t="shared" si="2954"/>
        <v>250</v>
      </c>
      <c r="KQ139" s="207">
        <f t="shared" si="2954"/>
        <v>250</v>
      </c>
      <c r="KR139" s="207">
        <f t="shared" si="2954"/>
        <v>250</v>
      </c>
      <c r="KS139" s="207">
        <f t="shared" si="2954"/>
        <v>250</v>
      </c>
      <c r="KT139" s="207">
        <f t="shared" si="2954"/>
        <v>250</v>
      </c>
      <c r="KU139" s="207">
        <f t="shared" si="2954"/>
        <v>250</v>
      </c>
      <c r="KV139" s="207">
        <f t="shared" si="2954"/>
        <v>250</v>
      </c>
      <c r="KW139" s="207">
        <f t="shared" si="2954"/>
        <v>250</v>
      </c>
      <c r="KX139" s="207">
        <f t="shared" si="2954"/>
        <v>250</v>
      </c>
      <c r="KY139" s="207">
        <f t="shared" si="2954"/>
        <v>250</v>
      </c>
      <c r="KZ139" s="207">
        <f t="shared" si="2954"/>
        <v>250.51495906746069</v>
      </c>
      <c r="LA139" s="207">
        <f t="shared" si="2954"/>
        <v>251.03097886628601</v>
      </c>
      <c r="LB139" s="207">
        <f t="shared" si="2954"/>
        <v>251.54806158140892</v>
      </c>
      <c r="LC139" s="207">
        <f t="shared" si="2954"/>
        <v>252.06620940226293</v>
      </c>
      <c r="LD139" s="207">
        <f t="shared" si="2954"/>
        <v>252.58542452279147</v>
      </c>
      <c r="LE139" s="207">
        <f t="shared" si="2954"/>
        <v>253.10570914145714</v>
      </c>
      <c r="LF139" s="207">
        <f t="shared" si="2954"/>
        <v>253.62706546125099</v>
      </c>
      <c r="LG139" s="207">
        <f t="shared" si="2954"/>
        <v>254.14949568970187</v>
      </c>
      <c r="LH139" s="207">
        <f t="shared" si="2954"/>
        <v>254.67300203888576</v>
      </c>
      <c r="LI139" s="207">
        <f t="shared" si="2954"/>
        <v>255.19758672543517</v>
      </c>
      <c r="LJ139" s="207">
        <f t="shared" si="2954"/>
        <v>255.72325197054857</v>
      </c>
      <c r="LK139" s="207">
        <f t="shared" si="2954"/>
        <v>256.24999999999966</v>
      </c>
      <c r="LL139" s="207">
        <f t="shared" si="2954"/>
        <v>256.77783304414686</v>
      </c>
      <c r="LM139" s="207">
        <f t="shared" si="2954"/>
        <v>257.30675333794284</v>
      </c>
      <c r="LN139" s="207">
        <f t="shared" si="2954"/>
        <v>257.83676312094383</v>
      </c>
      <c r="LO139" s="207">
        <f t="shared" si="2954"/>
        <v>258.3678646373192</v>
      </c>
      <c r="LP139" s="207">
        <f t="shared" si="2954"/>
        <v>258.900060135861</v>
      </c>
      <c r="LQ139" s="207">
        <f t="shared" si="2954"/>
        <v>259.43335186999332</v>
      </c>
      <c r="LR139" s="207">
        <f t="shared" si="2954"/>
        <v>259.96774209778198</v>
      </c>
      <c r="LS139" s="207">
        <f t="shared" si="2954"/>
        <v>260.50323308194413</v>
      </c>
      <c r="LT139" s="207">
        <f t="shared" si="2954"/>
        <v>261.03982708985762</v>
      </c>
      <c r="LU139" s="207">
        <f t="shared" si="2954"/>
        <v>261.57752639357079</v>
      </c>
      <c r="LV139" s="207">
        <f t="shared" si="2954"/>
        <v>262.116333269812</v>
      </c>
      <c r="LW139" s="207">
        <f t="shared" si="2954"/>
        <v>262.65624999999937</v>
      </c>
      <c r="LX139" s="207">
        <f t="shared" si="2954"/>
        <v>263.19727887025027</v>
      </c>
      <c r="LY139" s="207">
        <f t="shared" si="2954"/>
        <v>263.73942217139114</v>
      </c>
      <c r="LZ139" s="207">
        <f t="shared" si="2954"/>
        <v>264.28268219896717</v>
      </c>
      <c r="MA139" s="207">
        <f t="shared" si="2954"/>
        <v>264.82706125325194</v>
      </c>
      <c r="MB139" s="207">
        <f t="shared" si="2954"/>
        <v>265.37256163925724</v>
      </c>
      <c r="MC139" s="207">
        <f t="shared" si="2954"/>
        <v>265.91918566674286</v>
      </c>
      <c r="MD139" s="207">
        <f t="shared" si="2954"/>
        <v>266.46693565022628</v>
      </c>
      <c r="ME139" s="207">
        <f t="shared" si="2954"/>
        <v>267.01581390899247</v>
      </c>
      <c r="MF139" s="207">
        <f t="shared" si="2954"/>
        <v>267.56582276710378</v>
      </c>
      <c r="MG139" s="207">
        <f t="shared" si="2954"/>
        <v>268.11696455340979</v>
      </c>
      <c r="MH139" s="207">
        <f t="shared" si="2954"/>
        <v>268.66924160155702</v>
      </c>
      <c r="MI139" s="207">
        <f t="shared" si="2954"/>
        <v>269.22265624999903</v>
      </c>
      <c r="MJ139" s="207">
        <f t="shared" si="2954"/>
        <v>269.77721084200618</v>
      </c>
      <c r="MK139" s="207">
        <f t="shared" si="2954"/>
        <v>270.33290772567557</v>
      </c>
      <c r="ML139" s="207">
        <f t="shared" si="2954"/>
        <v>270.88974925394098</v>
      </c>
      <c r="MM139" s="207">
        <f t="shared" si="2954"/>
        <v>271.44773778458284</v>
      </c>
      <c r="MN139" s="207">
        <f t="shared" si="2954"/>
        <v>272.00687568023829</v>
      </c>
      <c r="MO139" s="207">
        <f t="shared" si="2954"/>
        <v>272.56716530841106</v>
      </c>
      <c r="MP139" s="207">
        <f t="shared" si="2954"/>
        <v>273.12860904148152</v>
      </c>
      <c r="MQ139" s="207">
        <f t="shared" si="2954"/>
        <v>273.69120925671689</v>
      </c>
      <c r="MR139" s="207">
        <f t="shared" si="2954"/>
        <v>274.25496833628097</v>
      </c>
      <c r="MS139" s="207">
        <f t="shared" si="2954"/>
        <v>274.81988866724458</v>
      </c>
      <c r="MT139" s="207">
        <f t="shared" si="2954"/>
        <v>275.38597264159552</v>
      </c>
      <c r="MU139" s="207">
        <f t="shared" si="2954"/>
        <v>275.95322265624861</v>
      </c>
      <c r="MV139" s="207">
        <f t="shared" si="2954"/>
        <v>276.52164111305592</v>
      </c>
      <c r="MW139" s="207">
        <f t="shared" si="2954"/>
        <v>277.09123041881702</v>
      </c>
      <c r="MX139" s="207">
        <f t="shared" si="2954"/>
        <v>277.66199298528903</v>
      </c>
      <c r="MY139" s="207">
        <f t="shared" si="2954"/>
        <v>278.23393122919697</v>
      </c>
      <c r="MZ139" s="207">
        <f t="shared" ref="MZ139:PK139" si="2955">MY139+IF(MZ$124&gt;0,MY139*((1+INDEX($C$107:$H$107,1,MIN(MZ$124,6)))^(1/12)-1))</f>
        <v>278.80704757224379</v>
      </c>
      <c r="NA139" s="207">
        <f t="shared" si="2955"/>
        <v>279.38134444112086</v>
      </c>
      <c r="NB139" s="207">
        <f t="shared" si="2955"/>
        <v>279.95682426751813</v>
      </c>
      <c r="NC139" s="207">
        <f t="shared" si="2955"/>
        <v>280.53348948813436</v>
      </c>
      <c r="ND139" s="207">
        <f t="shared" si="2955"/>
        <v>281.11134254468755</v>
      </c>
      <c r="NE139" s="207">
        <f t="shared" si="2955"/>
        <v>281.69038588392527</v>
      </c>
      <c r="NF139" s="207">
        <f t="shared" si="2955"/>
        <v>282.270621957635</v>
      </c>
      <c r="NG139" s="207">
        <f t="shared" si="2955"/>
        <v>282.85205322265443</v>
      </c>
      <c r="NH139" s="207">
        <f t="shared" si="2955"/>
        <v>283.43468214088193</v>
      </c>
      <c r="NI139" s="207">
        <f t="shared" si="2955"/>
        <v>284.01851117928709</v>
      </c>
      <c r="NJ139" s="207">
        <f t="shared" si="2955"/>
        <v>284.6035428099209</v>
      </c>
      <c r="NK139" s="207">
        <f t="shared" si="2955"/>
        <v>285.1897795099265</v>
      </c>
      <c r="NL139" s="207">
        <f t="shared" si="2955"/>
        <v>285.77722376154952</v>
      </c>
      <c r="NM139" s="207">
        <f t="shared" si="2955"/>
        <v>286.3658780521485</v>
      </c>
      <c r="NN139" s="207">
        <f t="shared" si="2955"/>
        <v>286.95574487420566</v>
      </c>
      <c r="NO139" s="207">
        <f t="shared" si="2955"/>
        <v>287.54682672533727</v>
      </c>
      <c r="NP139" s="207">
        <f t="shared" si="2955"/>
        <v>288.13912610830431</v>
      </c>
      <c r="NQ139" s="207">
        <f t="shared" si="2955"/>
        <v>288.73264553102297</v>
      </c>
      <c r="NR139" s="207">
        <f t="shared" si="2955"/>
        <v>289.32738750657541</v>
      </c>
      <c r="NS139" s="207">
        <f t="shared" si="2955"/>
        <v>289.92335455322029</v>
      </c>
      <c r="NT139" s="207">
        <f t="shared" si="2955"/>
        <v>290.52054919440349</v>
      </c>
      <c r="NU139" s="207">
        <f t="shared" si="2955"/>
        <v>291.11897395876878</v>
      </c>
      <c r="NV139" s="207">
        <f t="shared" si="2955"/>
        <v>291.71863138016846</v>
      </c>
      <c r="NW139" s="207">
        <f t="shared" si="2955"/>
        <v>292.3195239976742</v>
      </c>
      <c r="NX139" s="207">
        <f t="shared" si="2955"/>
        <v>292.92165435558775</v>
      </c>
      <c r="NY139" s="207">
        <f t="shared" si="2955"/>
        <v>293.52502500345173</v>
      </c>
      <c r="NZ139" s="207">
        <f t="shared" si="2955"/>
        <v>294.12963849606035</v>
      </c>
      <c r="OA139" s="207">
        <f t="shared" si="2955"/>
        <v>294.73549739347027</v>
      </c>
      <c r="OB139" s="207">
        <f t="shared" si="2955"/>
        <v>295.3426042610115</v>
      </c>
      <c r="OC139" s="207">
        <f t="shared" si="2955"/>
        <v>295.95096166929812</v>
      </c>
      <c r="OD139" s="207">
        <f t="shared" si="2955"/>
        <v>296.5605721942394</v>
      </c>
      <c r="OE139" s="207">
        <f t="shared" si="2955"/>
        <v>297.17143841705041</v>
      </c>
      <c r="OF139" s="207">
        <f t="shared" si="2955"/>
        <v>297.78356292426321</v>
      </c>
      <c r="OG139" s="207">
        <f t="shared" si="2955"/>
        <v>298.3969483077376</v>
      </c>
      <c r="OH139" s="207">
        <f t="shared" si="2955"/>
        <v>299.01159716467225</v>
      </c>
      <c r="OI139" s="207">
        <f t="shared" si="2955"/>
        <v>299.62751209761564</v>
      </c>
      <c r="OJ139" s="207">
        <f t="shared" si="2955"/>
        <v>300.24469571447707</v>
      </c>
      <c r="OK139" s="207">
        <f t="shared" si="2955"/>
        <v>300.86315062853765</v>
      </c>
      <c r="OL139" s="207">
        <f t="shared" si="2955"/>
        <v>301.48287945846147</v>
      </c>
      <c r="OM139" s="207">
        <f t="shared" si="2955"/>
        <v>302.10388482830666</v>
      </c>
      <c r="ON139" s="207">
        <f t="shared" si="2955"/>
        <v>302.72616936753639</v>
      </c>
      <c r="OO139" s="207">
        <f t="shared" si="2955"/>
        <v>303.34973571103018</v>
      </c>
      <c r="OP139" s="207">
        <f t="shared" si="2955"/>
        <v>303.97458649909498</v>
      </c>
      <c r="OQ139" s="207">
        <f t="shared" si="2955"/>
        <v>304.60072437747624</v>
      </c>
      <c r="OR139" s="207">
        <f t="shared" si="2955"/>
        <v>305.22815199736931</v>
      </c>
      <c r="OS139" s="207">
        <f t="shared" si="2955"/>
        <v>305.85687201543055</v>
      </c>
      <c r="OT139" s="207">
        <f t="shared" si="2955"/>
        <v>306.4868870937886</v>
      </c>
      <c r="OU139" s="207">
        <f t="shared" si="2955"/>
        <v>307.11819990005557</v>
      </c>
      <c r="OV139" s="207">
        <f t="shared" si="2955"/>
        <v>307.7508131073385</v>
      </c>
      <c r="OW139" s="207">
        <f t="shared" si="2955"/>
        <v>308.3847293942506</v>
      </c>
      <c r="OX139" s="207">
        <f t="shared" si="2955"/>
        <v>309.01995144492253</v>
      </c>
      <c r="OY139" s="207">
        <f t="shared" si="2955"/>
        <v>309.65648194901382</v>
      </c>
      <c r="OZ139" s="207">
        <f t="shared" si="2955"/>
        <v>310.29432360172433</v>
      </c>
      <c r="PA139" s="207">
        <f t="shared" si="2955"/>
        <v>310.9334791038055</v>
      </c>
      <c r="PB139" s="207">
        <f t="shared" si="2955"/>
        <v>311.57395116157193</v>
      </c>
      <c r="PC139" s="207">
        <f t="shared" si="2955"/>
        <v>312.21574248691275</v>
      </c>
      <c r="PD139" s="207">
        <f t="shared" si="2955"/>
        <v>312.85885579730319</v>
      </c>
      <c r="PE139" s="207">
        <f t="shared" si="2955"/>
        <v>313.50329381581599</v>
      </c>
      <c r="PF139" s="207">
        <f t="shared" si="2955"/>
        <v>314.14905927113296</v>
      </c>
      <c r="PG139" s="207">
        <f t="shared" si="2955"/>
        <v>314.79615489755662</v>
      </c>
      <c r="PH139" s="207">
        <f t="shared" si="2955"/>
        <v>315.44458343502163</v>
      </c>
      <c r="PI139" s="207">
        <f t="shared" si="2955"/>
        <v>316.09434762910649</v>
      </c>
      <c r="PJ139" s="207">
        <f t="shared" si="2955"/>
        <v>316.7454502310452</v>
      </c>
      <c r="PK139" s="207">
        <f t="shared" si="2955"/>
        <v>317.39789399773878</v>
      </c>
      <c r="PL139" s="207">
        <f t="shared" ref="PL139:PO139" si="2956">PK139+IF(PL$124&gt;0,PK139*((1+INDEX($C$107:$H$107,1,MIN(PL$124,6)))^(1/12)-1))</f>
        <v>318.05168169176704</v>
      </c>
      <c r="PM139" s="207">
        <f t="shared" si="2956"/>
        <v>318.70681608140023</v>
      </c>
      <c r="PN139" s="207">
        <f t="shared" si="2956"/>
        <v>319.36329994061083</v>
      </c>
      <c r="PO139" s="207">
        <f t="shared" si="2956"/>
        <v>320.02113604908516</v>
      </c>
      <c r="PQ139" s="201"/>
      <c r="PR139" s="201"/>
      <c r="PS139" s="201"/>
      <c r="PT139" s="201"/>
      <c r="PU139" s="201"/>
      <c r="PV139" s="201"/>
      <c r="PW139" s="201"/>
      <c r="PX139" s="201"/>
      <c r="PY139" s="201"/>
      <c r="PZ139" s="201"/>
      <c r="QA139" s="201"/>
      <c r="QB139" s="201"/>
      <c r="QC139" s="201"/>
      <c r="QD139" s="201"/>
      <c r="QE139" s="201"/>
      <c r="QF139" s="201"/>
      <c r="QG139" s="201"/>
      <c r="QH139" s="201"/>
      <c r="QI139" s="201"/>
      <c r="QJ139" s="201"/>
      <c r="QK139" s="201"/>
      <c r="QL139" s="201"/>
      <c r="QM139" s="201"/>
      <c r="QN139" s="201"/>
      <c r="QO139" s="201"/>
      <c r="QP139" s="201"/>
      <c r="QQ139" s="201"/>
      <c r="QR139" s="201"/>
      <c r="QS139" s="201"/>
      <c r="QT139" s="201"/>
      <c r="QU139" s="201"/>
      <c r="QV139" s="201"/>
      <c r="QW139" s="201"/>
      <c r="QX139" s="201"/>
      <c r="QY139" s="201"/>
      <c r="QZ139" s="201"/>
      <c r="RA139" s="201"/>
      <c r="RB139" s="201"/>
      <c r="RC139" s="201"/>
      <c r="RD139" s="201"/>
      <c r="RE139" s="201"/>
      <c r="RF139" s="201"/>
      <c r="RG139" s="201"/>
      <c r="RH139" s="201"/>
      <c r="RI139" s="201"/>
      <c r="RJ139" s="201"/>
      <c r="RK139" s="201"/>
      <c r="RL139" s="201"/>
      <c r="RM139" s="201"/>
      <c r="RN139" s="201"/>
      <c r="RO139" s="201"/>
      <c r="RP139" s="201"/>
      <c r="RQ139" s="201"/>
      <c r="RR139" s="201"/>
      <c r="RS139" s="201"/>
      <c r="RT139" s="201"/>
      <c r="RU139" s="201"/>
      <c r="RV139" s="201"/>
      <c r="RW139" s="201"/>
      <c r="RX139" s="201"/>
      <c r="RY139" s="201"/>
      <c r="RZ139" s="201"/>
      <c r="SA139" s="201"/>
      <c r="SB139" s="201"/>
      <c r="SC139" s="201"/>
      <c r="SD139" s="201"/>
      <c r="SE139" s="201"/>
      <c r="SF139" s="201"/>
      <c r="SG139" s="201"/>
      <c r="SH139" s="201"/>
      <c r="SI139" s="201"/>
      <c r="SJ139" s="201"/>
      <c r="SK139" s="201"/>
      <c r="SL139" s="201"/>
      <c r="SM139" s="201"/>
      <c r="SN139" s="201"/>
      <c r="SO139" s="201"/>
      <c r="SP139" s="201"/>
      <c r="SQ139" s="201"/>
      <c r="SR139" s="201"/>
      <c r="SS139" s="201"/>
      <c r="ST139" s="201"/>
      <c r="SU139" s="201"/>
      <c r="SV139" s="201"/>
      <c r="SW139" s="201"/>
      <c r="SX139" s="201"/>
      <c r="SY139" s="201"/>
      <c r="SZ139" s="201"/>
      <c r="TA139" s="201"/>
      <c r="TB139" s="201"/>
      <c r="TC139" s="201"/>
      <c r="TD139" s="201"/>
      <c r="TE139" s="201"/>
      <c r="TF139" s="201"/>
      <c r="TG139" s="201"/>
      <c r="TH139" s="201"/>
      <c r="TI139" s="201"/>
      <c r="TJ139" s="201"/>
      <c r="TK139" s="201"/>
      <c r="TL139" s="201"/>
      <c r="TM139" s="201"/>
      <c r="TN139" s="201"/>
      <c r="TO139" s="201"/>
      <c r="TP139" s="201"/>
      <c r="TQ139" s="201"/>
      <c r="TR139" s="201"/>
      <c r="TS139" s="201"/>
      <c r="TT139" s="201"/>
      <c r="TU139" s="201"/>
      <c r="TV139" s="201"/>
      <c r="TW139" s="201"/>
      <c r="TX139" s="201"/>
      <c r="TY139" s="201"/>
      <c r="TZ139" s="201"/>
      <c r="UA139" s="201"/>
      <c r="UB139" s="201"/>
      <c r="UC139" s="201"/>
      <c r="UD139" s="201"/>
      <c r="UE139" s="201"/>
      <c r="UF139" s="201"/>
      <c r="UG139" s="201"/>
      <c r="UH139" s="201"/>
      <c r="UI139" s="201"/>
      <c r="UJ139" s="201"/>
      <c r="UK139" s="201"/>
      <c r="UL139" s="201"/>
      <c r="UM139" s="201"/>
      <c r="UN139" s="201"/>
      <c r="UO139" s="201"/>
      <c r="UP139" s="201"/>
      <c r="UQ139" s="201"/>
      <c r="UR139" s="201"/>
      <c r="US139" s="201"/>
      <c r="UT139" s="201"/>
      <c r="UU139" s="201"/>
    </row>
    <row r="140" spans="1:567" x14ac:dyDescent="0.25">
      <c r="B140" s="44" t="s">
        <v>149</v>
      </c>
      <c r="C140" s="26"/>
      <c r="D140" s="26"/>
      <c r="E140" s="104"/>
      <c r="F140" s="131" t="str">
        <f t="shared" si="2911"/>
        <v>Units/Year</v>
      </c>
      <c r="G140" s="584">
        <v>700</v>
      </c>
      <c r="H140" s="131" t="str">
        <f t="shared" si="2912"/>
        <v>Units/Year</v>
      </c>
      <c r="I140" s="584">
        <v>700</v>
      </c>
      <c r="J140" s="149">
        <f t="shared" si="2937"/>
        <v>210000</v>
      </c>
      <c r="K140" s="149">
        <f t="shared" si="2938"/>
        <v>210000</v>
      </c>
      <c r="M140" s="3" t="s">
        <v>849</v>
      </c>
      <c r="T140" s="92">
        <f t="shared" si="2913"/>
        <v>17500</v>
      </c>
      <c r="U140" s="92">
        <f t="shared" si="2913"/>
        <v>17500</v>
      </c>
      <c r="V140" s="92">
        <f t="shared" si="2913"/>
        <v>17500</v>
      </c>
      <c r="W140" s="92">
        <f t="shared" si="2913"/>
        <v>17500</v>
      </c>
      <c r="X140" s="92">
        <f t="shared" si="2913"/>
        <v>17500</v>
      </c>
      <c r="Y140" s="92">
        <f t="shared" si="2913"/>
        <v>17500</v>
      </c>
      <c r="Z140" s="92">
        <f t="shared" si="2913"/>
        <v>17500</v>
      </c>
      <c r="AA140" s="92">
        <f t="shared" si="2913"/>
        <v>17500</v>
      </c>
      <c r="AB140" s="92">
        <f t="shared" si="2913"/>
        <v>17500</v>
      </c>
      <c r="AC140" s="92">
        <f t="shared" si="2913"/>
        <v>17500</v>
      </c>
      <c r="AD140" s="92">
        <f t="shared" si="2914"/>
        <v>17500</v>
      </c>
      <c r="AE140" s="92">
        <f t="shared" si="2914"/>
        <v>17500</v>
      </c>
      <c r="AF140" s="92">
        <f t="shared" si="2914"/>
        <v>17536.047134722248</v>
      </c>
      <c r="AG140" s="92">
        <f t="shared" si="2914"/>
        <v>17572.168520640018</v>
      </c>
      <c r="AH140" s="92">
        <f t="shared" si="2914"/>
        <v>17608.364310698624</v>
      </c>
      <c r="AI140" s="92">
        <f t="shared" si="2914"/>
        <v>17644.634658158404</v>
      </c>
      <c r="AJ140" s="92">
        <f t="shared" si="2914"/>
        <v>17680.979716595404</v>
      </c>
      <c r="AK140" s="92">
        <f t="shared" si="2914"/>
        <v>17717.399639902</v>
      </c>
      <c r="AL140" s="92">
        <f t="shared" si="2914"/>
        <v>17753.894582287565</v>
      </c>
      <c r="AM140" s="92">
        <f t="shared" si="2914"/>
        <v>17790.464698279127</v>
      </c>
      <c r="AN140" s="92">
        <f t="shared" si="2915"/>
        <v>17827.110142721998</v>
      </c>
      <c r="AO140" s="92">
        <f t="shared" si="2915"/>
        <v>17863.831070780459</v>
      </c>
      <c r="AP140" s="92">
        <f t="shared" si="2915"/>
        <v>17900.627637938396</v>
      </c>
      <c r="AQ140" s="92">
        <f t="shared" si="2915"/>
        <v>17937.499999999971</v>
      </c>
      <c r="AR140" s="92">
        <f t="shared" si="2915"/>
        <v>17974.448313090277</v>
      </c>
      <c r="AS140" s="92">
        <f t="shared" si="2915"/>
        <v>18011.472733655992</v>
      </c>
      <c r="AT140" s="92">
        <f t="shared" si="2915"/>
        <v>18048.573418466058</v>
      </c>
      <c r="AU140" s="92">
        <f t="shared" si="2915"/>
        <v>18085.750524612336</v>
      </c>
      <c r="AV140" s="92">
        <f t="shared" si="2915"/>
        <v>18123.004209510262</v>
      </c>
      <c r="AW140" s="92">
        <f t="shared" si="2915"/>
        <v>18160.334630899524</v>
      </c>
      <c r="AX140" s="92">
        <f t="shared" si="2916"/>
        <v>18197.741946844733</v>
      </c>
      <c r="AY140" s="92">
        <f t="shared" si="2916"/>
        <v>18235.226315736083</v>
      </c>
      <c r="AZ140" s="92">
        <f t="shared" si="2916"/>
        <v>18272.787896290025</v>
      </c>
      <c r="BA140" s="92">
        <f t="shared" si="2916"/>
        <v>18310.426847549948</v>
      </c>
      <c r="BB140" s="92">
        <f t="shared" si="2916"/>
        <v>18348.143328886836</v>
      </c>
      <c r="BC140" s="92">
        <f t="shared" si="2916"/>
        <v>18385.937499999949</v>
      </c>
      <c r="BD140" s="92">
        <f t="shared" si="2916"/>
        <v>18423.809520917512</v>
      </c>
      <c r="BE140" s="92">
        <f t="shared" si="2916"/>
        <v>18461.759551997369</v>
      </c>
      <c r="BF140" s="92">
        <f t="shared" si="2916"/>
        <v>18499.787753927689</v>
      </c>
      <c r="BG140" s="92">
        <f t="shared" si="2916"/>
        <v>18537.894287727624</v>
      </c>
      <c r="BH140" s="92">
        <f t="shared" si="2917"/>
        <v>18576.079314747996</v>
      </c>
      <c r="BI140" s="92">
        <f t="shared" si="2917"/>
        <v>18614.342996671989</v>
      </c>
      <c r="BJ140" s="92">
        <f t="shared" si="2917"/>
        <v>18652.685495515823</v>
      </c>
      <c r="BK140" s="92">
        <f t="shared" si="2917"/>
        <v>18691.106973629459</v>
      </c>
      <c r="BL140" s="92">
        <f t="shared" si="2917"/>
        <v>18729.607593697252</v>
      </c>
      <c r="BM140" s="92">
        <f t="shared" si="2917"/>
        <v>18768.187518738672</v>
      </c>
      <c r="BN140" s="92">
        <f t="shared" si="2917"/>
        <v>18806.84691210898</v>
      </c>
      <c r="BO140" s="92">
        <f t="shared" si="2917"/>
        <v>18845.585937499924</v>
      </c>
      <c r="BP140" s="92">
        <f t="shared" si="2917"/>
        <v>18884.404758940422</v>
      </c>
      <c r="BQ140" s="92">
        <f t="shared" si="2917"/>
        <v>18923.303540797278</v>
      </c>
      <c r="BR140" s="92">
        <f t="shared" si="2918"/>
        <v>18962.282447775859</v>
      </c>
      <c r="BS140" s="92">
        <f t="shared" si="2918"/>
        <v>19001.341644920787</v>
      </c>
      <c r="BT140" s="92">
        <f t="shared" si="2918"/>
        <v>19040.481297616669</v>
      </c>
      <c r="BU140" s="92">
        <f t="shared" si="2918"/>
        <v>19079.701571588765</v>
      </c>
      <c r="BV140" s="92">
        <f t="shared" si="2918"/>
        <v>19119.002632903695</v>
      </c>
      <c r="BW140" s="92">
        <f t="shared" si="2918"/>
        <v>19158.384647970171</v>
      </c>
      <c r="BX140" s="92">
        <f t="shared" si="2918"/>
        <v>19197.847783539659</v>
      </c>
      <c r="BY140" s="92">
        <f t="shared" si="2918"/>
        <v>19237.392206707114</v>
      </c>
      <c r="BZ140" s="92">
        <f t="shared" si="2918"/>
        <v>19277.01808491168</v>
      </c>
      <c r="CA140" s="92">
        <f t="shared" si="2918"/>
        <v>19316.725585937394</v>
      </c>
      <c r="CB140" s="92">
        <f t="shared" si="2919"/>
        <v>19356.514877913909</v>
      </c>
      <c r="CC140" s="92">
        <f t="shared" si="2919"/>
        <v>19396.386129317187</v>
      </c>
      <c r="CD140" s="92">
        <f t="shared" si="2919"/>
        <v>19436.339508970228</v>
      </c>
      <c r="CE140" s="92">
        <f t="shared" si="2919"/>
        <v>19476.375186043784</v>
      </c>
      <c r="CF140" s="92">
        <f t="shared" si="2919"/>
        <v>19516.493330057063</v>
      </c>
      <c r="CG140" s="92">
        <f t="shared" si="2919"/>
        <v>19556.694110878459</v>
      </c>
      <c r="CH140" s="92">
        <f t="shared" si="2919"/>
        <v>19596.977698726267</v>
      </c>
      <c r="CI140" s="92">
        <f t="shared" si="2919"/>
        <v>19637.344264169402</v>
      </c>
      <c r="CJ140" s="92">
        <f t="shared" si="2919"/>
        <v>19677.793978128127</v>
      </c>
      <c r="CK140" s="92">
        <f t="shared" si="2919"/>
        <v>19718.327011874768</v>
      </c>
      <c r="CL140" s="92">
        <f t="shared" si="2920"/>
        <v>19758.943537034447</v>
      </c>
      <c r="CM140" s="92">
        <f t="shared" si="2920"/>
        <v>19799.643725585807</v>
      </c>
      <c r="CN140" s="92">
        <f t="shared" si="2920"/>
        <v>19840.427749861734</v>
      </c>
      <c r="CO140" s="92">
        <f t="shared" si="2920"/>
        <v>19881.295782550093</v>
      </c>
      <c r="CP140" s="92">
        <f t="shared" si="2920"/>
        <v>19922.247996694459</v>
      </c>
      <c r="CQ140" s="92">
        <f t="shared" si="2920"/>
        <v>19963.284565694856</v>
      </c>
      <c r="CR140" s="92">
        <f t="shared" si="2920"/>
        <v>20004.405663308466</v>
      </c>
      <c r="CS140" s="92">
        <f t="shared" si="2920"/>
        <v>20045.611463650395</v>
      </c>
      <c r="CT140" s="92">
        <f t="shared" si="2920"/>
        <v>20086.902141194398</v>
      </c>
      <c r="CU140" s="92">
        <f t="shared" si="2920"/>
        <v>20128.277870773611</v>
      </c>
      <c r="CV140" s="92">
        <f t="shared" si="2921"/>
        <v>20169.738827581303</v>
      </c>
      <c r="CW140" s="92">
        <f t="shared" si="2921"/>
        <v>20211.285187171612</v>
      </c>
      <c r="CX140" s="92">
        <f t="shared" si="2921"/>
        <v>20252.917125460281</v>
      </c>
      <c r="CY140" s="92">
        <f t="shared" si="2921"/>
        <v>20294.634818725423</v>
      </c>
      <c r="CZ140" s="92">
        <f t="shared" si="2921"/>
        <v>20336.438443608247</v>
      </c>
      <c r="DA140" s="92">
        <f t="shared" si="2921"/>
        <v>20378.328177113817</v>
      </c>
      <c r="DB140" s="92">
        <f t="shared" si="2921"/>
        <v>20420.304196611793</v>
      </c>
      <c r="DC140" s="92">
        <f t="shared" si="2921"/>
        <v>20462.366679837196</v>
      </c>
      <c r="DD140" s="92">
        <f t="shared" si="2921"/>
        <v>20504.515804891143</v>
      </c>
      <c r="DE140" s="92">
        <f t="shared" si="2921"/>
        <v>20546.751750241623</v>
      </c>
      <c r="DF140" s="92">
        <f t="shared" si="2922"/>
        <v>20589.074694724226</v>
      </c>
      <c r="DG140" s="92">
        <f t="shared" si="2922"/>
        <v>20631.484817542922</v>
      </c>
      <c r="DH140" s="92">
        <f t="shared" si="2922"/>
        <v>20673.982298270806</v>
      </c>
      <c r="DI140" s="92">
        <f t="shared" si="2922"/>
        <v>20716.567316850869</v>
      </c>
      <c r="DJ140" s="92">
        <f t="shared" si="2922"/>
        <v>20759.240053596757</v>
      </c>
      <c r="DK140" s="92">
        <f t="shared" si="2922"/>
        <v>20802.00068919353</v>
      </c>
      <c r="DL140" s="92">
        <f t="shared" si="2922"/>
        <v>20844.849404698423</v>
      </c>
      <c r="DM140" s="92">
        <f t="shared" si="2922"/>
        <v>20887.786381541631</v>
      </c>
      <c r="DN140" s="92">
        <f t="shared" si="2922"/>
        <v>20930.811801527056</v>
      </c>
      <c r="DO140" s="92">
        <f t="shared" si="2922"/>
        <v>20973.925846833095</v>
      </c>
      <c r="DP140" s="92">
        <f t="shared" si="2923"/>
        <v>21017.128700013393</v>
      </c>
      <c r="DQ140" s="92">
        <f t="shared" si="2923"/>
        <v>21060.420543997632</v>
      </c>
      <c r="DR140" s="92">
        <f t="shared" si="2923"/>
        <v>21103.8015620923</v>
      </c>
      <c r="DS140" s="92">
        <f t="shared" si="2923"/>
        <v>21147.271937981463</v>
      </c>
      <c r="DT140" s="92">
        <f t="shared" si="2923"/>
        <v>21190.831855727545</v>
      </c>
      <c r="DU140" s="92">
        <f t="shared" si="2923"/>
        <v>21234.481499772115</v>
      </c>
      <c r="DV140" s="92">
        <f t="shared" si="2923"/>
        <v>21278.221054936646</v>
      </c>
      <c r="DW140" s="92">
        <f t="shared" si="2923"/>
        <v>21322.050706423335</v>
      </c>
      <c r="DX140" s="92">
        <f t="shared" si="2923"/>
        <v>21365.970639815852</v>
      </c>
      <c r="DY140" s="92">
        <f t="shared" si="2923"/>
        <v>21409.98104108014</v>
      </c>
      <c r="DZ140" s="92">
        <f t="shared" si="2924"/>
        <v>21454.082096565206</v>
      </c>
      <c r="EA140" s="92">
        <f t="shared" si="2924"/>
        <v>21498.273993003895</v>
      </c>
      <c r="EB140" s="92">
        <f t="shared" si="2924"/>
        <v>21542.556917513703</v>
      </c>
      <c r="EC140" s="92">
        <f t="shared" si="2924"/>
        <v>21586.931057597547</v>
      </c>
      <c r="ED140" s="92">
        <f t="shared" si="2924"/>
        <v>21631.396601144581</v>
      </c>
      <c r="EE140" s="92">
        <f t="shared" si="2924"/>
        <v>21675.953736430973</v>
      </c>
      <c r="EF140" s="92">
        <f t="shared" si="2924"/>
        <v>21720.602652120706</v>
      </c>
      <c r="EG140" s="92">
        <f t="shared" si="2924"/>
        <v>21765.343537266384</v>
      </c>
      <c r="EH140" s="92">
        <f t="shared" si="2924"/>
        <v>21810.176581310032</v>
      </c>
      <c r="EI140" s="92">
        <f t="shared" si="2924"/>
        <v>21855.101974083893</v>
      </c>
      <c r="EJ140" s="92">
        <f t="shared" si="2925"/>
        <v>21900.119905811222</v>
      </c>
      <c r="EK140" s="92">
        <f t="shared" si="2925"/>
        <v>21945.230567107112</v>
      </c>
      <c r="EL140" s="92">
        <f t="shared" si="2925"/>
        <v>21990.434148979304</v>
      </c>
      <c r="EM140" s="92">
        <f t="shared" si="2925"/>
        <v>22035.730842828958</v>
      </c>
      <c r="EN140" s="92">
        <f t="shared" si="2925"/>
        <v>22081.120840451509</v>
      </c>
      <c r="EO140" s="92">
        <f t="shared" si="2925"/>
        <v>22126.604334037449</v>
      </c>
      <c r="EP140" s="92">
        <f t="shared" si="2925"/>
        <v>22172.181516173165</v>
      </c>
      <c r="EQ140" s="92">
        <f t="shared" si="2925"/>
        <v>22217.85257984171</v>
      </c>
      <c r="ER140" s="92">
        <f t="shared" si="2925"/>
        <v>22263.617718423688</v>
      </c>
      <c r="ES140" s="92">
        <f t="shared" si="2925"/>
        <v>22309.477125698013</v>
      </c>
      <c r="ET140" s="92">
        <f t="shared" si="2926"/>
        <v>22355.430995842751</v>
      </c>
      <c r="EU140" s="92">
        <f t="shared" si="2926"/>
        <v>22401.479523435952</v>
      </c>
      <c r="EW140" s="199" t="str">
        <f t="shared" ref="EW140" si="2957">+B140</f>
        <v>Utilities</v>
      </c>
      <c r="EX140" s="201"/>
      <c r="EY140" s="221"/>
      <c r="EZ140" s="221"/>
      <c r="FA140" s="221"/>
      <c r="FB140" s="221"/>
      <c r="FC140" s="207">
        <f t="shared" ref="FC140" si="2958">+G140</f>
        <v>700</v>
      </c>
      <c r="FD140" s="207">
        <f t="shared" ref="FD140:HO140" si="2959">FC140+IF(FD$124&gt;0,FC140*((1+INDEX($C$107:$H$107,1,MIN(FD$124,6)))^(1/12)-1))</f>
        <v>700</v>
      </c>
      <c r="FE140" s="207">
        <f t="shared" si="2959"/>
        <v>700</v>
      </c>
      <c r="FF140" s="207">
        <f t="shared" si="2959"/>
        <v>700</v>
      </c>
      <c r="FG140" s="207">
        <f t="shared" si="2959"/>
        <v>700</v>
      </c>
      <c r="FH140" s="207">
        <f t="shared" si="2959"/>
        <v>700</v>
      </c>
      <c r="FI140" s="207">
        <f t="shared" si="2959"/>
        <v>700</v>
      </c>
      <c r="FJ140" s="207">
        <f t="shared" si="2959"/>
        <v>700</v>
      </c>
      <c r="FK140" s="207">
        <f t="shared" si="2959"/>
        <v>700</v>
      </c>
      <c r="FL140" s="207">
        <f t="shared" si="2959"/>
        <v>700</v>
      </c>
      <c r="FM140" s="207">
        <f t="shared" si="2959"/>
        <v>700</v>
      </c>
      <c r="FN140" s="207">
        <f t="shared" si="2959"/>
        <v>700</v>
      </c>
      <c r="FO140" s="207">
        <f t="shared" si="2959"/>
        <v>700</v>
      </c>
      <c r="FP140" s="207">
        <f t="shared" si="2959"/>
        <v>701.44188538888989</v>
      </c>
      <c r="FQ140" s="207">
        <f t="shared" si="2959"/>
        <v>702.88674082560078</v>
      </c>
      <c r="FR140" s="207">
        <f t="shared" si="2959"/>
        <v>704.33457242794486</v>
      </c>
      <c r="FS140" s="207">
        <f t="shared" si="2959"/>
        <v>705.78538632633615</v>
      </c>
      <c r="FT140" s="207">
        <f t="shared" si="2959"/>
        <v>707.23918866381609</v>
      </c>
      <c r="FU140" s="207">
        <f t="shared" si="2959"/>
        <v>708.69598559607994</v>
      </c>
      <c r="FV140" s="207">
        <f t="shared" si="2959"/>
        <v>710.15578329150264</v>
      </c>
      <c r="FW140" s="207">
        <f t="shared" si="2959"/>
        <v>711.61858793116505</v>
      </c>
      <c r="FX140" s="207">
        <f t="shared" si="2959"/>
        <v>713.0844057088799</v>
      </c>
      <c r="FY140" s="207">
        <f t="shared" si="2959"/>
        <v>714.55324283121831</v>
      </c>
      <c r="FZ140" s="207">
        <f t="shared" si="2959"/>
        <v>716.02510551753585</v>
      </c>
      <c r="GA140" s="207">
        <f t="shared" si="2959"/>
        <v>717.49999999999886</v>
      </c>
      <c r="GB140" s="207">
        <f t="shared" si="2959"/>
        <v>718.977932523611</v>
      </c>
      <c r="GC140" s="207">
        <f t="shared" si="2959"/>
        <v>720.45890934623969</v>
      </c>
      <c r="GD140" s="207">
        <f t="shared" si="2959"/>
        <v>721.9429367386424</v>
      </c>
      <c r="GE140" s="207">
        <f t="shared" si="2959"/>
        <v>723.43002098449347</v>
      </c>
      <c r="GF140" s="207">
        <f t="shared" si="2959"/>
        <v>724.92016838041047</v>
      </c>
      <c r="GG140" s="207">
        <f t="shared" si="2959"/>
        <v>726.41338523598097</v>
      </c>
      <c r="GH140" s="207">
        <f t="shared" si="2959"/>
        <v>727.90967787378929</v>
      </c>
      <c r="GI140" s="207">
        <f t="shared" si="2959"/>
        <v>729.40905262944329</v>
      </c>
      <c r="GJ140" s="207">
        <f t="shared" si="2959"/>
        <v>730.91151585160105</v>
      </c>
      <c r="GK140" s="207">
        <f t="shared" si="2959"/>
        <v>732.41707390199792</v>
      </c>
      <c r="GL140" s="207">
        <f t="shared" si="2959"/>
        <v>733.92573315547338</v>
      </c>
      <c r="GM140" s="207">
        <f t="shared" si="2959"/>
        <v>735.43749999999795</v>
      </c>
      <c r="GN140" s="207">
        <f t="shared" si="2959"/>
        <v>736.9523808367004</v>
      </c>
      <c r="GO140" s="207">
        <f t="shared" si="2959"/>
        <v>738.47038207989476</v>
      </c>
      <c r="GP140" s="207">
        <f t="shared" si="2959"/>
        <v>739.99151015710754</v>
      </c>
      <c r="GQ140" s="207">
        <f t="shared" si="2959"/>
        <v>741.51577150910487</v>
      </c>
      <c r="GR140" s="207">
        <f t="shared" si="2959"/>
        <v>743.04317258991978</v>
      </c>
      <c r="GS140" s="207">
        <f t="shared" si="2959"/>
        <v>744.57371986687951</v>
      </c>
      <c r="GT140" s="207">
        <f t="shared" si="2959"/>
        <v>746.10741982063303</v>
      </c>
      <c r="GU140" s="207">
        <f t="shared" si="2959"/>
        <v>747.64427894517837</v>
      </c>
      <c r="GV140" s="207">
        <f t="shared" si="2959"/>
        <v>749.18430374789011</v>
      </c>
      <c r="GW140" s="207">
        <f t="shared" si="2959"/>
        <v>750.72750074954695</v>
      </c>
      <c r="GX140" s="207">
        <f t="shared" si="2959"/>
        <v>752.27387648435922</v>
      </c>
      <c r="GY140" s="207">
        <f t="shared" si="2959"/>
        <v>753.82343749999688</v>
      </c>
      <c r="GZ140" s="207">
        <f t="shared" si="2959"/>
        <v>755.37619035761691</v>
      </c>
      <c r="HA140" s="207">
        <f t="shared" si="2959"/>
        <v>756.93214163189111</v>
      </c>
      <c r="HB140" s="207">
        <f t="shared" si="2959"/>
        <v>758.49129791103428</v>
      </c>
      <c r="HC140" s="207">
        <f t="shared" si="2959"/>
        <v>760.05366579683152</v>
      </c>
      <c r="HD140" s="207">
        <f t="shared" si="2959"/>
        <v>761.61925190466673</v>
      </c>
      <c r="HE140" s="207">
        <f t="shared" si="2959"/>
        <v>763.1880628635505</v>
      </c>
      <c r="HF140" s="207">
        <f t="shared" si="2959"/>
        <v>764.76010531614781</v>
      </c>
      <c r="HG140" s="207">
        <f t="shared" si="2959"/>
        <v>766.33538591880676</v>
      </c>
      <c r="HH140" s="207">
        <f t="shared" si="2959"/>
        <v>767.9139113415863</v>
      </c>
      <c r="HI140" s="207">
        <f t="shared" si="2959"/>
        <v>769.49568826828454</v>
      </c>
      <c r="HJ140" s="207">
        <f t="shared" si="2959"/>
        <v>771.08072339646719</v>
      </c>
      <c r="HK140" s="207">
        <f t="shared" si="2959"/>
        <v>772.66902343749587</v>
      </c>
      <c r="HL140" s="207">
        <f t="shared" si="2959"/>
        <v>774.26059511655637</v>
      </c>
      <c r="HM140" s="207">
        <f t="shared" si="2959"/>
        <v>775.8554451726875</v>
      </c>
      <c r="HN140" s="207">
        <f t="shared" si="2959"/>
        <v>777.45358035880918</v>
      </c>
      <c r="HO140" s="207">
        <f t="shared" si="2959"/>
        <v>779.0550074417514</v>
      </c>
      <c r="HP140" s="207">
        <f t="shared" ref="HP140:KA140" si="2960">HO140+IF(HP$124&gt;0,HO140*((1+INDEX($C$107:$H$107,1,MIN(HP$124,6)))^(1/12)-1))</f>
        <v>780.6597332022825</v>
      </c>
      <c r="HQ140" s="207">
        <f t="shared" si="2960"/>
        <v>782.26776443513836</v>
      </c>
      <c r="HR140" s="207">
        <f t="shared" si="2960"/>
        <v>783.87910794905065</v>
      </c>
      <c r="HS140" s="207">
        <f t="shared" si="2960"/>
        <v>785.49377056677611</v>
      </c>
      <c r="HT140" s="207">
        <f t="shared" si="2960"/>
        <v>787.1117591251251</v>
      </c>
      <c r="HU140" s="207">
        <f t="shared" si="2960"/>
        <v>788.73308047499074</v>
      </c>
      <c r="HV140" s="207">
        <f t="shared" si="2960"/>
        <v>790.35774148137796</v>
      </c>
      <c r="HW140" s="207">
        <f t="shared" si="2960"/>
        <v>791.98574902343228</v>
      </c>
      <c r="HX140" s="207">
        <f t="shared" si="2960"/>
        <v>793.61710999446927</v>
      </c>
      <c r="HY140" s="207">
        <f t="shared" si="2960"/>
        <v>795.25183130200367</v>
      </c>
      <c r="HZ140" s="207">
        <f t="shared" si="2960"/>
        <v>796.88991986777842</v>
      </c>
      <c r="IA140" s="207">
        <f t="shared" si="2960"/>
        <v>798.53138262779419</v>
      </c>
      <c r="IB140" s="207">
        <f t="shared" si="2960"/>
        <v>800.17622653233855</v>
      </c>
      <c r="IC140" s="207">
        <f t="shared" si="2960"/>
        <v>801.82445854601576</v>
      </c>
      <c r="ID140" s="207">
        <f t="shared" si="2960"/>
        <v>803.4760856477759</v>
      </c>
      <c r="IE140" s="207">
        <f t="shared" si="2960"/>
        <v>805.13111483094451</v>
      </c>
      <c r="IF140" s="207">
        <f t="shared" si="2960"/>
        <v>806.78955310325216</v>
      </c>
      <c r="IG140" s="207">
        <f t="shared" si="2960"/>
        <v>808.45140748686447</v>
      </c>
      <c r="IH140" s="207">
        <f t="shared" si="2960"/>
        <v>810.11668501841132</v>
      </c>
      <c r="II140" s="207">
        <f t="shared" si="2960"/>
        <v>811.78539274901698</v>
      </c>
      <c r="IJ140" s="207">
        <f t="shared" si="2960"/>
        <v>813.4575377443299</v>
      </c>
      <c r="IK140" s="207">
        <f t="shared" si="2960"/>
        <v>815.1331270845526</v>
      </c>
      <c r="IL140" s="207">
        <f t="shared" si="2960"/>
        <v>816.81216786447169</v>
      </c>
      <c r="IM140" s="207">
        <f t="shared" si="2960"/>
        <v>818.49466719348777</v>
      </c>
      <c r="IN140" s="207">
        <f t="shared" si="2960"/>
        <v>820.18063219564579</v>
      </c>
      <c r="IO140" s="207">
        <f t="shared" si="2960"/>
        <v>821.87007000966491</v>
      </c>
      <c r="IP140" s="207">
        <f t="shared" si="2960"/>
        <v>823.56298778896905</v>
      </c>
      <c r="IQ140" s="207">
        <f t="shared" si="2960"/>
        <v>825.25939270171682</v>
      </c>
      <c r="IR140" s="207">
        <f t="shared" si="2960"/>
        <v>826.95929193083225</v>
      </c>
      <c r="IS140" s="207">
        <f t="shared" si="2960"/>
        <v>828.66269267403482</v>
      </c>
      <c r="IT140" s="207">
        <f t="shared" si="2960"/>
        <v>830.36960214387034</v>
      </c>
      <c r="IU140" s="207">
        <f t="shared" si="2960"/>
        <v>832.08002756774113</v>
      </c>
      <c r="IV140" s="207">
        <f t="shared" si="2960"/>
        <v>833.79397618793689</v>
      </c>
      <c r="IW140" s="207">
        <f t="shared" si="2960"/>
        <v>835.51145526166522</v>
      </c>
      <c r="IX140" s="207">
        <f t="shared" si="2960"/>
        <v>837.23247206108226</v>
      </c>
      <c r="IY140" s="207">
        <f t="shared" si="2960"/>
        <v>838.95703387332378</v>
      </c>
      <c r="IZ140" s="207">
        <f t="shared" si="2960"/>
        <v>840.68514800053572</v>
      </c>
      <c r="JA140" s="207">
        <f t="shared" si="2960"/>
        <v>842.41682175990536</v>
      </c>
      <c r="JB140" s="207">
        <f t="shared" si="2960"/>
        <v>844.15206248369202</v>
      </c>
      <c r="JC140" s="207">
        <f t="shared" si="2960"/>
        <v>845.89087751925854</v>
      </c>
      <c r="JD140" s="207">
        <f t="shared" si="2960"/>
        <v>847.63327422910186</v>
      </c>
      <c r="JE140" s="207">
        <f t="shared" si="2960"/>
        <v>849.37925999088452</v>
      </c>
      <c r="JF140" s="207">
        <f t="shared" si="2960"/>
        <v>851.12884219746593</v>
      </c>
      <c r="JG140" s="207">
        <f t="shared" si="2960"/>
        <v>852.88202825693349</v>
      </c>
      <c r="JH140" s="207">
        <f t="shared" si="2960"/>
        <v>854.63882559263413</v>
      </c>
      <c r="JI140" s="207">
        <f t="shared" si="2960"/>
        <v>856.39924164320564</v>
      </c>
      <c r="JJ140" s="207">
        <f t="shared" si="2960"/>
        <v>858.16328386260818</v>
      </c>
      <c r="JK140" s="207">
        <f t="shared" si="2960"/>
        <v>859.93095972015578</v>
      </c>
      <c r="JL140" s="207">
        <f t="shared" si="2960"/>
        <v>861.70227670054805</v>
      </c>
      <c r="JM140" s="207">
        <f t="shared" si="2960"/>
        <v>863.4772423039019</v>
      </c>
      <c r="JN140" s="207">
        <f t="shared" si="2960"/>
        <v>865.25586404578326</v>
      </c>
      <c r="JO140" s="207">
        <f t="shared" si="2960"/>
        <v>867.03814945723889</v>
      </c>
      <c r="JP140" s="207">
        <f t="shared" si="2960"/>
        <v>868.82410608482826</v>
      </c>
      <c r="JQ140" s="207">
        <f t="shared" si="2960"/>
        <v>870.61374149065546</v>
      </c>
      <c r="JR140" s="207">
        <f t="shared" si="2960"/>
        <v>872.40706325240137</v>
      </c>
      <c r="JS140" s="207">
        <f t="shared" si="2960"/>
        <v>874.20407896335564</v>
      </c>
      <c r="JT140" s="207">
        <f t="shared" si="2960"/>
        <v>876.00479623244883</v>
      </c>
      <c r="JU140" s="207">
        <f t="shared" si="2960"/>
        <v>877.80922268428458</v>
      </c>
      <c r="JV140" s="207">
        <f t="shared" si="2960"/>
        <v>879.61736595917216</v>
      </c>
      <c r="JW140" s="207">
        <f t="shared" si="2960"/>
        <v>881.4292337131584</v>
      </c>
      <c r="JX140" s="207">
        <f t="shared" si="2960"/>
        <v>883.2448336180604</v>
      </c>
      <c r="JY140" s="207">
        <f t="shared" si="2960"/>
        <v>885.06417336149809</v>
      </c>
      <c r="JZ140" s="207">
        <f t="shared" si="2960"/>
        <v>886.88726064692651</v>
      </c>
      <c r="KA140" s="207">
        <f t="shared" si="2960"/>
        <v>888.71410319366851</v>
      </c>
      <c r="KB140" s="207">
        <f t="shared" ref="KB140:KE140" si="2961">KA140+IF(KB$124&gt;0,KA140*((1+INDEX($C$107:$H$107,1,MIN(KB$124,6)))^(1/12)-1))</f>
        <v>890.54470873694754</v>
      </c>
      <c r="KC140" s="207">
        <f t="shared" si="2961"/>
        <v>892.3790850279205</v>
      </c>
      <c r="KD140" s="207">
        <f t="shared" si="2961"/>
        <v>894.2172398337101</v>
      </c>
      <c r="KE140" s="207">
        <f t="shared" si="2961"/>
        <v>896.05918093743821</v>
      </c>
      <c r="KG140" s="199" t="str">
        <f t="shared" ref="KG140:KG145" si="2962">B140</f>
        <v>Utilities</v>
      </c>
      <c r="KH140" s="201"/>
      <c r="KI140" s="221"/>
      <c r="KJ140" s="221"/>
      <c r="KK140" s="221"/>
      <c r="KL140" s="221"/>
      <c r="KM140" s="207">
        <f t="shared" ref="KM140:KM145" si="2963">I140</f>
        <v>700</v>
      </c>
      <c r="KN140" s="207">
        <f t="shared" ref="KN140:MY140" si="2964">KM140+IF(KN$124&gt;0,KM140*((1+INDEX($C$107:$H$107,1,MIN(KN$124,6)))^(1/12)-1))</f>
        <v>700</v>
      </c>
      <c r="KO140" s="207">
        <f t="shared" si="2964"/>
        <v>700</v>
      </c>
      <c r="KP140" s="207">
        <f t="shared" si="2964"/>
        <v>700</v>
      </c>
      <c r="KQ140" s="207">
        <f t="shared" si="2964"/>
        <v>700</v>
      </c>
      <c r="KR140" s="207">
        <f t="shared" si="2964"/>
        <v>700</v>
      </c>
      <c r="KS140" s="207">
        <f t="shared" si="2964"/>
        <v>700</v>
      </c>
      <c r="KT140" s="207">
        <f t="shared" si="2964"/>
        <v>700</v>
      </c>
      <c r="KU140" s="207">
        <f t="shared" si="2964"/>
        <v>700</v>
      </c>
      <c r="KV140" s="207">
        <f t="shared" si="2964"/>
        <v>700</v>
      </c>
      <c r="KW140" s="207">
        <f t="shared" si="2964"/>
        <v>700</v>
      </c>
      <c r="KX140" s="207">
        <f t="shared" si="2964"/>
        <v>700</v>
      </c>
      <c r="KY140" s="207">
        <f t="shared" si="2964"/>
        <v>700</v>
      </c>
      <c r="KZ140" s="207">
        <f t="shared" si="2964"/>
        <v>701.44188538888989</v>
      </c>
      <c r="LA140" s="207">
        <f t="shared" si="2964"/>
        <v>702.88674082560078</v>
      </c>
      <c r="LB140" s="207">
        <f t="shared" si="2964"/>
        <v>704.33457242794486</v>
      </c>
      <c r="LC140" s="207">
        <f t="shared" si="2964"/>
        <v>705.78538632633615</v>
      </c>
      <c r="LD140" s="207">
        <f t="shared" si="2964"/>
        <v>707.23918866381609</v>
      </c>
      <c r="LE140" s="207">
        <f t="shared" si="2964"/>
        <v>708.69598559607994</v>
      </c>
      <c r="LF140" s="207">
        <f t="shared" si="2964"/>
        <v>710.15578329150264</v>
      </c>
      <c r="LG140" s="207">
        <f t="shared" si="2964"/>
        <v>711.61858793116505</v>
      </c>
      <c r="LH140" s="207">
        <f t="shared" si="2964"/>
        <v>713.0844057088799</v>
      </c>
      <c r="LI140" s="207">
        <f t="shared" si="2964"/>
        <v>714.55324283121831</v>
      </c>
      <c r="LJ140" s="207">
        <f t="shared" si="2964"/>
        <v>716.02510551753585</v>
      </c>
      <c r="LK140" s="207">
        <f t="shared" si="2964"/>
        <v>717.49999999999886</v>
      </c>
      <c r="LL140" s="207">
        <f t="shared" si="2964"/>
        <v>718.977932523611</v>
      </c>
      <c r="LM140" s="207">
        <f t="shared" si="2964"/>
        <v>720.45890934623969</v>
      </c>
      <c r="LN140" s="207">
        <f t="shared" si="2964"/>
        <v>721.9429367386424</v>
      </c>
      <c r="LO140" s="207">
        <f t="shared" si="2964"/>
        <v>723.43002098449347</v>
      </c>
      <c r="LP140" s="207">
        <f t="shared" si="2964"/>
        <v>724.92016838041047</v>
      </c>
      <c r="LQ140" s="207">
        <f t="shared" si="2964"/>
        <v>726.41338523598097</v>
      </c>
      <c r="LR140" s="207">
        <f t="shared" si="2964"/>
        <v>727.90967787378929</v>
      </c>
      <c r="LS140" s="207">
        <f t="shared" si="2964"/>
        <v>729.40905262944329</v>
      </c>
      <c r="LT140" s="207">
        <f t="shared" si="2964"/>
        <v>730.91151585160105</v>
      </c>
      <c r="LU140" s="207">
        <f t="shared" si="2964"/>
        <v>732.41707390199792</v>
      </c>
      <c r="LV140" s="207">
        <f t="shared" si="2964"/>
        <v>733.92573315547338</v>
      </c>
      <c r="LW140" s="207">
        <f t="shared" si="2964"/>
        <v>735.43749999999795</v>
      </c>
      <c r="LX140" s="207">
        <f t="shared" si="2964"/>
        <v>736.9523808367004</v>
      </c>
      <c r="LY140" s="207">
        <f t="shared" si="2964"/>
        <v>738.47038207989476</v>
      </c>
      <c r="LZ140" s="207">
        <f t="shared" si="2964"/>
        <v>739.99151015710754</v>
      </c>
      <c r="MA140" s="207">
        <f t="shared" si="2964"/>
        <v>741.51577150910487</v>
      </c>
      <c r="MB140" s="207">
        <f t="shared" si="2964"/>
        <v>743.04317258991978</v>
      </c>
      <c r="MC140" s="207">
        <f t="shared" si="2964"/>
        <v>744.57371986687951</v>
      </c>
      <c r="MD140" s="207">
        <f t="shared" si="2964"/>
        <v>746.10741982063303</v>
      </c>
      <c r="ME140" s="207">
        <f t="shared" si="2964"/>
        <v>747.64427894517837</v>
      </c>
      <c r="MF140" s="207">
        <f t="shared" si="2964"/>
        <v>749.18430374789011</v>
      </c>
      <c r="MG140" s="207">
        <f t="shared" si="2964"/>
        <v>750.72750074954695</v>
      </c>
      <c r="MH140" s="207">
        <f t="shared" si="2964"/>
        <v>752.27387648435922</v>
      </c>
      <c r="MI140" s="207">
        <f t="shared" si="2964"/>
        <v>753.82343749999688</v>
      </c>
      <c r="MJ140" s="207">
        <f t="shared" si="2964"/>
        <v>755.37619035761691</v>
      </c>
      <c r="MK140" s="207">
        <f t="shared" si="2964"/>
        <v>756.93214163189111</v>
      </c>
      <c r="ML140" s="207">
        <f t="shared" si="2964"/>
        <v>758.49129791103428</v>
      </c>
      <c r="MM140" s="207">
        <f t="shared" si="2964"/>
        <v>760.05366579683152</v>
      </c>
      <c r="MN140" s="207">
        <f t="shared" si="2964"/>
        <v>761.61925190466673</v>
      </c>
      <c r="MO140" s="207">
        <f t="shared" si="2964"/>
        <v>763.1880628635505</v>
      </c>
      <c r="MP140" s="207">
        <f t="shared" si="2964"/>
        <v>764.76010531614781</v>
      </c>
      <c r="MQ140" s="207">
        <f t="shared" si="2964"/>
        <v>766.33538591880676</v>
      </c>
      <c r="MR140" s="207">
        <f t="shared" si="2964"/>
        <v>767.9139113415863</v>
      </c>
      <c r="MS140" s="207">
        <f t="shared" si="2964"/>
        <v>769.49568826828454</v>
      </c>
      <c r="MT140" s="207">
        <f t="shared" si="2964"/>
        <v>771.08072339646719</v>
      </c>
      <c r="MU140" s="207">
        <f t="shared" si="2964"/>
        <v>772.66902343749587</v>
      </c>
      <c r="MV140" s="207">
        <f t="shared" si="2964"/>
        <v>774.26059511655637</v>
      </c>
      <c r="MW140" s="207">
        <f t="shared" si="2964"/>
        <v>775.8554451726875</v>
      </c>
      <c r="MX140" s="207">
        <f t="shared" si="2964"/>
        <v>777.45358035880918</v>
      </c>
      <c r="MY140" s="207">
        <f t="shared" si="2964"/>
        <v>779.0550074417514</v>
      </c>
      <c r="MZ140" s="207">
        <f t="shared" ref="MZ140:PK140" si="2965">MY140+IF(MZ$124&gt;0,MY140*((1+INDEX($C$107:$H$107,1,MIN(MZ$124,6)))^(1/12)-1))</f>
        <v>780.6597332022825</v>
      </c>
      <c r="NA140" s="207">
        <f t="shared" si="2965"/>
        <v>782.26776443513836</v>
      </c>
      <c r="NB140" s="207">
        <f t="shared" si="2965"/>
        <v>783.87910794905065</v>
      </c>
      <c r="NC140" s="207">
        <f t="shared" si="2965"/>
        <v>785.49377056677611</v>
      </c>
      <c r="ND140" s="207">
        <f t="shared" si="2965"/>
        <v>787.1117591251251</v>
      </c>
      <c r="NE140" s="207">
        <f t="shared" si="2965"/>
        <v>788.73308047499074</v>
      </c>
      <c r="NF140" s="207">
        <f t="shared" si="2965"/>
        <v>790.35774148137796</v>
      </c>
      <c r="NG140" s="207">
        <f t="shared" si="2965"/>
        <v>791.98574902343228</v>
      </c>
      <c r="NH140" s="207">
        <f t="shared" si="2965"/>
        <v>793.61710999446927</v>
      </c>
      <c r="NI140" s="207">
        <f t="shared" si="2965"/>
        <v>795.25183130200367</v>
      </c>
      <c r="NJ140" s="207">
        <f t="shared" si="2965"/>
        <v>796.88991986777842</v>
      </c>
      <c r="NK140" s="207">
        <f t="shared" si="2965"/>
        <v>798.53138262779419</v>
      </c>
      <c r="NL140" s="207">
        <f t="shared" si="2965"/>
        <v>800.17622653233855</v>
      </c>
      <c r="NM140" s="207">
        <f t="shared" si="2965"/>
        <v>801.82445854601576</v>
      </c>
      <c r="NN140" s="207">
        <f t="shared" si="2965"/>
        <v>803.4760856477759</v>
      </c>
      <c r="NO140" s="207">
        <f t="shared" si="2965"/>
        <v>805.13111483094451</v>
      </c>
      <c r="NP140" s="207">
        <f t="shared" si="2965"/>
        <v>806.78955310325216</v>
      </c>
      <c r="NQ140" s="207">
        <f t="shared" si="2965"/>
        <v>808.45140748686447</v>
      </c>
      <c r="NR140" s="207">
        <f t="shared" si="2965"/>
        <v>810.11668501841132</v>
      </c>
      <c r="NS140" s="207">
        <f t="shared" si="2965"/>
        <v>811.78539274901698</v>
      </c>
      <c r="NT140" s="207">
        <f t="shared" si="2965"/>
        <v>813.4575377443299</v>
      </c>
      <c r="NU140" s="207">
        <f t="shared" si="2965"/>
        <v>815.1331270845526</v>
      </c>
      <c r="NV140" s="207">
        <f t="shared" si="2965"/>
        <v>816.81216786447169</v>
      </c>
      <c r="NW140" s="207">
        <f t="shared" si="2965"/>
        <v>818.49466719348777</v>
      </c>
      <c r="NX140" s="207">
        <f t="shared" si="2965"/>
        <v>820.18063219564579</v>
      </c>
      <c r="NY140" s="207">
        <f t="shared" si="2965"/>
        <v>821.87007000966491</v>
      </c>
      <c r="NZ140" s="207">
        <f t="shared" si="2965"/>
        <v>823.56298778896905</v>
      </c>
      <c r="OA140" s="207">
        <f t="shared" si="2965"/>
        <v>825.25939270171682</v>
      </c>
      <c r="OB140" s="207">
        <f t="shared" si="2965"/>
        <v>826.95929193083225</v>
      </c>
      <c r="OC140" s="207">
        <f t="shared" si="2965"/>
        <v>828.66269267403482</v>
      </c>
      <c r="OD140" s="207">
        <f t="shared" si="2965"/>
        <v>830.36960214387034</v>
      </c>
      <c r="OE140" s="207">
        <f t="shared" si="2965"/>
        <v>832.08002756774113</v>
      </c>
      <c r="OF140" s="207">
        <f t="shared" si="2965"/>
        <v>833.79397618793689</v>
      </c>
      <c r="OG140" s="207">
        <f t="shared" si="2965"/>
        <v>835.51145526166522</v>
      </c>
      <c r="OH140" s="207">
        <f t="shared" si="2965"/>
        <v>837.23247206108226</v>
      </c>
      <c r="OI140" s="207">
        <f t="shared" si="2965"/>
        <v>838.95703387332378</v>
      </c>
      <c r="OJ140" s="207">
        <f t="shared" si="2965"/>
        <v>840.68514800053572</v>
      </c>
      <c r="OK140" s="207">
        <f t="shared" si="2965"/>
        <v>842.41682175990536</v>
      </c>
      <c r="OL140" s="207">
        <f t="shared" si="2965"/>
        <v>844.15206248369202</v>
      </c>
      <c r="OM140" s="207">
        <f t="shared" si="2965"/>
        <v>845.89087751925854</v>
      </c>
      <c r="ON140" s="207">
        <f t="shared" si="2965"/>
        <v>847.63327422910186</v>
      </c>
      <c r="OO140" s="207">
        <f t="shared" si="2965"/>
        <v>849.37925999088452</v>
      </c>
      <c r="OP140" s="207">
        <f t="shared" si="2965"/>
        <v>851.12884219746593</v>
      </c>
      <c r="OQ140" s="207">
        <f t="shared" si="2965"/>
        <v>852.88202825693349</v>
      </c>
      <c r="OR140" s="207">
        <f t="shared" si="2965"/>
        <v>854.63882559263413</v>
      </c>
      <c r="OS140" s="207">
        <f t="shared" si="2965"/>
        <v>856.39924164320564</v>
      </c>
      <c r="OT140" s="207">
        <f t="shared" si="2965"/>
        <v>858.16328386260818</v>
      </c>
      <c r="OU140" s="207">
        <f t="shared" si="2965"/>
        <v>859.93095972015578</v>
      </c>
      <c r="OV140" s="207">
        <f t="shared" si="2965"/>
        <v>861.70227670054805</v>
      </c>
      <c r="OW140" s="207">
        <f t="shared" si="2965"/>
        <v>863.4772423039019</v>
      </c>
      <c r="OX140" s="207">
        <f t="shared" si="2965"/>
        <v>865.25586404578326</v>
      </c>
      <c r="OY140" s="207">
        <f t="shared" si="2965"/>
        <v>867.03814945723889</v>
      </c>
      <c r="OZ140" s="207">
        <f t="shared" si="2965"/>
        <v>868.82410608482826</v>
      </c>
      <c r="PA140" s="207">
        <f t="shared" si="2965"/>
        <v>870.61374149065546</v>
      </c>
      <c r="PB140" s="207">
        <f t="shared" si="2965"/>
        <v>872.40706325240137</v>
      </c>
      <c r="PC140" s="207">
        <f t="shared" si="2965"/>
        <v>874.20407896335564</v>
      </c>
      <c r="PD140" s="207">
        <f t="shared" si="2965"/>
        <v>876.00479623244883</v>
      </c>
      <c r="PE140" s="207">
        <f t="shared" si="2965"/>
        <v>877.80922268428458</v>
      </c>
      <c r="PF140" s="207">
        <f t="shared" si="2965"/>
        <v>879.61736595917216</v>
      </c>
      <c r="PG140" s="207">
        <f t="shared" si="2965"/>
        <v>881.4292337131584</v>
      </c>
      <c r="PH140" s="207">
        <f t="shared" si="2965"/>
        <v>883.2448336180604</v>
      </c>
      <c r="PI140" s="207">
        <f t="shared" si="2965"/>
        <v>885.06417336149809</v>
      </c>
      <c r="PJ140" s="207">
        <f t="shared" si="2965"/>
        <v>886.88726064692651</v>
      </c>
      <c r="PK140" s="207">
        <f t="shared" si="2965"/>
        <v>888.71410319366851</v>
      </c>
      <c r="PL140" s="207">
        <f t="shared" ref="PL140:PO140" si="2966">PK140+IF(PL$124&gt;0,PK140*((1+INDEX($C$107:$H$107,1,MIN(PL$124,6)))^(1/12)-1))</f>
        <v>890.54470873694754</v>
      </c>
      <c r="PM140" s="207">
        <f t="shared" si="2966"/>
        <v>892.3790850279205</v>
      </c>
      <c r="PN140" s="207">
        <f t="shared" si="2966"/>
        <v>894.2172398337101</v>
      </c>
      <c r="PO140" s="207">
        <f t="shared" si="2966"/>
        <v>896.05918093743821</v>
      </c>
      <c r="PQ140" s="201"/>
      <c r="PR140" s="201"/>
      <c r="PS140" s="201"/>
      <c r="PT140" s="201"/>
      <c r="PU140" s="201"/>
      <c r="PV140" s="201"/>
      <c r="PW140" s="201"/>
      <c r="PX140" s="201"/>
      <c r="PY140" s="201"/>
      <c r="PZ140" s="201"/>
      <c r="QA140" s="201"/>
      <c r="QB140" s="201"/>
      <c r="QC140" s="201"/>
      <c r="QD140" s="201"/>
      <c r="QE140" s="201"/>
      <c r="QF140" s="201"/>
      <c r="QG140" s="201"/>
      <c r="QH140" s="201"/>
      <c r="QI140" s="201"/>
      <c r="QJ140" s="201"/>
      <c r="QK140" s="201"/>
      <c r="QL140" s="201"/>
      <c r="QM140" s="201"/>
      <c r="QN140" s="201"/>
      <c r="QO140" s="201"/>
      <c r="QP140" s="201"/>
      <c r="QQ140" s="201"/>
      <c r="QR140" s="201"/>
      <c r="QS140" s="201"/>
      <c r="QT140" s="201"/>
      <c r="QU140" s="201"/>
      <c r="QV140" s="201"/>
      <c r="QW140" s="201"/>
      <c r="QX140" s="201"/>
      <c r="QY140" s="201"/>
      <c r="QZ140" s="201"/>
      <c r="RA140" s="201"/>
      <c r="RB140" s="201"/>
      <c r="RC140" s="201"/>
      <c r="RD140" s="201"/>
      <c r="RE140" s="201"/>
      <c r="RF140" s="201"/>
      <c r="RG140" s="201"/>
      <c r="RH140" s="201"/>
      <c r="RI140" s="201"/>
      <c r="RJ140" s="201"/>
      <c r="RK140" s="201"/>
      <c r="RL140" s="201"/>
      <c r="RM140" s="201"/>
      <c r="RN140" s="201"/>
      <c r="RO140" s="201"/>
      <c r="RP140" s="201"/>
      <c r="RQ140" s="201"/>
      <c r="RR140" s="201"/>
      <c r="RS140" s="201"/>
      <c r="RT140" s="201"/>
      <c r="RU140" s="201"/>
      <c r="RV140" s="201"/>
      <c r="RW140" s="201"/>
      <c r="RX140" s="201"/>
      <c r="RY140" s="201"/>
      <c r="RZ140" s="201"/>
      <c r="SA140" s="201"/>
      <c r="SB140" s="201"/>
      <c r="SC140" s="201"/>
      <c r="SD140" s="201"/>
      <c r="SE140" s="201"/>
      <c r="SF140" s="201"/>
      <c r="SG140" s="201"/>
      <c r="SH140" s="201"/>
      <c r="SI140" s="201"/>
      <c r="SJ140" s="201"/>
      <c r="SK140" s="201"/>
      <c r="SL140" s="201"/>
      <c r="SM140" s="201"/>
      <c r="SN140" s="201"/>
      <c r="SO140" s="201"/>
      <c r="SP140" s="201"/>
      <c r="SQ140" s="201"/>
      <c r="SR140" s="201"/>
      <c r="SS140" s="201"/>
      <c r="ST140" s="201"/>
      <c r="SU140" s="201"/>
      <c r="SV140" s="201"/>
      <c r="SW140" s="201"/>
      <c r="SX140" s="201"/>
      <c r="SY140" s="201"/>
      <c r="SZ140" s="201"/>
      <c r="TA140" s="201"/>
      <c r="TB140" s="201"/>
      <c r="TC140" s="201"/>
      <c r="TD140" s="201"/>
      <c r="TE140" s="201"/>
      <c r="TF140" s="201"/>
      <c r="TG140" s="201"/>
      <c r="TH140" s="201"/>
      <c r="TI140" s="201"/>
      <c r="TJ140" s="201"/>
      <c r="TK140" s="201"/>
      <c r="TL140" s="201"/>
      <c r="TM140" s="201"/>
      <c r="TN140" s="201"/>
      <c r="TO140" s="201"/>
      <c r="TP140" s="201"/>
      <c r="TQ140" s="201"/>
      <c r="TR140" s="201"/>
      <c r="TS140" s="201"/>
      <c r="TT140" s="201"/>
      <c r="TU140" s="201"/>
      <c r="TV140" s="201"/>
      <c r="TW140" s="201"/>
      <c r="TX140" s="201"/>
      <c r="TY140" s="201"/>
      <c r="TZ140" s="201"/>
      <c r="UA140" s="201"/>
      <c r="UB140" s="201"/>
      <c r="UC140" s="201"/>
      <c r="UD140" s="201"/>
      <c r="UE140" s="201"/>
      <c r="UF140" s="201"/>
      <c r="UG140" s="201"/>
      <c r="UH140" s="201"/>
      <c r="UI140" s="201"/>
      <c r="UJ140" s="201"/>
      <c r="UK140" s="201"/>
      <c r="UL140" s="201"/>
      <c r="UM140" s="201"/>
      <c r="UN140" s="201"/>
      <c r="UO140" s="201"/>
      <c r="UP140" s="201"/>
      <c r="UQ140" s="201"/>
      <c r="UR140" s="201"/>
      <c r="US140" s="201"/>
      <c r="UT140" s="201"/>
      <c r="UU140" s="201"/>
    </row>
    <row r="141" spans="1:567" x14ac:dyDescent="0.25">
      <c r="B141" s="44" t="s">
        <v>150</v>
      </c>
      <c r="C141" s="26"/>
      <c r="D141" s="26"/>
      <c r="E141" s="104"/>
      <c r="F141" s="131" t="str">
        <f t="shared" si="2911"/>
        <v>Units/Year</v>
      </c>
      <c r="G141" s="584">
        <v>250</v>
      </c>
      <c r="H141" s="131" t="str">
        <f t="shared" si="2912"/>
        <v>Units/Year</v>
      </c>
      <c r="I141" s="584">
        <v>250</v>
      </c>
      <c r="J141" s="149">
        <f t="shared" si="2937"/>
        <v>75000</v>
      </c>
      <c r="K141" s="149">
        <f t="shared" si="2938"/>
        <v>75000</v>
      </c>
      <c r="M141" s="3" t="s">
        <v>849</v>
      </c>
      <c r="T141" s="92">
        <f t="shared" si="2913"/>
        <v>6250</v>
      </c>
      <c r="U141" s="92">
        <f t="shared" si="2913"/>
        <v>6250</v>
      </c>
      <c r="V141" s="92">
        <f t="shared" si="2913"/>
        <v>6250</v>
      </c>
      <c r="W141" s="92">
        <f t="shared" si="2913"/>
        <v>6250</v>
      </c>
      <c r="X141" s="92">
        <f t="shared" si="2913"/>
        <v>6250</v>
      </c>
      <c r="Y141" s="92">
        <f t="shared" si="2913"/>
        <v>6250</v>
      </c>
      <c r="Z141" s="92">
        <f t="shared" si="2913"/>
        <v>6250</v>
      </c>
      <c r="AA141" s="92">
        <f t="shared" si="2913"/>
        <v>6250</v>
      </c>
      <c r="AB141" s="92">
        <f t="shared" si="2913"/>
        <v>6250</v>
      </c>
      <c r="AC141" s="92">
        <f t="shared" si="2913"/>
        <v>6250</v>
      </c>
      <c r="AD141" s="92">
        <f t="shared" si="2914"/>
        <v>6250</v>
      </c>
      <c r="AE141" s="92">
        <f t="shared" si="2914"/>
        <v>6250</v>
      </c>
      <c r="AF141" s="92">
        <f t="shared" si="2914"/>
        <v>6262.8739766865174</v>
      </c>
      <c r="AG141" s="92">
        <f t="shared" si="2914"/>
        <v>6275.7744716571506</v>
      </c>
      <c r="AH141" s="92">
        <f t="shared" si="2914"/>
        <v>6288.7015395352237</v>
      </c>
      <c r="AI141" s="92">
        <f t="shared" si="2914"/>
        <v>6301.6552350565735</v>
      </c>
      <c r="AJ141" s="92">
        <f t="shared" si="2914"/>
        <v>6314.6356130697868</v>
      </c>
      <c r="AK141" s="92">
        <f t="shared" si="2914"/>
        <v>6327.6427285364289</v>
      </c>
      <c r="AL141" s="92">
        <f t="shared" si="2914"/>
        <v>6340.6766365312751</v>
      </c>
      <c r="AM141" s="92">
        <f t="shared" si="2914"/>
        <v>6353.7373922425468</v>
      </c>
      <c r="AN141" s="92">
        <f t="shared" si="2915"/>
        <v>6366.8250509721438</v>
      </c>
      <c r="AO141" s="92">
        <f t="shared" si="2915"/>
        <v>6379.9396681358785</v>
      </c>
      <c r="AP141" s="92">
        <f t="shared" si="2915"/>
        <v>6393.0812992637148</v>
      </c>
      <c r="AQ141" s="92">
        <f t="shared" si="2915"/>
        <v>6406.2499999999918</v>
      </c>
      <c r="AR141" s="92">
        <f t="shared" si="2915"/>
        <v>6419.4458261036716</v>
      </c>
      <c r="AS141" s="92">
        <f t="shared" si="2915"/>
        <v>6432.6688334485707</v>
      </c>
      <c r="AT141" s="92">
        <f t="shared" si="2915"/>
        <v>6445.9190780235958</v>
      </c>
      <c r="AU141" s="92">
        <f t="shared" si="2915"/>
        <v>6459.1966159329795</v>
      </c>
      <c r="AV141" s="92">
        <f t="shared" si="2915"/>
        <v>6472.5015033965246</v>
      </c>
      <c r="AW141" s="92">
        <f t="shared" si="2915"/>
        <v>6485.8337967498328</v>
      </c>
      <c r="AX141" s="92">
        <f t="shared" si="2916"/>
        <v>6499.1935524445498</v>
      </c>
      <c r="AY141" s="92">
        <f t="shared" si="2916"/>
        <v>6512.5808270486041</v>
      </c>
      <c r="AZ141" s="92">
        <f t="shared" si="2916"/>
        <v>6525.9956772464402</v>
      </c>
      <c r="BA141" s="92">
        <f t="shared" si="2916"/>
        <v>6539.4381598392692</v>
      </c>
      <c r="BB141" s="92">
        <f t="shared" si="2916"/>
        <v>6552.9083317453005</v>
      </c>
      <c r="BC141" s="92">
        <f t="shared" si="2916"/>
        <v>6566.4062499999845</v>
      </c>
      <c r="BD141" s="92">
        <f t="shared" si="2916"/>
        <v>6579.9319717562566</v>
      </c>
      <c r="BE141" s="92">
        <f t="shared" si="2916"/>
        <v>6593.485554284779</v>
      </c>
      <c r="BF141" s="92">
        <f t="shared" si="2916"/>
        <v>6607.0670549741799</v>
      </c>
      <c r="BG141" s="92">
        <f t="shared" si="2916"/>
        <v>6620.6765313312981</v>
      </c>
      <c r="BH141" s="92">
        <f t="shared" si="2917"/>
        <v>6634.3140409814305</v>
      </c>
      <c r="BI141" s="92">
        <f t="shared" si="2917"/>
        <v>6647.9796416685713</v>
      </c>
      <c r="BJ141" s="92">
        <f t="shared" si="2917"/>
        <v>6661.6733912556565</v>
      </c>
      <c r="BK141" s="92">
        <f t="shared" si="2917"/>
        <v>6675.3953477248115</v>
      </c>
      <c r="BL141" s="92">
        <f t="shared" si="2917"/>
        <v>6689.1455691775946</v>
      </c>
      <c r="BM141" s="92">
        <f t="shared" si="2917"/>
        <v>6702.9241138352445</v>
      </c>
      <c r="BN141" s="92">
        <f t="shared" si="2917"/>
        <v>6716.7310400389251</v>
      </c>
      <c r="BO141" s="92">
        <f t="shared" si="2917"/>
        <v>6730.5664062499754</v>
      </c>
      <c r="BP141" s="92">
        <f t="shared" si="2917"/>
        <v>6744.4302710501543</v>
      </c>
      <c r="BQ141" s="92">
        <f t="shared" si="2917"/>
        <v>6758.3226931418894</v>
      </c>
      <c r="BR141" s="92">
        <f t="shared" si="2918"/>
        <v>6772.2437313485243</v>
      </c>
      <c r="BS141" s="92">
        <f t="shared" si="2918"/>
        <v>6786.1934446145715</v>
      </c>
      <c r="BT141" s="92">
        <f t="shared" si="2918"/>
        <v>6800.1718920059575</v>
      </c>
      <c r="BU141" s="92">
        <f t="shared" si="2918"/>
        <v>6814.1791327102765</v>
      </c>
      <c r="BV141" s="92">
        <f t="shared" si="2918"/>
        <v>6828.2152260370385</v>
      </c>
      <c r="BW141" s="92">
        <f t="shared" si="2918"/>
        <v>6842.2802314179216</v>
      </c>
      <c r="BX141" s="92">
        <f t="shared" si="2918"/>
        <v>6856.3742084070245</v>
      </c>
      <c r="BY141" s="92">
        <f t="shared" si="2918"/>
        <v>6870.497216681114</v>
      </c>
      <c r="BZ141" s="92">
        <f t="shared" si="2918"/>
        <v>6884.6493160398886</v>
      </c>
      <c r="CA141" s="92">
        <f t="shared" si="2918"/>
        <v>6898.8305664062145</v>
      </c>
      <c r="CB141" s="92">
        <f t="shared" si="2919"/>
        <v>6913.041027826398</v>
      </c>
      <c r="CC141" s="92">
        <f t="shared" si="2919"/>
        <v>6927.2807604704258</v>
      </c>
      <c r="CD141" s="92">
        <f t="shared" si="2919"/>
        <v>6941.549824632225</v>
      </c>
      <c r="CE141" s="92">
        <f t="shared" si="2919"/>
        <v>6955.8482807299251</v>
      </c>
      <c r="CF141" s="92">
        <f t="shared" si="2919"/>
        <v>6970.1761893060948</v>
      </c>
      <c r="CG141" s="92">
        <f t="shared" si="2919"/>
        <v>6984.5336110280214</v>
      </c>
      <c r="CH141" s="92">
        <f t="shared" si="2919"/>
        <v>6998.9206066879533</v>
      </c>
      <c r="CI141" s="92">
        <f t="shared" si="2919"/>
        <v>7013.3372372033591</v>
      </c>
      <c r="CJ141" s="92">
        <f t="shared" si="2919"/>
        <v>7027.7835636171885</v>
      </c>
      <c r="CK141" s="92">
        <f t="shared" si="2919"/>
        <v>7042.2596470981325</v>
      </c>
      <c r="CL141" s="92">
        <f t="shared" si="2920"/>
        <v>7056.7655489408753</v>
      </c>
      <c r="CM141" s="92">
        <f t="shared" si="2920"/>
        <v>7071.3013305663617</v>
      </c>
      <c r="CN141" s="92">
        <f t="shared" si="2920"/>
        <v>7085.8670535220481</v>
      </c>
      <c r="CO141" s="92">
        <f t="shared" si="2920"/>
        <v>7100.4627794821763</v>
      </c>
      <c r="CP141" s="92">
        <f t="shared" si="2920"/>
        <v>7115.0885702480227</v>
      </c>
      <c r="CQ141" s="92">
        <f t="shared" si="2920"/>
        <v>7129.7444877481621</v>
      </c>
      <c r="CR141" s="92">
        <f t="shared" si="2920"/>
        <v>7144.4305940387385</v>
      </c>
      <c r="CS141" s="92">
        <f t="shared" si="2920"/>
        <v>7159.1469513037127</v>
      </c>
      <c r="CT141" s="92">
        <f t="shared" si="2920"/>
        <v>7173.8936218551416</v>
      </c>
      <c r="CU141" s="92">
        <f t="shared" si="2920"/>
        <v>7188.6706681334317</v>
      </c>
      <c r="CV141" s="92">
        <f t="shared" si="2921"/>
        <v>7203.4781527076075</v>
      </c>
      <c r="CW141" s="92">
        <f t="shared" si="2921"/>
        <v>7218.3161382755743</v>
      </c>
      <c r="CX141" s="92">
        <f t="shared" si="2921"/>
        <v>7233.1846876643858</v>
      </c>
      <c r="CY141" s="92">
        <f t="shared" si="2921"/>
        <v>7248.0838638305067</v>
      </c>
      <c r="CZ141" s="92">
        <f t="shared" si="2921"/>
        <v>7263.0137298600866</v>
      </c>
      <c r="DA141" s="92">
        <f t="shared" si="2921"/>
        <v>7277.9743489692191</v>
      </c>
      <c r="DB141" s="92">
        <f t="shared" si="2921"/>
        <v>7292.965784504212</v>
      </c>
      <c r="DC141" s="92">
        <f t="shared" si="2921"/>
        <v>7307.9880999418556</v>
      </c>
      <c r="DD141" s="92">
        <f t="shared" si="2921"/>
        <v>7323.0413588896945</v>
      </c>
      <c r="DE141" s="92">
        <f t="shared" si="2921"/>
        <v>7338.1256250862934</v>
      </c>
      <c r="DF141" s="92">
        <f t="shared" si="2922"/>
        <v>7353.240962401509</v>
      </c>
      <c r="DG141" s="92">
        <f t="shared" si="2922"/>
        <v>7368.3874348367572</v>
      </c>
      <c r="DH141" s="92">
        <f t="shared" si="2922"/>
        <v>7383.5651065252869</v>
      </c>
      <c r="DI141" s="92">
        <f t="shared" si="2922"/>
        <v>7398.774041732453</v>
      </c>
      <c r="DJ141" s="92">
        <f t="shared" si="2922"/>
        <v>7414.0143048559848</v>
      </c>
      <c r="DK141" s="92">
        <f t="shared" si="2922"/>
        <v>7429.2859604262603</v>
      </c>
      <c r="DL141" s="92">
        <f t="shared" si="2922"/>
        <v>7444.5890731065801</v>
      </c>
      <c r="DM141" s="92">
        <f t="shared" si="2922"/>
        <v>7459.9237076934405</v>
      </c>
      <c r="DN141" s="92">
        <f t="shared" si="2922"/>
        <v>7475.2899291168069</v>
      </c>
      <c r="DO141" s="92">
        <f t="shared" si="2922"/>
        <v>7490.6878024403914</v>
      </c>
      <c r="DP141" s="92">
        <f t="shared" si="2923"/>
        <v>7506.1173928619273</v>
      </c>
      <c r="DQ141" s="92">
        <f t="shared" si="2923"/>
        <v>7521.5787657134415</v>
      </c>
      <c r="DR141" s="92">
        <f t="shared" si="2923"/>
        <v>7537.0719864615376</v>
      </c>
      <c r="DS141" s="92">
        <f t="shared" si="2923"/>
        <v>7552.5971207076664</v>
      </c>
      <c r="DT141" s="92">
        <f t="shared" si="2923"/>
        <v>7568.1542341884096</v>
      </c>
      <c r="DU141" s="92">
        <f t="shared" si="2923"/>
        <v>7583.7433927757547</v>
      </c>
      <c r="DV141" s="92">
        <f t="shared" si="2923"/>
        <v>7599.3646624773746</v>
      </c>
      <c r="DW141" s="92">
        <f t="shared" si="2923"/>
        <v>7615.0181094369063</v>
      </c>
      <c r="DX141" s="92">
        <f t="shared" si="2923"/>
        <v>7630.7037999342328</v>
      </c>
      <c r="DY141" s="92">
        <f t="shared" si="2923"/>
        <v>7646.4218003857641</v>
      </c>
      <c r="DZ141" s="92">
        <f t="shared" si="2924"/>
        <v>7662.1721773447143</v>
      </c>
      <c r="EA141" s="92">
        <f t="shared" si="2924"/>
        <v>7677.9549975013897</v>
      </c>
      <c r="EB141" s="92">
        <f t="shared" si="2924"/>
        <v>7693.7703276834627</v>
      </c>
      <c r="EC141" s="92">
        <f t="shared" si="2924"/>
        <v>7709.6182348562652</v>
      </c>
      <c r="ED141" s="92">
        <f t="shared" si="2924"/>
        <v>7725.4987861230629</v>
      </c>
      <c r="EE141" s="92">
        <f t="shared" si="2924"/>
        <v>7741.4120487253458</v>
      </c>
      <c r="EF141" s="92">
        <f t="shared" si="2924"/>
        <v>7757.3580900431079</v>
      </c>
      <c r="EG141" s="92">
        <f t="shared" si="2924"/>
        <v>7773.3369775951369</v>
      </c>
      <c r="EH141" s="92">
        <f t="shared" si="2924"/>
        <v>7789.3487790392983</v>
      </c>
      <c r="EI141" s="92">
        <f t="shared" si="2924"/>
        <v>7805.3935621728187</v>
      </c>
      <c r="EJ141" s="92">
        <f t="shared" si="2925"/>
        <v>7821.4713949325806</v>
      </c>
      <c r="EK141" s="92">
        <f t="shared" si="2925"/>
        <v>7837.5823453953999</v>
      </c>
      <c r="EL141" s="92">
        <f t="shared" si="2925"/>
        <v>7853.7264817783243</v>
      </c>
      <c r="EM141" s="92">
        <f t="shared" si="2925"/>
        <v>7869.9038724389147</v>
      </c>
      <c r="EN141" s="92">
        <f t="shared" si="2925"/>
        <v>7886.1145858755408</v>
      </c>
      <c r="EO141" s="92">
        <f t="shared" si="2925"/>
        <v>7902.3586907276622</v>
      </c>
      <c r="EP141" s="92">
        <f t="shared" si="2925"/>
        <v>7918.6362557761304</v>
      </c>
      <c r="EQ141" s="92">
        <f t="shared" si="2925"/>
        <v>7934.9473499434689</v>
      </c>
      <c r="ER141" s="92">
        <f t="shared" si="2925"/>
        <v>7951.2920422941761</v>
      </c>
      <c r="ES141" s="92">
        <f t="shared" si="2925"/>
        <v>7967.6704020350053</v>
      </c>
      <c r="ET141" s="92">
        <f t="shared" si="2926"/>
        <v>7984.0824985152713</v>
      </c>
      <c r="EU141" s="92">
        <f t="shared" si="2926"/>
        <v>8000.5284012271295</v>
      </c>
      <c r="EW141" s="199" t="str">
        <f t="shared" ref="EW141:EW145" si="2967">+B141</f>
        <v>Contract Services</v>
      </c>
      <c r="EX141" s="201"/>
      <c r="EY141" s="221"/>
      <c r="EZ141" s="221"/>
      <c r="FA141" s="221"/>
      <c r="FB141" s="221"/>
      <c r="FC141" s="207">
        <f t="shared" ref="FC141:FC145" si="2968">+G141</f>
        <v>250</v>
      </c>
      <c r="FD141" s="207">
        <f t="shared" ref="FD141:HO141" si="2969">FC141+IF(FD$124&gt;0,FC141*((1+INDEX($C$107:$H$107,1,MIN(FD$124,6)))^(1/12)-1))</f>
        <v>250</v>
      </c>
      <c r="FE141" s="207">
        <f t="shared" si="2969"/>
        <v>250</v>
      </c>
      <c r="FF141" s="207">
        <f t="shared" si="2969"/>
        <v>250</v>
      </c>
      <c r="FG141" s="207">
        <f t="shared" si="2969"/>
        <v>250</v>
      </c>
      <c r="FH141" s="207">
        <f t="shared" si="2969"/>
        <v>250</v>
      </c>
      <c r="FI141" s="207">
        <f t="shared" si="2969"/>
        <v>250</v>
      </c>
      <c r="FJ141" s="207">
        <f t="shared" si="2969"/>
        <v>250</v>
      </c>
      <c r="FK141" s="207">
        <f t="shared" si="2969"/>
        <v>250</v>
      </c>
      <c r="FL141" s="207">
        <f t="shared" si="2969"/>
        <v>250</v>
      </c>
      <c r="FM141" s="207">
        <f t="shared" si="2969"/>
        <v>250</v>
      </c>
      <c r="FN141" s="207">
        <f t="shared" si="2969"/>
        <v>250</v>
      </c>
      <c r="FO141" s="207">
        <f t="shared" si="2969"/>
        <v>250</v>
      </c>
      <c r="FP141" s="207">
        <f t="shared" si="2969"/>
        <v>250.51495906746069</v>
      </c>
      <c r="FQ141" s="207">
        <f t="shared" si="2969"/>
        <v>251.03097886628601</v>
      </c>
      <c r="FR141" s="207">
        <f t="shared" si="2969"/>
        <v>251.54806158140892</v>
      </c>
      <c r="FS141" s="207">
        <f t="shared" si="2969"/>
        <v>252.06620940226293</v>
      </c>
      <c r="FT141" s="207">
        <f t="shared" si="2969"/>
        <v>252.58542452279147</v>
      </c>
      <c r="FU141" s="207">
        <f t="shared" si="2969"/>
        <v>253.10570914145714</v>
      </c>
      <c r="FV141" s="207">
        <f t="shared" si="2969"/>
        <v>253.62706546125099</v>
      </c>
      <c r="FW141" s="207">
        <f t="shared" si="2969"/>
        <v>254.14949568970187</v>
      </c>
      <c r="FX141" s="207">
        <f t="shared" si="2969"/>
        <v>254.67300203888576</v>
      </c>
      <c r="FY141" s="207">
        <f t="shared" si="2969"/>
        <v>255.19758672543517</v>
      </c>
      <c r="FZ141" s="207">
        <f t="shared" si="2969"/>
        <v>255.72325197054857</v>
      </c>
      <c r="GA141" s="207">
        <f t="shared" si="2969"/>
        <v>256.24999999999966</v>
      </c>
      <c r="GB141" s="207">
        <f t="shared" si="2969"/>
        <v>256.77783304414686</v>
      </c>
      <c r="GC141" s="207">
        <f t="shared" si="2969"/>
        <v>257.30675333794284</v>
      </c>
      <c r="GD141" s="207">
        <f t="shared" si="2969"/>
        <v>257.83676312094383</v>
      </c>
      <c r="GE141" s="207">
        <f t="shared" si="2969"/>
        <v>258.3678646373192</v>
      </c>
      <c r="GF141" s="207">
        <f t="shared" si="2969"/>
        <v>258.900060135861</v>
      </c>
      <c r="GG141" s="207">
        <f t="shared" si="2969"/>
        <v>259.43335186999332</v>
      </c>
      <c r="GH141" s="207">
        <f t="shared" si="2969"/>
        <v>259.96774209778198</v>
      </c>
      <c r="GI141" s="207">
        <f t="shared" si="2969"/>
        <v>260.50323308194413</v>
      </c>
      <c r="GJ141" s="207">
        <f t="shared" si="2969"/>
        <v>261.03982708985762</v>
      </c>
      <c r="GK141" s="207">
        <f t="shared" si="2969"/>
        <v>261.57752639357079</v>
      </c>
      <c r="GL141" s="207">
        <f t="shared" si="2969"/>
        <v>262.116333269812</v>
      </c>
      <c r="GM141" s="207">
        <f t="shared" si="2969"/>
        <v>262.65624999999937</v>
      </c>
      <c r="GN141" s="207">
        <f t="shared" si="2969"/>
        <v>263.19727887025027</v>
      </c>
      <c r="GO141" s="207">
        <f t="shared" si="2969"/>
        <v>263.73942217139114</v>
      </c>
      <c r="GP141" s="207">
        <f t="shared" si="2969"/>
        <v>264.28268219896717</v>
      </c>
      <c r="GQ141" s="207">
        <f t="shared" si="2969"/>
        <v>264.82706125325194</v>
      </c>
      <c r="GR141" s="207">
        <f t="shared" si="2969"/>
        <v>265.37256163925724</v>
      </c>
      <c r="GS141" s="207">
        <f t="shared" si="2969"/>
        <v>265.91918566674286</v>
      </c>
      <c r="GT141" s="207">
        <f t="shared" si="2969"/>
        <v>266.46693565022628</v>
      </c>
      <c r="GU141" s="207">
        <f t="shared" si="2969"/>
        <v>267.01581390899247</v>
      </c>
      <c r="GV141" s="207">
        <f t="shared" si="2969"/>
        <v>267.56582276710378</v>
      </c>
      <c r="GW141" s="207">
        <f t="shared" si="2969"/>
        <v>268.11696455340979</v>
      </c>
      <c r="GX141" s="207">
        <f t="shared" si="2969"/>
        <v>268.66924160155702</v>
      </c>
      <c r="GY141" s="207">
        <f t="shared" si="2969"/>
        <v>269.22265624999903</v>
      </c>
      <c r="GZ141" s="207">
        <f t="shared" si="2969"/>
        <v>269.77721084200618</v>
      </c>
      <c r="HA141" s="207">
        <f t="shared" si="2969"/>
        <v>270.33290772567557</v>
      </c>
      <c r="HB141" s="207">
        <f t="shared" si="2969"/>
        <v>270.88974925394098</v>
      </c>
      <c r="HC141" s="207">
        <f t="shared" si="2969"/>
        <v>271.44773778458284</v>
      </c>
      <c r="HD141" s="207">
        <f t="shared" si="2969"/>
        <v>272.00687568023829</v>
      </c>
      <c r="HE141" s="207">
        <f t="shared" si="2969"/>
        <v>272.56716530841106</v>
      </c>
      <c r="HF141" s="207">
        <f t="shared" si="2969"/>
        <v>273.12860904148152</v>
      </c>
      <c r="HG141" s="207">
        <f t="shared" si="2969"/>
        <v>273.69120925671689</v>
      </c>
      <c r="HH141" s="207">
        <f t="shared" si="2969"/>
        <v>274.25496833628097</v>
      </c>
      <c r="HI141" s="207">
        <f t="shared" si="2969"/>
        <v>274.81988866724458</v>
      </c>
      <c r="HJ141" s="207">
        <f t="shared" si="2969"/>
        <v>275.38597264159552</v>
      </c>
      <c r="HK141" s="207">
        <f t="shared" si="2969"/>
        <v>275.95322265624861</v>
      </c>
      <c r="HL141" s="207">
        <f t="shared" si="2969"/>
        <v>276.52164111305592</v>
      </c>
      <c r="HM141" s="207">
        <f t="shared" si="2969"/>
        <v>277.09123041881702</v>
      </c>
      <c r="HN141" s="207">
        <f t="shared" si="2969"/>
        <v>277.66199298528903</v>
      </c>
      <c r="HO141" s="207">
        <f t="shared" si="2969"/>
        <v>278.23393122919697</v>
      </c>
      <c r="HP141" s="207">
        <f t="shared" ref="HP141:KA141" si="2970">HO141+IF(HP$124&gt;0,HO141*((1+INDEX($C$107:$H$107,1,MIN(HP$124,6)))^(1/12)-1))</f>
        <v>278.80704757224379</v>
      </c>
      <c r="HQ141" s="207">
        <f t="shared" si="2970"/>
        <v>279.38134444112086</v>
      </c>
      <c r="HR141" s="207">
        <f t="shared" si="2970"/>
        <v>279.95682426751813</v>
      </c>
      <c r="HS141" s="207">
        <f t="shared" si="2970"/>
        <v>280.53348948813436</v>
      </c>
      <c r="HT141" s="207">
        <f t="shared" si="2970"/>
        <v>281.11134254468755</v>
      </c>
      <c r="HU141" s="207">
        <f t="shared" si="2970"/>
        <v>281.69038588392527</v>
      </c>
      <c r="HV141" s="207">
        <f t="shared" si="2970"/>
        <v>282.270621957635</v>
      </c>
      <c r="HW141" s="207">
        <f t="shared" si="2970"/>
        <v>282.85205322265443</v>
      </c>
      <c r="HX141" s="207">
        <f t="shared" si="2970"/>
        <v>283.43468214088193</v>
      </c>
      <c r="HY141" s="207">
        <f t="shared" si="2970"/>
        <v>284.01851117928709</v>
      </c>
      <c r="HZ141" s="207">
        <f t="shared" si="2970"/>
        <v>284.6035428099209</v>
      </c>
      <c r="IA141" s="207">
        <f t="shared" si="2970"/>
        <v>285.1897795099265</v>
      </c>
      <c r="IB141" s="207">
        <f t="shared" si="2970"/>
        <v>285.77722376154952</v>
      </c>
      <c r="IC141" s="207">
        <f t="shared" si="2970"/>
        <v>286.3658780521485</v>
      </c>
      <c r="ID141" s="207">
        <f t="shared" si="2970"/>
        <v>286.95574487420566</v>
      </c>
      <c r="IE141" s="207">
        <f t="shared" si="2970"/>
        <v>287.54682672533727</v>
      </c>
      <c r="IF141" s="207">
        <f t="shared" si="2970"/>
        <v>288.13912610830431</v>
      </c>
      <c r="IG141" s="207">
        <f t="shared" si="2970"/>
        <v>288.73264553102297</v>
      </c>
      <c r="IH141" s="207">
        <f t="shared" si="2970"/>
        <v>289.32738750657541</v>
      </c>
      <c r="II141" s="207">
        <f t="shared" si="2970"/>
        <v>289.92335455322029</v>
      </c>
      <c r="IJ141" s="207">
        <f t="shared" si="2970"/>
        <v>290.52054919440349</v>
      </c>
      <c r="IK141" s="207">
        <f t="shared" si="2970"/>
        <v>291.11897395876878</v>
      </c>
      <c r="IL141" s="207">
        <f t="shared" si="2970"/>
        <v>291.71863138016846</v>
      </c>
      <c r="IM141" s="207">
        <f t="shared" si="2970"/>
        <v>292.3195239976742</v>
      </c>
      <c r="IN141" s="207">
        <f t="shared" si="2970"/>
        <v>292.92165435558775</v>
      </c>
      <c r="IO141" s="207">
        <f t="shared" si="2970"/>
        <v>293.52502500345173</v>
      </c>
      <c r="IP141" s="207">
        <f t="shared" si="2970"/>
        <v>294.12963849606035</v>
      </c>
      <c r="IQ141" s="207">
        <f t="shared" si="2970"/>
        <v>294.73549739347027</v>
      </c>
      <c r="IR141" s="207">
        <f t="shared" si="2970"/>
        <v>295.3426042610115</v>
      </c>
      <c r="IS141" s="207">
        <f t="shared" si="2970"/>
        <v>295.95096166929812</v>
      </c>
      <c r="IT141" s="207">
        <f t="shared" si="2970"/>
        <v>296.5605721942394</v>
      </c>
      <c r="IU141" s="207">
        <f t="shared" si="2970"/>
        <v>297.17143841705041</v>
      </c>
      <c r="IV141" s="207">
        <f t="shared" si="2970"/>
        <v>297.78356292426321</v>
      </c>
      <c r="IW141" s="207">
        <f t="shared" si="2970"/>
        <v>298.3969483077376</v>
      </c>
      <c r="IX141" s="207">
        <f t="shared" si="2970"/>
        <v>299.01159716467225</v>
      </c>
      <c r="IY141" s="207">
        <f t="shared" si="2970"/>
        <v>299.62751209761564</v>
      </c>
      <c r="IZ141" s="207">
        <f t="shared" si="2970"/>
        <v>300.24469571447707</v>
      </c>
      <c r="JA141" s="207">
        <f t="shared" si="2970"/>
        <v>300.86315062853765</v>
      </c>
      <c r="JB141" s="207">
        <f t="shared" si="2970"/>
        <v>301.48287945846147</v>
      </c>
      <c r="JC141" s="207">
        <f t="shared" si="2970"/>
        <v>302.10388482830666</v>
      </c>
      <c r="JD141" s="207">
        <f t="shared" si="2970"/>
        <v>302.72616936753639</v>
      </c>
      <c r="JE141" s="207">
        <f t="shared" si="2970"/>
        <v>303.34973571103018</v>
      </c>
      <c r="JF141" s="207">
        <f t="shared" si="2970"/>
        <v>303.97458649909498</v>
      </c>
      <c r="JG141" s="207">
        <f t="shared" si="2970"/>
        <v>304.60072437747624</v>
      </c>
      <c r="JH141" s="207">
        <f t="shared" si="2970"/>
        <v>305.22815199736931</v>
      </c>
      <c r="JI141" s="207">
        <f t="shared" si="2970"/>
        <v>305.85687201543055</v>
      </c>
      <c r="JJ141" s="207">
        <f t="shared" si="2970"/>
        <v>306.4868870937886</v>
      </c>
      <c r="JK141" s="207">
        <f t="shared" si="2970"/>
        <v>307.11819990005557</v>
      </c>
      <c r="JL141" s="207">
        <f t="shared" si="2970"/>
        <v>307.7508131073385</v>
      </c>
      <c r="JM141" s="207">
        <f t="shared" si="2970"/>
        <v>308.3847293942506</v>
      </c>
      <c r="JN141" s="207">
        <f t="shared" si="2970"/>
        <v>309.01995144492253</v>
      </c>
      <c r="JO141" s="207">
        <f t="shared" si="2970"/>
        <v>309.65648194901382</v>
      </c>
      <c r="JP141" s="207">
        <f t="shared" si="2970"/>
        <v>310.29432360172433</v>
      </c>
      <c r="JQ141" s="207">
        <f t="shared" si="2970"/>
        <v>310.9334791038055</v>
      </c>
      <c r="JR141" s="207">
        <f t="shared" si="2970"/>
        <v>311.57395116157193</v>
      </c>
      <c r="JS141" s="207">
        <f t="shared" si="2970"/>
        <v>312.21574248691275</v>
      </c>
      <c r="JT141" s="207">
        <f t="shared" si="2970"/>
        <v>312.85885579730319</v>
      </c>
      <c r="JU141" s="207">
        <f t="shared" si="2970"/>
        <v>313.50329381581599</v>
      </c>
      <c r="JV141" s="207">
        <f t="shared" si="2970"/>
        <v>314.14905927113296</v>
      </c>
      <c r="JW141" s="207">
        <f t="shared" si="2970"/>
        <v>314.79615489755662</v>
      </c>
      <c r="JX141" s="207">
        <f t="shared" si="2970"/>
        <v>315.44458343502163</v>
      </c>
      <c r="JY141" s="207">
        <f t="shared" si="2970"/>
        <v>316.09434762910649</v>
      </c>
      <c r="JZ141" s="207">
        <f t="shared" si="2970"/>
        <v>316.7454502310452</v>
      </c>
      <c r="KA141" s="207">
        <f t="shared" si="2970"/>
        <v>317.39789399773878</v>
      </c>
      <c r="KB141" s="207">
        <f t="shared" ref="KB141:KE141" si="2971">KA141+IF(KB$124&gt;0,KA141*((1+INDEX($C$107:$H$107,1,MIN(KB$124,6)))^(1/12)-1))</f>
        <v>318.05168169176704</v>
      </c>
      <c r="KC141" s="207">
        <f t="shared" si="2971"/>
        <v>318.70681608140023</v>
      </c>
      <c r="KD141" s="207">
        <f t="shared" si="2971"/>
        <v>319.36329994061083</v>
      </c>
      <c r="KE141" s="207">
        <f t="shared" si="2971"/>
        <v>320.02113604908516</v>
      </c>
      <c r="KG141" s="199" t="str">
        <f t="shared" si="2962"/>
        <v>Contract Services</v>
      </c>
      <c r="KH141" s="201"/>
      <c r="KI141" s="221"/>
      <c r="KJ141" s="221"/>
      <c r="KK141" s="221"/>
      <c r="KL141" s="221"/>
      <c r="KM141" s="207">
        <f t="shared" si="2963"/>
        <v>250</v>
      </c>
      <c r="KN141" s="207">
        <f t="shared" ref="KN141:MY141" si="2972">KM141+IF(KN$124&gt;0,KM141*((1+INDEX($C$107:$H$107,1,MIN(KN$124,6)))^(1/12)-1))</f>
        <v>250</v>
      </c>
      <c r="KO141" s="207">
        <f t="shared" si="2972"/>
        <v>250</v>
      </c>
      <c r="KP141" s="207">
        <f t="shared" si="2972"/>
        <v>250</v>
      </c>
      <c r="KQ141" s="207">
        <f t="shared" si="2972"/>
        <v>250</v>
      </c>
      <c r="KR141" s="207">
        <f t="shared" si="2972"/>
        <v>250</v>
      </c>
      <c r="KS141" s="207">
        <f t="shared" si="2972"/>
        <v>250</v>
      </c>
      <c r="KT141" s="207">
        <f t="shared" si="2972"/>
        <v>250</v>
      </c>
      <c r="KU141" s="207">
        <f t="shared" si="2972"/>
        <v>250</v>
      </c>
      <c r="KV141" s="207">
        <f t="shared" si="2972"/>
        <v>250</v>
      </c>
      <c r="KW141" s="207">
        <f t="shared" si="2972"/>
        <v>250</v>
      </c>
      <c r="KX141" s="207">
        <f t="shared" si="2972"/>
        <v>250</v>
      </c>
      <c r="KY141" s="207">
        <f t="shared" si="2972"/>
        <v>250</v>
      </c>
      <c r="KZ141" s="207">
        <f t="shared" si="2972"/>
        <v>250.51495906746069</v>
      </c>
      <c r="LA141" s="207">
        <f t="shared" si="2972"/>
        <v>251.03097886628601</v>
      </c>
      <c r="LB141" s="207">
        <f t="shared" si="2972"/>
        <v>251.54806158140892</v>
      </c>
      <c r="LC141" s="207">
        <f t="shared" si="2972"/>
        <v>252.06620940226293</v>
      </c>
      <c r="LD141" s="207">
        <f t="shared" si="2972"/>
        <v>252.58542452279147</v>
      </c>
      <c r="LE141" s="207">
        <f t="shared" si="2972"/>
        <v>253.10570914145714</v>
      </c>
      <c r="LF141" s="207">
        <f t="shared" si="2972"/>
        <v>253.62706546125099</v>
      </c>
      <c r="LG141" s="207">
        <f t="shared" si="2972"/>
        <v>254.14949568970187</v>
      </c>
      <c r="LH141" s="207">
        <f t="shared" si="2972"/>
        <v>254.67300203888576</v>
      </c>
      <c r="LI141" s="207">
        <f t="shared" si="2972"/>
        <v>255.19758672543517</v>
      </c>
      <c r="LJ141" s="207">
        <f t="shared" si="2972"/>
        <v>255.72325197054857</v>
      </c>
      <c r="LK141" s="207">
        <f t="shared" si="2972"/>
        <v>256.24999999999966</v>
      </c>
      <c r="LL141" s="207">
        <f t="shared" si="2972"/>
        <v>256.77783304414686</v>
      </c>
      <c r="LM141" s="207">
        <f t="shared" si="2972"/>
        <v>257.30675333794284</v>
      </c>
      <c r="LN141" s="207">
        <f t="shared" si="2972"/>
        <v>257.83676312094383</v>
      </c>
      <c r="LO141" s="207">
        <f t="shared" si="2972"/>
        <v>258.3678646373192</v>
      </c>
      <c r="LP141" s="207">
        <f t="shared" si="2972"/>
        <v>258.900060135861</v>
      </c>
      <c r="LQ141" s="207">
        <f t="shared" si="2972"/>
        <v>259.43335186999332</v>
      </c>
      <c r="LR141" s="207">
        <f t="shared" si="2972"/>
        <v>259.96774209778198</v>
      </c>
      <c r="LS141" s="207">
        <f t="shared" si="2972"/>
        <v>260.50323308194413</v>
      </c>
      <c r="LT141" s="207">
        <f t="shared" si="2972"/>
        <v>261.03982708985762</v>
      </c>
      <c r="LU141" s="207">
        <f t="shared" si="2972"/>
        <v>261.57752639357079</v>
      </c>
      <c r="LV141" s="207">
        <f t="shared" si="2972"/>
        <v>262.116333269812</v>
      </c>
      <c r="LW141" s="207">
        <f t="shared" si="2972"/>
        <v>262.65624999999937</v>
      </c>
      <c r="LX141" s="207">
        <f t="shared" si="2972"/>
        <v>263.19727887025027</v>
      </c>
      <c r="LY141" s="207">
        <f t="shared" si="2972"/>
        <v>263.73942217139114</v>
      </c>
      <c r="LZ141" s="207">
        <f t="shared" si="2972"/>
        <v>264.28268219896717</v>
      </c>
      <c r="MA141" s="207">
        <f t="shared" si="2972"/>
        <v>264.82706125325194</v>
      </c>
      <c r="MB141" s="207">
        <f t="shared" si="2972"/>
        <v>265.37256163925724</v>
      </c>
      <c r="MC141" s="207">
        <f t="shared" si="2972"/>
        <v>265.91918566674286</v>
      </c>
      <c r="MD141" s="207">
        <f t="shared" si="2972"/>
        <v>266.46693565022628</v>
      </c>
      <c r="ME141" s="207">
        <f t="shared" si="2972"/>
        <v>267.01581390899247</v>
      </c>
      <c r="MF141" s="207">
        <f t="shared" si="2972"/>
        <v>267.56582276710378</v>
      </c>
      <c r="MG141" s="207">
        <f t="shared" si="2972"/>
        <v>268.11696455340979</v>
      </c>
      <c r="MH141" s="207">
        <f t="shared" si="2972"/>
        <v>268.66924160155702</v>
      </c>
      <c r="MI141" s="207">
        <f t="shared" si="2972"/>
        <v>269.22265624999903</v>
      </c>
      <c r="MJ141" s="207">
        <f t="shared" si="2972"/>
        <v>269.77721084200618</v>
      </c>
      <c r="MK141" s="207">
        <f t="shared" si="2972"/>
        <v>270.33290772567557</v>
      </c>
      <c r="ML141" s="207">
        <f t="shared" si="2972"/>
        <v>270.88974925394098</v>
      </c>
      <c r="MM141" s="207">
        <f t="shared" si="2972"/>
        <v>271.44773778458284</v>
      </c>
      <c r="MN141" s="207">
        <f t="shared" si="2972"/>
        <v>272.00687568023829</v>
      </c>
      <c r="MO141" s="207">
        <f t="shared" si="2972"/>
        <v>272.56716530841106</v>
      </c>
      <c r="MP141" s="207">
        <f t="shared" si="2972"/>
        <v>273.12860904148152</v>
      </c>
      <c r="MQ141" s="207">
        <f t="shared" si="2972"/>
        <v>273.69120925671689</v>
      </c>
      <c r="MR141" s="207">
        <f t="shared" si="2972"/>
        <v>274.25496833628097</v>
      </c>
      <c r="MS141" s="207">
        <f t="shared" si="2972"/>
        <v>274.81988866724458</v>
      </c>
      <c r="MT141" s="207">
        <f t="shared" si="2972"/>
        <v>275.38597264159552</v>
      </c>
      <c r="MU141" s="207">
        <f t="shared" si="2972"/>
        <v>275.95322265624861</v>
      </c>
      <c r="MV141" s="207">
        <f t="shared" si="2972"/>
        <v>276.52164111305592</v>
      </c>
      <c r="MW141" s="207">
        <f t="shared" si="2972"/>
        <v>277.09123041881702</v>
      </c>
      <c r="MX141" s="207">
        <f t="shared" si="2972"/>
        <v>277.66199298528903</v>
      </c>
      <c r="MY141" s="207">
        <f t="shared" si="2972"/>
        <v>278.23393122919697</v>
      </c>
      <c r="MZ141" s="207">
        <f t="shared" ref="MZ141:PK141" si="2973">MY141+IF(MZ$124&gt;0,MY141*((1+INDEX($C$107:$H$107,1,MIN(MZ$124,6)))^(1/12)-1))</f>
        <v>278.80704757224379</v>
      </c>
      <c r="NA141" s="207">
        <f t="shared" si="2973"/>
        <v>279.38134444112086</v>
      </c>
      <c r="NB141" s="207">
        <f t="shared" si="2973"/>
        <v>279.95682426751813</v>
      </c>
      <c r="NC141" s="207">
        <f t="shared" si="2973"/>
        <v>280.53348948813436</v>
      </c>
      <c r="ND141" s="207">
        <f t="shared" si="2973"/>
        <v>281.11134254468755</v>
      </c>
      <c r="NE141" s="207">
        <f t="shared" si="2973"/>
        <v>281.69038588392527</v>
      </c>
      <c r="NF141" s="207">
        <f t="shared" si="2973"/>
        <v>282.270621957635</v>
      </c>
      <c r="NG141" s="207">
        <f t="shared" si="2973"/>
        <v>282.85205322265443</v>
      </c>
      <c r="NH141" s="207">
        <f t="shared" si="2973"/>
        <v>283.43468214088193</v>
      </c>
      <c r="NI141" s="207">
        <f t="shared" si="2973"/>
        <v>284.01851117928709</v>
      </c>
      <c r="NJ141" s="207">
        <f t="shared" si="2973"/>
        <v>284.6035428099209</v>
      </c>
      <c r="NK141" s="207">
        <f t="shared" si="2973"/>
        <v>285.1897795099265</v>
      </c>
      <c r="NL141" s="207">
        <f t="shared" si="2973"/>
        <v>285.77722376154952</v>
      </c>
      <c r="NM141" s="207">
        <f t="shared" si="2973"/>
        <v>286.3658780521485</v>
      </c>
      <c r="NN141" s="207">
        <f t="shared" si="2973"/>
        <v>286.95574487420566</v>
      </c>
      <c r="NO141" s="207">
        <f t="shared" si="2973"/>
        <v>287.54682672533727</v>
      </c>
      <c r="NP141" s="207">
        <f t="shared" si="2973"/>
        <v>288.13912610830431</v>
      </c>
      <c r="NQ141" s="207">
        <f t="shared" si="2973"/>
        <v>288.73264553102297</v>
      </c>
      <c r="NR141" s="207">
        <f t="shared" si="2973"/>
        <v>289.32738750657541</v>
      </c>
      <c r="NS141" s="207">
        <f t="shared" si="2973"/>
        <v>289.92335455322029</v>
      </c>
      <c r="NT141" s="207">
        <f t="shared" si="2973"/>
        <v>290.52054919440349</v>
      </c>
      <c r="NU141" s="207">
        <f t="shared" si="2973"/>
        <v>291.11897395876878</v>
      </c>
      <c r="NV141" s="207">
        <f t="shared" si="2973"/>
        <v>291.71863138016846</v>
      </c>
      <c r="NW141" s="207">
        <f t="shared" si="2973"/>
        <v>292.3195239976742</v>
      </c>
      <c r="NX141" s="207">
        <f t="shared" si="2973"/>
        <v>292.92165435558775</v>
      </c>
      <c r="NY141" s="207">
        <f t="shared" si="2973"/>
        <v>293.52502500345173</v>
      </c>
      <c r="NZ141" s="207">
        <f t="shared" si="2973"/>
        <v>294.12963849606035</v>
      </c>
      <c r="OA141" s="207">
        <f t="shared" si="2973"/>
        <v>294.73549739347027</v>
      </c>
      <c r="OB141" s="207">
        <f t="shared" si="2973"/>
        <v>295.3426042610115</v>
      </c>
      <c r="OC141" s="207">
        <f t="shared" si="2973"/>
        <v>295.95096166929812</v>
      </c>
      <c r="OD141" s="207">
        <f t="shared" si="2973"/>
        <v>296.5605721942394</v>
      </c>
      <c r="OE141" s="207">
        <f t="shared" si="2973"/>
        <v>297.17143841705041</v>
      </c>
      <c r="OF141" s="207">
        <f t="shared" si="2973"/>
        <v>297.78356292426321</v>
      </c>
      <c r="OG141" s="207">
        <f t="shared" si="2973"/>
        <v>298.3969483077376</v>
      </c>
      <c r="OH141" s="207">
        <f t="shared" si="2973"/>
        <v>299.01159716467225</v>
      </c>
      <c r="OI141" s="207">
        <f t="shared" si="2973"/>
        <v>299.62751209761564</v>
      </c>
      <c r="OJ141" s="207">
        <f t="shared" si="2973"/>
        <v>300.24469571447707</v>
      </c>
      <c r="OK141" s="207">
        <f t="shared" si="2973"/>
        <v>300.86315062853765</v>
      </c>
      <c r="OL141" s="207">
        <f t="shared" si="2973"/>
        <v>301.48287945846147</v>
      </c>
      <c r="OM141" s="207">
        <f t="shared" si="2973"/>
        <v>302.10388482830666</v>
      </c>
      <c r="ON141" s="207">
        <f t="shared" si="2973"/>
        <v>302.72616936753639</v>
      </c>
      <c r="OO141" s="207">
        <f t="shared" si="2973"/>
        <v>303.34973571103018</v>
      </c>
      <c r="OP141" s="207">
        <f t="shared" si="2973"/>
        <v>303.97458649909498</v>
      </c>
      <c r="OQ141" s="207">
        <f t="shared" si="2973"/>
        <v>304.60072437747624</v>
      </c>
      <c r="OR141" s="207">
        <f t="shared" si="2973"/>
        <v>305.22815199736931</v>
      </c>
      <c r="OS141" s="207">
        <f t="shared" si="2973"/>
        <v>305.85687201543055</v>
      </c>
      <c r="OT141" s="207">
        <f t="shared" si="2973"/>
        <v>306.4868870937886</v>
      </c>
      <c r="OU141" s="207">
        <f t="shared" si="2973"/>
        <v>307.11819990005557</v>
      </c>
      <c r="OV141" s="207">
        <f t="shared" si="2973"/>
        <v>307.7508131073385</v>
      </c>
      <c r="OW141" s="207">
        <f t="shared" si="2973"/>
        <v>308.3847293942506</v>
      </c>
      <c r="OX141" s="207">
        <f t="shared" si="2973"/>
        <v>309.01995144492253</v>
      </c>
      <c r="OY141" s="207">
        <f t="shared" si="2973"/>
        <v>309.65648194901382</v>
      </c>
      <c r="OZ141" s="207">
        <f t="shared" si="2973"/>
        <v>310.29432360172433</v>
      </c>
      <c r="PA141" s="207">
        <f t="shared" si="2973"/>
        <v>310.9334791038055</v>
      </c>
      <c r="PB141" s="207">
        <f t="shared" si="2973"/>
        <v>311.57395116157193</v>
      </c>
      <c r="PC141" s="207">
        <f t="shared" si="2973"/>
        <v>312.21574248691275</v>
      </c>
      <c r="PD141" s="207">
        <f t="shared" si="2973"/>
        <v>312.85885579730319</v>
      </c>
      <c r="PE141" s="207">
        <f t="shared" si="2973"/>
        <v>313.50329381581599</v>
      </c>
      <c r="PF141" s="207">
        <f t="shared" si="2973"/>
        <v>314.14905927113296</v>
      </c>
      <c r="PG141" s="207">
        <f t="shared" si="2973"/>
        <v>314.79615489755662</v>
      </c>
      <c r="PH141" s="207">
        <f t="shared" si="2973"/>
        <v>315.44458343502163</v>
      </c>
      <c r="PI141" s="207">
        <f t="shared" si="2973"/>
        <v>316.09434762910649</v>
      </c>
      <c r="PJ141" s="207">
        <f t="shared" si="2973"/>
        <v>316.7454502310452</v>
      </c>
      <c r="PK141" s="207">
        <f t="shared" si="2973"/>
        <v>317.39789399773878</v>
      </c>
      <c r="PL141" s="207">
        <f t="shared" ref="PL141:PO141" si="2974">PK141+IF(PL$124&gt;0,PK141*((1+INDEX($C$107:$H$107,1,MIN(PL$124,6)))^(1/12)-1))</f>
        <v>318.05168169176704</v>
      </c>
      <c r="PM141" s="207">
        <f t="shared" si="2974"/>
        <v>318.70681608140023</v>
      </c>
      <c r="PN141" s="207">
        <f t="shared" si="2974"/>
        <v>319.36329994061083</v>
      </c>
      <c r="PO141" s="207">
        <f t="shared" si="2974"/>
        <v>320.02113604908516</v>
      </c>
      <c r="PQ141" s="201"/>
      <c r="PR141" s="201"/>
      <c r="PS141" s="201"/>
      <c r="PT141" s="201"/>
      <c r="PU141" s="201"/>
      <c r="PV141" s="201"/>
      <c r="PW141" s="201"/>
      <c r="PX141" s="201"/>
      <c r="PY141" s="201"/>
      <c r="PZ141" s="201"/>
      <c r="QA141" s="201"/>
      <c r="QB141" s="201"/>
      <c r="QC141" s="201"/>
      <c r="QD141" s="201"/>
      <c r="QE141" s="201"/>
      <c r="QF141" s="201"/>
      <c r="QG141" s="201"/>
      <c r="QH141" s="201"/>
      <c r="QI141" s="201"/>
      <c r="QJ141" s="201"/>
      <c r="QK141" s="201"/>
      <c r="QL141" s="201"/>
      <c r="QM141" s="201"/>
      <c r="QN141" s="201"/>
      <c r="QO141" s="201"/>
      <c r="QP141" s="201"/>
      <c r="QQ141" s="201"/>
      <c r="QR141" s="201"/>
      <c r="QS141" s="201"/>
      <c r="QT141" s="201"/>
      <c r="QU141" s="201"/>
      <c r="QV141" s="201"/>
      <c r="QW141" s="201"/>
      <c r="QX141" s="201"/>
      <c r="QY141" s="201"/>
      <c r="QZ141" s="201"/>
      <c r="RA141" s="201"/>
      <c r="RB141" s="201"/>
      <c r="RC141" s="201"/>
      <c r="RD141" s="201"/>
      <c r="RE141" s="201"/>
      <c r="RF141" s="201"/>
      <c r="RG141" s="201"/>
      <c r="RH141" s="201"/>
      <c r="RI141" s="201"/>
      <c r="RJ141" s="201"/>
      <c r="RK141" s="201"/>
      <c r="RL141" s="201"/>
      <c r="RM141" s="201"/>
      <c r="RN141" s="201"/>
      <c r="RO141" s="201"/>
      <c r="RP141" s="201"/>
      <c r="RQ141" s="201"/>
      <c r="RR141" s="201"/>
      <c r="RS141" s="201"/>
      <c r="RT141" s="201"/>
      <c r="RU141" s="201"/>
      <c r="RV141" s="201"/>
      <c r="RW141" s="201"/>
      <c r="RX141" s="201"/>
      <c r="RY141" s="201"/>
      <c r="RZ141" s="201"/>
      <c r="SA141" s="201"/>
      <c r="SB141" s="201"/>
      <c r="SC141" s="201"/>
      <c r="SD141" s="201"/>
      <c r="SE141" s="201"/>
      <c r="SF141" s="201"/>
      <c r="SG141" s="201"/>
      <c r="SH141" s="201"/>
      <c r="SI141" s="201"/>
      <c r="SJ141" s="201"/>
      <c r="SK141" s="201"/>
      <c r="SL141" s="201"/>
      <c r="SM141" s="201"/>
      <c r="SN141" s="201"/>
      <c r="SO141" s="201"/>
      <c r="SP141" s="201"/>
      <c r="SQ141" s="201"/>
      <c r="SR141" s="201"/>
      <c r="SS141" s="201"/>
      <c r="ST141" s="201"/>
      <c r="SU141" s="201"/>
      <c r="SV141" s="201"/>
      <c r="SW141" s="201"/>
      <c r="SX141" s="201"/>
      <c r="SY141" s="201"/>
      <c r="SZ141" s="201"/>
      <c r="TA141" s="201"/>
      <c r="TB141" s="201"/>
      <c r="TC141" s="201"/>
      <c r="TD141" s="201"/>
      <c r="TE141" s="201"/>
      <c r="TF141" s="201"/>
      <c r="TG141" s="201"/>
      <c r="TH141" s="201"/>
      <c r="TI141" s="201"/>
      <c r="TJ141" s="201"/>
      <c r="TK141" s="201"/>
      <c r="TL141" s="201"/>
      <c r="TM141" s="201"/>
      <c r="TN141" s="201"/>
      <c r="TO141" s="201"/>
      <c r="TP141" s="201"/>
      <c r="TQ141" s="201"/>
      <c r="TR141" s="201"/>
      <c r="TS141" s="201"/>
      <c r="TT141" s="201"/>
      <c r="TU141" s="201"/>
      <c r="TV141" s="201"/>
      <c r="TW141" s="201"/>
      <c r="TX141" s="201"/>
      <c r="TY141" s="201"/>
      <c r="TZ141" s="201"/>
      <c r="UA141" s="201"/>
      <c r="UB141" s="201"/>
      <c r="UC141" s="201"/>
      <c r="UD141" s="201"/>
      <c r="UE141" s="201"/>
      <c r="UF141" s="201"/>
      <c r="UG141" s="201"/>
      <c r="UH141" s="201"/>
      <c r="UI141" s="201"/>
      <c r="UJ141" s="201"/>
      <c r="UK141" s="201"/>
      <c r="UL141" s="201"/>
      <c r="UM141" s="201"/>
      <c r="UN141" s="201"/>
      <c r="UO141" s="201"/>
      <c r="UP141" s="201"/>
      <c r="UQ141" s="201"/>
      <c r="UR141" s="201"/>
      <c r="US141" s="201"/>
      <c r="UT141" s="201"/>
      <c r="UU141" s="201"/>
    </row>
    <row r="142" spans="1:567" x14ac:dyDescent="0.25">
      <c r="B142" s="44" t="s">
        <v>151</v>
      </c>
      <c r="C142" s="26"/>
      <c r="D142" s="26"/>
      <c r="E142" s="104"/>
      <c r="F142" s="131" t="str">
        <f t="shared" si="2911"/>
        <v>Units/Year</v>
      </c>
      <c r="G142" s="584">
        <v>200</v>
      </c>
      <c r="H142" s="131" t="str">
        <f t="shared" si="2912"/>
        <v>Units/Year</v>
      </c>
      <c r="I142" s="584">
        <v>200</v>
      </c>
      <c r="J142" s="149">
        <f t="shared" si="2937"/>
        <v>60000</v>
      </c>
      <c r="K142" s="149">
        <f t="shared" si="2938"/>
        <v>60000</v>
      </c>
      <c r="M142" s="3" t="s">
        <v>849</v>
      </c>
      <c r="T142" s="92">
        <f t="shared" si="2913"/>
        <v>5000.0000000000009</v>
      </c>
      <c r="U142" s="92">
        <f t="shared" si="2913"/>
        <v>4999.9999999999991</v>
      </c>
      <c r="V142" s="92">
        <f t="shared" si="2913"/>
        <v>5000</v>
      </c>
      <c r="W142" s="92">
        <f t="shared" si="2913"/>
        <v>5000</v>
      </c>
      <c r="X142" s="92">
        <f t="shared" si="2913"/>
        <v>5000</v>
      </c>
      <c r="Y142" s="92">
        <f t="shared" si="2913"/>
        <v>5000</v>
      </c>
      <c r="Z142" s="92">
        <f t="shared" si="2913"/>
        <v>5000</v>
      </c>
      <c r="AA142" s="92">
        <f t="shared" si="2913"/>
        <v>5000</v>
      </c>
      <c r="AB142" s="92">
        <f t="shared" si="2913"/>
        <v>5000</v>
      </c>
      <c r="AC142" s="92">
        <f t="shared" si="2913"/>
        <v>5000</v>
      </c>
      <c r="AD142" s="92">
        <f t="shared" si="2914"/>
        <v>5000</v>
      </c>
      <c r="AE142" s="92">
        <f t="shared" si="2914"/>
        <v>5000</v>
      </c>
      <c r="AF142" s="92">
        <f t="shared" si="2914"/>
        <v>5010.2991813492145</v>
      </c>
      <c r="AG142" s="92">
        <f t="shared" si="2914"/>
        <v>5020.6195773257205</v>
      </c>
      <c r="AH142" s="92">
        <f t="shared" si="2914"/>
        <v>5030.9612316281791</v>
      </c>
      <c r="AI142" s="92">
        <f t="shared" si="2914"/>
        <v>5041.3241880452588</v>
      </c>
      <c r="AJ142" s="92">
        <f t="shared" si="2914"/>
        <v>5051.7084904558305</v>
      </c>
      <c r="AK142" s="92">
        <f t="shared" si="2914"/>
        <v>5062.1141828291429</v>
      </c>
      <c r="AL142" s="92">
        <f t="shared" si="2914"/>
        <v>5072.5413092250201</v>
      </c>
      <c r="AM142" s="92">
        <f t="shared" si="2914"/>
        <v>5082.9899137940374</v>
      </c>
      <c r="AN142" s="92">
        <f t="shared" si="2915"/>
        <v>5093.4600407777152</v>
      </c>
      <c r="AO142" s="92">
        <f t="shared" si="2915"/>
        <v>5103.9517345087042</v>
      </c>
      <c r="AP142" s="92">
        <f t="shared" si="2915"/>
        <v>5114.4650394109713</v>
      </c>
      <c r="AQ142" s="92">
        <f t="shared" si="2915"/>
        <v>5124.9999999999927</v>
      </c>
      <c r="AR142" s="92">
        <f t="shared" si="2915"/>
        <v>5135.5566608829367</v>
      </c>
      <c r="AS142" s="92">
        <f t="shared" si="2915"/>
        <v>5146.1350667588567</v>
      </c>
      <c r="AT142" s="92">
        <f t="shared" si="2915"/>
        <v>5156.7352624188761</v>
      </c>
      <c r="AU142" s="92">
        <f t="shared" si="2915"/>
        <v>5167.3572927463829</v>
      </c>
      <c r="AV142" s="92">
        <f t="shared" si="2915"/>
        <v>5178.0012027172188</v>
      </c>
      <c r="AW142" s="92">
        <f t="shared" si="2915"/>
        <v>5188.667037399865</v>
      </c>
      <c r="AX142" s="92">
        <f t="shared" si="2916"/>
        <v>5199.3548419556382</v>
      </c>
      <c r="AY142" s="92">
        <f t="shared" si="2916"/>
        <v>5210.0646616388813</v>
      </c>
      <c r="AZ142" s="92">
        <f t="shared" si="2916"/>
        <v>5220.7965417971509</v>
      </c>
      <c r="BA142" s="92">
        <f t="shared" si="2916"/>
        <v>5231.5505278714145</v>
      </c>
      <c r="BB142" s="92">
        <f t="shared" si="2916"/>
        <v>5242.3266653962392</v>
      </c>
      <c r="BC142" s="92">
        <f t="shared" si="2916"/>
        <v>5253.1249999999864</v>
      </c>
      <c r="BD142" s="92">
        <f t="shared" si="2916"/>
        <v>5263.945577405003</v>
      </c>
      <c r="BE142" s="92">
        <f t="shared" si="2916"/>
        <v>5274.7884434278203</v>
      </c>
      <c r="BF142" s="92">
        <f t="shared" si="2916"/>
        <v>5285.6536439793399</v>
      </c>
      <c r="BG142" s="92">
        <f t="shared" si="2916"/>
        <v>5296.5412250650352</v>
      </c>
      <c r="BH142" s="92">
        <f t="shared" si="2917"/>
        <v>5307.4512327851417</v>
      </c>
      <c r="BI142" s="92">
        <f t="shared" si="2917"/>
        <v>5318.3837133348543</v>
      </c>
      <c r="BJ142" s="92">
        <f t="shared" si="2917"/>
        <v>5329.3387130045221</v>
      </c>
      <c r="BK142" s="92">
        <f t="shared" si="2917"/>
        <v>5340.3162781798455</v>
      </c>
      <c r="BL142" s="92">
        <f t="shared" si="2917"/>
        <v>5351.316455342072</v>
      </c>
      <c r="BM142" s="92">
        <f t="shared" si="2917"/>
        <v>5362.3392910681923</v>
      </c>
      <c r="BN142" s="92">
        <f t="shared" si="2917"/>
        <v>5373.3848320311372</v>
      </c>
      <c r="BO142" s="92">
        <f t="shared" si="2917"/>
        <v>5384.4531249999782</v>
      </c>
      <c r="BP142" s="92">
        <f t="shared" si="2917"/>
        <v>5395.5442168401214</v>
      </c>
      <c r="BQ142" s="92">
        <f t="shared" si="2917"/>
        <v>5406.6581545135086</v>
      </c>
      <c r="BR142" s="92">
        <f t="shared" si="2918"/>
        <v>5417.7949850788164</v>
      </c>
      <c r="BS142" s="92">
        <f t="shared" si="2918"/>
        <v>5428.9547556916541</v>
      </c>
      <c r="BT142" s="92">
        <f t="shared" si="2918"/>
        <v>5440.1375136047627</v>
      </c>
      <c r="BU142" s="92">
        <f t="shared" si="2918"/>
        <v>5451.3433061682181</v>
      </c>
      <c r="BV142" s="92">
        <f t="shared" si="2918"/>
        <v>5462.5721808296285</v>
      </c>
      <c r="BW142" s="92">
        <f t="shared" si="2918"/>
        <v>5473.8241851343346</v>
      </c>
      <c r="BX142" s="92">
        <f t="shared" si="2918"/>
        <v>5485.0993667256162</v>
      </c>
      <c r="BY142" s="92">
        <f t="shared" si="2918"/>
        <v>5496.3977733448892</v>
      </c>
      <c r="BZ142" s="92">
        <f t="shared" si="2918"/>
        <v>5507.7194528319087</v>
      </c>
      <c r="CA142" s="92">
        <f t="shared" si="2918"/>
        <v>5519.06445312497</v>
      </c>
      <c r="CB142" s="92">
        <f t="shared" si="2919"/>
        <v>5530.4328222611157</v>
      </c>
      <c r="CC142" s="92">
        <f t="shared" si="2919"/>
        <v>5541.8246083763379</v>
      </c>
      <c r="CD142" s="92">
        <f t="shared" si="2919"/>
        <v>5553.2398597057791</v>
      </c>
      <c r="CE142" s="92">
        <f t="shared" si="2919"/>
        <v>5564.6786245839367</v>
      </c>
      <c r="CF142" s="92">
        <f t="shared" si="2919"/>
        <v>5576.1409514448742</v>
      </c>
      <c r="CG142" s="92">
        <f t="shared" si="2919"/>
        <v>5587.6268888224149</v>
      </c>
      <c r="CH142" s="92">
        <f t="shared" si="2919"/>
        <v>5599.136485350361</v>
      </c>
      <c r="CI142" s="92">
        <f t="shared" si="2919"/>
        <v>5610.6697897626846</v>
      </c>
      <c r="CJ142" s="92">
        <f t="shared" si="2919"/>
        <v>5622.2268508937495</v>
      </c>
      <c r="CK142" s="92">
        <f t="shared" si="2919"/>
        <v>5633.8077176785046</v>
      </c>
      <c r="CL142" s="92">
        <f t="shared" si="2920"/>
        <v>5645.4124391526975</v>
      </c>
      <c r="CM142" s="92">
        <f t="shared" si="2920"/>
        <v>5657.0410644530857</v>
      </c>
      <c r="CN142" s="92">
        <f t="shared" si="2920"/>
        <v>5668.6936428176368</v>
      </c>
      <c r="CO142" s="92">
        <f t="shared" si="2920"/>
        <v>5680.3702235857381</v>
      </c>
      <c r="CP142" s="92">
        <f t="shared" si="2920"/>
        <v>5692.0708561984147</v>
      </c>
      <c r="CQ142" s="92">
        <f t="shared" si="2920"/>
        <v>5703.795590198527</v>
      </c>
      <c r="CR142" s="92">
        <f t="shared" si="2920"/>
        <v>5715.5444752309877</v>
      </c>
      <c r="CS142" s="92">
        <f t="shared" si="2920"/>
        <v>5727.3175610429671</v>
      </c>
      <c r="CT142" s="92">
        <f t="shared" si="2920"/>
        <v>5739.1148974841099</v>
      </c>
      <c r="CU142" s="92">
        <f t="shared" si="2920"/>
        <v>5750.9365345067426</v>
      </c>
      <c r="CV142" s="92">
        <f t="shared" si="2921"/>
        <v>5762.7825221660833</v>
      </c>
      <c r="CW142" s="92">
        <f t="shared" si="2921"/>
        <v>5774.6529106204571</v>
      </c>
      <c r="CX142" s="92">
        <f t="shared" si="2921"/>
        <v>5786.5477501315063</v>
      </c>
      <c r="CY142" s="92">
        <f t="shared" si="2921"/>
        <v>5798.4670910644027</v>
      </c>
      <c r="CZ142" s="92">
        <f t="shared" si="2921"/>
        <v>5810.4109838880677</v>
      </c>
      <c r="DA142" s="92">
        <f t="shared" si="2921"/>
        <v>5822.3794791753726</v>
      </c>
      <c r="DB142" s="92">
        <f t="shared" si="2921"/>
        <v>5834.3726276033667</v>
      </c>
      <c r="DC142" s="92">
        <f t="shared" si="2921"/>
        <v>5846.3904799534821</v>
      </c>
      <c r="DD142" s="92">
        <f t="shared" si="2921"/>
        <v>5858.4330871117527</v>
      </c>
      <c r="DE142" s="92">
        <f t="shared" si="2921"/>
        <v>5870.5005000690326</v>
      </c>
      <c r="DF142" s="92">
        <f t="shared" si="2922"/>
        <v>5882.5927699212052</v>
      </c>
      <c r="DG142" s="92">
        <f t="shared" si="2922"/>
        <v>5894.7099478694035</v>
      </c>
      <c r="DH142" s="92">
        <f t="shared" si="2922"/>
        <v>5906.8520852202273</v>
      </c>
      <c r="DI142" s="92">
        <f t="shared" si="2922"/>
        <v>5919.0192333859604</v>
      </c>
      <c r="DJ142" s="92">
        <f t="shared" si="2922"/>
        <v>5931.2114438847857</v>
      </c>
      <c r="DK142" s="92">
        <f t="shared" si="2922"/>
        <v>5943.4287683410066</v>
      </c>
      <c r="DL142" s="92">
        <f t="shared" si="2922"/>
        <v>5955.6712584852621</v>
      </c>
      <c r="DM142" s="92">
        <f t="shared" si="2922"/>
        <v>5967.9389661547502</v>
      </c>
      <c r="DN142" s="92">
        <f t="shared" si="2922"/>
        <v>5980.2319432934428</v>
      </c>
      <c r="DO142" s="92">
        <f t="shared" si="2922"/>
        <v>5992.5502419523109</v>
      </c>
      <c r="DP142" s="92">
        <f t="shared" si="2923"/>
        <v>6004.8939142895397</v>
      </c>
      <c r="DQ142" s="92">
        <f t="shared" si="2923"/>
        <v>6017.263012570751</v>
      </c>
      <c r="DR142" s="92">
        <f t="shared" si="2923"/>
        <v>6029.6575891692273</v>
      </c>
      <c r="DS142" s="92">
        <f t="shared" si="2923"/>
        <v>6042.0776965661307</v>
      </c>
      <c r="DT142" s="92">
        <f t="shared" si="2923"/>
        <v>6054.523387350725</v>
      </c>
      <c r="DU142" s="92">
        <f t="shared" si="2923"/>
        <v>6066.9947142206011</v>
      </c>
      <c r="DV142" s="92">
        <f t="shared" si="2923"/>
        <v>6079.4917299818962</v>
      </c>
      <c r="DW142" s="92">
        <f t="shared" si="2923"/>
        <v>6092.0144875495216</v>
      </c>
      <c r="DX142" s="92">
        <f t="shared" si="2923"/>
        <v>6104.5630399473848</v>
      </c>
      <c r="DY142" s="92">
        <f t="shared" si="2923"/>
        <v>6117.1374403086093</v>
      </c>
      <c r="DZ142" s="92">
        <f t="shared" si="2924"/>
        <v>6129.7377418757706</v>
      </c>
      <c r="EA142" s="92">
        <f t="shared" si="2924"/>
        <v>6142.3639980011094</v>
      </c>
      <c r="EB142" s="92">
        <f t="shared" si="2924"/>
        <v>6155.016262146768</v>
      </c>
      <c r="EC142" s="92">
        <f t="shared" si="2924"/>
        <v>6167.6945878850102</v>
      </c>
      <c r="ED142" s="92">
        <f t="shared" si="2924"/>
        <v>6180.3990288984487</v>
      </c>
      <c r="EE142" s="92">
        <f t="shared" si="2924"/>
        <v>6193.1296389802746</v>
      </c>
      <c r="EF142" s="92">
        <f t="shared" si="2924"/>
        <v>6205.8864720344836</v>
      </c>
      <c r="EG142" s="92">
        <f t="shared" si="2924"/>
        <v>6218.6695820761079</v>
      </c>
      <c r="EH142" s="92">
        <f t="shared" si="2924"/>
        <v>6231.4790232314363</v>
      </c>
      <c r="EI142" s="92">
        <f t="shared" si="2924"/>
        <v>6244.3148497382526</v>
      </c>
      <c r="EJ142" s="92">
        <f t="shared" si="2925"/>
        <v>6257.1771159460613</v>
      </c>
      <c r="EK142" s="92">
        <f t="shared" si="2925"/>
        <v>6270.0658763163165</v>
      </c>
      <c r="EL142" s="92">
        <f t="shared" si="2925"/>
        <v>6282.9811854226564</v>
      </c>
      <c r="EM142" s="92">
        <f t="shared" si="2925"/>
        <v>6295.9230979511294</v>
      </c>
      <c r="EN142" s="92">
        <f t="shared" si="2925"/>
        <v>6308.8916687004303</v>
      </c>
      <c r="EO142" s="92">
        <f t="shared" si="2925"/>
        <v>6321.8869525821274</v>
      </c>
      <c r="EP142" s="92">
        <f t="shared" si="2925"/>
        <v>6334.9090046209021</v>
      </c>
      <c r="EQ142" s="92">
        <f t="shared" si="2925"/>
        <v>6347.9578799547744</v>
      </c>
      <c r="ER142" s="92">
        <f t="shared" si="2925"/>
        <v>6361.0336338353382</v>
      </c>
      <c r="ES142" s="92">
        <f t="shared" si="2925"/>
        <v>6374.1363216280015</v>
      </c>
      <c r="ET142" s="92">
        <f t="shared" si="2926"/>
        <v>6387.2659988122141</v>
      </c>
      <c r="EU142" s="92">
        <f t="shared" si="2926"/>
        <v>6400.4227209817</v>
      </c>
      <c r="EW142" s="199" t="str">
        <f t="shared" si="2967"/>
        <v>Make Ready Cost</v>
      </c>
      <c r="EX142" s="201"/>
      <c r="EY142" s="221"/>
      <c r="EZ142" s="221"/>
      <c r="FA142" s="221"/>
      <c r="FB142" s="221"/>
      <c r="FC142" s="207">
        <f t="shared" si="2968"/>
        <v>200</v>
      </c>
      <c r="FD142" s="207">
        <f t="shared" ref="FD142:HO142" si="2975">FC142+IF(FD$124&gt;0,FC142*((1+INDEX($C$107:$H$107,1,MIN(FD$124,6)))^(1/12)-1))</f>
        <v>200</v>
      </c>
      <c r="FE142" s="207">
        <f t="shared" si="2975"/>
        <v>200</v>
      </c>
      <c r="FF142" s="207">
        <f t="shared" si="2975"/>
        <v>200</v>
      </c>
      <c r="FG142" s="207">
        <f t="shared" si="2975"/>
        <v>200</v>
      </c>
      <c r="FH142" s="207">
        <f t="shared" si="2975"/>
        <v>200</v>
      </c>
      <c r="FI142" s="207">
        <f t="shared" si="2975"/>
        <v>200</v>
      </c>
      <c r="FJ142" s="207">
        <f t="shared" si="2975"/>
        <v>200</v>
      </c>
      <c r="FK142" s="207">
        <f t="shared" si="2975"/>
        <v>200</v>
      </c>
      <c r="FL142" s="207">
        <f t="shared" si="2975"/>
        <v>200</v>
      </c>
      <c r="FM142" s="207">
        <f t="shared" si="2975"/>
        <v>200</v>
      </c>
      <c r="FN142" s="207">
        <f t="shared" si="2975"/>
        <v>200</v>
      </c>
      <c r="FO142" s="207">
        <f t="shared" si="2975"/>
        <v>200</v>
      </c>
      <c r="FP142" s="207">
        <f t="shared" si="2975"/>
        <v>200.41196725396856</v>
      </c>
      <c r="FQ142" s="207">
        <f t="shared" si="2975"/>
        <v>200.82478309302883</v>
      </c>
      <c r="FR142" s="207">
        <f t="shared" si="2975"/>
        <v>201.23844926512714</v>
      </c>
      <c r="FS142" s="207">
        <f t="shared" si="2975"/>
        <v>201.65296752181035</v>
      </c>
      <c r="FT142" s="207">
        <f t="shared" si="2975"/>
        <v>202.06833961823321</v>
      </c>
      <c r="FU142" s="207">
        <f t="shared" si="2975"/>
        <v>202.48456731316574</v>
      </c>
      <c r="FV142" s="207">
        <f t="shared" si="2975"/>
        <v>202.9016523690008</v>
      </c>
      <c r="FW142" s="207">
        <f t="shared" si="2975"/>
        <v>203.31959655176149</v>
      </c>
      <c r="FX142" s="207">
        <f t="shared" si="2975"/>
        <v>203.73840163110862</v>
      </c>
      <c r="FY142" s="207">
        <f t="shared" si="2975"/>
        <v>204.15806938034817</v>
      </c>
      <c r="FZ142" s="207">
        <f t="shared" si="2975"/>
        <v>204.57860157643887</v>
      </c>
      <c r="GA142" s="207">
        <f t="shared" si="2975"/>
        <v>204.99999999999972</v>
      </c>
      <c r="GB142" s="207">
        <f t="shared" si="2975"/>
        <v>205.42226643531748</v>
      </c>
      <c r="GC142" s="207">
        <f t="shared" si="2975"/>
        <v>205.84540267035425</v>
      </c>
      <c r="GD142" s="207">
        <f t="shared" si="2975"/>
        <v>206.26941049675503</v>
      </c>
      <c r="GE142" s="207">
        <f t="shared" si="2975"/>
        <v>206.69429170985532</v>
      </c>
      <c r="GF142" s="207">
        <f t="shared" si="2975"/>
        <v>207.12004810868874</v>
      </c>
      <c r="GG142" s="207">
        <f t="shared" si="2975"/>
        <v>207.54668149599459</v>
      </c>
      <c r="GH142" s="207">
        <f t="shared" si="2975"/>
        <v>207.97419367822553</v>
      </c>
      <c r="GI142" s="207">
        <f t="shared" si="2975"/>
        <v>208.40258646555523</v>
      </c>
      <c r="GJ142" s="207">
        <f t="shared" si="2975"/>
        <v>208.83186167188603</v>
      </c>
      <c r="GK142" s="207">
        <f t="shared" si="2975"/>
        <v>209.26202111485657</v>
      </c>
      <c r="GL142" s="207">
        <f t="shared" si="2975"/>
        <v>209.69306661584955</v>
      </c>
      <c r="GM142" s="207">
        <f t="shared" si="2975"/>
        <v>210.12499999999943</v>
      </c>
      <c r="GN142" s="207">
        <f t="shared" si="2975"/>
        <v>210.55782309620014</v>
      </c>
      <c r="GO142" s="207">
        <f t="shared" si="2975"/>
        <v>210.99153773711282</v>
      </c>
      <c r="GP142" s="207">
        <f t="shared" si="2975"/>
        <v>211.42614575917361</v>
      </c>
      <c r="GQ142" s="207">
        <f t="shared" si="2975"/>
        <v>211.86164900260141</v>
      </c>
      <c r="GR142" s="207">
        <f t="shared" si="2975"/>
        <v>212.29804931140566</v>
      </c>
      <c r="GS142" s="207">
        <f t="shared" si="2975"/>
        <v>212.73534853339416</v>
      </c>
      <c r="GT142" s="207">
        <f t="shared" si="2975"/>
        <v>213.17354852018087</v>
      </c>
      <c r="GU142" s="207">
        <f t="shared" si="2975"/>
        <v>213.61265112719383</v>
      </c>
      <c r="GV142" s="207">
        <f t="shared" si="2975"/>
        <v>214.05265821368289</v>
      </c>
      <c r="GW142" s="207">
        <f t="shared" si="2975"/>
        <v>214.49357164272769</v>
      </c>
      <c r="GX142" s="207">
        <f t="shared" si="2975"/>
        <v>214.9353932812455</v>
      </c>
      <c r="GY142" s="207">
        <f t="shared" si="2975"/>
        <v>215.37812499999913</v>
      </c>
      <c r="GZ142" s="207">
        <f t="shared" si="2975"/>
        <v>215.82176867360485</v>
      </c>
      <c r="HA142" s="207">
        <f t="shared" si="2975"/>
        <v>216.26632618054035</v>
      </c>
      <c r="HB142" s="207">
        <f t="shared" si="2975"/>
        <v>216.71179940315267</v>
      </c>
      <c r="HC142" s="207">
        <f t="shared" si="2975"/>
        <v>217.15819022766615</v>
      </c>
      <c r="HD142" s="207">
        <f t="shared" si="2975"/>
        <v>217.60550054419051</v>
      </c>
      <c r="HE142" s="207">
        <f t="shared" si="2975"/>
        <v>218.05373224672871</v>
      </c>
      <c r="HF142" s="207">
        <f t="shared" si="2975"/>
        <v>218.50288723318511</v>
      </c>
      <c r="HG142" s="207">
        <f t="shared" si="2975"/>
        <v>218.95296740537339</v>
      </c>
      <c r="HH142" s="207">
        <f t="shared" si="2975"/>
        <v>219.40397466902468</v>
      </c>
      <c r="HI142" s="207">
        <f t="shared" si="2975"/>
        <v>219.8559109337956</v>
      </c>
      <c r="HJ142" s="207">
        <f t="shared" si="2975"/>
        <v>220.30877811327633</v>
      </c>
      <c r="HK142" s="207">
        <f t="shared" si="2975"/>
        <v>220.76257812499878</v>
      </c>
      <c r="HL142" s="207">
        <f t="shared" si="2975"/>
        <v>221.21731289044465</v>
      </c>
      <c r="HM142" s="207">
        <f t="shared" si="2975"/>
        <v>221.67298433505354</v>
      </c>
      <c r="HN142" s="207">
        <f t="shared" si="2975"/>
        <v>222.12959438823117</v>
      </c>
      <c r="HO142" s="207">
        <f t="shared" si="2975"/>
        <v>222.58714498335749</v>
      </c>
      <c r="HP142" s="207">
        <f t="shared" ref="HP142:KA142" si="2976">HO142+IF(HP$124&gt;0,HO142*((1+INDEX($C$107:$H$107,1,MIN(HP$124,6)))^(1/12)-1))</f>
        <v>223.04563805779495</v>
      </c>
      <c r="HQ142" s="207">
        <f t="shared" si="2976"/>
        <v>223.50507555289661</v>
      </c>
      <c r="HR142" s="207">
        <f t="shared" si="2976"/>
        <v>223.96545941401442</v>
      </c>
      <c r="HS142" s="207">
        <f t="shared" si="2976"/>
        <v>224.42679159050741</v>
      </c>
      <c r="HT142" s="207">
        <f t="shared" si="2976"/>
        <v>224.88907403574999</v>
      </c>
      <c r="HU142" s="207">
        <f t="shared" si="2976"/>
        <v>225.35230870714017</v>
      </c>
      <c r="HV142" s="207">
        <f t="shared" si="2976"/>
        <v>225.81649756610793</v>
      </c>
      <c r="HW142" s="207">
        <f t="shared" si="2976"/>
        <v>226.28164257812344</v>
      </c>
      <c r="HX142" s="207">
        <f t="shared" si="2976"/>
        <v>226.74774571270544</v>
      </c>
      <c r="HY142" s="207">
        <f t="shared" si="2976"/>
        <v>227.21480894342955</v>
      </c>
      <c r="HZ142" s="207">
        <f t="shared" si="2976"/>
        <v>227.6828342479366</v>
      </c>
      <c r="IA142" s="207">
        <f t="shared" si="2976"/>
        <v>228.15182360794108</v>
      </c>
      <c r="IB142" s="207">
        <f t="shared" si="2976"/>
        <v>228.62177900923948</v>
      </c>
      <c r="IC142" s="207">
        <f t="shared" si="2976"/>
        <v>229.09270244171867</v>
      </c>
      <c r="ID142" s="207">
        <f t="shared" si="2976"/>
        <v>229.56459589936441</v>
      </c>
      <c r="IE142" s="207">
        <f t="shared" si="2976"/>
        <v>230.03746138026972</v>
      </c>
      <c r="IF142" s="207">
        <f t="shared" si="2976"/>
        <v>230.51130088664334</v>
      </c>
      <c r="IG142" s="207">
        <f t="shared" si="2976"/>
        <v>230.98611642481828</v>
      </c>
      <c r="IH142" s="207">
        <f t="shared" si="2976"/>
        <v>231.46191000526022</v>
      </c>
      <c r="II142" s="207">
        <f t="shared" si="2976"/>
        <v>231.93868364257614</v>
      </c>
      <c r="IJ142" s="207">
        <f t="shared" si="2976"/>
        <v>232.4164393555227</v>
      </c>
      <c r="IK142" s="207">
        <f t="shared" si="2976"/>
        <v>232.8951791670149</v>
      </c>
      <c r="IL142" s="207">
        <f t="shared" si="2976"/>
        <v>233.37490510413465</v>
      </c>
      <c r="IM142" s="207">
        <f t="shared" si="2976"/>
        <v>233.85561919813927</v>
      </c>
      <c r="IN142" s="207">
        <f t="shared" si="2976"/>
        <v>234.33732348447012</v>
      </c>
      <c r="IO142" s="207">
        <f t="shared" si="2976"/>
        <v>234.82002000276131</v>
      </c>
      <c r="IP142" s="207">
        <f t="shared" si="2976"/>
        <v>235.30371079684821</v>
      </c>
      <c r="IQ142" s="207">
        <f t="shared" si="2976"/>
        <v>235.78839791477614</v>
      </c>
      <c r="IR142" s="207">
        <f t="shared" si="2976"/>
        <v>236.2740834088091</v>
      </c>
      <c r="IS142" s="207">
        <f t="shared" si="2976"/>
        <v>236.76076933543843</v>
      </c>
      <c r="IT142" s="207">
        <f t="shared" si="2976"/>
        <v>237.24845775539143</v>
      </c>
      <c r="IU142" s="207">
        <f t="shared" si="2976"/>
        <v>237.73715073364025</v>
      </c>
      <c r="IV142" s="207">
        <f t="shared" si="2976"/>
        <v>238.22685033941048</v>
      </c>
      <c r="IW142" s="207">
        <f t="shared" si="2976"/>
        <v>238.71755864618999</v>
      </c>
      <c r="IX142" s="207">
        <f t="shared" si="2976"/>
        <v>239.20927773173773</v>
      </c>
      <c r="IY142" s="207">
        <f t="shared" si="2976"/>
        <v>239.70200967809245</v>
      </c>
      <c r="IZ142" s="207">
        <f t="shared" si="2976"/>
        <v>240.19575657158157</v>
      </c>
      <c r="JA142" s="207">
        <f t="shared" si="2976"/>
        <v>240.69052050283003</v>
      </c>
      <c r="JB142" s="207">
        <f t="shared" si="2976"/>
        <v>241.18630356676908</v>
      </c>
      <c r="JC142" s="207">
        <f t="shared" si="2976"/>
        <v>241.68310786264522</v>
      </c>
      <c r="JD142" s="207">
        <f t="shared" si="2976"/>
        <v>242.180935494029</v>
      </c>
      <c r="JE142" s="207">
        <f t="shared" si="2976"/>
        <v>242.67978856882405</v>
      </c>
      <c r="JF142" s="207">
        <f t="shared" si="2976"/>
        <v>243.17966919927588</v>
      </c>
      <c r="JG142" s="207">
        <f t="shared" si="2976"/>
        <v>243.6805795019809</v>
      </c>
      <c r="JH142" s="207">
        <f t="shared" si="2976"/>
        <v>244.18252159789537</v>
      </c>
      <c r="JI142" s="207">
        <f t="shared" si="2976"/>
        <v>244.68549761234436</v>
      </c>
      <c r="JJ142" s="207">
        <f t="shared" si="2976"/>
        <v>245.18950967503079</v>
      </c>
      <c r="JK142" s="207">
        <f t="shared" si="2976"/>
        <v>245.69455992004438</v>
      </c>
      <c r="JL142" s="207">
        <f t="shared" si="2976"/>
        <v>246.20065048587074</v>
      </c>
      <c r="JM142" s="207">
        <f t="shared" si="2976"/>
        <v>246.70778351540042</v>
      </c>
      <c r="JN142" s="207">
        <f t="shared" si="2976"/>
        <v>247.21596115593795</v>
      </c>
      <c r="JO142" s="207">
        <f t="shared" si="2976"/>
        <v>247.72518555921098</v>
      </c>
      <c r="JP142" s="207">
        <f t="shared" si="2976"/>
        <v>248.23545888137937</v>
      </c>
      <c r="JQ142" s="207">
        <f t="shared" si="2976"/>
        <v>248.74678328304429</v>
      </c>
      <c r="JR142" s="207">
        <f t="shared" si="2976"/>
        <v>249.25916092925743</v>
      </c>
      <c r="JS142" s="207">
        <f t="shared" si="2976"/>
        <v>249.77259398953009</v>
      </c>
      <c r="JT142" s="207">
        <f t="shared" si="2976"/>
        <v>250.28708463784244</v>
      </c>
      <c r="JU142" s="207">
        <f t="shared" si="2976"/>
        <v>250.80263505265268</v>
      </c>
      <c r="JV142" s="207">
        <f t="shared" si="2976"/>
        <v>251.31924741690625</v>
      </c>
      <c r="JW142" s="207">
        <f t="shared" si="2976"/>
        <v>251.83692391804519</v>
      </c>
      <c r="JX142" s="207">
        <f t="shared" si="2976"/>
        <v>252.3556667480172</v>
      </c>
      <c r="JY142" s="207">
        <f t="shared" si="2976"/>
        <v>252.8754781032851</v>
      </c>
      <c r="JZ142" s="207">
        <f t="shared" si="2976"/>
        <v>253.39636018483608</v>
      </c>
      <c r="KA142" s="207">
        <f t="shared" si="2976"/>
        <v>253.91831519819095</v>
      </c>
      <c r="KB142" s="207">
        <f t="shared" ref="KB142:KE142" si="2977">KA142+IF(KB$124&gt;0,KA142*((1+INDEX($C$107:$H$107,1,MIN(KB$124,6)))^(1/12)-1))</f>
        <v>254.44134535341354</v>
      </c>
      <c r="KC142" s="207">
        <f t="shared" si="2977"/>
        <v>254.96545286512008</v>
      </c>
      <c r="KD142" s="207">
        <f t="shared" si="2977"/>
        <v>255.49063995248855</v>
      </c>
      <c r="KE142" s="207">
        <f t="shared" si="2977"/>
        <v>256.01690883926801</v>
      </c>
      <c r="KG142" s="199" t="str">
        <f t="shared" si="2962"/>
        <v>Make Ready Cost</v>
      </c>
      <c r="KH142" s="201"/>
      <c r="KI142" s="221"/>
      <c r="KJ142" s="221"/>
      <c r="KK142" s="221"/>
      <c r="KL142" s="221"/>
      <c r="KM142" s="207">
        <f t="shared" si="2963"/>
        <v>200</v>
      </c>
      <c r="KN142" s="207">
        <f t="shared" ref="KN142:MY142" si="2978">KM142+IF(KN$124&gt;0,KM142*((1+INDEX($C$107:$H$107,1,MIN(KN$124,6)))^(1/12)-1))</f>
        <v>200</v>
      </c>
      <c r="KO142" s="207">
        <f t="shared" si="2978"/>
        <v>200</v>
      </c>
      <c r="KP142" s="207">
        <f t="shared" si="2978"/>
        <v>200</v>
      </c>
      <c r="KQ142" s="207">
        <f t="shared" si="2978"/>
        <v>200</v>
      </c>
      <c r="KR142" s="207">
        <f t="shared" si="2978"/>
        <v>200</v>
      </c>
      <c r="KS142" s="207">
        <f t="shared" si="2978"/>
        <v>200</v>
      </c>
      <c r="KT142" s="207">
        <f t="shared" si="2978"/>
        <v>200</v>
      </c>
      <c r="KU142" s="207">
        <f t="shared" si="2978"/>
        <v>200</v>
      </c>
      <c r="KV142" s="207">
        <f t="shared" si="2978"/>
        <v>200</v>
      </c>
      <c r="KW142" s="207">
        <f t="shared" si="2978"/>
        <v>200</v>
      </c>
      <c r="KX142" s="207">
        <f t="shared" si="2978"/>
        <v>200</v>
      </c>
      <c r="KY142" s="207">
        <f t="shared" si="2978"/>
        <v>200</v>
      </c>
      <c r="KZ142" s="207">
        <f t="shared" si="2978"/>
        <v>200.41196725396856</v>
      </c>
      <c r="LA142" s="207">
        <f t="shared" si="2978"/>
        <v>200.82478309302883</v>
      </c>
      <c r="LB142" s="207">
        <f t="shared" si="2978"/>
        <v>201.23844926512714</v>
      </c>
      <c r="LC142" s="207">
        <f t="shared" si="2978"/>
        <v>201.65296752181035</v>
      </c>
      <c r="LD142" s="207">
        <f t="shared" si="2978"/>
        <v>202.06833961823321</v>
      </c>
      <c r="LE142" s="207">
        <f t="shared" si="2978"/>
        <v>202.48456731316574</v>
      </c>
      <c r="LF142" s="207">
        <f t="shared" si="2978"/>
        <v>202.9016523690008</v>
      </c>
      <c r="LG142" s="207">
        <f t="shared" si="2978"/>
        <v>203.31959655176149</v>
      </c>
      <c r="LH142" s="207">
        <f t="shared" si="2978"/>
        <v>203.73840163110862</v>
      </c>
      <c r="LI142" s="207">
        <f t="shared" si="2978"/>
        <v>204.15806938034817</v>
      </c>
      <c r="LJ142" s="207">
        <f t="shared" si="2978"/>
        <v>204.57860157643887</v>
      </c>
      <c r="LK142" s="207">
        <f t="shared" si="2978"/>
        <v>204.99999999999972</v>
      </c>
      <c r="LL142" s="207">
        <f t="shared" si="2978"/>
        <v>205.42226643531748</v>
      </c>
      <c r="LM142" s="207">
        <f t="shared" si="2978"/>
        <v>205.84540267035425</v>
      </c>
      <c r="LN142" s="207">
        <f t="shared" si="2978"/>
        <v>206.26941049675503</v>
      </c>
      <c r="LO142" s="207">
        <f t="shared" si="2978"/>
        <v>206.69429170985532</v>
      </c>
      <c r="LP142" s="207">
        <f t="shared" si="2978"/>
        <v>207.12004810868874</v>
      </c>
      <c r="LQ142" s="207">
        <f t="shared" si="2978"/>
        <v>207.54668149599459</v>
      </c>
      <c r="LR142" s="207">
        <f t="shared" si="2978"/>
        <v>207.97419367822553</v>
      </c>
      <c r="LS142" s="207">
        <f t="shared" si="2978"/>
        <v>208.40258646555523</v>
      </c>
      <c r="LT142" s="207">
        <f t="shared" si="2978"/>
        <v>208.83186167188603</v>
      </c>
      <c r="LU142" s="207">
        <f t="shared" si="2978"/>
        <v>209.26202111485657</v>
      </c>
      <c r="LV142" s="207">
        <f t="shared" si="2978"/>
        <v>209.69306661584955</v>
      </c>
      <c r="LW142" s="207">
        <f t="shared" si="2978"/>
        <v>210.12499999999943</v>
      </c>
      <c r="LX142" s="207">
        <f t="shared" si="2978"/>
        <v>210.55782309620014</v>
      </c>
      <c r="LY142" s="207">
        <f t="shared" si="2978"/>
        <v>210.99153773711282</v>
      </c>
      <c r="LZ142" s="207">
        <f t="shared" si="2978"/>
        <v>211.42614575917361</v>
      </c>
      <c r="MA142" s="207">
        <f t="shared" si="2978"/>
        <v>211.86164900260141</v>
      </c>
      <c r="MB142" s="207">
        <f t="shared" si="2978"/>
        <v>212.29804931140566</v>
      </c>
      <c r="MC142" s="207">
        <f t="shared" si="2978"/>
        <v>212.73534853339416</v>
      </c>
      <c r="MD142" s="207">
        <f t="shared" si="2978"/>
        <v>213.17354852018087</v>
      </c>
      <c r="ME142" s="207">
        <f t="shared" si="2978"/>
        <v>213.61265112719383</v>
      </c>
      <c r="MF142" s="207">
        <f t="shared" si="2978"/>
        <v>214.05265821368289</v>
      </c>
      <c r="MG142" s="207">
        <f t="shared" si="2978"/>
        <v>214.49357164272769</v>
      </c>
      <c r="MH142" s="207">
        <f t="shared" si="2978"/>
        <v>214.9353932812455</v>
      </c>
      <c r="MI142" s="207">
        <f t="shared" si="2978"/>
        <v>215.37812499999913</v>
      </c>
      <c r="MJ142" s="207">
        <f t="shared" si="2978"/>
        <v>215.82176867360485</v>
      </c>
      <c r="MK142" s="207">
        <f t="shared" si="2978"/>
        <v>216.26632618054035</v>
      </c>
      <c r="ML142" s="207">
        <f t="shared" si="2978"/>
        <v>216.71179940315267</v>
      </c>
      <c r="MM142" s="207">
        <f t="shared" si="2978"/>
        <v>217.15819022766615</v>
      </c>
      <c r="MN142" s="207">
        <f t="shared" si="2978"/>
        <v>217.60550054419051</v>
      </c>
      <c r="MO142" s="207">
        <f t="shared" si="2978"/>
        <v>218.05373224672871</v>
      </c>
      <c r="MP142" s="207">
        <f t="shared" si="2978"/>
        <v>218.50288723318511</v>
      </c>
      <c r="MQ142" s="207">
        <f t="shared" si="2978"/>
        <v>218.95296740537339</v>
      </c>
      <c r="MR142" s="207">
        <f t="shared" si="2978"/>
        <v>219.40397466902468</v>
      </c>
      <c r="MS142" s="207">
        <f t="shared" si="2978"/>
        <v>219.8559109337956</v>
      </c>
      <c r="MT142" s="207">
        <f t="shared" si="2978"/>
        <v>220.30877811327633</v>
      </c>
      <c r="MU142" s="207">
        <f t="shared" si="2978"/>
        <v>220.76257812499878</v>
      </c>
      <c r="MV142" s="207">
        <f t="shared" si="2978"/>
        <v>221.21731289044465</v>
      </c>
      <c r="MW142" s="207">
        <f t="shared" si="2978"/>
        <v>221.67298433505354</v>
      </c>
      <c r="MX142" s="207">
        <f t="shared" si="2978"/>
        <v>222.12959438823117</v>
      </c>
      <c r="MY142" s="207">
        <f t="shared" si="2978"/>
        <v>222.58714498335749</v>
      </c>
      <c r="MZ142" s="207">
        <f t="shared" ref="MZ142:PK142" si="2979">MY142+IF(MZ$124&gt;0,MY142*((1+INDEX($C$107:$H$107,1,MIN(MZ$124,6)))^(1/12)-1))</f>
        <v>223.04563805779495</v>
      </c>
      <c r="NA142" s="207">
        <f t="shared" si="2979"/>
        <v>223.50507555289661</v>
      </c>
      <c r="NB142" s="207">
        <f t="shared" si="2979"/>
        <v>223.96545941401442</v>
      </c>
      <c r="NC142" s="207">
        <f t="shared" si="2979"/>
        <v>224.42679159050741</v>
      </c>
      <c r="ND142" s="207">
        <f t="shared" si="2979"/>
        <v>224.88907403574999</v>
      </c>
      <c r="NE142" s="207">
        <f t="shared" si="2979"/>
        <v>225.35230870714017</v>
      </c>
      <c r="NF142" s="207">
        <f t="shared" si="2979"/>
        <v>225.81649756610793</v>
      </c>
      <c r="NG142" s="207">
        <f t="shared" si="2979"/>
        <v>226.28164257812344</v>
      </c>
      <c r="NH142" s="207">
        <f t="shared" si="2979"/>
        <v>226.74774571270544</v>
      </c>
      <c r="NI142" s="207">
        <f t="shared" si="2979"/>
        <v>227.21480894342955</v>
      </c>
      <c r="NJ142" s="207">
        <f t="shared" si="2979"/>
        <v>227.6828342479366</v>
      </c>
      <c r="NK142" s="207">
        <f t="shared" si="2979"/>
        <v>228.15182360794108</v>
      </c>
      <c r="NL142" s="207">
        <f t="shared" si="2979"/>
        <v>228.62177900923948</v>
      </c>
      <c r="NM142" s="207">
        <f t="shared" si="2979"/>
        <v>229.09270244171867</v>
      </c>
      <c r="NN142" s="207">
        <f t="shared" si="2979"/>
        <v>229.56459589936441</v>
      </c>
      <c r="NO142" s="207">
        <f t="shared" si="2979"/>
        <v>230.03746138026972</v>
      </c>
      <c r="NP142" s="207">
        <f t="shared" si="2979"/>
        <v>230.51130088664334</v>
      </c>
      <c r="NQ142" s="207">
        <f t="shared" si="2979"/>
        <v>230.98611642481828</v>
      </c>
      <c r="NR142" s="207">
        <f t="shared" si="2979"/>
        <v>231.46191000526022</v>
      </c>
      <c r="NS142" s="207">
        <f t="shared" si="2979"/>
        <v>231.93868364257614</v>
      </c>
      <c r="NT142" s="207">
        <f t="shared" si="2979"/>
        <v>232.4164393555227</v>
      </c>
      <c r="NU142" s="207">
        <f t="shared" si="2979"/>
        <v>232.8951791670149</v>
      </c>
      <c r="NV142" s="207">
        <f t="shared" si="2979"/>
        <v>233.37490510413465</v>
      </c>
      <c r="NW142" s="207">
        <f t="shared" si="2979"/>
        <v>233.85561919813927</v>
      </c>
      <c r="NX142" s="207">
        <f t="shared" si="2979"/>
        <v>234.33732348447012</v>
      </c>
      <c r="NY142" s="207">
        <f t="shared" si="2979"/>
        <v>234.82002000276131</v>
      </c>
      <c r="NZ142" s="207">
        <f t="shared" si="2979"/>
        <v>235.30371079684821</v>
      </c>
      <c r="OA142" s="207">
        <f t="shared" si="2979"/>
        <v>235.78839791477614</v>
      </c>
      <c r="OB142" s="207">
        <f t="shared" si="2979"/>
        <v>236.2740834088091</v>
      </c>
      <c r="OC142" s="207">
        <f t="shared" si="2979"/>
        <v>236.76076933543843</v>
      </c>
      <c r="OD142" s="207">
        <f t="shared" si="2979"/>
        <v>237.24845775539143</v>
      </c>
      <c r="OE142" s="207">
        <f t="shared" si="2979"/>
        <v>237.73715073364025</v>
      </c>
      <c r="OF142" s="207">
        <f t="shared" si="2979"/>
        <v>238.22685033941048</v>
      </c>
      <c r="OG142" s="207">
        <f t="shared" si="2979"/>
        <v>238.71755864618999</v>
      </c>
      <c r="OH142" s="207">
        <f t="shared" si="2979"/>
        <v>239.20927773173773</v>
      </c>
      <c r="OI142" s="207">
        <f t="shared" si="2979"/>
        <v>239.70200967809245</v>
      </c>
      <c r="OJ142" s="207">
        <f t="shared" si="2979"/>
        <v>240.19575657158157</v>
      </c>
      <c r="OK142" s="207">
        <f t="shared" si="2979"/>
        <v>240.69052050283003</v>
      </c>
      <c r="OL142" s="207">
        <f t="shared" si="2979"/>
        <v>241.18630356676908</v>
      </c>
      <c r="OM142" s="207">
        <f t="shared" si="2979"/>
        <v>241.68310786264522</v>
      </c>
      <c r="ON142" s="207">
        <f t="shared" si="2979"/>
        <v>242.180935494029</v>
      </c>
      <c r="OO142" s="207">
        <f t="shared" si="2979"/>
        <v>242.67978856882405</v>
      </c>
      <c r="OP142" s="207">
        <f t="shared" si="2979"/>
        <v>243.17966919927588</v>
      </c>
      <c r="OQ142" s="207">
        <f t="shared" si="2979"/>
        <v>243.6805795019809</v>
      </c>
      <c r="OR142" s="207">
        <f t="shared" si="2979"/>
        <v>244.18252159789537</v>
      </c>
      <c r="OS142" s="207">
        <f t="shared" si="2979"/>
        <v>244.68549761234436</v>
      </c>
      <c r="OT142" s="207">
        <f t="shared" si="2979"/>
        <v>245.18950967503079</v>
      </c>
      <c r="OU142" s="207">
        <f t="shared" si="2979"/>
        <v>245.69455992004438</v>
      </c>
      <c r="OV142" s="207">
        <f t="shared" si="2979"/>
        <v>246.20065048587074</v>
      </c>
      <c r="OW142" s="207">
        <f t="shared" si="2979"/>
        <v>246.70778351540042</v>
      </c>
      <c r="OX142" s="207">
        <f t="shared" si="2979"/>
        <v>247.21596115593795</v>
      </c>
      <c r="OY142" s="207">
        <f t="shared" si="2979"/>
        <v>247.72518555921098</v>
      </c>
      <c r="OZ142" s="207">
        <f t="shared" si="2979"/>
        <v>248.23545888137937</v>
      </c>
      <c r="PA142" s="207">
        <f t="shared" si="2979"/>
        <v>248.74678328304429</v>
      </c>
      <c r="PB142" s="207">
        <f t="shared" si="2979"/>
        <v>249.25916092925743</v>
      </c>
      <c r="PC142" s="207">
        <f t="shared" si="2979"/>
        <v>249.77259398953009</v>
      </c>
      <c r="PD142" s="207">
        <f t="shared" si="2979"/>
        <v>250.28708463784244</v>
      </c>
      <c r="PE142" s="207">
        <f t="shared" si="2979"/>
        <v>250.80263505265268</v>
      </c>
      <c r="PF142" s="207">
        <f t="shared" si="2979"/>
        <v>251.31924741690625</v>
      </c>
      <c r="PG142" s="207">
        <f t="shared" si="2979"/>
        <v>251.83692391804519</v>
      </c>
      <c r="PH142" s="207">
        <f t="shared" si="2979"/>
        <v>252.3556667480172</v>
      </c>
      <c r="PI142" s="207">
        <f t="shared" si="2979"/>
        <v>252.8754781032851</v>
      </c>
      <c r="PJ142" s="207">
        <f t="shared" si="2979"/>
        <v>253.39636018483608</v>
      </c>
      <c r="PK142" s="207">
        <f t="shared" si="2979"/>
        <v>253.91831519819095</v>
      </c>
      <c r="PL142" s="207">
        <f t="shared" ref="PL142:PO142" si="2980">PK142+IF(PL$124&gt;0,PK142*((1+INDEX($C$107:$H$107,1,MIN(PL$124,6)))^(1/12)-1))</f>
        <v>254.44134535341354</v>
      </c>
      <c r="PM142" s="207">
        <f t="shared" si="2980"/>
        <v>254.96545286512008</v>
      </c>
      <c r="PN142" s="207">
        <f t="shared" si="2980"/>
        <v>255.49063995248855</v>
      </c>
      <c r="PO142" s="207">
        <f t="shared" si="2980"/>
        <v>256.01690883926801</v>
      </c>
      <c r="PQ142" s="201"/>
      <c r="PR142" s="201"/>
      <c r="PS142" s="201"/>
      <c r="PT142" s="201"/>
      <c r="PU142" s="201"/>
      <c r="PV142" s="201"/>
      <c r="PW142" s="201"/>
      <c r="PX142" s="201"/>
      <c r="PY142" s="201"/>
      <c r="PZ142" s="201"/>
      <c r="QA142" s="201"/>
      <c r="QB142" s="201"/>
      <c r="QC142" s="201"/>
      <c r="QD142" s="201"/>
      <c r="QE142" s="201"/>
      <c r="QF142" s="201"/>
      <c r="QG142" s="201"/>
      <c r="QH142" s="201"/>
      <c r="QI142" s="201"/>
      <c r="QJ142" s="201"/>
      <c r="QK142" s="201"/>
      <c r="QL142" s="201"/>
      <c r="QM142" s="201"/>
      <c r="QN142" s="201"/>
      <c r="QO142" s="201"/>
      <c r="QP142" s="201"/>
      <c r="QQ142" s="201"/>
      <c r="QR142" s="201"/>
      <c r="QS142" s="201"/>
      <c r="QT142" s="201"/>
      <c r="QU142" s="201"/>
      <c r="QV142" s="201"/>
      <c r="QW142" s="201"/>
      <c r="QX142" s="201"/>
      <c r="QY142" s="201"/>
      <c r="QZ142" s="201"/>
      <c r="RA142" s="201"/>
      <c r="RB142" s="201"/>
      <c r="RC142" s="201"/>
      <c r="RD142" s="201"/>
      <c r="RE142" s="201"/>
      <c r="RF142" s="201"/>
      <c r="RG142" s="201"/>
      <c r="RH142" s="201"/>
      <c r="RI142" s="201"/>
      <c r="RJ142" s="201"/>
      <c r="RK142" s="201"/>
      <c r="RL142" s="201"/>
      <c r="RM142" s="201"/>
      <c r="RN142" s="201"/>
      <c r="RO142" s="201"/>
      <c r="RP142" s="201"/>
      <c r="RQ142" s="201"/>
      <c r="RR142" s="201"/>
      <c r="RS142" s="201"/>
      <c r="RT142" s="201"/>
      <c r="RU142" s="201"/>
      <c r="RV142" s="201"/>
      <c r="RW142" s="201"/>
      <c r="RX142" s="201"/>
      <c r="RY142" s="201"/>
      <c r="RZ142" s="201"/>
      <c r="SA142" s="201"/>
      <c r="SB142" s="201"/>
      <c r="SC142" s="201"/>
      <c r="SD142" s="201"/>
      <c r="SE142" s="201"/>
      <c r="SF142" s="201"/>
      <c r="SG142" s="201"/>
      <c r="SH142" s="201"/>
      <c r="SI142" s="201"/>
      <c r="SJ142" s="201"/>
      <c r="SK142" s="201"/>
      <c r="SL142" s="201"/>
      <c r="SM142" s="201"/>
      <c r="SN142" s="201"/>
      <c r="SO142" s="201"/>
      <c r="SP142" s="201"/>
      <c r="SQ142" s="201"/>
      <c r="SR142" s="201"/>
      <c r="SS142" s="201"/>
      <c r="ST142" s="201"/>
      <c r="SU142" s="201"/>
      <c r="SV142" s="201"/>
      <c r="SW142" s="201"/>
      <c r="SX142" s="201"/>
      <c r="SY142" s="201"/>
      <c r="SZ142" s="201"/>
      <c r="TA142" s="201"/>
      <c r="TB142" s="201"/>
      <c r="TC142" s="201"/>
      <c r="TD142" s="201"/>
      <c r="TE142" s="201"/>
      <c r="TF142" s="201"/>
      <c r="TG142" s="201"/>
      <c r="TH142" s="201"/>
      <c r="TI142" s="201"/>
      <c r="TJ142" s="201"/>
      <c r="TK142" s="201"/>
      <c r="TL142" s="201"/>
      <c r="TM142" s="201"/>
      <c r="TN142" s="201"/>
      <c r="TO142" s="201"/>
      <c r="TP142" s="201"/>
      <c r="TQ142" s="201"/>
      <c r="TR142" s="201"/>
      <c r="TS142" s="201"/>
      <c r="TT142" s="201"/>
      <c r="TU142" s="201"/>
      <c r="TV142" s="201"/>
      <c r="TW142" s="201"/>
      <c r="TX142" s="201"/>
      <c r="TY142" s="201"/>
      <c r="TZ142" s="201"/>
      <c r="UA142" s="201"/>
      <c r="UB142" s="201"/>
      <c r="UC142" s="201"/>
      <c r="UD142" s="201"/>
      <c r="UE142" s="201"/>
      <c r="UF142" s="201"/>
      <c r="UG142" s="201"/>
      <c r="UH142" s="201"/>
      <c r="UI142" s="201"/>
      <c r="UJ142" s="201"/>
      <c r="UK142" s="201"/>
      <c r="UL142" s="201"/>
      <c r="UM142" s="201"/>
      <c r="UN142" s="201"/>
      <c r="UO142" s="201"/>
      <c r="UP142" s="201"/>
      <c r="UQ142" s="201"/>
      <c r="UR142" s="201"/>
      <c r="US142" s="201"/>
      <c r="UT142" s="201"/>
      <c r="UU142" s="201"/>
    </row>
    <row r="143" spans="1:567" x14ac:dyDescent="0.25">
      <c r="B143" s="44" t="s">
        <v>152</v>
      </c>
      <c r="C143" s="26"/>
      <c r="D143" s="26"/>
      <c r="E143" s="104"/>
      <c r="F143" s="131" t="s">
        <v>751</v>
      </c>
      <c r="G143" s="136">
        <v>0.03</v>
      </c>
      <c r="H143" s="131" t="s">
        <v>751</v>
      </c>
      <c r="I143" s="136">
        <v>0.03</v>
      </c>
      <c r="J143" s="149">
        <f>((1-$E$120)*G143+$E$120*I143)*J134</f>
        <v>150851.1207046154</v>
      </c>
      <c r="K143" s="129">
        <f>I143*K134</f>
        <v>193252.93055999998</v>
      </c>
      <c r="M143" s="3" t="s">
        <v>849</v>
      </c>
      <c r="T143" s="92">
        <f t="shared" ref="T143:AY143" si="2981">($G$143-($G$143-$I$143)*T109)*T134</f>
        <v>12121.960074999999</v>
      </c>
      <c r="U143" s="92">
        <f t="shared" si="2981"/>
        <v>12258.615482884616</v>
      </c>
      <c r="V143" s="92">
        <f t="shared" si="2981"/>
        <v>12396.027720288461</v>
      </c>
      <c r="W143" s="92">
        <f t="shared" si="2981"/>
        <v>12534.198222307692</v>
      </c>
      <c r="X143" s="92">
        <f t="shared" si="2981"/>
        <v>12673.128424038459</v>
      </c>
      <c r="Y143" s="92">
        <f t="shared" si="2981"/>
        <v>12812.819760576924</v>
      </c>
      <c r="Z143" s="92">
        <f t="shared" si="2981"/>
        <v>12953.27366701923</v>
      </c>
      <c r="AA143" s="92">
        <f t="shared" si="2981"/>
        <v>13094.491578461537</v>
      </c>
      <c r="AB143" s="92">
        <f t="shared" si="2981"/>
        <v>13236.47493</v>
      </c>
      <c r="AC143" s="92">
        <f t="shared" si="2981"/>
        <v>13379.225156730769</v>
      </c>
      <c r="AD143" s="92">
        <f t="shared" si="2981"/>
        <v>13522.743693749999</v>
      </c>
      <c r="AE143" s="92">
        <f t="shared" si="2981"/>
        <v>13667.031976153847</v>
      </c>
      <c r="AF143" s="92">
        <f t="shared" si="2981"/>
        <v>13840.54208594698</v>
      </c>
      <c r="AG143" s="92">
        <f t="shared" si="2981"/>
        <v>14015.484814155114</v>
      </c>
      <c r="AH143" s="92">
        <f t="shared" si="2981"/>
        <v>14191.868368513806</v>
      </c>
      <c r="AI143" s="92">
        <f t="shared" si="2981"/>
        <v>14369.700993733695</v>
      </c>
      <c r="AJ143" s="92">
        <f t="shared" si="2981"/>
        <v>14548.990971643167</v>
      </c>
      <c r="AK143" s="92">
        <f t="shared" si="2981"/>
        <v>14729.746621331533</v>
      </c>
      <c r="AL143" s="92">
        <f t="shared" si="2981"/>
        <v>14911.97629929267</v>
      </c>
      <c r="AM143" s="92">
        <f t="shared" si="2981"/>
        <v>15095.688399569153</v>
      </c>
      <c r="AN143" s="92">
        <f t="shared" si="2981"/>
        <v>15280.891353896952</v>
      </c>
      <c r="AO143" s="92">
        <f t="shared" si="2981"/>
        <v>15467.593631850525</v>
      </c>
      <c r="AP143" s="92">
        <f t="shared" si="2981"/>
        <v>15655.803740988535</v>
      </c>
      <c r="AQ143" s="92">
        <f t="shared" si="2981"/>
        <v>15845.530226999977</v>
      </c>
      <c r="AR143" s="92">
        <f t="shared" si="2981"/>
        <v>16541.022912875924</v>
      </c>
      <c r="AS143" s="92">
        <f t="shared" si="2981"/>
        <v>16575.094711812166</v>
      </c>
      <c r="AT143" s="92">
        <f t="shared" si="2981"/>
        <v>16609.236693075633</v>
      </c>
      <c r="AU143" s="92">
        <f t="shared" si="2981"/>
        <v>16643.449001230438</v>
      </c>
      <c r="AV143" s="92">
        <f t="shared" si="2981"/>
        <v>16677.731781138449</v>
      </c>
      <c r="AW143" s="92">
        <f t="shared" si="2981"/>
        <v>16712.085177959951</v>
      </c>
      <c r="AX143" s="92">
        <f t="shared" si="2981"/>
        <v>16746.50933715421</v>
      </c>
      <c r="AY143" s="92">
        <f t="shared" si="2981"/>
        <v>16781.00440448014</v>
      </c>
      <c r="AZ143" s="92">
        <f t="shared" ref="AZ143:CE143" si="2982">($G$143-($G$143-$I$143)*AZ109)*AZ134</f>
        <v>16815.570525996878</v>
      </c>
      <c r="BA143" s="92">
        <f t="shared" si="2982"/>
        <v>16850.207848064427</v>
      </c>
      <c r="BB143" s="92">
        <f t="shared" si="2982"/>
        <v>16884.916517344256</v>
      </c>
      <c r="BC143" s="92">
        <f t="shared" si="2982"/>
        <v>16919.696680799952</v>
      </c>
      <c r="BD143" s="92">
        <f t="shared" si="2982"/>
        <v>16954.5484856978</v>
      </c>
      <c r="BE143" s="92">
        <f t="shared" si="2982"/>
        <v>16989.472079607451</v>
      </c>
      <c r="BF143" s="92">
        <f t="shared" si="2982"/>
        <v>17024.467610402506</v>
      </c>
      <c r="BG143" s="92">
        <f t="shared" si="2982"/>
        <v>17059.535226261181</v>
      </c>
      <c r="BH143" s="92">
        <f t="shared" si="2982"/>
        <v>17094.675075666888</v>
      </c>
      <c r="BI143" s="92">
        <f t="shared" si="2982"/>
        <v>17129.887307408924</v>
      </c>
      <c r="BJ143" s="92">
        <f t="shared" si="2982"/>
        <v>17165.172070583041</v>
      </c>
      <c r="BK143" s="92">
        <f t="shared" si="2982"/>
        <v>17200.529514592119</v>
      </c>
      <c r="BL143" s="92">
        <f t="shared" si="2982"/>
        <v>17235.959789146778</v>
      </c>
      <c r="BM143" s="92">
        <f t="shared" si="2982"/>
        <v>17271.463044266013</v>
      </c>
      <c r="BN143" s="92">
        <f t="shared" si="2982"/>
        <v>17307.039430277848</v>
      </c>
      <c r="BO143" s="92">
        <f t="shared" si="2982"/>
        <v>17342.689097819926</v>
      </c>
      <c r="BP143" s="92">
        <f t="shared" si="2982"/>
        <v>17378.412197840222</v>
      </c>
      <c r="BQ143" s="92">
        <f t="shared" si="2982"/>
        <v>17414.208881597613</v>
      </c>
      <c r="BR143" s="92">
        <f t="shared" si="2982"/>
        <v>17450.079300662539</v>
      </c>
      <c r="BS143" s="92">
        <f t="shared" si="2982"/>
        <v>17486.023606917675</v>
      </c>
      <c r="BT143" s="92">
        <f t="shared" si="2982"/>
        <v>17522.041952558535</v>
      </c>
      <c r="BU143" s="92">
        <f t="shared" si="2982"/>
        <v>17558.134490094119</v>
      </c>
      <c r="BV143" s="92">
        <f t="shared" si="2982"/>
        <v>17594.301372347596</v>
      </c>
      <c r="BW143" s="92">
        <f t="shared" si="2982"/>
        <v>17630.542752456899</v>
      </c>
      <c r="BX143" s="92">
        <f t="shared" si="2982"/>
        <v>17666.858783875425</v>
      </c>
      <c r="BY143" s="92">
        <f t="shared" si="2982"/>
        <v>17703.249620372644</v>
      </c>
      <c r="BZ143" s="92">
        <f t="shared" si="2982"/>
        <v>17739.715416034767</v>
      </c>
      <c r="CA143" s="92">
        <f t="shared" si="2982"/>
        <v>17776.2563252654</v>
      </c>
      <c r="CB143" s="92">
        <f t="shared" si="2982"/>
        <v>17812.872502786206</v>
      </c>
      <c r="CC143" s="92">
        <f t="shared" si="2982"/>
        <v>17849.564103637531</v>
      </c>
      <c r="CD143" s="92">
        <f t="shared" si="2982"/>
        <v>17886.331283179083</v>
      </c>
      <c r="CE143" s="92">
        <f t="shared" si="2982"/>
        <v>17923.174197090597</v>
      </c>
      <c r="CF143" s="92">
        <f t="shared" ref="CF143:DK143" si="2983">($G$143-($G$143-$I$143)*CF109)*CF134</f>
        <v>17960.093001372479</v>
      </c>
      <c r="CG143" s="92">
        <f t="shared" si="2983"/>
        <v>17997.087852346445</v>
      </c>
      <c r="CH143" s="92">
        <f t="shared" si="2983"/>
        <v>18034.158906656263</v>
      </c>
      <c r="CI143" s="92">
        <f t="shared" si="2983"/>
        <v>18071.306321268297</v>
      </c>
      <c r="CJ143" s="92">
        <f t="shared" si="2983"/>
        <v>18108.530253472287</v>
      </c>
      <c r="CK143" s="92">
        <f t="shared" si="2983"/>
        <v>18145.830860881932</v>
      </c>
      <c r="CL143" s="92">
        <f t="shared" si="2983"/>
        <v>18183.20830143561</v>
      </c>
      <c r="CM143" s="92">
        <f t="shared" si="2983"/>
        <v>18220.66273339701</v>
      </c>
      <c r="CN143" s="92">
        <f t="shared" si="2983"/>
        <v>18258.194315355831</v>
      </c>
      <c r="CO143" s="92">
        <f t="shared" si="2983"/>
        <v>18295.80320622844</v>
      </c>
      <c r="CP143" s="92">
        <f t="shared" si="2983"/>
        <v>18333.489565258536</v>
      </c>
      <c r="CQ143" s="92">
        <f t="shared" si="2983"/>
        <v>18371.253552017839</v>
      </c>
      <c r="CR143" s="92">
        <f t="shared" si="2983"/>
        <v>18409.095326406761</v>
      </c>
      <c r="CS143" s="92">
        <f t="shared" si="2983"/>
        <v>18447.015048655088</v>
      </c>
      <c r="CT143" s="92">
        <f t="shared" si="2983"/>
        <v>18485.012879322639</v>
      </c>
      <c r="CU143" s="92">
        <f t="shared" si="2983"/>
        <v>18523.088979299984</v>
      </c>
      <c r="CV143" s="92">
        <f t="shared" si="2983"/>
        <v>18561.243509809065</v>
      </c>
      <c r="CW143" s="92">
        <f t="shared" si="2983"/>
        <v>18599.476632403952</v>
      </c>
      <c r="CX143" s="92">
        <f t="shared" si="2983"/>
        <v>18637.788508971469</v>
      </c>
      <c r="CY143" s="92">
        <f t="shared" si="2983"/>
        <v>18676.179301731911</v>
      </c>
      <c r="CZ143" s="92">
        <f t="shared" si="2983"/>
        <v>18714.649173239701</v>
      </c>
      <c r="DA143" s="92">
        <f t="shared" si="2983"/>
        <v>18753.198286384122</v>
      </c>
      <c r="DB143" s="92">
        <f t="shared" si="2983"/>
        <v>18791.82680438997</v>
      </c>
      <c r="DC143" s="92">
        <f t="shared" si="2983"/>
        <v>18830.53489081826</v>
      </c>
      <c r="DD143" s="92">
        <f t="shared" si="2983"/>
        <v>18869.32270956691</v>
      </c>
      <c r="DE143" s="92">
        <f t="shared" si="2983"/>
        <v>18908.190424871438</v>
      </c>
      <c r="DF143" s="92">
        <f t="shared" si="2983"/>
        <v>18947.138201305679</v>
      </c>
      <c r="DG143" s="92">
        <f t="shared" si="2983"/>
        <v>18986.166203782454</v>
      </c>
      <c r="DH143" s="92">
        <f t="shared" si="2983"/>
        <v>19025.274597554268</v>
      </c>
      <c r="DI143" s="92">
        <f t="shared" si="2983"/>
        <v>19064.463548214026</v>
      </c>
      <c r="DJ143" s="92">
        <f t="shared" si="2983"/>
        <v>19103.733221695733</v>
      </c>
      <c r="DK143" s="92">
        <f t="shared" si="2983"/>
        <v>19143.083784275183</v>
      </c>
      <c r="DL143" s="92">
        <f t="shared" ref="DL143:EU143" si="2984">($G$143-($G$143-$I$143)*DL109)*DL134</f>
        <v>19182.515402570672</v>
      </c>
      <c r="DM143" s="92">
        <f t="shared" si="2984"/>
        <v>19222.028243543708</v>
      </c>
      <c r="DN143" s="92">
        <f t="shared" si="2984"/>
        <v>19261.622474499698</v>
      </c>
      <c r="DO143" s="92">
        <f t="shared" si="2984"/>
        <v>19301.298263088691</v>
      </c>
      <c r="DP143" s="92">
        <f t="shared" si="2984"/>
        <v>19341.055777306054</v>
      </c>
      <c r="DQ143" s="92">
        <f t="shared" si="2984"/>
        <v>19380.895185493198</v>
      </c>
      <c r="DR143" s="92">
        <f t="shared" si="2984"/>
        <v>19420.816656338295</v>
      </c>
      <c r="DS143" s="92">
        <f t="shared" si="2984"/>
        <v>19460.820358876987</v>
      </c>
      <c r="DT143" s="92">
        <f t="shared" si="2984"/>
        <v>19500.906462493094</v>
      </c>
      <c r="DU143" s="92">
        <f t="shared" si="2984"/>
        <v>19541.075136919353</v>
      </c>
      <c r="DV143" s="92">
        <f t="shared" si="2984"/>
        <v>19581.326552238101</v>
      </c>
      <c r="DW143" s="92">
        <f t="shared" si="2984"/>
        <v>19621.660878882041</v>
      </c>
      <c r="DX143" s="92">
        <f t="shared" si="2984"/>
        <v>19662.078287634908</v>
      </c>
      <c r="DY143" s="92">
        <f t="shared" si="2984"/>
        <v>19702.578949632272</v>
      </c>
      <c r="DZ143" s="92">
        <f t="shared" si="2984"/>
        <v>19743.163036362166</v>
      </c>
      <c r="EA143" s="92">
        <f t="shared" si="2984"/>
        <v>19783.830719665879</v>
      </c>
      <c r="EB143" s="92">
        <f t="shared" si="2984"/>
        <v>19824.582171738672</v>
      </c>
      <c r="EC143" s="92">
        <f t="shared" si="2984"/>
        <v>19865.417565130505</v>
      </c>
      <c r="ED143" s="92">
        <f t="shared" si="2984"/>
        <v>19906.33707274673</v>
      </c>
      <c r="EE143" s="92">
        <f t="shared" si="2984"/>
        <v>19947.340867848885</v>
      </c>
      <c r="EF143" s="92">
        <f t="shared" si="2984"/>
        <v>19988.429124055401</v>
      </c>
      <c r="EG143" s="92">
        <f t="shared" si="2984"/>
        <v>20029.602015342309</v>
      </c>
      <c r="EH143" s="92">
        <f t="shared" si="2984"/>
        <v>20070.859716044026</v>
      </c>
      <c r="EI143" s="92">
        <f t="shared" si="2984"/>
        <v>20112.202400854061</v>
      </c>
      <c r="EJ143" s="92">
        <f t="shared" si="2984"/>
        <v>20153.630244825759</v>
      </c>
      <c r="EK143" s="92">
        <f t="shared" si="2984"/>
        <v>20195.143423373051</v>
      </c>
      <c r="EL143" s="92">
        <f t="shared" si="2984"/>
        <v>20236.742112271193</v>
      </c>
      <c r="EM143" s="92">
        <f t="shared" si="2984"/>
        <v>20278.4264876575</v>
      </c>
      <c r="EN143" s="92">
        <f t="shared" si="2984"/>
        <v>20320.196726032118</v>
      </c>
      <c r="EO143" s="92">
        <f t="shared" si="2984"/>
        <v>20362.053004258734</v>
      </c>
      <c r="EP143" s="92">
        <f t="shared" si="2984"/>
        <v>20403.995499565372</v>
      </c>
      <c r="EQ143" s="92">
        <f t="shared" si="2984"/>
        <v>20446.02438954508</v>
      </c>
      <c r="ER143" s="92">
        <f t="shared" si="2984"/>
        <v>20488.139852156757</v>
      </c>
      <c r="ES143" s="92">
        <f t="shared" si="2984"/>
        <v>20530.342065725843</v>
      </c>
      <c r="ET143" s="92">
        <f t="shared" si="2984"/>
        <v>20572.631208945098</v>
      </c>
      <c r="EU143" s="92">
        <f t="shared" si="2984"/>
        <v>20615.007460875382</v>
      </c>
      <c r="EW143" s="199" t="str">
        <f t="shared" si="2967"/>
        <v>Management Fee</v>
      </c>
      <c r="EX143" s="201"/>
      <c r="EY143" s="221"/>
      <c r="EZ143" s="221"/>
      <c r="FA143" s="221"/>
      <c r="FB143" s="221"/>
      <c r="KG143" s="199" t="str">
        <f t="shared" si="2962"/>
        <v>Management Fee</v>
      </c>
      <c r="KH143" s="201"/>
      <c r="KI143" s="221"/>
      <c r="KJ143" s="221"/>
      <c r="KK143" s="221"/>
      <c r="KL143" s="221"/>
      <c r="KM143" s="207"/>
      <c r="KN143" s="207"/>
      <c r="KO143" s="207"/>
      <c r="KP143" s="207"/>
      <c r="KQ143" s="207"/>
      <c r="KR143" s="207"/>
      <c r="KS143" s="207"/>
      <c r="KT143" s="207"/>
      <c r="KU143" s="207"/>
      <c r="KV143" s="207"/>
      <c r="KW143" s="207"/>
      <c r="KX143" s="207"/>
      <c r="KY143" s="207"/>
      <c r="KZ143" s="207"/>
      <c r="LA143" s="207"/>
      <c r="LB143" s="207"/>
      <c r="LC143" s="207"/>
      <c r="LD143" s="207"/>
      <c r="LE143" s="207"/>
      <c r="LF143" s="207"/>
      <c r="LG143" s="207"/>
      <c r="LH143" s="207"/>
      <c r="LI143" s="207"/>
      <c r="LJ143" s="207"/>
      <c r="LK143" s="207"/>
      <c r="LL143" s="207"/>
      <c r="LM143" s="207"/>
      <c r="LN143" s="207"/>
      <c r="LO143" s="207"/>
      <c r="LP143" s="207"/>
      <c r="LQ143" s="207"/>
      <c r="LR143" s="207"/>
      <c r="LS143" s="207"/>
      <c r="LT143" s="207"/>
      <c r="LU143" s="207"/>
      <c r="LV143" s="207"/>
      <c r="LW143" s="207"/>
      <c r="LX143" s="207"/>
      <c r="LY143" s="207"/>
      <c r="LZ143" s="207"/>
      <c r="MA143" s="207"/>
      <c r="MB143" s="207"/>
      <c r="MC143" s="207"/>
      <c r="MD143" s="207"/>
      <c r="ME143" s="207"/>
      <c r="MF143" s="207"/>
      <c r="MG143" s="207"/>
      <c r="MH143" s="207"/>
      <c r="MI143" s="207"/>
      <c r="MJ143" s="207"/>
      <c r="MK143" s="207"/>
      <c r="ML143" s="207"/>
      <c r="MM143" s="207"/>
      <c r="MN143" s="207"/>
      <c r="MO143" s="207"/>
      <c r="MP143" s="207"/>
      <c r="MQ143" s="207"/>
      <c r="MR143" s="207"/>
      <c r="MS143" s="207"/>
      <c r="MT143" s="207"/>
      <c r="MU143" s="207"/>
      <c r="MV143" s="207"/>
      <c r="MW143" s="207"/>
      <c r="MX143" s="207"/>
      <c r="MY143" s="207"/>
      <c r="MZ143" s="207"/>
      <c r="NA143" s="207"/>
      <c r="NB143" s="207"/>
      <c r="NC143" s="207"/>
      <c r="ND143" s="207"/>
      <c r="NE143" s="207"/>
      <c r="NF143" s="207"/>
      <c r="NG143" s="207"/>
      <c r="NH143" s="207"/>
      <c r="NI143" s="207"/>
      <c r="NJ143" s="207"/>
      <c r="NK143" s="207"/>
      <c r="NL143" s="207"/>
      <c r="NM143" s="207"/>
      <c r="NN143" s="207"/>
      <c r="NO143" s="207"/>
      <c r="NP143" s="207"/>
      <c r="NQ143" s="207"/>
      <c r="NR143" s="207"/>
      <c r="NS143" s="207"/>
      <c r="NT143" s="207"/>
      <c r="NU143" s="207"/>
      <c r="NV143" s="207"/>
      <c r="NW143" s="207"/>
      <c r="NX143" s="207"/>
      <c r="NY143" s="207"/>
      <c r="NZ143" s="207"/>
      <c r="OA143" s="207"/>
      <c r="OB143" s="207"/>
      <c r="OC143" s="207"/>
      <c r="OD143" s="207"/>
      <c r="OE143" s="207"/>
      <c r="OF143" s="207"/>
      <c r="OG143" s="207"/>
      <c r="OH143" s="207"/>
      <c r="OI143" s="207"/>
      <c r="OJ143" s="207"/>
      <c r="OK143" s="207"/>
      <c r="OL143" s="207"/>
      <c r="OM143" s="207"/>
      <c r="ON143" s="207"/>
      <c r="OO143" s="207"/>
      <c r="OP143" s="207"/>
      <c r="OQ143" s="207"/>
      <c r="OR143" s="207"/>
      <c r="OS143" s="207"/>
      <c r="OT143" s="207"/>
      <c r="OU143" s="207"/>
      <c r="OV143" s="207"/>
      <c r="OW143" s="207"/>
      <c r="OX143" s="207"/>
      <c r="OY143" s="207"/>
      <c r="OZ143" s="207"/>
      <c r="PA143" s="207"/>
      <c r="PB143" s="207"/>
      <c r="PC143" s="207"/>
      <c r="PD143" s="207"/>
      <c r="PE143" s="207"/>
      <c r="PF143" s="207"/>
      <c r="PG143" s="207"/>
      <c r="PH143" s="207"/>
      <c r="PI143" s="207"/>
      <c r="PJ143" s="207"/>
      <c r="PK143" s="207"/>
      <c r="PL143" s="207"/>
      <c r="PM143" s="207"/>
      <c r="PN143" s="207"/>
      <c r="PO143" s="207"/>
      <c r="PQ143" s="201"/>
      <c r="PR143" s="201"/>
      <c r="PS143" s="201"/>
      <c r="PT143" s="201"/>
      <c r="PU143" s="201"/>
      <c r="PV143" s="201"/>
      <c r="PW143" s="201"/>
      <c r="PX143" s="201"/>
      <c r="PY143" s="201"/>
      <c r="PZ143" s="201"/>
      <c r="QA143" s="201"/>
      <c r="QB143" s="201"/>
      <c r="QC143" s="201"/>
      <c r="QD143" s="201"/>
      <c r="QE143" s="201"/>
      <c r="QF143" s="201"/>
      <c r="QG143" s="201"/>
      <c r="QH143" s="201"/>
      <c r="QI143" s="201"/>
      <c r="QJ143" s="201"/>
      <c r="QK143" s="201"/>
      <c r="QL143" s="201"/>
      <c r="QM143" s="201"/>
      <c r="QN143" s="201"/>
      <c r="QO143" s="201"/>
      <c r="QP143" s="201"/>
      <c r="QQ143" s="201"/>
      <c r="QR143" s="201"/>
      <c r="QS143" s="201"/>
      <c r="QT143" s="201"/>
      <c r="QU143" s="201"/>
      <c r="QV143" s="201"/>
      <c r="QW143" s="201"/>
      <c r="QX143" s="201"/>
      <c r="QY143" s="201"/>
      <c r="QZ143" s="201"/>
      <c r="RA143" s="201"/>
      <c r="RB143" s="201"/>
      <c r="RC143" s="201"/>
      <c r="RD143" s="201"/>
      <c r="RE143" s="201"/>
      <c r="RF143" s="201"/>
      <c r="RG143" s="201"/>
      <c r="RH143" s="201"/>
      <c r="RI143" s="201"/>
      <c r="RJ143" s="201"/>
      <c r="RK143" s="201"/>
      <c r="RL143" s="201"/>
      <c r="RM143" s="201"/>
      <c r="RN143" s="201"/>
      <c r="RO143" s="201"/>
      <c r="RP143" s="201"/>
      <c r="RQ143" s="201"/>
      <c r="RR143" s="201"/>
      <c r="RS143" s="201"/>
      <c r="RT143" s="201"/>
      <c r="RU143" s="201"/>
      <c r="RV143" s="201"/>
      <c r="RW143" s="201"/>
      <c r="RX143" s="201"/>
      <c r="RY143" s="201"/>
      <c r="RZ143" s="201"/>
      <c r="SA143" s="201"/>
      <c r="SB143" s="201"/>
      <c r="SC143" s="201"/>
      <c r="SD143" s="201"/>
      <c r="SE143" s="201"/>
      <c r="SF143" s="201"/>
      <c r="SG143" s="201"/>
      <c r="SH143" s="201"/>
      <c r="SI143" s="201"/>
      <c r="SJ143" s="201"/>
      <c r="SK143" s="201"/>
      <c r="SL143" s="201"/>
      <c r="SM143" s="201"/>
      <c r="SN143" s="201"/>
      <c r="SO143" s="201"/>
      <c r="SP143" s="201"/>
      <c r="SQ143" s="201"/>
      <c r="SR143" s="201"/>
      <c r="SS143" s="201"/>
      <c r="ST143" s="201"/>
      <c r="SU143" s="201"/>
      <c r="SV143" s="201"/>
      <c r="SW143" s="201"/>
      <c r="SX143" s="201"/>
      <c r="SY143" s="201"/>
      <c r="SZ143" s="201"/>
      <c r="TA143" s="201"/>
      <c r="TB143" s="201"/>
      <c r="TC143" s="201"/>
      <c r="TD143" s="201"/>
      <c r="TE143" s="201"/>
      <c r="TF143" s="201"/>
      <c r="TG143" s="201"/>
      <c r="TH143" s="201"/>
      <c r="TI143" s="201"/>
      <c r="TJ143" s="201"/>
      <c r="TK143" s="201"/>
      <c r="TL143" s="201"/>
      <c r="TM143" s="201"/>
      <c r="TN143" s="201"/>
      <c r="TO143" s="201"/>
      <c r="TP143" s="201"/>
      <c r="TQ143" s="201"/>
      <c r="TR143" s="201"/>
      <c r="TS143" s="201"/>
      <c r="TT143" s="201"/>
      <c r="TU143" s="201"/>
      <c r="TV143" s="201"/>
      <c r="TW143" s="201"/>
      <c r="TX143" s="201"/>
      <c r="TY143" s="201"/>
      <c r="TZ143" s="201"/>
      <c r="UA143" s="201"/>
      <c r="UB143" s="201"/>
      <c r="UC143" s="201"/>
      <c r="UD143" s="201"/>
      <c r="UE143" s="201"/>
      <c r="UF143" s="201"/>
      <c r="UG143" s="201"/>
      <c r="UH143" s="201"/>
      <c r="UI143" s="201"/>
      <c r="UJ143" s="201"/>
      <c r="UK143" s="201"/>
      <c r="UL143" s="201"/>
      <c r="UM143" s="201"/>
      <c r="UN143" s="201"/>
      <c r="UO143" s="201"/>
      <c r="UP143" s="201"/>
      <c r="UQ143" s="201"/>
      <c r="UR143" s="201"/>
      <c r="US143" s="201"/>
      <c r="UT143" s="201"/>
      <c r="UU143" s="201"/>
    </row>
    <row r="144" spans="1:567" x14ac:dyDescent="0.25">
      <c r="B144" s="44" t="s">
        <v>153</v>
      </c>
      <c r="C144" s="26"/>
      <c r="D144" s="154" t="s">
        <v>718</v>
      </c>
      <c r="E144" s="155" t="s">
        <v>172</v>
      </c>
      <c r="F144" s="131" t="str">
        <f>Unit_Type_Plural&amp;"/Year"</f>
        <v>Units/Year</v>
      </c>
      <c r="G144" s="584">
        <v>275</v>
      </c>
      <c r="H144" s="131" t="str">
        <f>Unit_Type_Plural&amp;"/Year"</f>
        <v>Units/Year</v>
      </c>
      <c r="I144" s="584">
        <v>275</v>
      </c>
      <c r="J144" s="149">
        <f t="shared" ref="J144:J145" si="2985">((1-$E$120)*G144+$E$120*I144)*$C$120</f>
        <v>82500</v>
      </c>
      <c r="K144" s="149">
        <f t="shared" ref="K144:K145" si="2986">+I144*$C$120</f>
        <v>82500</v>
      </c>
      <c r="M144" s="3" t="s">
        <v>849</v>
      </c>
      <c r="T144" s="92">
        <f t="shared" ref="T144:AC145" si="2987">$C$120*((1-T$109)*FD144+T$109*KN144)/12</f>
        <v>6875</v>
      </c>
      <c r="U144" s="92">
        <f t="shared" si="2987"/>
        <v>6875</v>
      </c>
      <c r="V144" s="92">
        <f t="shared" si="2987"/>
        <v>6875</v>
      </c>
      <c r="W144" s="92">
        <f t="shared" si="2987"/>
        <v>6875</v>
      </c>
      <c r="X144" s="92">
        <f t="shared" si="2987"/>
        <v>6875</v>
      </c>
      <c r="Y144" s="92">
        <f t="shared" si="2987"/>
        <v>6875</v>
      </c>
      <c r="Z144" s="92">
        <f t="shared" si="2987"/>
        <v>6875</v>
      </c>
      <c r="AA144" s="92">
        <f t="shared" si="2987"/>
        <v>6875</v>
      </c>
      <c r="AB144" s="92">
        <f t="shared" si="2987"/>
        <v>6875</v>
      </c>
      <c r="AC144" s="92">
        <f t="shared" si="2987"/>
        <v>6875</v>
      </c>
      <c r="AD144" s="92">
        <f t="shared" ref="AD144:AM145" si="2988">$C$120*((1-AD$109)*FN144+AD$109*KX144)/12</f>
        <v>6875</v>
      </c>
      <c r="AE144" s="92">
        <f t="shared" si="2988"/>
        <v>6875</v>
      </c>
      <c r="AF144" s="92">
        <f t="shared" si="2988"/>
        <v>6889.1613743551688</v>
      </c>
      <c r="AG144" s="92">
        <f t="shared" si="2988"/>
        <v>6903.3519188228647</v>
      </c>
      <c r="AH144" s="92">
        <f t="shared" si="2988"/>
        <v>6917.571693488745</v>
      </c>
      <c r="AI144" s="92">
        <f t="shared" si="2988"/>
        <v>6931.8207585622304</v>
      </c>
      <c r="AJ144" s="92">
        <f t="shared" si="2988"/>
        <v>6946.0991743767654</v>
      </c>
      <c r="AK144" s="92">
        <f t="shared" si="2988"/>
        <v>6960.4070013900709</v>
      </c>
      <c r="AL144" s="92">
        <f t="shared" si="2988"/>
        <v>6974.7443001844013</v>
      </c>
      <c r="AM144" s="92">
        <f t="shared" si="2988"/>
        <v>6989.1111314668015</v>
      </c>
      <c r="AN144" s="92">
        <f t="shared" ref="AN144:AW145" si="2989">$C$120*((1-AN$109)*FX144+AN$109*LH144)/12</f>
        <v>7003.5075560693585</v>
      </c>
      <c r="AO144" s="92">
        <f t="shared" si="2989"/>
        <v>7017.933634949467</v>
      </c>
      <c r="AP144" s="92">
        <f t="shared" si="2989"/>
        <v>7032.389429190086</v>
      </c>
      <c r="AQ144" s="92">
        <f t="shared" si="2989"/>
        <v>7046.87499999999</v>
      </c>
      <c r="AR144" s="92">
        <f t="shared" si="2989"/>
        <v>7061.390408714039</v>
      </c>
      <c r="AS144" s="92">
        <f t="shared" si="2989"/>
        <v>7075.9357167934277</v>
      </c>
      <c r="AT144" s="92">
        <f t="shared" si="2989"/>
        <v>7090.5109858259539</v>
      </c>
      <c r="AU144" s="92">
        <f t="shared" si="2989"/>
        <v>7105.1162775262774</v>
      </c>
      <c r="AV144" s="92">
        <f t="shared" si="2989"/>
        <v>7119.7516537361744</v>
      </c>
      <c r="AW144" s="92">
        <f t="shared" si="2989"/>
        <v>7134.4171764248131</v>
      </c>
      <c r="AX144" s="92">
        <f t="shared" ref="AX144:BG145" si="2990">$C$120*((1-AX$109)*GH144+AX$109*LR144)/12</f>
        <v>7149.112907689002</v>
      </c>
      <c r="AY144" s="92">
        <f t="shared" si="2990"/>
        <v>7163.83890975346</v>
      </c>
      <c r="AZ144" s="92">
        <f t="shared" si="2990"/>
        <v>7178.5952449710812</v>
      </c>
      <c r="BA144" s="92">
        <f t="shared" si="2990"/>
        <v>7193.3819758231921</v>
      </c>
      <c r="BB144" s="92">
        <f t="shared" si="2990"/>
        <v>7208.1991649198253</v>
      </c>
      <c r="BC144" s="92">
        <f t="shared" si="2990"/>
        <v>7223.0468749999773</v>
      </c>
      <c r="BD144" s="92">
        <f t="shared" si="2990"/>
        <v>7237.9251689318762</v>
      </c>
      <c r="BE144" s="92">
        <f t="shared" si="2990"/>
        <v>7252.8341097132497</v>
      </c>
      <c r="BF144" s="92">
        <f t="shared" si="2990"/>
        <v>7267.7737604715903</v>
      </c>
      <c r="BG144" s="92">
        <f t="shared" si="2990"/>
        <v>7282.7441844644209</v>
      </c>
      <c r="BH144" s="92">
        <f t="shared" ref="BH144:BQ145" si="2991">$C$120*((1-BH$109)*GR144+BH$109*MB144)/12</f>
        <v>7297.7454450795676</v>
      </c>
      <c r="BI144" s="92">
        <f t="shared" si="2991"/>
        <v>7312.7776058354211</v>
      </c>
      <c r="BJ144" s="92">
        <f t="shared" si="2991"/>
        <v>7327.8407303812137</v>
      </c>
      <c r="BK144" s="92">
        <f t="shared" si="2991"/>
        <v>7342.9348824972849</v>
      </c>
      <c r="BL144" s="92">
        <f t="shared" si="2991"/>
        <v>7358.0601260953454</v>
      </c>
      <c r="BM144" s="92">
        <f t="shared" si="2991"/>
        <v>7373.2165252187597</v>
      </c>
      <c r="BN144" s="92">
        <f t="shared" si="2991"/>
        <v>7388.4041440428091</v>
      </c>
      <c r="BO144" s="92">
        <f t="shared" si="2991"/>
        <v>7403.6230468749645</v>
      </c>
      <c r="BP144" s="92">
        <f t="shared" si="2991"/>
        <v>7418.873298155162</v>
      </c>
      <c r="BQ144" s="92">
        <f t="shared" si="2991"/>
        <v>7434.1549624560694</v>
      </c>
      <c r="BR144" s="92">
        <f t="shared" ref="BR144:CA145" si="2992">$C$120*((1-BR$109)*HB144+BR$109*ML144)/12</f>
        <v>7449.4681044833678</v>
      </c>
      <c r="BS144" s="92">
        <f t="shared" si="2992"/>
        <v>7464.8127890760188</v>
      </c>
      <c r="BT144" s="92">
        <f t="shared" si="2992"/>
        <v>7480.189081206544</v>
      </c>
      <c r="BU144" s="92">
        <f t="shared" si="2992"/>
        <v>7495.5970459812952</v>
      </c>
      <c r="BV144" s="92">
        <f t="shared" si="2992"/>
        <v>7511.0367486407331</v>
      </c>
      <c r="BW144" s="92">
        <f t="shared" si="2992"/>
        <v>7526.5082545597033</v>
      </c>
      <c r="BX144" s="92">
        <f t="shared" si="2992"/>
        <v>7542.0116292477169</v>
      </c>
      <c r="BY144" s="92">
        <f t="shared" si="2992"/>
        <v>7557.5469383492164</v>
      </c>
      <c r="BZ144" s="92">
        <f t="shared" si="2992"/>
        <v>7573.1142476438663</v>
      </c>
      <c r="CA144" s="92">
        <f t="shared" si="2992"/>
        <v>7588.713623046825</v>
      </c>
      <c r="CB144" s="92">
        <f t="shared" ref="CB144:CK145" si="2993">$C$120*((1-CB$109)*HL144+CB$109*MV144)/12</f>
        <v>7604.3451306090274</v>
      </c>
      <c r="CC144" s="92">
        <f t="shared" si="2993"/>
        <v>7620.0088365174588</v>
      </c>
      <c r="CD144" s="92">
        <f t="shared" si="2993"/>
        <v>7635.7048070954397</v>
      </c>
      <c r="CE144" s="92">
        <f t="shared" si="2993"/>
        <v>7651.4331088029066</v>
      </c>
      <c r="CF144" s="92">
        <f t="shared" si="2993"/>
        <v>7667.1938082366951</v>
      </c>
      <c r="CG144" s="92">
        <f t="shared" si="2993"/>
        <v>7682.9869721308141</v>
      </c>
      <c r="CH144" s="92">
        <f t="shared" si="2993"/>
        <v>7698.8126673567376</v>
      </c>
      <c r="CI144" s="92">
        <f t="shared" si="2993"/>
        <v>7714.6709609236832</v>
      </c>
      <c r="CJ144" s="92">
        <f t="shared" si="2993"/>
        <v>7730.5619199788962</v>
      </c>
      <c r="CK144" s="92">
        <f t="shared" si="2993"/>
        <v>7746.4856118079342</v>
      </c>
      <c r="CL144" s="92">
        <f t="shared" ref="CL144:CU145" si="2994">$C$120*((1-CL$109)*HV144+CL$109*NF144)/12</f>
        <v>7762.442103834951</v>
      </c>
      <c r="CM144" s="92">
        <f t="shared" si="2994"/>
        <v>7778.4314636229856</v>
      </c>
      <c r="CN144" s="92">
        <f t="shared" si="2994"/>
        <v>7794.4537588742423</v>
      </c>
      <c r="CO144" s="92">
        <f t="shared" si="2994"/>
        <v>7810.5090574303831</v>
      </c>
      <c r="CP144" s="92">
        <f t="shared" si="2994"/>
        <v>7826.5974272728126</v>
      </c>
      <c r="CQ144" s="92">
        <f t="shared" si="2994"/>
        <v>7842.7189365229679</v>
      </c>
      <c r="CR144" s="92">
        <f t="shared" si="2994"/>
        <v>7858.8736534425998</v>
      </c>
      <c r="CS144" s="92">
        <f t="shared" si="2994"/>
        <v>7875.0616464340737</v>
      </c>
      <c r="CT144" s="92">
        <f t="shared" si="2994"/>
        <v>7891.2829840406457</v>
      </c>
      <c r="CU144" s="92">
        <f t="shared" si="2994"/>
        <v>7907.5377349467662</v>
      </c>
      <c r="CV144" s="92">
        <f t="shared" ref="CV144:DE145" si="2995">$C$120*((1-CV$109)*IF144+CV$109*NP144)/12</f>
        <v>7923.8259679783596</v>
      </c>
      <c r="CW144" s="92">
        <f t="shared" si="2995"/>
        <v>7940.1477521031229</v>
      </c>
      <c r="CX144" s="92">
        <f t="shared" si="2995"/>
        <v>7956.5031564308147</v>
      </c>
      <c r="CY144" s="92">
        <f t="shared" si="2995"/>
        <v>7972.8922502135492</v>
      </c>
      <c r="CZ144" s="92">
        <f t="shared" si="2995"/>
        <v>7989.3151028460861</v>
      </c>
      <c r="DA144" s="92">
        <f t="shared" si="2995"/>
        <v>8005.7717838661301</v>
      </c>
      <c r="DB144" s="92">
        <f t="shared" si="2995"/>
        <v>8022.2623629546215</v>
      </c>
      <c r="DC144" s="92">
        <f t="shared" si="2995"/>
        <v>8038.7869099360296</v>
      </c>
      <c r="DD144" s="92">
        <f t="shared" si="2995"/>
        <v>8055.3454947786531</v>
      </c>
      <c r="DE144" s="92">
        <f t="shared" si="2995"/>
        <v>8071.9381875949121</v>
      </c>
      <c r="DF144" s="92">
        <f t="shared" ref="DF144:DO145" si="2996">$C$120*((1-DF$109)*IP144+DF$109*NZ144)/12</f>
        <v>8088.5650586416486</v>
      </c>
      <c r="DG144" s="92">
        <f t="shared" si="2996"/>
        <v>8105.2261783204222</v>
      </c>
      <c r="DH144" s="92">
        <f t="shared" si="2996"/>
        <v>8121.9216171778053</v>
      </c>
      <c r="DI144" s="92">
        <f t="shared" si="2996"/>
        <v>8138.6514459056862</v>
      </c>
      <c r="DJ144" s="92">
        <f t="shared" si="2996"/>
        <v>8155.4157353415721</v>
      </c>
      <c r="DK144" s="92">
        <f t="shared" si="2996"/>
        <v>8172.2145564688753</v>
      </c>
      <c r="DL144" s="92">
        <f t="shared" si="2996"/>
        <v>8189.0479804172255</v>
      </c>
      <c r="DM144" s="92">
        <f t="shared" si="2996"/>
        <v>8205.9160784627729</v>
      </c>
      <c r="DN144" s="92">
        <f t="shared" si="2996"/>
        <v>8222.8189220284767</v>
      </c>
      <c r="DO144" s="92">
        <f t="shared" si="2996"/>
        <v>8239.7565826844202</v>
      </c>
      <c r="DP144" s="92">
        <f t="shared" ref="DP144:DY145" si="2997">$C$120*((1-DP$109)*IZ144+DP$109*OJ144)/12</f>
        <v>8256.7291321481098</v>
      </c>
      <c r="DQ144" s="92">
        <f t="shared" si="2997"/>
        <v>8273.7366422847754</v>
      </c>
      <c r="DR144" s="92">
        <f t="shared" si="2997"/>
        <v>8290.7791851076818</v>
      </c>
      <c r="DS144" s="92">
        <f t="shared" si="2997"/>
        <v>8307.8568327784214</v>
      </c>
      <c r="DT144" s="92">
        <f t="shared" si="2997"/>
        <v>8324.9696576072402</v>
      </c>
      <c r="DU144" s="92">
        <f t="shared" si="2997"/>
        <v>8342.1177320533207</v>
      </c>
      <c r="DV144" s="92">
        <f t="shared" si="2997"/>
        <v>8359.3011287251011</v>
      </c>
      <c r="DW144" s="92">
        <f t="shared" si="2997"/>
        <v>8376.519920380586</v>
      </c>
      <c r="DX144" s="92">
        <f t="shared" si="2997"/>
        <v>8393.7741799276464</v>
      </c>
      <c r="DY144" s="92">
        <f t="shared" si="2997"/>
        <v>8411.063980424331</v>
      </c>
      <c r="DZ144" s="92">
        <f t="shared" ref="DZ144:EI145" si="2998">$C$120*((1-DZ$109)*JJ144+DZ$109*OT144)/12</f>
        <v>8428.3893950791771</v>
      </c>
      <c r="EA144" s="92">
        <f t="shared" si="2998"/>
        <v>8445.750497251518</v>
      </c>
      <c r="EB144" s="92">
        <f t="shared" si="2998"/>
        <v>8463.1473604517996</v>
      </c>
      <c r="EC144" s="92">
        <f t="shared" si="2998"/>
        <v>8480.5800583418804</v>
      </c>
      <c r="ED144" s="92">
        <f t="shared" si="2998"/>
        <v>8498.0486647353591</v>
      </c>
      <c r="EE144" s="92">
        <f t="shared" si="2998"/>
        <v>8515.5532535978691</v>
      </c>
      <c r="EF144" s="92">
        <f t="shared" si="2998"/>
        <v>8533.0938990474078</v>
      </c>
      <c r="EG144" s="92">
        <f t="shared" si="2998"/>
        <v>8550.6706753546405</v>
      </c>
      <c r="EH144" s="92">
        <f t="shared" si="2998"/>
        <v>8568.2836569432166</v>
      </c>
      <c r="EI144" s="92">
        <f t="shared" si="2998"/>
        <v>8585.9329183900882</v>
      </c>
      <c r="EJ144" s="92">
        <f t="shared" ref="EJ144:ES145" si="2999">$C$120*((1-EJ$109)*JT144+EJ$109*PD144)/12</f>
        <v>8603.6185344258247</v>
      </c>
      <c r="EK144" s="92">
        <f t="shared" si="2999"/>
        <v>8621.3405799349257</v>
      </c>
      <c r="EL144" s="92">
        <f t="shared" si="2999"/>
        <v>8639.0991299561447</v>
      </c>
      <c r="EM144" s="92">
        <f t="shared" si="2999"/>
        <v>8656.8942596827928</v>
      </c>
      <c r="EN144" s="92">
        <f t="shared" si="2999"/>
        <v>8674.7260444630829</v>
      </c>
      <c r="EO144" s="92">
        <f t="shared" si="2999"/>
        <v>8692.5945598004182</v>
      </c>
      <c r="EP144" s="92">
        <f t="shared" si="2999"/>
        <v>8710.4998813537331</v>
      </c>
      <c r="EQ144" s="92">
        <f t="shared" si="2999"/>
        <v>8728.4420849378057</v>
      </c>
      <c r="ER144" s="92">
        <f t="shared" si="2999"/>
        <v>8746.4212465235814</v>
      </c>
      <c r="ES144" s="92">
        <f t="shared" si="2999"/>
        <v>8764.4374422384954</v>
      </c>
      <c r="ET144" s="92">
        <f t="shared" ref="ET144:EU145" si="3000">$C$120*((1-ET$109)*KD144+ET$109*PN144)/12</f>
        <v>8782.4907483667848</v>
      </c>
      <c r="EU144" s="92">
        <f t="shared" si="3000"/>
        <v>8800.5812413498297</v>
      </c>
      <c r="EW144" s="199" t="str">
        <f t="shared" si="2967"/>
        <v>Insurance</v>
      </c>
      <c r="EX144" s="201"/>
      <c r="EY144" s="221"/>
      <c r="EZ144" s="221"/>
      <c r="FA144" s="221"/>
      <c r="FB144" s="221"/>
      <c r="FC144" s="207">
        <f t="shared" ref="FC144" si="3001">+G144</f>
        <v>275</v>
      </c>
      <c r="FD144" s="207">
        <f t="shared" ref="FD144:HO144" si="3002">FC144+IF(FD$124&gt;0,FC144*((1+INDEX($C$107:$H$107,1,MIN(FD$124,6)))^(1/12)-1))</f>
        <v>275</v>
      </c>
      <c r="FE144" s="207">
        <f t="shared" si="3002"/>
        <v>275</v>
      </c>
      <c r="FF144" s="207">
        <f t="shared" si="3002"/>
        <v>275</v>
      </c>
      <c r="FG144" s="207">
        <f t="shared" si="3002"/>
        <v>275</v>
      </c>
      <c r="FH144" s="207">
        <f t="shared" si="3002"/>
        <v>275</v>
      </c>
      <c r="FI144" s="207">
        <f t="shared" si="3002"/>
        <v>275</v>
      </c>
      <c r="FJ144" s="207">
        <f t="shared" si="3002"/>
        <v>275</v>
      </c>
      <c r="FK144" s="207">
        <f t="shared" si="3002"/>
        <v>275</v>
      </c>
      <c r="FL144" s="207">
        <f t="shared" si="3002"/>
        <v>275</v>
      </c>
      <c r="FM144" s="207">
        <f t="shared" si="3002"/>
        <v>275</v>
      </c>
      <c r="FN144" s="207">
        <f t="shared" si="3002"/>
        <v>275</v>
      </c>
      <c r="FO144" s="207">
        <f t="shared" si="3002"/>
        <v>275</v>
      </c>
      <c r="FP144" s="207">
        <f t="shared" si="3002"/>
        <v>275.56645497420675</v>
      </c>
      <c r="FQ144" s="207">
        <f t="shared" si="3002"/>
        <v>276.13407675291461</v>
      </c>
      <c r="FR144" s="207">
        <f t="shared" si="3002"/>
        <v>276.70286773954979</v>
      </c>
      <c r="FS144" s="207">
        <f t="shared" si="3002"/>
        <v>277.27283034248921</v>
      </c>
      <c r="FT144" s="207">
        <f t="shared" si="3002"/>
        <v>277.8439669750706</v>
      </c>
      <c r="FU144" s="207">
        <f t="shared" si="3002"/>
        <v>278.41628005560284</v>
      </c>
      <c r="FV144" s="207">
        <f t="shared" si="3002"/>
        <v>278.98977200737608</v>
      </c>
      <c r="FW144" s="207">
        <f t="shared" si="3002"/>
        <v>279.56444525867204</v>
      </c>
      <c r="FX144" s="207">
        <f t="shared" si="3002"/>
        <v>280.14030224277434</v>
      </c>
      <c r="FY144" s="207">
        <f t="shared" si="3002"/>
        <v>280.7173453979787</v>
      </c>
      <c r="FZ144" s="207">
        <f t="shared" si="3002"/>
        <v>281.29557716760343</v>
      </c>
      <c r="GA144" s="207">
        <f t="shared" si="3002"/>
        <v>281.8749999999996</v>
      </c>
      <c r="GB144" s="207">
        <f t="shared" si="3002"/>
        <v>282.45561634856153</v>
      </c>
      <c r="GC144" s="207">
        <f t="shared" si="3002"/>
        <v>283.03742867173708</v>
      </c>
      <c r="GD144" s="207">
        <f t="shared" si="3002"/>
        <v>283.62043943303814</v>
      </c>
      <c r="GE144" s="207">
        <f t="shared" si="3002"/>
        <v>284.20465110105107</v>
      </c>
      <c r="GF144" s="207">
        <f t="shared" si="3002"/>
        <v>284.790066149447</v>
      </c>
      <c r="GG144" s="207">
        <f t="shared" si="3002"/>
        <v>285.37668705699252</v>
      </c>
      <c r="GH144" s="207">
        <f t="shared" si="3002"/>
        <v>285.96451630756007</v>
      </c>
      <c r="GI144" s="207">
        <f t="shared" si="3002"/>
        <v>286.5535563901384</v>
      </c>
      <c r="GJ144" s="207">
        <f t="shared" si="3002"/>
        <v>287.14380979884322</v>
      </c>
      <c r="GK144" s="207">
        <f t="shared" si="3002"/>
        <v>287.73527903292768</v>
      </c>
      <c r="GL144" s="207">
        <f t="shared" si="3002"/>
        <v>288.32796659679303</v>
      </c>
      <c r="GM144" s="207">
        <f t="shared" si="3002"/>
        <v>288.92187499999909</v>
      </c>
      <c r="GN144" s="207">
        <f t="shared" si="3002"/>
        <v>289.51700675727506</v>
      </c>
      <c r="GO144" s="207">
        <f t="shared" si="3002"/>
        <v>290.11336438852999</v>
      </c>
      <c r="GP144" s="207">
        <f t="shared" si="3002"/>
        <v>290.7109504188636</v>
      </c>
      <c r="GQ144" s="207">
        <f t="shared" si="3002"/>
        <v>291.30976737857685</v>
      </c>
      <c r="GR144" s="207">
        <f t="shared" si="3002"/>
        <v>291.9098178031827</v>
      </c>
      <c r="GS144" s="207">
        <f t="shared" si="3002"/>
        <v>292.51110423341686</v>
      </c>
      <c r="GT144" s="207">
        <f t="shared" si="3002"/>
        <v>293.11362921524858</v>
      </c>
      <c r="GU144" s="207">
        <f t="shared" si="3002"/>
        <v>293.71739529989139</v>
      </c>
      <c r="GV144" s="207">
        <f t="shared" si="3002"/>
        <v>294.32240504381383</v>
      </c>
      <c r="GW144" s="207">
        <f t="shared" si="3002"/>
        <v>294.9286610087504</v>
      </c>
      <c r="GX144" s="207">
        <f t="shared" si="3002"/>
        <v>295.53616576171237</v>
      </c>
      <c r="GY144" s="207">
        <f t="shared" si="3002"/>
        <v>296.1449218749986</v>
      </c>
      <c r="GZ144" s="207">
        <f t="shared" si="3002"/>
        <v>296.7549319262065</v>
      </c>
      <c r="HA144" s="207">
        <f t="shared" si="3002"/>
        <v>297.3661984982428</v>
      </c>
      <c r="HB144" s="207">
        <f t="shared" si="3002"/>
        <v>297.97872417933473</v>
      </c>
      <c r="HC144" s="207">
        <f t="shared" si="3002"/>
        <v>298.59251156304077</v>
      </c>
      <c r="HD144" s="207">
        <f t="shared" si="3002"/>
        <v>299.20756324826175</v>
      </c>
      <c r="HE144" s="207">
        <f t="shared" si="3002"/>
        <v>299.82388183925178</v>
      </c>
      <c r="HF144" s="207">
        <f t="shared" si="3002"/>
        <v>300.44146994562931</v>
      </c>
      <c r="HG144" s="207">
        <f t="shared" si="3002"/>
        <v>301.06033018238816</v>
      </c>
      <c r="HH144" s="207">
        <f t="shared" si="3002"/>
        <v>301.68046516990864</v>
      </c>
      <c r="HI144" s="207">
        <f t="shared" si="3002"/>
        <v>302.30187753396865</v>
      </c>
      <c r="HJ144" s="207">
        <f t="shared" si="3002"/>
        <v>302.92456990575465</v>
      </c>
      <c r="HK144" s="207">
        <f t="shared" si="3002"/>
        <v>303.54854492187303</v>
      </c>
      <c r="HL144" s="207">
        <f t="shared" si="3002"/>
        <v>304.1738052243611</v>
      </c>
      <c r="HM144" s="207">
        <f t="shared" si="3002"/>
        <v>304.80035346069832</v>
      </c>
      <c r="HN144" s="207">
        <f t="shared" si="3002"/>
        <v>305.42819228381757</v>
      </c>
      <c r="HO144" s="207">
        <f t="shared" si="3002"/>
        <v>306.05732435211627</v>
      </c>
      <c r="HP144" s="207">
        <f t="shared" ref="HP144:KA144" si="3003">HO144+IF(HP$124&gt;0,HO144*((1+INDEX($C$107:$H$107,1,MIN(HP$124,6)))^(1/12)-1))</f>
        <v>306.6877523294678</v>
      </c>
      <c r="HQ144" s="207">
        <f t="shared" si="3003"/>
        <v>307.31947888523257</v>
      </c>
      <c r="HR144" s="207">
        <f t="shared" si="3003"/>
        <v>307.95250669426952</v>
      </c>
      <c r="HS144" s="207">
        <f t="shared" si="3003"/>
        <v>308.58683843694735</v>
      </c>
      <c r="HT144" s="207">
        <f t="shared" si="3003"/>
        <v>309.22247679915586</v>
      </c>
      <c r="HU144" s="207">
        <f t="shared" si="3003"/>
        <v>309.85942447231736</v>
      </c>
      <c r="HV144" s="207">
        <f t="shared" si="3003"/>
        <v>310.49768415339804</v>
      </c>
      <c r="HW144" s="207">
        <f t="shared" si="3003"/>
        <v>311.1372585449194</v>
      </c>
      <c r="HX144" s="207">
        <f t="shared" si="3003"/>
        <v>311.77815035496968</v>
      </c>
      <c r="HY144" s="207">
        <f t="shared" si="3003"/>
        <v>312.42036229721532</v>
      </c>
      <c r="HZ144" s="207">
        <f t="shared" si="3003"/>
        <v>313.06389709091252</v>
      </c>
      <c r="IA144" s="207">
        <f t="shared" si="3003"/>
        <v>313.70875746091872</v>
      </c>
      <c r="IB144" s="207">
        <f t="shared" si="3003"/>
        <v>314.35494613770402</v>
      </c>
      <c r="IC144" s="207">
        <f t="shared" si="3003"/>
        <v>315.00246585736295</v>
      </c>
      <c r="ID144" s="207">
        <f t="shared" si="3003"/>
        <v>315.65131936162584</v>
      </c>
      <c r="IE144" s="207">
        <f t="shared" si="3003"/>
        <v>316.30150939787063</v>
      </c>
      <c r="IF144" s="207">
        <f t="shared" si="3003"/>
        <v>316.95303871913438</v>
      </c>
      <c r="IG144" s="207">
        <f t="shared" si="3003"/>
        <v>317.6059100841249</v>
      </c>
      <c r="IH144" s="207">
        <f t="shared" si="3003"/>
        <v>318.26012625723257</v>
      </c>
      <c r="II144" s="207">
        <f t="shared" si="3003"/>
        <v>318.91569000854196</v>
      </c>
      <c r="IJ144" s="207">
        <f t="shared" si="3003"/>
        <v>319.57260411384345</v>
      </c>
      <c r="IK144" s="207">
        <f t="shared" si="3003"/>
        <v>320.23087135464522</v>
      </c>
      <c r="IL144" s="207">
        <f t="shared" si="3003"/>
        <v>320.89049451818488</v>
      </c>
      <c r="IM144" s="207">
        <f t="shared" si="3003"/>
        <v>321.55147639744121</v>
      </c>
      <c r="IN144" s="207">
        <f t="shared" si="3003"/>
        <v>322.21381979114614</v>
      </c>
      <c r="IO144" s="207">
        <f t="shared" si="3003"/>
        <v>322.8775275037965</v>
      </c>
      <c r="IP144" s="207">
        <f t="shared" si="3003"/>
        <v>323.54260234566595</v>
      </c>
      <c r="IQ144" s="207">
        <f t="shared" si="3003"/>
        <v>324.20904713281686</v>
      </c>
      <c r="IR144" s="207">
        <f t="shared" si="3003"/>
        <v>324.87686468711217</v>
      </c>
      <c r="IS144" s="207">
        <f t="shared" si="3003"/>
        <v>325.54605783622748</v>
      </c>
      <c r="IT144" s="207">
        <f t="shared" si="3003"/>
        <v>326.21662941366287</v>
      </c>
      <c r="IU144" s="207">
        <f t="shared" si="3003"/>
        <v>326.88858225875498</v>
      </c>
      <c r="IV144" s="207">
        <f t="shared" si="3003"/>
        <v>327.56191921668903</v>
      </c>
      <c r="IW144" s="207">
        <f t="shared" si="3003"/>
        <v>328.23664313851089</v>
      </c>
      <c r="IX144" s="207">
        <f t="shared" si="3003"/>
        <v>328.91275688113905</v>
      </c>
      <c r="IY144" s="207">
        <f t="shared" si="3003"/>
        <v>329.5902633073768</v>
      </c>
      <c r="IZ144" s="207">
        <f t="shared" si="3003"/>
        <v>330.26916528592437</v>
      </c>
      <c r="JA144" s="207">
        <f t="shared" si="3003"/>
        <v>330.94946569139103</v>
      </c>
      <c r="JB144" s="207">
        <f t="shared" si="3003"/>
        <v>331.63116740430723</v>
      </c>
      <c r="JC144" s="207">
        <f t="shared" si="3003"/>
        <v>332.3142733111369</v>
      </c>
      <c r="JD144" s="207">
        <f t="shared" si="3003"/>
        <v>332.99878630428964</v>
      </c>
      <c r="JE144" s="207">
        <f t="shared" si="3003"/>
        <v>333.68470928213281</v>
      </c>
      <c r="JF144" s="207">
        <f t="shared" si="3003"/>
        <v>334.37204514900407</v>
      </c>
      <c r="JG144" s="207">
        <f t="shared" si="3003"/>
        <v>335.06079681522345</v>
      </c>
      <c r="JH144" s="207">
        <f t="shared" si="3003"/>
        <v>335.75096719710587</v>
      </c>
      <c r="JI144" s="207">
        <f t="shared" si="3003"/>
        <v>336.44255921697322</v>
      </c>
      <c r="JJ144" s="207">
        <f t="shared" si="3003"/>
        <v>337.13557580316706</v>
      </c>
      <c r="JK144" s="207">
        <f t="shared" si="3003"/>
        <v>337.83001989006073</v>
      </c>
      <c r="JL144" s="207">
        <f t="shared" si="3003"/>
        <v>338.52589441807197</v>
      </c>
      <c r="JM144" s="207">
        <f t="shared" si="3003"/>
        <v>339.22320233367526</v>
      </c>
      <c r="JN144" s="207">
        <f t="shared" si="3003"/>
        <v>339.92194658941435</v>
      </c>
      <c r="JO144" s="207">
        <f t="shared" si="3003"/>
        <v>340.62213014391477</v>
      </c>
      <c r="JP144" s="207">
        <f t="shared" si="3003"/>
        <v>341.32375596189632</v>
      </c>
      <c r="JQ144" s="207">
        <f t="shared" si="3003"/>
        <v>342.02682701418559</v>
      </c>
      <c r="JR144" s="207">
        <f t="shared" si="3003"/>
        <v>342.73134627772862</v>
      </c>
      <c r="JS144" s="207">
        <f t="shared" si="3003"/>
        <v>343.43731673560353</v>
      </c>
      <c r="JT144" s="207">
        <f t="shared" si="3003"/>
        <v>344.14474137703297</v>
      </c>
      <c r="JU144" s="207">
        <f t="shared" si="3003"/>
        <v>344.85362319739704</v>
      </c>
      <c r="JV144" s="207">
        <f t="shared" si="3003"/>
        <v>345.56396519824574</v>
      </c>
      <c r="JW144" s="207">
        <f t="shared" si="3003"/>
        <v>346.27577038731175</v>
      </c>
      <c r="JX144" s="207">
        <f t="shared" si="3003"/>
        <v>346.9890417785233</v>
      </c>
      <c r="JY144" s="207">
        <f t="shared" si="3003"/>
        <v>347.70378239201671</v>
      </c>
      <c r="JZ144" s="207">
        <f t="shared" si="3003"/>
        <v>348.41999525414928</v>
      </c>
      <c r="KA144" s="207">
        <f t="shared" si="3003"/>
        <v>349.13768339751221</v>
      </c>
      <c r="KB144" s="207">
        <f t="shared" ref="KB144:KE144" si="3004">KA144+IF(KB$124&gt;0,KA144*((1+INDEX($C$107:$H$107,1,MIN(KB$124,6)))^(1/12)-1))</f>
        <v>349.85684986094327</v>
      </c>
      <c r="KC144" s="207">
        <f t="shared" si="3004"/>
        <v>350.57749768953977</v>
      </c>
      <c r="KD144" s="207">
        <f t="shared" si="3004"/>
        <v>351.29962993467137</v>
      </c>
      <c r="KE144" s="207">
        <f t="shared" si="3004"/>
        <v>352.02324965399316</v>
      </c>
      <c r="KG144" s="199" t="str">
        <f t="shared" si="2962"/>
        <v>Insurance</v>
      </c>
      <c r="KH144" s="201"/>
      <c r="KI144" s="221"/>
      <c r="KJ144" s="221"/>
      <c r="KK144" s="221"/>
      <c r="KL144" s="221"/>
      <c r="KM144" s="207">
        <f t="shared" si="2963"/>
        <v>275</v>
      </c>
      <c r="KN144" s="207">
        <f t="shared" ref="KN144:MY144" si="3005">KM144+IF(KN$124&gt;0,KM144*((1+INDEX($C$107:$H$107,1,MIN(KN$124,6)))^(1/12)-1))</f>
        <v>275</v>
      </c>
      <c r="KO144" s="207">
        <f t="shared" si="3005"/>
        <v>275</v>
      </c>
      <c r="KP144" s="207">
        <f t="shared" si="3005"/>
        <v>275</v>
      </c>
      <c r="KQ144" s="207">
        <f t="shared" si="3005"/>
        <v>275</v>
      </c>
      <c r="KR144" s="207">
        <f t="shared" si="3005"/>
        <v>275</v>
      </c>
      <c r="KS144" s="207">
        <f t="shared" si="3005"/>
        <v>275</v>
      </c>
      <c r="KT144" s="207">
        <f t="shared" si="3005"/>
        <v>275</v>
      </c>
      <c r="KU144" s="207">
        <f t="shared" si="3005"/>
        <v>275</v>
      </c>
      <c r="KV144" s="207">
        <f t="shared" si="3005"/>
        <v>275</v>
      </c>
      <c r="KW144" s="207">
        <f t="shared" si="3005"/>
        <v>275</v>
      </c>
      <c r="KX144" s="207">
        <f t="shared" si="3005"/>
        <v>275</v>
      </c>
      <c r="KY144" s="207">
        <f t="shared" si="3005"/>
        <v>275</v>
      </c>
      <c r="KZ144" s="207">
        <f t="shared" si="3005"/>
        <v>275.56645497420675</v>
      </c>
      <c r="LA144" s="207">
        <f t="shared" si="3005"/>
        <v>276.13407675291461</v>
      </c>
      <c r="LB144" s="207">
        <f t="shared" si="3005"/>
        <v>276.70286773954979</v>
      </c>
      <c r="LC144" s="207">
        <f t="shared" si="3005"/>
        <v>277.27283034248921</v>
      </c>
      <c r="LD144" s="207">
        <f t="shared" si="3005"/>
        <v>277.8439669750706</v>
      </c>
      <c r="LE144" s="207">
        <f t="shared" si="3005"/>
        <v>278.41628005560284</v>
      </c>
      <c r="LF144" s="207">
        <f t="shared" si="3005"/>
        <v>278.98977200737608</v>
      </c>
      <c r="LG144" s="207">
        <f t="shared" si="3005"/>
        <v>279.56444525867204</v>
      </c>
      <c r="LH144" s="207">
        <f t="shared" si="3005"/>
        <v>280.14030224277434</v>
      </c>
      <c r="LI144" s="207">
        <f t="shared" si="3005"/>
        <v>280.7173453979787</v>
      </c>
      <c r="LJ144" s="207">
        <f t="shared" si="3005"/>
        <v>281.29557716760343</v>
      </c>
      <c r="LK144" s="207">
        <f t="shared" si="3005"/>
        <v>281.8749999999996</v>
      </c>
      <c r="LL144" s="207">
        <f t="shared" si="3005"/>
        <v>282.45561634856153</v>
      </c>
      <c r="LM144" s="207">
        <f t="shared" si="3005"/>
        <v>283.03742867173708</v>
      </c>
      <c r="LN144" s="207">
        <f t="shared" si="3005"/>
        <v>283.62043943303814</v>
      </c>
      <c r="LO144" s="207">
        <f t="shared" si="3005"/>
        <v>284.20465110105107</v>
      </c>
      <c r="LP144" s="207">
        <f t="shared" si="3005"/>
        <v>284.790066149447</v>
      </c>
      <c r="LQ144" s="207">
        <f t="shared" si="3005"/>
        <v>285.37668705699252</v>
      </c>
      <c r="LR144" s="207">
        <f t="shared" si="3005"/>
        <v>285.96451630756007</v>
      </c>
      <c r="LS144" s="207">
        <f t="shared" si="3005"/>
        <v>286.5535563901384</v>
      </c>
      <c r="LT144" s="207">
        <f t="shared" si="3005"/>
        <v>287.14380979884322</v>
      </c>
      <c r="LU144" s="207">
        <f t="shared" si="3005"/>
        <v>287.73527903292768</v>
      </c>
      <c r="LV144" s="207">
        <f t="shared" si="3005"/>
        <v>288.32796659679303</v>
      </c>
      <c r="LW144" s="207">
        <f t="shared" si="3005"/>
        <v>288.92187499999909</v>
      </c>
      <c r="LX144" s="207">
        <f t="shared" si="3005"/>
        <v>289.51700675727506</v>
      </c>
      <c r="LY144" s="207">
        <f t="shared" si="3005"/>
        <v>290.11336438852999</v>
      </c>
      <c r="LZ144" s="207">
        <f t="shared" si="3005"/>
        <v>290.7109504188636</v>
      </c>
      <c r="MA144" s="207">
        <f t="shared" si="3005"/>
        <v>291.30976737857685</v>
      </c>
      <c r="MB144" s="207">
        <f t="shared" si="3005"/>
        <v>291.9098178031827</v>
      </c>
      <c r="MC144" s="207">
        <f t="shared" si="3005"/>
        <v>292.51110423341686</v>
      </c>
      <c r="MD144" s="207">
        <f t="shared" si="3005"/>
        <v>293.11362921524858</v>
      </c>
      <c r="ME144" s="207">
        <f t="shared" si="3005"/>
        <v>293.71739529989139</v>
      </c>
      <c r="MF144" s="207">
        <f t="shared" si="3005"/>
        <v>294.32240504381383</v>
      </c>
      <c r="MG144" s="207">
        <f t="shared" si="3005"/>
        <v>294.9286610087504</v>
      </c>
      <c r="MH144" s="207">
        <f t="shared" si="3005"/>
        <v>295.53616576171237</v>
      </c>
      <c r="MI144" s="207">
        <f t="shared" si="3005"/>
        <v>296.1449218749986</v>
      </c>
      <c r="MJ144" s="207">
        <f t="shared" si="3005"/>
        <v>296.7549319262065</v>
      </c>
      <c r="MK144" s="207">
        <f t="shared" si="3005"/>
        <v>297.3661984982428</v>
      </c>
      <c r="ML144" s="207">
        <f t="shared" si="3005"/>
        <v>297.97872417933473</v>
      </c>
      <c r="MM144" s="207">
        <f t="shared" si="3005"/>
        <v>298.59251156304077</v>
      </c>
      <c r="MN144" s="207">
        <f t="shared" si="3005"/>
        <v>299.20756324826175</v>
      </c>
      <c r="MO144" s="207">
        <f t="shared" si="3005"/>
        <v>299.82388183925178</v>
      </c>
      <c r="MP144" s="207">
        <f t="shared" si="3005"/>
        <v>300.44146994562931</v>
      </c>
      <c r="MQ144" s="207">
        <f t="shared" si="3005"/>
        <v>301.06033018238816</v>
      </c>
      <c r="MR144" s="207">
        <f t="shared" si="3005"/>
        <v>301.68046516990864</v>
      </c>
      <c r="MS144" s="207">
        <f t="shared" si="3005"/>
        <v>302.30187753396865</v>
      </c>
      <c r="MT144" s="207">
        <f t="shared" si="3005"/>
        <v>302.92456990575465</v>
      </c>
      <c r="MU144" s="207">
        <f t="shared" si="3005"/>
        <v>303.54854492187303</v>
      </c>
      <c r="MV144" s="207">
        <f t="shared" si="3005"/>
        <v>304.1738052243611</v>
      </c>
      <c r="MW144" s="207">
        <f t="shared" si="3005"/>
        <v>304.80035346069832</v>
      </c>
      <c r="MX144" s="207">
        <f t="shared" si="3005"/>
        <v>305.42819228381757</v>
      </c>
      <c r="MY144" s="207">
        <f t="shared" si="3005"/>
        <v>306.05732435211627</v>
      </c>
      <c r="MZ144" s="207">
        <f t="shared" ref="MZ144:PK144" si="3006">MY144+IF(MZ$124&gt;0,MY144*((1+INDEX($C$107:$H$107,1,MIN(MZ$124,6)))^(1/12)-1))</f>
        <v>306.6877523294678</v>
      </c>
      <c r="NA144" s="207">
        <f t="shared" si="3006"/>
        <v>307.31947888523257</v>
      </c>
      <c r="NB144" s="207">
        <f t="shared" si="3006"/>
        <v>307.95250669426952</v>
      </c>
      <c r="NC144" s="207">
        <f t="shared" si="3006"/>
        <v>308.58683843694735</v>
      </c>
      <c r="ND144" s="207">
        <f t="shared" si="3006"/>
        <v>309.22247679915586</v>
      </c>
      <c r="NE144" s="207">
        <f t="shared" si="3006"/>
        <v>309.85942447231736</v>
      </c>
      <c r="NF144" s="207">
        <f t="shared" si="3006"/>
        <v>310.49768415339804</v>
      </c>
      <c r="NG144" s="207">
        <f t="shared" si="3006"/>
        <v>311.1372585449194</v>
      </c>
      <c r="NH144" s="207">
        <f t="shared" si="3006"/>
        <v>311.77815035496968</v>
      </c>
      <c r="NI144" s="207">
        <f t="shared" si="3006"/>
        <v>312.42036229721532</v>
      </c>
      <c r="NJ144" s="207">
        <f t="shared" si="3006"/>
        <v>313.06389709091252</v>
      </c>
      <c r="NK144" s="207">
        <f t="shared" si="3006"/>
        <v>313.70875746091872</v>
      </c>
      <c r="NL144" s="207">
        <f t="shared" si="3006"/>
        <v>314.35494613770402</v>
      </c>
      <c r="NM144" s="207">
        <f t="shared" si="3006"/>
        <v>315.00246585736295</v>
      </c>
      <c r="NN144" s="207">
        <f t="shared" si="3006"/>
        <v>315.65131936162584</v>
      </c>
      <c r="NO144" s="207">
        <f t="shared" si="3006"/>
        <v>316.30150939787063</v>
      </c>
      <c r="NP144" s="207">
        <f t="shared" si="3006"/>
        <v>316.95303871913438</v>
      </c>
      <c r="NQ144" s="207">
        <f t="shared" si="3006"/>
        <v>317.6059100841249</v>
      </c>
      <c r="NR144" s="207">
        <f t="shared" si="3006"/>
        <v>318.26012625723257</v>
      </c>
      <c r="NS144" s="207">
        <f t="shared" si="3006"/>
        <v>318.91569000854196</v>
      </c>
      <c r="NT144" s="207">
        <f t="shared" si="3006"/>
        <v>319.57260411384345</v>
      </c>
      <c r="NU144" s="207">
        <f t="shared" si="3006"/>
        <v>320.23087135464522</v>
      </c>
      <c r="NV144" s="207">
        <f t="shared" si="3006"/>
        <v>320.89049451818488</v>
      </c>
      <c r="NW144" s="207">
        <f t="shared" si="3006"/>
        <v>321.55147639744121</v>
      </c>
      <c r="NX144" s="207">
        <f t="shared" si="3006"/>
        <v>322.21381979114614</v>
      </c>
      <c r="NY144" s="207">
        <f t="shared" si="3006"/>
        <v>322.8775275037965</v>
      </c>
      <c r="NZ144" s="207">
        <f t="shared" si="3006"/>
        <v>323.54260234566595</v>
      </c>
      <c r="OA144" s="207">
        <f t="shared" si="3006"/>
        <v>324.20904713281686</v>
      </c>
      <c r="OB144" s="207">
        <f t="shared" si="3006"/>
        <v>324.87686468711217</v>
      </c>
      <c r="OC144" s="207">
        <f t="shared" si="3006"/>
        <v>325.54605783622748</v>
      </c>
      <c r="OD144" s="207">
        <f t="shared" si="3006"/>
        <v>326.21662941366287</v>
      </c>
      <c r="OE144" s="207">
        <f t="shared" si="3006"/>
        <v>326.88858225875498</v>
      </c>
      <c r="OF144" s="207">
        <f t="shared" si="3006"/>
        <v>327.56191921668903</v>
      </c>
      <c r="OG144" s="207">
        <f t="shared" si="3006"/>
        <v>328.23664313851089</v>
      </c>
      <c r="OH144" s="207">
        <f t="shared" si="3006"/>
        <v>328.91275688113905</v>
      </c>
      <c r="OI144" s="207">
        <f t="shared" si="3006"/>
        <v>329.5902633073768</v>
      </c>
      <c r="OJ144" s="207">
        <f t="shared" si="3006"/>
        <v>330.26916528592437</v>
      </c>
      <c r="OK144" s="207">
        <f t="shared" si="3006"/>
        <v>330.94946569139103</v>
      </c>
      <c r="OL144" s="207">
        <f t="shared" si="3006"/>
        <v>331.63116740430723</v>
      </c>
      <c r="OM144" s="207">
        <f t="shared" si="3006"/>
        <v>332.3142733111369</v>
      </c>
      <c r="ON144" s="207">
        <f t="shared" si="3006"/>
        <v>332.99878630428964</v>
      </c>
      <c r="OO144" s="207">
        <f t="shared" si="3006"/>
        <v>333.68470928213281</v>
      </c>
      <c r="OP144" s="207">
        <f t="shared" si="3006"/>
        <v>334.37204514900407</v>
      </c>
      <c r="OQ144" s="207">
        <f t="shared" si="3006"/>
        <v>335.06079681522345</v>
      </c>
      <c r="OR144" s="207">
        <f t="shared" si="3006"/>
        <v>335.75096719710587</v>
      </c>
      <c r="OS144" s="207">
        <f t="shared" si="3006"/>
        <v>336.44255921697322</v>
      </c>
      <c r="OT144" s="207">
        <f t="shared" si="3006"/>
        <v>337.13557580316706</v>
      </c>
      <c r="OU144" s="207">
        <f t="shared" si="3006"/>
        <v>337.83001989006073</v>
      </c>
      <c r="OV144" s="207">
        <f t="shared" si="3006"/>
        <v>338.52589441807197</v>
      </c>
      <c r="OW144" s="207">
        <f t="shared" si="3006"/>
        <v>339.22320233367526</v>
      </c>
      <c r="OX144" s="207">
        <f t="shared" si="3006"/>
        <v>339.92194658941435</v>
      </c>
      <c r="OY144" s="207">
        <f t="shared" si="3006"/>
        <v>340.62213014391477</v>
      </c>
      <c r="OZ144" s="207">
        <f t="shared" si="3006"/>
        <v>341.32375596189632</v>
      </c>
      <c r="PA144" s="207">
        <f t="shared" si="3006"/>
        <v>342.02682701418559</v>
      </c>
      <c r="PB144" s="207">
        <f t="shared" si="3006"/>
        <v>342.73134627772862</v>
      </c>
      <c r="PC144" s="207">
        <f t="shared" si="3006"/>
        <v>343.43731673560353</v>
      </c>
      <c r="PD144" s="207">
        <f t="shared" si="3006"/>
        <v>344.14474137703297</v>
      </c>
      <c r="PE144" s="207">
        <f t="shared" si="3006"/>
        <v>344.85362319739704</v>
      </c>
      <c r="PF144" s="207">
        <f t="shared" si="3006"/>
        <v>345.56396519824574</v>
      </c>
      <c r="PG144" s="207">
        <f t="shared" si="3006"/>
        <v>346.27577038731175</v>
      </c>
      <c r="PH144" s="207">
        <f t="shared" si="3006"/>
        <v>346.9890417785233</v>
      </c>
      <c r="PI144" s="207">
        <f t="shared" si="3006"/>
        <v>347.70378239201671</v>
      </c>
      <c r="PJ144" s="207">
        <f t="shared" si="3006"/>
        <v>348.41999525414928</v>
      </c>
      <c r="PK144" s="207">
        <f t="shared" si="3006"/>
        <v>349.13768339751221</v>
      </c>
      <c r="PL144" s="207">
        <f t="shared" ref="PL144:PO144" si="3007">PK144+IF(PL$124&gt;0,PK144*((1+INDEX($C$107:$H$107,1,MIN(PL$124,6)))^(1/12)-1))</f>
        <v>349.85684986094327</v>
      </c>
      <c r="PM144" s="207">
        <f t="shared" si="3007"/>
        <v>350.57749768953977</v>
      </c>
      <c r="PN144" s="207">
        <f t="shared" si="3007"/>
        <v>351.29962993467137</v>
      </c>
      <c r="PO144" s="207">
        <f t="shared" si="3007"/>
        <v>352.02324965399316</v>
      </c>
      <c r="PQ144" s="201"/>
      <c r="PR144" s="201"/>
      <c r="PS144" s="201"/>
      <c r="PT144" s="201"/>
      <c r="PU144" s="201"/>
      <c r="PV144" s="201"/>
      <c r="PW144" s="201"/>
      <c r="PX144" s="201"/>
      <c r="PY144" s="201"/>
      <c r="PZ144" s="201"/>
      <c r="QA144" s="201"/>
      <c r="QB144" s="201"/>
      <c r="QC144" s="201"/>
      <c r="QD144" s="201"/>
      <c r="QE144" s="201"/>
      <c r="QF144" s="201"/>
      <c r="QG144" s="201"/>
      <c r="QH144" s="201"/>
      <c r="QI144" s="201"/>
      <c r="QJ144" s="201"/>
      <c r="QK144" s="201"/>
      <c r="QL144" s="201"/>
      <c r="QM144" s="201"/>
      <c r="QN144" s="201"/>
      <c r="QO144" s="201"/>
      <c r="QP144" s="201"/>
      <c r="QQ144" s="201"/>
      <c r="QR144" s="201"/>
      <c r="QS144" s="201"/>
      <c r="QT144" s="201"/>
      <c r="QU144" s="201"/>
      <c r="QV144" s="201"/>
      <c r="QW144" s="201"/>
      <c r="QX144" s="201"/>
      <c r="QY144" s="201"/>
      <c r="QZ144" s="201"/>
      <c r="RA144" s="201"/>
      <c r="RB144" s="201"/>
      <c r="RC144" s="201"/>
      <c r="RD144" s="201"/>
      <c r="RE144" s="201"/>
      <c r="RF144" s="201"/>
      <c r="RG144" s="201"/>
      <c r="RH144" s="201"/>
      <c r="RI144" s="201"/>
      <c r="RJ144" s="201"/>
      <c r="RK144" s="201"/>
      <c r="RL144" s="201"/>
      <c r="RM144" s="201"/>
      <c r="RN144" s="201"/>
      <c r="RO144" s="201"/>
      <c r="RP144" s="201"/>
      <c r="RQ144" s="201"/>
      <c r="RR144" s="201"/>
      <c r="RS144" s="201"/>
      <c r="RT144" s="201"/>
      <c r="RU144" s="201"/>
      <c r="RV144" s="201"/>
      <c r="RW144" s="201"/>
      <c r="RX144" s="201"/>
      <c r="RY144" s="201"/>
      <c r="RZ144" s="201"/>
      <c r="SA144" s="201"/>
      <c r="SB144" s="201"/>
      <c r="SC144" s="201"/>
      <c r="SD144" s="201"/>
      <c r="SE144" s="201"/>
      <c r="SF144" s="201"/>
      <c r="SG144" s="201"/>
      <c r="SH144" s="201"/>
      <c r="SI144" s="201"/>
      <c r="SJ144" s="201"/>
      <c r="SK144" s="201"/>
      <c r="SL144" s="201"/>
      <c r="SM144" s="201"/>
      <c r="SN144" s="201"/>
      <c r="SO144" s="201"/>
      <c r="SP144" s="201"/>
      <c r="SQ144" s="201"/>
      <c r="SR144" s="201"/>
      <c r="SS144" s="201"/>
      <c r="ST144" s="201"/>
      <c r="SU144" s="201"/>
      <c r="SV144" s="201"/>
      <c r="SW144" s="201"/>
      <c r="SX144" s="201"/>
      <c r="SY144" s="201"/>
      <c r="SZ144" s="201"/>
      <c r="TA144" s="201"/>
      <c r="TB144" s="201"/>
      <c r="TC144" s="201"/>
      <c r="TD144" s="201"/>
      <c r="TE144" s="201"/>
      <c r="TF144" s="201"/>
      <c r="TG144" s="201"/>
      <c r="TH144" s="201"/>
      <c r="TI144" s="201"/>
      <c r="TJ144" s="201"/>
      <c r="TK144" s="201"/>
      <c r="TL144" s="201"/>
      <c r="TM144" s="201"/>
      <c r="TN144" s="201"/>
      <c r="TO144" s="201"/>
      <c r="TP144" s="201"/>
      <c r="TQ144" s="201"/>
      <c r="TR144" s="201"/>
      <c r="TS144" s="201"/>
      <c r="TT144" s="201"/>
      <c r="TU144" s="201"/>
      <c r="TV144" s="201"/>
      <c r="TW144" s="201"/>
      <c r="TX144" s="201"/>
      <c r="TY144" s="201"/>
      <c r="TZ144" s="201"/>
      <c r="UA144" s="201"/>
      <c r="UB144" s="201"/>
      <c r="UC144" s="201"/>
      <c r="UD144" s="201"/>
      <c r="UE144" s="201"/>
      <c r="UF144" s="201"/>
      <c r="UG144" s="201"/>
      <c r="UH144" s="201"/>
      <c r="UI144" s="201"/>
      <c r="UJ144" s="201"/>
      <c r="UK144" s="201"/>
      <c r="UL144" s="201"/>
      <c r="UM144" s="201"/>
      <c r="UN144" s="201"/>
      <c r="UO144" s="201"/>
      <c r="UP144" s="201"/>
      <c r="UQ144" s="201"/>
      <c r="UR144" s="201"/>
      <c r="US144" s="201"/>
      <c r="UT144" s="201"/>
      <c r="UU144" s="201"/>
    </row>
    <row r="145" spans="2:567" ht="15.6" x14ac:dyDescent="0.4">
      <c r="B145" s="44" t="s">
        <v>120</v>
      </c>
      <c r="C145" s="26" t="s">
        <v>187</v>
      </c>
      <c r="D145" s="100">
        <f>+J145/I210</f>
        <v>8.9727566187597849E-3</v>
      </c>
      <c r="E145" s="100">
        <f ca="1">K145/J210</f>
        <v>8.9969794887523515E-3</v>
      </c>
      <c r="F145" s="131" t="str">
        <f>Unit_Type_Plural&amp;"/Year"</f>
        <v>Units/Year</v>
      </c>
      <c r="G145" s="584">
        <v>1800</v>
      </c>
      <c r="H145" s="131" t="str">
        <f>Unit_Type_Plural&amp;"/Year"</f>
        <v>Units/Year</v>
      </c>
      <c r="I145" s="584">
        <v>2400</v>
      </c>
      <c r="J145" s="151">
        <f t="shared" si="2985"/>
        <v>540000</v>
      </c>
      <c r="K145" s="151">
        <f t="shared" si="2986"/>
        <v>720000</v>
      </c>
      <c r="M145" s="3" t="s">
        <v>848</v>
      </c>
      <c r="R145" s="524"/>
      <c r="T145" s="96">
        <f t="shared" si="2987"/>
        <v>45625</v>
      </c>
      <c r="U145" s="96">
        <f t="shared" si="2987"/>
        <v>46250</v>
      </c>
      <c r="V145" s="96">
        <f t="shared" si="2987"/>
        <v>46875</v>
      </c>
      <c r="W145" s="96">
        <f t="shared" si="2987"/>
        <v>47500</v>
      </c>
      <c r="X145" s="96">
        <f t="shared" si="2987"/>
        <v>48125</v>
      </c>
      <c r="Y145" s="96">
        <f t="shared" si="2987"/>
        <v>48750</v>
      </c>
      <c r="Z145" s="96">
        <f t="shared" si="2987"/>
        <v>49374.999999999993</v>
      </c>
      <c r="AA145" s="96">
        <f t="shared" si="2987"/>
        <v>50000.000000000007</v>
      </c>
      <c r="AB145" s="96">
        <f t="shared" si="2987"/>
        <v>50625</v>
      </c>
      <c r="AC145" s="96">
        <f t="shared" si="2987"/>
        <v>51250</v>
      </c>
      <c r="AD145" s="96">
        <f t="shared" si="2988"/>
        <v>51875</v>
      </c>
      <c r="AE145" s="96">
        <f t="shared" si="2988"/>
        <v>52500</v>
      </c>
      <c r="AF145" s="96">
        <f t="shared" si="2988"/>
        <v>53234.428801835398</v>
      </c>
      <c r="AG145" s="96">
        <f t="shared" si="2988"/>
        <v>53971.660456251491</v>
      </c>
      <c r="AH145" s="96">
        <f t="shared" si="2988"/>
        <v>54711.703393956443</v>
      </c>
      <c r="AI145" s="96">
        <f t="shared" si="2988"/>
        <v>55454.566068497843</v>
      </c>
      <c r="AJ145" s="96">
        <f t="shared" si="2988"/>
        <v>56200.256956321122</v>
      </c>
      <c r="AK145" s="96">
        <f t="shared" si="2988"/>
        <v>56948.784556827864</v>
      </c>
      <c r="AL145" s="96">
        <f t="shared" si="2988"/>
        <v>57700.157392434608</v>
      </c>
      <c r="AM145" s="96">
        <f t="shared" si="2988"/>
        <v>58454.38400863143</v>
      </c>
      <c r="AN145" s="96">
        <f t="shared" si="2989"/>
        <v>59211.472974040946</v>
      </c>
      <c r="AO145" s="96">
        <f t="shared" si="2989"/>
        <v>59971.432880477259</v>
      </c>
      <c r="AP145" s="96">
        <f t="shared" si="2989"/>
        <v>60734.272343005287</v>
      </c>
      <c r="AQ145" s="96">
        <f t="shared" si="2989"/>
        <v>61499.999999999913</v>
      </c>
      <c r="AR145" s="96">
        <f t="shared" si="2989"/>
        <v>61626.679930595245</v>
      </c>
      <c r="AS145" s="96">
        <f t="shared" si="2989"/>
        <v>61753.62080110627</v>
      </c>
      <c r="AT145" s="96">
        <f t="shared" si="2989"/>
        <v>61880.82314902651</v>
      </c>
      <c r="AU145" s="96">
        <f t="shared" si="2989"/>
        <v>62008.287512956587</v>
      </c>
      <c r="AV145" s="96">
        <f t="shared" si="2989"/>
        <v>62136.014432606607</v>
      </c>
      <c r="AW145" s="96">
        <f t="shared" si="2989"/>
        <v>62264.004448798369</v>
      </c>
      <c r="AX145" s="96">
        <f t="shared" si="2990"/>
        <v>62392.258103467662</v>
      </c>
      <c r="AY145" s="96">
        <f t="shared" si="2990"/>
        <v>62520.775939666572</v>
      </c>
      <c r="AZ145" s="96">
        <f t="shared" si="2990"/>
        <v>62649.5585015658</v>
      </c>
      <c r="BA145" s="96">
        <f t="shared" si="2990"/>
        <v>62778.606334456963</v>
      </c>
      <c r="BB145" s="96">
        <f t="shared" si="2990"/>
        <v>62907.919984754844</v>
      </c>
      <c r="BC145" s="96">
        <f t="shared" si="2990"/>
        <v>63037.499999999804</v>
      </c>
      <c r="BD145" s="96">
        <f t="shared" si="2990"/>
        <v>63167.34692886001</v>
      </c>
      <c r="BE145" s="96">
        <f t="shared" si="2990"/>
        <v>63297.461321133822</v>
      </c>
      <c r="BF145" s="96">
        <f t="shared" si="2990"/>
        <v>63427.843727752064</v>
      </c>
      <c r="BG145" s="96">
        <f t="shared" si="2990"/>
        <v>63558.494700780408</v>
      </c>
      <c r="BH145" s="96">
        <f t="shared" si="2991"/>
        <v>63689.414793421682</v>
      </c>
      <c r="BI145" s="96">
        <f t="shared" si="2991"/>
        <v>63820.604560018226</v>
      </c>
      <c r="BJ145" s="96">
        <f t="shared" si="2991"/>
        <v>63952.064556054247</v>
      </c>
      <c r="BK145" s="96">
        <f t="shared" si="2991"/>
        <v>64083.795338158125</v>
      </c>
      <c r="BL145" s="96">
        <f t="shared" si="2991"/>
        <v>64215.797464104842</v>
      </c>
      <c r="BM145" s="96">
        <f t="shared" si="2991"/>
        <v>64348.071492818279</v>
      </c>
      <c r="BN145" s="96">
        <f t="shared" si="2991"/>
        <v>64480.617984373624</v>
      </c>
      <c r="BO145" s="96">
        <f t="shared" si="2991"/>
        <v>64613.437499999709</v>
      </c>
      <c r="BP145" s="96">
        <f t="shared" si="2991"/>
        <v>64746.530602081424</v>
      </c>
      <c r="BQ145" s="96">
        <f t="shared" si="2991"/>
        <v>64879.897854162082</v>
      </c>
      <c r="BR145" s="96">
        <f t="shared" si="2992"/>
        <v>65013.539820945771</v>
      </c>
      <c r="BS145" s="96">
        <f t="shared" si="2992"/>
        <v>65147.457068299838</v>
      </c>
      <c r="BT145" s="96">
        <f t="shared" si="2992"/>
        <v>65281.650163257145</v>
      </c>
      <c r="BU145" s="96">
        <f t="shared" si="2992"/>
        <v>65416.119674018606</v>
      </c>
      <c r="BV145" s="96">
        <f t="shared" si="2992"/>
        <v>65550.866169955523</v>
      </c>
      <c r="BW145" s="96">
        <f t="shared" si="2992"/>
        <v>65685.89022161199</v>
      </c>
      <c r="BX145" s="96">
        <f t="shared" si="2992"/>
        <v>65821.192400707383</v>
      </c>
      <c r="BY145" s="96">
        <f t="shared" si="2992"/>
        <v>65956.773280138659</v>
      </c>
      <c r="BZ145" s="96">
        <f t="shared" si="2992"/>
        <v>66092.63343398289</v>
      </c>
      <c r="CA145" s="96">
        <f t="shared" si="2992"/>
        <v>66228.773437499636</v>
      </c>
      <c r="CB145" s="96">
        <f t="shared" si="2993"/>
        <v>66365.193867133392</v>
      </c>
      <c r="CC145" s="96">
        <f t="shared" si="2993"/>
        <v>66501.895300516058</v>
      </c>
      <c r="CD145" s="96">
        <f t="shared" si="2993"/>
        <v>66638.878316469345</v>
      </c>
      <c r="CE145" s="96">
        <f t="shared" si="2993"/>
        <v>66776.143495007258</v>
      </c>
      <c r="CF145" s="96">
        <f t="shared" si="2993"/>
        <v>66913.691417338487</v>
      </c>
      <c r="CG145" s="96">
        <f t="shared" si="2993"/>
        <v>67051.522665868979</v>
      </c>
      <c r="CH145" s="96">
        <f t="shared" si="2993"/>
        <v>67189.637824204314</v>
      </c>
      <c r="CI145" s="96">
        <f t="shared" si="2993"/>
        <v>67328.037477152204</v>
      </c>
      <c r="CJ145" s="96">
        <f t="shared" si="2993"/>
        <v>67466.722210724984</v>
      </c>
      <c r="CK145" s="96">
        <f t="shared" si="2993"/>
        <v>67605.69261214204</v>
      </c>
      <c r="CL145" s="96">
        <f t="shared" si="2994"/>
        <v>67744.949269832359</v>
      </c>
      <c r="CM145" s="96">
        <f t="shared" si="2994"/>
        <v>67884.492773437014</v>
      </c>
      <c r="CN145" s="96">
        <f t="shared" si="2994"/>
        <v>68024.323713811624</v>
      </c>
      <c r="CO145" s="96">
        <f t="shared" si="2994"/>
        <v>68164.442683028858</v>
      </c>
      <c r="CP145" s="96">
        <f t="shared" si="2994"/>
        <v>68304.85027438098</v>
      </c>
      <c r="CQ145" s="96">
        <f t="shared" si="2994"/>
        <v>68445.547082382327</v>
      </c>
      <c r="CR145" s="96">
        <f t="shared" si="2994"/>
        <v>68586.533702771834</v>
      </c>
      <c r="CS145" s="96">
        <f t="shared" si="2994"/>
        <v>68727.810732515602</v>
      </c>
      <c r="CT145" s="96">
        <f t="shared" si="2994"/>
        <v>68869.378769809337</v>
      </c>
      <c r="CU145" s="96">
        <f t="shared" si="2994"/>
        <v>69011.238414080915</v>
      </c>
      <c r="CV145" s="96">
        <f t="shared" si="2995"/>
        <v>69153.390265993003</v>
      </c>
      <c r="CW145" s="96">
        <f t="shared" si="2995"/>
        <v>69295.834927445496</v>
      </c>
      <c r="CX145" s="96">
        <f t="shared" si="2995"/>
        <v>69438.573001578086</v>
      </c>
      <c r="CY145" s="96">
        <f t="shared" si="2995"/>
        <v>69581.605092772865</v>
      </c>
      <c r="CZ145" s="96">
        <f t="shared" si="2995"/>
        <v>69724.931806656838</v>
      </c>
      <c r="DA145" s="96">
        <f t="shared" si="2995"/>
        <v>69868.553750104489</v>
      </c>
      <c r="DB145" s="96">
        <f t="shared" si="2995"/>
        <v>70012.471531240401</v>
      </c>
      <c r="DC145" s="96">
        <f t="shared" si="2995"/>
        <v>70156.685759441796</v>
      </c>
      <c r="DD145" s="96">
        <f t="shared" si="2995"/>
        <v>70301.197045341061</v>
      </c>
      <c r="DE145" s="96">
        <f t="shared" si="2995"/>
        <v>70446.00600082842</v>
      </c>
      <c r="DF145" s="96">
        <f t="shared" si="2996"/>
        <v>70591.113239054481</v>
      </c>
      <c r="DG145" s="96">
        <f t="shared" si="2996"/>
        <v>70736.519374432872</v>
      </c>
      <c r="DH145" s="96">
        <f t="shared" si="2996"/>
        <v>70882.225022642742</v>
      </c>
      <c r="DI145" s="96">
        <f t="shared" si="2996"/>
        <v>71028.230800631543</v>
      </c>
      <c r="DJ145" s="96">
        <f t="shared" si="2996"/>
        <v>71174.537326617443</v>
      </c>
      <c r="DK145" s="96">
        <f t="shared" si="2996"/>
        <v>71321.14522009209</v>
      </c>
      <c r="DL145" s="96">
        <f t="shared" si="2996"/>
        <v>71468.055101823164</v>
      </c>
      <c r="DM145" s="96">
        <f t="shared" si="2996"/>
        <v>71615.267593857003</v>
      </c>
      <c r="DN145" s="96">
        <f t="shared" si="2996"/>
        <v>71762.783319521332</v>
      </c>
      <c r="DO145" s="96">
        <f t="shared" si="2996"/>
        <v>71910.602903427745</v>
      </c>
      <c r="DP145" s="96">
        <f t="shared" si="2997"/>
        <v>72058.726971474491</v>
      </c>
      <c r="DQ145" s="96">
        <f t="shared" si="2997"/>
        <v>72207.156150849012</v>
      </c>
      <c r="DR145" s="96">
        <f t="shared" si="2997"/>
        <v>72355.891070030731</v>
      </c>
      <c r="DS145" s="96">
        <f t="shared" si="2997"/>
        <v>72504.93235879358</v>
      </c>
      <c r="DT145" s="96">
        <f t="shared" si="2997"/>
        <v>72654.280648208718</v>
      </c>
      <c r="DU145" s="96">
        <f t="shared" si="2997"/>
        <v>72803.936570647231</v>
      </c>
      <c r="DV145" s="96">
        <f t="shared" si="2997"/>
        <v>72953.900759782773</v>
      </c>
      <c r="DW145" s="96">
        <f t="shared" si="2997"/>
        <v>73104.173850594278</v>
      </c>
      <c r="DX145" s="96">
        <f t="shared" si="2997"/>
        <v>73254.756479368618</v>
      </c>
      <c r="DY145" s="96">
        <f t="shared" si="2997"/>
        <v>73405.649283703329</v>
      </c>
      <c r="DZ145" s="96">
        <f t="shared" si="2998"/>
        <v>73556.852902509258</v>
      </c>
      <c r="EA145" s="96">
        <f t="shared" si="2998"/>
        <v>73708.367976013324</v>
      </c>
      <c r="EB145" s="96">
        <f t="shared" si="2998"/>
        <v>73860.19514576123</v>
      </c>
      <c r="EC145" s="96">
        <f t="shared" si="2998"/>
        <v>74012.335054620125</v>
      </c>
      <c r="ED145" s="96">
        <f t="shared" si="2998"/>
        <v>74164.788346781395</v>
      </c>
      <c r="EE145" s="96">
        <f t="shared" si="2998"/>
        <v>74317.555667763299</v>
      </c>
      <c r="EF145" s="96">
        <f t="shared" si="2998"/>
        <v>74470.637664413822</v>
      </c>
      <c r="EG145" s="96">
        <f t="shared" si="2998"/>
        <v>74624.034984913291</v>
      </c>
      <c r="EH145" s="96">
        <f t="shared" si="2998"/>
        <v>74777.748278777231</v>
      </c>
      <c r="EI145" s="96">
        <f t="shared" si="2998"/>
        <v>74931.778196859043</v>
      </c>
      <c r="EJ145" s="96">
        <f t="shared" si="2999"/>
        <v>75086.125391352733</v>
      </c>
      <c r="EK145" s="96">
        <f t="shared" si="2999"/>
        <v>75240.790515795801</v>
      </c>
      <c r="EL145" s="96">
        <f t="shared" si="2999"/>
        <v>75395.774225071873</v>
      </c>
      <c r="EM145" s="96">
        <f t="shared" si="2999"/>
        <v>75551.077175413549</v>
      </c>
      <c r="EN145" s="96">
        <f t="shared" si="2999"/>
        <v>75706.70002440516</v>
      </c>
      <c r="EO145" s="96">
        <f t="shared" si="2999"/>
        <v>75862.643430985525</v>
      </c>
      <c r="EP145" s="96">
        <f t="shared" si="2999"/>
        <v>76018.908055450825</v>
      </c>
      <c r="EQ145" s="96">
        <f t="shared" si="2999"/>
        <v>76175.494559457278</v>
      </c>
      <c r="ER145" s="96">
        <f t="shared" si="2999"/>
        <v>76332.403606024061</v>
      </c>
      <c r="ES145" s="96">
        <f t="shared" si="2999"/>
        <v>76489.635859536022</v>
      </c>
      <c r="ET145" s="96">
        <f t="shared" si="3000"/>
        <v>76647.191985746569</v>
      </c>
      <c r="EU145" s="96">
        <f t="shared" si="3000"/>
        <v>76805.0726517804</v>
      </c>
      <c r="EW145" s="199" t="str">
        <f t="shared" si="2967"/>
        <v>Property Taxes</v>
      </c>
      <c r="EX145" s="201"/>
      <c r="EY145" s="221"/>
      <c r="EZ145" s="221"/>
      <c r="FA145" s="221"/>
      <c r="FB145" s="221"/>
      <c r="FC145" s="207">
        <f t="shared" si="2968"/>
        <v>1800</v>
      </c>
      <c r="FD145" s="207">
        <f>FC145+IF(FD$124&gt;0,FC145*((1+INDEX($C$108:$H$108,1,MIN(FD$124,6)))^(1/12)-1))</f>
        <v>1800</v>
      </c>
      <c r="FE145" s="207">
        <f t="shared" ref="FE145:HP145" si="3008">FD145+IF(FE$124&gt;0,FD145*((1+INDEX($C$108:$H$108,1,MIN(FE$124,6)))^(1/12)-1))</f>
        <v>1800</v>
      </c>
      <c r="FF145" s="207">
        <f t="shared" si="3008"/>
        <v>1800</v>
      </c>
      <c r="FG145" s="207">
        <f t="shared" si="3008"/>
        <v>1800</v>
      </c>
      <c r="FH145" s="207">
        <f t="shared" si="3008"/>
        <v>1800</v>
      </c>
      <c r="FI145" s="207">
        <f t="shared" si="3008"/>
        <v>1800</v>
      </c>
      <c r="FJ145" s="207">
        <f t="shared" si="3008"/>
        <v>1800</v>
      </c>
      <c r="FK145" s="207">
        <f t="shared" si="3008"/>
        <v>1800</v>
      </c>
      <c r="FL145" s="207">
        <f t="shared" si="3008"/>
        <v>1800</v>
      </c>
      <c r="FM145" s="207">
        <f t="shared" si="3008"/>
        <v>1800</v>
      </c>
      <c r="FN145" s="207">
        <f t="shared" si="3008"/>
        <v>1800</v>
      </c>
      <c r="FO145" s="207">
        <f t="shared" si="3008"/>
        <v>1800</v>
      </c>
      <c r="FP145" s="207">
        <f t="shared" si="3008"/>
        <v>1803.7077052857169</v>
      </c>
      <c r="FQ145" s="207">
        <f t="shared" si="3008"/>
        <v>1807.4230478372592</v>
      </c>
      <c r="FR145" s="207">
        <f t="shared" si="3008"/>
        <v>1811.1460433861441</v>
      </c>
      <c r="FS145" s="207">
        <f t="shared" si="3008"/>
        <v>1814.8767076962931</v>
      </c>
      <c r="FT145" s="207">
        <f t="shared" si="3008"/>
        <v>1818.6150565640987</v>
      </c>
      <c r="FU145" s="207">
        <f t="shared" si="3008"/>
        <v>1822.3611058184915</v>
      </c>
      <c r="FV145" s="207">
        <f t="shared" si="3008"/>
        <v>1826.1148713210073</v>
      </c>
      <c r="FW145" s="207">
        <f t="shared" si="3008"/>
        <v>1829.8763689658535</v>
      </c>
      <c r="FX145" s="207">
        <f t="shared" si="3008"/>
        <v>1833.6456146799776</v>
      </c>
      <c r="FY145" s="207">
        <f t="shared" si="3008"/>
        <v>1837.4226244231336</v>
      </c>
      <c r="FZ145" s="207">
        <f t="shared" si="3008"/>
        <v>1841.20741418795</v>
      </c>
      <c r="GA145" s="207">
        <f t="shared" si="3008"/>
        <v>1844.9999999999977</v>
      </c>
      <c r="GB145" s="207">
        <f t="shared" si="3008"/>
        <v>1848.8003979178575</v>
      </c>
      <c r="GC145" s="207">
        <f t="shared" si="3008"/>
        <v>1852.6086240331883</v>
      </c>
      <c r="GD145" s="207">
        <f t="shared" si="3008"/>
        <v>1856.4246944707954</v>
      </c>
      <c r="GE145" s="207">
        <f t="shared" si="3008"/>
        <v>1860.2486253886982</v>
      </c>
      <c r="GF145" s="207">
        <f t="shared" si="3008"/>
        <v>1864.080432978199</v>
      </c>
      <c r="GG145" s="207">
        <f t="shared" si="3008"/>
        <v>1867.9201334639517</v>
      </c>
      <c r="GH145" s="207">
        <f t="shared" si="3008"/>
        <v>1871.7677431040304</v>
      </c>
      <c r="GI145" s="207">
        <f t="shared" si="3008"/>
        <v>1875.6232781899978</v>
      </c>
      <c r="GJ145" s="207">
        <f t="shared" si="3008"/>
        <v>1879.4867550469748</v>
      </c>
      <c r="GK145" s="207">
        <f t="shared" si="3008"/>
        <v>1883.3581900337097</v>
      </c>
      <c r="GL145" s="207">
        <f t="shared" si="3008"/>
        <v>1887.2375995426464</v>
      </c>
      <c r="GM145" s="207">
        <f t="shared" si="3008"/>
        <v>1891.1249999999952</v>
      </c>
      <c r="GN145" s="207">
        <f t="shared" si="3008"/>
        <v>1895.0204078658016</v>
      </c>
      <c r="GO145" s="207">
        <f t="shared" si="3008"/>
        <v>1898.9238396340158</v>
      </c>
      <c r="GP145" s="207">
        <f t="shared" si="3008"/>
        <v>1902.8353118325631</v>
      </c>
      <c r="GQ145" s="207">
        <f t="shared" si="3008"/>
        <v>1906.7548410234133</v>
      </c>
      <c r="GR145" s="207">
        <f t="shared" si="3008"/>
        <v>1910.6824438026515</v>
      </c>
      <c r="GS145" s="207">
        <f t="shared" si="3008"/>
        <v>1914.618136800548</v>
      </c>
      <c r="GT145" s="207">
        <f t="shared" si="3008"/>
        <v>1918.5619366816284</v>
      </c>
      <c r="GU145" s="207">
        <f t="shared" si="3008"/>
        <v>1922.513860144745</v>
      </c>
      <c r="GV145" s="207">
        <f t="shared" si="3008"/>
        <v>1926.4739239231465</v>
      </c>
      <c r="GW145" s="207">
        <f t="shared" si="3008"/>
        <v>1930.4421447845496</v>
      </c>
      <c r="GX145" s="207">
        <f t="shared" si="3008"/>
        <v>1934.4185395312097</v>
      </c>
      <c r="GY145" s="207">
        <f t="shared" si="3008"/>
        <v>1938.4031249999923</v>
      </c>
      <c r="GZ145" s="207">
        <f t="shared" si="3008"/>
        <v>1942.3959180624438</v>
      </c>
      <c r="HA145" s="207">
        <f t="shared" si="3008"/>
        <v>1946.3969356248633</v>
      </c>
      <c r="HB145" s="207">
        <f t="shared" si="3008"/>
        <v>1950.4061946283741</v>
      </c>
      <c r="HC145" s="207">
        <f t="shared" si="3008"/>
        <v>1954.4237120489956</v>
      </c>
      <c r="HD145" s="207">
        <f t="shared" si="3008"/>
        <v>1958.4495048977149</v>
      </c>
      <c r="HE145" s="207">
        <f t="shared" si="3008"/>
        <v>1962.4835902205587</v>
      </c>
      <c r="HF145" s="207">
        <f t="shared" si="3008"/>
        <v>1966.5259850986661</v>
      </c>
      <c r="HG145" s="207">
        <f t="shared" si="3008"/>
        <v>1970.5767066483604</v>
      </c>
      <c r="HH145" s="207">
        <f t="shared" si="3008"/>
        <v>1974.635772021222</v>
      </c>
      <c r="HI145" s="207">
        <f t="shared" si="3008"/>
        <v>1978.7031984041603</v>
      </c>
      <c r="HJ145" s="207">
        <f t="shared" si="3008"/>
        <v>1982.7790030194869</v>
      </c>
      <c r="HK145" s="207">
        <f t="shared" si="3008"/>
        <v>1986.863203124989</v>
      </c>
      <c r="HL145" s="207">
        <f t="shared" si="3008"/>
        <v>1990.9558160140018</v>
      </c>
      <c r="HM145" s="207">
        <f t="shared" si="3008"/>
        <v>1995.0568590154819</v>
      </c>
      <c r="HN145" s="207">
        <f t="shared" si="3008"/>
        <v>1999.1663494940806</v>
      </c>
      <c r="HO145" s="207">
        <f t="shared" si="3008"/>
        <v>2003.2843048502175</v>
      </c>
      <c r="HP145" s="207">
        <f t="shared" si="3008"/>
        <v>2007.4107425201546</v>
      </c>
      <c r="HQ145" s="207">
        <f t="shared" ref="HQ145:KB145" si="3009">HP145+IF(HQ$124&gt;0,HP145*((1+INDEX($C$108:$H$108,1,MIN(HQ$124,6)))^(1/12)-1))</f>
        <v>2011.5456799760696</v>
      </c>
      <c r="HR145" s="207">
        <f t="shared" si="3009"/>
        <v>2015.6891347261299</v>
      </c>
      <c r="HS145" s="207">
        <f t="shared" si="3009"/>
        <v>2019.8411243145667</v>
      </c>
      <c r="HT145" s="207">
        <f t="shared" si="3009"/>
        <v>2024.0016663217498</v>
      </c>
      <c r="HU145" s="207">
        <f t="shared" si="3009"/>
        <v>2028.1707783642614</v>
      </c>
      <c r="HV145" s="207">
        <f t="shared" si="3009"/>
        <v>2032.3484780949714</v>
      </c>
      <c r="HW145" s="207">
        <f t="shared" si="3009"/>
        <v>2036.5347832031111</v>
      </c>
      <c r="HX145" s="207">
        <f t="shared" si="3009"/>
        <v>2040.7297114143491</v>
      </c>
      <c r="HY145" s="207">
        <f t="shared" si="3009"/>
        <v>2044.9332804908661</v>
      </c>
      <c r="HZ145" s="207">
        <f t="shared" si="3009"/>
        <v>2049.1455082314296</v>
      </c>
      <c r="IA145" s="207">
        <f t="shared" si="3009"/>
        <v>2053.3664124714701</v>
      </c>
      <c r="IB145" s="207">
        <f t="shared" si="3009"/>
        <v>2057.5960110831556</v>
      </c>
      <c r="IC145" s="207">
        <f t="shared" si="3009"/>
        <v>2061.8343219754684</v>
      </c>
      <c r="ID145" s="207">
        <f t="shared" si="3009"/>
        <v>2066.0813630942798</v>
      </c>
      <c r="IE145" s="207">
        <f t="shared" si="3009"/>
        <v>2070.3371524224276</v>
      </c>
      <c r="IF145" s="207">
        <f t="shared" si="3009"/>
        <v>2074.6017079797903</v>
      </c>
      <c r="IG145" s="207">
        <f t="shared" si="3009"/>
        <v>2078.8750478233646</v>
      </c>
      <c r="IH145" s="207">
        <f t="shared" si="3009"/>
        <v>2083.1571900473423</v>
      </c>
      <c r="II145" s="207">
        <f t="shared" si="3009"/>
        <v>2087.4481527831854</v>
      </c>
      <c r="IJ145" s="207">
        <f t="shared" si="3009"/>
        <v>2091.7479541997045</v>
      </c>
      <c r="IK145" s="207">
        <f t="shared" si="3009"/>
        <v>2096.0566125031346</v>
      </c>
      <c r="IL145" s="207">
        <f t="shared" si="3009"/>
        <v>2100.3741459372122</v>
      </c>
      <c r="IM145" s="207">
        <f t="shared" si="3009"/>
        <v>2104.7005727832538</v>
      </c>
      <c r="IN145" s="207">
        <f t="shared" si="3009"/>
        <v>2109.0359113602317</v>
      </c>
      <c r="IO145" s="207">
        <f t="shared" si="3009"/>
        <v>2113.3801800248525</v>
      </c>
      <c r="IP145" s="207">
        <f t="shared" si="3009"/>
        <v>2117.7333971716344</v>
      </c>
      <c r="IQ145" s="207">
        <f t="shared" si="3009"/>
        <v>2122.0955812329858</v>
      </c>
      <c r="IR145" s="207">
        <f t="shared" si="3009"/>
        <v>2126.4667506792825</v>
      </c>
      <c r="IS145" s="207">
        <f t="shared" si="3009"/>
        <v>2130.8469240189465</v>
      </c>
      <c r="IT145" s="207">
        <f t="shared" si="3009"/>
        <v>2135.2361197985238</v>
      </c>
      <c r="IU145" s="207">
        <f t="shared" si="3009"/>
        <v>2139.6343566027631</v>
      </c>
      <c r="IV145" s="207">
        <f t="shared" si="3009"/>
        <v>2144.041653054695</v>
      </c>
      <c r="IW145" s="207">
        <f t="shared" si="3009"/>
        <v>2148.4580278157105</v>
      </c>
      <c r="IX145" s="207">
        <f t="shared" si="3009"/>
        <v>2152.88349958564</v>
      </c>
      <c r="IY145" s="207">
        <f t="shared" si="3009"/>
        <v>2157.3180871028326</v>
      </c>
      <c r="IZ145" s="207">
        <f t="shared" si="3009"/>
        <v>2161.7618091442346</v>
      </c>
      <c r="JA145" s="207">
        <f t="shared" si="3009"/>
        <v>2166.2146845254706</v>
      </c>
      <c r="JB145" s="207">
        <f t="shared" si="3009"/>
        <v>2170.676732100922</v>
      </c>
      <c r="JC145" s="207">
        <f t="shared" si="3009"/>
        <v>2175.1479707638073</v>
      </c>
      <c r="JD145" s="207">
        <f t="shared" si="3009"/>
        <v>2179.6284194462614</v>
      </c>
      <c r="JE145" s="207">
        <f t="shared" si="3009"/>
        <v>2184.1180971194167</v>
      </c>
      <c r="JF145" s="207">
        <f t="shared" si="3009"/>
        <v>2188.6170227934831</v>
      </c>
      <c r="JG145" s="207">
        <f t="shared" si="3009"/>
        <v>2193.1252155178286</v>
      </c>
      <c r="JH145" s="207">
        <f t="shared" si="3009"/>
        <v>2197.6426943810588</v>
      </c>
      <c r="JI145" s="207">
        <f t="shared" si="3009"/>
        <v>2202.1694785110999</v>
      </c>
      <c r="JJ145" s="207">
        <f t="shared" si="3009"/>
        <v>2206.7055870752779</v>
      </c>
      <c r="JK145" s="207">
        <f t="shared" si="3009"/>
        <v>2211.2510392804002</v>
      </c>
      <c r="JL145" s="207">
        <f t="shared" si="3009"/>
        <v>2215.8058543728375</v>
      </c>
      <c r="JM145" s="207">
        <f t="shared" si="3009"/>
        <v>2220.3700516386048</v>
      </c>
      <c r="JN145" s="207">
        <f t="shared" si="3009"/>
        <v>2224.9436504034425</v>
      </c>
      <c r="JO145" s="207">
        <f t="shared" si="3009"/>
        <v>2229.5266700328998</v>
      </c>
      <c r="JP145" s="207">
        <f t="shared" si="3009"/>
        <v>2234.1191299324155</v>
      </c>
      <c r="JQ145" s="207">
        <f t="shared" si="3009"/>
        <v>2238.7210495473996</v>
      </c>
      <c r="JR145" s="207">
        <f t="shared" si="3009"/>
        <v>2243.3324483633178</v>
      </c>
      <c r="JS145" s="207">
        <f t="shared" si="3009"/>
        <v>2247.9533459057716</v>
      </c>
      <c r="JT145" s="207">
        <f t="shared" si="3009"/>
        <v>2252.5837617405828</v>
      </c>
      <c r="JU145" s="207">
        <f t="shared" si="3009"/>
        <v>2257.223715473875</v>
      </c>
      <c r="JV145" s="207">
        <f t="shared" si="3009"/>
        <v>2261.8732267521573</v>
      </c>
      <c r="JW145" s="207">
        <f t="shared" si="3009"/>
        <v>2266.5323152624078</v>
      </c>
      <c r="JX145" s="207">
        <f t="shared" si="3009"/>
        <v>2271.201000732156</v>
      </c>
      <c r="JY145" s="207">
        <f t="shared" si="3009"/>
        <v>2275.8793029295671</v>
      </c>
      <c r="JZ145" s="207">
        <f t="shared" si="3009"/>
        <v>2280.5672416635257</v>
      </c>
      <c r="KA145" s="207">
        <f t="shared" si="3009"/>
        <v>2285.2648367837196</v>
      </c>
      <c r="KB145" s="207">
        <f t="shared" si="3009"/>
        <v>2289.9721081807229</v>
      </c>
      <c r="KC145" s="207">
        <f t="shared" ref="KC145:KE145" si="3010">KB145+IF(KC$124&gt;0,KB145*((1+INDEX($C$108:$H$108,1,MIN(KC$124,6)))^(1/12)-1))</f>
        <v>2294.689075786082</v>
      </c>
      <c r="KD145" s="207">
        <f t="shared" si="3010"/>
        <v>2299.4157595723982</v>
      </c>
      <c r="KE145" s="207">
        <f t="shared" si="3010"/>
        <v>2304.1521795534136</v>
      </c>
      <c r="KG145" s="199" t="str">
        <f t="shared" si="2962"/>
        <v>Property Taxes</v>
      </c>
      <c r="KH145" s="201"/>
      <c r="KI145" s="221"/>
      <c r="KJ145" s="221"/>
      <c r="KK145" s="221"/>
      <c r="KL145" s="221"/>
      <c r="KM145" s="207">
        <f t="shared" si="2963"/>
        <v>2400</v>
      </c>
      <c r="KN145" s="207">
        <f>KM145+IF(KN$124&gt;0,KM145*((1+INDEX($C$108:$H$108,1,MIN(KN$124,6)))^(1/12)-1))</f>
        <v>2400</v>
      </c>
      <c r="KO145" s="207">
        <f t="shared" ref="KO145:MZ145" si="3011">KN145+IF(KO$124&gt;0,KN145*((1+INDEX($C$108:$H$108,1,MIN(KO$124,6)))^(1/12)-1))</f>
        <v>2400</v>
      </c>
      <c r="KP145" s="207">
        <f t="shared" si="3011"/>
        <v>2400</v>
      </c>
      <c r="KQ145" s="207">
        <f t="shared" si="3011"/>
        <v>2400</v>
      </c>
      <c r="KR145" s="207">
        <f t="shared" si="3011"/>
        <v>2400</v>
      </c>
      <c r="KS145" s="207">
        <f t="shared" si="3011"/>
        <v>2400</v>
      </c>
      <c r="KT145" s="207">
        <f t="shared" si="3011"/>
        <v>2400</v>
      </c>
      <c r="KU145" s="207">
        <f t="shared" si="3011"/>
        <v>2400</v>
      </c>
      <c r="KV145" s="207">
        <f t="shared" si="3011"/>
        <v>2400</v>
      </c>
      <c r="KW145" s="207">
        <f t="shared" si="3011"/>
        <v>2400</v>
      </c>
      <c r="KX145" s="207">
        <f t="shared" si="3011"/>
        <v>2400</v>
      </c>
      <c r="KY145" s="207">
        <f t="shared" si="3011"/>
        <v>2400</v>
      </c>
      <c r="KZ145" s="207">
        <f t="shared" si="3011"/>
        <v>2404.9436070476227</v>
      </c>
      <c r="LA145" s="207">
        <f t="shared" si="3011"/>
        <v>2409.8973971163459</v>
      </c>
      <c r="LB145" s="207">
        <f t="shared" si="3011"/>
        <v>2414.861391181526</v>
      </c>
      <c r="LC145" s="207">
        <f t="shared" si="3011"/>
        <v>2419.8356102617245</v>
      </c>
      <c r="LD145" s="207">
        <f t="shared" si="3011"/>
        <v>2424.8200754187988</v>
      </c>
      <c r="LE145" s="207">
        <f t="shared" si="3011"/>
        <v>2429.814807757989</v>
      </c>
      <c r="LF145" s="207">
        <f t="shared" si="3011"/>
        <v>2434.8198284280097</v>
      </c>
      <c r="LG145" s="207">
        <f t="shared" si="3011"/>
        <v>2439.8351586211379</v>
      </c>
      <c r="LH145" s="207">
        <f t="shared" si="3011"/>
        <v>2444.8608195733032</v>
      </c>
      <c r="LI145" s="207">
        <f t="shared" si="3011"/>
        <v>2449.8968325641777</v>
      </c>
      <c r="LJ145" s="207">
        <f t="shared" si="3011"/>
        <v>2454.9432189172662</v>
      </c>
      <c r="LK145" s="207">
        <f t="shared" si="3011"/>
        <v>2459.9999999999964</v>
      </c>
      <c r="LL145" s="207">
        <f t="shared" si="3011"/>
        <v>2465.0671972238097</v>
      </c>
      <c r="LM145" s="207">
        <f t="shared" si="3011"/>
        <v>2470.144832044251</v>
      </c>
      <c r="LN145" s="207">
        <f t="shared" si="3011"/>
        <v>2475.2329259610601</v>
      </c>
      <c r="LO145" s="207">
        <f t="shared" si="3011"/>
        <v>2480.3315005182635</v>
      </c>
      <c r="LP145" s="207">
        <f t="shared" si="3011"/>
        <v>2485.4405773042645</v>
      </c>
      <c r="LQ145" s="207">
        <f t="shared" si="3011"/>
        <v>2490.5601779519347</v>
      </c>
      <c r="LR145" s="207">
        <f t="shared" si="3011"/>
        <v>2495.6903241387063</v>
      </c>
      <c r="LS145" s="207">
        <f t="shared" si="3011"/>
        <v>2500.8310375866627</v>
      </c>
      <c r="LT145" s="207">
        <f t="shared" si="3011"/>
        <v>2505.9823400626319</v>
      </c>
      <c r="LU145" s="207">
        <f t="shared" si="3011"/>
        <v>2511.1442533782783</v>
      </c>
      <c r="LV145" s="207">
        <f t="shared" si="3011"/>
        <v>2516.3167993901939</v>
      </c>
      <c r="LW145" s="207">
        <f t="shared" si="3011"/>
        <v>2521.4999999999923</v>
      </c>
      <c r="LX145" s="207">
        <f t="shared" si="3011"/>
        <v>2526.6938771544005</v>
      </c>
      <c r="LY145" s="207">
        <f t="shared" si="3011"/>
        <v>2531.8984528453529</v>
      </c>
      <c r="LZ145" s="207">
        <f t="shared" si="3011"/>
        <v>2537.1137491100826</v>
      </c>
      <c r="MA145" s="207">
        <f t="shared" si="3011"/>
        <v>2542.3397880312164</v>
      </c>
      <c r="MB145" s="207">
        <f t="shared" si="3011"/>
        <v>2547.5765917368672</v>
      </c>
      <c r="MC145" s="207">
        <f t="shared" si="3011"/>
        <v>2552.8241824007291</v>
      </c>
      <c r="MD145" s="207">
        <f t="shared" si="3011"/>
        <v>2558.0825822421698</v>
      </c>
      <c r="ME145" s="207">
        <f t="shared" si="3011"/>
        <v>2563.3518135263253</v>
      </c>
      <c r="MF145" s="207">
        <f t="shared" si="3011"/>
        <v>2568.6318985641938</v>
      </c>
      <c r="MG145" s="207">
        <f t="shared" si="3011"/>
        <v>2573.9228597127312</v>
      </c>
      <c r="MH145" s="207">
        <f t="shared" si="3011"/>
        <v>2579.2247193749449</v>
      </c>
      <c r="MI145" s="207">
        <f t="shared" si="3011"/>
        <v>2584.5374999999885</v>
      </c>
      <c r="MJ145" s="207">
        <f t="shared" si="3011"/>
        <v>2589.8612240832572</v>
      </c>
      <c r="MK145" s="207">
        <f t="shared" si="3011"/>
        <v>2595.1959141664834</v>
      </c>
      <c r="ML145" s="207">
        <f t="shared" si="3011"/>
        <v>2600.5415928378311</v>
      </c>
      <c r="MM145" s="207">
        <f t="shared" si="3011"/>
        <v>2605.8982827319933</v>
      </c>
      <c r="MN145" s="207">
        <f t="shared" si="3011"/>
        <v>2611.2660065302857</v>
      </c>
      <c r="MO145" s="207">
        <f t="shared" si="3011"/>
        <v>2616.6447869607441</v>
      </c>
      <c r="MP145" s="207">
        <f t="shared" si="3011"/>
        <v>2622.0346467982208</v>
      </c>
      <c r="MQ145" s="207">
        <f t="shared" si="3011"/>
        <v>2627.4356088644799</v>
      </c>
      <c r="MR145" s="207">
        <f t="shared" si="3011"/>
        <v>2632.8476960282956</v>
      </c>
      <c r="MS145" s="207">
        <f t="shared" si="3011"/>
        <v>2638.2709312055467</v>
      </c>
      <c r="MT145" s="207">
        <f t="shared" si="3011"/>
        <v>2643.7053373593158</v>
      </c>
      <c r="MU145" s="207">
        <f t="shared" si="3011"/>
        <v>2649.1509374999855</v>
      </c>
      <c r="MV145" s="207">
        <f t="shared" si="3011"/>
        <v>2654.6077546853357</v>
      </c>
      <c r="MW145" s="207">
        <f t="shared" si="3011"/>
        <v>2660.0758120206424</v>
      </c>
      <c r="MX145" s="207">
        <f t="shared" si="3011"/>
        <v>2665.5551326587738</v>
      </c>
      <c r="MY145" s="207">
        <f t="shared" si="3011"/>
        <v>2671.04573980029</v>
      </c>
      <c r="MZ145" s="207">
        <f t="shared" si="3011"/>
        <v>2676.5476566935395</v>
      </c>
      <c r="NA145" s="207">
        <f t="shared" ref="NA145:PL145" si="3012">MZ145+IF(NA$124&gt;0,MZ145*((1+INDEX($C$108:$H$108,1,MIN(NA$124,6)))^(1/12)-1))</f>
        <v>2682.0609066347592</v>
      </c>
      <c r="NB145" s="207">
        <f t="shared" si="3012"/>
        <v>2687.5855129681727</v>
      </c>
      <c r="NC145" s="207">
        <f t="shared" si="3012"/>
        <v>2693.1214990860885</v>
      </c>
      <c r="ND145" s="207">
        <f t="shared" si="3012"/>
        <v>2698.6688884289993</v>
      </c>
      <c r="NE145" s="207">
        <f t="shared" si="3012"/>
        <v>2704.2277044856814</v>
      </c>
      <c r="NF145" s="207">
        <f t="shared" si="3012"/>
        <v>2709.7979707932946</v>
      </c>
      <c r="NG145" s="207">
        <f t="shared" si="3012"/>
        <v>2715.3797109374809</v>
      </c>
      <c r="NH145" s="207">
        <f t="shared" si="3012"/>
        <v>2720.9729485524649</v>
      </c>
      <c r="NI145" s="207">
        <f t="shared" si="3012"/>
        <v>2726.5777073211543</v>
      </c>
      <c r="NJ145" s="207">
        <f t="shared" si="3012"/>
        <v>2732.1940109752391</v>
      </c>
      <c r="NK145" s="207">
        <f t="shared" si="3012"/>
        <v>2737.821883295293</v>
      </c>
      <c r="NL145" s="207">
        <f t="shared" si="3012"/>
        <v>2743.4613481108736</v>
      </c>
      <c r="NM145" s="207">
        <f t="shared" si="3012"/>
        <v>2749.1124293006242</v>
      </c>
      <c r="NN145" s="207">
        <f t="shared" si="3012"/>
        <v>2754.7751507923731</v>
      </c>
      <c r="NO145" s="207">
        <f t="shared" si="3012"/>
        <v>2760.4495365632365</v>
      </c>
      <c r="NP145" s="207">
        <f t="shared" si="3012"/>
        <v>2766.1356106397202</v>
      </c>
      <c r="NQ145" s="207">
        <f t="shared" si="3012"/>
        <v>2771.8333970978197</v>
      </c>
      <c r="NR145" s="207">
        <f t="shared" si="3012"/>
        <v>2777.5429200631233</v>
      </c>
      <c r="NS145" s="207">
        <f t="shared" si="3012"/>
        <v>2783.2642037109144</v>
      </c>
      <c r="NT145" s="207">
        <f t="shared" si="3012"/>
        <v>2788.9972722662733</v>
      </c>
      <c r="NU145" s="207">
        <f t="shared" si="3012"/>
        <v>2794.7421500041796</v>
      </c>
      <c r="NV145" s="207">
        <f t="shared" si="3012"/>
        <v>2800.4988612496163</v>
      </c>
      <c r="NW145" s="207">
        <f t="shared" si="3012"/>
        <v>2806.2674303776716</v>
      </c>
      <c r="NX145" s="207">
        <f t="shared" si="3012"/>
        <v>2812.0478818136421</v>
      </c>
      <c r="NY145" s="207">
        <f t="shared" si="3012"/>
        <v>2817.8402400331365</v>
      </c>
      <c r="NZ145" s="207">
        <f t="shared" si="3012"/>
        <v>2823.6445295621793</v>
      </c>
      <c r="OA145" s="207">
        <f t="shared" si="3012"/>
        <v>2829.4607749773145</v>
      </c>
      <c r="OB145" s="207">
        <f t="shared" si="3012"/>
        <v>2835.2890009057101</v>
      </c>
      <c r="OC145" s="207">
        <f t="shared" si="3012"/>
        <v>2841.1292320252619</v>
      </c>
      <c r="OD145" s="207">
        <f t="shared" si="3012"/>
        <v>2846.981493064698</v>
      </c>
      <c r="OE145" s="207">
        <f t="shared" si="3012"/>
        <v>2852.8458088036837</v>
      </c>
      <c r="OF145" s="207">
        <f t="shared" si="3012"/>
        <v>2858.7222040729262</v>
      </c>
      <c r="OG145" s="207">
        <f t="shared" si="3012"/>
        <v>2864.6107037542802</v>
      </c>
      <c r="OH145" s="207">
        <f t="shared" si="3012"/>
        <v>2870.5113327808531</v>
      </c>
      <c r="OI145" s="207">
        <f t="shared" si="3012"/>
        <v>2876.4241161371096</v>
      </c>
      <c r="OJ145" s="207">
        <f t="shared" si="3012"/>
        <v>2882.3490788589793</v>
      </c>
      <c r="OK145" s="207">
        <f t="shared" si="3012"/>
        <v>2888.2862460339607</v>
      </c>
      <c r="OL145" s="207">
        <f t="shared" si="3012"/>
        <v>2894.2356428012295</v>
      </c>
      <c r="OM145" s="207">
        <f t="shared" si="3012"/>
        <v>2900.197294351743</v>
      </c>
      <c r="ON145" s="207">
        <f t="shared" si="3012"/>
        <v>2906.1712259283486</v>
      </c>
      <c r="OO145" s="207">
        <f t="shared" si="3012"/>
        <v>2912.1574628258891</v>
      </c>
      <c r="OP145" s="207">
        <f t="shared" si="3012"/>
        <v>2918.1560303913111</v>
      </c>
      <c r="OQ145" s="207">
        <f t="shared" si="3012"/>
        <v>2924.1669540237713</v>
      </c>
      <c r="OR145" s="207">
        <f t="shared" si="3012"/>
        <v>2930.1902591747448</v>
      </c>
      <c r="OS145" s="207">
        <f t="shared" si="3012"/>
        <v>2936.225971348133</v>
      </c>
      <c r="OT145" s="207">
        <f t="shared" si="3012"/>
        <v>2942.2741161003701</v>
      </c>
      <c r="OU145" s="207">
        <f t="shared" si="3012"/>
        <v>2948.3347190405329</v>
      </c>
      <c r="OV145" s="207">
        <f t="shared" si="3012"/>
        <v>2954.4078058304494</v>
      </c>
      <c r="OW145" s="207">
        <f t="shared" si="3012"/>
        <v>2960.4934021848053</v>
      </c>
      <c r="OX145" s="207">
        <f t="shared" si="3012"/>
        <v>2966.5915338712557</v>
      </c>
      <c r="OY145" s="207">
        <f t="shared" si="3012"/>
        <v>2972.7022267105322</v>
      </c>
      <c r="OZ145" s="207">
        <f t="shared" si="3012"/>
        <v>2978.8255065765529</v>
      </c>
      <c r="PA145" s="207">
        <f t="shared" si="3012"/>
        <v>2984.9613993965318</v>
      </c>
      <c r="PB145" s="207">
        <f t="shared" si="3012"/>
        <v>2991.1099311510893</v>
      </c>
      <c r="PC145" s="207">
        <f t="shared" si="3012"/>
        <v>2997.2711278743614</v>
      </c>
      <c r="PD145" s="207">
        <f t="shared" si="3012"/>
        <v>3003.4450156541093</v>
      </c>
      <c r="PE145" s="207">
        <f t="shared" si="3012"/>
        <v>3009.631620631832</v>
      </c>
      <c r="PF145" s="207">
        <f t="shared" si="3012"/>
        <v>3015.830969002875</v>
      </c>
      <c r="PG145" s="207">
        <f t="shared" si="3012"/>
        <v>3022.0430870165419</v>
      </c>
      <c r="PH145" s="207">
        <f t="shared" si="3012"/>
        <v>3028.2680009762062</v>
      </c>
      <c r="PI145" s="207">
        <f t="shared" si="3012"/>
        <v>3034.5057372394213</v>
      </c>
      <c r="PJ145" s="207">
        <f t="shared" si="3012"/>
        <v>3040.7563222180329</v>
      </c>
      <c r="PK145" s="207">
        <f t="shared" si="3012"/>
        <v>3047.0197823782914</v>
      </c>
      <c r="PL145" s="207">
        <f t="shared" si="3012"/>
        <v>3053.2961442409628</v>
      </c>
      <c r="PM145" s="207">
        <f t="shared" ref="PM145:PO145" si="3013">PL145+IF(PM$124&gt;0,PL145*((1+INDEX($C$108:$H$108,1,MIN(PM$124,6)))^(1/12)-1))</f>
        <v>3059.5854343814412</v>
      </c>
      <c r="PN145" s="207">
        <f t="shared" si="3013"/>
        <v>3065.8876794298626</v>
      </c>
      <c r="PO145" s="207">
        <f t="shared" si="3013"/>
        <v>3072.2029060712161</v>
      </c>
      <c r="PQ145" s="201"/>
      <c r="PR145" s="201"/>
      <c r="PS145" s="201"/>
      <c r="PT145" s="201"/>
      <c r="PU145" s="201"/>
      <c r="PV145" s="201"/>
      <c r="PW145" s="201"/>
      <c r="PX145" s="201"/>
      <c r="PY145" s="201"/>
      <c r="PZ145" s="201"/>
      <c r="QA145" s="201"/>
      <c r="QB145" s="201"/>
      <c r="QC145" s="201"/>
      <c r="QD145" s="201"/>
      <c r="QE145" s="201"/>
      <c r="QF145" s="201"/>
      <c r="QG145" s="201"/>
      <c r="QH145" s="201"/>
      <c r="QI145" s="201"/>
      <c r="QJ145" s="201"/>
      <c r="QK145" s="201"/>
      <c r="QL145" s="201"/>
      <c r="QM145" s="201"/>
      <c r="QN145" s="201"/>
      <c r="QO145" s="201"/>
      <c r="QP145" s="201"/>
      <c r="QQ145" s="201"/>
      <c r="QR145" s="201"/>
      <c r="QS145" s="201"/>
      <c r="QT145" s="201"/>
      <c r="QU145" s="201"/>
      <c r="QV145" s="201"/>
      <c r="QW145" s="201"/>
      <c r="QX145" s="201"/>
      <c r="QY145" s="201"/>
      <c r="QZ145" s="201"/>
      <c r="RA145" s="201"/>
      <c r="RB145" s="201"/>
      <c r="RC145" s="201"/>
      <c r="RD145" s="201"/>
      <c r="RE145" s="201"/>
      <c r="RF145" s="201"/>
      <c r="RG145" s="201"/>
      <c r="RH145" s="201"/>
      <c r="RI145" s="201"/>
      <c r="RJ145" s="201"/>
      <c r="RK145" s="201"/>
      <c r="RL145" s="201"/>
      <c r="RM145" s="201"/>
      <c r="RN145" s="201"/>
      <c r="RO145" s="201"/>
      <c r="RP145" s="201"/>
      <c r="RQ145" s="201"/>
      <c r="RR145" s="201"/>
      <c r="RS145" s="201"/>
      <c r="RT145" s="201"/>
      <c r="RU145" s="201"/>
      <c r="RV145" s="201"/>
      <c r="RW145" s="201"/>
      <c r="RX145" s="201"/>
      <c r="RY145" s="201"/>
      <c r="RZ145" s="201"/>
      <c r="SA145" s="201"/>
      <c r="SB145" s="201"/>
      <c r="SC145" s="201"/>
      <c r="SD145" s="201"/>
      <c r="SE145" s="201"/>
      <c r="SF145" s="201"/>
      <c r="SG145" s="201"/>
      <c r="SH145" s="201"/>
      <c r="SI145" s="201"/>
      <c r="SJ145" s="201"/>
      <c r="SK145" s="201"/>
      <c r="SL145" s="201"/>
      <c r="SM145" s="201"/>
      <c r="SN145" s="201"/>
      <c r="SO145" s="201"/>
      <c r="SP145" s="201"/>
      <c r="SQ145" s="201"/>
      <c r="SR145" s="201"/>
      <c r="SS145" s="201"/>
      <c r="ST145" s="201"/>
      <c r="SU145" s="201"/>
      <c r="SV145" s="201"/>
      <c r="SW145" s="201"/>
      <c r="SX145" s="201"/>
      <c r="SY145" s="201"/>
      <c r="SZ145" s="201"/>
      <c r="TA145" s="201"/>
      <c r="TB145" s="201"/>
      <c r="TC145" s="201"/>
      <c r="TD145" s="201"/>
      <c r="TE145" s="201"/>
      <c r="TF145" s="201"/>
      <c r="TG145" s="201"/>
      <c r="TH145" s="201"/>
      <c r="TI145" s="201"/>
      <c r="TJ145" s="201"/>
      <c r="TK145" s="201"/>
      <c r="TL145" s="201"/>
      <c r="TM145" s="201"/>
      <c r="TN145" s="201"/>
      <c r="TO145" s="201"/>
      <c r="TP145" s="201"/>
      <c r="TQ145" s="201"/>
      <c r="TR145" s="201"/>
      <c r="TS145" s="201"/>
      <c r="TT145" s="201"/>
      <c r="TU145" s="201"/>
      <c r="TV145" s="201"/>
      <c r="TW145" s="201"/>
      <c r="TX145" s="201"/>
      <c r="TY145" s="201"/>
      <c r="TZ145" s="201"/>
      <c r="UA145" s="201"/>
      <c r="UB145" s="201"/>
      <c r="UC145" s="201"/>
      <c r="UD145" s="201"/>
      <c r="UE145" s="201"/>
      <c r="UF145" s="201"/>
      <c r="UG145" s="201"/>
      <c r="UH145" s="201"/>
      <c r="UI145" s="201"/>
      <c r="UJ145" s="201"/>
      <c r="UK145" s="201"/>
      <c r="UL145" s="201"/>
      <c r="UM145" s="201"/>
      <c r="UN145" s="201"/>
      <c r="UO145" s="201"/>
      <c r="UP145" s="201"/>
      <c r="UQ145" s="201"/>
      <c r="UR145" s="201"/>
      <c r="US145" s="201"/>
      <c r="UT145" s="201"/>
      <c r="UU145" s="201"/>
    </row>
    <row r="146" spans="2:567" x14ac:dyDescent="0.25">
      <c r="B146" s="18" t="s">
        <v>154</v>
      </c>
      <c r="C146" s="26"/>
      <c r="D146" s="26"/>
      <c r="E146" s="26"/>
      <c r="F146" s="26"/>
      <c r="G146" s="121"/>
      <c r="H146" s="34"/>
      <c r="I146" s="34"/>
      <c r="J146" s="34">
        <f>SUM(J136:J145)</f>
        <v>1718351.1207046155</v>
      </c>
      <c r="K146" s="34">
        <f>SUM(K136:K145)</f>
        <v>1940752.93056</v>
      </c>
      <c r="S146" s="145"/>
      <c r="T146" s="92">
        <f>SUM(T136:T145)</f>
        <v>143371.96007500001</v>
      </c>
      <c r="U146" s="92">
        <f t="shared" ref="U146:CF146" si="3014">SUM(U136:U145)</f>
        <v>144133.61548288463</v>
      </c>
      <c r="V146" s="92">
        <f t="shared" si="3014"/>
        <v>144896.02772028846</v>
      </c>
      <c r="W146" s="92">
        <f t="shared" si="3014"/>
        <v>145659.19822230769</v>
      </c>
      <c r="X146" s="92">
        <f t="shared" si="3014"/>
        <v>146423.12842403847</v>
      </c>
      <c r="Y146" s="92">
        <f t="shared" si="3014"/>
        <v>147187.81976057694</v>
      </c>
      <c r="Z146" s="92">
        <f t="shared" si="3014"/>
        <v>147953.27366701921</v>
      </c>
      <c r="AA146" s="92">
        <f t="shared" si="3014"/>
        <v>148719.49157846154</v>
      </c>
      <c r="AB146" s="92">
        <f t="shared" si="3014"/>
        <v>149486.47493</v>
      </c>
      <c r="AC146" s="92">
        <f t="shared" si="3014"/>
        <v>150254.22515673077</v>
      </c>
      <c r="AD146" s="92">
        <f t="shared" si="3014"/>
        <v>151022.74369375</v>
      </c>
      <c r="AE146" s="92">
        <f t="shared" si="3014"/>
        <v>151792.03197615384</v>
      </c>
      <c r="AF146" s="92">
        <f t="shared" si="3014"/>
        <v>152876.34436838765</v>
      </c>
      <c r="AG146" s="92">
        <f t="shared" si="3014"/>
        <v>153965.25553210956</v>
      </c>
      <c r="AH146" s="92">
        <f t="shared" si="3014"/>
        <v>155058.78285410281</v>
      </c>
      <c r="AI146" s="92">
        <f t="shared" si="3014"/>
        <v>156156.9437825066</v>
      </c>
      <c r="AJ146" s="92">
        <f t="shared" si="3014"/>
        <v>157259.75582702036</v>
      </c>
      <c r="AK146" s="92">
        <f t="shared" si="3014"/>
        <v>158367.23655910845</v>
      </c>
      <c r="AL146" s="92">
        <f t="shared" si="3014"/>
        <v>159479.40361220573</v>
      </c>
      <c r="AM146" s="92">
        <f t="shared" si="3014"/>
        <v>160596.27468192347</v>
      </c>
      <c r="AN146" s="92">
        <f t="shared" si="3014"/>
        <v>161717.86752625628</v>
      </c>
      <c r="AO146" s="92">
        <f t="shared" si="3014"/>
        <v>162844.19996578933</v>
      </c>
      <c r="AP146" s="92">
        <f t="shared" si="3014"/>
        <v>163975.28988390672</v>
      </c>
      <c r="AQ146" s="92">
        <f t="shared" si="3014"/>
        <v>165111.15522699972</v>
      </c>
      <c r="AR146" s="92">
        <f t="shared" si="3014"/>
        <v>166114.11066109146</v>
      </c>
      <c r="AS146" s="92">
        <f t="shared" si="3014"/>
        <v>166456.27853116384</v>
      </c>
      <c r="AT146" s="92">
        <f t="shared" si="3014"/>
        <v>166799.15121102537</v>
      </c>
      <c r="AU146" s="92">
        <f t="shared" si="3014"/>
        <v>167142.73015246884</v>
      </c>
      <c r="AV146" s="92">
        <f t="shared" si="3014"/>
        <v>167487.01681027742</v>
      </c>
      <c r="AW146" s="92">
        <f t="shared" si="3014"/>
        <v>167832.01264223101</v>
      </c>
      <c r="AX146" s="92">
        <f t="shared" si="3014"/>
        <v>168177.71910911216</v>
      </c>
      <c r="AY146" s="92">
        <f t="shared" si="3014"/>
        <v>168524.13767471255</v>
      </c>
      <c r="AZ146" s="92">
        <f t="shared" si="3014"/>
        <v>168871.26980583888</v>
      </c>
      <c r="BA146" s="92">
        <f t="shared" si="3014"/>
        <v>169219.11697231935</v>
      </c>
      <c r="BB146" s="92">
        <f t="shared" si="3014"/>
        <v>169567.68064700969</v>
      </c>
      <c r="BC146" s="92">
        <f t="shared" si="3014"/>
        <v>169916.9623057995</v>
      </c>
      <c r="BD146" s="92">
        <f t="shared" si="3014"/>
        <v>170266.96342761847</v>
      </c>
      <c r="BE146" s="92">
        <f t="shared" si="3014"/>
        <v>170617.6854944427</v>
      </c>
      <c r="BF146" s="92">
        <f t="shared" si="3014"/>
        <v>170969.12999130075</v>
      </c>
      <c r="BG146" s="92">
        <f t="shared" si="3014"/>
        <v>171321.29840628032</v>
      </c>
      <c r="BH146" s="92">
        <f t="shared" si="3014"/>
        <v>171674.19223053413</v>
      </c>
      <c r="BI146" s="92">
        <f t="shared" si="3014"/>
        <v>172027.81295828649</v>
      </c>
      <c r="BJ146" s="92">
        <f t="shared" si="3014"/>
        <v>172382.1620868397</v>
      </c>
      <c r="BK146" s="92">
        <f t="shared" si="3014"/>
        <v>172737.24111658012</v>
      </c>
      <c r="BL146" s="92">
        <f t="shared" si="3014"/>
        <v>173093.05155098459</v>
      </c>
      <c r="BM146" s="92">
        <f t="shared" si="3014"/>
        <v>173449.59489662704</v>
      </c>
      <c r="BN146" s="92">
        <f t="shared" si="3014"/>
        <v>173806.87266318468</v>
      </c>
      <c r="BO146" s="92">
        <f t="shared" si="3014"/>
        <v>174164.88636344421</v>
      </c>
      <c r="BP146" s="92">
        <f t="shared" si="3014"/>
        <v>174523.6375133087</v>
      </c>
      <c r="BQ146" s="92">
        <f t="shared" si="3014"/>
        <v>174883.12763180354</v>
      </c>
      <c r="BR146" s="92">
        <f t="shared" si="3014"/>
        <v>175243.35824108304</v>
      </c>
      <c r="BS146" s="92">
        <f t="shared" si="3014"/>
        <v>175604.33086643706</v>
      </c>
      <c r="BT146" s="92">
        <f t="shared" si="3014"/>
        <v>175966.04703629721</v>
      </c>
      <c r="BU146" s="92">
        <f t="shared" si="3014"/>
        <v>176328.50828224345</v>
      </c>
      <c r="BV146" s="92">
        <f t="shared" si="3014"/>
        <v>176691.71613901047</v>
      </c>
      <c r="BW146" s="92">
        <f t="shared" si="3014"/>
        <v>177055.67214449437</v>
      </c>
      <c r="BX146" s="92">
        <f t="shared" si="3014"/>
        <v>177420.37783975899</v>
      </c>
      <c r="BY146" s="92">
        <f t="shared" si="3014"/>
        <v>177785.8347690425</v>
      </c>
      <c r="BZ146" s="92">
        <f t="shared" si="3014"/>
        <v>178152.04447976407</v>
      </c>
      <c r="CA146" s="92">
        <f t="shared" si="3014"/>
        <v>178519.00852253012</v>
      </c>
      <c r="CB146" s="92">
        <f t="shared" si="3014"/>
        <v>178886.72845114121</v>
      </c>
      <c r="CC146" s="92">
        <f t="shared" si="3014"/>
        <v>179255.20582259836</v>
      </c>
      <c r="CD146" s="92">
        <f t="shared" si="3014"/>
        <v>179624.44219710986</v>
      </c>
      <c r="CE146" s="92">
        <f t="shared" si="3014"/>
        <v>179994.43913809775</v>
      </c>
      <c r="CF146" s="92">
        <f t="shared" si="3014"/>
        <v>180365.19821220441</v>
      </c>
      <c r="CG146" s="92">
        <f t="shared" ref="CG146:ER146" si="3015">SUM(CG136:CG145)</f>
        <v>180736.72098929927</v>
      </c>
      <c r="CH146" s="92">
        <f t="shared" si="3015"/>
        <v>181109.00904248547</v>
      </c>
      <c r="CI146" s="92">
        <f t="shared" si="3015"/>
        <v>181482.06394810643</v>
      </c>
      <c r="CJ146" s="92">
        <f t="shared" si="3015"/>
        <v>181855.88728575269</v>
      </c>
      <c r="CK146" s="92">
        <f t="shared" si="3015"/>
        <v>182230.48063826832</v>
      </c>
      <c r="CL146" s="92">
        <f t="shared" si="3015"/>
        <v>182605.84559175788</v>
      </c>
      <c r="CM146" s="92">
        <f t="shared" si="3015"/>
        <v>182981.98373559309</v>
      </c>
      <c r="CN146" s="92">
        <f t="shared" si="3015"/>
        <v>183358.89666241943</v>
      </c>
      <c r="CO146" s="92">
        <f t="shared" si="3015"/>
        <v>183736.58596816304</v>
      </c>
      <c r="CP146" s="92">
        <f t="shared" si="3015"/>
        <v>184115.05325203738</v>
      </c>
      <c r="CQ146" s="92">
        <f t="shared" si="3015"/>
        <v>184494.30011654994</v>
      </c>
      <c r="CR146" s="92">
        <f t="shared" si="3015"/>
        <v>184874.32816750923</v>
      </c>
      <c r="CS146" s="92">
        <f t="shared" si="3015"/>
        <v>185255.13901403151</v>
      </c>
      <c r="CT146" s="92">
        <f t="shared" si="3015"/>
        <v>185636.73426854738</v>
      </c>
      <c r="CU146" s="92">
        <f t="shared" si="3015"/>
        <v>186019.11554680887</v>
      </c>
      <c r="CV146" s="92">
        <f t="shared" si="3015"/>
        <v>186402.28446789627</v>
      </c>
      <c r="CW146" s="92">
        <f t="shared" si="3015"/>
        <v>186786.24265422477</v>
      </c>
      <c r="CX146" s="92">
        <f t="shared" si="3015"/>
        <v>187170.99173155159</v>
      </c>
      <c r="CY146" s="92">
        <f t="shared" si="3015"/>
        <v>187556.53332898268</v>
      </c>
      <c r="CZ146" s="92">
        <f t="shared" si="3015"/>
        <v>187942.86907897971</v>
      </c>
      <c r="DA146" s="92">
        <f t="shared" si="3015"/>
        <v>188330.00061736687</v>
      </c>
      <c r="DB146" s="92">
        <f t="shared" si="3015"/>
        <v>188717.92958333803</v>
      </c>
      <c r="DC146" s="92">
        <f t="shared" si="3015"/>
        <v>189106.6576194634</v>
      </c>
      <c r="DD146" s="92">
        <f t="shared" si="3015"/>
        <v>189496.18637169673</v>
      </c>
      <c r="DE146" s="92">
        <f t="shared" si="3015"/>
        <v>189886.51748938204</v>
      </c>
      <c r="DF146" s="92">
        <f t="shared" si="3015"/>
        <v>190277.65262526076</v>
      </c>
      <c r="DG146" s="92">
        <f t="shared" si="3015"/>
        <v>190669.59343547883</v>
      </c>
      <c r="DH146" s="92">
        <f t="shared" si="3015"/>
        <v>191062.34157959337</v>
      </c>
      <c r="DI146" s="92">
        <f t="shared" si="3015"/>
        <v>191455.89872058012</v>
      </c>
      <c r="DJ146" s="92">
        <f t="shared" si="3015"/>
        <v>191850.26652484009</v>
      </c>
      <c r="DK146" s="92">
        <f t="shared" si="3015"/>
        <v>192245.44666220696</v>
      </c>
      <c r="DL146" s="92">
        <f t="shared" si="3015"/>
        <v>192641.44080595393</v>
      </c>
      <c r="DM146" s="92">
        <f t="shared" si="3015"/>
        <v>193038.2506328008</v>
      </c>
      <c r="DN146" s="92">
        <f t="shared" si="3015"/>
        <v>193435.87782292126</v>
      </c>
      <c r="DO146" s="92">
        <f t="shared" si="3015"/>
        <v>193834.32405994972</v>
      </c>
      <c r="DP146" s="92">
        <f t="shared" si="3015"/>
        <v>194233.5910309889</v>
      </c>
      <c r="DQ146" s="92">
        <f t="shared" si="3015"/>
        <v>194633.68042661628</v>
      </c>
      <c r="DR146" s="92">
        <f t="shared" si="3015"/>
        <v>195034.59394089202</v>
      </c>
      <c r="DS146" s="92">
        <f t="shared" si="3015"/>
        <v>195436.33327136553</v>
      </c>
      <c r="DT146" s="92">
        <f t="shared" si="3015"/>
        <v>195838.90011908294</v>
      </c>
      <c r="DU146" s="92">
        <f t="shared" si="3015"/>
        <v>196242.29618859437</v>
      </c>
      <c r="DV146" s="92">
        <f t="shared" si="3015"/>
        <v>196646.52318796082</v>
      </c>
      <c r="DW146" s="92">
        <f t="shared" si="3015"/>
        <v>197051.58282876186</v>
      </c>
      <c r="DX146" s="92">
        <f t="shared" si="3015"/>
        <v>197457.47682610247</v>
      </c>
      <c r="DY146" s="92">
        <f t="shared" si="3015"/>
        <v>197864.20689862053</v>
      </c>
      <c r="DZ146" s="92">
        <f t="shared" si="3015"/>
        <v>198271.77476849398</v>
      </c>
      <c r="EA146" s="92">
        <f t="shared" si="3015"/>
        <v>198680.18216144817</v>
      </c>
      <c r="EB146" s="92">
        <f t="shared" si="3015"/>
        <v>199089.4308067633</v>
      </c>
      <c r="EC146" s="92">
        <f t="shared" si="3015"/>
        <v>199499.52243728138</v>
      </c>
      <c r="ED146" s="92">
        <f t="shared" si="3015"/>
        <v>199910.45878941403</v>
      </c>
      <c r="EE146" s="92">
        <f t="shared" si="3015"/>
        <v>200322.24160314939</v>
      </c>
      <c r="EF146" s="92">
        <f t="shared" si="3015"/>
        <v>200734.87262205977</v>
      </c>
      <c r="EG146" s="92">
        <f t="shared" si="3015"/>
        <v>201148.35359330894</v>
      </c>
      <c r="EH146" s="92">
        <f t="shared" si="3015"/>
        <v>201562.68626765959</v>
      </c>
      <c r="EI146" s="92">
        <f t="shared" si="3015"/>
        <v>201977.87239948066</v>
      </c>
      <c r="EJ146" s="92">
        <f t="shared" si="3015"/>
        <v>202393.91374675476</v>
      </c>
      <c r="EK146" s="92">
        <f t="shared" si="3015"/>
        <v>202810.81207108573</v>
      </c>
      <c r="EL146" s="92">
        <f t="shared" si="3015"/>
        <v>203228.56913770604</v>
      </c>
      <c r="EM146" s="92">
        <f t="shared" si="3015"/>
        <v>203647.18671548413</v>
      </c>
      <c r="EN146" s="92">
        <f t="shared" si="3015"/>
        <v>204066.66657693207</v>
      </c>
      <c r="EO146" s="92">
        <f t="shared" si="3015"/>
        <v>204487.01049821317</v>
      </c>
      <c r="EP146" s="92">
        <f t="shared" si="3015"/>
        <v>204908.22025914915</v>
      </c>
      <c r="EQ146" s="92">
        <f t="shared" si="3015"/>
        <v>205330.29764322785</v>
      </c>
      <c r="ER146" s="92">
        <f t="shared" si="3015"/>
        <v>205753.24443761096</v>
      </c>
      <c r="ES146" s="92">
        <f t="shared" ref="ES146:EU146" si="3016">SUM(ES136:ES145)</f>
        <v>206177.06243314137</v>
      </c>
      <c r="ET146" s="92">
        <f t="shared" si="3016"/>
        <v>206601.75342435081</v>
      </c>
      <c r="EU146" s="92">
        <f t="shared" si="3016"/>
        <v>207027.31920946739</v>
      </c>
      <c r="FC146" s="199"/>
      <c r="FD146" s="199"/>
      <c r="FE146" s="199"/>
      <c r="FF146" s="199"/>
      <c r="FG146" s="199"/>
      <c r="FH146" s="199"/>
      <c r="FI146" s="199"/>
      <c r="FJ146" s="199"/>
      <c r="FK146" s="199"/>
      <c r="FL146" s="199"/>
      <c r="FM146" s="199"/>
      <c r="FN146" s="199"/>
      <c r="FO146" s="199"/>
      <c r="FP146" s="199"/>
      <c r="FQ146" s="199"/>
      <c r="FR146" s="199"/>
      <c r="FS146" s="199"/>
      <c r="FT146" s="199"/>
      <c r="FU146" s="199"/>
      <c r="FV146" s="199"/>
      <c r="FW146" s="199"/>
      <c r="FX146" s="199"/>
      <c r="FY146" s="199"/>
      <c r="FZ146" s="199"/>
      <c r="GA146" s="199"/>
      <c r="GB146" s="199"/>
      <c r="GC146" s="199"/>
      <c r="GD146" s="199"/>
      <c r="GE146" s="199"/>
      <c r="GF146" s="199"/>
      <c r="GG146" s="199"/>
      <c r="GH146" s="199"/>
      <c r="GI146" s="199"/>
      <c r="GJ146" s="199"/>
      <c r="GK146" s="199"/>
      <c r="GL146" s="199"/>
      <c r="GM146" s="199"/>
      <c r="GN146" s="199"/>
      <c r="GO146" s="199"/>
      <c r="GP146" s="199"/>
      <c r="GQ146" s="199"/>
      <c r="GR146" s="199"/>
      <c r="GS146" s="199"/>
      <c r="GT146" s="199"/>
      <c r="GU146" s="199"/>
      <c r="GV146" s="199"/>
      <c r="GW146" s="199"/>
      <c r="GX146" s="199"/>
      <c r="GY146" s="199"/>
      <c r="GZ146" s="199"/>
      <c r="HA146" s="199"/>
      <c r="HB146" s="199"/>
      <c r="HC146" s="199"/>
      <c r="HD146" s="199"/>
      <c r="HE146" s="199"/>
      <c r="HF146" s="199"/>
      <c r="HG146" s="199"/>
      <c r="HH146" s="199"/>
      <c r="HI146" s="199"/>
      <c r="HJ146" s="199"/>
      <c r="HK146" s="199"/>
      <c r="HL146" s="199"/>
      <c r="HM146" s="199"/>
      <c r="HN146" s="199"/>
      <c r="HO146" s="199"/>
      <c r="HP146" s="199"/>
      <c r="HQ146" s="199"/>
      <c r="HR146" s="199"/>
      <c r="HS146" s="199"/>
      <c r="HT146" s="199"/>
      <c r="HU146" s="199"/>
      <c r="HV146" s="199"/>
      <c r="HW146" s="199"/>
      <c r="HX146" s="199"/>
      <c r="HY146" s="199"/>
      <c r="HZ146" s="199"/>
      <c r="IA146" s="199"/>
      <c r="IB146" s="199"/>
      <c r="IC146" s="199"/>
      <c r="ID146" s="199"/>
      <c r="IE146" s="199"/>
      <c r="IF146" s="199"/>
      <c r="IG146" s="199"/>
      <c r="IH146" s="199"/>
      <c r="II146" s="199"/>
      <c r="IJ146" s="199"/>
      <c r="IK146" s="199"/>
      <c r="IL146" s="199"/>
      <c r="IM146" s="199"/>
      <c r="IN146" s="199"/>
      <c r="IO146" s="199"/>
      <c r="IP146" s="199"/>
      <c r="IQ146" s="199"/>
      <c r="IR146" s="199"/>
      <c r="IS146" s="199"/>
      <c r="IT146" s="199"/>
      <c r="IU146" s="199"/>
      <c r="IV146" s="199"/>
      <c r="IW146" s="199"/>
      <c r="IX146" s="199"/>
      <c r="IY146" s="199"/>
      <c r="IZ146" s="199"/>
      <c r="JA146" s="199"/>
      <c r="JB146" s="199"/>
      <c r="JC146" s="199"/>
      <c r="JD146" s="199"/>
      <c r="JE146" s="199"/>
      <c r="JF146" s="199"/>
      <c r="JG146" s="199"/>
      <c r="JH146" s="199"/>
      <c r="JI146" s="199"/>
      <c r="JJ146" s="199"/>
      <c r="JK146" s="199"/>
      <c r="JL146" s="199"/>
      <c r="JM146" s="199"/>
      <c r="JN146" s="199"/>
      <c r="JO146" s="199"/>
      <c r="JP146" s="199"/>
      <c r="JQ146" s="199"/>
      <c r="JR146" s="199"/>
      <c r="JS146" s="199"/>
      <c r="JT146" s="199"/>
      <c r="JU146" s="199"/>
      <c r="JV146" s="199"/>
      <c r="JW146" s="199"/>
      <c r="JX146" s="199"/>
      <c r="JY146" s="199"/>
      <c r="JZ146" s="199"/>
      <c r="KA146" s="199"/>
      <c r="KB146" s="199"/>
      <c r="KC146" s="199"/>
      <c r="KD146" s="199"/>
      <c r="KE146" s="199"/>
      <c r="PQ146" s="201"/>
      <c r="PR146" s="201"/>
      <c r="PS146" s="201"/>
      <c r="PT146" s="201"/>
      <c r="PU146" s="201"/>
      <c r="PV146" s="201"/>
      <c r="PW146" s="201"/>
      <c r="PX146" s="201"/>
      <c r="PY146" s="201"/>
      <c r="PZ146" s="201"/>
      <c r="QA146" s="201"/>
      <c r="QB146" s="201"/>
      <c r="QC146" s="201"/>
      <c r="QD146" s="201"/>
      <c r="QE146" s="201"/>
      <c r="QF146" s="201"/>
      <c r="QG146" s="201"/>
      <c r="QH146" s="201"/>
      <c r="QI146" s="201"/>
      <c r="QJ146" s="201"/>
      <c r="QK146" s="201"/>
      <c r="QL146" s="201"/>
      <c r="QM146" s="201"/>
      <c r="QN146" s="201"/>
      <c r="QO146" s="201"/>
      <c r="QP146" s="201"/>
      <c r="QQ146" s="201"/>
      <c r="QR146" s="201"/>
      <c r="QS146" s="201"/>
      <c r="QT146" s="201"/>
      <c r="QU146" s="201"/>
      <c r="QV146" s="201"/>
      <c r="QW146" s="201"/>
      <c r="QX146" s="201"/>
      <c r="QY146" s="201"/>
      <c r="QZ146" s="201"/>
      <c r="RA146" s="201"/>
      <c r="RB146" s="201"/>
      <c r="RC146" s="201"/>
      <c r="RD146" s="201"/>
      <c r="RE146" s="201"/>
      <c r="RF146" s="201"/>
      <c r="RG146" s="201"/>
      <c r="RH146" s="201"/>
      <c r="RI146" s="201"/>
      <c r="RJ146" s="201"/>
      <c r="RK146" s="201"/>
      <c r="RL146" s="201"/>
      <c r="RM146" s="201"/>
      <c r="RN146" s="201"/>
      <c r="RO146" s="201"/>
      <c r="RP146" s="201"/>
      <c r="RQ146" s="201"/>
      <c r="RR146" s="201"/>
      <c r="RS146" s="201"/>
      <c r="RT146" s="201"/>
      <c r="RU146" s="201"/>
      <c r="RV146" s="201"/>
      <c r="RW146" s="201"/>
      <c r="RX146" s="201"/>
      <c r="RY146" s="201"/>
      <c r="RZ146" s="201"/>
      <c r="SA146" s="201"/>
      <c r="SB146" s="201"/>
      <c r="SC146" s="201"/>
      <c r="SD146" s="201"/>
      <c r="SE146" s="201"/>
      <c r="SF146" s="201"/>
      <c r="SG146" s="201"/>
      <c r="SH146" s="201"/>
      <c r="SI146" s="201"/>
      <c r="SJ146" s="201"/>
      <c r="SK146" s="201"/>
      <c r="SL146" s="201"/>
      <c r="SM146" s="201"/>
      <c r="SN146" s="201"/>
      <c r="SO146" s="201"/>
      <c r="SP146" s="201"/>
      <c r="SQ146" s="201"/>
      <c r="SR146" s="201"/>
      <c r="SS146" s="201"/>
      <c r="ST146" s="201"/>
      <c r="SU146" s="201"/>
      <c r="SV146" s="201"/>
      <c r="SW146" s="201"/>
      <c r="SX146" s="201"/>
      <c r="SY146" s="201"/>
      <c r="SZ146" s="201"/>
      <c r="TA146" s="201"/>
      <c r="TB146" s="201"/>
      <c r="TC146" s="201"/>
      <c r="TD146" s="201"/>
      <c r="TE146" s="201"/>
      <c r="TF146" s="201"/>
      <c r="TG146" s="201"/>
      <c r="TH146" s="201"/>
      <c r="TI146" s="201"/>
      <c r="TJ146" s="201"/>
      <c r="TK146" s="201"/>
      <c r="TL146" s="201"/>
      <c r="TM146" s="201"/>
      <c r="TN146" s="201"/>
      <c r="TO146" s="201"/>
      <c r="TP146" s="201"/>
      <c r="TQ146" s="201"/>
      <c r="TR146" s="201"/>
      <c r="TS146" s="201"/>
      <c r="TT146" s="201"/>
      <c r="TU146" s="201"/>
      <c r="TV146" s="201"/>
      <c r="TW146" s="201"/>
      <c r="TX146" s="201"/>
      <c r="TY146" s="201"/>
      <c r="TZ146" s="201"/>
      <c r="UA146" s="201"/>
      <c r="UB146" s="201"/>
      <c r="UC146" s="201"/>
      <c r="UD146" s="201"/>
      <c r="UE146" s="201"/>
      <c r="UF146" s="201"/>
      <c r="UG146" s="201"/>
      <c r="UH146" s="201"/>
      <c r="UI146" s="201"/>
      <c r="UJ146" s="201"/>
      <c r="UK146" s="201"/>
      <c r="UL146" s="201"/>
      <c r="UM146" s="201"/>
      <c r="UN146" s="201"/>
      <c r="UO146" s="201"/>
      <c r="UP146" s="201"/>
      <c r="UQ146" s="201"/>
      <c r="UR146" s="201"/>
      <c r="US146" s="201"/>
      <c r="UT146" s="201"/>
      <c r="UU146" s="201"/>
    </row>
    <row r="147" spans="2:567" ht="5.0999999999999996" customHeight="1" x14ac:dyDescent="0.25">
      <c r="B147" s="18"/>
      <c r="C147" s="26"/>
      <c r="D147" s="26"/>
      <c r="E147" s="26"/>
      <c r="F147" s="26"/>
      <c r="G147" s="121"/>
      <c r="H147" s="34"/>
      <c r="I147" s="34"/>
      <c r="J147" s="34"/>
      <c r="K147" s="34"/>
      <c r="S147" s="145"/>
      <c r="FC147" s="199"/>
      <c r="FD147" s="199"/>
      <c r="FE147" s="199"/>
      <c r="FF147" s="199"/>
      <c r="FG147" s="199"/>
      <c r="FH147" s="199"/>
      <c r="FI147" s="199"/>
      <c r="FJ147" s="199"/>
      <c r="FK147" s="199"/>
      <c r="FL147" s="199"/>
      <c r="FM147" s="199"/>
      <c r="FN147" s="199"/>
      <c r="FO147" s="199"/>
      <c r="FP147" s="199"/>
      <c r="FQ147" s="199"/>
      <c r="FR147" s="199"/>
      <c r="FS147" s="199"/>
      <c r="FT147" s="199"/>
      <c r="FU147" s="199"/>
      <c r="FV147" s="199"/>
      <c r="FW147" s="199"/>
      <c r="FX147" s="199"/>
      <c r="FY147" s="199"/>
      <c r="FZ147" s="199"/>
      <c r="GA147" s="199"/>
      <c r="GB147" s="199"/>
      <c r="GC147" s="199"/>
      <c r="GD147" s="199"/>
      <c r="GE147" s="199"/>
      <c r="GF147" s="199"/>
      <c r="GG147" s="199"/>
      <c r="GH147" s="199"/>
      <c r="GI147" s="199"/>
      <c r="GJ147" s="199"/>
      <c r="GK147" s="199"/>
      <c r="GL147" s="199"/>
      <c r="GM147" s="199"/>
      <c r="GN147" s="199"/>
      <c r="GO147" s="199"/>
      <c r="GP147" s="199"/>
      <c r="GQ147" s="199"/>
      <c r="GR147" s="199"/>
      <c r="GS147" s="199"/>
      <c r="GT147" s="199"/>
      <c r="GU147" s="199"/>
      <c r="GV147" s="199"/>
      <c r="GW147" s="199"/>
      <c r="GX147" s="199"/>
      <c r="GY147" s="199"/>
      <c r="GZ147" s="199"/>
      <c r="HA147" s="199"/>
      <c r="HB147" s="199"/>
      <c r="HC147" s="199"/>
      <c r="HD147" s="199"/>
      <c r="HE147" s="199"/>
      <c r="HF147" s="199"/>
      <c r="HG147" s="199"/>
      <c r="HH147" s="199"/>
      <c r="HI147" s="199"/>
      <c r="HJ147" s="199"/>
      <c r="HK147" s="199"/>
      <c r="HL147" s="199"/>
      <c r="HM147" s="199"/>
      <c r="HN147" s="199"/>
      <c r="HO147" s="199"/>
      <c r="HP147" s="199"/>
      <c r="HQ147" s="199"/>
      <c r="HR147" s="199"/>
      <c r="HS147" s="199"/>
      <c r="HT147" s="199"/>
      <c r="HU147" s="199"/>
      <c r="HV147" s="199"/>
      <c r="HW147" s="199"/>
      <c r="HX147" s="199"/>
      <c r="HY147" s="199"/>
      <c r="HZ147" s="199"/>
      <c r="IA147" s="199"/>
      <c r="IB147" s="199"/>
      <c r="IC147" s="199"/>
      <c r="ID147" s="199"/>
      <c r="IE147" s="199"/>
      <c r="IF147" s="199"/>
      <c r="IG147" s="199"/>
      <c r="IH147" s="199"/>
      <c r="II147" s="199"/>
      <c r="IJ147" s="199"/>
      <c r="IK147" s="199"/>
      <c r="IL147" s="199"/>
      <c r="IM147" s="199"/>
      <c r="IN147" s="199"/>
      <c r="IO147" s="199"/>
      <c r="IP147" s="199"/>
      <c r="IQ147" s="199"/>
      <c r="IR147" s="199"/>
      <c r="IS147" s="199"/>
      <c r="IT147" s="199"/>
      <c r="IU147" s="199"/>
      <c r="IV147" s="199"/>
      <c r="IW147" s="199"/>
      <c r="IX147" s="199"/>
      <c r="IY147" s="199"/>
      <c r="IZ147" s="199"/>
      <c r="JA147" s="199"/>
      <c r="JB147" s="199"/>
      <c r="JC147" s="199"/>
      <c r="JD147" s="199"/>
      <c r="JE147" s="199"/>
      <c r="JF147" s="199"/>
      <c r="JG147" s="199"/>
      <c r="JH147" s="199"/>
      <c r="JI147" s="199"/>
      <c r="JJ147" s="199"/>
      <c r="JK147" s="199"/>
      <c r="JL147" s="199"/>
      <c r="JM147" s="199"/>
      <c r="JN147" s="199"/>
      <c r="JO147" s="199"/>
      <c r="JP147" s="199"/>
      <c r="JQ147" s="199"/>
      <c r="JR147" s="199"/>
      <c r="JS147" s="199"/>
      <c r="JT147" s="199"/>
      <c r="JU147" s="199"/>
      <c r="JV147" s="199"/>
      <c r="JW147" s="199"/>
      <c r="JX147" s="199"/>
      <c r="JY147" s="199"/>
      <c r="JZ147" s="199"/>
      <c r="KA147" s="199"/>
      <c r="KB147" s="199"/>
      <c r="KC147" s="199"/>
      <c r="KD147" s="199"/>
      <c r="KE147" s="199"/>
      <c r="PQ147" s="201"/>
      <c r="PR147" s="201"/>
      <c r="PS147" s="201"/>
      <c r="PT147" s="201"/>
      <c r="PU147" s="201"/>
      <c r="PV147" s="201"/>
      <c r="PW147" s="201"/>
      <c r="PX147" s="201"/>
      <c r="PY147" s="201"/>
      <c r="PZ147" s="201"/>
      <c r="QA147" s="201"/>
      <c r="QB147" s="201"/>
      <c r="QC147" s="201"/>
      <c r="QD147" s="201"/>
      <c r="QE147" s="201"/>
      <c r="QF147" s="201"/>
      <c r="QG147" s="201"/>
      <c r="QH147" s="201"/>
      <c r="QI147" s="201"/>
      <c r="QJ147" s="201"/>
      <c r="QK147" s="201"/>
      <c r="QL147" s="201"/>
      <c r="QM147" s="201"/>
      <c r="QN147" s="201"/>
      <c r="QO147" s="201"/>
      <c r="QP147" s="201"/>
      <c r="QQ147" s="201"/>
      <c r="QR147" s="201"/>
      <c r="QS147" s="201"/>
      <c r="QT147" s="201"/>
      <c r="QU147" s="201"/>
      <c r="QV147" s="201"/>
      <c r="QW147" s="201"/>
      <c r="QX147" s="201"/>
      <c r="QY147" s="201"/>
      <c r="QZ147" s="201"/>
      <c r="RA147" s="201"/>
      <c r="RB147" s="201"/>
      <c r="RC147" s="201"/>
      <c r="RD147" s="201"/>
      <c r="RE147" s="201"/>
      <c r="RF147" s="201"/>
      <c r="RG147" s="201"/>
      <c r="RH147" s="201"/>
      <c r="RI147" s="201"/>
      <c r="RJ147" s="201"/>
      <c r="RK147" s="201"/>
      <c r="RL147" s="201"/>
      <c r="RM147" s="201"/>
      <c r="RN147" s="201"/>
      <c r="RO147" s="201"/>
      <c r="RP147" s="201"/>
      <c r="RQ147" s="201"/>
      <c r="RR147" s="201"/>
      <c r="RS147" s="201"/>
      <c r="RT147" s="201"/>
      <c r="RU147" s="201"/>
      <c r="RV147" s="201"/>
      <c r="RW147" s="201"/>
      <c r="RX147" s="201"/>
      <c r="RY147" s="201"/>
      <c r="RZ147" s="201"/>
      <c r="SA147" s="201"/>
      <c r="SB147" s="201"/>
      <c r="SC147" s="201"/>
      <c r="SD147" s="201"/>
      <c r="SE147" s="201"/>
      <c r="SF147" s="201"/>
      <c r="SG147" s="201"/>
      <c r="SH147" s="201"/>
      <c r="SI147" s="201"/>
      <c r="SJ147" s="201"/>
      <c r="SK147" s="201"/>
      <c r="SL147" s="201"/>
      <c r="SM147" s="201"/>
      <c r="SN147" s="201"/>
      <c r="SO147" s="201"/>
      <c r="SP147" s="201"/>
      <c r="SQ147" s="201"/>
      <c r="SR147" s="201"/>
      <c r="SS147" s="201"/>
      <c r="ST147" s="201"/>
      <c r="SU147" s="201"/>
      <c r="SV147" s="201"/>
      <c r="SW147" s="201"/>
      <c r="SX147" s="201"/>
      <c r="SY147" s="201"/>
      <c r="SZ147" s="201"/>
      <c r="TA147" s="201"/>
      <c r="TB147" s="201"/>
      <c r="TC147" s="201"/>
      <c r="TD147" s="201"/>
      <c r="TE147" s="201"/>
      <c r="TF147" s="201"/>
      <c r="TG147" s="201"/>
      <c r="TH147" s="201"/>
      <c r="TI147" s="201"/>
      <c r="TJ147" s="201"/>
      <c r="TK147" s="201"/>
      <c r="TL147" s="201"/>
      <c r="TM147" s="201"/>
      <c r="TN147" s="201"/>
      <c r="TO147" s="201"/>
      <c r="TP147" s="201"/>
      <c r="TQ147" s="201"/>
      <c r="TR147" s="201"/>
      <c r="TS147" s="201"/>
      <c r="TT147" s="201"/>
      <c r="TU147" s="201"/>
      <c r="TV147" s="201"/>
      <c r="TW147" s="201"/>
      <c r="TX147" s="201"/>
      <c r="TY147" s="201"/>
      <c r="TZ147" s="201"/>
      <c r="UA147" s="201"/>
      <c r="UB147" s="201"/>
      <c r="UC147" s="201"/>
      <c r="UD147" s="201"/>
      <c r="UE147" s="201"/>
      <c r="UF147" s="201"/>
      <c r="UG147" s="201"/>
      <c r="UH147" s="201"/>
      <c r="UI147" s="201"/>
      <c r="UJ147" s="201"/>
      <c r="UK147" s="201"/>
      <c r="UL147" s="201"/>
      <c r="UM147" s="201"/>
      <c r="UN147" s="201"/>
      <c r="UO147" s="201"/>
      <c r="UP147" s="201"/>
      <c r="UQ147" s="201"/>
      <c r="UR147" s="201"/>
      <c r="US147" s="201"/>
      <c r="UT147" s="201"/>
      <c r="UU147" s="201"/>
    </row>
    <row r="148" spans="2:567" x14ac:dyDescent="0.25">
      <c r="B148" s="18" t="s">
        <v>155</v>
      </c>
      <c r="C148" s="26"/>
      <c r="D148" s="26"/>
      <c r="E148" s="26"/>
      <c r="F148" s="26"/>
      <c r="G148" s="121"/>
      <c r="H148" s="34"/>
      <c r="I148" s="34"/>
      <c r="J148" s="34">
        <f>+J134-J146</f>
        <v>3310019.569449231</v>
      </c>
      <c r="K148" s="34">
        <f>+K134-K146</f>
        <v>4501011.4214399997</v>
      </c>
      <c r="S148" s="145"/>
      <c r="T148" s="92">
        <f t="shared" ref="T148:AY148" si="3017">+T134-T146</f>
        <v>260693.37575833331</v>
      </c>
      <c r="U148" s="92">
        <f t="shared" si="3017"/>
        <v>264486.90061326924</v>
      </c>
      <c r="V148" s="92">
        <f t="shared" si="3017"/>
        <v>268304.89628932695</v>
      </c>
      <c r="W148" s="92">
        <f t="shared" si="3017"/>
        <v>272147.40918794868</v>
      </c>
      <c r="X148" s="92">
        <f t="shared" si="3017"/>
        <v>276014.48571057688</v>
      </c>
      <c r="Y148" s="92">
        <f t="shared" si="3017"/>
        <v>279906.17225865385</v>
      </c>
      <c r="Z148" s="92">
        <f t="shared" si="3017"/>
        <v>283822.51523362182</v>
      </c>
      <c r="AA148" s="92">
        <f t="shared" si="3017"/>
        <v>287763.56103692303</v>
      </c>
      <c r="AB148" s="92">
        <f t="shared" si="3017"/>
        <v>291729.35606999998</v>
      </c>
      <c r="AC148" s="92">
        <f t="shared" si="3017"/>
        <v>295719.94673429488</v>
      </c>
      <c r="AD148" s="92">
        <f t="shared" si="3017"/>
        <v>299735.37943124998</v>
      </c>
      <c r="AE148" s="92">
        <f t="shared" si="3017"/>
        <v>303775.70056230773</v>
      </c>
      <c r="AF148" s="92">
        <f t="shared" si="3017"/>
        <v>308475.05849651166</v>
      </c>
      <c r="AG148" s="92">
        <f t="shared" si="3017"/>
        <v>313217.57160639425</v>
      </c>
      <c r="AH148" s="92">
        <f t="shared" si="3017"/>
        <v>318003.49609635735</v>
      </c>
      <c r="AI148" s="92">
        <f t="shared" si="3017"/>
        <v>322833.0893419499</v>
      </c>
      <c r="AJ148" s="92">
        <f t="shared" si="3017"/>
        <v>327706.60989441851</v>
      </c>
      <c r="AK148" s="92">
        <f t="shared" si="3017"/>
        <v>332624.31748527603</v>
      </c>
      <c r="AL148" s="92">
        <f t="shared" si="3017"/>
        <v>337586.47303088324</v>
      </c>
      <c r="AM148" s="92">
        <f t="shared" si="3017"/>
        <v>342593.33863704838</v>
      </c>
      <c r="AN148" s="92">
        <f t="shared" si="3017"/>
        <v>347645.17760364211</v>
      </c>
      <c r="AO148" s="92">
        <f t="shared" si="3017"/>
        <v>352742.2544292282</v>
      </c>
      <c r="AP148" s="92">
        <f t="shared" si="3017"/>
        <v>357884.83481571113</v>
      </c>
      <c r="AQ148" s="92">
        <f t="shared" si="3017"/>
        <v>363073.18567299953</v>
      </c>
      <c r="AR148" s="92">
        <f t="shared" si="3017"/>
        <v>385253.31976810604</v>
      </c>
      <c r="AS148" s="92">
        <f t="shared" si="3017"/>
        <v>386046.87852924177</v>
      </c>
      <c r="AT148" s="92">
        <f t="shared" si="3017"/>
        <v>386842.07189149578</v>
      </c>
      <c r="AU148" s="92">
        <f t="shared" si="3017"/>
        <v>387638.9032218791</v>
      </c>
      <c r="AV148" s="92">
        <f t="shared" si="3017"/>
        <v>388437.3758943376</v>
      </c>
      <c r="AW148" s="92">
        <f t="shared" si="3017"/>
        <v>389237.49328976736</v>
      </c>
      <c r="AX148" s="92">
        <f t="shared" si="3017"/>
        <v>390039.25879602821</v>
      </c>
      <c r="AY148" s="92">
        <f t="shared" si="3017"/>
        <v>390842.67580795882</v>
      </c>
      <c r="AZ148" s="92">
        <f t="shared" ref="AZ148:CE148" si="3018">+AZ134-AZ146</f>
        <v>391647.74772739044</v>
      </c>
      <c r="BA148" s="92">
        <f t="shared" si="3018"/>
        <v>392454.47796316165</v>
      </c>
      <c r="BB148" s="92">
        <f t="shared" si="3018"/>
        <v>393262.86993113224</v>
      </c>
      <c r="BC148" s="92">
        <f t="shared" si="3018"/>
        <v>394072.92705419892</v>
      </c>
      <c r="BD148" s="92">
        <f t="shared" si="3018"/>
        <v>394884.65276230813</v>
      </c>
      <c r="BE148" s="92">
        <f t="shared" si="3018"/>
        <v>395698.05049247236</v>
      </c>
      <c r="BF148" s="92">
        <f t="shared" si="3018"/>
        <v>396513.1236887828</v>
      </c>
      <c r="BG148" s="92">
        <f t="shared" si="3018"/>
        <v>397329.87580242567</v>
      </c>
      <c r="BH148" s="92">
        <f t="shared" si="3018"/>
        <v>398148.31029169541</v>
      </c>
      <c r="BI148" s="92">
        <f t="shared" si="3018"/>
        <v>398968.43062201096</v>
      </c>
      <c r="BJ148" s="92">
        <f t="shared" si="3018"/>
        <v>399790.24026592844</v>
      </c>
      <c r="BK148" s="92">
        <f t="shared" si="3018"/>
        <v>400613.74270315724</v>
      </c>
      <c r="BL148" s="92">
        <f t="shared" si="3018"/>
        <v>401438.94142057467</v>
      </c>
      <c r="BM148" s="92">
        <f t="shared" si="3018"/>
        <v>402265.83991224016</v>
      </c>
      <c r="BN148" s="92">
        <f t="shared" si="3018"/>
        <v>403094.44167941029</v>
      </c>
      <c r="BO148" s="92">
        <f t="shared" si="3018"/>
        <v>403924.75023055339</v>
      </c>
      <c r="BP148" s="92">
        <f t="shared" si="3018"/>
        <v>404756.76908136543</v>
      </c>
      <c r="BQ148" s="92">
        <f t="shared" si="3018"/>
        <v>405590.50175478356</v>
      </c>
      <c r="BR148" s="92">
        <f t="shared" si="3018"/>
        <v>406425.95178100158</v>
      </c>
      <c r="BS148" s="92">
        <f t="shared" si="3018"/>
        <v>407263.12269748549</v>
      </c>
      <c r="BT148" s="92">
        <f t="shared" si="3018"/>
        <v>408102.01804898732</v>
      </c>
      <c r="BU148" s="92">
        <f t="shared" si="3018"/>
        <v>408942.64138756058</v>
      </c>
      <c r="BV148" s="92">
        <f t="shared" si="3018"/>
        <v>409784.99627257604</v>
      </c>
      <c r="BW148" s="92">
        <f t="shared" si="3018"/>
        <v>410629.0862707356</v>
      </c>
      <c r="BX148" s="92">
        <f t="shared" si="3018"/>
        <v>411474.91495608853</v>
      </c>
      <c r="BY148" s="92">
        <f t="shared" si="3018"/>
        <v>412322.48591004562</v>
      </c>
      <c r="BZ148" s="92">
        <f t="shared" si="3018"/>
        <v>413171.80272139481</v>
      </c>
      <c r="CA148" s="92">
        <f t="shared" si="3018"/>
        <v>414022.86898631661</v>
      </c>
      <c r="CB148" s="92">
        <f t="shared" si="3018"/>
        <v>414875.688308399</v>
      </c>
      <c r="CC148" s="92">
        <f t="shared" si="3018"/>
        <v>415730.26429865271</v>
      </c>
      <c r="CD148" s="92">
        <f t="shared" si="3018"/>
        <v>416586.6005755263</v>
      </c>
      <c r="CE148" s="92">
        <f t="shared" si="3018"/>
        <v>417444.70076492213</v>
      </c>
      <c r="CF148" s="92">
        <f t="shared" ref="CF148:DK148" si="3019">+CF134-CF146</f>
        <v>418304.56850021158</v>
      </c>
      <c r="CG148" s="92">
        <f t="shared" si="3019"/>
        <v>419166.20742224902</v>
      </c>
      <c r="CH148" s="92">
        <f t="shared" si="3019"/>
        <v>420029.62117939</v>
      </c>
      <c r="CI148" s="92">
        <f t="shared" si="3019"/>
        <v>420894.81342750351</v>
      </c>
      <c r="CJ148" s="92">
        <f t="shared" si="3019"/>
        <v>421761.78782999027</v>
      </c>
      <c r="CK148" s="92">
        <f t="shared" si="3019"/>
        <v>422630.54805779608</v>
      </c>
      <c r="CL148" s="92">
        <f t="shared" si="3019"/>
        <v>423501.09778942913</v>
      </c>
      <c r="CM148" s="92">
        <f t="shared" si="3019"/>
        <v>424373.44071097398</v>
      </c>
      <c r="CN148" s="92">
        <f t="shared" si="3019"/>
        <v>425247.58051610831</v>
      </c>
      <c r="CO148" s="92">
        <f t="shared" si="3019"/>
        <v>426123.52090611827</v>
      </c>
      <c r="CP148" s="92">
        <f t="shared" si="3019"/>
        <v>427001.26558991382</v>
      </c>
      <c r="CQ148" s="92">
        <f t="shared" si="3019"/>
        <v>427880.81828404474</v>
      </c>
      <c r="CR148" s="92">
        <f t="shared" si="3019"/>
        <v>428762.18271271623</v>
      </c>
      <c r="CS148" s="92">
        <f t="shared" si="3019"/>
        <v>429645.36260780483</v>
      </c>
      <c r="CT148" s="92">
        <f t="shared" si="3019"/>
        <v>430530.361708874</v>
      </c>
      <c r="CU148" s="92">
        <f t="shared" si="3019"/>
        <v>431417.18376319058</v>
      </c>
      <c r="CV148" s="92">
        <f t="shared" si="3019"/>
        <v>432305.83252573927</v>
      </c>
      <c r="CW148" s="92">
        <f t="shared" si="3019"/>
        <v>433196.31175924034</v>
      </c>
      <c r="CX148" s="92">
        <f t="shared" si="3019"/>
        <v>434088.62523416406</v>
      </c>
      <c r="CY148" s="92">
        <f t="shared" si="3019"/>
        <v>434982.77672874776</v>
      </c>
      <c r="CZ148" s="92">
        <f t="shared" si="3019"/>
        <v>435878.77002901037</v>
      </c>
      <c r="DA148" s="92">
        <f t="shared" si="3019"/>
        <v>436776.60892877053</v>
      </c>
      <c r="DB148" s="92">
        <f t="shared" si="3019"/>
        <v>437676.29722966097</v>
      </c>
      <c r="DC148" s="92">
        <f t="shared" si="3019"/>
        <v>438577.83874114533</v>
      </c>
      <c r="DD148" s="92">
        <f t="shared" si="3019"/>
        <v>439481.23728053353</v>
      </c>
      <c r="DE148" s="92">
        <f t="shared" si="3019"/>
        <v>440386.49667299923</v>
      </c>
      <c r="DF148" s="92">
        <f t="shared" si="3019"/>
        <v>441293.62075159524</v>
      </c>
      <c r="DG148" s="92">
        <f t="shared" si="3019"/>
        <v>442202.61335726967</v>
      </c>
      <c r="DH148" s="92">
        <f t="shared" si="3019"/>
        <v>443113.47833888221</v>
      </c>
      <c r="DI148" s="92">
        <f t="shared" si="3019"/>
        <v>444026.21955322078</v>
      </c>
      <c r="DJ148" s="92">
        <f t="shared" si="3019"/>
        <v>444940.84086501767</v>
      </c>
      <c r="DK148" s="92">
        <f t="shared" si="3019"/>
        <v>445857.34614696581</v>
      </c>
      <c r="DL148" s="92">
        <f t="shared" ref="DL148:EU148" si="3020">+DL134-DL146</f>
        <v>446775.73927973513</v>
      </c>
      <c r="DM148" s="92">
        <f t="shared" si="3020"/>
        <v>447696.02415198943</v>
      </c>
      <c r="DN148" s="92">
        <f t="shared" si="3020"/>
        <v>448618.20466040203</v>
      </c>
      <c r="DO148" s="92">
        <f t="shared" si="3020"/>
        <v>449542.28470967337</v>
      </c>
      <c r="DP148" s="92">
        <f t="shared" si="3020"/>
        <v>450468.26821254619</v>
      </c>
      <c r="DQ148" s="92">
        <f t="shared" si="3020"/>
        <v>451396.15908982366</v>
      </c>
      <c r="DR148" s="92">
        <f t="shared" si="3020"/>
        <v>452325.96127038449</v>
      </c>
      <c r="DS148" s="92">
        <f t="shared" si="3020"/>
        <v>453257.6786912008</v>
      </c>
      <c r="DT148" s="92">
        <f t="shared" si="3020"/>
        <v>454191.31529735361</v>
      </c>
      <c r="DU148" s="92">
        <f t="shared" si="3020"/>
        <v>455126.87504205079</v>
      </c>
      <c r="DV148" s="92">
        <f t="shared" si="3020"/>
        <v>456064.36188664252</v>
      </c>
      <c r="DW148" s="92">
        <f t="shared" si="3020"/>
        <v>457003.77980063949</v>
      </c>
      <c r="DX148" s="92">
        <f t="shared" si="3020"/>
        <v>457945.13276172779</v>
      </c>
      <c r="DY148" s="92">
        <f t="shared" si="3020"/>
        <v>458888.42475578858</v>
      </c>
      <c r="DZ148" s="92">
        <f t="shared" si="3020"/>
        <v>459833.65977691161</v>
      </c>
      <c r="EA148" s="92">
        <f t="shared" si="3020"/>
        <v>460780.84182741446</v>
      </c>
      <c r="EB148" s="92">
        <f t="shared" si="3020"/>
        <v>461729.97491785913</v>
      </c>
      <c r="EC148" s="92">
        <f t="shared" si="3020"/>
        <v>462681.06306706875</v>
      </c>
      <c r="ED148" s="92">
        <f t="shared" si="3020"/>
        <v>463634.11030214361</v>
      </c>
      <c r="EE148" s="92">
        <f t="shared" si="3020"/>
        <v>464589.12065848015</v>
      </c>
      <c r="EF148" s="92">
        <f t="shared" si="3020"/>
        <v>465546.09817978693</v>
      </c>
      <c r="EG148" s="92">
        <f t="shared" si="3020"/>
        <v>466505.04691810138</v>
      </c>
      <c r="EH148" s="92">
        <f t="shared" si="3020"/>
        <v>467465.97093380796</v>
      </c>
      <c r="EI148" s="92">
        <f t="shared" si="3020"/>
        <v>468428.87429565471</v>
      </c>
      <c r="EJ148" s="92">
        <f t="shared" si="3020"/>
        <v>469393.76108077052</v>
      </c>
      <c r="EK148" s="92">
        <f t="shared" si="3020"/>
        <v>470360.63537468266</v>
      </c>
      <c r="EL148" s="92">
        <f t="shared" si="3020"/>
        <v>471329.50127133366</v>
      </c>
      <c r="EM148" s="92">
        <f t="shared" si="3020"/>
        <v>472300.36287309928</v>
      </c>
      <c r="EN148" s="92">
        <f t="shared" si="3020"/>
        <v>473273.22429080517</v>
      </c>
      <c r="EO148" s="92">
        <f t="shared" si="3020"/>
        <v>474248.08964374469</v>
      </c>
      <c r="EP148" s="92">
        <f t="shared" si="3020"/>
        <v>475224.96305969654</v>
      </c>
      <c r="EQ148" s="92">
        <f t="shared" si="3020"/>
        <v>476203.84867494158</v>
      </c>
      <c r="ER148" s="92">
        <f t="shared" si="3020"/>
        <v>477184.75063428096</v>
      </c>
      <c r="ES148" s="92">
        <f t="shared" si="3020"/>
        <v>478167.67309105338</v>
      </c>
      <c r="ET148" s="92">
        <f t="shared" si="3020"/>
        <v>479152.6202071525</v>
      </c>
      <c r="EU148" s="92">
        <f t="shared" si="3020"/>
        <v>480139.59615304542</v>
      </c>
      <c r="FC148" s="199"/>
      <c r="FD148" s="199"/>
      <c r="FE148" s="199"/>
      <c r="FF148" s="199"/>
      <c r="FG148" s="199"/>
      <c r="FH148" s="199"/>
      <c r="FI148" s="199"/>
      <c r="FJ148" s="199"/>
      <c r="FK148" s="199"/>
      <c r="FL148" s="199"/>
      <c r="FM148" s="199"/>
      <c r="FN148" s="199"/>
      <c r="FO148" s="199"/>
      <c r="FP148" s="199"/>
      <c r="FQ148" s="199"/>
      <c r="FR148" s="199"/>
      <c r="FS148" s="199"/>
      <c r="FT148" s="199"/>
      <c r="FU148" s="199"/>
      <c r="FV148" s="199"/>
      <c r="FW148" s="199"/>
      <c r="FX148" s="199"/>
      <c r="FY148" s="199"/>
      <c r="FZ148" s="199"/>
      <c r="GA148" s="199"/>
      <c r="GB148" s="199"/>
      <c r="GC148" s="199"/>
      <c r="GD148" s="199"/>
      <c r="GE148" s="199"/>
      <c r="GF148" s="199"/>
      <c r="GG148" s="199"/>
      <c r="GH148" s="199"/>
      <c r="GI148" s="199"/>
      <c r="GJ148" s="199"/>
      <c r="GK148" s="199"/>
      <c r="GL148" s="199"/>
      <c r="GM148" s="199"/>
      <c r="GN148" s="199"/>
      <c r="GO148" s="199"/>
      <c r="GP148" s="199"/>
      <c r="GQ148" s="199"/>
      <c r="GR148" s="199"/>
      <c r="GS148" s="199"/>
      <c r="GT148" s="199"/>
      <c r="GU148" s="199"/>
      <c r="GV148" s="199"/>
      <c r="GW148" s="199"/>
      <c r="GX148" s="199"/>
      <c r="GY148" s="199"/>
      <c r="GZ148" s="199"/>
      <c r="HA148" s="199"/>
      <c r="HB148" s="199"/>
      <c r="HC148" s="199"/>
      <c r="HD148" s="199"/>
      <c r="HE148" s="199"/>
      <c r="HF148" s="199"/>
      <c r="HG148" s="199"/>
      <c r="HH148" s="199"/>
      <c r="HI148" s="199"/>
      <c r="HJ148" s="199"/>
      <c r="HK148" s="199"/>
      <c r="HL148" s="199"/>
      <c r="HM148" s="199"/>
      <c r="HN148" s="199"/>
      <c r="HO148" s="199"/>
      <c r="HP148" s="199"/>
      <c r="HQ148" s="199"/>
      <c r="HR148" s="199"/>
      <c r="HS148" s="199"/>
      <c r="HT148" s="199"/>
      <c r="HU148" s="199"/>
      <c r="HV148" s="199"/>
      <c r="HW148" s="199"/>
      <c r="HX148" s="199"/>
      <c r="HY148" s="199"/>
      <c r="HZ148" s="199"/>
      <c r="IA148" s="199"/>
      <c r="IB148" s="199"/>
      <c r="IC148" s="199"/>
      <c r="ID148" s="199"/>
      <c r="IE148" s="199"/>
      <c r="IF148" s="199"/>
      <c r="IG148" s="199"/>
      <c r="IH148" s="199"/>
      <c r="II148" s="199"/>
      <c r="IJ148" s="199"/>
      <c r="IK148" s="199"/>
      <c r="IL148" s="199"/>
      <c r="IM148" s="199"/>
      <c r="IN148" s="199"/>
      <c r="IO148" s="199"/>
      <c r="IP148" s="199"/>
      <c r="IQ148" s="199"/>
      <c r="IR148" s="199"/>
      <c r="IS148" s="199"/>
      <c r="IT148" s="199"/>
      <c r="IU148" s="199"/>
      <c r="IV148" s="199"/>
      <c r="IW148" s="199"/>
      <c r="IX148" s="199"/>
      <c r="IY148" s="199"/>
      <c r="IZ148" s="199"/>
      <c r="JA148" s="199"/>
      <c r="JB148" s="199"/>
      <c r="JC148" s="199"/>
      <c r="JD148" s="199"/>
      <c r="JE148" s="199"/>
      <c r="JF148" s="199"/>
      <c r="JG148" s="199"/>
      <c r="JH148" s="199"/>
      <c r="JI148" s="199"/>
      <c r="JJ148" s="199"/>
      <c r="JK148" s="199"/>
      <c r="JL148" s="199"/>
      <c r="JM148" s="199"/>
      <c r="JN148" s="199"/>
      <c r="JO148" s="199"/>
      <c r="JP148" s="199"/>
      <c r="JQ148" s="199"/>
      <c r="JR148" s="199"/>
      <c r="JS148" s="199"/>
      <c r="JT148" s="199"/>
      <c r="JU148" s="199"/>
      <c r="JV148" s="199"/>
      <c r="JW148" s="199"/>
      <c r="JX148" s="199"/>
      <c r="JY148" s="199"/>
      <c r="JZ148" s="199"/>
      <c r="KA148" s="199"/>
      <c r="KB148" s="199"/>
      <c r="KC148" s="199"/>
      <c r="KD148" s="199"/>
      <c r="KE148" s="199"/>
      <c r="PQ148" s="201"/>
      <c r="PR148" s="201"/>
      <c r="PS148" s="201"/>
      <c r="PT148" s="201"/>
      <c r="PU148" s="201"/>
      <c r="PV148" s="201"/>
      <c r="PW148" s="201"/>
      <c r="PX148" s="201"/>
      <c r="PY148" s="201"/>
      <c r="PZ148" s="201"/>
      <c r="QA148" s="201"/>
      <c r="QB148" s="201"/>
      <c r="QC148" s="201"/>
      <c r="QD148" s="201"/>
      <c r="QE148" s="201"/>
      <c r="QF148" s="201"/>
      <c r="QG148" s="201"/>
      <c r="QH148" s="201"/>
      <c r="QI148" s="201"/>
      <c r="QJ148" s="201"/>
      <c r="QK148" s="201"/>
      <c r="QL148" s="201"/>
      <c r="QM148" s="201"/>
      <c r="QN148" s="201"/>
      <c r="QO148" s="201"/>
      <c r="QP148" s="201"/>
      <c r="QQ148" s="201"/>
      <c r="QR148" s="201"/>
      <c r="QS148" s="201"/>
      <c r="QT148" s="201"/>
      <c r="QU148" s="201"/>
      <c r="QV148" s="201"/>
      <c r="QW148" s="201"/>
      <c r="QX148" s="201"/>
      <c r="QY148" s="201"/>
      <c r="QZ148" s="201"/>
      <c r="RA148" s="201"/>
      <c r="RB148" s="201"/>
      <c r="RC148" s="201"/>
      <c r="RD148" s="201"/>
      <c r="RE148" s="201"/>
      <c r="RF148" s="201"/>
      <c r="RG148" s="201"/>
      <c r="RH148" s="201"/>
      <c r="RI148" s="201"/>
      <c r="RJ148" s="201"/>
      <c r="RK148" s="201"/>
      <c r="RL148" s="201"/>
      <c r="RM148" s="201"/>
      <c r="RN148" s="201"/>
      <c r="RO148" s="201"/>
      <c r="RP148" s="201"/>
      <c r="RQ148" s="201"/>
      <c r="RR148" s="201"/>
      <c r="RS148" s="201"/>
      <c r="RT148" s="201"/>
      <c r="RU148" s="201"/>
      <c r="RV148" s="201"/>
      <c r="RW148" s="201"/>
      <c r="RX148" s="201"/>
      <c r="RY148" s="201"/>
      <c r="RZ148" s="201"/>
      <c r="SA148" s="201"/>
      <c r="SB148" s="201"/>
      <c r="SC148" s="201"/>
      <c r="SD148" s="201"/>
      <c r="SE148" s="201"/>
      <c r="SF148" s="201"/>
      <c r="SG148" s="201"/>
      <c r="SH148" s="201"/>
      <c r="SI148" s="201"/>
      <c r="SJ148" s="201"/>
      <c r="SK148" s="201"/>
      <c r="SL148" s="201"/>
      <c r="SM148" s="201"/>
      <c r="SN148" s="201"/>
      <c r="SO148" s="201"/>
      <c r="SP148" s="201"/>
      <c r="SQ148" s="201"/>
      <c r="SR148" s="201"/>
      <c r="SS148" s="201"/>
      <c r="ST148" s="201"/>
      <c r="SU148" s="201"/>
      <c r="SV148" s="201"/>
      <c r="SW148" s="201"/>
      <c r="SX148" s="201"/>
      <c r="SY148" s="201"/>
      <c r="SZ148" s="201"/>
      <c r="TA148" s="201"/>
      <c r="TB148" s="201"/>
      <c r="TC148" s="201"/>
      <c r="TD148" s="201"/>
      <c r="TE148" s="201"/>
      <c r="TF148" s="201"/>
      <c r="TG148" s="201"/>
      <c r="TH148" s="201"/>
      <c r="TI148" s="201"/>
      <c r="TJ148" s="201"/>
      <c r="TK148" s="201"/>
      <c r="TL148" s="201"/>
      <c r="TM148" s="201"/>
      <c r="TN148" s="201"/>
      <c r="TO148" s="201"/>
      <c r="TP148" s="201"/>
      <c r="TQ148" s="201"/>
      <c r="TR148" s="201"/>
      <c r="TS148" s="201"/>
      <c r="TT148" s="201"/>
      <c r="TU148" s="201"/>
      <c r="TV148" s="201"/>
      <c r="TW148" s="201"/>
      <c r="TX148" s="201"/>
      <c r="TY148" s="201"/>
      <c r="TZ148" s="201"/>
      <c r="UA148" s="201"/>
      <c r="UB148" s="201"/>
      <c r="UC148" s="201"/>
      <c r="UD148" s="201"/>
      <c r="UE148" s="201"/>
      <c r="UF148" s="201"/>
      <c r="UG148" s="201"/>
      <c r="UH148" s="201"/>
      <c r="UI148" s="201"/>
      <c r="UJ148" s="201"/>
      <c r="UK148" s="201"/>
      <c r="UL148" s="201"/>
      <c r="UM148" s="201"/>
      <c r="UN148" s="201"/>
      <c r="UO148" s="201"/>
      <c r="UP148" s="201"/>
      <c r="UQ148" s="201"/>
      <c r="UR148" s="201"/>
      <c r="US148" s="201"/>
      <c r="UT148" s="201"/>
      <c r="UU148" s="201"/>
    </row>
    <row r="149" spans="2:567" x14ac:dyDescent="0.25">
      <c r="B149" s="28" t="s">
        <v>156</v>
      </c>
      <c r="C149" s="26"/>
      <c r="D149" s="26"/>
      <c r="E149" s="29"/>
      <c r="F149" s="29"/>
      <c r="G149" s="29"/>
      <c r="H149" s="30"/>
      <c r="I149" s="29"/>
      <c r="J149" s="34"/>
      <c r="K149" s="34"/>
      <c r="FC149" s="199"/>
      <c r="FD149" s="199"/>
      <c r="FE149" s="199"/>
      <c r="FF149" s="199"/>
      <c r="FG149" s="199"/>
      <c r="FH149" s="199"/>
      <c r="FI149" s="199"/>
      <c r="FJ149" s="199"/>
      <c r="FK149" s="199"/>
      <c r="FL149" s="199"/>
      <c r="FM149" s="199"/>
      <c r="FN149" s="199"/>
      <c r="FO149" s="199"/>
      <c r="FP149" s="199"/>
      <c r="FQ149" s="199"/>
      <c r="FR149" s="199"/>
      <c r="FS149" s="199"/>
      <c r="FT149" s="199"/>
      <c r="FU149" s="199"/>
      <c r="FV149" s="199"/>
      <c r="FW149" s="199"/>
      <c r="FX149" s="199"/>
      <c r="FY149" s="199"/>
      <c r="FZ149" s="199"/>
      <c r="GA149" s="199"/>
      <c r="GB149" s="199"/>
      <c r="GC149" s="199"/>
      <c r="GD149" s="199"/>
      <c r="GE149" s="199"/>
      <c r="GF149" s="199"/>
      <c r="GG149" s="199"/>
      <c r="GH149" s="199"/>
      <c r="GI149" s="199"/>
      <c r="GJ149" s="199"/>
      <c r="GK149" s="199"/>
      <c r="GL149" s="199"/>
      <c r="GM149" s="199"/>
      <c r="GN149" s="199"/>
      <c r="GO149" s="199"/>
      <c r="GP149" s="199"/>
      <c r="GQ149" s="199"/>
      <c r="GR149" s="199"/>
      <c r="GS149" s="199"/>
      <c r="GT149" s="199"/>
      <c r="GU149" s="199"/>
      <c r="GV149" s="199"/>
      <c r="GW149" s="199"/>
      <c r="GX149" s="199"/>
      <c r="GY149" s="199"/>
      <c r="GZ149" s="199"/>
      <c r="HA149" s="199"/>
      <c r="HB149" s="199"/>
      <c r="HC149" s="199"/>
      <c r="HD149" s="199"/>
      <c r="HE149" s="199"/>
      <c r="HF149" s="199"/>
      <c r="HG149" s="199"/>
      <c r="HH149" s="199"/>
      <c r="HI149" s="199"/>
      <c r="HJ149" s="199"/>
      <c r="HK149" s="199"/>
      <c r="HL149" s="199"/>
      <c r="HM149" s="199"/>
      <c r="HN149" s="199"/>
      <c r="HO149" s="199"/>
      <c r="HP149" s="199"/>
      <c r="HQ149" s="199"/>
      <c r="HR149" s="199"/>
      <c r="HS149" s="199"/>
      <c r="HT149" s="199"/>
      <c r="HU149" s="199"/>
      <c r="HV149" s="199"/>
      <c r="HW149" s="199"/>
      <c r="HX149" s="199"/>
      <c r="HY149" s="199"/>
      <c r="HZ149" s="199"/>
      <c r="IA149" s="199"/>
      <c r="IB149" s="199"/>
      <c r="IC149" s="199"/>
      <c r="ID149" s="199"/>
      <c r="IE149" s="199"/>
      <c r="IF149" s="199"/>
      <c r="IG149" s="199"/>
      <c r="IH149" s="199"/>
      <c r="II149" s="199"/>
      <c r="IJ149" s="199"/>
      <c r="IK149" s="199"/>
      <c r="IL149" s="199"/>
      <c r="IM149" s="199"/>
      <c r="IN149" s="199"/>
      <c r="IO149" s="199"/>
      <c r="IP149" s="199"/>
      <c r="IQ149" s="199"/>
      <c r="IR149" s="199"/>
      <c r="IS149" s="199"/>
      <c r="IT149" s="199"/>
      <c r="IU149" s="199"/>
      <c r="IV149" s="199"/>
      <c r="IW149" s="199"/>
      <c r="IX149" s="199"/>
      <c r="IY149" s="199"/>
      <c r="IZ149" s="199"/>
      <c r="JA149" s="199"/>
      <c r="JB149" s="199"/>
      <c r="JC149" s="199"/>
      <c r="JD149" s="199"/>
      <c r="JE149" s="199"/>
      <c r="JF149" s="199"/>
      <c r="JG149" s="199"/>
      <c r="JH149" s="199"/>
      <c r="JI149" s="199"/>
      <c r="JJ149" s="199"/>
      <c r="JK149" s="199"/>
      <c r="JL149" s="199"/>
      <c r="JM149" s="199"/>
      <c r="JN149" s="199"/>
      <c r="JO149" s="199"/>
      <c r="JP149" s="199"/>
      <c r="JQ149" s="199"/>
      <c r="JR149" s="199"/>
      <c r="JS149" s="199"/>
      <c r="JT149" s="199"/>
      <c r="JU149" s="199"/>
      <c r="JV149" s="199"/>
      <c r="JW149" s="199"/>
      <c r="JX149" s="199"/>
      <c r="JY149" s="199"/>
      <c r="JZ149" s="199"/>
      <c r="KA149" s="199"/>
      <c r="KB149" s="199"/>
      <c r="KC149" s="199"/>
      <c r="KD149" s="199"/>
      <c r="KE149" s="199"/>
      <c r="PQ149" s="201"/>
      <c r="PR149" s="201"/>
      <c r="PS149" s="201"/>
      <c r="PT149" s="201"/>
      <c r="PU149" s="201"/>
      <c r="PV149" s="201"/>
      <c r="PW149" s="201"/>
      <c r="PX149" s="201"/>
      <c r="PY149" s="201"/>
      <c r="PZ149" s="201"/>
      <c r="QA149" s="201"/>
      <c r="QB149" s="201"/>
      <c r="QC149" s="201"/>
      <c r="QD149" s="201"/>
      <c r="QE149" s="201"/>
      <c r="QF149" s="201"/>
      <c r="QG149" s="201"/>
      <c r="QH149" s="201"/>
      <c r="QI149" s="201"/>
      <c r="QJ149" s="201"/>
      <c r="QK149" s="201"/>
      <c r="QL149" s="201"/>
      <c r="QM149" s="201"/>
      <c r="QN149" s="201"/>
      <c r="QO149" s="201"/>
      <c r="QP149" s="201"/>
      <c r="QQ149" s="201"/>
      <c r="QR149" s="201"/>
      <c r="QS149" s="201"/>
      <c r="QT149" s="201"/>
      <c r="QU149" s="201"/>
      <c r="QV149" s="201"/>
      <c r="QW149" s="201"/>
      <c r="QX149" s="201"/>
      <c r="QY149" s="201"/>
      <c r="QZ149" s="201"/>
      <c r="RA149" s="201"/>
      <c r="RB149" s="201"/>
      <c r="RC149" s="201"/>
      <c r="RD149" s="201"/>
      <c r="RE149" s="201"/>
      <c r="RF149" s="201"/>
      <c r="RG149" s="201"/>
      <c r="RH149" s="201"/>
      <c r="RI149" s="201"/>
      <c r="RJ149" s="201"/>
      <c r="RK149" s="201"/>
      <c r="RL149" s="201"/>
      <c r="RM149" s="201"/>
      <c r="RN149" s="201"/>
      <c r="RO149" s="201"/>
      <c r="RP149" s="201"/>
      <c r="RQ149" s="201"/>
      <c r="RR149" s="201"/>
      <c r="RS149" s="201"/>
      <c r="RT149" s="201"/>
      <c r="RU149" s="201"/>
      <c r="RV149" s="201"/>
      <c r="RW149" s="201"/>
      <c r="RX149" s="201"/>
      <c r="RY149" s="201"/>
      <c r="RZ149" s="201"/>
      <c r="SA149" s="201"/>
      <c r="SB149" s="201"/>
      <c r="SC149" s="201"/>
      <c r="SD149" s="201"/>
      <c r="SE149" s="201"/>
      <c r="SF149" s="201"/>
      <c r="SG149" s="201"/>
      <c r="SH149" s="201"/>
      <c r="SI149" s="201"/>
      <c r="SJ149" s="201"/>
      <c r="SK149" s="201"/>
      <c r="SL149" s="201"/>
      <c r="SM149" s="201"/>
      <c r="SN149" s="201"/>
      <c r="SO149" s="201"/>
      <c r="SP149" s="201"/>
      <c r="SQ149" s="201"/>
      <c r="SR149" s="201"/>
      <c r="SS149" s="201"/>
      <c r="ST149" s="201"/>
      <c r="SU149" s="201"/>
      <c r="SV149" s="201"/>
      <c r="SW149" s="201"/>
      <c r="SX149" s="201"/>
      <c r="SY149" s="201"/>
      <c r="SZ149" s="201"/>
      <c r="TA149" s="201"/>
      <c r="TB149" s="201"/>
      <c r="TC149" s="201"/>
      <c r="TD149" s="201"/>
      <c r="TE149" s="201"/>
      <c r="TF149" s="201"/>
      <c r="TG149" s="201"/>
      <c r="TH149" s="201"/>
      <c r="TI149" s="201"/>
      <c r="TJ149" s="201"/>
      <c r="TK149" s="201"/>
      <c r="TL149" s="201"/>
      <c r="TM149" s="201"/>
      <c r="TN149" s="201"/>
      <c r="TO149" s="201"/>
      <c r="TP149" s="201"/>
      <c r="TQ149" s="201"/>
      <c r="TR149" s="201"/>
      <c r="TS149" s="201"/>
      <c r="TT149" s="201"/>
      <c r="TU149" s="201"/>
      <c r="TV149" s="201"/>
      <c r="TW149" s="201"/>
      <c r="TX149" s="201"/>
      <c r="TY149" s="201"/>
      <c r="TZ149" s="201"/>
      <c r="UA149" s="201"/>
      <c r="UB149" s="201"/>
      <c r="UC149" s="201"/>
      <c r="UD149" s="201"/>
      <c r="UE149" s="201"/>
      <c r="UF149" s="201"/>
      <c r="UG149" s="201"/>
      <c r="UH149" s="201"/>
      <c r="UI149" s="201"/>
      <c r="UJ149" s="201"/>
      <c r="UK149" s="201"/>
      <c r="UL149" s="201"/>
      <c r="UM149" s="201"/>
      <c r="UN149" s="201"/>
      <c r="UO149" s="201"/>
      <c r="UP149" s="201"/>
      <c r="UQ149" s="201"/>
      <c r="UR149" s="201"/>
      <c r="US149" s="201"/>
      <c r="UT149" s="201"/>
      <c r="UU149" s="201"/>
    </row>
    <row r="150" spans="2:567" x14ac:dyDescent="0.25">
      <c r="B150" s="31" t="s">
        <v>157</v>
      </c>
      <c r="C150" s="26"/>
      <c r="D150" s="26"/>
      <c r="E150" s="143"/>
      <c r="F150" s="131" t="str">
        <f>Unit_Type_Plural&amp;"/Year"</f>
        <v>Units/Year</v>
      </c>
      <c r="G150" s="584">
        <v>200</v>
      </c>
      <c r="H150" s="131" t="str">
        <f>Unit_Type_Plural&amp;"/Year"</f>
        <v>Units/Year</v>
      </c>
      <c r="I150" s="584">
        <v>200</v>
      </c>
      <c r="J150" s="149">
        <f t="shared" ref="J150" si="3021">((1-$E$120)*G150+$E$120*I150)*$C$120</f>
        <v>60000</v>
      </c>
      <c r="K150" s="149">
        <f t="shared" ref="K150" si="3022">+I150*$C$120</f>
        <v>60000</v>
      </c>
      <c r="M150" s="3" t="s">
        <v>850</v>
      </c>
      <c r="T150" s="92">
        <f t="shared" ref="T150:AY150" si="3023">$C$120*((1-T$109)*FD150+T$109*KN150)/12</f>
        <v>5000.0000000000009</v>
      </c>
      <c r="U150" s="92">
        <f t="shared" si="3023"/>
        <v>4999.9999999999991</v>
      </c>
      <c r="V150" s="92">
        <f t="shared" si="3023"/>
        <v>5000</v>
      </c>
      <c r="W150" s="92">
        <f t="shared" si="3023"/>
        <v>5000</v>
      </c>
      <c r="X150" s="92">
        <f t="shared" si="3023"/>
        <v>5000</v>
      </c>
      <c r="Y150" s="92">
        <f t="shared" si="3023"/>
        <v>5000</v>
      </c>
      <c r="Z150" s="92">
        <f t="shared" si="3023"/>
        <v>5000</v>
      </c>
      <c r="AA150" s="92">
        <f t="shared" si="3023"/>
        <v>5000</v>
      </c>
      <c r="AB150" s="92">
        <f t="shared" si="3023"/>
        <v>5000</v>
      </c>
      <c r="AC150" s="92">
        <f t="shared" si="3023"/>
        <v>5000</v>
      </c>
      <c r="AD150" s="92">
        <f t="shared" si="3023"/>
        <v>5000</v>
      </c>
      <c r="AE150" s="92">
        <f t="shared" si="3023"/>
        <v>5000</v>
      </c>
      <c r="AF150" s="92">
        <f t="shared" si="3023"/>
        <v>5010.2991813492145</v>
      </c>
      <c r="AG150" s="92">
        <f t="shared" si="3023"/>
        <v>5020.6195773257205</v>
      </c>
      <c r="AH150" s="92">
        <f t="shared" si="3023"/>
        <v>5030.9612316281791</v>
      </c>
      <c r="AI150" s="92">
        <f t="shared" si="3023"/>
        <v>5041.3241880452588</v>
      </c>
      <c r="AJ150" s="92">
        <f t="shared" si="3023"/>
        <v>5051.7084904558305</v>
      </c>
      <c r="AK150" s="92">
        <f t="shared" si="3023"/>
        <v>5062.1141828291429</v>
      </c>
      <c r="AL150" s="92">
        <f t="shared" si="3023"/>
        <v>5072.5413092250201</v>
      </c>
      <c r="AM150" s="92">
        <f t="shared" si="3023"/>
        <v>5082.9899137940374</v>
      </c>
      <c r="AN150" s="92">
        <f t="shared" si="3023"/>
        <v>5093.4600407777152</v>
      </c>
      <c r="AO150" s="92">
        <f t="shared" si="3023"/>
        <v>5103.9517345087042</v>
      </c>
      <c r="AP150" s="92">
        <f t="shared" si="3023"/>
        <v>5114.4650394109713</v>
      </c>
      <c r="AQ150" s="92">
        <f t="shared" si="3023"/>
        <v>5124.9999999999927</v>
      </c>
      <c r="AR150" s="92">
        <f t="shared" si="3023"/>
        <v>5135.5566608829367</v>
      </c>
      <c r="AS150" s="92">
        <f t="shared" si="3023"/>
        <v>5146.1350667588567</v>
      </c>
      <c r="AT150" s="92">
        <f t="shared" si="3023"/>
        <v>5156.7352624188761</v>
      </c>
      <c r="AU150" s="92">
        <f t="shared" si="3023"/>
        <v>5167.3572927463829</v>
      </c>
      <c r="AV150" s="92">
        <f t="shared" si="3023"/>
        <v>5178.0012027172188</v>
      </c>
      <c r="AW150" s="92">
        <f t="shared" si="3023"/>
        <v>5188.667037399865</v>
      </c>
      <c r="AX150" s="92">
        <f t="shared" si="3023"/>
        <v>5199.3548419556382</v>
      </c>
      <c r="AY150" s="92">
        <f t="shared" si="3023"/>
        <v>5210.0646616388813</v>
      </c>
      <c r="AZ150" s="92">
        <f t="shared" ref="AZ150:CE150" si="3024">$C$120*((1-AZ$109)*GJ150+AZ$109*LT150)/12</f>
        <v>5220.7965417971509</v>
      </c>
      <c r="BA150" s="92">
        <f t="shared" si="3024"/>
        <v>5231.5505278714145</v>
      </c>
      <c r="BB150" s="92">
        <f t="shared" si="3024"/>
        <v>5242.3266653962392</v>
      </c>
      <c r="BC150" s="92">
        <f t="shared" si="3024"/>
        <v>5253.1249999999864</v>
      </c>
      <c r="BD150" s="92">
        <f t="shared" si="3024"/>
        <v>5263.945577405003</v>
      </c>
      <c r="BE150" s="92">
        <f t="shared" si="3024"/>
        <v>5274.7884434278203</v>
      </c>
      <c r="BF150" s="92">
        <f t="shared" si="3024"/>
        <v>5285.6536439793399</v>
      </c>
      <c r="BG150" s="92">
        <f t="shared" si="3024"/>
        <v>5296.5412250650352</v>
      </c>
      <c r="BH150" s="92">
        <f t="shared" si="3024"/>
        <v>5307.4512327851417</v>
      </c>
      <c r="BI150" s="92">
        <f t="shared" si="3024"/>
        <v>5318.3837133348543</v>
      </c>
      <c r="BJ150" s="92">
        <f t="shared" si="3024"/>
        <v>5329.3387130045221</v>
      </c>
      <c r="BK150" s="92">
        <f t="shared" si="3024"/>
        <v>5340.3162781798455</v>
      </c>
      <c r="BL150" s="92">
        <f t="shared" si="3024"/>
        <v>5351.316455342072</v>
      </c>
      <c r="BM150" s="92">
        <f t="shared" si="3024"/>
        <v>5362.3392910681923</v>
      </c>
      <c r="BN150" s="92">
        <f t="shared" si="3024"/>
        <v>5373.3848320311372</v>
      </c>
      <c r="BO150" s="92">
        <f t="shared" si="3024"/>
        <v>5384.4531249999782</v>
      </c>
      <c r="BP150" s="92">
        <f t="shared" si="3024"/>
        <v>5395.5442168401214</v>
      </c>
      <c r="BQ150" s="92">
        <f t="shared" si="3024"/>
        <v>5406.6581545135086</v>
      </c>
      <c r="BR150" s="92">
        <f t="shared" si="3024"/>
        <v>5417.7949850788164</v>
      </c>
      <c r="BS150" s="92">
        <f t="shared" si="3024"/>
        <v>5428.9547556916541</v>
      </c>
      <c r="BT150" s="92">
        <f t="shared" si="3024"/>
        <v>5440.1375136047627</v>
      </c>
      <c r="BU150" s="92">
        <f t="shared" si="3024"/>
        <v>5451.3433061682181</v>
      </c>
      <c r="BV150" s="92">
        <f t="shared" si="3024"/>
        <v>5462.5721808296285</v>
      </c>
      <c r="BW150" s="92">
        <f t="shared" si="3024"/>
        <v>5473.8241851343346</v>
      </c>
      <c r="BX150" s="92">
        <f t="shared" si="3024"/>
        <v>5485.0993667256162</v>
      </c>
      <c r="BY150" s="92">
        <f t="shared" si="3024"/>
        <v>5496.3977733448892</v>
      </c>
      <c r="BZ150" s="92">
        <f t="shared" si="3024"/>
        <v>5507.7194528319087</v>
      </c>
      <c r="CA150" s="92">
        <f t="shared" si="3024"/>
        <v>5519.06445312497</v>
      </c>
      <c r="CB150" s="92">
        <f t="shared" si="3024"/>
        <v>5530.4328222611157</v>
      </c>
      <c r="CC150" s="92">
        <f t="shared" si="3024"/>
        <v>5541.8246083763379</v>
      </c>
      <c r="CD150" s="92">
        <f t="shared" si="3024"/>
        <v>5553.2398597057791</v>
      </c>
      <c r="CE150" s="92">
        <f t="shared" si="3024"/>
        <v>5564.6786245839367</v>
      </c>
      <c r="CF150" s="92">
        <f t="shared" ref="CF150:DK150" si="3025">$C$120*((1-CF$109)*HP150+CF$109*MZ150)/12</f>
        <v>5576.1409514448742</v>
      </c>
      <c r="CG150" s="92">
        <f t="shared" si="3025"/>
        <v>5587.6268888224149</v>
      </c>
      <c r="CH150" s="92">
        <f t="shared" si="3025"/>
        <v>5599.136485350361</v>
      </c>
      <c r="CI150" s="92">
        <f t="shared" si="3025"/>
        <v>5610.6697897626846</v>
      </c>
      <c r="CJ150" s="92">
        <f t="shared" si="3025"/>
        <v>5622.2268508937495</v>
      </c>
      <c r="CK150" s="92">
        <f t="shared" si="3025"/>
        <v>5633.8077176785046</v>
      </c>
      <c r="CL150" s="92">
        <f t="shared" si="3025"/>
        <v>5645.4124391526975</v>
      </c>
      <c r="CM150" s="92">
        <f t="shared" si="3025"/>
        <v>5657.0410644530857</v>
      </c>
      <c r="CN150" s="92">
        <f t="shared" si="3025"/>
        <v>5668.6936428176368</v>
      </c>
      <c r="CO150" s="92">
        <f t="shared" si="3025"/>
        <v>5680.3702235857381</v>
      </c>
      <c r="CP150" s="92">
        <f t="shared" si="3025"/>
        <v>5692.0708561984147</v>
      </c>
      <c r="CQ150" s="92">
        <f t="shared" si="3025"/>
        <v>5703.795590198527</v>
      </c>
      <c r="CR150" s="92">
        <f t="shared" si="3025"/>
        <v>5715.5444752309877</v>
      </c>
      <c r="CS150" s="92">
        <f t="shared" si="3025"/>
        <v>5727.3175610429671</v>
      </c>
      <c r="CT150" s="92">
        <f t="shared" si="3025"/>
        <v>5739.1148974841099</v>
      </c>
      <c r="CU150" s="92">
        <f t="shared" si="3025"/>
        <v>5750.9365345067426</v>
      </c>
      <c r="CV150" s="92">
        <f t="shared" si="3025"/>
        <v>5762.7825221660833</v>
      </c>
      <c r="CW150" s="92">
        <f t="shared" si="3025"/>
        <v>5774.6529106204571</v>
      </c>
      <c r="CX150" s="92">
        <f t="shared" si="3025"/>
        <v>5786.5477501315063</v>
      </c>
      <c r="CY150" s="92">
        <f t="shared" si="3025"/>
        <v>5798.4670910644027</v>
      </c>
      <c r="CZ150" s="92">
        <f t="shared" si="3025"/>
        <v>5810.4109838880677</v>
      </c>
      <c r="DA150" s="92">
        <f t="shared" si="3025"/>
        <v>5822.3794791753726</v>
      </c>
      <c r="DB150" s="92">
        <f t="shared" si="3025"/>
        <v>5834.3726276033667</v>
      </c>
      <c r="DC150" s="92">
        <f t="shared" si="3025"/>
        <v>5846.3904799534821</v>
      </c>
      <c r="DD150" s="92">
        <f t="shared" si="3025"/>
        <v>5858.4330871117527</v>
      </c>
      <c r="DE150" s="92">
        <f t="shared" si="3025"/>
        <v>5870.5005000690326</v>
      </c>
      <c r="DF150" s="92">
        <f t="shared" si="3025"/>
        <v>5882.5927699212052</v>
      </c>
      <c r="DG150" s="92">
        <f t="shared" si="3025"/>
        <v>5894.7099478694035</v>
      </c>
      <c r="DH150" s="92">
        <f t="shared" si="3025"/>
        <v>5906.8520852202273</v>
      </c>
      <c r="DI150" s="92">
        <f t="shared" si="3025"/>
        <v>5919.0192333859604</v>
      </c>
      <c r="DJ150" s="92">
        <f t="shared" si="3025"/>
        <v>5931.2114438847857</v>
      </c>
      <c r="DK150" s="92">
        <f t="shared" si="3025"/>
        <v>5943.4287683410066</v>
      </c>
      <c r="DL150" s="92">
        <f t="shared" ref="DL150:EQ150" si="3026">$C$120*((1-DL$109)*IV150+DL$109*OF150)/12</f>
        <v>5955.6712584852621</v>
      </c>
      <c r="DM150" s="92">
        <f t="shared" si="3026"/>
        <v>5967.9389661547502</v>
      </c>
      <c r="DN150" s="92">
        <f t="shared" si="3026"/>
        <v>5980.2319432934428</v>
      </c>
      <c r="DO150" s="92">
        <f t="shared" si="3026"/>
        <v>5992.5502419523109</v>
      </c>
      <c r="DP150" s="92">
        <f t="shared" si="3026"/>
        <v>6004.8939142895397</v>
      </c>
      <c r="DQ150" s="92">
        <f t="shared" si="3026"/>
        <v>6017.263012570751</v>
      </c>
      <c r="DR150" s="92">
        <f t="shared" si="3026"/>
        <v>6029.6575891692273</v>
      </c>
      <c r="DS150" s="92">
        <f t="shared" si="3026"/>
        <v>6042.0776965661307</v>
      </c>
      <c r="DT150" s="92">
        <f t="shared" si="3026"/>
        <v>6054.523387350725</v>
      </c>
      <c r="DU150" s="92">
        <f t="shared" si="3026"/>
        <v>6066.9947142206011</v>
      </c>
      <c r="DV150" s="92">
        <f t="shared" si="3026"/>
        <v>6079.4917299818962</v>
      </c>
      <c r="DW150" s="92">
        <f t="shared" si="3026"/>
        <v>6092.0144875495216</v>
      </c>
      <c r="DX150" s="92">
        <f t="shared" si="3026"/>
        <v>6104.5630399473848</v>
      </c>
      <c r="DY150" s="92">
        <f t="shared" si="3026"/>
        <v>6117.1374403086093</v>
      </c>
      <c r="DZ150" s="92">
        <f t="shared" si="3026"/>
        <v>6129.7377418757706</v>
      </c>
      <c r="EA150" s="92">
        <f t="shared" si="3026"/>
        <v>6142.3639980011094</v>
      </c>
      <c r="EB150" s="92">
        <f t="shared" si="3026"/>
        <v>6155.016262146768</v>
      </c>
      <c r="EC150" s="92">
        <f t="shared" si="3026"/>
        <v>6167.6945878850102</v>
      </c>
      <c r="ED150" s="92">
        <f t="shared" si="3026"/>
        <v>6180.3990288984487</v>
      </c>
      <c r="EE150" s="92">
        <f t="shared" si="3026"/>
        <v>6193.1296389802746</v>
      </c>
      <c r="EF150" s="92">
        <f t="shared" si="3026"/>
        <v>6205.8864720344836</v>
      </c>
      <c r="EG150" s="92">
        <f t="shared" si="3026"/>
        <v>6218.6695820761079</v>
      </c>
      <c r="EH150" s="92">
        <f t="shared" si="3026"/>
        <v>6231.4790232314363</v>
      </c>
      <c r="EI150" s="92">
        <f t="shared" si="3026"/>
        <v>6244.3148497382526</v>
      </c>
      <c r="EJ150" s="92">
        <f t="shared" si="3026"/>
        <v>6257.1771159460613</v>
      </c>
      <c r="EK150" s="92">
        <f t="shared" si="3026"/>
        <v>6270.0658763163165</v>
      </c>
      <c r="EL150" s="92">
        <f t="shared" si="3026"/>
        <v>6282.9811854226564</v>
      </c>
      <c r="EM150" s="92">
        <f t="shared" si="3026"/>
        <v>6295.9230979511294</v>
      </c>
      <c r="EN150" s="92">
        <f t="shared" si="3026"/>
        <v>6308.8916687004303</v>
      </c>
      <c r="EO150" s="92">
        <f t="shared" si="3026"/>
        <v>6321.8869525821274</v>
      </c>
      <c r="EP150" s="92">
        <f t="shared" si="3026"/>
        <v>6334.9090046209021</v>
      </c>
      <c r="EQ150" s="92">
        <f t="shared" si="3026"/>
        <v>6347.9578799547744</v>
      </c>
      <c r="ER150" s="92">
        <f t="shared" ref="ER150:EU150" si="3027">$C$120*((1-ER$109)*KB150+ER$109*PL150)/12</f>
        <v>6361.0336338353382</v>
      </c>
      <c r="ES150" s="92">
        <f t="shared" si="3027"/>
        <v>6374.1363216280015</v>
      </c>
      <c r="ET150" s="92">
        <f t="shared" si="3027"/>
        <v>6387.2659988122141</v>
      </c>
      <c r="EU150" s="92">
        <f t="shared" si="3027"/>
        <v>6400.4227209817</v>
      </c>
      <c r="EW150" s="199" t="str">
        <f t="shared" ref="EW150" si="3028">+B150</f>
        <v>Capital Reserves</v>
      </c>
      <c r="EX150" s="201"/>
      <c r="EY150" s="221"/>
      <c r="EZ150" s="221"/>
      <c r="FA150" s="221"/>
      <c r="FB150" s="221"/>
      <c r="FC150" s="207">
        <f t="shared" ref="FC150" si="3029">+G150</f>
        <v>200</v>
      </c>
      <c r="FD150" s="207">
        <f>FC150+IF(FD$124&gt;0,FC150*((1+INDEX($C$109:$H$109,1,MIN(FD$124,6)))^(1/12)-1))</f>
        <v>200</v>
      </c>
      <c r="FE150" s="207">
        <f t="shared" ref="FE150:HP150" si="3030">FD150+IF(FE$124&gt;0,FD150*((1+INDEX($C$109:$H$109,1,MIN(FE$124,6)))^(1/12)-1))</f>
        <v>200</v>
      </c>
      <c r="FF150" s="207">
        <f t="shared" si="3030"/>
        <v>200</v>
      </c>
      <c r="FG150" s="207">
        <f t="shared" si="3030"/>
        <v>200</v>
      </c>
      <c r="FH150" s="207">
        <f t="shared" si="3030"/>
        <v>200</v>
      </c>
      <c r="FI150" s="207">
        <f t="shared" si="3030"/>
        <v>200</v>
      </c>
      <c r="FJ150" s="207">
        <f t="shared" si="3030"/>
        <v>200</v>
      </c>
      <c r="FK150" s="207">
        <f t="shared" si="3030"/>
        <v>200</v>
      </c>
      <c r="FL150" s="207">
        <f t="shared" si="3030"/>
        <v>200</v>
      </c>
      <c r="FM150" s="207">
        <f t="shared" si="3030"/>
        <v>200</v>
      </c>
      <c r="FN150" s="207">
        <f t="shared" si="3030"/>
        <v>200</v>
      </c>
      <c r="FO150" s="207">
        <f t="shared" si="3030"/>
        <v>200</v>
      </c>
      <c r="FP150" s="207">
        <f t="shared" si="3030"/>
        <v>200.41196725396856</v>
      </c>
      <c r="FQ150" s="207">
        <f t="shared" si="3030"/>
        <v>200.82478309302883</v>
      </c>
      <c r="FR150" s="207">
        <f t="shared" si="3030"/>
        <v>201.23844926512714</v>
      </c>
      <c r="FS150" s="207">
        <f t="shared" si="3030"/>
        <v>201.65296752181035</v>
      </c>
      <c r="FT150" s="207">
        <f t="shared" si="3030"/>
        <v>202.06833961823321</v>
      </c>
      <c r="FU150" s="207">
        <f t="shared" si="3030"/>
        <v>202.48456731316574</v>
      </c>
      <c r="FV150" s="207">
        <f t="shared" si="3030"/>
        <v>202.9016523690008</v>
      </c>
      <c r="FW150" s="207">
        <f t="shared" si="3030"/>
        <v>203.31959655176149</v>
      </c>
      <c r="FX150" s="207">
        <f t="shared" si="3030"/>
        <v>203.73840163110862</v>
      </c>
      <c r="FY150" s="207">
        <f t="shared" si="3030"/>
        <v>204.15806938034817</v>
      </c>
      <c r="FZ150" s="207">
        <f t="shared" si="3030"/>
        <v>204.57860157643887</v>
      </c>
      <c r="GA150" s="207">
        <f t="shared" si="3030"/>
        <v>204.99999999999972</v>
      </c>
      <c r="GB150" s="207">
        <f t="shared" si="3030"/>
        <v>205.42226643531748</v>
      </c>
      <c r="GC150" s="207">
        <f t="shared" si="3030"/>
        <v>205.84540267035425</v>
      </c>
      <c r="GD150" s="207">
        <f t="shared" si="3030"/>
        <v>206.26941049675503</v>
      </c>
      <c r="GE150" s="207">
        <f t="shared" si="3030"/>
        <v>206.69429170985532</v>
      </c>
      <c r="GF150" s="207">
        <f t="shared" si="3030"/>
        <v>207.12004810868874</v>
      </c>
      <c r="GG150" s="207">
        <f t="shared" si="3030"/>
        <v>207.54668149599459</v>
      </c>
      <c r="GH150" s="207">
        <f t="shared" si="3030"/>
        <v>207.97419367822553</v>
      </c>
      <c r="GI150" s="207">
        <f t="shared" si="3030"/>
        <v>208.40258646555523</v>
      </c>
      <c r="GJ150" s="207">
        <f t="shared" si="3030"/>
        <v>208.83186167188603</v>
      </c>
      <c r="GK150" s="207">
        <f t="shared" si="3030"/>
        <v>209.26202111485657</v>
      </c>
      <c r="GL150" s="207">
        <f t="shared" si="3030"/>
        <v>209.69306661584955</v>
      </c>
      <c r="GM150" s="207">
        <f t="shared" si="3030"/>
        <v>210.12499999999943</v>
      </c>
      <c r="GN150" s="207">
        <f t="shared" si="3030"/>
        <v>210.55782309620014</v>
      </c>
      <c r="GO150" s="207">
        <f t="shared" si="3030"/>
        <v>210.99153773711282</v>
      </c>
      <c r="GP150" s="207">
        <f t="shared" si="3030"/>
        <v>211.42614575917361</v>
      </c>
      <c r="GQ150" s="207">
        <f t="shared" si="3030"/>
        <v>211.86164900260141</v>
      </c>
      <c r="GR150" s="207">
        <f t="shared" si="3030"/>
        <v>212.29804931140566</v>
      </c>
      <c r="GS150" s="207">
        <f t="shared" si="3030"/>
        <v>212.73534853339416</v>
      </c>
      <c r="GT150" s="207">
        <f t="shared" si="3030"/>
        <v>213.17354852018087</v>
      </c>
      <c r="GU150" s="207">
        <f t="shared" si="3030"/>
        <v>213.61265112719383</v>
      </c>
      <c r="GV150" s="207">
        <f t="shared" si="3030"/>
        <v>214.05265821368289</v>
      </c>
      <c r="GW150" s="207">
        <f t="shared" si="3030"/>
        <v>214.49357164272769</v>
      </c>
      <c r="GX150" s="207">
        <f t="shared" si="3030"/>
        <v>214.9353932812455</v>
      </c>
      <c r="GY150" s="207">
        <f t="shared" si="3030"/>
        <v>215.37812499999913</v>
      </c>
      <c r="GZ150" s="207">
        <f t="shared" si="3030"/>
        <v>215.82176867360485</v>
      </c>
      <c r="HA150" s="207">
        <f t="shared" si="3030"/>
        <v>216.26632618054035</v>
      </c>
      <c r="HB150" s="207">
        <f t="shared" si="3030"/>
        <v>216.71179940315267</v>
      </c>
      <c r="HC150" s="207">
        <f t="shared" si="3030"/>
        <v>217.15819022766615</v>
      </c>
      <c r="HD150" s="207">
        <f t="shared" si="3030"/>
        <v>217.60550054419051</v>
      </c>
      <c r="HE150" s="207">
        <f t="shared" si="3030"/>
        <v>218.05373224672871</v>
      </c>
      <c r="HF150" s="207">
        <f t="shared" si="3030"/>
        <v>218.50288723318511</v>
      </c>
      <c r="HG150" s="207">
        <f t="shared" si="3030"/>
        <v>218.95296740537339</v>
      </c>
      <c r="HH150" s="207">
        <f t="shared" si="3030"/>
        <v>219.40397466902468</v>
      </c>
      <c r="HI150" s="207">
        <f t="shared" si="3030"/>
        <v>219.8559109337956</v>
      </c>
      <c r="HJ150" s="207">
        <f t="shared" si="3030"/>
        <v>220.30877811327633</v>
      </c>
      <c r="HK150" s="207">
        <f t="shared" si="3030"/>
        <v>220.76257812499878</v>
      </c>
      <c r="HL150" s="207">
        <f t="shared" si="3030"/>
        <v>221.21731289044465</v>
      </c>
      <c r="HM150" s="207">
        <f t="shared" si="3030"/>
        <v>221.67298433505354</v>
      </c>
      <c r="HN150" s="207">
        <f t="shared" si="3030"/>
        <v>222.12959438823117</v>
      </c>
      <c r="HO150" s="207">
        <f t="shared" si="3030"/>
        <v>222.58714498335749</v>
      </c>
      <c r="HP150" s="207">
        <f t="shared" si="3030"/>
        <v>223.04563805779495</v>
      </c>
      <c r="HQ150" s="207">
        <f t="shared" ref="HQ150:KB150" si="3031">HP150+IF(HQ$124&gt;0,HP150*((1+INDEX($C$109:$H$109,1,MIN(HQ$124,6)))^(1/12)-1))</f>
        <v>223.50507555289661</v>
      </c>
      <c r="HR150" s="207">
        <f t="shared" si="3031"/>
        <v>223.96545941401442</v>
      </c>
      <c r="HS150" s="207">
        <f t="shared" si="3031"/>
        <v>224.42679159050741</v>
      </c>
      <c r="HT150" s="207">
        <f t="shared" si="3031"/>
        <v>224.88907403574999</v>
      </c>
      <c r="HU150" s="207">
        <f t="shared" si="3031"/>
        <v>225.35230870714017</v>
      </c>
      <c r="HV150" s="207">
        <f t="shared" si="3031"/>
        <v>225.81649756610793</v>
      </c>
      <c r="HW150" s="207">
        <f t="shared" si="3031"/>
        <v>226.28164257812344</v>
      </c>
      <c r="HX150" s="207">
        <f t="shared" si="3031"/>
        <v>226.74774571270544</v>
      </c>
      <c r="HY150" s="207">
        <f t="shared" si="3031"/>
        <v>227.21480894342955</v>
      </c>
      <c r="HZ150" s="207">
        <f t="shared" si="3031"/>
        <v>227.6828342479366</v>
      </c>
      <c r="IA150" s="207">
        <f t="shared" si="3031"/>
        <v>228.15182360794108</v>
      </c>
      <c r="IB150" s="207">
        <f t="shared" si="3031"/>
        <v>228.62177900923948</v>
      </c>
      <c r="IC150" s="207">
        <f t="shared" si="3031"/>
        <v>229.09270244171867</v>
      </c>
      <c r="ID150" s="207">
        <f t="shared" si="3031"/>
        <v>229.56459589936441</v>
      </c>
      <c r="IE150" s="207">
        <f t="shared" si="3031"/>
        <v>230.03746138026972</v>
      </c>
      <c r="IF150" s="207">
        <f t="shared" si="3031"/>
        <v>230.51130088664334</v>
      </c>
      <c r="IG150" s="207">
        <f t="shared" si="3031"/>
        <v>230.98611642481828</v>
      </c>
      <c r="IH150" s="207">
        <f t="shared" si="3031"/>
        <v>231.46191000526022</v>
      </c>
      <c r="II150" s="207">
        <f t="shared" si="3031"/>
        <v>231.93868364257614</v>
      </c>
      <c r="IJ150" s="207">
        <f t="shared" si="3031"/>
        <v>232.4164393555227</v>
      </c>
      <c r="IK150" s="207">
        <f t="shared" si="3031"/>
        <v>232.8951791670149</v>
      </c>
      <c r="IL150" s="207">
        <f t="shared" si="3031"/>
        <v>233.37490510413465</v>
      </c>
      <c r="IM150" s="207">
        <f t="shared" si="3031"/>
        <v>233.85561919813927</v>
      </c>
      <c r="IN150" s="207">
        <f t="shared" si="3031"/>
        <v>234.33732348447012</v>
      </c>
      <c r="IO150" s="207">
        <f t="shared" si="3031"/>
        <v>234.82002000276131</v>
      </c>
      <c r="IP150" s="207">
        <f t="shared" si="3031"/>
        <v>235.30371079684821</v>
      </c>
      <c r="IQ150" s="207">
        <f t="shared" si="3031"/>
        <v>235.78839791477614</v>
      </c>
      <c r="IR150" s="207">
        <f t="shared" si="3031"/>
        <v>236.2740834088091</v>
      </c>
      <c r="IS150" s="207">
        <f t="shared" si="3031"/>
        <v>236.76076933543843</v>
      </c>
      <c r="IT150" s="207">
        <f t="shared" si="3031"/>
        <v>237.24845775539143</v>
      </c>
      <c r="IU150" s="207">
        <f t="shared" si="3031"/>
        <v>237.73715073364025</v>
      </c>
      <c r="IV150" s="207">
        <f t="shared" si="3031"/>
        <v>238.22685033941048</v>
      </c>
      <c r="IW150" s="207">
        <f t="shared" si="3031"/>
        <v>238.71755864618999</v>
      </c>
      <c r="IX150" s="207">
        <f t="shared" si="3031"/>
        <v>239.20927773173773</v>
      </c>
      <c r="IY150" s="207">
        <f t="shared" si="3031"/>
        <v>239.70200967809245</v>
      </c>
      <c r="IZ150" s="207">
        <f t="shared" si="3031"/>
        <v>240.19575657158157</v>
      </c>
      <c r="JA150" s="207">
        <f t="shared" si="3031"/>
        <v>240.69052050283003</v>
      </c>
      <c r="JB150" s="207">
        <f t="shared" si="3031"/>
        <v>241.18630356676908</v>
      </c>
      <c r="JC150" s="207">
        <f t="shared" si="3031"/>
        <v>241.68310786264522</v>
      </c>
      <c r="JD150" s="207">
        <f t="shared" si="3031"/>
        <v>242.180935494029</v>
      </c>
      <c r="JE150" s="207">
        <f t="shared" si="3031"/>
        <v>242.67978856882405</v>
      </c>
      <c r="JF150" s="207">
        <f t="shared" si="3031"/>
        <v>243.17966919927588</v>
      </c>
      <c r="JG150" s="207">
        <f t="shared" si="3031"/>
        <v>243.6805795019809</v>
      </c>
      <c r="JH150" s="207">
        <f t="shared" si="3031"/>
        <v>244.18252159789537</v>
      </c>
      <c r="JI150" s="207">
        <f t="shared" si="3031"/>
        <v>244.68549761234436</v>
      </c>
      <c r="JJ150" s="207">
        <f t="shared" si="3031"/>
        <v>245.18950967503079</v>
      </c>
      <c r="JK150" s="207">
        <f t="shared" si="3031"/>
        <v>245.69455992004438</v>
      </c>
      <c r="JL150" s="207">
        <f t="shared" si="3031"/>
        <v>246.20065048587074</v>
      </c>
      <c r="JM150" s="207">
        <f t="shared" si="3031"/>
        <v>246.70778351540042</v>
      </c>
      <c r="JN150" s="207">
        <f t="shared" si="3031"/>
        <v>247.21596115593795</v>
      </c>
      <c r="JO150" s="207">
        <f t="shared" si="3031"/>
        <v>247.72518555921098</v>
      </c>
      <c r="JP150" s="207">
        <f t="shared" si="3031"/>
        <v>248.23545888137937</v>
      </c>
      <c r="JQ150" s="207">
        <f t="shared" si="3031"/>
        <v>248.74678328304429</v>
      </c>
      <c r="JR150" s="207">
        <f t="shared" si="3031"/>
        <v>249.25916092925743</v>
      </c>
      <c r="JS150" s="207">
        <f t="shared" si="3031"/>
        <v>249.77259398953009</v>
      </c>
      <c r="JT150" s="207">
        <f t="shared" si="3031"/>
        <v>250.28708463784244</v>
      </c>
      <c r="JU150" s="207">
        <f t="shared" si="3031"/>
        <v>250.80263505265268</v>
      </c>
      <c r="JV150" s="207">
        <f t="shared" si="3031"/>
        <v>251.31924741690625</v>
      </c>
      <c r="JW150" s="207">
        <f t="shared" si="3031"/>
        <v>251.83692391804519</v>
      </c>
      <c r="JX150" s="207">
        <f t="shared" si="3031"/>
        <v>252.3556667480172</v>
      </c>
      <c r="JY150" s="207">
        <f t="shared" si="3031"/>
        <v>252.8754781032851</v>
      </c>
      <c r="JZ150" s="207">
        <f t="shared" si="3031"/>
        <v>253.39636018483608</v>
      </c>
      <c r="KA150" s="207">
        <f t="shared" si="3031"/>
        <v>253.91831519819095</v>
      </c>
      <c r="KB150" s="207">
        <f t="shared" si="3031"/>
        <v>254.44134535341354</v>
      </c>
      <c r="KC150" s="207">
        <f t="shared" ref="KC150:KE150" si="3032">KB150+IF(KC$124&gt;0,KB150*((1+INDEX($C$109:$H$109,1,MIN(KC$124,6)))^(1/12)-1))</f>
        <v>254.96545286512008</v>
      </c>
      <c r="KD150" s="207">
        <f t="shared" si="3032"/>
        <v>255.49063995248855</v>
      </c>
      <c r="KE150" s="207">
        <f t="shared" si="3032"/>
        <v>256.01690883926801</v>
      </c>
      <c r="KG150" s="199" t="str">
        <f t="shared" ref="KG150" si="3033">B150</f>
        <v>Capital Reserves</v>
      </c>
      <c r="KH150" s="201"/>
      <c r="KI150" s="221"/>
      <c r="KJ150" s="221"/>
      <c r="KK150" s="221"/>
      <c r="KL150" s="221"/>
      <c r="KM150" s="207">
        <f t="shared" ref="KM150" si="3034">I150</f>
        <v>200</v>
      </c>
      <c r="KN150" s="207">
        <f t="shared" ref="KN150:LS150" si="3035">KM150+IF(KN$124&gt;0,KM150*((1+INDEX($C$109:$H$109,1,MIN(KN$124,5)))^(1/12)-1))</f>
        <v>200</v>
      </c>
      <c r="KO150" s="207">
        <f t="shared" si="3035"/>
        <v>200</v>
      </c>
      <c r="KP150" s="207">
        <f t="shared" si="3035"/>
        <v>200</v>
      </c>
      <c r="KQ150" s="207">
        <f t="shared" si="3035"/>
        <v>200</v>
      </c>
      <c r="KR150" s="207">
        <f t="shared" si="3035"/>
        <v>200</v>
      </c>
      <c r="KS150" s="207">
        <f t="shared" si="3035"/>
        <v>200</v>
      </c>
      <c r="KT150" s="207">
        <f t="shared" si="3035"/>
        <v>200</v>
      </c>
      <c r="KU150" s="207">
        <f t="shared" si="3035"/>
        <v>200</v>
      </c>
      <c r="KV150" s="207">
        <f t="shared" si="3035"/>
        <v>200</v>
      </c>
      <c r="KW150" s="207">
        <f t="shared" si="3035"/>
        <v>200</v>
      </c>
      <c r="KX150" s="207">
        <f t="shared" si="3035"/>
        <v>200</v>
      </c>
      <c r="KY150" s="207">
        <f t="shared" si="3035"/>
        <v>200</v>
      </c>
      <c r="KZ150" s="207">
        <f t="shared" si="3035"/>
        <v>200.41196725396856</v>
      </c>
      <c r="LA150" s="207">
        <f t="shared" si="3035"/>
        <v>200.82478309302883</v>
      </c>
      <c r="LB150" s="207">
        <f t="shared" si="3035"/>
        <v>201.23844926512714</v>
      </c>
      <c r="LC150" s="207">
        <f t="shared" si="3035"/>
        <v>201.65296752181035</v>
      </c>
      <c r="LD150" s="207">
        <f t="shared" si="3035"/>
        <v>202.06833961823321</v>
      </c>
      <c r="LE150" s="207">
        <f t="shared" si="3035"/>
        <v>202.48456731316574</v>
      </c>
      <c r="LF150" s="207">
        <f t="shared" si="3035"/>
        <v>202.9016523690008</v>
      </c>
      <c r="LG150" s="207">
        <f t="shared" si="3035"/>
        <v>203.31959655176149</v>
      </c>
      <c r="LH150" s="207">
        <f t="shared" si="3035"/>
        <v>203.73840163110862</v>
      </c>
      <c r="LI150" s="207">
        <f t="shared" si="3035"/>
        <v>204.15806938034817</v>
      </c>
      <c r="LJ150" s="207">
        <f t="shared" si="3035"/>
        <v>204.57860157643887</v>
      </c>
      <c r="LK150" s="207">
        <f t="shared" si="3035"/>
        <v>204.99999999999972</v>
      </c>
      <c r="LL150" s="207">
        <f t="shared" si="3035"/>
        <v>205.42226643531748</v>
      </c>
      <c r="LM150" s="207">
        <f t="shared" si="3035"/>
        <v>205.84540267035425</v>
      </c>
      <c r="LN150" s="207">
        <f t="shared" si="3035"/>
        <v>206.26941049675503</v>
      </c>
      <c r="LO150" s="207">
        <f t="shared" si="3035"/>
        <v>206.69429170985532</v>
      </c>
      <c r="LP150" s="207">
        <f t="shared" si="3035"/>
        <v>207.12004810868874</v>
      </c>
      <c r="LQ150" s="207">
        <f t="shared" si="3035"/>
        <v>207.54668149599459</v>
      </c>
      <c r="LR150" s="207">
        <f t="shared" si="3035"/>
        <v>207.97419367822553</v>
      </c>
      <c r="LS150" s="207">
        <f t="shared" si="3035"/>
        <v>208.40258646555523</v>
      </c>
      <c r="LT150" s="207">
        <f t="shared" ref="LT150:MY150" si="3036">LS150+IF(LT$124&gt;0,LS150*((1+INDEX($C$109:$H$109,1,MIN(LT$124,5)))^(1/12)-1))</f>
        <v>208.83186167188603</v>
      </c>
      <c r="LU150" s="207">
        <f t="shared" si="3036"/>
        <v>209.26202111485657</v>
      </c>
      <c r="LV150" s="207">
        <f t="shared" si="3036"/>
        <v>209.69306661584955</v>
      </c>
      <c r="LW150" s="207">
        <f t="shared" si="3036"/>
        <v>210.12499999999943</v>
      </c>
      <c r="LX150" s="207">
        <f t="shared" si="3036"/>
        <v>210.55782309620014</v>
      </c>
      <c r="LY150" s="207">
        <f t="shared" si="3036"/>
        <v>210.99153773711282</v>
      </c>
      <c r="LZ150" s="207">
        <f t="shared" si="3036"/>
        <v>211.42614575917361</v>
      </c>
      <c r="MA150" s="207">
        <f t="shared" si="3036"/>
        <v>211.86164900260141</v>
      </c>
      <c r="MB150" s="207">
        <f t="shared" si="3036"/>
        <v>212.29804931140566</v>
      </c>
      <c r="MC150" s="207">
        <f t="shared" si="3036"/>
        <v>212.73534853339416</v>
      </c>
      <c r="MD150" s="207">
        <f t="shared" si="3036"/>
        <v>213.17354852018087</v>
      </c>
      <c r="ME150" s="207">
        <f t="shared" si="3036"/>
        <v>213.61265112719383</v>
      </c>
      <c r="MF150" s="207">
        <f t="shared" si="3036"/>
        <v>214.05265821368289</v>
      </c>
      <c r="MG150" s="207">
        <f t="shared" si="3036"/>
        <v>214.49357164272769</v>
      </c>
      <c r="MH150" s="207">
        <f t="shared" si="3036"/>
        <v>214.9353932812455</v>
      </c>
      <c r="MI150" s="207">
        <f t="shared" si="3036"/>
        <v>215.37812499999913</v>
      </c>
      <c r="MJ150" s="207">
        <f t="shared" si="3036"/>
        <v>215.82176867360485</v>
      </c>
      <c r="MK150" s="207">
        <f t="shared" si="3036"/>
        <v>216.26632618054035</v>
      </c>
      <c r="ML150" s="207">
        <f t="shared" si="3036"/>
        <v>216.71179940315267</v>
      </c>
      <c r="MM150" s="207">
        <f t="shared" si="3036"/>
        <v>217.15819022766615</v>
      </c>
      <c r="MN150" s="207">
        <f t="shared" si="3036"/>
        <v>217.60550054419051</v>
      </c>
      <c r="MO150" s="207">
        <f t="shared" si="3036"/>
        <v>218.05373224672871</v>
      </c>
      <c r="MP150" s="207">
        <f t="shared" si="3036"/>
        <v>218.50288723318511</v>
      </c>
      <c r="MQ150" s="207">
        <f t="shared" si="3036"/>
        <v>218.95296740537339</v>
      </c>
      <c r="MR150" s="207">
        <f t="shared" si="3036"/>
        <v>219.40397466902468</v>
      </c>
      <c r="MS150" s="207">
        <f t="shared" si="3036"/>
        <v>219.8559109337956</v>
      </c>
      <c r="MT150" s="207">
        <f t="shared" si="3036"/>
        <v>220.30877811327633</v>
      </c>
      <c r="MU150" s="207">
        <f t="shared" si="3036"/>
        <v>220.76257812499878</v>
      </c>
      <c r="MV150" s="207">
        <f t="shared" si="3036"/>
        <v>221.21731289044465</v>
      </c>
      <c r="MW150" s="207">
        <f t="shared" si="3036"/>
        <v>221.67298433505354</v>
      </c>
      <c r="MX150" s="207">
        <f t="shared" si="3036"/>
        <v>222.12959438823117</v>
      </c>
      <c r="MY150" s="207">
        <f t="shared" si="3036"/>
        <v>222.58714498335749</v>
      </c>
      <c r="MZ150" s="207">
        <f t="shared" ref="MZ150:OE150" si="3037">MY150+IF(MZ$124&gt;0,MY150*((1+INDEX($C$109:$H$109,1,MIN(MZ$124,5)))^(1/12)-1))</f>
        <v>223.04563805779495</v>
      </c>
      <c r="NA150" s="207">
        <f t="shared" si="3037"/>
        <v>223.50507555289661</v>
      </c>
      <c r="NB150" s="207">
        <f t="shared" si="3037"/>
        <v>223.96545941401442</v>
      </c>
      <c r="NC150" s="207">
        <f t="shared" si="3037"/>
        <v>224.42679159050741</v>
      </c>
      <c r="ND150" s="207">
        <f t="shared" si="3037"/>
        <v>224.88907403574999</v>
      </c>
      <c r="NE150" s="207">
        <f t="shared" si="3037"/>
        <v>225.35230870714017</v>
      </c>
      <c r="NF150" s="207">
        <f t="shared" si="3037"/>
        <v>225.81649756610793</v>
      </c>
      <c r="NG150" s="207">
        <f t="shared" si="3037"/>
        <v>226.28164257812344</v>
      </c>
      <c r="NH150" s="207">
        <f t="shared" si="3037"/>
        <v>226.74774571270544</v>
      </c>
      <c r="NI150" s="207">
        <f t="shared" si="3037"/>
        <v>227.21480894342955</v>
      </c>
      <c r="NJ150" s="207">
        <f t="shared" si="3037"/>
        <v>227.6828342479366</v>
      </c>
      <c r="NK150" s="207">
        <f t="shared" si="3037"/>
        <v>228.15182360794108</v>
      </c>
      <c r="NL150" s="207">
        <f t="shared" si="3037"/>
        <v>228.62177900923948</v>
      </c>
      <c r="NM150" s="207">
        <f t="shared" si="3037"/>
        <v>229.09270244171867</v>
      </c>
      <c r="NN150" s="207">
        <f t="shared" si="3037"/>
        <v>229.56459589936441</v>
      </c>
      <c r="NO150" s="207">
        <f t="shared" si="3037"/>
        <v>230.03746138026972</v>
      </c>
      <c r="NP150" s="207">
        <f t="shared" si="3037"/>
        <v>230.51130088664334</v>
      </c>
      <c r="NQ150" s="207">
        <f t="shared" si="3037"/>
        <v>230.98611642481828</v>
      </c>
      <c r="NR150" s="207">
        <f t="shared" si="3037"/>
        <v>231.46191000526022</v>
      </c>
      <c r="NS150" s="207">
        <f t="shared" si="3037"/>
        <v>231.93868364257614</v>
      </c>
      <c r="NT150" s="207">
        <f t="shared" si="3037"/>
        <v>232.4164393555227</v>
      </c>
      <c r="NU150" s="207">
        <f t="shared" si="3037"/>
        <v>232.8951791670149</v>
      </c>
      <c r="NV150" s="207">
        <f t="shared" si="3037"/>
        <v>233.37490510413465</v>
      </c>
      <c r="NW150" s="207">
        <f t="shared" si="3037"/>
        <v>233.85561919813927</v>
      </c>
      <c r="NX150" s="207">
        <f t="shared" si="3037"/>
        <v>234.33732348447012</v>
      </c>
      <c r="NY150" s="207">
        <f t="shared" si="3037"/>
        <v>234.82002000276131</v>
      </c>
      <c r="NZ150" s="207">
        <f t="shared" si="3037"/>
        <v>235.30371079684821</v>
      </c>
      <c r="OA150" s="207">
        <f t="shared" si="3037"/>
        <v>235.78839791477614</v>
      </c>
      <c r="OB150" s="207">
        <f t="shared" si="3037"/>
        <v>236.2740834088091</v>
      </c>
      <c r="OC150" s="207">
        <f t="shared" si="3037"/>
        <v>236.76076933543843</v>
      </c>
      <c r="OD150" s="207">
        <f t="shared" si="3037"/>
        <v>237.24845775539143</v>
      </c>
      <c r="OE150" s="207">
        <f t="shared" si="3037"/>
        <v>237.73715073364025</v>
      </c>
      <c r="OF150" s="207">
        <f t="shared" ref="OF150:PO150" si="3038">OE150+IF(OF$124&gt;0,OE150*((1+INDEX($C$109:$H$109,1,MIN(OF$124,5)))^(1/12)-1))</f>
        <v>238.22685033941048</v>
      </c>
      <c r="OG150" s="207">
        <f t="shared" si="3038"/>
        <v>238.71755864618999</v>
      </c>
      <c r="OH150" s="207">
        <f t="shared" si="3038"/>
        <v>239.20927773173773</v>
      </c>
      <c r="OI150" s="207">
        <f t="shared" si="3038"/>
        <v>239.70200967809245</v>
      </c>
      <c r="OJ150" s="207">
        <f t="shared" si="3038"/>
        <v>240.19575657158157</v>
      </c>
      <c r="OK150" s="207">
        <f t="shared" si="3038"/>
        <v>240.69052050283003</v>
      </c>
      <c r="OL150" s="207">
        <f t="shared" si="3038"/>
        <v>241.18630356676908</v>
      </c>
      <c r="OM150" s="207">
        <f t="shared" si="3038"/>
        <v>241.68310786264522</v>
      </c>
      <c r="ON150" s="207">
        <f t="shared" si="3038"/>
        <v>242.180935494029</v>
      </c>
      <c r="OO150" s="207">
        <f t="shared" si="3038"/>
        <v>242.67978856882405</v>
      </c>
      <c r="OP150" s="207">
        <f t="shared" si="3038"/>
        <v>243.17966919927588</v>
      </c>
      <c r="OQ150" s="207">
        <f t="shared" si="3038"/>
        <v>243.6805795019809</v>
      </c>
      <c r="OR150" s="207">
        <f t="shared" si="3038"/>
        <v>244.18252159789537</v>
      </c>
      <c r="OS150" s="207">
        <f t="shared" si="3038"/>
        <v>244.68549761234436</v>
      </c>
      <c r="OT150" s="207">
        <f t="shared" si="3038"/>
        <v>245.18950967503079</v>
      </c>
      <c r="OU150" s="207">
        <f t="shared" si="3038"/>
        <v>245.69455992004438</v>
      </c>
      <c r="OV150" s="207">
        <f t="shared" si="3038"/>
        <v>246.20065048587074</v>
      </c>
      <c r="OW150" s="207">
        <f t="shared" si="3038"/>
        <v>246.70778351540042</v>
      </c>
      <c r="OX150" s="207">
        <f t="shared" si="3038"/>
        <v>247.21596115593795</v>
      </c>
      <c r="OY150" s="207">
        <f t="shared" si="3038"/>
        <v>247.72518555921098</v>
      </c>
      <c r="OZ150" s="207">
        <f t="shared" si="3038"/>
        <v>248.23545888137937</v>
      </c>
      <c r="PA150" s="207">
        <f t="shared" si="3038"/>
        <v>248.74678328304429</v>
      </c>
      <c r="PB150" s="207">
        <f t="shared" si="3038"/>
        <v>249.25916092925743</v>
      </c>
      <c r="PC150" s="207">
        <f t="shared" si="3038"/>
        <v>249.77259398953009</v>
      </c>
      <c r="PD150" s="207">
        <f t="shared" si="3038"/>
        <v>250.28708463784244</v>
      </c>
      <c r="PE150" s="207">
        <f t="shared" si="3038"/>
        <v>250.80263505265268</v>
      </c>
      <c r="PF150" s="207">
        <f t="shared" si="3038"/>
        <v>251.31924741690625</v>
      </c>
      <c r="PG150" s="207">
        <f t="shared" si="3038"/>
        <v>251.83692391804519</v>
      </c>
      <c r="PH150" s="207">
        <f t="shared" si="3038"/>
        <v>252.3556667480172</v>
      </c>
      <c r="PI150" s="207">
        <f t="shared" si="3038"/>
        <v>252.8754781032851</v>
      </c>
      <c r="PJ150" s="207">
        <f t="shared" si="3038"/>
        <v>253.39636018483608</v>
      </c>
      <c r="PK150" s="207">
        <f t="shared" si="3038"/>
        <v>253.91831519819095</v>
      </c>
      <c r="PL150" s="207">
        <f t="shared" si="3038"/>
        <v>254.44134535341354</v>
      </c>
      <c r="PM150" s="207">
        <f t="shared" si="3038"/>
        <v>254.96545286512008</v>
      </c>
      <c r="PN150" s="207">
        <f t="shared" si="3038"/>
        <v>255.49063995248855</v>
      </c>
      <c r="PO150" s="207">
        <f t="shared" si="3038"/>
        <v>256.01690883926801</v>
      </c>
      <c r="PQ150" s="201"/>
      <c r="PR150" s="201"/>
      <c r="PS150" s="201"/>
      <c r="PT150" s="201"/>
      <c r="PU150" s="201"/>
      <c r="PV150" s="201"/>
      <c r="PW150" s="201"/>
      <c r="PX150" s="201"/>
      <c r="PY150" s="201"/>
      <c r="PZ150" s="201"/>
      <c r="QA150" s="201"/>
      <c r="QB150" s="201"/>
      <c r="QC150" s="201"/>
      <c r="QD150" s="201"/>
      <c r="QE150" s="201"/>
      <c r="QF150" s="201"/>
      <c r="QG150" s="201"/>
      <c r="QH150" s="201"/>
      <c r="QI150" s="201"/>
      <c r="QJ150" s="201"/>
      <c r="QK150" s="201"/>
      <c r="QL150" s="201"/>
      <c r="QM150" s="201"/>
      <c r="QN150" s="201"/>
      <c r="QO150" s="201"/>
      <c r="QP150" s="201"/>
      <c r="QQ150" s="201"/>
      <c r="QR150" s="201"/>
      <c r="QS150" s="201"/>
      <c r="QT150" s="201"/>
      <c r="QU150" s="201"/>
      <c r="QV150" s="201"/>
      <c r="QW150" s="201"/>
      <c r="QX150" s="201"/>
      <c r="QY150" s="201"/>
      <c r="QZ150" s="201"/>
      <c r="RA150" s="201"/>
      <c r="RB150" s="201"/>
      <c r="RC150" s="201"/>
      <c r="RD150" s="201"/>
      <c r="RE150" s="201"/>
      <c r="RF150" s="201"/>
      <c r="RG150" s="201"/>
      <c r="RH150" s="201"/>
      <c r="RI150" s="201"/>
      <c r="RJ150" s="201"/>
      <c r="RK150" s="201"/>
      <c r="RL150" s="201"/>
      <c r="RM150" s="201"/>
      <c r="RN150" s="201"/>
      <c r="RO150" s="201"/>
      <c r="RP150" s="201"/>
      <c r="RQ150" s="201"/>
      <c r="RR150" s="201"/>
      <c r="RS150" s="201"/>
      <c r="RT150" s="201"/>
      <c r="RU150" s="201"/>
      <c r="RV150" s="201"/>
      <c r="RW150" s="201"/>
      <c r="RX150" s="201"/>
      <c r="RY150" s="201"/>
      <c r="RZ150" s="201"/>
      <c r="SA150" s="201"/>
      <c r="SB150" s="201"/>
      <c r="SC150" s="201"/>
      <c r="SD150" s="201"/>
      <c r="SE150" s="201"/>
      <c r="SF150" s="201"/>
      <c r="SG150" s="201"/>
      <c r="SH150" s="201"/>
      <c r="SI150" s="201"/>
      <c r="SJ150" s="201"/>
      <c r="SK150" s="201"/>
      <c r="SL150" s="201"/>
      <c r="SM150" s="201"/>
      <c r="SN150" s="201"/>
      <c r="SO150" s="201"/>
      <c r="SP150" s="201"/>
      <c r="SQ150" s="201"/>
      <c r="SR150" s="201"/>
      <c r="SS150" s="201"/>
      <c r="ST150" s="201"/>
      <c r="SU150" s="201"/>
      <c r="SV150" s="201"/>
      <c r="SW150" s="201"/>
      <c r="SX150" s="201"/>
      <c r="SY150" s="201"/>
      <c r="SZ150" s="201"/>
      <c r="TA150" s="201"/>
      <c r="TB150" s="201"/>
      <c r="TC150" s="201"/>
      <c r="TD150" s="201"/>
      <c r="TE150" s="201"/>
      <c r="TF150" s="201"/>
      <c r="TG150" s="201"/>
      <c r="TH150" s="201"/>
      <c r="TI150" s="201"/>
      <c r="TJ150" s="201"/>
      <c r="TK150" s="201"/>
      <c r="TL150" s="201"/>
      <c r="TM150" s="201"/>
      <c r="TN150" s="201"/>
      <c r="TO150" s="201"/>
      <c r="TP150" s="201"/>
      <c r="TQ150" s="201"/>
      <c r="TR150" s="201"/>
      <c r="TS150" s="201"/>
      <c r="TT150" s="201"/>
      <c r="TU150" s="201"/>
      <c r="TV150" s="201"/>
      <c r="TW150" s="201"/>
      <c r="TX150" s="201"/>
      <c r="TY150" s="201"/>
      <c r="TZ150" s="201"/>
      <c r="UA150" s="201"/>
      <c r="UB150" s="201"/>
      <c r="UC150" s="201"/>
      <c r="UD150" s="201"/>
      <c r="UE150" s="201"/>
      <c r="UF150" s="201"/>
      <c r="UG150" s="201"/>
      <c r="UH150" s="201"/>
      <c r="UI150" s="201"/>
      <c r="UJ150" s="201"/>
      <c r="UK150" s="201"/>
      <c r="UL150" s="201"/>
      <c r="UM150" s="201"/>
      <c r="UN150" s="201"/>
      <c r="UO150" s="201"/>
      <c r="UP150" s="201"/>
      <c r="UQ150" s="201"/>
      <c r="UR150" s="201"/>
      <c r="US150" s="201"/>
      <c r="UT150" s="201"/>
      <c r="UU150" s="201"/>
    </row>
    <row r="151" spans="2:567" ht="15.6" x14ac:dyDescent="0.4">
      <c r="B151" s="31" t="s">
        <v>158</v>
      </c>
      <c r="C151" s="26"/>
      <c r="D151" s="26"/>
      <c r="E151" s="26"/>
      <c r="F151" s="26"/>
      <c r="G151" s="121"/>
      <c r="H151" s="34"/>
      <c r="I151" s="158" t="s">
        <v>166</v>
      </c>
      <c r="J151" s="157">
        <v>0</v>
      </c>
      <c r="K151" s="157">
        <v>0</v>
      </c>
      <c r="T151" s="156">
        <v>0</v>
      </c>
      <c r="U151" s="156">
        <v>0</v>
      </c>
      <c r="V151" s="156">
        <v>0</v>
      </c>
      <c r="W151" s="156">
        <v>0</v>
      </c>
      <c r="X151" s="156">
        <v>0</v>
      </c>
      <c r="Y151" s="156">
        <v>0</v>
      </c>
      <c r="Z151" s="156">
        <v>0</v>
      </c>
      <c r="AA151" s="156">
        <v>0</v>
      </c>
      <c r="AB151" s="156">
        <v>0</v>
      </c>
      <c r="AC151" s="156">
        <v>0</v>
      </c>
      <c r="AD151" s="156">
        <v>0</v>
      </c>
      <c r="AE151" s="156">
        <v>0</v>
      </c>
      <c r="AF151" s="156">
        <v>0</v>
      </c>
      <c r="AG151" s="156">
        <v>0</v>
      </c>
      <c r="AH151" s="156">
        <v>0</v>
      </c>
      <c r="AI151" s="156">
        <v>0</v>
      </c>
      <c r="AJ151" s="156">
        <v>0</v>
      </c>
      <c r="AK151" s="156">
        <v>0</v>
      </c>
      <c r="AL151" s="156">
        <v>0</v>
      </c>
      <c r="AM151" s="156">
        <v>0</v>
      </c>
      <c r="AN151" s="156">
        <v>0</v>
      </c>
      <c r="AO151" s="156">
        <v>0</v>
      </c>
      <c r="AP151" s="156">
        <v>0</v>
      </c>
      <c r="AQ151" s="156">
        <v>0</v>
      </c>
      <c r="AR151" s="156">
        <v>0</v>
      </c>
      <c r="AS151" s="156">
        <v>0</v>
      </c>
      <c r="AT151" s="156">
        <v>0</v>
      </c>
      <c r="AU151" s="156">
        <v>0</v>
      </c>
      <c r="AV151" s="156">
        <v>0</v>
      </c>
      <c r="AW151" s="156">
        <v>0</v>
      </c>
      <c r="AX151" s="156">
        <v>0</v>
      </c>
      <c r="AY151" s="156">
        <v>0</v>
      </c>
      <c r="AZ151" s="156">
        <v>0</v>
      </c>
      <c r="BA151" s="156">
        <v>0</v>
      </c>
      <c r="BB151" s="156">
        <v>0</v>
      </c>
      <c r="BC151" s="156">
        <v>0</v>
      </c>
      <c r="BD151" s="156">
        <v>0</v>
      </c>
      <c r="BE151" s="156">
        <v>0</v>
      </c>
      <c r="BF151" s="156">
        <v>0</v>
      </c>
      <c r="BG151" s="156">
        <v>0</v>
      </c>
      <c r="BH151" s="156">
        <v>0</v>
      </c>
      <c r="BI151" s="156">
        <v>0</v>
      </c>
      <c r="BJ151" s="156">
        <v>0</v>
      </c>
      <c r="BK151" s="156">
        <v>0</v>
      </c>
      <c r="BL151" s="156">
        <v>0</v>
      </c>
      <c r="BM151" s="156">
        <v>0</v>
      </c>
      <c r="BN151" s="156">
        <v>0</v>
      </c>
      <c r="BO151" s="156">
        <v>0</v>
      </c>
      <c r="BP151" s="156">
        <v>0</v>
      </c>
      <c r="BQ151" s="156">
        <v>0</v>
      </c>
      <c r="BR151" s="156">
        <v>0</v>
      </c>
      <c r="BS151" s="156">
        <v>0</v>
      </c>
      <c r="BT151" s="156">
        <v>0</v>
      </c>
      <c r="BU151" s="156">
        <v>0</v>
      </c>
      <c r="BV151" s="156">
        <v>0</v>
      </c>
      <c r="BW151" s="156">
        <v>0</v>
      </c>
      <c r="BX151" s="156">
        <v>0</v>
      </c>
      <c r="BY151" s="156">
        <v>0</v>
      </c>
      <c r="BZ151" s="156">
        <v>0</v>
      </c>
      <c r="CA151" s="156">
        <v>0</v>
      </c>
      <c r="CB151" s="156">
        <v>0</v>
      </c>
      <c r="CC151" s="156">
        <v>0</v>
      </c>
      <c r="CD151" s="156">
        <v>0</v>
      </c>
      <c r="CE151" s="156">
        <v>0</v>
      </c>
      <c r="CF151" s="156">
        <v>0</v>
      </c>
      <c r="CG151" s="156">
        <v>0</v>
      </c>
      <c r="CH151" s="156">
        <v>0</v>
      </c>
      <c r="CI151" s="156">
        <v>0</v>
      </c>
      <c r="CJ151" s="156">
        <v>0</v>
      </c>
      <c r="CK151" s="156">
        <v>0</v>
      </c>
      <c r="CL151" s="156">
        <v>0</v>
      </c>
      <c r="CM151" s="156">
        <v>0</v>
      </c>
      <c r="CN151" s="156">
        <v>0</v>
      </c>
      <c r="CO151" s="156">
        <v>0</v>
      </c>
      <c r="CP151" s="156">
        <v>0</v>
      </c>
      <c r="CQ151" s="156">
        <v>0</v>
      </c>
      <c r="CR151" s="156">
        <v>0</v>
      </c>
      <c r="CS151" s="156">
        <v>0</v>
      </c>
      <c r="CT151" s="156">
        <v>0</v>
      </c>
      <c r="CU151" s="156">
        <v>0</v>
      </c>
      <c r="CV151" s="156">
        <v>0</v>
      </c>
      <c r="CW151" s="156">
        <v>0</v>
      </c>
      <c r="CX151" s="156">
        <v>0</v>
      </c>
      <c r="CY151" s="156">
        <v>0</v>
      </c>
      <c r="CZ151" s="156">
        <v>0</v>
      </c>
      <c r="DA151" s="156">
        <v>0</v>
      </c>
      <c r="DB151" s="156">
        <v>0</v>
      </c>
      <c r="DC151" s="156">
        <v>0</v>
      </c>
      <c r="DD151" s="156">
        <v>0</v>
      </c>
      <c r="DE151" s="156">
        <v>0</v>
      </c>
      <c r="DF151" s="156">
        <v>0</v>
      </c>
      <c r="DG151" s="156">
        <v>0</v>
      </c>
      <c r="DH151" s="156">
        <v>0</v>
      </c>
      <c r="DI151" s="156">
        <v>0</v>
      </c>
      <c r="DJ151" s="156">
        <v>0</v>
      </c>
      <c r="DK151" s="156">
        <v>0</v>
      </c>
      <c r="DL151" s="156">
        <v>0</v>
      </c>
      <c r="DM151" s="156">
        <v>0</v>
      </c>
      <c r="DN151" s="156">
        <v>0</v>
      </c>
      <c r="DO151" s="156">
        <v>0</v>
      </c>
      <c r="DP151" s="156">
        <v>0</v>
      </c>
      <c r="DQ151" s="156">
        <v>0</v>
      </c>
      <c r="DR151" s="156">
        <v>0</v>
      </c>
      <c r="DS151" s="156">
        <v>0</v>
      </c>
      <c r="DT151" s="156">
        <v>0</v>
      </c>
      <c r="DU151" s="156">
        <v>0</v>
      </c>
      <c r="DV151" s="156">
        <v>0</v>
      </c>
      <c r="DW151" s="156">
        <v>0</v>
      </c>
      <c r="DX151" s="156">
        <v>0</v>
      </c>
      <c r="DY151" s="156">
        <v>0</v>
      </c>
      <c r="DZ151" s="156">
        <v>0</v>
      </c>
      <c r="EA151" s="156">
        <v>0</v>
      </c>
      <c r="EB151" s="156">
        <v>0</v>
      </c>
      <c r="EC151" s="156">
        <v>0</v>
      </c>
      <c r="ED151" s="156">
        <v>0</v>
      </c>
      <c r="EE151" s="156">
        <v>0</v>
      </c>
      <c r="EF151" s="156">
        <v>0</v>
      </c>
      <c r="EG151" s="156">
        <v>0</v>
      </c>
      <c r="EH151" s="156">
        <v>0</v>
      </c>
      <c r="EI151" s="156">
        <v>0</v>
      </c>
      <c r="EJ151" s="156">
        <v>0</v>
      </c>
      <c r="EK151" s="156">
        <v>0</v>
      </c>
      <c r="EL151" s="156">
        <v>0</v>
      </c>
      <c r="EM151" s="156">
        <v>0</v>
      </c>
      <c r="EN151" s="156">
        <v>0</v>
      </c>
      <c r="EO151" s="156">
        <v>0</v>
      </c>
      <c r="EP151" s="156">
        <v>0</v>
      </c>
      <c r="EQ151" s="156">
        <v>0</v>
      </c>
      <c r="ER151" s="156">
        <v>0</v>
      </c>
      <c r="ES151" s="156">
        <v>0</v>
      </c>
      <c r="ET151" s="156">
        <v>0</v>
      </c>
      <c r="EU151" s="156">
        <v>0</v>
      </c>
      <c r="EX151" s="201"/>
      <c r="EY151" s="221"/>
      <c r="EZ151" s="221"/>
      <c r="FA151" s="221"/>
      <c r="FB151" s="221"/>
      <c r="KH151" s="201"/>
      <c r="KI151" s="221"/>
      <c r="KJ151" s="221"/>
      <c r="KK151" s="221"/>
      <c r="KL151" s="221"/>
      <c r="KM151" s="207"/>
      <c r="KN151" s="207"/>
      <c r="KO151" s="207"/>
      <c r="KP151" s="207"/>
      <c r="KQ151" s="207"/>
      <c r="KR151" s="207"/>
      <c r="KS151" s="207"/>
      <c r="KT151" s="207"/>
      <c r="KU151" s="207"/>
      <c r="KV151" s="207"/>
      <c r="KW151" s="207"/>
      <c r="KX151" s="207"/>
      <c r="KY151" s="207"/>
      <c r="KZ151" s="207"/>
      <c r="LA151" s="207"/>
      <c r="LB151" s="207"/>
      <c r="LC151" s="207"/>
      <c r="LD151" s="207"/>
      <c r="LE151" s="207"/>
      <c r="LF151" s="207"/>
      <c r="LG151" s="207"/>
      <c r="LH151" s="207"/>
      <c r="LI151" s="207"/>
      <c r="LJ151" s="207"/>
      <c r="LK151" s="207"/>
      <c r="LL151" s="207"/>
      <c r="LM151" s="207"/>
      <c r="LN151" s="207"/>
      <c r="LO151" s="207"/>
      <c r="LP151" s="207"/>
      <c r="LQ151" s="207"/>
      <c r="LR151" s="207"/>
      <c r="LS151" s="207"/>
      <c r="LT151" s="207"/>
      <c r="LU151" s="207"/>
      <c r="LV151" s="207"/>
      <c r="LW151" s="207"/>
      <c r="LX151" s="207"/>
      <c r="LY151" s="207"/>
      <c r="LZ151" s="207"/>
      <c r="MA151" s="207"/>
      <c r="MB151" s="207"/>
      <c r="MC151" s="207"/>
      <c r="MD151" s="207"/>
      <c r="ME151" s="207"/>
      <c r="MF151" s="207"/>
      <c r="MG151" s="207"/>
      <c r="MH151" s="207"/>
      <c r="MI151" s="207"/>
      <c r="MJ151" s="207"/>
      <c r="MK151" s="207"/>
      <c r="ML151" s="207"/>
      <c r="MM151" s="207"/>
      <c r="MN151" s="207"/>
      <c r="MO151" s="207"/>
      <c r="MP151" s="207"/>
      <c r="MQ151" s="207"/>
      <c r="MR151" s="207"/>
      <c r="MS151" s="207"/>
      <c r="MT151" s="207"/>
      <c r="MU151" s="207"/>
      <c r="MV151" s="207"/>
      <c r="MW151" s="207"/>
      <c r="MX151" s="207"/>
      <c r="MY151" s="207"/>
      <c r="MZ151" s="207"/>
      <c r="NA151" s="207"/>
      <c r="NB151" s="207"/>
      <c r="NC151" s="207"/>
      <c r="ND151" s="207"/>
      <c r="NE151" s="207"/>
      <c r="NF151" s="207"/>
      <c r="NG151" s="207"/>
      <c r="NH151" s="207"/>
      <c r="NI151" s="207"/>
      <c r="NJ151" s="207"/>
      <c r="NK151" s="207"/>
      <c r="NL151" s="207"/>
      <c r="NM151" s="207"/>
      <c r="NN151" s="207"/>
      <c r="NO151" s="207"/>
      <c r="NP151" s="207"/>
      <c r="NQ151" s="207"/>
      <c r="NR151" s="207"/>
      <c r="NS151" s="207"/>
      <c r="NT151" s="207"/>
      <c r="NU151" s="207"/>
      <c r="NV151" s="207"/>
      <c r="NW151" s="207"/>
      <c r="NX151" s="207"/>
      <c r="NY151" s="207"/>
      <c r="NZ151" s="207"/>
      <c r="OA151" s="207"/>
      <c r="OB151" s="207"/>
      <c r="OC151" s="207"/>
      <c r="OD151" s="207"/>
      <c r="OE151" s="207"/>
      <c r="OF151" s="207"/>
      <c r="OG151" s="207"/>
      <c r="OH151" s="207"/>
      <c r="OI151" s="207"/>
      <c r="OJ151" s="207"/>
      <c r="OK151" s="207"/>
      <c r="OL151" s="207"/>
      <c r="OM151" s="207"/>
      <c r="ON151" s="207"/>
      <c r="OO151" s="207"/>
      <c r="OP151" s="207"/>
      <c r="OQ151" s="207"/>
      <c r="OR151" s="207"/>
      <c r="OS151" s="207"/>
      <c r="OT151" s="207"/>
      <c r="OU151" s="207"/>
      <c r="OV151" s="207"/>
      <c r="OW151" s="207"/>
      <c r="OX151" s="207"/>
      <c r="OY151" s="207"/>
      <c r="OZ151" s="207"/>
      <c r="PA151" s="207"/>
      <c r="PB151" s="207"/>
      <c r="PC151" s="207"/>
      <c r="PD151" s="207"/>
      <c r="PE151" s="207"/>
      <c r="PF151" s="207"/>
      <c r="PG151" s="207"/>
      <c r="PH151" s="207"/>
      <c r="PI151" s="207"/>
      <c r="PJ151" s="207"/>
      <c r="PK151" s="207"/>
      <c r="PL151" s="207"/>
      <c r="PM151" s="207"/>
      <c r="PN151" s="207"/>
      <c r="PO151" s="207"/>
      <c r="PQ151" s="201"/>
      <c r="PR151" s="201"/>
      <c r="PS151" s="201"/>
      <c r="PT151" s="201"/>
      <c r="PU151" s="201"/>
      <c r="PV151" s="201"/>
      <c r="PW151" s="201"/>
      <c r="PX151" s="201"/>
      <c r="PY151" s="201"/>
      <c r="PZ151" s="201"/>
      <c r="QA151" s="201"/>
      <c r="QB151" s="201"/>
      <c r="QC151" s="201"/>
      <c r="QD151" s="201"/>
      <c r="QE151" s="201"/>
      <c r="QF151" s="201"/>
      <c r="QG151" s="201"/>
      <c r="QH151" s="201"/>
      <c r="QI151" s="201"/>
      <c r="QJ151" s="201"/>
      <c r="QK151" s="201"/>
      <c r="QL151" s="201"/>
      <c r="QM151" s="201"/>
      <c r="QN151" s="201"/>
      <c r="QO151" s="201"/>
      <c r="QP151" s="201"/>
      <c r="QQ151" s="201"/>
      <c r="QR151" s="201"/>
      <c r="QS151" s="201"/>
      <c r="QT151" s="201"/>
      <c r="QU151" s="201"/>
      <c r="QV151" s="201"/>
      <c r="QW151" s="201"/>
      <c r="QX151" s="201"/>
      <c r="QY151" s="201"/>
      <c r="QZ151" s="201"/>
      <c r="RA151" s="201"/>
      <c r="RB151" s="201"/>
      <c r="RC151" s="201"/>
      <c r="RD151" s="201"/>
      <c r="RE151" s="201"/>
      <c r="RF151" s="201"/>
      <c r="RG151" s="201"/>
      <c r="RH151" s="201"/>
      <c r="RI151" s="201"/>
      <c r="RJ151" s="201"/>
      <c r="RK151" s="201"/>
      <c r="RL151" s="201"/>
      <c r="RM151" s="201"/>
      <c r="RN151" s="201"/>
      <c r="RO151" s="201"/>
      <c r="RP151" s="201"/>
      <c r="RQ151" s="201"/>
      <c r="RR151" s="201"/>
      <c r="RS151" s="201"/>
      <c r="RT151" s="201"/>
      <c r="RU151" s="201"/>
      <c r="RV151" s="201"/>
      <c r="RW151" s="201"/>
      <c r="RX151" s="201"/>
      <c r="RY151" s="201"/>
      <c r="RZ151" s="201"/>
      <c r="SA151" s="201"/>
      <c r="SB151" s="201"/>
      <c r="SC151" s="201"/>
      <c r="SD151" s="201"/>
      <c r="SE151" s="201"/>
      <c r="SF151" s="201"/>
      <c r="SG151" s="201"/>
      <c r="SH151" s="201"/>
      <c r="SI151" s="201"/>
      <c r="SJ151" s="201"/>
      <c r="SK151" s="201"/>
      <c r="SL151" s="201"/>
      <c r="SM151" s="201"/>
      <c r="SN151" s="201"/>
      <c r="SO151" s="201"/>
      <c r="SP151" s="201"/>
      <c r="SQ151" s="201"/>
      <c r="SR151" s="201"/>
      <c r="SS151" s="201"/>
      <c r="ST151" s="201"/>
      <c r="SU151" s="201"/>
      <c r="SV151" s="201"/>
      <c r="SW151" s="201"/>
      <c r="SX151" s="201"/>
      <c r="SY151" s="201"/>
      <c r="SZ151" s="201"/>
      <c r="TA151" s="201"/>
      <c r="TB151" s="201"/>
      <c r="TC151" s="201"/>
      <c r="TD151" s="201"/>
      <c r="TE151" s="201"/>
      <c r="TF151" s="201"/>
      <c r="TG151" s="201"/>
      <c r="TH151" s="201"/>
      <c r="TI151" s="201"/>
      <c r="TJ151" s="201"/>
      <c r="TK151" s="201"/>
      <c r="TL151" s="201"/>
      <c r="TM151" s="201"/>
      <c r="TN151" s="201"/>
      <c r="TO151" s="201"/>
      <c r="TP151" s="201"/>
      <c r="TQ151" s="201"/>
      <c r="TR151" s="201"/>
      <c r="TS151" s="201"/>
      <c r="TT151" s="201"/>
      <c r="TU151" s="201"/>
      <c r="TV151" s="201"/>
      <c r="TW151" s="201"/>
      <c r="TX151" s="201"/>
      <c r="TY151" s="201"/>
      <c r="TZ151" s="201"/>
      <c r="UA151" s="201"/>
      <c r="UB151" s="201"/>
      <c r="UC151" s="201"/>
      <c r="UD151" s="201"/>
      <c r="UE151" s="201"/>
      <c r="UF151" s="201"/>
      <c r="UG151" s="201"/>
      <c r="UH151" s="201"/>
      <c r="UI151" s="201"/>
      <c r="UJ151" s="201"/>
      <c r="UK151" s="201"/>
      <c r="UL151" s="201"/>
      <c r="UM151" s="201"/>
      <c r="UN151" s="201"/>
      <c r="UO151" s="201"/>
      <c r="UP151" s="201"/>
      <c r="UQ151" s="201"/>
      <c r="UR151" s="201"/>
      <c r="US151" s="201"/>
      <c r="UT151" s="201"/>
      <c r="UU151" s="201"/>
    </row>
    <row r="152" spans="2:567" x14ac:dyDescent="0.25">
      <c r="B152" s="18" t="s">
        <v>159</v>
      </c>
      <c r="C152" s="26"/>
      <c r="D152" s="26"/>
      <c r="E152" s="26"/>
      <c r="F152" s="26"/>
      <c r="G152" s="121"/>
      <c r="H152" s="34"/>
      <c r="I152" s="34"/>
      <c r="J152" s="34">
        <f>SUM(J150:J151)</f>
        <v>60000</v>
      </c>
      <c r="K152" s="34">
        <f>SUM(K150:K151)</f>
        <v>60000</v>
      </c>
      <c r="S152" s="145"/>
      <c r="T152" s="92">
        <f>SUM(T150:T151)</f>
        <v>5000.0000000000009</v>
      </c>
      <c r="U152" s="92">
        <f t="shared" ref="U152:CF152" si="3039">SUM(U150:U151)</f>
        <v>4999.9999999999991</v>
      </c>
      <c r="V152" s="92">
        <f t="shared" si="3039"/>
        <v>5000</v>
      </c>
      <c r="W152" s="92">
        <f t="shared" si="3039"/>
        <v>5000</v>
      </c>
      <c r="X152" s="92">
        <f t="shared" si="3039"/>
        <v>5000</v>
      </c>
      <c r="Y152" s="92">
        <f t="shared" si="3039"/>
        <v>5000</v>
      </c>
      <c r="Z152" s="92">
        <f t="shared" si="3039"/>
        <v>5000</v>
      </c>
      <c r="AA152" s="92">
        <f t="shared" si="3039"/>
        <v>5000</v>
      </c>
      <c r="AB152" s="92">
        <f t="shared" si="3039"/>
        <v>5000</v>
      </c>
      <c r="AC152" s="92">
        <f t="shared" si="3039"/>
        <v>5000</v>
      </c>
      <c r="AD152" s="92">
        <f t="shared" si="3039"/>
        <v>5000</v>
      </c>
      <c r="AE152" s="92">
        <f t="shared" si="3039"/>
        <v>5000</v>
      </c>
      <c r="AF152" s="92">
        <f t="shared" si="3039"/>
        <v>5010.2991813492145</v>
      </c>
      <c r="AG152" s="92">
        <f t="shared" si="3039"/>
        <v>5020.6195773257205</v>
      </c>
      <c r="AH152" s="92">
        <f t="shared" si="3039"/>
        <v>5030.9612316281791</v>
      </c>
      <c r="AI152" s="92">
        <f t="shared" si="3039"/>
        <v>5041.3241880452588</v>
      </c>
      <c r="AJ152" s="92">
        <f t="shared" si="3039"/>
        <v>5051.7084904558305</v>
      </c>
      <c r="AK152" s="92">
        <f t="shared" si="3039"/>
        <v>5062.1141828291429</v>
      </c>
      <c r="AL152" s="92">
        <f t="shared" si="3039"/>
        <v>5072.5413092250201</v>
      </c>
      <c r="AM152" s="92">
        <f t="shared" si="3039"/>
        <v>5082.9899137940374</v>
      </c>
      <c r="AN152" s="92">
        <f t="shared" si="3039"/>
        <v>5093.4600407777152</v>
      </c>
      <c r="AO152" s="92">
        <f t="shared" si="3039"/>
        <v>5103.9517345087042</v>
      </c>
      <c r="AP152" s="92">
        <f t="shared" si="3039"/>
        <v>5114.4650394109713</v>
      </c>
      <c r="AQ152" s="92">
        <f t="shared" si="3039"/>
        <v>5124.9999999999927</v>
      </c>
      <c r="AR152" s="92">
        <f t="shared" si="3039"/>
        <v>5135.5566608829367</v>
      </c>
      <c r="AS152" s="92">
        <f t="shared" si="3039"/>
        <v>5146.1350667588567</v>
      </c>
      <c r="AT152" s="92">
        <f t="shared" si="3039"/>
        <v>5156.7352624188761</v>
      </c>
      <c r="AU152" s="92">
        <f t="shared" si="3039"/>
        <v>5167.3572927463829</v>
      </c>
      <c r="AV152" s="92">
        <f t="shared" si="3039"/>
        <v>5178.0012027172188</v>
      </c>
      <c r="AW152" s="92">
        <f t="shared" si="3039"/>
        <v>5188.667037399865</v>
      </c>
      <c r="AX152" s="92">
        <f t="shared" si="3039"/>
        <v>5199.3548419556382</v>
      </c>
      <c r="AY152" s="92">
        <f t="shared" si="3039"/>
        <v>5210.0646616388813</v>
      </c>
      <c r="AZ152" s="92">
        <f t="shared" si="3039"/>
        <v>5220.7965417971509</v>
      </c>
      <c r="BA152" s="92">
        <f t="shared" si="3039"/>
        <v>5231.5505278714145</v>
      </c>
      <c r="BB152" s="92">
        <f t="shared" si="3039"/>
        <v>5242.3266653962392</v>
      </c>
      <c r="BC152" s="92">
        <f t="shared" si="3039"/>
        <v>5253.1249999999864</v>
      </c>
      <c r="BD152" s="92">
        <f t="shared" si="3039"/>
        <v>5263.945577405003</v>
      </c>
      <c r="BE152" s="92">
        <f t="shared" si="3039"/>
        <v>5274.7884434278203</v>
      </c>
      <c r="BF152" s="92">
        <f t="shared" si="3039"/>
        <v>5285.6536439793399</v>
      </c>
      <c r="BG152" s="92">
        <f t="shared" si="3039"/>
        <v>5296.5412250650352</v>
      </c>
      <c r="BH152" s="92">
        <f t="shared" si="3039"/>
        <v>5307.4512327851417</v>
      </c>
      <c r="BI152" s="92">
        <f t="shared" si="3039"/>
        <v>5318.3837133348543</v>
      </c>
      <c r="BJ152" s="92">
        <f t="shared" si="3039"/>
        <v>5329.3387130045221</v>
      </c>
      <c r="BK152" s="92">
        <f t="shared" si="3039"/>
        <v>5340.3162781798455</v>
      </c>
      <c r="BL152" s="92">
        <f t="shared" si="3039"/>
        <v>5351.316455342072</v>
      </c>
      <c r="BM152" s="92">
        <f t="shared" si="3039"/>
        <v>5362.3392910681923</v>
      </c>
      <c r="BN152" s="92">
        <f t="shared" si="3039"/>
        <v>5373.3848320311372</v>
      </c>
      <c r="BO152" s="92">
        <f t="shared" si="3039"/>
        <v>5384.4531249999782</v>
      </c>
      <c r="BP152" s="92">
        <f t="shared" si="3039"/>
        <v>5395.5442168401214</v>
      </c>
      <c r="BQ152" s="92">
        <f t="shared" si="3039"/>
        <v>5406.6581545135086</v>
      </c>
      <c r="BR152" s="92">
        <f t="shared" si="3039"/>
        <v>5417.7949850788164</v>
      </c>
      <c r="BS152" s="92">
        <f t="shared" si="3039"/>
        <v>5428.9547556916541</v>
      </c>
      <c r="BT152" s="92">
        <f t="shared" si="3039"/>
        <v>5440.1375136047627</v>
      </c>
      <c r="BU152" s="92">
        <f t="shared" si="3039"/>
        <v>5451.3433061682181</v>
      </c>
      <c r="BV152" s="92">
        <f t="shared" si="3039"/>
        <v>5462.5721808296285</v>
      </c>
      <c r="BW152" s="92">
        <f t="shared" si="3039"/>
        <v>5473.8241851343346</v>
      </c>
      <c r="BX152" s="92">
        <f t="shared" si="3039"/>
        <v>5485.0993667256162</v>
      </c>
      <c r="BY152" s="92">
        <f t="shared" si="3039"/>
        <v>5496.3977733448892</v>
      </c>
      <c r="BZ152" s="92">
        <f t="shared" si="3039"/>
        <v>5507.7194528319087</v>
      </c>
      <c r="CA152" s="92">
        <f t="shared" si="3039"/>
        <v>5519.06445312497</v>
      </c>
      <c r="CB152" s="92">
        <f t="shared" si="3039"/>
        <v>5530.4328222611157</v>
      </c>
      <c r="CC152" s="92">
        <f t="shared" si="3039"/>
        <v>5541.8246083763379</v>
      </c>
      <c r="CD152" s="92">
        <f t="shared" si="3039"/>
        <v>5553.2398597057791</v>
      </c>
      <c r="CE152" s="92">
        <f t="shared" si="3039"/>
        <v>5564.6786245839367</v>
      </c>
      <c r="CF152" s="92">
        <f t="shared" si="3039"/>
        <v>5576.1409514448742</v>
      </c>
      <c r="CG152" s="92">
        <f t="shared" ref="CG152:ER152" si="3040">SUM(CG150:CG151)</f>
        <v>5587.6268888224149</v>
      </c>
      <c r="CH152" s="92">
        <f t="shared" si="3040"/>
        <v>5599.136485350361</v>
      </c>
      <c r="CI152" s="92">
        <f t="shared" si="3040"/>
        <v>5610.6697897626846</v>
      </c>
      <c r="CJ152" s="92">
        <f t="shared" si="3040"/>
        <v>5622.2268508937495</v>
      </c>
      <c r="CK152" s="92">
        <f t="shared" si="3040"/>
        <v>5633.8077176785046</v>
      </c>
      <c r="CL152" s="92">
        <f t="shared" si="3040"/>
        <v>5645.4124391526975</v>
      </c>
      <c r="CM152" s="92">
        <f t="shared" si="3040"/>
        <v>5657.0410644530857</v>
      </c>
      <c r="CN152" s="92">
        <f t="shared" si="3040"/>
        <v>5668.6936428176368</v>
      </c>
      <c r="CO152" s="92">
        <f t="shared" si="3040"/>
        <v>5680.3702235857381</v>
      </c>
      <c r="CP152" s="92">
        <f t="shared" si="3040"/>
        <v>5692.0708561984147</v>
      </c>
      <c r="CQ152" s="92">
        <f t="shared" si="3040"/>
        <v>5703.795590198527</v>
      </c>
      <c r="CR152" s="92">
        <f t="shared" si="3040"/>
        <v>5715.5444752309877</v>
      </c>
      <c r="CS152" s="92">
        <f t="shared" si="3040"/>
        <v>5727.3175610429671</v>
      </c>
      <c r="CT152" s="92">
        <f t="shared" si="3040"/>
        <v>5739.1148974841099</v>
      </c>
      <c r="CU152" s="92">
        <f t="shared" si="3040"/>
        <v>5750.9365345067426</v>
      </c>
      <c r="CV152" s="92">
        <f t="shared" si="3040"/>
        <v>5762.7825221660833</v>
      </c>
      <c r="CW152" s="92">
        <f t="shared" si="3040"/>
        <v>5774.6529106204571</v>
      </c>
      <c r="CX152" s="92">
        <f t="shared" si="3040"/>
        <v>5786.5477501315063</v>
      </c>
      <c r="CY152" s="92">
        <f t="shared" si="3040"/>
        <v>5798.4670910644027</v>
      </c>
      <c r="CZ152" s="92">
        <f t="shared" si="3040"/>
        <v>5810.4109838880677</v>
      </c>
      <c r="DA152" s="92">
        <f t="shared" si="3040"/>
        <v>5822.3794791753726</v>
      </c>
      <c r="DB152" s="92">
        <f t="shared" si="3040"/>
        <v>5834.3726276033667</v>
      </c>
      <c r="DC152" s="92">
        <f t="shared" si="3040"/>
        <v>5846.3904799534821</v>
      </c>
      <c r="DD152" s="92">
        <f t="shared" si="3040"/>
        <v>5858.4330871117527</v>
      </c>
      <c r="DE152" s="92">
        <f t="shared" si="3040"/>
        <v>5870.5005000690326</v>
      </c>
      <c r="DF152" s="92">
        <f t="shared" si="3040"/>
        <v>5882.5927699212052</v>
      </c>
      <c r="DG152" s="92">
        <f t="shared" si="3040"/>
        <v>5894.7099478694035</v>
      </c>
      <c r="DH152" s="92">
        <f t="shared" si="3040"/>
        <v>5906.8520852202273</v>
      </c>
      <c r="DI152" s="92">
        <f t="shared" si="3040"/>
        <v>5919.0192333859604</v>
      </c>
      <c r="DJ152" s="92">
        <f t="shared" si="3040"/>
        <v>5931.2114438847857</v>
      </c>
      <c r="DK152" s="92">
        <f t="shared" si="3040"/>
        <v>5943.4287683410066</v>
      </c>
      <c r="DL152" s="92">
        <f t="shared" si="3040"/>
        <v>5955.6712584852621</v>
      </c>
      <c r="DM152" s="92">
        <f t="shared" si="3040"/>
        <v>5967.9389661547502</v>
      </c>
      <c r="DN152" s="92">
        <f t="shared" si="3040"/>
        <v>5980.2319432934428</v>
      </c>
      <c r="DO152" s="92">
        <f t="shared" si="3040"/>
        <v>5992.5502419523109</v>
      </c>
      <c r="DP152" s="92">
        <f t="shared" si="3040"/>
        <v>6004.8939142895397</v>
      </c>
      <c r="DQ152" s="92">
        <f t="shared" si="3040"/>
        <v>6017.263012570751</v>
      </c>
      <c r="DR152" s="92">
        <f t="shared" si="3040"/>
        <v>6029.6575891692273</v>
      </c>
      <c r="DS152" s="92">
        <f t="shared" si="3040"/>
        <v>6042.0776965661307</v>
      </c>
      <c r="DT152" s="92">
        <f t="shared" si="3040"/>
        <v>6054.523387350725</v>
      </c>
      <c r="DU152" s="92">
        <f t="shared" si="3040"/>
        <v>6066.9947142206011</v>
      </c>
      <c r="DV152" s="92">
        <f t="shared" si="3040"/>
        <v>6079.4917299818962</v>
      </c>
      <c r="DW152" s="92">
        <f t="shared" si="3040"/>
        <v>6092.0144875495216</v>
      </c>
      <c r="DX152" s="92">
        <f t="shared" si="3040"/>
        <v>6104.5630399473848</v>
      </c>
      <c r="DY152" s="92">
        <f t="shared" si="3040"/>
        <v>6117.1374403086093</v>
      </c>
      <c r="DZ152" s="92">
        <f t="shared" si="3040"/>
        <v>6129.7377418757706</v>
      </c>
      <c r="EA152" s="92">
        <f t="shared" si="3040"/>
        <v>6142.3639980011094</v>
      </c>
      <c r="EB152" s="92">
        <f t="shared" si="3040"/>
        <v>6155.016262146768</v>
      </c>
      <c r="EC152" s="92">
        <f t="shared" si="3040"/>
        <v>6167.6945878850102</v>
      </c>
      <c r="ED152" s="92">
        <f t="shared" si="3040"/>
        <v>6180.3990288984487</v>
      </c>
      <c r="EE152" s="92">
        <f t="shared" si="3040"/>
        <v>6193.1296389802746</v>
      </c>
      <c r="EF152" s="92">
        <f t="shared" si="3040"/>
        <v>6205.8864720344836</v>
      </c>
      <c r="EG152" s="92">
        <f t="shared" si="3040"/>
        <v>6218.6695820761079</v>
      </c>
      <c r="EH152" s="92">
        <f t="shared" si="3040"/>
        <v>6231.4790232314363</v>
      </c>
      <c r="EI152" s="92">
        <f t="shared" si="3040"/>
        <v>6244.3148497382526</v>
      </c>
      <c r="EJ152" s="92">
        <f t="shared" si="3040"/>
        <v>6257.1771159460613</v>
      </c>
      <c r="EK152" s="92">
        <f t="shared" si="3040"/>
        <v>6270.0658763163165</v>
      </c>
      <c r="EL152" s="92">
        <f t="shared" si="3040"/>
        <v>6282.9811854226564</v>
      </c>
      <c r="EM152" s="92">
        <f t="shared" si="3040"/>
        <v>6295.9230979511294</v>
      </c>
      <c r="EN152" s="92">
        <f t="shared" si="3040"/>
        <v>6308.8916687004303</v>
      </c>
      <c r="EO152" s="92">
        <f t="shared" si="3040"/>
        <v>6321.8869525821274</v>
      </c>
      <c r="EP152" s="92">
        <f t="shared" si="3040"/>
        <v>6334.9090046209021</v>
      </c>
      <c r="EQ152" s="92">
        <f t="shared" si="3040"/>
        <v>6347.9578799547744</v>
      </c>
      <c r="ER152" s="92">
        <f t="shared" si="3040"/>
        <v>6361.0336338353382</v>
      </c>
      <c r="ES152" s="92">
        <f t="shared" ref="ES152:EU152" si="3041">SUM(ES150:ES151)</f>
        <v>6374.1363216280015</v>
      </c>
      <c r="ET152" s="92">
        <f t="shared" si="3041"/>
        <v>6387.2659988122141</v>
      </c>
      <c r="EU152" s="92">
        <f t="shared" si="3041"/>
        <v>6400.4227209817</v>
      </c>
      <c r="FC152" s="199"/>
      <c r="FD152" s="199"/>
      <c r="FE152" s="199"/>
      <c r="FF152" s="199"/>
      <c r="FG152" s="199"/>
      <c r="FH152" s="199"/>
      <c r="FI152" s="199"/>
      <c r="FJ152" s="199"/>
      <c r="FK152" s="199"/>
      <c r="FL152" s="199"/>
      <c r="FM152" s="199"/>
      <c r="FN152" s="199"/>
      <c r="FO152" s="199"/>
      <c r="FP152" s="199"/>
      <c r="FQ152" s="199"/>
      <c r="FR152" s="199"/>
      <c r="FS152" s="199"/>
      <c r="FT152" s="199"/>
      <c r="FU152" s="199"/>
      <c r="FV152" s="199"/>
      <c r="FW152" s="199"/>
      <c r="FX152" s="199"/>
      <c r="FY152" s="199"/>
      <c r="FZ152" s="199"/>
      <c r="GA152" s="199"/>
      <c r="GB152" s="199"/>
      <c r="GC152" s="199"/>
      <c r="GD152" s="199"/>
      <c r="GE152" s="199"/>
      <c r="GF152" s="199"/>
      <c r="GG152" s="199"/>
      <c r="GH152" s="199"/>
      <c r="GI152" s="199"/>
      <c r="GJ152" s="199"/>
      <c r="GK152" s="199"/>
      <c r="GL152" s="199"/>
      <c r="GM152" s="199"/>
      <c r="GN152" s="199"/>
      <c r="GO152" s="199"/>
      <c r="GP152" s="199"/>
      <c r="GQ152" s="199"/>
      <c r="GR152" s="199"/>
      <c r="GS152" s="199"/>
      <c r="GT152" s="199"/>
      <c r="GU152" s="199"/>
      <c r="GV152" s="199"/>
      <c r="GW152" s="199"/>
      <c r="GX152" s="199"/>
      <c r="GY152" s="199"/>
      <c r="GZ152" s="199"/>
      <c r="HA152" s="199"/>
      <c r="HB152" s="199"/>
      <c r="HC152" s="199"/>
      <c r="HD152" s="199"/>
      <c r="HE152" s="199"/>
      <c r="HF152" s="199"/>
      <c r="HG152" s="199"/>
      <c r="HH152" s="199"/>
      <c r="HI152" s="199"/>
      <c r="HJ152" s="199"/>
      <c r="HK152" s="199"/>
      <c r="HL152" s="199"/>
      <c r="HM152" s="199"/>
      <c r="HN152" s="199"/>
      <c r="HO152" s="199"/>
      <c r="HP152" s="199"/>
      <c r="HQ152" s="199"/>
      <c r="HR152" s="199"/>
      <c r="HS152" s="199"/>
      <c r="HT152" s="199"/>
      <c r="HU152" s="199"/>
      <c r="HV152" s="199"/>
      <c r="HW152" s="199"/>
      <c r="HX152" s="199"/>
      <c r="HY152" s="199"/>
      <c r="HZ152" s="199"/>
      <c r="IA152" s="199"/>
      <c r="IB152" s="199"/>
      <c r="IC152" s="199"/>
      <c r="ID152" s="199"/>
      <c r="IE152" s="199"/>
      <c r="IF152" s="199"/>
      <c r="IG152" s="199"/>
      <c r="IH152" s="199"/>
      <c r="II152" s="199"/>
      <c r="IJ152" s="199"/>
      <c r="IK152" s="199"/>
      <c r="IL152" s="199"/>
      <c r="IM152" s="199"/>
      <c r="IN152" s="199"/>
      <c r="IO152" s="199"/>
      <c r="IP152" s="199"/>
      <c r="IQ152" s="199"/>
      <c r="IR152" s="199"/>
      <c r="IS152" s="199"/>
      <c r="IT152" s="199"/>
      <c r="IU152" s="199"/>
      <c r="IV152" s="199"/>
      <c r="IW152" s="199"/>
      <c r="IX152" s="199"/>
      <c r="IY152" s="199"/>
      <c r="IZ152" s="199"/>
      <c r="JA152" s="199"/>
      <c r="JB152" s="199"/>
      <c r="JC152" s="199"/>
      <c r="JD152" s="199"/>
      <c r="JE152" s="199"/>
      <c r="JF152" s="199"/>
      <c r="JG152" s="199"/>
      <c r="JH152" s="199"/>
      <c r="JI152" s="199"/>
      <c r="JJ152" s="199"/>
      <c r="JK152" s="199"/>
      <c r="JL152" s="199"/>
      <c r="JM152" s="199"/>
      <c r="JN152" s="199"/>
      <c r="JO152" s="199"/>
      <c r="JP152" s="199"/>
      <c r="JQ152" s="199"/>
      <c r="JR152" s="199"/>
      <c r="JS152" s="199"/>
      <c r="JT152" s="199"/>
      <c r="JU152" s="199"/>
      <c r="JV152" s="199"/>
      <c r="JW152" s="199"/>
      <c r="JX152" s="199"/>
      <c r="JY152" s="199"/>
      <c r="JZ152" s="199"/>
      <c r="KA152" s="199"/>
      <c r="KB152" s="199"/>
      <c r="KC152" s="199"/>
      <c r="KD152" s="199"/>
      <c r="KE152" s="199"/>
      <c r="PQ152" s="201"/>
      <c r="PR152" s="201"/>
      <c r="PS152" s="201"/>
      <c r="PT152" s="201"/>
      <c r="PU152" s="201"/>
      <c r="PV152" s="201"/>
      <c r="PW152" s="201"/>
      <c r="PX152" s="201"/>
      <c r="PY152" s="201"/>
      <c r="PZ152" s="201"/>
      <c r="QA152" s="201"/>
      <c r="QB152" s="201"/>
      <c r="QC152" s="201"/>
      <c r="QD152" s="201"/>
      <c r="QE152" s="201"/>
      <c r="QF152" s="201"/>
      <c r="QG152" s="201"/>
      <c r="QH152" s="201"/>
      <c r="QI152" s="201"/>
      <c r="QJ152" s="201"/>
      <c r="QK152" s="201"/>
      <c r="QL152" s="201"/>
      <c r="QM152" s="201"/>
      <c r="QN152" s="201"/>
      <c r="QO152" s="201"/>
      <c r="QP152" s="201"/>
      <c r="QQ152" s="201"/>
      <c r="QR152" s="201"/>
      <c r="QS152" s="201"/>
      <c r="QT152" s="201"/>
      <c r="QU152" s="201"/>
      <c r="QV152" s="201"/>
      <c r="QW152" s="201"/>
      <c r="QX152" s="201"/>
      <c r="QY152" s="201"/>
      <c r="QZ152" s="201"/>
      <c r="RA152" s="201"/>
      <c r="RB152" s="201"/>
      <c r="RC152" s="201"/>
      <c r="RD152" s="201"/>
      <c r="RE152" s="201"/>
      <c r="RF152" s="201"/>
      <c r="RG152" s="201"/>
      <c r="RH152" s="201"/>
      <c r="RI152" s="201"/>
      <c r="RJ152" s="201"/>
      <c r="RK152" s="201"/>
      <c r="RL152" s="201"/>
      <c r="RM152" s="201"/>
      <c r="RN152" s="201"/>
      <c r="RO152" s="201"/>
      <c r="RP152" s="201"/>
      <c r="RQ152" s="201"/>
      <c r="RR152" s="201"/>
      <c r="RS152" s="201"/>
      <c r="RT152" s="201"/>
      <c r="RU152" s="201"/>
      <c r="RV152" s="201"/>
      <c r="RW152" s="201"/>
      <c r="RX152" s="201"/>
      <c r="RY152" s="201"/>
      <c r="RZ152" s="201"/>
      <c r="SA152" s="201"/>
      <c r="SB152" s="201"/>
      <c r="SC152" s="201"/>
      <c r="SD152" s="201"/>
      <c r="SE152" s="201"/>
      <c r="SF152" s="201"/>
      <c r="SG152" s="201"/>
      <c r="SH152" s="201"/>
      <c r="SI152" s="201"/>
      <c r="SJ152" s="201"/>
      <c r="SK152" s="201"/>
      <c r="SL152" s="201"/>
      <c r="SM152" s="201"/>
      <c r="SN152" s="201"/>
      <c r="SO152" s="201"/>
      <c r="SP152" s="201"/>
      <c r="SQ152" s="201"/>
      <c r="SR152" s="201"/>
      <c r="SS152" s="201"/>
      <c r="ST152" s="201"/>
      <c r="SU152" s="201"/>
      <c r="SV152" s="201"/>
      <c r="SW152" s="201"/>
      <c r="SX152" s="201"/>
      <c r="SY152" s="201"/>
      <c r="SZ152" s="201"/>
      <c r="TA152" s="201"/>
      <c r="TB152" s="201"/>
      <c r="TC152" s="201"/>
      <c r="TD152" s="201"/>
      <c r="TE152" s="201"/>
      <c r="TF152" s="201"/>
      <c r="TG152" s="201"/>
      <c r="TH152" s="201"/>
      <c r="TI152" s="201"/>
      <c r="TJ152" s="201"/>
      <c r="TK152" s="201"/>
      <c r="TL152" s="201"/>
      <c r="TM152" s="201"/>
      <c r="TN152" s="201"/>
      <c r="TO152" s="201"/>
      <c r="TP152" s="201"/>
      <c r="TQ152" s="201"/>
      <c r="TR152" s="201"/>
      <c r="TS152" s="201"/>
      <c r="TT152" s="201"/>
      <c r="TU152" s="201"/>
      <c r="TV152" s="201"/>
      <c r="TW152" s="201"/>
      <c r="TX152" s="201"/>
      <c r="TY152" s="201"/>
      <c r="TZ152" s="201"/>
      <c r="UA152" s="201"/>
      <c r="UB152" s="201"/>
      <c r="UC152" s="201"/>
      <c r="UD152" s="201"/>
      <c r="UE152" s="201"/>
      <c r="UF152" s="201"/>
      <c r="UG152" s="201"/>
      <c r="UH152" s="201"/>
      <c r="UI152" s="201"/>
      <c r="UJ152" s="201"/>
      <c r="UK152" s="201"/>
      <c r="UL152" s="201"/>
      <c r="UM152" s="201"/>
      <c r="UN152" s="201"/>
      <c r="UO152" s="201"/>
      <c r="UP152" s="201"/>
      <c r="UQ152" s="201"/>
      <c r="UR152" s="201"/>
      <c r="US152" s="201"/>
      <c r="UT152" s="201"/>
      <c r="UU152" s="201"/>
    </row>
    <row r="153" spans="2:567" x14ac:dyDescent="0.25">
      <c r="B153" s="18" t="s">
        <v>160</v>
      </c>
      <c r="C153" s="26"/>
      <c r="D153" s="26"/>
      <c r="E153" s="26"/>
      <c r="F153" s="26"/>
      <c r="G153" s="26"/>
      <c r="H153" s="26"/>
      <c r="I153" s="34"/>
      <c r="J153" s="34">
        <f>+J148-J152</f>
        <v>3250019.569449231</v>
      </c>
      <c r="K153" s="34">
        <f>+K148-K152</f>
        <v>4441011.4214399997</v>
      </c>
      <c r="S153" s="145"/>
      <c r="T153" s="92">
        <f t="shared" ref="T153:AY153" si="3042">+T148-T152</f>
        <v>255693.37575833331</v>
      </c>
      <c r="U153" s="92">
        <f t="shared" si="3042"/>
        <v>259486.90061326924</v>
      </c>
      <c r="V153" s="92">
        <f t="shared" si="3042"/>
        <v>263304.89628932695</v>
      </c>
      <c r="W153" s="92">
        <f t="shared" si="3042"/>
        <v>267147.40918794868</v>
      </c>
      <c r="X153" s="92">
        <f t="shared" si="3042"/>
        <v>271014.48571057688</v>
      </c>
      <c r="Y153" s="92">
        <f t="shared" si="3042"/>
        <v>274906.17225865385</v>
      </c>
      <c r="Z153" s="92">
        <f t="shared" si="3042"/>
        <v>278822.51523362182</v>
      </c>
      <c r="AA153" s="92">
        <f t="shared" si="3042"/>
        <v>282763.56103692303</v>
      </c>
      <c r="AB153" s="92">
        <f t="shared" si="3042"/>
        <v>286729.35606999998</v>
      </c>
      <c r="AC153" s="92">
        <f t="shared" si="3042"/>
        <v>290719.94673429488</v>
      </c>
      <c r="AD153" s="92">
        <f t="shared" si="3042"/>
        <v>294735.37943124998</v>
      </c>
      <c r="AE153" s="92">
        <f t="shared" si="3042"/>
        <v>298775.70056230773</v>
      </c>
      <c r="AF153" s="92">
        <f t="shared" si="3042"/>
        <v>303464.75931516243</v>
      </c>
      <c r="AG153" s="92">
        <f t="shared" si="3042"/>
        <v>308196.95202906855</v>
      </c>
      <c r="AH153" s="92">
        <f t="shared" si="3042"/>
        <v>312972.53486472915</v>
      </c>
      <c r="AI153" s="92">
        <f t="shared" si="3042"/>
        <v>317791.76515390462</v>
      </c>
      <c r="AJ153" s="92">
        <f t="shared" si="3042"/>
        <v>322654.90140396269</v>
      </c>
      <c r="AK153" s="92">
        <f t="shared" si="3042"/>
        <v>327562.20330244687</v>
      </c>
      <c r="AL153" s="92">
        <f t="shared" si="3042"/>
        <v>332513.93172165821</v>
      </c>
      <c r="AM153" s="92">
        <f t="shared" si="3042"/>
        <v>337510.34872325434</v>
      </c>
      <c r="AN153" s="92">
        <f t="shared" si="3042"/>
        <v>342551.71756286442</v>
      </c>
      <c r="AO153" s="92">
        <f t="shared" si="3042"/>
        <v>347638.30269471952</v>
      </c>
      <c r="AP153" s="92">
        <f t="shared" si="3042"/>
        <v>352770.36977630015</v>
      </c>
      <c r="AQ153" s="92">
        <f t="shared" si="3042"/>
        <v>357948.18567299953</v>
      </c>
      <c r="AR153" s="92">
        <f t="shared" si="3042"/>
        <v>380117.76310722309</v>
      </c>
      <c r="AS153" s="92">
        <f t="shared" si="3042"/>
        <v>380900.74346248293</v>
      </c>
      <c r="AT153" s="92">
        <f t="shared" si="3042"/>
        <v>381685.33662907692</v>
      </c>
      <c r="AU153" s="92">
        <f t="shared" si="3042"/>
        <v>382471.54592913273</v>
      </c>
      <c r="AV153" s="92">
        <f t="shared" si="3042"/>
        <v>383259.37469162041</v>
      </c>
      <c r="AW153" s="92">
        <f t="shared" si="3042"/>
        <v>384048.82625236746</v>
      </c>
      <c r="AX153" s="92">
        <f t="shared" si="3042"/>
        <v>384839.90395407256</v>
      </c>
      <c r="AY153" s="92">
        <f t="shared" si="3042"/>
        <v>385632.61114631995</v>
      </c>
      <c r="AZ153" s="92">
        <f t="shared" ref="AZ153:CE153" si="3043">+AZ148-AZ152</f>
        <v>386426.95118559327</v>
      </c>
      <c r="BA153" s="92">
        <f t="shared" si="3043"/>
        <v>387222.92743529024</v>
      </c>
      <c r="BB153" s="92">
        <f t="shared" si="3043"/>
        <v>388020.54326573602</v>
      </c>
      <c r="BC153" s="92">
        <f t="shared" si="3043"/>
        <v>388819.80205419892</v>
      </c>
      <c r="BD153" s="92">
        <f t="shared" si="3043"/>
        <v>389620.70718490315</v>
      </c>
      <c r="BE153" s="92">
        <f t="shared" si="3043"/>
        <v>390423.26204904454</v>
      </c>
      <c r="BF153" s="92">
        <f t="shared" si="3043"/>
        <v>391227.47004480346</v>
      </c>
      <c r="BG153" s="92">
        <f t="shared" si="3043"/>
        <v>392033.33457736066</v>
      </c>
      <c r="BH153" s="92">
        <f t="shared" si="3043"/>
        <v>392840.85905891028</v>
      </c>
      <c r="BI153" s="92">
        <f t="shared" si="3043"/>
        <v>393650.0469086761</v>
      </c>
      <c r="BJ153" s="92">
        <f t="shared" si="3043"/>
        <v>394460.9015529239</v>
      </c>
      <c r="BK153" s="92">
        <f t="shared" si="3043"/>
        <v>395273.42642497737</v>
      </c>
      <c r="BL153" s="92">
        <f t="shared" si="3043"/>
        <v>396087.62496523262</v>
      </c>
      <c r="BM153" s="92">
        <f t="shared" si="3043"/>
        <v>396903.50062117196</v>
      </c>
      <c r="BN153" s="92">
        <f t="shared" si="3043"/>
        <v>397721.05684737914</v>
      </c>
      <c r="BO153" s="92">
        <f t="shared" si="3043"/>
        <v>398540.29710555339</v>
      </c>
      <c r="BP153" s="92">
        <f t="shared" si="3043"/>
        <v>399361.22486452531</v>
      </c>
      <c r="BQ153" s="92">
        <f t="shared" si="3043"/>
        <v>400183.84360027005</v>
      </c>
      <c r="BR153" s="92">
        <f t="shared" si="3043"/>
        <v>401008.15679592278</v>
      </c>
      <c r="BS153" s="92">
        <f t="shared" si="3043"/>
        <v>401834.16794179386</v>
      </c>
      <c r="BT153" s="92">
        <f t="shared" si="3043"/>
        <v>402661.88053538254</v>
      </c>
      <c r="BU153" s="92">
        <f t="shared" si="3043"/>
        <v>403491.29808139236</v>
      </c>
      <c r="BV153" s="92">
        <f t="shared" si="3043"/>
        <v>404322.42409174639</v>
      </c>
      <c r="BW153" s="92">
        <f t="shared" si="3043"/>
        <v>405155.26208560128</v>
      </c>
      <c r="BX153" s="92">
        <f t="shared" si="3043"/>
        <v>405989.81558936293</v>
      </c>
      <c r="BY153" s="92">
        <f t="shared" si="3043"/>
        <v>406826.08813670074</v>
      </c>
      <c r="BZ153" s="92">
        <f t="shared" si="3043"/>
        <v>407664.08326856291</v>
      </c>
      <c r="CA153" s="92">
        <f t="shared" si="3043"/>
        <v>408503.80453319167</v>
      </c>
      <c r="CB153" s="92">
        <f t="shared" si="3043"/>
        <v>409345.25548613787</v>
      </c>
      <c r="CC153" s="92">
        <f t="shared" si="3043"/>
        <v>410188.43969027634</v>
      </c>
      <c r="CD153" s="92">
        <f t="shared" si="3043"/>
        <v>411033.36071582051</v>
      </c>
      <c r="CE153" s="92">
        <f t="shared" si="3043"/>
        <v>411880.0221403382</v>
      </c>
      <c r="CF153" s="92">
        <f t="shared" ref="CF153:DK153" si="3044">+CF148-CF152</f>
        <v>412728.42754876672</v>
      </c>
      <c r="CG153" s="92">
        <f t="shared" si="3044"/>
        <v>413578.5805334266</v>
      </c>
      <c r="CH153" s="92">
        <f t="shared" si="3044"/>
        <v>414430.48469403962</v>
      </c>
      <c r="CI153" s="92">
        <f t="shared" si="3044"/>
        <v>415284.14363774081</v>
      </c>
      <c r="CJ153" s="92">
        <f t="shared" si="3044"/>
        <v>416139.56097909651</v>
      </c>
      <c r="CK153" s="92">
        <f t="shared" si="3044"/>
        <v>416996.7403401176</v>
      </c>
      <c r="CL153" s="92">
        <f t="shared" si="3044"/>
        <v>417855.68535027641</v>
      </c>
      <c r="CM153" s="92">
        <f t="shared" si="3044"/>
        <v>418716.39964652091</v>
      </c>
      <c r="CN153" s="92">
        <f t="shared" si="3044"/>
        <v>419578.8868732907</v>
      </c>
      <c r="CO153" s="92">
        <f t="shared" si="3044"/>
        <v>420443.15068253252</v>
      </c>
      <c r="CP153" s="92">
        <f t="shared" si="3044"/>
        <v>421309.19473371538</v>
      </c>
      <c r="CQ153" s="92">
        <f t="shared" si="3044"/>
        <v>422177.0226938462</v>
      </c>
      <c r="CR153" s="92">
        <f t="shared" si="3044"/>
        <v>423046.63823748525</v>
      </c>
      <c r="CS153" s="92">
        <f t="shared" si="3044"/>
        <v>423918.04504676186</v>
      </c>
      <c r="CT153" s="92">
        <f t="shared" si="3044"/>
        <v>424791.24681138986</v>
      </c>
      <c r="CU153" s="92">
        <f t="shared" si="3044"/>
        <v>425666.24722868385</v>
      </c>
      <c r="CV153" s="92">
        <f t="shared" si="3044"/>
        <v>426543.05000357318</v>
      </c>
      <c r="CW153" s="92">
        <f t="shared" si="3044"/>
        <v>427421.6588486199</v>
      </c>
      <c r="CX153" s="92">
        <f t="shared" si="3044"/>
        <v>428302.07748403255</v>
      </c>
      <c r="CY153" s="92">
        <f t="shared" si="3044"/>
        <v>429184.30963768339</v>
      </c>
      <c r="CZ153" s="92">
        <f t="shared" si="3044"/>
        <v>430068.35904512228</v>
      </c>
      <c r="DA153" s="92">
        <f t="shared" si="3044"/>
        <v>430954.22944959515</v>
      </c>
      <c r="DB153" s="92">
        <f t="shared" si="3044"/>
        <v>431841.92460205761</v>
      </c>
      <c r="DC153" s="92">
        <f t="shared" si="3044"/>
        <v>432731.44826119184</v>
      </c>
      <c r="DD153" s="92">
        <f t="shared" si="3044"/>
        <v>433622.80419342179</v>
      </c>
      <c r="DE153" s="92">
        <f t="shared" si="3044"/>
        <v>434515.99617293017</v>
      </c>
      <c r="DF153" s="92">
        <f t="shared" si="3044"/>
        <v>435411.02798167401</v>
      </c>
      <c r="DG153" s="92">
        <f t="shared" si="3044"/>
        <v>436307.90340940026</v>
      </c>
      <c r="DH153" s="92">
        <f t="shared" si="3044"/>
        <v>437206.62625366199</v>
      </c>
      <c r="DI153" s="92">
        <f t="shared" si="3044"/>
        <v>438107.20031983481</v>
      </c>
      <c r="DJ153" s="92">
        <f t="shared" si="3044"/>
        <v>439009.62942113291</v>
      </c>
      <c r="DK153" s="92">
        <f t="shared" si="3044"/>
        <v>439913.91737862478</v>
      </c>
      <c r="DL153" s="92">
        <f t="shared" ref="DL153:EQ153" si="3045">+DL148-DL152</f>
        <v>440820.0680212499</v>
      </c>
      <c r="DM153" s="92">
        <f t="shared" si="3045"/>
        <v>441728.08518583467</v>
      </c>
      <c r="DN153" s="92">
        <f t="shared" si="3045"/>
        <v>442637.97271710861</v>
      </c>
      <c r="DO153" s="92">
        <f t="shared" si="3045"/>
        <v>443549.73446772108</v>
      </c>
      <c r="DP153" s="92">
        <f t="shared" si="3045"/>
        <v>444463.37429825665</v>
      </c>
      <c r="DQ153" s="92">
        <f t="shared" si="3045"/>
        <v>445378.89607725292</v>
      </c>
      <c r="DR153" s="92">
        <f t="shared" si="3045"/>
        <v>446296.30368121527</v>
      </c>
      <c r="DS153" s="92">
        <f t="shared" si="3045"/>
        <v>447215.60099463467</v>
      </c>
      <c r="DT153" s="92">
        <f t="shared" si="3045"/>
        <v>448136.79191000288</v>
      </c>
      <c r="DU153" s="92">
        <f t="shared" si="3045"/>
        <v>449059.88032783021</v>
      </c>
      <c r="DV153" s="92">
        <f t="shared" si="3045"/>
        <v>449984.87015666062</v>
      </c>
      <c r="DW153" s="92">
        <f t="shared" si="3045"/>
        <v>450911.76531308994</v>
      </c>
      <c r="DX153" s="92">
        <f t="shared" si="3045"/>
        <v>451840.56972178043</v>
      </c>
      <c r="DY153" s="92">
        <f t="shared" si="3045"/>
        <v>452771.28731547995</v>
      </c>
      <c r="DZ153" s="92">
        <f t="shared" si="3045"/>
        <v>453703.92203503585</v>
      </c>
      <c r="EA153" s="92">
        <f t="shared" si="3045"/>
        <v>454638.47782941337</v>
      </c>
      <c r="EB153" s="92">
        <f t="shared" si="3045"/>
        <v>455574.95865571237</v>
      </c>
      <c r="EC153" s="92">
        <f t="shared" si="3045"/>
        <v>456513.36847918376</v>
      </c>
      <c r="ED153" s="92">
        <f t="shared" si="3045"/>
        <v>457453.71127324516</v>
      </c>
      <c r="EE153" s="92">
        <f t="shared" si="3045"/>
        <v>458395.9910194999</v>
      </c>
      <c r="EF153" s="92">
        <f t="shared" si="3045"/>
        <v>459340.21170775243</v>
      </c>
      <c r="EG153" s="92">
        <f t="shared" si="3045"/>
        <v>460286.3773360253</v>
      </c>
      <c r="EH153" s="92">
        <f t="shared" si="3045"/>
        <v>461234.49191057653</v>
      </c>
      <c r="EI153" s="92">
        <f t="shared" si="3045"/>
        <v>462184.55944591644</v>
      </c>
      <c r="EJ153" s="92">
        <f t="shared" si="3045"/>
        <v>463136.58396482444</v>
      </c>
      <c r="EK153" s="92">
        <f t="shared" si="3045"/>
        <v>464090.56949836633</v>
      </c>
      <c r="EL153" s="92">
        <f t="shared" si="3045"/>
        <v>465046.52008591103</v>
      </c>
      <c r="EM153" s="92">
        <f t="shared" si="3045"/>
        <v>466004.43977514817</v>
      </c>
      <c r="EN153" s="92">
        <f t="shared" si="3045"/>
        <v>466964.33262210473</v>
      </c>
      <c r="EO153" s="92">
        <f t="shared" si="3045"/>
        <v>467926.20269116259</v>
      </c>
      <c r="EP153" s="92">
        <f t="shared" si="3045"/>
        <v>468890.05405507563</v>
      </c>
      <c r="EQ153" s="92">
        <f t="shared" si="3045"/>
        <v>469855.8907949868</v>
      </c>
      <c r="ER153" s="92">
        <f t="shared" ref="ER153:EU153" si="3046">+ER148-ER152</f>
        <v>470823.71700044564</v>
      </c>
      <c r="ES153" s="92">
        <f t="shared" si="3046"/>
        <v>471793.53676942538</v>
      </c>
      <c r="ET153" s="92">
        <f t="shared" si="3046"/>
        <v>472765.35420834029</v>
      </c>
      <c r="EU153" s="92">
        <f t="shared" si="3046"/>
        <v>473739.17343206372</v>
      </c>
      <c r="FC153" s="199"/>
      <c r="FD153" s="199"/>
      <c r="FE153" s="199"/>
      <c r="FF153" s="199"/>
      <c r="FG153" s="199"/>
      <c r="FH153" s="199"/>
      <c r="FI153" s="199"/>
      <c r="FJ153" s="199"/>
      <c r="FK153" s="199"/>
      <c r="FL153" s="199"/>
      <c r="FM153" s="199"/>
      <c r="FN153" s="199"/>
      <c r="FO153" s="199"/>
      <c r="FP153" s="199"/>
      <c r="FQ153" s="199"/>
      <c r="FR153" s="199"/>
      <c r="FS153" s="199"/>
      <c r="FT153" s="199"/>
      <c r="FU153" s="199"/>
      <c r="FV153" s="199"/>
      <c r="FW153" s="199"/>
      <c r="FX153" s="199"/>
      <c r="FY153" s="199"/>
      <c r="FZ153" s="199"/>
      <c r="GA153" s="199"/>
      <c r="GB153" s="199"/>
      <c r="GC153" s="199"/>
      <c r="GD153" s="199"/>
      <c r="GE153" s="199"/>
      <c r="GF153" s="199"/>
      <c r="GG153" s="199"/>
      <c r="GH153" s="199"/>
      <c r="GI153" s="199"/>
      <c r="GJ153" s="199"/>
      <c r="GK153" s="199"/>
      <c r="GL153" s="199"/>
      <c r="GM153" s="199"/>
      <c r="GN153" s="199"/>
      <c r="GO153" s="199"/>
      <c r="GP153" s="199"/>
      <c r="GQ153" s="199"/>
      <c r="GR153" s="199"/>
      <c r="GS153" s="199"/>
      <c r="GT153" s="199"/>
      <c r="GU153" s="199"/>
      <c r="GV153" s="199"/>
      <c r="GW153" s="199"/>
      <c r="GX153" s="199"/>
      <c r="GY153" s="199"/>
      <c r="GZ153" s="199"/>
      <c r="HA153" s="199"/>
      <c r="HB153" s="199"/>
      <c r="HC153" s="199"/>
      <c r="HD153" s="199"/>
      <c r="HE153" s="199"/>
      <c r="HF153" s="199"/>
      <c r="HG153" s="199"/>
      <c r="HH153" s="199"/>
      <c r="HI153" s="199"/>
      <c r="HJ153" s="199"/>
      <c r="HK153" s="199"/>
      <c r="HL153" s="199"/>
      <c r="HM153" s="199"/>
      <c r="HN153" s="199"/>
      <c r="HO153" s="199"/>
      <c r="HP153" s="199"/>
      <c r="HQ153" s="199"/>
      <c r="HR153" s="199"/>
      <c r="HS153" s="199"/>
      <c r="HT153" s="199"/>
      <c r="HU153" s="199"/>
      <c r="HV153" s="199"/>
      <c r="HW153" s="199"/>
      <c r="HX153" s="199"/>
      <c r="HY153" s="199"/>
      <c r="HZ153" s="199"/>
      <c r="IA153" s="199"/>
      <c r="IB153" s="199"/>
      <c r="IC153" s="199"/>
      <c r="ID153" s="199"/>
      <c r="IE153" s="199"/>
      <c r="IF153" s="199"/>
      <c r="IG153" s="199"/>
      <c r="IH153" s="199"/>
      <c r="II153" s="199"/>
      <c r="IJ153" s="199"/>
      <c r="IK153" s="199"/>
      <c r="IL153" s="199"/>
      <c r="IM153" s="199"/>
      <c r="IN153" s="199"/>
      <c r="IO153" s="199"/>
      <c r="IP153" s="199"/>
      <c r="IQ153" s="199"/>
      <c r="IR153" s="199"/>
      <c r="IS153" s="199"/>
      <c r="IT153" s="199"/>
      <c r="IU153" s="199"/>
      <c r="IV153" s="199"/>
      <c r="IW153" s="199"/>
      <c r="IX153" s="199"/>
      <c r="IY153" s="199"/>
      <c r="IZ153" s="199"/>
      <c r="JA153" s="199"/>
      <c r="JB153" s="199"/>
      <c r="JC153" s="199"/>
      <c r="JD153" s="199"/>
      <c r="JE153" s="199"/>
      <c r="JF153" s="199"/>
      <c r="JG153" s="199"/>
      <c r="JH153" s="199"/>
      <c r="JI153" s="199"/>
      <c r="JJ153" s="199"/>
      <c r="JK153" s="199"/>
      <c r="JL153" s="199"/>
      <c r="JM153" s="199"/>
      <c r="JN153" s="199"/>
      <c r="JO153" s="199"/>
      <c r="JP153" s="199"/>
      <c r="JQ153" s="199"/>
      <c r="JR153" s="199"/>
      <c r="JS153" s="199"/>
      <c r="JT153" s="199"/>
      <c r="JU153" s="199"/>
      <c r="JV153" s="199"/>
      <c r="JW153" s="199"/>
      <c r="JX153" s="199"/>
      <c r="JY153" s="199"/>
      <c r="JZ153" s="199"/>
      <c r="KA153" s="199"/>
      <c r="KB153" s="199"/>
      <c r="KC153" s="199"/>
      <c r="KD153" s="199"/>
      <c r="KE153" s="199"/>
      <c r="PQ153" s="201"/>
      <c r="PR153" s="201"/>
      <c r="PS153" s="201"/>
      <c r="PT153" s="201"/>
      <c r="PU153" s="201"/>
      <c r="PV153" s="201"/>
      <c r="PW153" s="201"/>
      <c r="PX153" s="201"/>
      <c r="PY153" s="201"/>
      <c r="PZ153" s="201"/>
      <c r="QA153" s="201"/>
      <c r="QB153" s="201"/>
      <c r="QC153" s="201"/>
      <c r="QD153" s="201"/>
      <c r="QE153" s="201"/>
      <c r="QF153" s="201"/>
      <c r="QG153" s="201"/>
      <c r="QH153" s="201"/>
      <c r="QI153" s="201"/>
      <c r="QJ153" s="201"/>
      <c r="QK153" s="201"/>
      <c r="QL153" s="201"/>
      <c r="QM153" s="201"/>
      <c r="QN153" s="201"/>
      <c r="QO153" s="201"/>
      <c r="QP153" s="201"/>
      <c r="QQ153" s="201"/>
      <c r="QR153" s="201"/>
      <c r="QS153" s="201"/>
      <c r="QT153" s="201"/>
      <c r="QU153" s="201"/>
      <c r="QV153" s="201"/>
      <c r="QW153" s="201"/>
      <c r="QX153" s="201"/>
      <c r="QY153" s="201"/>
      <c r="QZ153" s="201"/>
      <c r="RA153" s="201"/>
      <c r="RB153" s="201"/>
      <c r="RC153" s="201"/>
      <c r="RD153" s="201"/>
      <c r="RE153" s="201"/>
      <c r="RF153" s="201"/>
      <c r="RG153" s="201"/>
      <c r="RH153" s="201"/>
      <c r="RI153" s="201"/>
      <c r="RJ153" s="201"/>
      <c r="RK153" s="201"/>
      <c r="RL153" s="201"/>
      <c r="RM153" s="201"/>
      <c r="RN153" s="201"/>
      <c r="RO153" s="201"/>
      <c r="RP153" s="201"/>
      <c r="RQ153" s="201"/>
      <c r="RR153" s="201"/>
      <c r="RS153" s="201"/>
      <c r="RT153" s="201"/>
      <c r="RU153" s="201"/>
      <c r="RV153" s="201"/>
      <c r="RW153" s="201"/>
      <c r="RX153" s="201"/>
      <c r="RY153" s="201"/>
      <c r="RZ153" s="201"/>
      <c r="SA153" s="201"/>
      <c r="SB153" s="201"/>
      <c r="SC153" s="201"/>
      <c r="SD153" s="201"/>
      <c r="SE153" s="201"/>
      <c r="SF153" s="201"/>
      <c r="SG153" s="201"/>
      <c r="SH153" s="201"/>
      <c r="SI153" s="201"/>
      <c r="SJ153" s="201"/>
      <c r="SK153" s="201"/>
      <c r="SL153" s="201"/>
      <c r="SM153" s="201"/>
      <c r="SN153" s="201"/>
      <c r="SO153" s="201"/>
      <c r="SP153" s="201"/>
      <c r="SQ153" s="201"/>
      <c r="SR153" s="201"/>
      <c r="SS153" s="201"/>
      <c r="ST153" s="201"/>
      <c r="SU153" s="201"/>
      <c r="SV153" s="201"/>
      <c r="SW153" s="201"/>
      <c r="SX153" s="201"/>
      <c r="SY153" s="201"/>
      <c r="SZ153" s="201"/>
      <c r="TA153" s="201"/>
      <c r="TB153" s="201"/>
      <c r="TC153" s="201"/>
      <c r="TD153" s="201"/>
      <c r="TE153" s="201"/>
      <c r="TF153" s="201"/>
      <c r="TG153" s="201"/>
      <c r="TH153" s="201"/>
      <c r="TI153" s="201"/>
      <c r="TJ153" s="201"/>
      <c r="TK153" s="201"/>
      <c r="TL153" s="201"/>
      <c r="TM153" s="201"/>
      <c r="TN153" s="201"/>
      <c r="TO153" s="201"/>
      <c r="TP153" s="201"/>
      <c r="TQ153" s="201"/>
      <c r="TR153" s="201"/>
      <c r="TS153" s="201"/>
      <c r="TT153" s="201"/>
      <c r="TU153" s="201"/>
      <c r="TV153" s="201"/>
      <c r="TW153" s="201"/>
      <c r="TX153" s="201"/>
      <c r="TY153" s="201"/>
      <c r="TZ153" s="201"/>
      <c r="UA153" s="201"/>
      <c r="UB153" s="201"/>
      <c r="UC153" s="201"/>
      <c r="UD153" s="201"/>
      <c r="UE153" s="201"/>
      <c r="UF153" s="201"/>
      <c r="UG153" s="201"/>
      <c r="UH153" s="201"/>
      <c r="UI153" s="201"/>
      <c r="UJ153" s="201"/>
      <c r="UK153" s="201"/>
      <c r="UL153" s="201"/>
      <c r="UM153" s="201"/>
      <c r="UN153" s="201"/>
      <c r="UO153" s="201"/>
      <c r="UP153" s="201"/>
      <c r="UQ153" s="201"/>
      <c r="UR153" s="201"/>
      <c r="US153" s="201"/>
      <c r="UT153" s="201"/>
      <c r="UU153" s="201"/>
    </row>
    <row r="154" spans="2:567" ht="5.0999999999999996" customHeight="1" x14ac:dyDescent="0.25">
      <c r="B154" s="18"/>
      <c r="C154" s="18"/>
      <c r="D154" s="18"/>
      <c r="E154" s="18"/>
      <c r="F154" s="18"/>
      <c r="G154" s="18"/>
      <c r="H154" s="18"/>
      <c r="I154" s="18"/>
      <c r="J154" s="34"/>
      <c r="K154" s="34"/>
      <c r="FC154" s="199"/>
      <c r="FD154" s="199"/>
      <c r="FE154" s="199"/>
      <c r="FF154" s="199"/>
      <c r="FG154" s="199"/>
      <c r="FH154" s="199"/>
      <c r="FI154" s="199"/>
      <c r="FJ154" s="199"/>
      <c r="FK154" s="199"/>
      <c r="FL154" s="199"/>
      <c r="FM154" s="199"/>
      <c r="FN154" s="199"/>
      <c r="FO154" s="199"/>
      <c r="FP154" s="199"/>
      <c r="FQ154" s="199"/>
      <c r="FR154" s="199"/>
      <c r="FS154" s="199"/>
      <c r="FT154" s="199"/>
      <c r="FU154" s="199"/>
      <c r="FV154" s="199"/>
      <c r="FW154" s="199"/>
      <c r="FX154" s="199"/>
      <c r="FY154" s="199"/>
      <c r="FZ154" s="199"/>
      <c r="GA154" s="199"/>
      <c r="GB154" s="199"/>
      <c r="GC154" s="199"/>
      <c r="GD154" s="199"/>
      <c r="GE154" s="199"/>
      <c r="GF154" s="199"/>
      <c r="GG154" s="199"/>
      <c r="GH154" s="199"/>
      <c r="GI154" s="199"/>
      <c r="GJ154" s="199"/>
      <c r="GK154" s="199"/>
      <c r="GL154" s="199"/>
      <c r="GM154" s="199"/>
      <c r="GN154" s="199"/>
      <c r="GO154" s="199"/>
      <c r="GP154" s="199"/>
      <c r="GQ154" s="199"/>
      <c r="GR154" s="199"/>
      <c r="GS154" s="199"/>
      <c r="GT154" s="199"/>
      <c r="GU154" s="199"/>
      <c r="GV154" s="199"/>
      <c r="GW154" s="199"/>
      <c r="GX154" s="199"/>
      <c r="GY154" s="199"/>
      <c r="GZ154" s="199"/>
      <c r="HA154" s="199"/>
      <c r="HB154" s="199"/>
      <c r="HC154" s="199"/>
      <c r="HD154" s="199"/>
      <c r="HE154" s="199"/>
      <c r="HF154" s="199"/>
      <c r="HG154" s="199"/>
      <c r="HH154" s="199"/>
      <c r="HI154" s="199"/>
      <c r="HJ154" s="199"/>
      <c r="HK154" s="199"/>
      <c r="HL154" s="199"/>
      <c r="HM154" s="199"/>
      <c r="HN154" s="199"/>
      <c r="HO154" s="199"/>
      <c r="HP154" s="199"/>
      <c r="HQ154" s="199"/>
      <c r="HR154" s="199"/>
      <c r="HS154" s="199"/>
      <c r="HT154" s="199"/>
      <c r="HU154" s="199"/>
      <c r="HV154" s="199"/>
      <c r="HW154" s="199"/>
      <c r="HX154" s="199"/>
      <c r="HY154" s="199"/>
      <c r="HZ154" s="199"/>
      <c r="IA154" s="199"/>
      <c r="IB154" s="199"/>
      <c r="IC154" s="199"/>
      <c r="ID154" s="199"/>
      <c r="IE154" s="199"/>
      <c r="IF154" s="199"/>
      <c r="IG154" s="199"/>
      <c r="IH154" s="199"/>
      <c r="II154" s="199"/>
      <c r="IJ154" s="199"/>
      <c r="IK154" s="199"/>
      <c r="IL154" s="199"/>
      <c r="IM154" s="199"/>
      <c r="IN154" s="199"/>
      <c r="IO154" s="199"/>
      <c r="IP154" s="199"/>
      <c r="IQ154" s="199"/>
      <c r="IR154" s="199"/>
      <c r="IS154" s="199"/>
      <c r="IT154" s="199"/>
      <c r="IU154" s="199"/>
      <c r="IV154" s="199"/>
      <c r="IW154" s="199"/>
      <c r="IX154" s="199"/>
      <c r="IY154" s="199"/>
      <c r="IZ154" s="199"/>
      <c r="JA154" s="199"/>
      <c r="JB154" s="199"/>
      <c r="JC154" s="199"/>
      <c r="JD154" s="199"/>
      <c r="JE154" s="199"/>
      <c r="JF154" s="199"/>
      <c r="JG154" s="199"/>
      <c r="JH154" s="199"/>
      <c r="JI154" s="199"/>
      <c r="JJ154" s="199"/>
      <c r="JK154" s="199"/>
      <c r="JL154" s="199"/>
      <c r="JM154" s="199"/>
      <c r="JN154" s="199"/>
      <c r="JO154" s="199"/>
      <c r="JP154" s="199"/>
      <c r="JQ154" s="199"/>
      <c r="JR154" s="199"/>
      <c r="JS154" s="199"/>
      <c r="JT154" s="199"/>
      <c r="JU154" s="199"/>
      <c r="JV154" s="199"/>
      <c r="JW154" s="199"/>
      <c r="JX154" s="199"/>
      <c r="JY154" s="199"/>
      <c r="JZ154" s="199"/>
      <c r="KA154" s="199"/>
      <c r="KB154" s="199"/>
      <c r="KC154" s="199"/>
      <c r="KD154" s="199"/>
      <c r="KE154" s="199"/>
      <c r="PQ154" s="201"/>
      <c r="PR154" s="201"/>
      <c r="PS154" s="201"/>
      <c r="PT154" s="201"/>
      <c r="PU154" s="201"/>
      <c r="PV154" s="201"/>
      <c r="PW154" s="201"/>
      <c r="PX154" s="201"/>
      <c r="PY154" s="201"/>
      <c r="PZ154" s="201"/>
      <c r="QA154" s="201"/>
      <c r="QB154" s="201"/>
      <c r="QC154" s="201"/>
      <c r="QD154" s="201"/>
      <c r="QE154" s="201"/>
      <c r="QF154" s="201"/>
      <c r="QG154" s="201"/>
      <c r="QH154" s="201"/>
      <c r="QI154" s="201"/>
      <c r="QJ154" s="201"/>
      <c r="QK154" s="201"/>
      <c r="QL154" s="201"/>
      <c r="QM154" s="201"/>
      <c r="QN154" s="201"/>
      <c r="QO154" s="201"/>
      <c r="QP154" s="201"/>
      <c r="QQ154" s="201"/>
      <c r="QR154" s="201"/>
      <c r="QS154" s="201"/>
      <c r="QT154" s="201"/>
      <c r="QU154" s="201"/>
      <c r="QV154" s="201"/>
      <c r="QW154" s="201"/>
      <c r="QX154" s="201"/>
      <c r="QY154" s="201"/>
      <c r="QZ154" s="201"/>
      <c r="RA154" s="201"/>
      <c r="RB154" s="201"/>
      <c r="RC154" s="201"/>
      <c r="RD154" s="201"/>
      <c r="RE154" s="201"/>
      <c r="RF154" s="201"/>
      <c r="RG154" s="201"/>
      <c r="RH154" s="201"/>
      <c r="RI154" s="201"/>
      <c r="RJ154" s="201"/>
      <c r="RK154" s="201"/>
      <c r="RL154" s="201"/>
      <c r="RM154" s="201"/>
      <c r="RN154" s="201"/>
      <c r="RO154" s="201"/>
      <c r="RP154" s="201"/>
      <c r="RQ154" s="201"/>
      <c r="RR154" s="201"/>
      <c r="RS154" s="201"/>
      <c r="RT154" s="201"/>
      <c r="RU154" s="201"/>
      <c r="RV154" s="201"/>
      <c r="RW154" s="201"/>
      <c r="RX154" s="201"/>
      <c r="RY154" s="201"/>
      <c r="RZ154" s="201"/>
      <c r="SA154" s="201"/>
      <c r="SB154" s="201"/>
      <c r="SC154" s="201"/>
      <c r="SD154" s="201"/>
      <c r="SE154" s="201"/>
      <c r="SF154" s="201"/>
      <c r="SG154" s="201"/>
      <c r="SH154" s="201"/>
      <c r="SI154" s="201"/>
      <c r="SJ154" s="201"/>
      <c r="SK154" s="201"/>
      <c r="SL154" s="201"/>
      <c r="SM154" s="201"/>
      <c r="SN154" s="201"/>
      <c r="SO154" s="201"/>
      <c r="SP154" s="201"/>
      <c r="SQ154" s="201"/>
      <c r="SR154" s="201"/>
      <c r="SS154" s="201"/>
      <c r="ST154" s="201"/>
      <c r="SU154" s="201"/>
      <c r="SV154" s="201"/>
      <c r="SW154" s="201"/>
      <c r="SX154" s="201"/>
      <c r="SY154" s="201"/>
      <c r="SZ154" s="201"/>
      <c r="TA154" s="201"/>
      <c r="TB154" s="201"/>
      <c r="TC154" s="201"/>
      <c r="TD154" s="201"/>
      <c r="TE154" s="201"/>
      <c r="TF154" s="201"/>
      <c r="TG154" s="201"/>
      <c r="TH154" s="201"/>
      <c r="TI154" s="201"/>
      <c r="TJ154" s="201"/>
      <c r="TK154" s="201"/>
      <c r="TL154" s="201"/>
      <c r="TM154" s="201"/>
      <c r="TN154" s="201"/>
      <c r="TO154" s="201"/>
      <c r="TP154" s="201"/>
      <c r="TQ154" s="201"/>
      <c r="TR154" s="201"/>
      <c r="TS154" s="201"/>
      <c r="TT154" s="201"/>
      <c r="TU154" s="201"/>
      <c r="TV154" s="201"/>
      <c r="TW154" s="201"/>
      <c r="TX154" s="201"/>
      <c r="TY154" s="201"/>
      <c r="TZ154" s="201"/>
      <c r="UA154" s="201"/>
      <c r="UB154" s="201"/>
      <c r="UC154" s="201"/>
      <c r="UD154" s="201"/>
      <c r="UE154" s="201"/>
      <c r="UF154" s="201"/>
      <c r="UG154" s="201"/>
      <c r="UH154" s="201"/>
      <c r="UI154" s="201"/>
      <c r="UJ154" s="201"/>
      <c r="UK154" s="201"/>
      <c r="UL154" s="201"/>
      <c r="UM154" s="201"/>
      <c r="UN154" s="201"/>
      <c r="UO154" s="201"/>
      <c r="UP154" s="201"/>
      <c r="UQ154" s="201"/>
      <c r="UR154" s="201"/>
      <c r="US154" s="201"/>
      <c r="UT154" s="201"/>
      <c r="UU154" s="201"/>
    </row>
    <row r="155" spans="2:567" x14ac:dyDescent="0.25">
      <c r="B155" s="28" t="s">
        <v>97</v>
      </c>
      <c r="C155" s="29"/>
      <c r="D155" s="29" t="s">
        <v>188</v>
      </c>
      <c r="E155" s="29" t="s">
        <v>99</v>
      </c>
      <c r="F155" s="18"/>
      <c r="G155" s="18"/>
      <c r="H155" s="18"/>
      <c r="I155" s="18"/>
      <c r="J155" s="194">
        <v>1</v>
      </c>
      <c r="K155" s="194">
        <f>MIN(Analysis_Period,K105+1)</f>
        <v>25</v>
      </c>
      <c r="FC155" s="199"/>
      <c r="FD155" s="199"/>
      <c r="FE155" s="199"/>
      <c r="FF155" s="199"/>
      <c r="FG155" s="199"/>
      <c r="FH155" s="199"/>
      <c r="FI155" s="199"/>
      <c r="FJ155" s="199"/>
      <c r="FK155" s="199"/>
      <c r="FL155" s="199"/>
      <c r="FM155" s="199"/>
      <c r="FN155" s="199"/>
      <c r="FO155" s="199"/>
      <c r="FP155" s="199"/>
      <c r="FQ155" s="199"/>
      <c r="FR155" s="199"/>
      <c r="FS155" s="199"/>
      <c r="FT155" s="199"/>
      <c r="FU155" s="199"/>
      <c r="FV155" s="199"/>
      <c r="FW155" s="199"/>
      <c r="FX155" s="199"/>
      <c r="FY155" s="199"/>
      <c r="FZ155" s="199"/>
      <c r="GA155" s="199"/>
      <c r="GB155" s="199"/>
      <c r="GC155" s="199"/>
      <c r="GD155" s="199"/>
      <c r="GE155" s="199"/>
      <c r="GF155" s="199"/>
      <c r="GG155" s="199"/>
      <c r="GH155" s="199"/>
      <c r="GI155" s="199"/>
      <c r="GJ155" s="199"/>
      <c r="GK155" s="199"/>
      <c r="GL155" s="199"/>
      <c r="GM155" s="199"/>
      <c r="GN155" s="199"/>
      <c r="GO155" s="199"/>
      <c r="GP155" s="199"/>
      <c r="GQ155" s="199"/>
      <c r="GR155" s="199"/>
      <c r="GS155" s="199"/>
      <c r="GT155" s="199"/>
      <c r="GU155" s="199"/>
      <c r="GV155" s="199"/>
      <c r="GW155" s="199"/>
      <c r="GX155" s="199"/>
      <c r="GY155" s="199"/>
      <c r="GZ155" s="199"/>
      <c r="HA155" s="199"/>
      <c r="HB155" s="199"/>
      <c r="HC155" s="199"/>
      <c r="HD155" s="199"/>
      <c r="HE155" s="199"/>
      <c r="HF155" s="199"/>
      <c r="HG155" s="199"/>
      <c r="HH155" s="199"/>
      <c r="HI155" s="199"/>
      <c r="HJ155" s="199"/>
      <c r="HK155" s="199"/>
      <c r="HL155" s="199"/>
      <c r="HM155" s="199"/>
      <c r="HN155" s="199"/>
      <c r="HO155" s="199"/>
      <c r="HP155" s="199"/>
      <c r="HQ155" s="199"/>
      <c r="HR155" s="199"/>
      <c r="HS155" s="199"/>
      <c r="HT155" s="199"/>
      <c r="HU155" s="199"/>
      <c r="HV155" s="199"/>
      <c r="HW155" s="199"/>
      <c r="HX155" s="199"/>
      <c r="HY155" s="199"/>
      <c r="HZ155" s="199"/>
      <c r="IA155" s="199"/>
      <c r="IB155" s="199"/>
      <c r="IC155" s="199"/>
      <c r="ID155" s="199"/>
      <c r="IE155" s="199"/>
      <c r="IF155" s="199"/>
      <c r="IG155" s="199"/>
      <c r="IH155" s="199"/>
      <c r="II155" s="199"/>
      <c r="IJ155" s="199"/>
      <c r="IK155" s="199"/>
      <c r="IL155" s="199"/>
      <c r="IM155" s="199"/>
      <c r="IN155" s="199"/>
      <c r="IO155" s="199"/>
      <c r="IP155" s="199"/>
      <c r="IQ155" s="199"/>
      <c r="IR155" s="199"/>
      <c r="IS155" s="199"/>
      <c r="IT155" s="199"/>
      <c r="IU155" s="199"/>
      <c r="IV155" s="199"/>
      <c r="IW155" s="199"/>
      <c r="IX155" s="199"/>
      <c r="IY155" s="199"/>
      <c r="IZ155" s="199"/>
      <c r="JA155" s="199"/>
      <c r="JB155" s="199"/>
      <c r="JC155" s="199"/>
      <c r="JD155" s="199"/>
      <c r="JE155" s="199"/>
      <c r="JF155" s="199"/>
      <c r="JG155" s="199"/>
      <c r="JH155" s="199"/>
      <c r="JI155" s="199"/>
      <c r="JJ155" s="199"/>
      <c r="JK155" s="199"/>
      <c r="JL155" s="199"/>
      <c r="JM155" s="199"/>
      <c r="JN155" s="199"/>
      <c r="JO155" s="199"/>
      <c r="JP155" s="199"/>
      <c r="JQ155" s="199"/>
      <c r="JR155" s="199"/>
      <c r="JS155" s="199"/>
      <c r="JT155" s="199"/>
      <c r="JU155" s="199"/>
      <c r="JV155" s="199"/>
      <c r="JW155" s="199"/>
      <c r="JX155" s="199"/>
      <c r="JY155" s="199"/>
      <c r="JZ155" s="199"/>
      <c r="KA155" s="199"/>
      <c r="KB155" s="199"/>
      <c r="KC155" s="199"/>
      <c r="KD155" s="199"/>
      <c r="KE155" s="199"/>
      <c r="PQ155" s="201"/>
      <c r="PR155" s="201"/>
      <c r="PS155" s="201"/>
      <c r="PT155" s="201"/>
      <c r="PU155" s="201"/>
      <c r="PV155" s="201"/>
      <c r="PW155" s="201"/>
      <c r="PX155" s="201"/>
      <c r="PY155" s="201"/>
      <c r="PZ155" s="201"/>
      <c r="QA155" s="201"/>
      <c r="QB155" s="201"/>
      <c r="QC155" s="201"/>
      <c r="QD155" s="201"/>
      <c r="QE155" s="201"/>
      <c r="QF155" s="201"/>
      <c r="QG155" s="201"/>
      <c r="QH155" s="201"/>
      <c r="QI155" s="201"/>
      <c r="QJ155" s="201"/>
      <c r="QK155" s="201"/>
      <c r="QL155" s="201"/>
      <c r="QM155" s="201"/>
      <c r="QN155" s="201"/>
      <c r="QO155" s="201"/>
      <c r="QP155" s="201"/>
      <c r="QQ155" s="201"/>
      <c r="QR155" s="201"/>
      <c r="QS155" s="201"/>
      <c r="QT155" s="201"/>
      <c r="QU155" s="201"/>
      <c r="QV155" s="201"/>
      <c r="QW155" s="201"/>
      <c r="QX155" s="201"/>
      <c r="QY155" s="201"/>
      <c r="QZ155" s="201"/>
      <c r="RA155" s="201"/>
      <c r="RB155" s="201"/>
      <c r="RC155" s="201"/>
      <c r="RD155" s="201"/>
      <c r="RE155" s="201"/>
      <c r="RF155" s="201"/>
      <c r="RG155" s="201"/>
      <c r="RH155" s="201"/>
      <c r="RI155" s="201"/>
      <c r="RJ155" s="201"/>
      <c r="RK155" s="201"/>
      <c r="RL155" s="201"/>
      <c r="RM155" s="201"/>
      <c r="RN155" s="201"/>
      <c r="RO155" s="201"/>
      <c r="RP155" s="201"/>
      <c r="RQ155" s="201"/>
      <c r="RR155" s="201"/>
      <c r="RS155" s="201"/>
      <c r="RT155" s="201"/>
      <c r="RU155" s="201"/>
      <c r="RV155" s="201"/>
      <c r="RW155" s="201"/>
      <c r="RX155" s="201"/>
      <c r="RY155" s="201"/>
      <c r="RZ155" s="201"/>
      <c r="SA155" s="201"/>
      <c r="SB155" s="201"/>
      <c r="SC155" s="201"/>
      <c r="SD155" s="201"/>
      <c r="SE155" s="201"/>
      <c r="SF155" s="201"/>
      <c r="SG155" s="201"/>
      <c r="SH155" s="201"/>
      <c r="SI155" s="201"/>
      <c r="SJ155" s="201"/>
      <c r="SK155" s="201"/>
      <c r="SL155" s="201"/>
      <c r="SM155" s="201"/>
      <c r="SN155" s="201"/>
      <c r="SO155" s="201"/>
      <c r="SP155" s="201"/>
      <c r="SQ155" s="201"/>
      <c r="SR155" s="201"/>
      <c r="SS155" s="201"/>
      <c r="ST155" s="201"/>
      <c r="SU155" s="201"/>
      <c r="SV155" s="201"/>
      <c r="SW155" s="201"/>
      <c r="SX155" s="201"/>
      <c r="SY155" s="201"/>
      <c r="SZ155" s="201"/>
      <c r="TA155" s="201"/>
      <c r="TB155" s="201"/>
      <c r="TC155" s="201"/>
      <c r="TD155" s="201"/>
      <c r="TE155" s="201"/>
      <c r="TF155" s="201"/>
      <c r="TG155" s="201"/>
      <c r="TH155" s="201"/>
      <c r="TI155" s="201"/>
      <c r="TJ155" s="201"/>
      <c r="TK155" s="201"/>
      <c r="TL155" s="201"/>
      <c r="TM155" s="201"/>
      <c r="TN155" s="201"/>
      <c r="TO155" s="201"/>
      <c r="TP155" s="201"/>
      <c r="TQ155" s="201"/>
      <c r="TR155" s="201"/>
      <c r="TS155" s="201"/>
      <c r="TT155" s="201"/>
      <c r="TU155" s="201"/>
      <c r="TV155" s="201"/>
      <c r="TW155" s="201"/>
      <c r="TX155" s="201"/>
      <c r="TY155" s="201"/>
      <c r="TZ155" s="201"/>
      <c r="UA155" s="201"/>
      <c r="UB155" s="201"/>
      <c r="UC155" s="201"/>
      <c r="UD155" s="201"/>
      <c r="UE155" s="201"/>
      <c r="UF155" s="201"/>
      <c r="UG155" s="201"/>
      <c r="UH155" s="201"/>
      <c r="UI155" s="201"/>
      <c r="UJ155" s="201"/>
      <c r="UK155" s="201"/>
      <c r="UL155" s="201"/>
      <c r="UM155" s="201"/>
      <c r="UN155" s="201"/>
      <c r="UO155" s="201"/>
      <c r="UP155" s="201"/>
      <c r="UQ155" s="201"/>
      <c r="UR155" s="201"/>
      <c r="US155" s="201"/>
      <c r="UT155" s="201"/>
      <c r="UU155" s="201"/>
    </row>
    <row r="156" spans="2:567" x14ac:dyDescent="0.25">
      <c r="B156" s="54" t="str">
        <f>+B80</f>
        <v>Senior Loan</v>
      </c>
      <c r="C156" s="18"/>
      <c r="D156" s="83">
        <f>+J80</f>
        <v>0</v>
      </c>
      <c r="E156" s="83">
        <f>+K80</f>
        <v>36</v>
      </c>
      <c r="F156" s="18"/>
      <c r="G156" s="18"/>
      <c r="H156" s="18"/>
      <c r="I156" s="18"/>
      <c r="J156" s="153">
        <f>SUM(T156:AE156)</f>
        <v>2071791.0024985129</v>
      </c>
      <c r="K156" s="153">
        <f ca="1">OFFSET($S156,0,K$155,1,1)*12</f>
        <v>2306676.5268089939</v>
      </c>
      <c r="T156" s="92">
        <f t="shared" ref="T156:AC157" si="3047">+FD82</f>
        <v>170839.39151397516</v>
      </c>
      <c r="U156" s="92">
        <f t="shared" si="3047"/>
        <v>169352.52249892824</v>
      </c>
      <c r="V156" s="92">
        <f t="shared" si="3047"/>
        <v>170364.63824811741</v>
      </c>
      <c r="W156" s="92">
        <f t="shared" si="3047"/>
        <v>170839.46102670062</v>
      </c>
      <c r="X156" s="92">
        <f t="shared" si="3047"/>
        <v>170497.01062406416</v>
      </c>
      <c r="Y156" s="92">
        <f t="shared" si="3047"/>
        <v>171508.27376554461</v>
      </c>
      <c r="Z156" s="92">
        <f t="shared" si="3047"/>
        <v>172404.81773201394</v>
      </c>
      <c r="AA156" s="92">
        <f t="shared" si="3047"/>
        <v>173095.01719107726</v>
      </c>
      <c r="AB156" s="92">
        <f t="shared" si="3047"/>
        <v>174102.27245643389</v>
      </c>
      <c r="AC156" s="92">
        <f t="shared" si="3047"/>
        <v>175157.34914045248</v>
      </c>
      <c r="AD156" s="92">
        <f t="shared" ref="AD156:AM157" si="3048">+FN82</f>
        <v>176248.14656945746</v>
      </c>
      <c r="AE156" s="92">
        <f t="shared" si="3048"/>
        <v>177382.10173174771</v>
      </c>
      <c r="AF156" s="92">
        <f t="shared" si="3048"/>
        <v>178550.45638428757</v>
      </c>
      <c r="AG156" s="92">
        <f t="shared" si="3048"/>
        <v>179801.46350015534</v>
      </c>
      <c r="AH156" s="92">
        <f t="shared" si="3048"/>
        <v>181044.54724313825</v>
      </c>
      <c r="AI156" s="92">
        <f t="shared" si="3048"/>
        <v>182305.14014200034</v>
      </c>
      <c r="AJ156" s="92">
        <f t="shared" si="3048"/>
        <v>183585.50021750201</v>
      </c>
      <c r="AK156" s="92">
        <f t="shared" si="3048"/>
        <v>184878.84913953219</v>
      </c>
      <c r="AL156" s="92">
        <f t="shared" si="3048"/>
        <v>186197.8675474654</v>
      </c>
      <c r="AM156" s="92">
        <f t="shared" si="3048"/>
        <v>187506.54356414909</v>
      </c>
      <c r="AN156" s="92">
        <f t="shared" ref="AN156:AW157" si="3049">+FX82</f>
        <v>188833.71672398056</v>
      </c>
      <c r="AO156" s="92">
        <f t="shared" si="3049"/>
        <v>190181.70086620664</v>
      </c>
      <c r="AP156" s="92">
        <f t="shared" si="3049"/>
        <v>191545.25047912708</v>
      </c>
      <c r="AQ156" s="92">
        <f t="shared" si="3049"/>
        <v>191867.72945025112</v>
      </c>
      <c r="AR156" s="92">
        <f t="shared" si="3049"/>
        <v>192223.04390074947</v>
      </c>
      <c r="AS156" s="92">
        <f t="shared" si="3049"/>
        <v>192584.92544712353</v>
      </c>
      <c r="AT156" s="92">
        <f t="shared" si="3049"/>
        <v>192902.21986887616</v>
      </c>
      <c r="AU156" s="92">
        <f t="shared" si="3049"/>
        <v>193252.00413337519</v>
      </c>
      <c r="AV156" s="92">
        <f t="shared" si="3049"/>
        <v>193561.69454937655</v>
      </c>
      <c r="AW156" s="92">
        <f t="shared" si="3049"/>
        <v>193860.67023000124</v>
      </c>
      <c r="AX156" s="92">
        <f t="shared" ref="AX156:BG157" si="3050">+GH82</f>
        <v>194153.42445137672</v>
      </c>
      <c r="AY156" s="92">
        <f t="shared" si="3050"/>
        <v>194420.60156249945</v>
      </c>
      <c r="AZ156" s="92">
        <f t="shared" si="3050"/>
        <v>194706.44305137469</v>
      </c>
      <c r="BA156" s="92">
        <f t="shared" si="3050"/>
        <v>194939.05649999995</v>
      </c>
      <c r="BB156" s="92">
        <f t="shared" si="3050"/>
        <v>195166.83103587519</v>
      </c>
      <c r="BC156" s="92">
        <f t="shared" si="3050"/>
        <v>195387.69283925137</v>
      </c>
      <c r="BD156" s="92">
        <f t="shared" si="3050"/>
        <v>0</v>
      </c>
      <c r="BE156" s="92">
        <f t="shared" si="3050"/>
        <v>0</v>
      </c>
      <c r="BF156" s="92">
        <f t="shared" si="3050"/>
        <v>0</v>
      </c>
      <c r="BG156" s="92">
        <f t="shared" si="3050"/>
        <v>0</v>
      </c>
      <c r="BH156" s="92">
        <f t="shared" ref="BH156:BQ157" si="3051">+GR82</f>
        <v>0</v>
      </c>
      <c r="BI156" s="92">
        <f t="shared" si="3051"/>
        <v>0</v>
      </c>
      <c r="BJ156" s="92">
        <f t="shared" si="3051"/>
        <v>0</v>
      </c>
      <c r="BK156" s="92">
        <f t="shared" si="3051"/>
        <v>0</v>
      </c>
      <c r="BL156" s="92">
        <f t="shared" si="3051"/>
        <v>0</v>
      </c>
      <c r="BM156" s="92">
        <f t="shared" si="3051"/>
        <v>0</v>
      </c>
      <c r="BN156" s="92">
        <f t="shared" si="3051"/>
        <v>0</v>
      </c>
      <c r="BO156" s="92">
        <f t="shared" si="3051"/>
        <v>0</v>
      </c>
      <c r="BP156" s="92">
        <f t="shared" si="3051"/>
        <v>0</v>
      </c>
      <c r="BQ156" s="92">
        <f t="shared" si="3051"/>
        <v>0</v>
      </c>
      <c r="BR156" s="92">
        <f t="shared" ref="BR156:CA157" si="3052">+HB82</f>
        <v>0</v>
      </c>
      <c r="BS156" s="92">
        <f t="shared" si="3052"/>
        <v>0</v>
      </c>
      <c r="BT156" s="92">
        <f t="shared" si="3052"/>
        <v>0</v>
      </c>
      <c r="BU156" s="92">
        <f t="shared" si="3052"/>
        <v>0</v>
      </c>
      <c r="BV156" s="92">
        <f t="shared" si="3052"/>
        <v>0</v>
      </c>
      <c r="BW156" s="92">
        <f t="shared" si="3052"/>
        <v>0</v>
      </c>
      <c r="BX156" s="92">
        <f t="shared" si="3052"/>
        <v>0</v>
      </c>
      <c r="BY156" s="92">
        <f t="shared" si="3052"/>
        <v>0</v>
      </c>
      <c r="BZ156" s="92">
        <f t="shared" si="3052"/>
        <v>0</v>
      </c>
      <c r="CA156" s="92">
        <f t="shared" si="3052"/>
        <v>0</v>
      </c>
      <c r="CB156" s="92">
        <f t="shared" ref="CB156:CK157" si="3053">+HL82</f>
        <v>0</v>
      </c>
      <c r="CC156" s="92">
        <f t="shared" si="3053"/>
        <v>0</v>
      </c>
      <c r="CD156" s="92">
        <f t="shared" si="3053"/>
        <v>0</v>
      </c>
      <c r="CE156" s="92">
        <f t="shared" si="3053"/>
        <v>0</v>
      </c>
      <c r="CF156" s="92">
        <f t="shared" si="3053"/>
        <v>0</v>
      </c>
      <c r="CG156" s="92">
        <f t="shared" si="3053"/>
        <v>0</v>
      </c>
      <c r="CH156" s="92">
        <f t="shared" si="3053"/>
        <v>0</v>
      </c>
      <c r="CI156" s="92">
        <f t="shared" si="3053"/>
        <v>0</v>
      </c>
      <c r="CJ156" s="92">
        <f t="shared" si="3053"/>
        <v>0</v>
      </c>
      <c r="CK156" s="92">
        <f t="shared" si="3053"/>
        <v>0</v>
      </c>
      <c r="CL156" s="92">
        <f t="shared" ref="CL156:CU157" si="3054">+HV82</f>
        <v>0</v>
      </c>
      <c r="CM156" s="92">
        <f t="shared" si="3054"/>
        <v>0</v>
      </c>
      <c r="CN156" s="92">
        <f t="shared" si="3054"/>
        <v>0</v>
      </c>
      <c r="CO156" s="92">
        <f t="shared" si="3054"/>
        <v>0</v>
      </c>
      <c r="CP156" s="92">
        <f t="shared" si="3054"/>
        <v>0</v>
      </c>
      <c r="CQ156" s="92">
        <f t="shared" si="3054"/>
        <v>0</v>
      </c>
      <c r="CR156" s="92">
        <f t="shared" si="3054"/>
        <v>0</v>
      </c>
      <c r="CS156" s="92">
        <f t="shared" si="3054"/>
        <v>0</v>
      </c>
      <c r="CT156" s="92">
        <f t="shared" si="3054"/>
        <v>0</v>
      </c>
      <c r="CU156" s="92">
        <f t="shared" si="3054"/>
        <v>0</v>
      </c>
      <c r="CV156" s="92">
        <f t="shared" ref="CV156:DE157" si="3055">+IF82</f>
        <v>0</v>
      </c>
      <c r="CW156" s="92">
        <f t="shared" si="3055"/>
        <v>0</v>
      </c>
      <c r="CX156" s="92">
        <f t="shared" si="3055"/>
        <v>0</v>
      </c>
      <c r="CY156" s="92">
        <f t="shared" si="3055"/>
        <v>0</v>
      </c>
      <c r="CZ156" s="92">
        <f t="shared" si="3055"/>
        <v>0</v>
      </c>
      <c r="DA156" s="92">
        <f t="shared" si="3055"/>
        <v>0</v>
      </c>
      <c r="DB156" s="92">
        <f t="shared" si="3055"/>
        <v>0</v>
      </c>
      <c r="DC156" s="92">
        <f t="shared" si="3055"/>
        <v>0</v>
      </c>
      <c r="DD156" s="92">
        <f t="shared" si="3055"/>
        <v>0</v>
      </c>
      <c r="DE156" s="92">
        <f t="shared" si="3055"/>
        <v>0</v>
      </c>
      <c r="DF156" s="92">
        <f t="shared" ref="DF156:DO157" si="3056">+IP82</f>
        <v>0</v>
      </c>
      <c r="DG156" s="92">
        <f t="shared" si="3056"/>
        <v>0</v>
      </c>
      <c r="DH156" s="92">
        <f t="shared" si="3056"/>
        <v>0</v>
      </c>
      <c r="DI156" s="92">
        <f t="shared" si="3056"/>
        <v>0</v>
      </c>
      <c r="DJ156" s="92">
        <f t="shared" si="3056"/>
        <v>0</v>
      </c>
      <c r="DK156" s="92">
        <f t="shared" si="3056"/>
        <v>0</v>
      </c>
      <c r="DL156" s="92">
        <f t="shared" si="3056"/>
        <v>0</v>
      </c>
      <c r="DM156" s="92">
        <f t="shared" si="3056"/>
        <v>0</v>
      </c>
      <c r="DN156" s="92">
        <f t="shared" si="3056"/>
        <v>0</v>
      </c>
      <c r="DO156" s="92">
        <f t="shared" si="3056"/>
        <v>0</v>
      </c>
      <c r="DP156" s="92">
        <f t="shared" ref="DP156:DY157" si="3057">+IZ82</f>
        <v>0</v>
      </c>
      <c r="DQ156" s="92">
        <f t="shared" si="3057"/>
        <v>0</v>
      </c>
      <c r="DR156" s="92">
        <f t="shared" si="3057"/>
        <v>0</v>
      </c>
      <c r="DS156" s="92">
        <f t="shared" si="3057"/>
        <v>0</v>
      </c>
      <c r="DT156" s="92">
        <f t="shared" si="3057"/>
        <v>0</v>
      </c>
      <c r="DU156" s="92">
        <f t="shared" si="3057"/>
        <v>0</v>
      </c>
      <c r="DV156" s="92">
        <f t="shared" si="3057"/>
        <v>0</v>
      </c>
      <c r="DW156" s="92">
        <f t="shared" si="3057"/>
        <v>0</v>
      </c>
      <c r="DX156" s="92">
        <f t="shared" si="3057"/>
        <v>0</v>
      </c>
      <c r="DY156" s="92">
        <f t="shared" si="3057"/>
        <v>0</v>
      </c>
      <c r="DZ156" s="92">
        <f t="shared" ref="DZ156:EI157" si="3058">+JJ82</f>
        <v>0</v>
      </c>
      <c r="EA156" s="92">
        <f t="shared" si="3058"/>
        <v>0</v>
      </c>
      <c r="EB156" s="92">
        <f t="shared" si="3058"/>
        <v>0</v>
      </c>
      <c r="EC156" s="92">
        <f t="shared" si="3058"/>
        <v>0</v>
      </c>
      <c r="ED156" s="92">
        <f t="shared" si="3058"/>
        <v>0</v>
      </c>
      <c r="EE156" s="92">
        <f t="shared" si="3058"/>
        <v>0</v>
      </c>
      <c r="EF156" s="92">
        <f t="shared" si="3058"/>
        <v>0</v>
      </c>
      <c r="EG156" s="92">
        <f t="shared" si="3058"/>
        <v>0</v>
      </c>
      <c r="EH156" s="92">
        <f t="shared" si="3058"/>
        <v>0</v>
      </c>
      <c r="EI156" s="92">
        <f t="shared" si="3058"/>
        <v>0</v>
      </c>
      <c r="EJ156" s="92">
        <f t="shared" ref="EJ156:ES157" si="3059">+JT82</f>
        <v>0</v>
      </c>
      <c r="EK156" s="92">
        <f t="shared" si="3059"/>
        <v>0</v>
      </c>
      <c r="EL156" s="92">
        <f t="shared" si="3059"/>
        <v>0</v>
      </c>
      <c r="EM156" s="92">
        <f t="shared" si="3059"/>
        <v>0</v>
      </c>
      <c r="EN156" s="92">
        <f t="shared" si="3059"/>
        <v>0</v>
      </c>
      <c r="EO156" s="92">
        <f t="shared" si="3059"/>
        <v>0</v>
      </c>
      <c r="EP156" s="92">
        <f t="shared" si="3059"/>
        <v>0</v>
      </c>
      <c r="EQ156" s="92">
        <f t="shared" si="3059"/>
        <v>0</v>
      </c>
      <c r="ER156" s="92">
        <f t="shared" si="3059"/>
        <v>0</v>
      </c>
      <c r="ES156" s="92">
        <f t="shared" si="3059"/>
        <v>0</v>
      </c>
      <c r="ET156" s="92">
        <f t="shared" ref="ET156:EU157" si="3060">+KD82</f>
        <v>0</v>
      </c>
      <c r="EU156" s="92">
        <f t="shared" si="3060"/>
        <v>0</v>
      </c>
      <c r="FC156" s="199"/>
      <c r="FD156" s="199"/>
      <c r="FE156" s="199"/>
      <c r="FF156" s="199"/>
      <c r="FG156" s="199"/>
      <c r="FH156" s="199"/>
      <c r="FI156" s="199"/>
      <c r="FJ156" s="199"/>
      <c r="FK156" s="199"/>
      <c r="FL156" s="199"/>
      <c r="FM156" s="199"/>
      <c r="FN156" s="199"/>
      <c r="FO156" s="199"/>
      <c r="FP156" s="199"/>
      <c r="FQ156" s="199"/>
      <c r="FR156" s="199"/>
      <c r="FS156" s="199"/>
      <c r="FT156" s="199"/>
      <c r="FU156" s="199"/>
      <c r="FV156" s="199"/>
      <c r="FW156" s="199"/>
      <c r="FX156" s="199"/>
      <c r="FY156" s="199"/>
      <c r="FZ156" s="199"/>
      <c r="GA156" s="199"/>
      <c r="GB156" s="199"/>
      <c r="GC156" s="199"/>
      <c r="GD156" s="199"/>
      <c r="GE156" s="199"/>
      <c r="GF156" s="199"/>
      <c r="GG156" s="199"/>
      <c r="GH156" s="199"/>
      <c r="GI156" s="199"/>
      <c r="GJ156" s="199"/>
      <c r="GK156" s="199"/>
      <c r="GL156" s="199"/>
      <c r="GM156" s="199"/>
      <c r="GN156" s="199"/>
      <c r="GO156" s="199"/>
      <c r="GP156" s="199"/>
      <c r="GQ156" s="199"/>
      <c r="GR156" s="199"/>
      <c r="GS156" s="199"/>
      <c r="GT156" s="199"/>
      <c r="GU156" s="199"/>
      <c r="GV156" s="199"/>
      <c r="GW156" s="199"/>
      <c r="GX156" s="199"/>
      <c r="GY156" s="199"/>
      <c r="GZ156" s="199"/>
      <c r="HA156" s="199"/>
      <c r="HB156" s="199"/>
      <c r="HC156" s="199"/>
      <c r="HD156" s="199"/>
      <c r="HE156" s="199"/>
      <c r="HF156" s="199"/>
      <c r="HG156" s="199"/>
      <c r="HH156" s="199"/>
      <c r="HI156" s="199"/>
      <c r="HJ156" s="199"/>
      <c r="HK156" s="199"/>
      <c r="HL156" s="199"/>
      <c r="HM156" s="199"/>
      <c r="HN156" s="199"/>
      <c r="HO156" s="199"/>
      <c r="HP156" s="199"/>
      <c r="HQ156" s="199"/>
      <c r="HR156" s="199"/>
      <c r="HS156" s="199"/>
      <c r="HT156" s="199"/>
      <c r="HU156" s="199"/>
      <c r="HV156" s="199"/>
      <c r="HW156" s="199"/>
      <c r="HX156" s="199"/>
      <c r="HY156" s="199"/>
      <c r="HZ156" s="199"/>
      <c r="IA156" s="199"/>
      <c r="IB156" s="199"/>
      <c r="IC156" s="199"/>
      <c r="ID156" s="199"/>
      <c r="IE156" s="199"/>
      <c r="IF156" s="199"/>
      <c r="IG156" s="199"/>
      <c r="IH156" s="199"/>
      <c r="II156" s="199"/>
      <c r="IJ156" s="199"/>
      <c r="IK156" s="199"/>
      <c r="IL156" s="199"/>
      <c r="IM156" s="199"/>
      <c r="IN156" s="199"/>
      <c r="IO156" s="199"/>
      <c r="IP156" s="199"/>
      <c r="IQ156" s="199"/>
      <c r="IR156" s="199"/>
      <c r="IS156" s="199"/>
      <c r="IT156" s="199"/>
      <c r="IU156" s="199"/>
      <c r="IV156" s="199"/>
      <c r="IW156" s="199"/>
      <c r="IX156" s="199"/>
      <c r="IY156" s="199"/>
      <c r="IZ156" s="199"/>
      <c r="JA156" s="199"/>
      <c r="JB156" s="199"/>
      <c r="JC156" s="199"/>
      <c r="JD156" s="199"/>
      <c r="JE156" s="199"/>
      <c r="JF156" s="199"/>
      <c r="JG156" s="199"/>
      <c r="JH156" s="199"/>
      <c r="JI156" s="199"/>
      <c r="JJ156" s="199"/>
      <c r="JK156" s="199"/>
      <c r="JL156" s="199"/>
      <c r="JM156" s="199"/>
      <c r="JN156" s="199"/>
      <c r="JO156" s="199"/>
      <c r="JP156" s="199"/>
      <c r="JQ156" s="199"/>
      <c r="JR156" s="199"/>
      <c r="JS156" s="199"/>
      <c r="JT156" s="199"/>
      <c r="JU156" s="199"/>
      <c r="JV156" s="199"/>
      <c r="JW156" s="199"/>
      <c r="JX156" s="199"/>
      <c r="JY156" s="199"/>
      <c r="JZ156" s="199"/>
      <c r="KA156" s="199"/>
      <c r="KB156" s="199"/>
      <c r="KC156" s="199"/>
      <c r="KD156" s="199"/>
      <c r="KE156" s="199"/>
      <c r="PQ156" s="201"/>
      <c r="PR156" s="201"/>
      <c r="PS156" s="201"/>
      <c r="PT156" s="201"/>
      <c r="PU156" s="201"/>
      <c r="PV156" s="201"/>
      <c r="PW156" s="201"/>
      <c r="PX156" s="201"/>
      <c r="PY156" s="201"/>
      <c r="PZ156" s="201"/>
      <c r="QA156" s="201"/>
      <c r="QB156" s="201"/>
      <c r="QC156" s="201"/>
      <c r="QD156" s="201"/>
      <c r="QE156" s="201"/>
      <c r="QF156" s="201"/>
      <c r="QG156" s="201"/>
      <c r="QH156" s="201"/>
      <c r="QI156" s="201"/>
      <c r="QJ156" s="201"/>
      <c r="QK156" s="201"/>
      <c r="QL156" s="201"/>
      <c r="QM156" s="201"/>
      <c r="QN156" s="201"/>
      <c r="QO156" s="201"/>
      <c r="QP156" s="201"/>
      <c r="QQ156" s="201"/>
      <c r="QR156" s="201"/>
      <c r="QS156" s="201"/>
      <c r="QT156" s="201"/>
      <c r="QU156" s="201"/>
      <c r="QV156" s="201"/>
      <c r="QW156" s="201"/>
      <c r="QX156" s="201"/>
      <c r="QY156" s="201"/>
      <c r="QZ156" s="201"/>
      <c r="RA156" s="201"/>
      <c r="RB156" s="201"/>
      <c r="RC156" s="201"/>
      <c r="RD156" s="201"/>
      <c r="RE156" s="201"/>
      <c r="RF156" s="201"/>
      <c r="RG156" s="201"/>
      <c r="RH156" s="201"/>
      <c r="RI156" s="201"/>
      <c r="RJ156" s="201"/>
      <c r="RK156" s="201"/>
      <c r="RL156" s="201"/>
      <c r="RM156" s="201"/>
      <c r="RN156" s="201"/>
      <c r="RO156" s="201"/>
      <c r="RP156" s="201"/>
      <c r="RQ156" s="201"/>
      <c r="RR156" s="201"/>
      <c r="RS156" s="201"/>
      <c r="RT156" s="201"/>
      <c r="RU156" s="201"/>
      <c r="RV156" s="201"/>
      <c r="RW156" s="201"/>
      <c r="RX156" s="201"/>
      <c r="RY156" s="201"/>
      <c r="RZ156" s="201"/>
      <c r="SA156" s="201"/>
      <c r="SB156" s="201"/>
      <c r="SC156" s="201"/>
      <c r="SD156" s="201"/>
      <c r="SE156" s="201"/>
      <c r="SF156" s="201"/>
      <c r="SG156" s="201"/>
      <c r="SH156" s="201"/>
      <c r="SI156" s="201"/>
      <c r="SJ156" s="201"/>
      <c r="SK156" s="201"/>
      <c r="SL156" s="201"/>
      <c r="SM156" s="201"/>
      <c r="SN156" s="201"/>
      <c r="SO156" s="201"/>
      <c r="SP156" s="201"/>
      <c r="SQ156" s="201"/>
      <c r="SR156" s="201"/>
      <c r="SS156" s="201"/>
      <c r="ST156" s="201"/>
      <c r="SU156" s="201"/>
      <c r="SV156" s="201"/>
      <c r="SW156" s="201"/>
      <c r="SX156" s="201"/>
      <c r="SY156" s="201"/>
      <c r="SZ156" s="201"/>
      <c r="TA156" s="201"/>
      <c r="TB156" s="201"/>
      <c r="TC156" s="201"/>
      <c r="TD156" s="201"/>
      <c r="TE156" s="201"/>
      <c r="TF156" s="201"/>
      <c r="TG156" s="201"/>
      <c r="TH156" s="201"/>
      <c r="TI156" s="201"/>
      <c r="TJ156" s="201"/>
      <c r="TK156" s="201"/>
      <c r="TL156" s="201"/>
      <c r="TM156" s="201"/>
      <c r="TN156" s="201"/>
      <c r="TO156" s="201"/>
      <c r="TP156" s="201"/>
      <c r="TQ156" s="201"/>
      <c r="TR156" s="201"/>
      <c r="TS156" s="201"/>
      <c r="TT156" s="201"/>
      <c r="TU156" s="201"/>
      <c r="TV156" s="201"/>
      <c r="TW156" s="201"/>
      <c r="TX156" s="201"/>
      <c r="TY156" s="201"/>
      <c r="TZ156" s="201"/>
      <c r="UA156" s="201"/>
      <c r="UB156" s="201"/>
      <c r="UC156" s="201"/>
      <c r="UD156" s="201"/>
      <c r="UE156" s="201"/>
      <c r="UF156" s="201"/>
      <c r="UG156" s="201"/>
      <c r="UH156" s="201"/>
      <c r="UI156" s="201"/>
      <c r="UJ156" s="201"/>
      <c r="UK156" s="201"/>
      <c r="UL156" s="201"/>
      <c r="UM156" s="201"/>
      <c r="UN156" s="201"/>
      <c r="UO156" s="201"/>
      <c r="UP156" s="201"/>
      <c r="UQ156" s="201"/>
      <c r="UR156" s="201"/>
      <c r="US156" s="201"/>
      <c r="UT156" s="201"/>
      <c r="UU156" s="201"/>
    </row>
    <row r="157" spans="2:567" x14ac:dyDescent="0.25">
      <c r="B157" s="54" t="str">
        <f>+B81</f>
        <v>Junior Loan</v>
      </c>
      <c r="C157" s="18"/>
      <c r="D157" s="83">
        <f>+J81</f>
        <v>0</v>
      </c>
      <c r="E157" s="83">
        <f>+K81</f>
        <v>36</v>
      </c>
      <c r="F157" s="18"/>
      <c r="G157" s="18"/>
      <c r="H157" s="18"/>
      <c r="I157" s="18"/>
      <c r="J157" s="149">
        <f t="shared" ref="J157:J159" si="3061">SUM(T157:AE157)</f>
        <v>0</v>
      </c>
      <c r="K157" s="384">
        <f ca="1">OFFSET($S157,0,K$155,1,1)*12</f>
        <v>0</v>
      </c>
      <c r="T157" s="92">
        <f t="shared" si="3047"/>
        <v>0</v>
      </c>
      <c r="U157" s="92">
        <f t="shared" si="3047"/>
        <v>0</v>
      </c>
      <c r="V157" s="92">
        <f t="shared" si="3047"/>
        <v>0</v>
      </c>
      <c r="W157" s="92">
        <f t="shared" si="3047"/>
        <v>0</v>
      </c>
      <c r="X157" s="92">
        <f t="shared" si="3047"/>
        <v>0</v>
      </c>
      <c r="Y157" s="92">
        <f t="shared" si="3047"/>
        <v>0</v>
      </c>
      <c r="Z157" s="92">
        <f t="shared" si="3047"/>
        <v>0</v>
      </c>
      <c r="AA157" s="92">
        <f t="shared" si="3047"/>
        <v>0</v>
      </c>
      <c r="AB157" s="92">
        <f t="shared" si="3047"/>
        <v>0</v>
      </c>
      <c r="AC157" s="92">
        <f t="shared" si="3047"/>
        <v>0</v>
      </c>
      <c r="AD157" s="92">
        <f t="shared" si="3048"/>
        <v>0</v>
      </c>
      <c r="AE157" s="92">
        <f t="shared" si="3048"/>
        <v>0</v>
      </c>
      <c r="AF157" s="92">
        <f t="shared" si="3048"/>
        <v>0</v>
      </c>
      <c r="AG157" s="92">
        <f t="shared" si="3048"/>
        <v>0</v>
      </c>
      <c r="AH157" s="92">
        <f t="shared" si="3048"/>
        <v>0</v>
      </c>
      <c r="AI157" s="92">
        <f t="shared" si="3048"/>
        <v>0</v>
      </c>
      <c r="AJ157" s="92">
        <f t="shared" si="3048"/>
        <v>0</v>
      </c>
      <c r="AK157" s="92">
        <f t="shared" si="3048"/>
        <v>0</v>
      </c>
      <c r="AL157" s="92">
        <f t="shared" si="3048"/>
        <v>0</v>
      </c>
      <c r="AM157" s="92">
        <f t="shared" si="3048"/>
        <v>0</v>
      </c>
      <c r="AN157" s="92">
        <f t="shared" si="3049"/>
        <v>0</v>
      </c>
      <c r="AO157" s="92">
        <f t="shared" si="3049"/>
        <v>0</v>
      </c>
      <c r="AP157" s="92">
        <f t="shared" si="3049"/>
        <v>0</v>
      </c>
      <c r="AQ157" s="92">
        <f t="shared" si="3049"/>
        <v>0</v>
      </c>
      <c r="AR157" s="92">
        <f t="shared" si="3049"/>
        <v>0</v>
      </c>
      <c r="AS157" s="92">
        <f t="shared" si="3049"/>
        <v>0</v>
      </c>
      <c r="AT157" s="92">
        <f t="shared" si="3049"/>
        <v>0</v>
      </c>
      <c r="AU157" s="92">
        <f t="shared" si="3049"/>
        <v>0</v>
      </c>
      <c r="AV157" s="92">
        <f t="shared" si="3049"/>
        <v>0</v>
      </c>
      <c r="AW157" s="92">
        <f t="shared" si="3049"/>
        <v>0</v>
      </c>
      <c r="AX157" s="92">
        <f t="shared" si="3050"/>
        <v>0</v>
      </c>
      <c r="AY157" s="92">
        <f t="shared" si="3050"/>
        <v>0</v>
      </c>
      <c r="AZ157" s="92">
        <f t="shared" si="3050"/>
        <v>0</v>
      </c>
      <c r="BA157" s="92">
        <f t="shared" si="3050"/>
        <v>0</v>
      </c>
      <c r="BB157" s="92">
        <f t="shared" si="3050"/>
        <v>0</v>
      </c>
      <c r="BC157" s="92">
        <f t="shared" si="3050"/>
        <v>0</v>
      </c>
      <c r="BD157" s="92">
        <f t="shared" si="3050"/>
        <v>0</v>
      </c>
      <c r="BE157" s="92">
        <f t="shared" si="3050"/>
        <v>0</v>
      </c>
      <c r="BF157" s="92">
        <f t="shared" si="3050"/>
        <v>0</v>
      </c>
      <c r="BG157" s="92">
        <f t="shared" si="3050"/>
        <v>0</v>
      </c>
      <c r="BH157" s="92">
        <f t="shared" si="3051"/>
        <v>0</v>
      </c>
      <c r="BI157" s="92">
        <f t="shared" si="3051"/>
        <v>0</v>
      </c>
      <c r="BJ157" s="92">
        <f t="shared" si="3051"/>
        <v>0</v>
      </c>
      <c r="BK157" s="92">
        <f t="shared" si="3051"/>
        <v>0</v>
      </c>
      <c r="BL157" s="92">
        <f t="shared" si="3051"/>
        <v>0</v>
      </c>
      <c r="BM157" s="92">
        <f t="shared" si="3051"/>
        <v>0</v>
      </c>
      <c r="BN157" s="92">
        <f t="shared" si="3051"/>
        <v>0</v>
      </c>
      <c r="BO157" s="92">
        <f t="shared" si="3051"/>
        <v>0</v>
      </c>
      <c r="BP157" s="92">
        <f t="shared" si="3051"/>
        <v>0</v>
      </c>
      <c r="BQ157" s="92">
        <f t="shared" si="3051"/>
        <v>0</v>
      </c>
      <c r="BR157" s="92">
        <f t="shared" si="3052"/>
        <v>0</v>
      </c>
      <c r="BS157" s="92">
        <f t="shared" si="3052"/>
        <v>0</v>
      </c>
      <c r="BT157" s="92">
        <f t="shared" si="3052"/>
        <v>0</v>
      </c>
      <c r="BU157" s="92">
        <f t="shared" si="3052"/>
        <v>0</v>
      </c>
      <c r="BV157" s="92">
        <f t="shared" si="3052"/>
        <v>0</v>
      </c>
      <c r="BW157" s="92">
        <f t="shared" si="3052"/>
        <v>0</v>
      </c>
      <c r="BX157" s="92">
        <f t="shared" si="3052"/>
        <v>0</v>
      </c>
      <c r="BY157" s="92">
        <f t="shared" si="3052"/>
        <v>0</v>
      </c>
      <c r="BZ157" s="92">
        <f t="shared" si="3052"/>
        <v>0</v>
      </c>
      <c r="CA157" s="92">
        <f t="shared" si="3052"/>
        <v>0</v>
      </c>
      <c r="CB157" s="92">
        <f t="shared" si="3053"/>
        <v>0</v>
      </c>
      <c r="CC157" s="92">
        <f t="shared" si="3053"/>
        <v>0</v>
      </c>
      <c r="CD157" s="92">
        <f t="shared" si="3053"/>
        <v>0</v>
      </c>
      <c r="CE157" s="92">
        <f t="shared" si="3053"/>
        <v>0</v>
      </c>
      <c r="CF157" s="92">
        <f t="shared" si="3053"/>
        <v>0</v>
      </c>
      <c r="CG157" s="92">
        <f t="shared" si="3053"/>
        <v>0</v>
      </c>
      <c r="CH157" s="92">
        <f t="shared" si="3053"/>
        <v>0</v>
      </c>
      <c r="CI157" s="92">
        <f t="shared" si="3053"/>
        <v>0</v>
      </c>
      <c r="CJ157" s="92">
        <f t="shared" si="3053"/>
        <v>0</v>
      </c>
      <c r="CK157" s="92">
        <f t="shared" si="3053"/>
        <v>0</v>
      </c>
      <c r="CL157" s="92">
        <f t="shared" si="3054"/>
        <v>0</v>
      </c>
      <c r="CM157" s="92">
        <f t="shared" si="3054"/>
        <v>0</v>
      </c>
      <c r="CN157" s="92">
        <f t="shared" si="3054"/>
        <v>0</v>
      </c>
      <c r="CO157" s="92">
        <f t="shared" si="3054"/>
        <v>0</v>
      </c>
      <c r="CP157" s="92">
        <f t="shared" si="3054"/>
        <v>0</v>
      </c>
      <c r="CQ157" s="92">
        <f t="shared" si="3054"/>
        <v>0</v>
      </c>
      <c r="CR157" s="92">
        <f t="shared" si="3054"/>
        <v>0</v>
      </c>
      <c r="CS157" s="92">
        <f t="shared" si="3054"/>
        <v>0</v>
      </c>
      <c r="CT157" s="92">
        <f t="shared" si="3054"/>
        <v>0</v>
      </c>
      <c r="CU157" s="92">
        <f t="shared" si="3054"/>
        <v>0</v>
      </c>
      <c r="CV157" s="92">
        <f t="shared" si="3055"/>
        <v>0</v>
      </c>
      <c r="CW157" s="92">
        <f t="shared" si="3055"/>
        <v>0</v>
      </c>
      <c r="CX157" s="92">
        <f t="shared" si="3055"/>
        <v>0</v>
      </c>
      <c r="CY157" s="92">
        <f t="shared" si="3055"/>
        <v>0</v>
      </c>
      <c r="CZ157" s="92">
        <f t="shared" si="3055"/>
        <v>0</v>
      </c>
      <c r="DA157" s="92">
        <f t="shared" si="3055"/>
        <v>0</v>
      </c>
      <c r="DB157" s="92">
        <f t="shared" si="3055"/>
        <v>0</v>
      </c>
      <c r="DC157" s="92">
        <f t="shared" si="3055"/>
        <v>0</v>
      </c>
      <c r="DD157" s="92">
        <f t="shared" si="3055"/>
        <v>0</v>
      </c>
      <c r="DE157" s="92">
        <f t="shared" si="3055"/>
        <v>0</v>
      </c>
      <c r="DF157" s="92">
        <f t="shared" si="3056"/>
        <v>0</v>
      </c>
      <c r="DG157" s="92">
        <f t="shared" si="3056"/>
        <v>0</v>
      </c>
      <c r="DH157" s="92">
        <f t="shared" si="3056"/>
        <v>0</v>
      </c>
      <c r="DI157" s="92">
        <f t="shared" si="3056"/>
        <v>0</v>
      </c>
      <c r="DJ157" s="92">
        <f t="shared" si="3056"/>
        <v>0</v>
      </c>
      <c r="DK157" s="92">
        <f t="shared" si="3056"/>
        <v>0</v>
      </c>
      <c r="DL157" s="92">
        <f t="shared" si="3056"/>
        <v>0</v>
      </c>
      <c r="DM157" s="92">
        <f t="shared" si="3056"/>
        <v>0</v>
      </c>
      <c r="DN157" s="92">
        <f t="shared" si="3056"/>
        <v>0</v>
      </c>
      <c r="DO157" s="92">
        <f t="shared" si="3056"/>
        <v>0</v>
      </c>
      <c r="DP157" s="92">
        <f t="shared" si="3057"/>
        <v>0</v>
      </c>
      <c r="DQ157" s="92">
        <f t="shared" si="3057"/>
        <v>0</v>
      </c>
      <c r="DR157" s="92">
        <f t="shared" si="3057"/>
        <v>0</v>
      </c>
      <c r="DS157" s="92">
        <f t="shared" si="3057"/>
        <v>0</v>
      </c>
      <c r="DT157" s="92">
        <f t="shared" si="3057"/>
        <v>0</v>
      </c>
      <c r="DU157" s="92">
        <f t="shared" si="3057"/>
        <v>0</v>
      </c>
      <c r="DV157" s="92">
        <f t="shared" si="3057"/>
        <v>0</v>
      </c>
      <c r="DW157" s="92">
        <f t="shared" si="3057"/>
        <v>0</v>
      </c>
      <c r="DX157" s="92">
        <f t="shared" si="3057"/>
        <v>0</v>
      </c>
      <c r="DY157" s="92">
        <f t="shared" si="3057"/>
        <v>0</v>
      </c>
      <c r="DZ157" s="92">
        <f t="shared" si="3058"/>
        <v>0</v>
      </c>
      <c r="EA157" s="92">
        <f t="shared" si="3058"/>
        <v>0</v>
      </c>
      <c r="EB157" s="92">
        <f t="shared" si="3058"/>
        <v>0</v>
      </c>
      <c r="EC157" s="92">
        <f t="shared" si="3058"/>
        <v>0</v>
      </c>
      <c r="ED157" s="92">
        <f t="shared" si="3058"/>
        <v>0</v>
      </c>
      <c r="EE157" s="92">
        <f t="shared" si="3058"/>
        <v>0</v>
      </c>
      <c r="EF157" s="92">
        <f t="shared" si="3058"/>
        <v>0</v>
      </c>
      <c r="EG157" s="92">
        <f t="shared" si="3058"/>
        <v>0</v>
      </c>
      <c r="EH157" s="92">
        <f t="shared" si="3058"/>
        <v>0</v>
      </c>
      <c r="EI157" s="92">
        <f t="shared" si="3058"/>
        <v>0</v>
      </c>
      <c r="EJ157" s="92">
        <f t="shared" si="3059"/>
        <v>0</v>
      </c>
      <c r="EK157" s="92">
        <f t="shared" si="3059"/>
        <v>0</v>
      </c>
      <c r="EL157" s="92">
        <f t="shared" si="3059"/>
        <v>0</v>
      </c>
      <c r="EM157" s="92">
        <f t="shared" si="3059"/>
        <v>0</v>
      </c>
      <c r="EN157" s="92">
        <f t="shared" si="3059"/>
        <v>0</v>
      </c>
      <c r="EO157" s="92">
        <f t="shared" si="3059"/>
        <v>0</v>
      </c>
      <c r="EP157" s="92">
        <f t="shared" si="3059"/>
        <v>0</v>
      </c>
      <c r="EQ157" s="92">
        <f t="shared" si="3059"/>
        <v>0</v>
      </c>
      <c r="ER157" s="92">
        <f t="shared" si="3059"/>
        <v>0</v>
      </c>
      <c r="ES157" s="92">
        <f t="shared" si="3059"/>
        <v>0</v>
      </c>
      <c r="ET157" s="92">
        <f t="shared" si="3060"/>
        <v>0</v>
      </c>
      <c r="EU157" s="92">
        <f t="shared" si="3060"/>
        <v>0</v>
      </c>
      <c r="FC157" s="199"/>
      <c r="FD157" s="199"/>
      <c r="FE157" s="199"/>
      <c r="FF157" s="199"/>
      <c r="FG157" s="199"/>
      <c r="FH157" s="199"/>
      <c r="FI157" s="199"/>
      <c r="FJ157" s="199"/>
      <c r="FK157" s="199"/>
      <c r="FL157" s="199"/>
      <c r="FM157" s="199"/>
      <c r="FN157" s="199"/>
      <c r="FO157" s="199"/>
      <c r="FP157" s="199"/>
      <c r="FQ157" s="199"/>
      <c r="FR157" s="199"/>
      <c r="FS157" s="199"/>
      <c r="FT157" s="199"/>
      <c r="FU157" s="199"/>
      <c r="FV157" s="199"/>
      <c r="FW157" s="199"/>
      <c r="FX157" s="199"/>
      <c r="FY157" s="199"/>
      <c r="FZ157" s="199"/>
      <c r="GA157" s="199"/>
      <c r="GB157" s="199"/>
      <c r="GC157" s="199"/>
      <c r="GD157" s="199"/>
      <c r="GE157" s="199"/>
      <c r="GF157" s="199"/>
      <c r="GG157" s="199"/>
      <c r="GH157" s="199"/>
      <c r="GI157" s="199"/>
      <c r="GJ157" s="199"/>
      <c r="GK157" s="199"/>
      <c r="GL157" s="199"/>
      <c r="GM157" s="199"/>
      <c r="GN157" s="199"/>
      <c r="GO157" s="199"/>
      <c r="GP157" s="199"/>
      <c r="GQ157" s="199"/>
      <c r="GR157" s="199"/>
      <c r="GS157" s="199"/>
      <c r="GT157" s="199"/>
      <c r="GU157" s="199"/>
      <c r="GV157" s="199"/>
      <c r="GW157" s="199"/>
      <c r="GX157" s="199"/>
      <c r="GY157" s="199"/>
      <c r="GZ157" s="199"/>
      <c r="HA157" s="199"/>
      <c r="HB157" s="199"/>
      <c r="HC157" s="199"/>
      <c r="HD157" s="199"/>
      <c r="HE157" s="199"/>
      <c r="HF157" s="199"/>
      <c r="HG157" s="199"/>
      <c r="HH157" s="199"/>
      <c r="HI157" s="199"/>
      <c r="HJ157" s="199"/>
      <c r="HK157" s="199"/>
      <c r="HL157" s="199"/>
      <c r="HM157" s="199"/>
      <c r="HN157" s="199"/>
      <c r="HO157" s="199"/>
      <c r="HP157" s="199"/>
      <c r="HQ157" s="199"/>
      <c r="HR157" s="199"/>
      <c r="HS157" s="199"/>
      <c r="HT157" s="199"/>
      <c r="HU157" s="199"/>
      <c r="HV157" s="199"/>
      <c r="HW157" s="199"/>
      <c r="HX157" s="199"/>
      <c r="HY157" s="199"/>
      <c r="HZ157" s="199"/>
      <c r="IA157" s="199"/>
      <c r="IB157" s="199"/>
      <c r="IC157" s="199"/>
      <c r="ID157" s="199"/>
      <c r="IE157" s="199"/>
      <c r="IF157" s="199"/>
      <c r="IG157" s="199"/>
      <c r="IH157" s="199"/>
      <c r="II157" s="199"/>
      <c r="IJ157" s="199"/>
      <c r="IK157" s="199"/>
      <c r="IL157" s="199"/>
      <c r="IM157" s="199"/>
      <c r="IN157" s="199"/>
      <c r="IO157" s="199"/>
      <c r="IP157" s="199"/>
      <c r="IQ157" s="199"/>
      <c r="IR157" s="199"/>
      <c r="IS157" s="199"/>
      <c r="IT157" s="199"/>
      <c r="IU157" s="199"/>
      <c r="IV157" s="199"/>
      <c r="IW157" s="199"/>
      <c r="IX157" s="199"/>
      <c r="IY157" s="199"/>
      <c r="IZ157" s="199"/>
      <c r="JA157" s="199"/>
      <c r="JB157" s="199"/>
      <c r="JC157" s="199"/>
      <c r="JD157" s="199"/>
      <c r="JE157" s="199"/>
      <c r="JF157" s="199"/>
      <c r="JG157" s="199"/>
      <c r="JH157" s="199"/>
      <c r="JI157" s="199"/>
      <c r="JJ157" s="199"/>
      <c r="JK157" s="199"/>
      <c r="JL157" s="199"/>
      <c r="JM157" s="199"/>
      <c r="JN157" s="199"/>
      <c r="JO157" s="199"/>
      <c r="JP157" s="199"/>
      <c r="JQ157" s="199"/>
      <c r="JR157" s="199"/>
      <c r="JS157" s="199"/>
      <c r="JT157" s="199"/>
      <c r="JU157" s="199"/>
      <c r="JV157" s="199"/>
      <c r="JW157" s="199"/>
      <c r="JX157" s="199"/>
      <c r="JY157" s="199"/>
      <c r="JZ157" s="199"/>
      <c r="KA157" s="199"/>
      <c r="KB157" s="199"/>
      <c r="KC157" s="199"/>
      <c r="KD157" s="199"/>
      <c r="KE157" s="199"/>
      <c r="PQ157" s="201"/>
      <c r="PR157" s="201"/>
      <c r="PS157" s="201"/>
      <c r="PT157" s="201"/>
      <c r="PU157" s="201"/>
      <c r="PV157" s="201"/>
      <c r="PW157" s="201"/>
      <c r="PX157" s="201"/>
      <c r="PY157" s="201"/>
      <c r="PZ157" s="201"/>
      <c r="QA157" s="201"/>
      <c r="QB157" s="201"/>
      <c r="QC157" s="201"/>
      <c r="QD157" s="201"/>
      <c r="QE157" s="201"/>
      <c r="QF157" s="201"/>
      <c r="QG157" s="201"/>
      <c r="QH157" s="201"/>
      <c r="QI157" s="201"/>
      <c r="QJ157" s="201"/>
      <c r="QK157" s="201"/>
      <c r="QL157" s="201"/>
      <c r="QM157" s="201"/>
      <c r="QN157" s="201"/>
      <c r="QO157" s="201"/>
      <c r="QP157" s="201"/>
      <c r="QQ157" s="201"/>
      <c r="QR157" s="201"/>
      <c r="QS157" s="201"/>
      <c r="QT157" s="201"/>
      <c r="QU157" s="201"/>
      <c r="QV157" s="201"/>
      <c r="QW157" s="201"/>
      <c r="QX157" s="201"/>
      <c r="QY157" s="201"/>
      <c r="QZ157" s="201"/>
      <c r="RA157" s="201"/>
      <c r="RB157" s="201"/>
      <c r="RC157" s="201"/>
      <c r="RD157" s="201"/>
      <c r="RE157" s="201"/>
      <c r="RF157" s="201"/>
      <c r="RG157" s="201"/>
      <c r="RH157" s="201"/>
      <c r="RI157" s="201"/>
      <c r="RJ157" s="201"/>
      <c r="RK157" s="201"/>
      <c r="RL157" s="201"/>
      <c r="RM157" s="201"/>
      <c r="RN157" s="201"/>
      <c r="RO157" s="201"/>
      <c r="RP157" s="201"/>
      <c r="RQ157" s="201"/>
      <c r="RR157" s="201"/>
      <c r="RS157" s="201"/>
      <c r="RT157" s="201"/>
      <c r="RU157" s="201"/>
      <c r="RV157" s="201"/>
      <c r="RW157" s="201"/>
      <c r="RX157" s="201"/>
      <c r="RY157" s="201"/>
      <c r="RZ157" s="201"/>
      <c r="SA157" s="201"/>
      <c r="SB157" s="201"/>
      <c r="SC157" s="201"/>
      <c r="SD157" s="201"/>
      <c r="SE157" s="201"/>
      <c r="SF157" s="201"/>
      <c r="SG157" s="201"/>
      <c r="SH157" s="201"/>
      <c r="SI157" s="201"/>
      <c r="SJ157" s="201"/>
      <c r="SK157" s="201"/>
      <c r="SL157" s="201"/>
      <c r="SM157" s="201"/>
      <c r="SN157" s="201"/>
      <c r="SO157" s="201"/>
      <c r="SP157" s="201"/>
      <c r="SQ157" s="201"/>
      <c r="SR157" s="201"/>
      <c r="SS157" s="201"/>
      <c r="ST157" s="201"/>
      <c r="SU157" s="201"/>
      <c r="SV157" s="201"/>
      <c r="SW157" s="201"/>
      <c r="SX157" s="201"/>
      <c r="SY157" s="201"/>
      <c r="SZ157" s="201"/>
      <c r="TA157" s="201"/>
      <c r="TB157" s="201"/>
      <c r="TC157" s="201"/>
      <c r="TD157" s="201"/>
      <c r="TE157" s="201"/>
      <c r="TF157" s="201"/>
      <c r="TG157" s="201"/>
      <c r="TH157" s="201"/>
      <c r="TI157" s="201"/>
      <c r="TJ157" s="201"/>
      <c r="TK157" s="201"/>
      <c r="TL157" s="201"/>
      <c r="TM157" s="201"/>
      <c r="TN157" s="201"/>
      <c r="TO157" s="201"/>
      <c r="TP157" s="201"/>
      <c r="TQ157" s="201"/>
      <c r="TR157" s="201"/>
      <c r="TS157" s="201"/>
      <c r="TT157" s="201"/>
      <c r="TU157" s="201"/>
      <c r="TV157" s="201"/>
      <c r="TW157" s="201"/>
      <c r="TX157" s="201"/>
      <c r="TY157" s="201"/>
      <c r="TZ157" s="201"/>
      <c r="UA157" s="201"/>
      <c r="UB157" s="201"/>
      <c r="UC157" s="201"/>
      <c r="UD157" s="201"/>
      <c r="UE157" s="201"/>
      <c r="UF157" s="201"/>
      <c r="UG157" s="201"/>
      <c r="UH157" s="201"/>
      <c r="UI157" s="201"/>
      <c r="UJ157" s="201"/>
      <c r="UK157" s="201"/>
      <c r="UL157" s="201"/>
      <c r="UM157" s="201"/>
      <c r="UN157" s="201"/>
      <c r="UO157" s="201"/>
      <c r="UP157" s="201"/>
      <c r="UQ157" s="201"/>
      <c r="UR157" s="201"/>
      <c r="US157" s="201"/>
      <c r="UT157" s="201"/>
      <c r="UU157" s="201"/>
    </row>
    <row r="158" spans="2:567" x14ac:dyDescent="0.25">
      <c r="B158" s="54" t="str">
        <f>+B93</f>
        <v>Senior Loan 2</v>
      </c>
      <c r="C158" s="18"/>
      <c r="D158" s="82" t="str">
        <f>IF(E88=0,"NA",J93)</f>
        <v>NA</v>
      </c>
      <c r="E158" s="82" t="str">
        <f>IF(D158="NA","NA",K93)</f>
        <v>NA</v>
      </c>
      <c r="F158" s="18"/>
      <c r="G158" s="18"/>
      <c r="H158" s="18"/>
      <c r="I158" s="18"/>
      <c r="J158" s="149">
        <f t="shared" si="3061"/>
        <v>0</v>
      </c>
      <c r="K158" s="149">
        <f ca="1">OFFSET($S158,0,K$155,1,1)*12</f>
        <v>0</v>
      </c>
      <c r="T158" s="92">
        <f t="shared" ref="T158:AC159" si="3062">+FD94*REFI?</f>
        <v>0</v>
      </c>
      <c r="U158" s="92">
        <f t="shared" si="3062"/>
        <v>0</v>
      </c>
      <c r="V158" s="92">
        <f t="shared" si="3062"/>
        <v>0</v>
      </c>
      <c r="W158" s="92">
        <f t="shared" si="3062"/>
        <v>0</v>
      </c>
      <c r="X158" s="92">
        <f t="shared" si="3062"/>
        <v>0</v>
      </c>
      <c r="Y158" s="92">
        <f t="shared" si="3062"/>
        <v>0</v>
      </c>
      <c r="Z158" s="92">
        <f t="shared" si="3062"/>
        <v>0</v>
      </c>
      <c r="AA158" s="92">
        <f t="shared" si="3062"/>
        <v>0</v>
      </c>
      <c r="AB158" s="92">
        <f t="shared" si="3062"/>
        <v>0</v>
      </c>
      <c r="AC158" s="92">
        <f t="shared" si="3062"/>
        <v>0</v>
      </c>
      <c r="AD158" s="92">
        <f t="shared" ref="AD158:AM159" si="3063">+FN94*REFI?</f>
        <v>0</v>
      </c>
      <c r="AE158" s="92">
        <f t="shared" si="3063"/>
        <v>0</v>
      </c>
      <c r="AF158" s="92">
        <f t="shared" si="3063"/>
        <v>0</v>
      </c>
      <c r="AG158" s="92">
        <f t="shared" si="3063"/>
        <v>0</v>
      </c>
      <c r="AH158" s="92">
        <f t="shared" si="3063"/>
        <v>0</v>
      </c>
      <c r="AI158" s="92">
        <f t="shared" si="3063"/>
        <v>0</v>
      </c>
      <c r="AJ158" s="92">
        <f t="shared" si="3063"/>
        <v>0</v>
      </c>
      <c r="AK158" s="92">
        <f t="shared" si="3063"/>
        <v>0</v>
      </c>
      <c r="AL158" s="92">
        <f t="shared" si="3063"/>
        <v>0</v>
      </c>
      <c r="AM158" s="92">
        <f t="shared" si="3063"/>
        <v>0</v>
      </c>
      <c r="AN158" s="92">
        <f t="shared" ref="AN158:AW159" si="3064">+FX94*REFI?</f>
        <v>0</v>
      </c>
      <c r="AO158" s="92">
        <f t="shared" si="3064"/>
        <v>0</v>
      </c>
      <c r="AP158" s="92">
        <f t="shared" si="3064"/>
        <v>0</v>
      </c>
      <c r="AQ158" s="92">
        <f t="shared" si="3064"/>
        <v>0</v>
      </c>
      <c r="AR158" s="92">
        <f t="shared" si="3064"/>
        <v>0</v>
      </c>
      <c r="AS158" s="92">
        <f t="shared" si="3064"/>
        <v>0</v>
      </c>
      <c r="AT158" s="92">
        <f t="shared" si="3064"/>
        <v>0</v>
      </c>
      <c r="AU158" s="92">
        <f t="shared" si="3064"/>
        <v>0</v>
      </c>
      <c r="AV158" s="92">
        <f t="shared" si="3064"/>
        <v>0</v>
      </c>
      <c r="AW158" s="92">
        <f t="shared" si="3064"/>
        <v>0</v>
      </c>
      <c r="AX158" s="92">
        <f t="shared" ref="AX158:BG159" si="3065">+GH94*REFI?</f>
        <v>0</v>
      </c>
      <c r="AY158" s="92">
        <f t="shared" si="3065"/>
        <v>0</v>
      </c>
      <c r="AZ158" s="92">
        <f t="shared" si="3065"/>
        <v>0</v>
      </c>
      <c r="BA158" s="92">
        <f t="shared" si="3065"/>
        <v>0</v>
      </c>
      <c r="BB158" s="92">
        <f t="shared" si="3065"/>
        <v>0</v>
      </c>
      <c r="BC158" s="92">
        <f t="shared" si="3065"/>
        <v>0</v>
      </c>
      <c r="BD158" s="92">
        <f t="shared" si="3065"/>
        <v>0</v>
      </c>
      <c r="BE158" s="92">
        <f t="shared" si="3065"/>
        <v>0</v>
      </c>
      <c r="BF158" s="92">
        <f t="shared" si="3065"/>
        <v>0</v>
      </c>
      <c r="BG158" s="92">
        <f t="shared" si="3065"/>
        <v>0</v>
      </c>
      <c r="BH158" s="92">
        <f t="shared" ref="BH158:BQ159" si="3066">+GR94*REFI?</f>
        <v>0</v>
      </c>
      <c r="BI158" s="92">
        <f t="shared" si="3066"/>
        <v>0</v>
      </c>
      <c r="BJ158" s="92">
        <f t="shared" si="3066"/>
        <v>0</v>
      </c>
      <c r="BK158" s="92">
        <f t="shared" si="3066"/>
        <v>0</v>
      </c>
      <c r="BL158" s="92">
        <f t="shared" si="3066"/>
        <v>0</v>
      </c>
      <c r="BM158" s="92">
        <f t="shared" si="3066"/>
        <v>0</v>
      </c>
      <c r="BN158" s="92">
        <f t="shared" si="3066"/>
        <v>0</v>
      </c>
      <c r="BO158" s="92">
        <f t="shared" si="3066"/>
        <v>0</v>
      </c>
      <c r="BP158" s="92">
        <f t="shared" si="3066"/>
        <v>0</v>
      </c>
      <c r="BQ158" s="92">
        <f t="shared" si="3066"/>
        <v>0</v>
      </c>
      <c r="BR158" s="92">
        <f t="shared" ref="BR158:CA159" si="3067">+HB94*REFI?</f>
        <v>0</v>
      </c>
      <c r="BS158" s="92">
        <f t="shared" si="3067"/>
        <v>0</v>
      </c>
      <c r="BT158" s="92">
        <f t="shared" si="3067"/>
        <v>0</v>
      </c>
      <c r="BU158" s="92">
        <f t="shared" si="3067"/>
        <v>0</v>
      </c>
      <c r="BV158" s="92">
        <f t="shared" si="3067"/>
        <v>0</v>
      </c>
      <c r="BW158" s="92">
        <f t="shared" si="3067"/>
        <v>0</v>
      </c>
      <c r="BX158" s="92">
        <f t="shared" si="3067"/>
        <v>0</v>
      </c>
      <c r="BY158" s="92">
        <f t="shared" si="3067"/>
        <v>0</v>
      </c>
      <c r="BZ158" s="92">
        <f t="shared" si="3067"/>
        <v>0</v>
      </c>
      <c r="CA158" s="92">
        <f t="shared" si="3067"/>
        <v>0</v>
      </c>
      <c r="CB158" s="92">
        <f t="shared" ref="CB158:CK159" si="3068">+HL94*REFI?</f>
        <v>0</v>
      </c>
      <c r="CC158" s="92">
        <f t="shared" si="3068"/>
        <v>0</v>
      </c>
      <c r="CD158" s="92">
        <f t="shared" si="3068"/>
        <v>0</v>
      </c>
      <c r="CE158" s="92">
        <f t="shared" si="3068"/>
        <v>0</v>
      </c>
      <c r="CF158" s="92">
        <f t="shared" si="3068"/>
        <v>0</v>
      </c>
      <c r="CG158" s="92">
        <f t="shared" si="3068"/>
        <v>0</v>
      </c>
      <c r="CH158" s="92">
        <f t="shared" si="3068"/>
        <v>0</v>
      </c>
      <c r="CI158" s="92">
        <f t="shared" si="3068"/>
        <v>0</v>
      </c>
      <c r="CJ158" s="92">
        <f t="shared" si="3068"/>
        <v>0</v>
      </c>
      <c r="CK158" s="92">
        <f t="shared" si="3068"/>
        <v>0</v>
      </c>
      <c r="CL158" s="92">
        <f t="shared" ref="CL158:CU159" si="3069">+HV94*REFI?</f>
        <v>0</v>
      </c>
      <c r="CM158" s="92">
        <f t="shared" si="3069"/>
        <v>0</v>
      </c>
      <c r="CN158" s="92">
        <f t="shared" si="3069"/>
        <v>0</v>
      </c>
      <c r="CO158" s="92">
        <f t="shared" si="3069"/>
        <v>0</v>
      </c>
      <c r="CP158" s="92">
        <f t="shared" si="3069"/>
        <v>0</v>
      </c>
      <c r="CQ158" s="92">
        <f t="shared" si="3069"/>
        <v>0</v>
      </c>
      <c r="CR158" s="92">
        <f t="shared" si="3069"/>
        <v>0</v>
      </c>
      <c r="CS158" s="92">
        <f t="shared" si="3069"/>
        <v>0</v>
      </c>
      <c r="CT158" s="92">
        <f t="shared" si="3069"/>
        <v>0</v>
      </c>
      <c r="CU158" s="92">
        <f t="shared" si="3069"/>
        <v>0</v>
      </c>
      <c r="CV158" s="92">
        <f t="shared" ref="CV158:DE159" si="3070">+IF94*REFI?</f>
        <v>0</v>
      </c>
      <c r="CW158" s="92">
        <f t="shared" si="3070"/>
        <v>0</v>
      </c>
      <c r="CX158" s="92">
        <f t="shared" si="3070"/>
        <v>0</v>
      </c>
      <c r="CY158" s="92">
        <f t="shared" si="3070"/>
        <v>0</v>
      </c>
      <c r="CZ158" s="92">
        <f t="shared" si="3070"/>
        <v>0</v>
      </c>
      <c r="DA158" s="92">
        <f t="shared" si="3070"/>
        <v>0</v>
      </c>
      <c r="DB158" s="92">
        <f t="shared" si="3070"/>
        <v>0</v>
      </c>
      <c r="DC158" s="92">
        <f t="shared" si="3070"/>
        <v>0</v>
      </c>
      <c r="DD158" s="92">
        <f t="shared" si="3070"/>
        <v>0</v>
      </c>
      <c r="DE158" s="92">
        <f t="shared" si="3070"/>
        <v>0</v>
      </c>
      <c r="DF158" s="92">
        <f t="shared" ref="DF158:DO159" si="3071">+IP94*REFI?</f>
        <v>0</v>
      </c>
      <c r="DG158" s="92">
        <f t="shared" si="3071"/>
        <v>0</v>
      </c>
      <c r="DH158" s="92">
        <f t="shared" si="3071"/>
        <v>0</v>
      </c>
      <c r="DI158" s="92">
        <f t="shared" si="3071"/>
        <v>0</v>
      </c>
      <c r="DJ158" s="92">
        <f t="shared" si="3071"/>
        <v>0</v>
      </c>
      <c r="DK158" s="92">
        <f t="shared" si="3071"/>
        <v>0</v>
      </c>
      <c r="DL158" s="92">
        <f t="shared" si="3071"/>
        <v>0</v>
      </c>
      <c r="DM158" s="92">
        <f t="shared" si="3071"/>
        <v>0</v>
      </c>
      <c r="DN158" s="92">
        <f t="shared" si="3071"/>
        <v>0</v>
      </c>
      <c r="DO158" s="92">
        <f t="shared" si="3071"/>
        <v>0</v>
      </c>
      <c r="DP158" s="92">
        <f t="shared" ref="DP158:DY159" si="3072">+IZ94*REFI?</f>
        <v>0</v>
      </c>
      <c r="DQ158" s="92">
        <f t="shared" si="3072"/>
        <v>0</v>
      </c>
      <c r="DR158" s="92">
        <f t="shared" si="3072"/>
        <v>0</v>
      </c>
      <c r="DS158" s="92">
        <f t="shared" si="3072"/>
        <v>0</v>
      </c>
      <c r="DT158" s="92">
        <f t="shared" si="3072"/>
        <v>0</v>
      </c>
      <c r="DU158" s="92">
        <f t="shared" si="3072"/>
        <v>0</v>
      </c>
      <c r="DV158" s="92">
        <f t="shared" si="3072"/>
        <v>0</v>
      </c>
      <c r="DW158" s="92">
        <f t="shared" si="3072"/>
        <v>0</v>
      </c>
      <c r="DX158" s="92">
        <f t="shared" si="3072"/>
        <v>0</v>
      </c>
      <c r="DY158" s="92">
        <f t="shared" si="3072"/>
        <v>0</v>
      </c>
      <c r="DZ158" s="92">
        <f t="shared" ref="DZ158:EI159" si="3073">+JJ94*REFI?</f>
        <v>0</v>
      </c>
      <c r="EA158" s="92">
        <f t="shared" si="3073"/>
        <v>0</v>
      </c>
      <c r="EB158" s="92">
        <f t="shared" si="3073"/>
        <v>0</v>
      </c>
      <c r="EC158" s="92">
        <f t="shared" si="3073"/>
        <v>0</v>
      </c>
      <c r="ED158" s="92">
        <f t="shared" si="3073"/>
        <v>0</v>
      </c>
      <c r="EE158" s="92">
        <f t="shared" si="3073"/>
        <v>0</v>
      </c>
      <c r="EF158" s="92">
        <f t="shared" si="3073"/>
        <v>0</v>
      </c>
      <c r="EG158" s="92">
        <f t="shared" si="3073"/>
        <v>0</v>
      </c>
      <c r="EH158" s="92">
        <f t="shared" si="3073"/>
        <v>0</v>
      </c>
      <c r="EI158" s="92">
        <f t="shared" si="3073"/>
        <v>0</v>
      </c>
      <c r="EJ158" s="92">
        <f t="shared" ref="EJ158:ES159" si="3074">+JT94*REFI?</f>
        <v>0</v>
      </c>
      <c r="EK158" s="92">
        <f t="shared" si="3074"/>
        <v>0</v>
      </c>
      <c r="EL158" s="92">
        <f t="shared" si="3074"/>
        <v>0</v>
      </c>
      <c r="EM158" s="92">
        <f t="shared" si="3074"/>
        <v>0</v>
      </c>
      <c r="EN158" s="92">
        <f t="shared" si="3074"/>
        <v>0</v>
      </c>
      <c r="EO158" s="92">
        <f t="shared" si="3074"/>
        <v>0</v>
      </c>
      <c r="EP158" s="92">
        <f t="shared" si="3074"/>
        <v>0</v>
      </c>
      <c r="EQ158" s="92">
        <f t="shared" si="3074"/>
        <v>0</v>
      </c>
      <c r="ER158" s="92">
        <f t="shared" si="3074"/>
        <v>0</v>
      </c>
      <c r="ES158" s="92">
        <f t="shared" si="3074"/>
        <v>0</v>
      </c>
      <c r="ET158" s="92">
        <f t="shared" ref="ET158:EU159" si="3075">+KD94*REFI?</f>
        <v>0</v>
      </c>
      <c r="EU158" s="92">
        <f t="shared" si="3075"/>
        <v>0</v>
      </c>
      <c r="FC158" s="199"/>
      <c r="FD158" s="199"/>
      <c r="FE158" s="199"/>
      <c r="FF158" s="199"/>
      <c r="FG158" s="199"/>
      <c r="FH158" s="199"/>
      <c r="FI158" s="199"/>
      <c r="FJ158" s="199"/>
      <c r="FK158" s="199"/>
      <c r="FL158" s="199"/>
      <c r="FM158" s="199"/>
      <c r="FN158" s="199"/>
      <c r="FO158" s="199"/>
      <c r="FP158" s="199"/>
      <c r="FQ158" s="199"/>
      <c r="FR158" s="199"/>
      <c r="FS158" s="199"/>
      <c r="FT158" s="199"/>
      <c r="FU158" s="199"/>
      <c r="FV158" s="199"/>
      <c r="FW158" s="199"/>
      <c r="FX158" s="199"/>
      <c r="FY158" s="199"/>
      <c r="FZ158" s="199"/>
      <c r="GA158" s="199"/>
      <c r="GB158" s="199"/>
      <c r="GC158" s="199"/>
      <c r="GD158" s="199"/>
      <c r="GE158" s="199"/>
      <c r="GF158" s="199"/>
      <c r="GG158" s="199"/>
      <c r="GH158" s="199"/>
      <c r="GI158" s="199"/>
      <c r="GJ158" s="199"/>
      <c r="GK158" s="199"/>
      <c r="GL158" s="199"/>
      <c r="GM158" s="199"/>
      <c r="GN158" s="199"/>
      <c r="GO158" s="199"/>
      <c r="GP158" s="199"/>
      <c r="GQ158" s="199"/>
      <c r="GR158" s="199"/>
      <c r="GS158" s="199"/>
      <c r="GT158" s="199"/>
      <c r="GU158" s="199"/>
      <c r="GV158" s="199"/>
      <c r="GW158" s="199"/>
      <c r="GX158" s="199"/>
      <c r="GY158" s="199"/>
      <c r="GZ158" s="199"/>
      <c r="HA158" s="199"/>
      <c r="HB158" s="199"/>
      <c r="HC158" s="199"/>
      <c r="HD158" s="199"/>
      <c r="HE158" s="199"/>
      <c r="HF158" s="199"/>
      <c r="HG158" s="199"/>
      <c r="HH158" s="199"/>
      <c r="HI158" s="199"/>
      <c r="HJ158" s="199"/>
      <c r="HK158" s="199"/>
      <c r="HL158" s="199"/>
      <c r="HM158" s="199"/>
      <c r="HN158" s="199"/>
      <c r="HO158" s="199"/>
      <c r="HP158" s="199"/>
      <c r="HQ158" s="199"/>
      <c r="HR158" s="199"/>
      <c r="HS158" s="199"/>
      <c r="HT158" s="199"/>
      <c r="HU158" s="199"/>
      <c r="HV158" s="199"/>
      <c r="HW158" s="199"/>
      <c r="HX158" s="199"/>
      <c r="HY158" s="199"/>
      <c r="HZ158" s="199"/>
      <c r="IA158" s="199"/>
      <c r="IB158" s="199"/>
      <c r="IC158" s="199"/>
      <c r="ID158" s="199"/>
      <c r="IE158" s="199"/>
      <c r="IF158" s="199"/>
      <c r="IG158" s="199"/>
      <c r="IH158" s="199"/>
      <c r="II158" s="199"/>
      <c r="IJ158" s="199"/>
      <c r="IK158" s="199"/>
      <c r="IL158" s="199"/>
      <c r="IM158" s="199"/>
      <c r="IN158" s="199"/>
      <c r="IO158" s="199"/>
      <c r="IP158" s="199"/>
      <c r="IQ158" s="199"/>
      <c r="IR158" s="199"/>
      <c r="IS158" s="199"/>
      <c r="IT158" s="199"/>
      <c r="IU158" s="199"/>
      <c r="IV158" s="199"/>
      <c r="IW158" s="199"/>
      <c r="IX158" s="199"/>
      <c r="IY158" s="199"/>
      <c r="IZ158" s="199"/>
      <c r="JA158" s="199"/>
      <c r="JB158" s="199"/>
      <c r="JC158" s="199"/>
      <c r="JD158" s="199"/>
      <c r="JE158" s="199"/>
      <c r="JF158" s="199"/>
      <c r="JG158" s="199"/>
      <c r="JH158" s="199"/>
      <c r="JI158" s="199"/>
      <c r="JJ158" s="199"/>
      <c r="JK158" s="199"/>
      <c r="JL158" s="199"/>
      <c r="JM158" s="199"/>
      <c r="JN158" s="199"/>
      <c r="JO158" s="199"/>
      <c r="JP158" s="199"/>
      <c r="JQ158" s="199"/>
      <c r="JR158" s="199"/>
      <c r="JS158" s="199"/>
      <c r="JT158" s="199"/>
      <c r="JU158" s="199"/>
      <c r="JV158" s="199"/>
      <c r="JW158" s="199"/>
      <c r="JX158" s="199"/>
      <c r="JY158" s="199"/>
      <c r="JZ158" s="199"/>
      <c r="KA158" s="199"/>
      <c r="KB158" s="199"/>
      <c r="KC158" s="199"/>
      <c r="KD158" s="199"/>
      <c r="KE158" s="199"/>
      <c r="PQ158" s="201"/>
      <c r="PR158" s="201"/>
      <c r="PS158" s="201"/>
      <c r="PT158" s="201"/>
      <c r="PU158" s="201"/>
      <c r="PV158" s="201"/>
      <c r="PW158" s="201"/>
      <c r="PX158" s="201"/>
      <c r="PY158" s="201"/>
      <c r="PZ158" s="201"/>
      <c r="QA158" s="201"/>
      <c r="QB158" s="201"/>
      <c r="QC158" s="201"/>
      <c r="QD158" s="201"/>
      <c r="QE158" s="201"/>
      <c r="QF158" s="201"/>
      <c r="QG158" s="201"/>
      <c r="QH158" s="201"/>
      <c r="QI158" s="201"/>
      <c r="QJ158" s="201"/>
      <c r="QK158" s="201"/>
      <c r="QL158" s="201"/>
      <c r="QM158" s="201"/>
      <c r="QN158" s="201"/>
      <c r="QO158" s="201"/>
      <c r="QP158" s="201"/>
      <c r="QQ158" s="201"/>
      <c r="QR158" s="201"/>
      <c r="QS158" s="201"/>
      <c r="QT158" s="201"/>
      <c r="QU158" s="201"/>
      <c r="QV158" s="201"/>
      <c r="QW158" s="201"/>
      <c r="QX158" s="201"/>
      <c r="QY158" s="201"/>
      <c r="QZ158" s="201"/>
      <c r="RA158" s="201"/>
      <c r="RB158" s="201"/>
      <c r="RC158" s="201"/>
      <c r="RD158" s="201"/>
      <c r="RE158" s="201"/>
      <c r="RF158" s="201"/>
      <c r="RG158" s="201"/>
      <c r="RH158" s="201"/>
      <c r="RI158" s="201"/>
      <c r="RJ158" s="201"/>
      <c r="RK158" s="201"/>
      <c r="RL158" s="201"/>
      <c r="RM158" s="201"/>
      <c r="RN158" s="201"/>
      <c r="RO158" s="201"/>
      <c r="RP158" s="201"/>
      <c r="RQ158" s="201"/>
      <c r="RR158" s="201"/>
      <c r="RS158" s="201"/>
      <c r="RT158" s="201"/>
      <c r="RU158" s="201"/>
      <c r="RV158" s="201"/>
      <c r="RW158" s="201"/>
      <c r="RX158" s="201"/>
      <c r="RY158" s="201"/>
      <c r="RZ158" s="201"/>
      <c r="SA158" s="201"/>
      <c r="SB158" s="201"/>
      <c r="SC158" s="201"/>
      <c r="SD158" s="201"/>
      <c r="SE158" s="201"/>
      <c r="SF158" s="201"/>
      <c r="SG158" s="201"/>
      <c r="SH158" s="201"/>
      <c r="SI158" s="201"/>
      <c r="SJ158" s="201"/>
      <c r="SK158" s="201"/>
      <c r="SL158" s="201"/>
      <c r="SM158" s="201"/>
      <c r="SN158" s="201"/>
      <c r="SO158" s="201"/>
      <c r="SP158" s="201"/>
      <c r="SQ158" s="201"/>
      <c r="SR158" s="201"/>
      <c r="SS158" s="201"/>
      <c r="ST158" s="201"/>
      <c r="SU158" s="201"/>
      <c r="SV158" s="201"/>
      <c r="SW158" s="201"/>
      <c r="SX158" s="201"/>
      <c r="SY158" s="201"/>
      <c r="SZ158" s="201"/>
      <c r="TA158" s="201"/>
      <c r="TB158" s="201"/>
      <c r="TC158" s="201"/>
      <c r="TD158" s="201"/>
      <c r="TE158" s="201"/>
      <c r="TF158" s="201"/>
      <c r="TG158" s="201"/>
      <c r="TH158" s="201"/>
      <c r="TI158" s="201"/>
      <c r="TJ158" s="201"/>
      <c r="TK158" s="201"/>
      <c r="TL158" s="201"/>
      <c r="TM158" s="201"/>
      <c r="TN158" s="201"/>
      <c r="TO158" s="201"/>
      <c r="TP158" s="201"/>
      <c r="TQ158" s="201"/>
      <c r="TR158" s="201"/>
      <c r="TS158" s="201"/>
      <c r="TT158" s="201"/>
      <c r="TU158" s="201"/>
      <c r="TV158" s="201"/>
      <c r="TW158" s="201"/>
      <c r="TX158" s="201"/>
      <c r="TY158" s="201"/>
      <c r="TZ158" s="201"/>
      <c r="UA158" s="201"/>
      <c r="UB158" s="201"/>
      <c r="UC158" s="201"/>
      <c r="UD158" s="201"/>
      <c r="UE158" s="201"/>
      <c r="UF158" s="201"/>
      <c r="UG158" s="201"/>
      <c r="UH158" s="201"/>
      <c r="UI158" s="201"/>
      <c r="UJ158" s="201"/>
      <c r="UK158" s="201"/>
      <c r="UL158" s="201"/>
      <c r="UM158" s="201"/>
      <c r="UN158" s="201"/>
      <c r="UO158" s="201"/>
      <c r="UP158" s="201"/>
      <c r="UQ158" s="201"/>
      <c r="UR158" s="201"/>
      <c r="US158" s="201"/>
      <c r="UT158" s="201"/>
      <c r="UU158" s="201"/>
    </row>
    <row r="159" spans="2:567" ht="15.6" x14ac:dyDescent="0.4">
      <c r="B159" s="54" t="str">
        <f>B94</f>
        <v>Junior Loan 2</v>
      </c>
      <c r="C159" s="18"/>
      <c r="D159" s="82" t="str">
        <f>IF(E89=0,"NA",J94)</f>
        <v>NA</v>
      </c>
      <c r="E159" s="82" t="str">
        <f>IF(D159="NA","NA",K94)</f>
        <v>NA</v>
      </c>
      <c r="F159" s="18"/>
      <c r="G159" s="18"/>
      <c r="H159" s="18"/>
      <c r="I159" s="18"/>
      <c r="J159" s="151">
        <f t="shared" si="3061"/>
        <v>0</v>
      </c>
      <c r="K159" s="151">
        <f ca="1">OFFSET($S159,0,K$155,1,1)*12</f>
        <v>0</v>
      </c>
      <c r="T159" s="96">
        <f t="shared" si="3062"/>
        <v>0</v>
      </c>
      <c r="U159" s="96">
        <f t="shared" si="3062"/>
        <v>0</v>
      </c>
      <c r="V159" s="96">
        <f t="shared" si="3062"/>
        <v>0</v>
      </c>
      <c r="W159" s="96">
        <f t="shared" si="3062"/>
        <v>0</v>
      </c>
      <c r="X159" s="96">
        <f t="shared" si="3062"/>
        <v>0</v>
      </c>
      <c r="Y159" s="96">
        <f t="shared" si="3062"/>
        <v>0</v>
      </c>
      <c r="Z159" s="96">
        <f t="shared" si="3062"/>
        <v>0</v>
      </c>
      <c r="AA159" s="96">
        <f t="shared" si="3062"/>
        <v>0</v>
      </c>
      <c r="AB159" s="96">
        <f t="shared" si="3062"/>
        <v>0</v>
      </c>
      <c r="AC159" s="96">
        <f t="shared" si="3062"/>
        <v>0</v>
      </c>
      <c r="AD159" s="96">
        <f t="shared" si="3063"/>
        <v>0</v>
      </c>
      <c r="AE159" s="96">
        <f t="shared" si="3063"/>
        <v>0</v>
      </c>
      <c r="AF159" s="96">
        <f t="shared" si="3063"/>
        <v>0</v>
      </c>
      <c r="AG159" s="96">
        <f t="shared" si="3063"/>
        <v>0</v>
      </c>
      <c r="AH159" s="96">
        <f t="shared" si="3063"/>
        <v>0</v>
      </c>
      <c r="AI159" s="96">
        <f t="shared" si="3063"/>
        <v>0</v>
      </c>
      <c r="AJ159" s="96">
        <f t="shared" si="3063"/>
        <v>0</v>
      </c>
      <c r="AK159" s="96">
        <f t="shared" si="3063"/>
        <v>0</v>
      </c>
      <c r="AL159" s="96">
        <f t="shared" si="3063"/>
        <v>0</v>
      </c>
      <c r="AM159" s="96">
        <f t="shared" si="3063"/>
        <v>0</v>
      </c>
      <c r="AN159" s="96">
        <f t="shared" si="3064"/>
        <v>0</v>
      </c>
      <c r="AO159" s="96">
        <f t="shared" si="3064"/>
        <v>0</v>
      </c>
      <c r="AP159" s="96">
        <f t="shared" si="3064"/>
        <v>0</v>
      </c>
      <c r="AQ159" s="96">
        <f t="shared" si="3064"/>
        <v>0</v>
      </c>
      <c r="AR159" s="96">
        <f t="shared" si="3064"/>
        <v>0</v>
      </c>
      <c r="AS159" s="96">
        <f t="shared" si="3064"/>
        <v>0</v>
      </c>
      <c r="AT159" s="96">
        <f t="shared" si="3064"/>
        <v>0</v>
      </c>
      <c r="AU159" s="96">
        <f t="shared" si="3064"/>
        <v>0</v>
      </c>
      <c r="AV159" s="96">
        <f t="shared" si="3064"/>
        <v>0</v>
      </c>
      <c r="AW159" s="96">
        <f t="shared" si="3064"/>
        <v>0</v>
      </c>
      <c r="AX159" s="96">
        <f t="shared" si="3065"/>
        <v>0</v>
      </c>
      <c r="AY159" s="96">
        <f t="shared" si="3065"/>
        <v>0</v>
      </c>
      <c r="AZ159" s="96">
        <f t="shared" si="3065"/>
        <v>0</v>
      </c>
      <c r="BA159" s="96">
        <f t="shared" si="3065"/>
        <v>0</v>
      </c>
      <c r="BB159" s="96">
        <f t="shared" si="3065"/>
        <v>0</v>
      </c>
      <c r="BC159" s="96">
        <f t="shared" si="3065"/>
        <v>0</v>
      </c>
      <c r="BD159" s="96">
        <f t="shared" si="3065"/>
        <v>0</v>
      </c>
      <c r="BE159" s="96">
        <f t="shared" si="3065"/>
        <v>0</v>
      </c>
      <c r="BF159" s="96">
        <f t="shared" si="3065"/>
        <v>0</v>
      </c>
      <c r="BG159" s="96">
        <f t="shared" si="3065"/>
        <v>0</v>
      </c>
      <c r="BH159" s="96">
        <f t="shared" si="3066"/>
        <v>0</v>
      </c>
      <c r="BI159" s="96">
        <f t="shared" si="3066"/>
        <v>0</v>
      </c>
      <c r="BJ159" s="96">
        <f t="shared" si="3066"/>
        <v>0</v>
      </c>
      <c r="BK159" s="96">
        <f t="shared" si="3066"/>
        <v>0</v>
      </c>
      <c r="BL159" s="96">
        <f t="shared" si="3066"/>
        <v>0</v>
      </c>
      <c r="BM159" s="96">
        <f t="shared" si="3066"/>
        <v>0</v>
      </c>
      <c r="BN159" s="96">
        <f t="shared" si="3066"/>
        <v>0</v>
      </c>
      <c r="BO159" s="96">
        <f t="shared" si="3066"/>
        <v>0</v>
      </c>
      <c r="BP159" s="96">
        <f t="shared" si="3066"/>
        <v>0</v>
      </c>
      <c r="BQ159" s="96">
        <f t="shared" si="3066"/>
        <v>0</v>
      </c>
      <c r="BR159" s="96">
        <f t="shared" si="3067"/>
        <v>0</v>
      </c>
      <c r="BS159" s="96">
        <f t="shared" si="3067"/>
        <v>0</v>
      </c>
      <c r="BT159" s="96">
        <f t="shared" si="3067"/>
        <v>0</v>
      </c>
      <c r="BU159" s="96">
        <f t="shared" si="3067"/>
        <v>0</v>
      </c>
      <c r="BV159" s="96">
        <f t="shared" si="3067"/>
        <v>0</v>
      </c>
      <c r="BW159" s="96">
        <f t="shared" si="3067"/>
        <v>0</v>
      </c>
      <c r="BX159" s="96">
        <f t="shared" si="3067"/>
        <v>0</v>
      </c>
      <c r="BY159" s="96">
        <f t="shared" si="3067"/>
        <v>0</v>
      </c>
      <c r="BZ159" s="96">
        <f t="shared" si="3067"/>
        <v>0</v>
      </c>
      <c r="CA159" s="96">
        <f t="shared" si="3067"/>
        <v>0</v>
      </c>
      <c r="CB159" s="96">
        <f t="shared" si="3068"/>
        <v>0</v>
      </c>
      <c r="CC159" s="96">
        <f t="shared" si="3068"/>
        <v>0</v>
      </c>
      <c r="CD159" s="96">
        <f t="shared" si="3068"/>
        <v>0</v>
      </c>
      <c r="CE159" s="96">
        <f t="shared" si="3068"/>
        <v>0</v>
      </c>
      <c r="CF159" s="96">
        <f t="shared" si="3068"/>
        <v>0</v>
      </c>
      <c r="CG159" s="96">
        <f t="shared" si="3068"/>
        <v>0</v>
      </c>
      <c r="CH159" s="96">
        <f t="shared" si="3068"/>
        <v>0</v>
      </c>
      <c r="CI159" s="96">
        <f t="shared" si="3068"/>
        <v>0</v>
      </c>
      <c r="CJ159" s="96">
        <f t="shared" si="3068"/>
        <v>0</v>
      </c>
      <c r="CK159" s="96">
        <f t="shared" si="3068"/>
        <v>0</v>
      </c>
      <c r="CL159" s="96">
        <f t="shared" si="3069"/>
        <v>0</v>
      </c>
      <c r="CM159" s="96">
        <f t="shared" si="3069"/>
        <v>0</v>
      </c>
      <c r="CN159" s="96">
        <f t="shared" si="3069"/>
        <v>0</v>
      </c>
      <c r="CO159" s="96">
        <f t="shared" si="3069"/>
        <v>0</v>
      </c>
      <c r="CP159" s="96">
        <f t="shared" si="3069"/>
        <v>0</v>
      </c>
      <c r="CQ159" s="96">
        <f t="shared" si="3069"/>
        <v>0</v>
      </c>
      <c r="CR159" s="96">
        <f t="shared" si="3069"/>
        <v>0</v>
      </c>
      <c r="CS159" s="96">
        <f t="shared" si="3069"/>
        <v>0</v>
      </c>
      <c r="CT159" s="96">
        <f t="shared" si="3069"/>
        <v>0</v>
      </c>
      <c r="CU159" s="96">
        <f t="shared" si="3069"/>
        <v>0</v>
      </c>
      <c r="CV159" s="96">
        <f t="shared" si="3070"/>
        <v>0</v>
      </c>
      <c r="CW159" s="96">
        <f t="shared" si="3070"/>
        <v>0</v>
      </c>
      <c r="CX159" s="96">
        <f t="shared" si="3070"/>
        <v>0</v>
      </c>
      <c r="CY159" s="96">
        <f t="shared" si="3070"/>
        <v>0</v>
      </c>
      <c r="CZ159" s="96">
        <f t="shared" si="3070"/>
        <v>0</v>
      </c>
      <c r="DA159" s="96">
        <f t="shared" si="3070"/>
        <v>0</v>
      </c>
      <c r="DB159" s="96">
        <f t="shared" si="3070"/>
        <v>0</v>
      </c>
      <c r="DC159" s="96">
        <f t="shared" si="3070"/>
        <v>0</v>
      </c>
      <c r="DD159" s="96">
        <f t="shared" si="3070"/>
        <v>0</v>
      </c>
      <c r="DE159" s="96">
        <f t="shared" si="3070"/>
        <v>0</v>
      </c>
      <c r="DF159" s="96">
        <f t="shared" si="3071"/>
        <v>0</v>
      </c>
      <c r="DG159" s="96">
        <f t="shared" si="3071"/>
        <v>0</v>
      </c>
      <c r="DH159" s="96">
        <f t="shared" si="3071"/>
        <v>0</v>
      </c>
      <c r="DI159" s="96">
        <f t="shared" si="3071"/>
        <v>0</v>
      </c>
      <c r="DJ159" s="96">
        <f t="shared" si="3071"/>
        <v>0</v>
      </c>
      <c r="DK159" s="96">
        <f t="shared" si="3071"/>
        <v>0</v>
      </c>
      <c r="DL159" s="96">
        <f t="shared" si="3071"/>
        <v>0</v>
      </c>
      <c r="DM159" s="96">
        <f t="shared" si="3071"/>
        <v>0</v>
      </c>
      <c r="DN159" s="96">
        <f t="shared" si="3071"/>
        <v>0</v>
      </c>
      <c r="DO159" s="96">
        <f t="shared" si="3071"/>
        <v>0</v>
      </c>
      <c r="DP159" s="96">
        <f t="shared" si="3072"/>
        <v>0</v>
      </c>
      <c r="DQ159" s="96">
        <f t="shared" si="3072"/>
        <v>0</v>
      </c>
      <c r="DR159" s="96">
        <f t="shared" si="3072"/>
        <v>0</v>
      </c>
      <c r="DS159" s="96">
        <f t="shared" si="3072"/>
        <v>0</v>
      </c>
      <c r="DT159" s="96">
        <f t="shared" si="3072"/>
        <v>0</v>
      </c>
      <c r="DU159" s="96">
        <f t="shared" si="3072"/>
        <v>0</v>
      </c>
      <c r="DV159" s="96">
        <f t="shared" si="3072"/>
        <v>0</v>
      </c>
      <c r="DW159" s="96">
        <f t="shared" si="3072"/>
        <v>0</v>
      </c>
      <c r="DX159" s="96">
        <f t="shared" si="3072"/>
        <v>0</v>
      </c>
      <c r="DY159" s="96">
        <f t="shared" si="3072"/>
        <v>0</v>
      </c>
      <c r="DZ159" s="96">
        <f t="shared" si="3073"/>
        <v>0</v>
      </c>
      <c r="EA159" s="96">
        <f t="shared" si="3073"/>
        <v>0</v>
      </c>
      <c r="EB159" s="96">
        <f t="shared" si="3073"/>
        <v>0</v>
      </c>
      <c r="EC159" s="96">
        <f t="shared" si="3073"/>
        <v>0</v>
      </c>
      <c r="ED159" s="96">
        <f t="shared" si="3073"/>
        <v>0</v>
      </c>
      <c r="EE159" s="96">
        <f t="shared" si="3073"/>
        <v>0</v>
      </c>
      <c r="EF159" s="96">
        <f t="shared" si="3073"/>
        <v>0</v>
      </c>
      <c r="EG159" s="96">
        <f t="shared" si="3073"/>
        <v>0</v>
      </c>
      <c r="EH159" s="96">
        <f t="shared" si="3073"/>
        <v>0</v>
      </c>
      <c r="EI159" s="96">
        <f t="shared" si="3073"/>
        <v>0</v>
      </c>
      <c r="EJ159" s="96">
        <f t="shared" si="3074"/>
        <v>0</v>
      </c>
      <c r="EK159" s="96">
        <f t="shared" si="3074"/>
        <v>0</v>
      </c>
      <c r="EL159" s="96">
        <f t="shared" si="3074"/>
        <v>0</v>
      </c>
      <c r="EM159" s="96">
        <f t="shared" si="3074"/>
        <v>0</v>
      </c>
      <c r="EN159" s="96">
        <f t="shared" si="3074"/>
        <v>0</v>
      </c>
      <c r="EO159" s="96">
        <f t="shared" si="3074"/>
        <v>0</v>
      </c>
      <c r="EP159" s="96">
        <f t="shared" si="3074"/>
        <v>0</v>
      </c>
      <c r="EQ159" s="96">
        <f t="shared" si="3074"/>
        <v>0</v>
      </c>
      <c r="ER159" s="96">
        <f t="shared" si="3074"/>
        <v>0</v>
      </c>
      <c r="ES159" s="96">
        <f t="shared" si="3074"/>
        <v>0</v>
      </c>
      <c r="ET159" s="96">
        <f t="shared" si="3075"/>
        <v>0</v>
      </c>
      <c r="EU159" s="96">
        <f t="shared" si="3075"/>
        <v>0</v>
      </c>
      <c r="FC159" s="199"/>
      <c r="FD159" s="199"/>
      <c r="FE159" s="199"/>
      <c r="FF159" s="199"/>
      <c r="FG159" s="199"/>
      <c r="FH159" s="199"/>
      <c r="FI159" s="199"/>
      <c r="FJ159" s="199"/>
      <c r="FK159" s="199"/>
      <c r="FL159" s="199"/>
      <c r="FM159" s="199"/>
      <c r="FN159" s="199"/>
      <c r="FO159" s="199"/>
      <c r="FP159" s="199"/>
      <c r="FQ159" s="199"/>
      <c r="FR159" s="199"/>
      <c r="FS159" s="199"/>
      <c r="FT159" s="199"/>
      <c r="FU159" s="199"/>
      <c r="FV159" s="199"/>
      <c r="FW159" s="199"/>
      <c r="FX159" s="199"/>
      <c r="FY159" s="199"/>
      <c r="FZ159" s="199"/>
      <c r="GA159" s="199"/>
      <c r="GB159" s="199"/>
      <c r="GC159" s="199"/>
      <c r="GD159" s="199"/>
      <c r="GE159" s="199"/>
      <c r="GF159" s="199"/>
      <c r="GG159" s="199"/>
      <c r="GH159" s="199"/>
      <c r="GI159" s="199"/>
      <c r="GJ159" s="199"/>
      <c r="GK159" s="199"/>
      <c r="GL159" s="199"/>
      <c r="GM159" s="199"/>
      <c r="GN159" s="199"/>
      <c r="GO159" s="199"/>
      <c r="GP159" s="199"/>
      <c r="GQ159" s="199"/>
      <c r="GR159" s="199"/>
      <c r="GS159" s="199"/>
      <c r="GT159" s="199"/>
      <c r="GU159" s="199"/>
      <c r="GV159" s="199"/>
      <c r="GW159" s="199"/>
      <c r="GX159" s="199"/>
      <c r="GY159" s="199"/>
      <c r="GZ159" s="199"/>
      <c r="HA159" s="199"/>
      <c r="HB159" s="199"/>
      <c r="HC159" s="199"/>
      <c r="HD159" s="199"/>
      <c r="HE159" s="199"/>
      <c r="HF159" s="199"/>
      <c r="HG159" s="199"/>
      <c r="HH159" s="199"/>
      <c r="HI159" s="199"/>
      <c r="HJ159" s="199"/>
      <c r="HK159" s="199"/>
      <c r="HL159" s="199"/>
      <c r="HM159" s="199"/>
      <c r="HN159" s="199"/>
      <c r="HO159" s="199"/>
      <c r="HP159" s="199"/>
      <c r="HQ159" s="199"/>
      <c r="HR159" s="199"/>
      <c r="HS159" s="199"/>
      <c r="HT159" s="199"/>
      <c r="HU159" s="199"/>
      <c r="HV159" s="199"/>
      <c r="HW159" s="199"/>
      <c r="HX159" s="199"/>
      <c r="HY159" s="199"/>
      <c r="HZ159" s="199"/>
      <c r="IA159" s="199"/>
      <c r="IB159" s="199"/>
      <c r="IC159" s="199"/>
      <c r="ID159" s="199"/>
      <c r="IE159" s="199"/>
      <c r="IF159" s="199"/>
      <c r="IG159" s="199"/>
      <c r="IH159" s="199"/>
      <c r="II159" s="199"/>
      <c r="IJ159" s="199"/>
      <c r="IK159" s="199"/>
      <c r="IL159" s="199"/>
      <c r="IM159" s="199"/>
      <c r="IN159" s="199"/>
      <c r="IO159" s="199"/>
      <c r="IP159" s="199"/>
      <c r="IQ159" s="199"/>
      <c r="IR159" s="199"/>
      <c r="IS159" s="199"/>
      <c r="IT159" s="199"/>
      <c r="IU159" s="199"/>
      <c r="IV159" s="199"/>
      <c r="IW159" s="199"/>
      <c r="IX159" s="199"/>
      <c r="IY159" s="199"/>
      <c r="IZ159" s="199"/>
      <c r="JA159" s="199"/>
      <c r="JB159" s="199"/>
      <c r="JC159" s="199"/>
      <c r="JD159" s="199"/>
      <c r="JE159" s="199"/>
      <c r="JF159" s="199"/>
      <c r="JG159" s="199"/>
      <c r="JH159" s="199"/>
      <c r="JI159" s="199"/>
      <c r="JJ159" s="199"/>
      <c r="JK159" s="199"/>
      <c r="JL159" s="199"/>
      <c r="JM159" s="199"/>
      <c r="JN159" s="199"/>
      <c r="JO159" s="199"/>
      <c r="JP159" s="199"/>
      <c r="JQ159" s="199"/>
      <c r="JR159" s="199"/>
      <c r="JS159" s="199"/>
      <c r="JT159" s="199"/>
      <c r="JU159" s="199"/>
      <c r="JV159" s="199"/>
      <c r="JW159" s="199"/>
      <c r="JX159" s="199"/>
      <c r="JY159" s="199"/>
      <c r="JZ159" s="199"/>
      <c r="KA159" s="199"/>
      <c r="KB159" s="199"/>
      <c r="KC159" s="199"/>
      <c r="KD159" s="199"/>
      <c r="KE159" s="199"/>
      <c r="PQ159" s="201"/>
      <c r="PR159" s="201"/>
      <c r="PS159" s="201"/>
      <c r="PT159" s="201"/>
      <c r="PU159" s="201"/>
      <c r="PV159" s="201"/>
      <c r="PW159" s="201"/>
      <c r="PX159" s="201"/>
      <c r="PY159" s="201"/>
      <c r="PZ159" s="201"/>
      <c r="QA159" s="201"/>
      <c r="QB159" s="201"/>
      <c r="QC159" s="201"/>
      <c r="QD159" s="201"/>
      <c r="QE159" s="201"/>
      <c r="QF159" s="201"/>
      <c r="QG159" s="201"/>
      <c r="QH159" s="201"/>
      <c r="QI159" s="201"/>
      <c r="QJ159" s="201"/>
      <c r="QK159" s="201"/>
      <c r="QL159" s="201"/>
      <c r="QM159" s="201"/>
      <c r="QN159" s="201"/>
      <c r="QO159" s="201"/>
      <c r="QP159" s="201"/>
      <c r="QQ159" s="201"/>
      <c r="QR159" s="201"/>
      <c r="QS159" s="201"/>
      <c r="QT159" s="201"/>
      <c r="QU159" s="201"/>
      <c r="QV159" s="201"/>
      <c r="QW159" s="201"/>
      <c r="QX159" s="201"/>
      <c r="QY159" s="201"/>
      <c r="QZ159" s="201"/>
      <c r="RA159" s="201"/>
      <c r="RB159" s="201"/>
      <c r="RC159" s="201"/>
      <c r="RD159" s="201"/>
      <c r="RE159" s="201"/>
      <c r="RF159" s="201"/>
      <c r="RG159" s="201"/>
      <c r="RH159" s="201"/>
      <c r="RI159" s="201"/>
      <c r="RJ159" s="201"/>
      <c r="RK159" s="201"/>
      <c r="RL159" s="201"/>
      <c r="RM159" s="201"/>
      <c r="RN159" s="201"/>
      <c r="RO159" s="201"/>
      <c r="RP159" s="201"/>
      <c r="RQ159" s="201"/>
      <c r="RR159" s="201"/>
      <c r="RS159" s="201"/>
      <c r="RT159" s="201"/>
      <c r="RU159" s="201"/>
      <c r="RV159" s="201"/>
      <c r="RW159" s="201"/>
      <c r="RX159" s="201"/>
      <c r="RY159" s="201"/>
      <c r="RZ159" s="201"/>
      <c r="SA159" s="201"/>
      <c r="SB159" s="201"/>
      <c r="SC159" s="201"/>
      <c r="SD159" s="201"/>
      <c r="SE159" s="201"/>
      <c r="SF159" s="201"/>
      <c r="SG159" s="201"/>
      <c r="SH159" s="201"/>
      <c r="SI159" s="201"/>
      <c r="SJ159" s="201"/>
      <c r="SK159" s="201"/>
      <c r="SL159" s="201"/>
      <c r="SM159" s="201"/>
      <c r="SN159" s="201"/>
      <c r="SO159" s="201"/>
      <c r="SP159" s="201"/>
      <c r="SQ159" s="201"/>
      <c r="SR159" s="201"/>
      <c r="SS159" s="201"/>
      <c r="ST159" s="201"/>
      <c r="SU159" s="201"/>
      <c r="SV159" s="201"/>
      <c r="SW159" s="201"/>
      <c r="SX159" s="201"/>
      <c r="SY159" s="201"/>
      <c r="SZ159" s="201"/>
      <c r="TA159" s="201"/>
      <c r="TB159" s="201"/>
      <c r="TC159" s="201"/>
      <c r="TD159" s="201"/>
      <c r="TE159" s="201"/>
      <c r="TF159" s="201"/>
      <c r="TG159" s="201"/>
      <c r="TH159" s="201"/>
      <c r="TI159" s="201"/>
      <c r="TJ159" s="201"/>
      <c r="TK159" s="201"/>
      <c r="TL159" s="201"/>
      <c r="TM159" s="201"/>
      <c r="TN159" s="201"/>
      <c r="TO159" s="201"/>
      <c r="TP159" s="201"/>
      <c r="TQ159" s="201"/>
      <c r="TR159" s="201"/>
      <c r="TS159" s="201"/>
      <c r="TT159" s="201"/>
      <c r="TU159" s="201"/>
      <c r="TV159" s="201"/>
      <c r="TW159" s="201"/>
      <c r="TX159" s="201"/>
      <c r="TY159" s="201"/>
      <c r="TZ159" s="201"/>
      <c r="UA159" s="201"/>
      <c r="UB159" s="201"/>
      <c r="UC159" s="201"/>
      <c r="UD159" s="201"/>
      <c r="UE159" s="201"/>
      <c r="UF159" s="201"/>
      <c r="UG159" s="201"/>
      <c r="UH159" s="201"/>
      <c r="UI159" s="201"/>
      <c r="UJ159" s="201"/>
      <c r="UK159" s="201"/>
      <c r="UL159" s="201"/>
      <c r="UM159" s="201"/>
      <c r="UN159" s="201"/>
      <c r="UO159" s="201"/>
      <c r="UP159" s="201"/>
      <c r="UQ159" s="201"/>
      <c r="UR159" s="201"/>
      <c r="US159" s="201"/>
      <c r="UT159" s="201"/>
      <c r="UU159" s="201"/>
    </row>
    <row r="160" spans="2:567" x14ac:dyDescent="0.25">
      <c r="B160" s="18" t="s">
        <v>189</v>
      </c>
      <c r="C160" s="18"/>
      <c r="D160" s="18"/>
      <c r="E160" s="18"/>
      <c r="F160" s="18"/>
      <c r="G160" s="18"/>
      <c r="H160" s="18"/>
      <c r="I160" s="18"/>
      <c r="J160" s="34">
        <f>SUM(J156:J159)</f>
        <v>2071791.0024985129</v>
      </c>
      <c r="K160" s="34">
        <f ca="1">SUM(K156:K159)</f>
        <v>2306676.5268089939</v>
      </c>
      <c r="S160" s="145"/>
      <c r="T160" s="92">
        <f>SUM(T156:T159)</f>
        <v>170839.39151397516</v>
      </c>
      <c r="U160" s="92">
        <f t="shared" ref="U160:CF160" si="3076">SUM(U156:U159)</f>
        <v>169352.52249892824</v>
      </c>
      <c r="V160" s="92">
        <f t="shared" si="3076"/>
        <v>170364.63824811741</v>
      </c>
      <c r="W160" s="92">
        <f t="shared" si="3076"/>
        <v>170839.46102670062</v>
      </c>
      <c r="X160" s="92">
        <f t="shared" si="3076"/>
        <v>170497.01062406416</v>
      </c>
      <c r="Y160" s="92">
        <f t="shared" si="3076"/>
        <v>171508.27376554461</v>
      </c>
      <c r="Z160" s="92">
        <f t="shared" si="3076"/>
        <v>172404.81773201394</v>
      </c>
      <c r="AA160" s="92">
        <f t="shared" si="3076"/>
        <v>173095.01719107726</v>
      </c>
      <c r="AB160" s="92">
        <f t="shared" si="3076"/>
        <v>174102.27245643389</v>
      </c>
      <c r="AC160" s="92">
        <f t="shared" si="3076"/>
        <v>175157.34914045248</v>
      </c>
      <c r="AD160" s="92">
        <f t="shared" si="3076"/>
        <v>176248.14656945746</v>
      </c>
      <c r="AE160" s="92">
        <f t="shared" si="3076"/>
        <v>177382.10173174771</v>
      </c>
      <c r="AF160" s="92">
        <f t="shared" si="3076"/>
        <v>178550.45638428757</v>
      </c>
      <c r="AG160" s="92">
        <f t="shared" si="3076"/>
        <v>179801.46350015534</v>
      </c>
      <c r="AH160" s="92">
        <f t="shared" si="3076"/>
        <v>181044.54724313825</v>
      </c>
      <c r="AI160" s="92">
        <f t="shared" si="3076"/>
        <v>182305.14014200034</v>
      </c>
      <c r="AJ160" s="92">
        <f t="shared" si="3076"/>
        <v>183585.50021750201</v>
      </c>
      <c r="AK160" s="92">
        <f t="shared" si="3076"/>
        <v>184878.84913953219</v>
      </c>
      <c r="AL160" s="92">
        <f t="shared" si="3076"/>
        <v>186197.8675474654</v>
      </c>
      <c r="AM160" s="92">
        <f t="shared" si="3076"/>
        <v>187506.54356414909</v>
      </c>
      <c r="AN160" s="92">
        <f t="shared" si="3076"/>
        <v>188833.71672398056</v>
      </c>
      <c r="AO160" s="92">
        <f t="shared" si="3076"/>
        <v>190181.70086620664</v>
      </c>
      <c r="AP160" s="92">
        <f t="shared" si="3076"/>
        <v>191545.25047912708</v>
      </c>
      <c r="AQ160" s="92">
        <f t="shared" si="3076"/>
        <v>191867.72945025112</v>
      </c>
      <c r="AR160" s="92">
        <f t="shared" si="3076"/>
        <v>192223.04390074947</v>
      </c>
      <c r="AS160" s="92">
        <f t="shared" si="3076"/>
        <v>192584.92544712353</v>
      </c>
      <c r="AT160" s="92">
        <f t="shared" si="3076"/>
        <v>192902.21986887616</v>
      </c>
      <c r="AU160" s="92">
        <f t="shared" si="3076"/>
        <v>193252.00413337519</v>
      </c>
      <c r="AV160" s="92">
        <f t="shared" si="3076"/>
        <v>193561.69454937655</v>
      </c>
      <c r="AW160" s="92">
        <f t="shared" si="3076"/>
        <v>193860.67023000124</v>
      </c>
      <c r="AX160" s="92">
        <f t="shared" si="3076"/>
        <v>194153.42445137672</v>
      </c>
      <c r="AY160" s="92">
        <f t="shared" si="3076"/>
        <v>194420.60156249945</v>
      </c>
      <c r="AZ160" s="92">
        <f t="shared" si="3076"/>
        <v>194706.44305137469</v>
      </c>
      <c r="BA160" s="92">
        <f t="shared" si="3076"/>
        <v>194939.05649999995</v>
      </c>
      <c r="BB160" s="92">
        <f t="shared" si="3076"/>
        <v>195166.83103587519</v>
      </c>
      <c r="BC160" s="92">
        <f t="shared" si="3076"/>
        <v>195387.69283925137</v>
      </c>
      <c r="BD160" s="92">
        <f t="shared" si="3076"/>
        <v>0</v>
      </c>
      <c r="BE160" s="92">
        <f t="shared" si="3076"/>
        <v>0</v>
      </c>
      <c r="BF160" s="92">
        <f t="shared" si="3076"/>
        <v>0</v>
      </c>
      <c r="BG160" s="92">
        <f t="shared" si="3076"/>
        <v>0</v>
      </c>
      <c r="BH160" s="92">
        <f t="shared" si="3076"/>
        <v>0</v>
      </c>
      <c r="BI160" s="92">
        <f t="shared" si="3076"/>
        <v>0</v>
      </c>
      <c r="BJ160" s="92">
        <f t="shared" si="3076"/>
        <v>0</v>
      </c>
      <c r="BK160" s="92">
        <f t="shared" si="3076"/>
        <v>0</v>
      </c>
      <c r="BL160" s="92">
        <f t="shared" si="3076"/>
        <v>0</v>
      </c>
      <c r="BM160" s="92">
        <f t="shared" si="3076"/>
        <v>0</v>
      </c>
      <c r="BN160" s="92">
        <f t="shared" si="3076"/>
        <v>0</v>
      </c>
      <c r="BO160" s="92">
        <f t="shared" si="3076"/>
        <v>0</v>
      </c>
      <c r="BP160" s="92">
        <f t="shared" si="3076"/>
        <v>0</v>
      </c>
      <c r="BQ160" s="92">
        <f t="shared" si="3076"/>
        <v>0</v>
      </c>
      <c r="BR160" s="92">
        <f t="shared" si="3076"/>
        <v>0</v>
      </c>
      <c r="BS160" s="92">
        <f t="shared" si="3076"/>
        <v>0</v>
      </c>
      <c r="BT160" s="92">
        <f t="shared" si="3076"/>
        <v>0</v>
      </c>
      <c r="BU160" s="92">
        <f t="shared" si="3076"/>
        <v>0</v>
      </c>
      <c r="BV160" s="92">
        <f t="shared" si="3076"/>
        <v>0</v>
      </c>
      <c r="BW160" s="92">
        <f t="shared" si="3076"/>
        <v>0</v>
      </c>
      <c r="BX160" s="92">
        <f t="shared" si="3076"/>
        <v>0</v>
      </c>
      <c r="BY160" s="92">
        <f t="shared" si="3076"/>
        <v>0</v>
      </c>
      <c r="BZ160" s="92">
        <f t="shared" si="3076"/>
        <v>0</v>
      </c>
      <c r="CA160" s="92">
        <f t="shared" si="3076"/>
        <v>0</v>
      </c>
      <c r="CB160" s="92">
        <f t="shared" si="3076"/>
        <v>0</v>
      </c>
      <c r="CC160" s="92">
        <f t="shared" si="3076"/>
        <v>0</v>
      </c>
      <c r="CD160" s="92">
        <f t="shared" si="3076"/>
        <v>0</v>
      </c>
      <c r="CE160" s="92">
        <f t="shared" si="3076"/>
        <v>0</v>
      </c>
      <c r="CF160" s="92">
        <f t="shared" si="3076"/>
        <v>0</v>
      </c>
      <c r="CG160" s="92">
        <f t="shared" ref="CG160:ER160" si="3077">SUM(CG156:CG159)</f>
        <v>0</v>
      </c>
      <c r="CH160" s="92">
        <f t="shared" si="3077"/>
        <v>0</v>
      </c>
      <c r="CI160" s="92">
        <f t="shared" si="3077"/>
        <v>0</v>
      </c>
      <c r="CJ160" s="92">
        <f t="shared" si="3077"/>
        <v>0</v>
      </c>
      <c r="CK160" s="92">
        <f t="shared" si="3077"/>
        <v>0</v>
      </c>
      <c r="CL160" s="92">
        <f t="shared" si="3077"/>
        <v>0</v>
      </c>
      <c r="CM160" s="92">
        <f t="shared" si="3077"/>
        <v>0</v>
      </c>
      <c r="CN160" s="92">
        <f t="shared" si="3077"/>
        <v>0</v>
      </c>
      <c r="CO160" s="92">
        <f t="shared" si="3077"/>
        <v>0</v>
      </c>
      <c r="CP160" s="92">
        <f t="shared" si="3077"/>
        <v>0</v>
      </c>
      <c r="CQ160" s="92">
        <f t="shared" si="3077"/>
        <v>0</v>
      </c>
      <c r="CR160" s="92">
        <f t="shared" si="3077"/>
        <v>0</v>
      </c>
      <c r="CS160" s="92">
        <f t="shared" si="3077"/>
        <v>0</v>
      </c>
      <c r="CT160" s="92">
        <f t="shared" si="3077"/>
        <v>0</v>
      </c>
      <c r="CU160" s="92">
        <f t="shared" si="3077"/>
        <v>0</v>
      </c>
      <c r="CV160" s="92">
        <f t="shared" si="3077"/>
        <v>0</v>
      </c>
      <c r="CW160" s="92">
        <f t="shared" si="3077"/>
        <v>0</v>
      </c>
      <c r="CX160" s="92">
        <f t="shared" si="3077"/>
        <v>0</v>
      </c>
      <c r="CY160" s="92">
        <f t="shared" si="3077"/>
        <v>0</v>
      </c>
      <c r="CZ160" s="92">
        <f t="shared" si="3077"/>
        <v>0</v>
      </c>
      <c r="DA160" s="92">
        <f t="shared" si="3077"/>
        <v>0</v>
      </c>
      <c r="DB160" s="92">
        <f t="shared" si="3077"/>
        <v>0</v>
      </c>
      <c r="DC160" s="92">
        <f t="shared" si="3077"/>
        <v>0</v>
      </c>
      <c r="DD160" s="92">
        <f t="shared" si="3077"/>
        <v>0</v>
      </c>
      <c r="DE160" s="92">
        <f t="shared" si="3077"/>
        <v>0</v>
      </c>
      <c r="DF160" s="92">
        <f t="shared" si="3077"/>
        <v>0</v>
      </c>
      <c r="DG160" s="92">
        <f t="shared" si="3077"/>
        <v>0</v>
      </c>
      <c r="DH160" s="92">
        <f t="shared" si="3077"/>
        <v>0</v>
      </c>
      <c r="DI160" s="92">
        <f t="shared" si="3077"/>
        <v>0</v>
      </c>
      <c r="DJ160" s="92">
        <f t="shared" si="3077"/>
        <v>0</v>
      </c>
      <c r="DK160" s="92">
        <f t="shared" si="3077"/>
        <v>0</v>
      </c>
      <c r="DL160" s="92">
        <f t="shared" si="3077"/>
        <v>0</v>
      </c>
      <c r="DM160" s="92">
        <f t="shared" si="3077"/>
        <v>0</v>
      </c>
      <c r="DN160" s="92">
        <f t="shared" si="3077"/>
        <v>0</v>
      </c>
      <c r="DO160" s="92">
        <f t="shared" si="3077"/>
        <v>0</v>
      </c>
      <c r="DP160" s="92">
        <f t="shared" si="3077"/>
        <v>0</v>
      </c>
      <c r="DQ160" s="92">
        <f t="shared" si="3077"/>
        <v>0</v>
      </c>
      <c r="DR160" s="92">
        <f t="shared" si="3077"/>
        <v>0</v>
      </c>
      <c r="DS160" s="92">
        <f t="shared" si="3077"/>
        <v>0</v>
      </c>
      <c r="DT160" s="92">
        <f t="shared" si="3077"/>
        <v>0</v>
      </c>
      <c r="DU160" s="92">
        <f t="shared" si="3077"/>
        <v>0</v>
      </c>
      <c r="DV160" s="92">
        <f t="shared" si="3077"/>
        <v>0</v>
      </c>
      <c r="DW160" s="92">
        <f t="shared" si="3077"/>
        <v>0</v>
      </c>
      <c r="DX160" s="92">
        <f t="shared" si="3077"/>
        <v>0</v>
      </c>
      <c r="DY160" s="92">
        <f t="shared" si="3077"/>
        <v>0</v>
      </c>
      <c r="DZ160" s="92">
        <f t="shared" si="3077"/>
        <v>0</v>
      </c>
      <c r="EA160" s="92">
        <f t="shared" si="3077"/>
        <v>0</v>
      </c>
      <c r="EB160" s="92">
        <f t="shared" si="3077"/>
        <v>0</v>
      </c>
      <c r="EC160" s="92">
        <f t="shared" si="3077"/>
        <v>0</v>
      </c>
      <c r="ED160" s="92">
        <f t="shared" si="3077"/>
        <v>0</v>
      </c>
      <c r="EE160" s="92">
        <f t="shared" si="3077"/>
        <v>0</v>
      </c>
      <c r="EF160" s="92">
        <f t="shared" si="3077"/>
        <v>0</v>
      </c>
      <c r="EG160" s="92">
        <f t="shared" si="3077"/>
        <v>0</v>
      </c>
      <c r="EH160" s="92">
        <f t="shared" si="3077"/>
        <v>0</v>
      </c>
      <c r="EI160" s="92">
        <f t="shared" si="3077"/>
        <v>0</v>
      </c>
      <c r="EJ160" s="92">
        <f t="shared" si="3077"/>
        <v>0</v>
      </c>
      <c r="EK160" s="92">
        <f t="shared" si="3077"/>
        <v>0</v>
      </c>
      <c r="EL160" s="92">
        <f t="shared" si="3077"/>
        <v>0</v>
      </c>
      <c r="EM160" s="92">
        <f t="shared" si="3077"/>
        <v>0</v>
      </c>
      <c r="EN160" s="92">
        <f t="shared" si="3077"/>
        <v>0</v>
      </c>
      <c r="EO160" s="92">
        <f t="shared" si="3077"/>
        <v>0</v>
      </c>
      <c r="EP160" s="92">
        <f t="shared" si="3077"/>
        <v>0</v>
      </c>
      <c r="EQ160" s="92">
        <f t="shared" si="3077"/>
        <v>0</v>
      </c>
      <c r="ER160" s="92">
        <f t="shared" si="3077"/>
        <v>0</v>
      </c>
      <c r="ES160" s="92">
        <f t="shared" ref="ES160:EU160" si="3078">SUM(ES156:ES159)</f>
        <v>0</v>
      </c>
      <c r="ET160" s="92">
        <f t="shared" si="3078"/>
        <v>0</v>
      </c>
      <c r="EU160" s="92">
        <f t="shared" si="3078"/>
        <v>0</v>
      </c>
      <c r="FC160" s="199"/>
      <c r="FD160" s="199"/>
      <c r="FE160" s="199"/>
      <c r="FF160" s="199"/>
      <c r="FG160" s="199"/>
      <c r="FH160" s="199"/>
      <c r="FI160" s="199"/>
      <c r="FJ160" s="199"/>
      <c r="FK160" s="199"/>
      <c r="FL160" s="199"/>
      <c r="FM160" s="199"/>
      <c r="FN160" s="199"/>
      <c r="FO160" s="199"/>
      <c r="FP160" s="199"/>
      <c r="FQ160" s="199"/>
      <c r="FR160" s="199"/>
      <c r="FS160" s="199"/>
      <c r="FT160" s="199"/>
      <c r="FU160" s="199"/>
      <c r="FV160" s="199"/>
      <c r="FW160" s="199"/>
      <c r="FX160" s="199"/>
      <c r="FY160" s="199"/>
      <c r="FZ160" s="199"/>
      <c r="GA160" s="199"/>
      <c r="GB160" s="199"/>
      <c r="GC160" s="199"/>
      <c r="GD160" s="199"/>
      <c r="GE160" s="199"/>
      <c r="GF160" s="199"/>
      <c r="GG160" s="199"/>
      <c r="GH160" s="199"/>
      <c r="GI160" s="199"/>
      <c r="GJ160" s="199"/>
      <c r="GK160" s="199"/>
      <c r="GL160" s="199"/>
      <c r="GM160" s="199"/>
      <c r="GN160" s="199"/>
      <c r="GO160" s="199"/>
      <c r="GP160" s="199"/>
      <c r="GQ160" s="199"/>
      <c r="GR160" s="199"/>
      <c r="GS160" s="199"/>
      <c r="GT160" s="199"/>
      <c r="GU160" s="199"/>
      <c r="GV160" s="199"/>
      <c r="GW160" s="199"/>
      <c r="GX160" s="199"/>
      <c r="GY160" s="199"/>
      <c r="GZ160" s="199"/>
      <c r="HA160" s="199"/>
      <c r="HB160" s="199"/>
      <c r="HC160" s="199"/>
      <c r="HD160" s="199"/>
      <c r="HE160" s="199"/>
      <c r="HF160" s="199"/>
      <c r="HG160" s="199"/>
      <c r="HH160" s="199"/>
      <c r="HI160" s="199"/>
      <c r="HJ160" s="199"/>
      <c r="HK160" s="199"/>
      <c r="HL160" s="199"/>
      <c r="HM160" s="199"/>
      <c r="HN160" s="199"/>
      <c r="HO160" s="199"/>
      <c r="HP160" s="199"/>
      <c r="HQ160" s="199"/>
      <c r="HR160" s="199"/>
      <c r="HS160" s="199"/>
      <c r="HT160" s="199"/>
      <c r="HU160" s="199"/>
      <c r="HV160" s="199"/>
      <c r="HW160" s="199"/>
      <c r="HX160" s="199"/>
      <c r="HY160" s="199"/>
      <c r="HZ160" s="199"/>
      <c r="IA160" s="199"/>
      <c r="IB160" s="199"/>
      <c r="IC160" s="199"/>
      <c r="ID160" s="199"/>
      <c r="IE160" s="199"/>
      <c r="IF160" s="199"/>
      <c r="IG160" s="199"/>
      <c r="IH160" s="199"/>
      <c r="II160" s="199"/>
      <c r="IJ160" s="199"/>
      <c r="IK160" s="199"/>
      <c r="IL160" s="199"/>
      <c r="IM160" s="199"/>
      <c r="IN160" s="199"/>
      <c r="IO160" s="199"/>
      <c r="IP160" s="199"/>
      <c r="IQ160" s="199"/>
      <c r="IR160" s="199"/>
      <c r="IS160" s="199"/>
      <c r="IT160" s="199"/>
      <c r="IU160" s="199"/>
      <c r="IV160" s="199"/>
      <c r="IW160" s="199"/>
      <c r="IX160" s="199"/>
      <c r="IY160" s="199"/>
      <c r="IZ160" s="199"/>
      <c r="JA160" s="199"/>
      <c r="JB160" s="199"/>
      <c r="JC160" s="199"/>
      <c r="JD160" s="199"/>
      <c r="JE160" s="199"/>
      <c r="JF160" s="199"/>
      <c r="JG160" s="199"/>
      <c r="JH160" s="199"/>
      <c r="JI160" s="199"/>
      <c r="JJ160" s="199"/>
      <c r="JK160" s="199"/>
      <c r="JL160" s="199"/>
      <c r="JM160" s="199"/>
      <c r="JN160" s="199"/>
      <c r="JO160" s="199"/>
      <c r="JP160" s="199"/>
      <c r="JQ160" s="199"/>
      <c r="JR160" s="199"/>
      <c r="JS160" s="199"/>
      <c r="JT160" s="199"/>
      <c r="JU160" s="199"/>
      <c r="JV160" s="199"/>
      <c r="JW160" s="199"/>
      <c r="JX160" s="199"/>
      <c r="JY160" s="199"/>
      <c r="JZ160" s="199"/>
      <c r="KA160" s="199"/>
      <c r="KB160" s="199"/>
      <c r="KC160" s="199"/>
      <c r="KD160" s="199"/>
      <c r="KE160" s="199"/>
      <c r="PQ160" s="201"/>
      <c r="PR160" s="201"/>
      <c r="PS160" s="201"/>
      <c r="PT160" s="201"/>
      <c r="PU160" s="201"/>
      <c r="PV160" s="201"/>
      <c r="PW160" s="201"/>
      <c r="PX160" s="201"/>
      <c r="PY160" s="201"/>
      <c r="PZ160" s="201"/>
      <c r="QA160" s="201"/>
      <c r="QB160" s="201"/>
      <c r="QC160" s="201"/>
      <c r="QD160" s="201"/>
      <c r="QE160" s="201"/>
      <c r="QF160" s="201"/>
      <c r="QG160" s="201"/>
      <c r="QH160" s="201"/>
      <c r="QI160" s="201"/>
      <c r="QJ160" s="201"/>
      <c r="QK160" s="201"/>
      <c r="QL160" s="201"/>
      <c r="QM160" s="201"/>
      <c r="QN160" s="201"/>
      <c r="QO160" s="201"/>
      <c r="QP160" s="201"/>
      <c r="QQ160" s="201"/>
      <c r="QR160" s="201"/>
      <c r="QS160" s="201"/>
      <c r="QT160" s="201"/>
      <c r="QU160" s="201"/>
      <c r="QV160" s="201"/>
      <c r="QW160" s="201"/>
      <c r="QX160" s="201"/>
      <c r="QY160" s="201"/>
      <c r="QZ160" s="201"/>
      <c r="RA160" s="201"/>
      <c r="RB160" s="201"/>
      <c r="RC160" s="201"/>
      <c r="RD160" s="201"/>
      <c r="RE160" s="201"/>
      <c r="RF160" s="201"/>
      <c r="RG160" s="201"/>
      <c r="RH160" s="201"/>
      <c r="RI160" s="201"/>
      <c r="RJ160" s="201"/>
      <c r="RK160" s="201"/>
      <c r="RL160" s="201"/>
      <c r="RM160" s="201"/>
      <c r="RN160" s="201"/>
      <c r="RO160" s="201"/>
      <c r="RP160" s="201"/>
      <c r="RQ160" s="201"/>
      <c r="RR160" s="201"/>
      <c r="RS160" s="201"/>
      <c r="RT160" s="201"/>
      <c r="RU160" s="201"/>
      <c r="RV160" s="201"/>
      <c r="RW160" s="201"/>
      <c r="RX160" s="201"/>
      <c r="RY160" s="201"/>
      <c r="RZ160" s="201"/>
      <c r="SA160" s="201"/>
      <c r="SB160" s="201"/>
      <c r="SC160" s="201"/>
      <c r="SD160" s="201"/>
      <c r="SE160" s="201"/>
      <c r="SF160" s="201"/>
      <c r="SG160" s="201"/>
      <c r="SH160" s="201"/>
      <c r="SI160" s="201"/>
      <c r="SJ160" s="201"/>
      <c r="SK160" s="201"/>
      <c r="SL160" s="201"/>
      <c r="SM160" s="201"/>
      <c r="SN160" s="201"/>
      <c r="SO160" s="201"/>
      <c r="SP160" s="201"/>
      <c r="SQ160" s="201"/>
      <c r="SR160" s="201"/>
      <c r="SS160" s="201"/>
      <c r="ST160" s="201"/>
      <c r="SU160" s="201"/>
      <c r="SV160" s="201"/>
      <c r="SW160" s="201"/>
      <c r="SX160" s="201"/>
      <c r="SY160" s="201"/>
      <c r="SZ160" s="201"/>
      <c r="TA160" s="201"/>
      <c r="TB160" s="201"/>
      <c r="TC160" s="201"/>
      <c r="TD160" s="201"/>
      <c r="TE160" s="201"/>
      <c r="TF160" s="201"/>
      <c r="TG160" s="201"/>
      <c r="TH160" s="201"/>
      <c r="TI160" s="201"/>
      <c r="TJ160" s="201"/>
      <c r="TK160" s="201"/>
      <c r="TL160" s="201"/>
      <c r="TM160" s="201"/>
      <c r="TN160" s="201"/>
      <c r="TO160" s="201"/>
      <c r="TP160" s="201"/>
      <c r="TQ160" s="201"/>
      <c r="TR160" s="201"/>
      <c r="TS160" s="201"/>
      <c r="TT160" s="201"/>
      <c r="TU160" s="201"/>
      <c r="TV160" s="201"/>
      <c r="TW160" s="201"/>
      <c r="TX160" s="201"/>
      <c r="TY160" s="201"/>
      <c r="TZ160" s="201"/>
      <c r="UA160" s="201"/>
      <c r="UB160" s="201"/>
      <c r="UC160" s="201"/>
      <c r="UD160" s="201"/>
      <c r="UE160" s="201"/>
      <c r="UF160" s="201"/>
      <c r="UG160" s="201"/>
      <c r="UH160" s="201"/>
      <c r="UI160" s="201"/>
      <c r="UJ160" s="201"/>
      <c r="UK160" s="201"/>
      <c r="UL160" s="201"/>
      <c r="UM160" s="201"/>
      <c r="UN160" s="201"/>
      <c r="UO160" s="201"/>
      <c r="UP160" s="201"/>
      <c r="UQ160" s="201"/>
      <c r="UR160" s="201"/>
      <c r="US160" s="201"/>
      <c r="UT160" s="201"/>
      <c r="UU160" s="201"/>
    </row>
    <row r="161" spans="2:567" x14ac:dyDescent="0.25">
      <c r="B161" s="18"/>
      <c r="C161" s="18"/>
      <c r="D161" s="18"/>
      <c r="E161" s="18"/>
      <c r="F161" s="18"/>
      <c r="G161" s="18"/>
      <c r="H161" s="18"/>
      <c r="I161" s="26" t="s">
        <v>318</v>
      </c>
      <c r="J161" s="33">
        <f>I204/J160</f>
        <v>1.5687004941762044</v>
      </c>
      <c r="K161" s="343">
        <f ca="1">IFERROR(J204/K160,"NA")</f>
        <v>1.9968260760444816</v>
      </c>
      <c r="FC161" s="199"/>
      <c r="FD161" s="199"/>
      <c r="FE161" s="199"/>
      <c r="FF161" s="199"/>
      <c r="FG161" s="199"/>
      <c r="FH161" s="199"/>
      <c r="FI161" s="199"/>
      <c r="FJ161" s="199"/>
      <c r="FK161" s="199"/>
      <c r="FL161" s="199"/>
      <c r="FM161" s="199"/>
      <c r="FN161" s="199"/>
      <c r="FO161" s="199"/>
      <c r="FP161" s="199"/>
      <c r="FQ161" s="199"/>
      <c r="FR161" s="199"/>
      <c r="FS161" s="199"/>
      <c r="FT161" s="199"/>
      <c r="FU161" s="199"/>
      <c r="FV161" s="199"/>
      <c r="FW161" s="199"/>
      <c r="FX161" s="199"/>
      <c r="FY161" s="199"/>
      <c r="FZ161" s="199"/>
      <c r="GA161" s="199"/>
      <c r="GB161" s="199"/>
      <c r="GC161" s="199"/>
      <c r="GD161" s="199"/>
      <c r="GE161" s="199"/>
      <c r="GF161" s="199"/>
      <c r="GG161" s="199"/>
      <c r="GH161" s="199"/>
      <c r="GI161" s="199"/>
      <c r="GJ161" s="199"/>
      <c r="GK161" s="199"/>
      <c r="GL161" s="199"/>
      <c r="GM161" s="199"/>
      <c r="GN161" s="199"/>
      <c r="GO161" s="199"/>
      <c r="GP161" s="199"/>
      <c r="GQ161" s="199"/>
      <c r="GR161" s="199"/>
      <c r="GS161" s="199"/>
      <c r="GT161" s="199"/>
      <c r="GU161" s="199"/>
      <c r="GV161" s="199"/>
      <c r="GW161" s="199"/>
      <c r="GX161" s="199"/>
      <c r="GY161" s="199"/>
      <c r="GZ161" s="199"/>
      <c r="HA161" s="199"/>
      <c r="HB161" s="199"/>
      <c r="HC161" s="199"/>
      <c r="HD161" s="199"/>
      <c r="HE161" s="199"/>
      <c r="HF161" s="199"/>
      <c r="HG161" s="199"/>
      <c r="HH161" s="199"/>
      <c r="HI161" s="199"/>
      <c r="HJ161" s="199"/>
      <c r="HK161" s="199"/>
      <c r="HL161" s="199"/>
      <c r="HM161" s="199"/>
      <c r="HN161" s="199"/>
      <c r="HO161" s="199"/>
      <c r="HP161" s="199"/>
      <c r="HQ161" s="199"/>
      <c r="HR161" s="199"/>
      <c r="HS161" s="199"/>
      <c r="HT161" s="199"/>
      <c r="HU161" s="199"/>
      <c r="HV161" s="199"/>
      <c r="HW161" s="199"/>
      <c r="HX161" s="199"/>
      <c r="HY161" s="199"/>
      <c r="HZ161" s="199"/>
      <c r="IA161" s="199"/>
      <c r="IB161" s="199"/>
      <c r="IC161" s="199"/>
      <c r="ID161" s="199"/>
      <c r="IE161" s="199"/>
      <c r="IF161" s="199"/>
      <c r="IG161" s="199"/>
      <c r="IH161" s="199"/>
      <c r="II161" s="199"/>
      <c r="IJ161" s="199"/>
      <c r="IK161" s="199"/>
      <c r="IL161" s="199"/>
      <c r="IM161" s="199"/>
      <c r="IN161" s="199"/>
      <c r="IO161" s="199"/>
      <c r="IP161" s="199"/>
      <c r="IQ161" s="199"/>
      <c r="IR161" s="199"/>
      <c r="IS161" s="199"/>
      <c r="IT161" s="199"/>
      <c r="IU161" s="199"/>
      <c r="IV161" s="199"/>
      <c r="IW161" s="199"/>
      <c r="IX161" s="199"/>
      <c r="IY161" s="199"/>
      <c r="IZ161" s="199"/>
      <c r="JA161" s="199"/>
      <c r="JB161" s="199"/>
      <c r="JC161" s="199"/>
      <c r="JD161" s="199"/>
      <c r="JE161" s="199"/>
      <c r="JF161" s="199"/>
      <c r="JG161" s="199"/>
      <c r="JH161" s="199"/>
      <c r="JI161" s="199"/>
      <c r="JJ161" s="199"/>
      <c r="JK161" s="199"/>
      <c r="JL161" s="199"/>
      <c r="JM161" s="199"/>
      <c r="JN161" s="199"/>
      <c r="JO161" s="199"/>
      <c r="JP161" s="199"/>
      <c r="JQ161" s="199"/>
      <c r="JR161" s="199"/>
      <c r="JS161" s="199"/>
      <c r="JT161" s="199"/>
      <c r="JU161" s="199"/>
      <c r="JV161" s="199"/>
      <c r="JW161" s="199"/>
      <c r="JX161" s="199"/>
      <c r="JY161" s="199"/>
      <c r="JZ161" s="199"/>
      <c r="KA161" s="199"/>
      <c r="KB161" s="199"/>
      <c r="KC161" s="199"/>
      <c r="KD161" s="199"/>
      <c r="KE161" s="199"/>
      <c r="PQ161" s="201"/>
      <c r="PR161" s="201"/>
      <c r="PS161" s="201"/>
      <c r="PT161" s="201"/>
      <c r="PU161" s="201"/>
      <c r="PV161" s="201"/>
      <c r="PW161" s="201"/>
      <c r="PX161" s="201"/>
      <c r="PY161" s="201"/>
      <c r="PZ161" s="201"/>
      <c r="QA161" s="201"/>
      <c r="QB161" s="201"/>
      <c r="QC161" s="201"/>
      <c r="QD161" s="201"/>
      <c r="QE161" s="201"/>
      <c r="QF161" s="201"/>
      <c r="QG161" s="201"/>
      <c r="QH161" s="201"/>
      <c r="QI161" s="201"/>
      <c r="QJ161" s="201"/>
      <c r="QK161" s="201"/>
      <c r="QL161" s="201"/>
      <c r="QM161" s="201"/>
      <c r="QN161" s="201"/>
      <c r="QO161" s="201"/>
      <c r="QP161" s="201"/>
      <c r="QQ161" s="201"/>
      <c r="QR161" s="201"/>
      <c r="QS161" s="201"/>
      <c r="QT161" s="201"/>
      <c r="QU161" s="201"/>
      <c r="QV161" s="201"/>
      <c r="QW161" s="201"/>
      <c r="QX161" s="201"/>
      <c r="QY161" s="201"/>
      <c r="QZ161" s="201"/>
      <c r="RA161" s="201"/>
      <c r="RB161" s="201"/>
      <c r="RC161" s="201"/>
      <c r="RD161" s="201"/>
      <c r="RE161" s="201"/>
      <c r="RF161" s="201"/>
      <c r="RG161" s="201"/>
      <c r="RH161" s="201"/>
      <c r="RI161" s="201"/>
      <c r="RJ161" s="201"/>
      <c r="RK161" s="201"/>
      <c r="RL161" s="201"/>
      <c r="RM161" s="201"/>
      <c r="RN161" s="201"/>
      <c r="RO161" s="201"/>
      <c r="RP161" s="201"/>
      <c r="RQ161" s="201"/>
      <c r="RR161" s="201"/>
      <c r="RS161" s="201"/>
      <c r="RT161" s="201"/>
      <c r="RU161" s="201"/>
      <c r="RV161" s="201"/>
      <c r="RW161" s="201"/>
      <c r="RX161" s="201"/>
      <c r="RY161" s="201"/>
      <c r="RZ161" s="201"/>
      <c r="SA161" s="201"/>
      <c r="SB161" s="201"/>
      <c r="SC161" s="201"/>
      <c r="SD161" s="201"/>
      <c r="SE161" s="201"/>
      <c r="SF161" s="201"/>
      <c r="SG161" s="201"/>
      <c r="SH161" s="201"/>
      <c r="SI161" s="201"/>
      <c r="SJ161" s="201"/>
      <c r="SK161" s="201"/>
      <c r="SL161" s="201"/>
      <c r="SM161" s="201"/>
      <c r="SN161" s="201"/>
      <c r="SO161" s="201"/>
      <c r="SP161" s="201"/>
      <c r="SQ161" s="201"/>
      <c r="SR161" s="201"/>
      <c r="SS161" s="201"/>
      <c r="ST161" s="201"/>
      <c r="SU161" s="201"/>
      <c r="SV161" s="201"/>
      <c r="SW161" s="201"/>
      <c r="SX161" s="201"/>
      <c r="SY161" s="201"/>
      <c r="SZ161" s="201"/>
      <c r="TA161" s="201"/>
      <c r="TB161" s="201"/>
      <c r="TC161" s="201"/>
      <c r="TD161" s="201"/>
      <c r="TE161" s="201"/>
      <c r="TF161" s="201"/>
      <c r="TG161" s="201"/>
      <c r="TH161" s="201"/>
      <c r="TI161" s="201"/>
      <c r="TJ161" s="201"/>
      <c r="TK161" s="201"/>
      <c r="TL161" s="201"/>
      <c r="TM161" s="201"/>
      <c r="TN161" s="201"/>
      <c r="TO161" s="201"/>
      <c r="TP161" s="201"/>
      <c r="TQ161" s="201"/>
      <c r="TR161" s="201"/>
      <c r="TS161" s="201"/>
      <c r="TT161" s="201"/>
      <c r="TU161" s="201"/>
      <c r="TV161" s="201"/>
      <c r="TW161" s="201"/>
      <c r="TX161" s="201"/>
      <c r="TY161" s="201"/>
      <c r="TZ161" s="201"/>
      <c r="UA161" s="201"/>
      <c r="UB161" s="201"/>
      <c r="UC161" s="201"/>
      <c r="UD161" s="201"/>
      <c r="UE161" s="201"/>
      <c r="UF161" s="201"/>
      <c r="UG161" s="201"/>
      <c r="UH161" s="201"/>
      <c r="UI161" s="201"/>
      <c r="UJ161" s="201"/>
      <c r="UK161" s="201"/>
      <c r="UL161" s="201"/>
      <c r="UM161" s="201"/>
      <c r="UN161" s="201"/>
      <c r="UO161" s="201"/>
      <c r="UP161" s="201"/>
      <c r="UQ161" s="201"/>
      <c r="UR161" s="201"/>
      <c r="US161" s="201"/>
      <c r="UT161" s="201"/>
      <c r="UU161" s="201"/>
    </row>
    <row r="162" spans="2:567" x14ac:dyDescent="0.25">
      <c r="B162" s="18" t="s">
        <v>190</v>
      </c>
      <c r="C162" s="18"/>
      <c r="D162" s="18"/>
      <c r="E162" s="18"/>
      <c r="F162" s="18"/>
      <c r="G162" s="18"/>
      <c r="H162" s="18"/>
      <c r="I162" s="18"/>
      <c r="J162" s="34">
        <f>+J153-J160</f>
        <v>1178228.5669507182</v>
      </c>
      <c r="K162" s="34">
        <f ca="1">+K153-K160</f>
        <v>2134334.8946310058</v>
      </c>
      <c r="S162" s="145"/>
      <c r="T162" s="92">
        <f>+T153-T160</f>
        <v>84853.984244358144</v>
      </c>
      <c r="U162" s="92">
        <f t="shared" ref="U162:CF162" si="3079">+U153-U160</f>
        <v>90134.378114341001</v>
      </c>
      <c r="V162" s="92">
        <f t="shared" si="3079"/>
        <v>92940.258041209541</v>
      </c>
      <c r="W162" s="92">
        <f t="shared" si="3079"/>
        <v>96307.948161248059</v>
      </c>
      <c r="X162" s="92">
        <f t="shared" si="3079"/>
        <v>100517.47508651271</v>
      </c>
      <c r="Y162" s="92">
        <f t="shared" si="3079"/>
        <v>103397.89849310924</v>
      </c>
      <c r="Z162" s="92">
        <f t="shared" si="3079"/>
        <v>106417.69750160788</v>
      </c>
      <c r="AA162" s="92">
        <f t="shared" si="3079"/>
        <v>109668.54384584576</v>
      </c>
      <c r="AB162" s="92">
        <f t="shared" si="3079"/>
        <v>112627.08361356609</v>
      </c>
      <c r="AC162" s="92">
        <f t="shared" si="3079"/>
        <v>115562.59759384239</v>
      </c>
      <c r="AD162" s="92">
        <f t="shared" si="3079"/>
        <v>118487.23286179252</v>
      </c>
      <c r="AE162" s="92">
        <f t="shared" si="3079"/>
        <v>121393.59883056002</v>
      </c>
      <c r="AF162" s="92">
        <f t="shared" si="3079"/>
        <v>124914.30293087487</v>
      </c>
      <c r="AG162" s="92">
        <f t="shared" si="3079"/>
        <v>128395.48852891321</v>
      </c>
      <c r="AH162" s="92">
        <f t="shared" si="3079"/>
        <v>131927.9876215909</v>
      </c>
      <c r="AI162" s="92">
        <f t="shared" si="3079"/>
        <v>135486.62501190428</v>
      </c>
      <c r="AJ162" s="92">
        <f t="shared" si="3079"/>
        <v>139069.40118646069</v>
      </c>
      <c r="AK162" s="92">
        <f t="shared" si="3079"/>
        <v>142683.35416291468</v>
      </c>
      <c r="AL162" s="92">
        <f t="shared" si="3079"/>
        <v>146316.06417419281</v>
      </c>
      <c r="AM162" s="92">
        <f t="shared" si="3079"/>
        <v>150003.80515910525</v>
      </c>
      <c r="AN162" s="92">
        <f t="shared" si="3079"/>
        <v>153718.00083888386</v>
      </c>
      <c r="AO162" s="92">
        <f t="shared" si="3079"/>
        <v>157456.60182851288</v>
      </c>
      <c r="AP162" s="92">
        <f t="shared" si="3079"/>
        <v>161225.11929717308</v>
      </c>
      <c r="AQ162" s="92">
        <f t="shared" si="3079"/>
        <v>166080.45622274841</v>
      </c>
      <c r="AR162" s="92">
        <f t="shared" si="3079"/>
        <v>187894.71920647362</v>
      </c>
      <c r="AS162" s="92">
        <f t="shared" si="3079"/>
        <v>188315.8180153594</v>
      </c>
      <c r="AT162" s="92">
        <f t="shared" si="3079"/>
        <v>188783.11676020076</v>
      </c>
      <c r="AU162" s="92">
        <f t="shared" si="3079"/>
        <v>189219.54179575754</v>
      </c>
      <c r="AV162" s="92">
        <f t="shared" si="3079"/>
        <v>189697.68014224386</v>
      </c>
      <c r="AW162" s="92">
        <f t="shared" si="3079"/>
        <v>190188.15602236622</v>
      </c>
      <c r="AX162" s="92">
        <f t="shared" si="3079"/>
        <v>190686.47950269585</v>
      </c>
      <c r="AY162" s="92">
        <f t="shared" si="3079"/>
        <v>191212.0095838205</v>
      </c>
      <c r="AZ162" s="92">
        <f t="shared" si="3079"/>
        <v>191720.50813421857</v>
      </c>
      <c r="BA162" s="92">
        <f t="shared" si="3079"/>
        <v>192283.8709352903</v>
      </c>
      <c r="BB162" s="92">
        <f t="shared" si="3079"/>
        <v>192853.71222986083</v>
      </c>
      <c r="BC162" s="92">
        <f t="shared" si="3079"/>
        <v>193432.10921494756</v>
      </c>
      <c r="BD162" s="92">
        <f t="shared" si="3079"/>
        <v>389620.70718490315</v>
      </c>
      <c r="BE162" s="92">
        <f t="shared" si="3079"/>
        <v>390423.26204904454</v>
      </c>
      <c r="BF162" s="92">
        <f t="shared" si="3079"/>
        <v>391227.47004480346</v>
      </c>
      <c r="BG162" s="92">
        <f t="shared" si="3079"/>
        <v>392033.33457736066</v>
      </c>
      <c r="BH162" s="92">
        <f t="shared" si="3079"/>
        <v>392840.85905891028</v>
      </c>
      <c r="BI162" s="92">
        <f t="shared" si="3079"/>
        <v>393650.0469086761</v>
      </c>
      <c r="BJ162" s="92">
        <f t="shared" si="3079"/>
        <v>394460.9015529239</v>
      </c>
      <c r="BK162" s="92">
        <f t="shared" si="3079"/>
        <v>395273.42642497737</v>
      </c>
      <c r="BL162" s="92">
        <f t="shared" si="3079"/>
        <v>396087.62496523262</v>
      </c>
      <c r="BM162" s="92">
        <f t="shared" si="3079"/>
        <v>396903.50062117196</v>
      </c>
      <c r="BN162" s="92">
        <f t="shared" si="3079"/>
        <v>397721.05684737914</v>
      </c>
      <c r="BO162" s="92">
        <f t="shared" si="3079"/>
        <v>398540.29710555339</v>
      </c>
      <c r="BP162" s="92">
        <f t="shared" si="3079"/>
        <v>399361.22486452531</v>
      </c>
      <c r="BQ162" s="92">
        <f t="shared" si="3079"/>
        <v>400183.84360027005</v>
      </c>
      <c r="BR162" s="92">
        <f t="shared" si="3079"/>
        <v>401008.15679592278</v>
      </c>
      <c r="BS162" s="92">
        <f t="shared" si="3079"/>
        <v>401834.16794179386</v>
      </c>
      <c r="BT162" s="92">
        <f t="shared" si="3079"/>
        <v>402661.88053538254</v>
      </c>
      <c r="BU162" s="92">
        <f t="shared" si="3079"/>
        <v>403491.29808139236</v>
      </c>
      <c r="BV162" s="92">
        <f t="shared" si="3079"/>
        <v>404322.42409174639</v>
      </c>
      <c r="BW162" s="92">
        <f t="shared" si="3079"/>
        <v>405155.26208560128</v>
      </c>
      <c r="BX162" s="92">
        <f t="shared" si="3079"/>
        <v>405989.81558936293</v>
      </c>
      <c r="BY162" s="92">
        <f t="shared" si="3079"/>
        <v>406826.08813670074</v>
      </c>
      <c r="BZ162" s="92">
        <f t="shared" si="3079"/>
        <v>407664.08326856291</v>
      </c>
      <c r="CA162" s="92">
        <f t="shared" si="3079"/>
        <v>408503.80453319167</v>
      </c>
      <c r="CB162" s="92">
        <f t="shared" si="3079"/>
        <v>409345.25548613787</v>
      </c>
      <c r="CC162" s="92">
        <f t="shared" si="3079"/>
        <v>410188.43969027634</v>
      </c>
      <c r="CD162" s="92">
        <f t="shared" si="3079"/>
        <v>411033.36071582051</v>
      </c>
      <c r="CE162" s="92">
        <f t="shared" si="3079"/>
        <v>411880.0221403382</v>
      </c>
      <c r="CF162" s="92">
        <f t="shared" si="3079"/>
        <v>412728.42754876672</v>
      </c>
      <c r="CG162" s="92">
        <f t="shared" ref="CG162:ER162" si="3080">+CG153-CG160</f>
        <v>413578.5805334266</v>
      </c>
      <c r="CH162" s="92">
        <f t="shared" si="3080"/>
        <v>414430.48469403962</v>
      </c>
      <c r="CI162" s="92">
        <f t="shared" si="3080"/>
        <v>415284.14363774081</v>
      </c>
      <c r="CJ162" s="92">
        <f t="shared" si="3080"/>
        <v>416139.56097909651</v>
      </c>
      <c r="CK162" s="92">
        <f t="shared" si="3080"/>
        <v>416996.7403401176</v>
      </c>
      <c r="CL162" s="92">
        <f t="shared" si="3080"/>
        <v>417855.68535027641</v>
      </c>
      <c r="CM162" s="92">
        <f t="shared" si="3080"/>
        <v>418716.39964652091</v>
      </c>
      <c r="CN162" s="92">
        <f t="shared" si="3080"/>
        <v>419578.8868732907</v>
      </c>
      <c r="CO162" s="92">
        <f t="shared" si="3080"/>
        <v>420443.15068253252</v>
      </c>
      <c r="CP162" s="92">
        <f t="shared" si="3080"/>
        <v>421309.19473371538</v>
      </c>
      <c r="CQ162" s="92">
        <f t="shared" si="3080"/>
        <v>422177.0226938462</v>
      </c>
      <c r="CR162" s="92">
        <f t="shared" si="3080"/>
        <v>423046.63823748525</v>
      </c>
      <c r="CS162" s="92">
        <f t="shared" si="3080"/>
        <v>423918.04504676186</v>
      </c>
      <c r="CT162" s="92">
        <f t="shared" si="3080"/>
        <v>424791.24681138986</v>
      </c>
      <c r="CU162" s="92">
        <f t="shared" si="3080"/>
        <v>425666.24722868385</v>
      </c>
      <c r="CV162" s="92">
        <f t="shared" si="3080"/>
        <v>426543.05000357318</v>
      </c>
      <c r="CW162" s="92">
        <f t="shared" si="3080"/>
        <v>427421.6588486199</v>
      </c>
      <c r="CX162" s="92">
        <f t="shared" si="3080"/>
        <v>428302.07748403255</v>
      </c>
      <c r="CY162" s="92">
        <f t="shared" si="3080"/>
        <v>429184.30963768339</v>
      </c>
      <c r="CZ162" s="92">
        <f t="shared" si="3080"/>
        <v>430068.35904512228</v>
      </c>
      <c r="DA162" s="92">
        <f t="shared" si="3080"/>
        <v>430954.22944959515</v>
      </c>
      <c r="DB162" s="92">
        <f t="shared" si="3080"/>
        <v>431841.92460205761</v>
      </c>
      <c r="DC162" s="92">
        <f t="shared" si="3080"/>
        <v>432731.44826119184</v>
      </c>
      <c r="DD162" s="92">
        <f t="shared" si="3080"/>
        <v>433622.80419342179</v>
      </c>
      <c r="DE162" s="92">
        <f t="shared" si="3080"/>
        <v>434515.99617293017</v>
      </c>
      <c r="DF162" s="92">
        <f t="shared" si="3080"/>
        <v>435411.02798167401</v>
      </c>
      <c r="DG162" s="92">
        <f t="shared" si="3080"/>
        <v>436307.90340940026</v>
      </c>
      <c r="DH162" s="92">
        <f t="shared" si="3080"/>
        <v>437206.62625366199</v>
      </c>
      <c r="DI162" s="92">
        <f t="shared" si="3080"/>
        <v>438107.20031983481</v>
      </c>
      <c r="DJ162" s="92">
        <f t="shared" si="3080"/>
        <v>439009.62942113291</v>
      </c>
      <c r="DK162" s="92">
        <f t="shared" si="3080"/>
        <v>439913.91737862478</v>
      </c>
      <c r="DL162" s="92">
        <f t="shared" si="3080"/>
        <v>440820.0680212499</v>
      </c>
      <c r="DM162" s="92">
        <f t="shared" si="3080"/>
        <v>441728.08518583467</v>
      </c>
      <c r="DN162" s="92">
        <f t="shared" si="3080"/>
        <v>442637.97271710861</v>
      </c>
      <c r="DO162" s="92">
        <f t="shared" si="3080"/>
        <v>443549.73446772108</v>
      </c>
      <c r="DP162" s="92">
        <f t="shared" si="3080"/>
        <v>444463.37429825665</v>
      </c>
      <c r="DQ162" s="92">
        <f t="shared" si="3080"/>
        <v>445378.89607725292</v>
      </c>
      <c r="DR162" s="92">
        <f t="shared" si="3080"/>
        <v>446296.30368121527</v>
      </c>
      <c r="DS162" s="92">
        <f t="shared" si="3080"/>
        <v>447215.60099463467</v>
      </c>
      <c r="DT162" s="92">
        <f t="shared" si="3080"/>
        <v>448136.79191000288</v>
      </c>
      <c r="DU162" s="92">
        <f t="shared" si="3080"/>
        <v>449059.88032783021</v>
      </c>
      <c r="DV162" s="92">
        <f t="shared" si="3080"/>
        <v>449984.87015666062</v>
      </c>
      <c r="DW162" s="92">
        <f t="shared" si="3080"/>
        <v>450911.76531308994</v>
      </c>
      <c r="DX162" s="92">
        <f t="shared" si="3080"/>
        <v>451840.56972178043</v>
      </c>
      <c r="DY162" s="92">
        <f t="shared" si="3080"/>
        <v>452771.28731547995</v>
      </c>
      <c r="DZ162" s="92">
        <f t="shared" si="3080"/>
        <v>453703.92203503585</v>
      </c>
      <c r="EA162" s="92">
        <f t="shared" si="3080"/>
        <v>454638.47782941337</v>
      </c>
      <c r="EB162" s="92">
        <f t="shared" si="3080"/>
        <v>455574.95865571237</v>
      </c>
      <c r="EC162" s="92">
        <f t="shared" si="3080"/>
        <v>456513.36847918376</v>
      </c>
      <c r="ED162" s="92">
        <f t="shared" si="3080"/>
        <v>457453.71127324516</v>
      </c>
      <c r="EE162" s="92">
        <f t="shared" si="3080"/>
        <v>458395.9910194999</v>
      </c>
      <c r="EF162" s="92">
        <f t="shared" si="3080"/>
        <v>459340.21170775243</v>
      </c>
      <c r="EG162" s="92">
        <f t="shared" si="3080"/>
        <v>460286.3773360253</v>
      </c>
      <c r="EH162" s="92">
        <f t="shared" si="3080"/>
        <v>461234.49191057653</v>
      </c>
      <c r="EI162" s="92">
        <f t="shared" si="3080"/>
        <v>462184.55944591644</v>
      </c>
      <c r="EJ162" s="92">
        <f t="shared" si="3080"/>
        <v>463136.58396482444</v>
      </c>
      <c r="EK162" s="92">
        <f t="shared" si="3080"/>
        <v>464090.56949836633</v>
      </c>
      <c r="EL162" s="92">
        <f t="shared" si="3080"/>
        <v>465046.52008591103</v>
      </c>
      <c r="EM162" s="92">
        <f t="shared" si="3080"/>
        <v>466004.43977514817</v>
      </c>
      <c r="EN162" s="92">
        <f t="shared" si="3080"/>
        <v>466964.33262210473</v>
      </c>
      <c r="EO162" s="92">
        <f t="shared" si="3080"/>
        <v>467926.20269116259</v>
      </c>
      <c r="EP162" s="92">
        <f t="shared" si="3080"/>
        <v>468890.05405507563</v>
      </c>
      <c r="EQ162" s="92">
        <f t="shared" si="3080"/>
        <v>469855.8907949868</v>
      </c>
      <c r="ER162" s="92">
        <f t="shared" si="3080"/>
        <v>470823.71700044564</v>
      </c>
      <c r="ES162" s="92">
        <f t="shared" ref="ES162:EU162" si="3081">+ES153-ES160</f>
        <v>471793.53676942538</v>
      </c>
      <c r="ET162" s="92">
        <f t="shared" si="3081"/>
        <v>472765.35420834029</v>
      </c>
      <c r="EU162" s="92">
        <f t="shared" si="3081"/>
        <v>473739.17343206372</v>
      </c>
      <c r="FC162" s="199"/>
      <c r="FD162" s="199"/>
      <c r="FE162" s="199"/>
      <c r="FF162" s="199"/>
      <c r="FG162" s="199"/>
      <c r="FH162" s="199"/>
      <c r="FI162" s="199"/>
      <c r="FJ162" s="199"/>
      <c r="FK162" s="199"/>
      <c r="FL162" s="199"/>
      <c r="FM162" s="199"/>
      <c r="FN162" s="199"/>
      <c r="FO162" s="199"/>
      <c r="FP162" s="199"/>
      <c r="FQ162" s="199"/>
      <c r="FR162" s="199"/>
      <c r="FS162" s="199"/>
      <c r="FT162" s="199"/>
      <c r="FU162" s="199"/>
      <c r="FV162" s="199"/>
      <c r="FW162" s="199"/>
      <c r="FX162" s="199"/>
      <c r="FY162" s="199"/>
      <c r="FZ162" s="199"/>
      <c r="GA162" s="199"/>
      <c r="GB162" s="199"/>
      <c r="GC162" s="199"/>
      <c r="GD162" s="199"/>
      <c r="GE162" s="199"/>
      <c r="GF162" s="199"/>
      <c r="GG162" s="199"/>
      <c r="GH162" s="199"/>
      <c r="GI162" s="199"/>
      <c r="GJ162" s="199"/>
      <c r="GK162" s="199"/>
      <c r="GL162" s="199"/>
      <c r="GM162" s="199"/>
      <c r="GN162" s="199"/>
      <c r="GO162" s="199"/>
      <c r="GP162" s="199"/>
      <c r="GQ162" s="199"/>
      <c r="GR162" s="199"/>
      <c r="GS162" s="199"/>
      <c r="GT162" s="199"/>
      <c r="GU162" s="199"/>
      <c r="GV162" s="199"/>
      <c r="GW162" s="199"/>
      <c r="GX162" s="199"/>
      <c r="GY162" s="199"/>
      <c r="GZ162" s="199"/>
      <c r="HA162" s="199"/>
      <c r="HB162" s="199"/>
      <c r="HC162" s="199"/>
      <c r="HD162" s="199"/>
      <c r="HE162" s="199"/>
      <c r="HF162" s="199"/>
      <c r="HG162" s="199"/>
      <c r="HH162" s="199"/>
      <c r="HI162" s="199"/>
      <c r="HJ162" s="199"/>
      <c r="HK162" s="199"/>
      <c r="HL162" s="199"/>
      <c r="HM162" s="199"/>
      <c r="HN162" s="199"/>
      <c r="HO162" s="199"/>
      <c r="HP162" s="199"/>
      <c r="HQ162" s="199"/>
      <c r="HR162" s="199"/>
      <c r="HS162" s="199"/>
      <c r="HT162" s="199"/>
      <c r="HU162" s="199"/>
      <c r="HV162" s="199"/>
      <c r="HW162" s="199"/>
      <c r="HX162" s="199"/>
      <c r="HY162" s="199"/>
      <c r="HZ162" s="199"/>
      <c r="IA162" s="199"/>
      <c r="IB162" s="199"/>
      <c r="IC162" s="199"/>
      <c r="ID162" s="199"/>
      <c r="IE162" s="199"/>
      <c r="IF162" s="199"/>
      <c r="IG162" s="199"/>
      <c r="IH162" s="199"/>
      <c r="II162" s="199"/>
      <c r="IJ162" s="199"/>
      <c r="IK162" s="199"/>
      <c r="IL162" s="199"/>
      <c r="IM162" s="199"/>
      <c r="IN162" s="199"/>
      <c r="IO162" s="199"/>
      <c r="IP162" s="199"/>
      <c r="IQ162" s="199"/>
      <c r="IR162" s="199"/>
      <c r="IS162" s="199"/>
      <c r="IT162" s="199"/>
      <c r="IU162" s="199"/>
      <c r="IV162" s="199"/>
      <c r="IW162" s="199"/>
      <c r="IX162" s="199"/>
      <c r="IY162" s="199"/>
      <c r="IZ162" s="199"/>
      <c r="JA162" s="199"/>
      <c r="JB162" s="199"/>
      <c r="JC162" s="199"/>
      <c r="JD162" s="199"/>
      <c r="JE162" s="199"/>
      <c r="JF162" s="199"/>
      <c r="JG162" s="199"/>
      <c r="JH162" s="199"/>
      <c r="JI162" s="199"/>
      <c r="JJ162" s="199"/>
      <c r="JK162" s="199"/>
      <c r="JL162" s="199"/>
      <c r="JM162" s="199"/>
      <c r="JN162" s="199"/>
      <c r="JO162" s="199"/>
      <c r="JP162" s="199"/>
      <c r="JQ162" s="199"/>
      <c r="JR162" s="199"/>
      <c r="JS162" s="199"/>
      <c r="JT162" s="199"/>
      <c r="JU162" s="199"/>
      <c r="JV162" s="199"/>
      <c r="JW162" s="199"/>
      <c r="JX162" s="199"/>
      <c r="JY162" s="199"/>
      <c r="JZ162" s="199"/>
      <c r="KA162" s="199"/>
      <c r="KB162" s="199"/>
      <c r="KC162" s="199"/>
      <c r="KD162" s="199"/>
      <c r="KE162" s="199"/>
      <c r="PQ162" s="201"/>
      <c r="PR162" s="201"/>
      <c r="PS162" s="201"/>
      <c r="PT162" s="201"/>
      <c r="PU162" s="201"/>
      <c r="PV162" s="201"/>
      <c r="PW162" s="201"/>
      <c r="PX162" s="201"/>
      <c r="PY162" s="201"/>
      <c r="PZ162" s="201"/>
      <c r="QA162" s="201"/>
      <c r="QB162" s="201"/>
      <c r="QC162" s="201"/>
      <c r="QD162" s="201"/>
      <c r="QE162" s="201"/>
      <c r="QF162" s="201"/>
      <c r="QG162" s="201"/>
      <c r="QH162" s="201"/>
      <c r="QI162" s="201"/>
      <c r="QJ162" s="201"/>
      <c r="QK162" s="201"/>
      <c r="QL162" s="201"/>
      <c r="QM162" s="201"/>
      <c r="QN162" s="201"/>
      <c r="QO162" s="201"/>
      <c r="QP162" s="201"/>
      <c r="QQ162" s="201"/>
      <c r="QR162" s="201"/>
      <c r="QS162" s="201"/>
      <c r="QT162" s="201"/>
      <c r="QU162" s="201"/>
      <c r="QV162" s="201"/>
      <c r="QW162" s="201"/>
      <c r="QX162" s="201"/>
      <c r="QY162" s="201"/>
      <c r="QZ162" s="201"/>
      <c r="RA162" s="201"/>
      <c r="RB162" s="201"/>
      <c r="RC162" s="201"/>
      <c r="RD162" s="201"/>
      <c r="RE162" s="201"/>
      <c r="RF162" s="201"/>
      <c r="RG162" s="201"/>
      <c r="RH162" s="201"/>
      <c r="RI162" s="201"/>
      <c r="RJ162" s="201"/>
      <c r="RK162" s="201"/>
      <c r="RL162" s="201"/>
      <c r="RM162" s="201"/>
      <c r="RN162" s="201"/>
      <c r="RO162" s="201"/>
      <c r="RP162" s="201"/>
      <c r="RQ162" s="201"/>
      <c r="RR162" s="201"/>
      <c r="RS162" s="201"/>
      <c r="RT162" s="201"/>
      <c r="RU162" s="201"/>
      <c r="RV162" s="201"/>
      <c r="RW162" s="201"/>
      <c r="RX162" s="201"/>
      <c r="RY162" s="201"/>
      <c r="RZ162" s="201"/>
      <c r="SA162" s="201"/>
      <c r="SB162" s="201"/>
      <c r="SC162" s="201"/>
      <c r="SD162" s="201"/>
      <c r="SE162" s="201"/>
      <c r="SF162" s="201"/>
      <c r="SG162" s="201"/>
      <c r="SH162" s="201"/>
      <c r="SI162" s="201"/>
      <c r="SJ162" s="201"/>
      <c r="SK162" s="201"/>
      <c r="SL162" s="201"/>
      <c r="SM162" s="201"/>
      <c r="SN162" s="201"/>
      <c r="SO162" s="201"/>
      <c r="SP162" s="201"/>
      <c r="SQ162" s="201"/>
      <c r="SR162" s="201"/>
      <c r="SS162" s="201"/>
      <c r="ST162" s="201"/>
      <c r="SU162" s="201"/>
      <c r="SV162" s="201"/>
      <c r="SW162" s="201"/>
      <c r="SX162" s="201"/>
      <c r="SY162" s="201"/>
      <c r="SZ162" s="201"/>
      <c r="TA162" s="201"/>
      <c r="TB162" s="201"/>
      <c r="TC162" s="201"/>
      <c r="TD162" s="201"/>
      <c r="TE162" s="201"/>
      <c r="TF162" s="201"/>
      <c r="TG162" s="201"/>
      <c r="TH162" s="201"/>
      <c r="TI162" s="201"/>
      <c r="TJ162" s="201"/>
      <c r="TK162" s="201"/>
      <c r="TL162" s="201"/>
      <c r="TM162" s="201"/>
      <c r="TN162" s="201"/>
      <c r="TO162" s="201"/>
      <c r="TP162" s="201"/>
      <c r="TQ162" s="201"/>
      <c r="TR162" s="201"/>
      <c r="TS162" s="201"/>
      <c r="TT162" s="201"/>
      <c r="TU162" s="201"/>
      <c r="TV162" s="201"/>
      <c r="TW162" s="201"/>
      <c r="TX162" s="201"/>
      <c r="TY162" s="201"/>
      <c r="TZ162" s="201"/>
      <c r="UA162" s="201"/>
      <c r="UB162" s="201"/>
      <c r="UC162" s="201"/>
      <c r="UD162" s="201"/>
      <c r="UE162" s="201"/>
      <c r="UF162" s="201"/>
      <c r="UG162" s="201"/>
      <c r="UH162" s="201"/>
      <c r="UI162" s="201"/>
      <c r="UJ162" s="201"/>
      <c r="UK162" s="201"/>
      <c r="UL162" s="201"/>
      <c r="UM162" s="201"/>
      <c r="UN162" s="201"/>
      <c r="UO162" s="201"/>
      <c r="UP162" s="201"/>
      <c r="UQ162" s="201"/>
      <c r="UR162" s="201"/>
      <c r="US162" s="201"/>
      <c r="UT162" s="201"/>
      <c r="UU162" s="201"/>
    </row>
    <row r="163" spans="2:567" ht="5.0999999999999996" customHeight="1" x14ac:dyDescent="0.25">
      <c r="B163" s="14"/>
      <c r="C163" s="15"/>
      <c r="D163" s="15"/>
      <c r="E163" s="15"/>
      <c r="F163" s="15"/>
      <c r="G163" s="15"/>
      <c r="H163" s="15"/>
      <c r="I163" s="15"/>
      <c r="J163" s="192"/>
      <c r="K163" s="192"/>
      <c r="L163" s="15"/>
      <c r="M163" s="497"/>
      <c r="N163" s="497"/>
      <c r="O163" s="497"/>
      <c r="P163" s="497"/>
      <c r="Q163" s="497"/>
      <c r="R163" s="258"/>
      <c r="S163" s="259"/>
      <c r="T163" s="259"/>
      <c r="U163" s="259"/>
      <c r="V163" s="259"/>
      <c r="W163" s="259"/>
      <c r="X163" s="259"/>
      <c r="Y163" s="259"/>
      <c r="Z163" s="259"/>
      <c r="AA163" s="259"/>
      <c r="AB163" s="259"/>
      <c r="AC163" s="259"/>
      <c r="AD163" s="259"/>
      <c r="AE163" s="259"/>
      <c r="AF163" s="259"/>
      <c r="AG163" s="259"/>
      <c r="AH163" s="259"/>
      <c r="AI163" s="259"/>
      <c r="AJ163" s="259"/>
      <c r="AK163" s="259"/>
      <c r="AL163" s="259"/>
      <c r="AM163" s="259"/>
      <c r="AN163" s="259"/>
      <c r="AO163" s="259"/>
      <c r="AP163" s="259"/>
      <c r="AQ163" s="259"/>
      <c r="AR163" s="259"/>
      <c r="AS163" s="259"/>
      <c r="AT163" s="259"/>
      <c r="AU163" s="259"/>
      <c r="AV163" s="259"/>
      <c r="AW163" s="259"/>
      <c r="AX163" s="259"/>
      <c r="AY163" s="259"/>
      <c r="AZ163" s="259"/>
      <c r="BA163" s="259"/>
      <c r="BB163" s="259"/>
      <c r="BC163" s="259"/>
      <c r="BD163" s="259"/>
      <c r="BE163" s="259"/>
      <c r="BF163" s="259"/>
      <c r="BG163" s="259"/>
      <c r="BH163" s="259"/>
      <c r="BI163" s="259"/>
      <c r="BJ163" s="259"/>
      <c r="BK163" s="259"/>
      <c r="BL163" s="259"/>
      <c r="BM163" s="259"/>
      <c r="BN163" s="259"/>
      <c r="BO163" s="259"/>
      <c r="BP163" s="259"/>
      <c r="BQ163" s="259"/>
      <c r="BR163" s="259"/>
      <c r="BS163" s="259"/>
      <c r="BT163" s="259"/>
      <c r="BU163" s="259"/>
      <c r="BV163" s="259"/>
      <c r="BW163" s="259"/>
      <c r="BX163" s="259"/>
      <c r="BY163" s="259"/>
      <c r="BZ163" s="259"/>
      <c r="CA163" s="259"/>
      <c r="CB163" s="259"/>
      <c r="CC163" s="259"/>
      <c r="CD163" s="259"/>
      <c r="CE163" s="259"/>
      <c r="CF163" s="259"/>
      <c r="CG163" s="259"/>
      <c r="CH163" s="259"/>
      <c r="CI163" s="259"/>
      <c r="CJ163" s="259"/>
      <c r="CK163" s="259"/>
      <c r="CL163" s="259"/>
      <c r="CM163" s="259"/>
      <c r="CN163" s="259"/>
      <c r="CO163" s="259"/>
      <c r="CP163" s="259"/>
      <c r="CQ163" s="259"/>
      <c r="CR163" s="259"/>
      <c r="CS163" s="259"/>
      <c r="CT163" s="259"/>
      <c r="CU163" s="259"/>
      <c r="CV163" s="259"/>
      <c r="CW163" s="259"/>
      <c r="CX163" s="259"/>
      <c r="CY163" s="259"/>
      <c r="CZ163" s="259"/>
      <c r="DA163" s="259"/>
      <c r="DB163" s="259"/>
      <c r="DC163" s="259"/>
      <c r="DD163" s="259"/>
      <c r="DE163" s="259"/>
      <c r="DF163" s="259"/>
      <c r="DG163" s="259"/>
      <c r="DH163" s="259"/>
      <c r="DI163" s="259"/>
      <c r="DJ163" s="259"/>
      <c r="DK163" s="259"/>
      <c r="DL163" s="259"/>
      <c r="DM163" s="259"/>
      <c r="DN163" s="259"/>
      <c r="DO163" s="259"/>
      <c r="DP163" s="259"/>
      <c r="DQ163" s="259"/>
      <c r="DR163" s="259"/>
      <c r="DS163" s="259"/>
      <c r="DT163" s="259"/>
      <c r="DU163" s="259"/>
      <c r="DV163" s="259"/>
      <c r="DW163" s="259"/>
      <c r="DX163" s="259"/>
      <c r="DY163" s="259"/>
      <c r="DZ163" s="259"/>
      <c r="EA163" s="259"/>
      <c r="EB163" s="259"/>
      <c r="EC163" s="259"/>
      <c r="ED163" s="259"/>
      <c r="EE163" s="259"/>
      <c r="EF163" s="259"/>
      <c r="EG163" s="259"/>
      <c r="EH163" s="259"/>
      <c r="EI163" s="259"/>
      <c r="EJ163" s="259"/>
      <c r="EK163" s="259"/>
      <c r="EL163" s="259"/>
      <c r="EM163" s="259"/>
      <c r="EN163" s="259"/>
      <c r="EO163" s="259"/>
      <c r="EP163" s="259"/>
      <c r="EQ163" s="259"/>
      <c r="ER163" s="259"/>
      <c r="ES163" s="259"/>
      <c r="ET163" s="259"/>
      <c r="EU163" s="259"/>
      <c r="FC163" s="199"/>
      <c r="FD163" s="199"/>
      <c r="FE163" s="199"/>
      <c r="FF163" s="199"/>
      <c r="FG163" s="199"/>
      <c r="FH163" s="199"/>
      <c r="FI163" s="199"/>
      <c r="FJ163" s="199"/>
      <c r="FK163" s="199"/>
      <c r="FL163" s="199"/>
      <c r="FM163" s="199"/>
      <c r="FN163" s="199"/>
      <c r="FO163" s="199"/>
      <c r="FP163" s="199"/>
      <c r="FQ163" s="199"/>
      <c r="FR163" s="199"/>
      <c r="FS163" s="199"/>
      <c r="FT163" s="199"/>
      <c r="FU163" s="199"/>
      <c r="FV163" s="199"/>
      <c r="FW163" s="199"/>
      <c r="FX163" s="199"/>
      <c r="FY163" s="199"/>
      <c r="FZ163" s="199"/>
      <c r="GA163" s="199"/>
      <c r="GB163" s="199"/>
      <c r="GC163" s="199"/>
      <c r="GD163" s="199"/>
      <c r="GE163" s="199"/>
      <c r="GF163" s="199"/>
      <c r="GG163" s="199"/>
      <c r="GH163" s="199"/>
      <c r="GI163" s="199"/>
      <c r="GJ163" s="199"/>
      <c r="GK163" s="199"/>
      <c r="GL163" s="199"/>
      <c r="GM163" s="199"/>
      <c r="GN163" s="199"/>
      <c r="GO163" s="199"/>
      <c r="GP163" s="199"/>
      <c r="GQ163" s="199"/>
      <c r="GR163" s="199"/>
      <c r="GS163" s="199"/>
      <c r="GT163" s="199"/>
      <c r="GU163" s="199"/>
      <c r="GV163" s="199"/>
      <c r="GW163" s="199"/>
      <c r="GX163" s="199"/>
      <c r="GY163" s="199"/>
      <c r="GZ163" s="199"/>
      <c r="HA163" s="199"/>
      <c r="HB163" s="199"/>
      <c r="HC163" s="199"/>
      <c r="HD163" s="199"/>
      <c r="HE163" s="199"/>
      <c r="HF163" s="199"/>
      <c r="HG163" s="199"/>
      <c r="HH163" s="199"/>
      <c r="HI163" s="199"/>
      <c r="HJ163" s="199"/>
      <c r="HK163" s="199"/>
      <c r="HL163" s="199"/>
      <c r="HM163" s="199"/>
      <c r="HN163" s="199"/>
      <c r="HO163" s="199"/>
      <c r="HP163" s="199"/>
      <c r="HQ163" s="199"/>
      <c r="HR163" s="199"/>
      <c r="HS163" s="199"/>
      <c r="HT163" s="199"/>
      <c r="HU163" s="199"/>
      <c r="HV163" s="199"/>
      <c r="HW163" s="199"/>
      <c r="HX163" s="199"/>
      <c r="HY163" s="199"/>
      <c r="HZ163" s="199"/>
      <c r="IA163" s="199"/>
      <c r="IB163" s="199"/>
      <c r="IC163" s="199"/>
      <c r="ID163" s="199"/>
      <c r="IE163" s="199"/>
      <c r="IF163" s="199"/>
      <c r="IG163" s="199"/>
      <c r="IH163" s="199"/>
      <c r="II163" s="199"/>
      <c r="IJ163" s="199"/>
      <c r="IK163" s="199"/>
      <c r="IL163" s="199"/>
      <c r="IM163" s="199"/>
      <c r="IN163" s="199"/>
      <c r="IO163" s="199"/>
      <c r="IP163" s="199"/>
      <c r="IQ163" s="199"/>
      <c r="IR163" s="199"/>
      <c r="IS163" s="199"/>
      <c r="IT163" s="199"/>
      <c r="IU163" s="199"/>
      <c r="IV163" s="199"/>
      <c r="IW163" s="199"/>
      <c r="IX163" s="199"/>
      <c r="IY163" s="199"/>
      <c r="IZ163" s="199"/>
      <c r="JA163" s="199"/>
      <c r="JB163" s="199"/>
      <c r="JC163" s="199"/>
      <c r="JD163" s="199"/>
      <c r="JE163" s="199"/>
      <c r="JF163" s="199"/>
      <c r="JG163" s="199"/>
      <c r="JH163" s="199"/>
      <c r="JI163" s="199"/>
      <c r="JJ163" s="199"/>
      <c r="JK163" s="199"/>
      <c r="JL163" s="199"/>
      <c r="JM163" s="199"/>
      <c r="JN163" s="199"/>
      <c r="JO163" s="199"/>
      <c r="JP163" s="199"/>
      <c r="JQ163" s="199"/>
      <c r="JR163" s="199"/>
      <c r="JS163" s="199"/>
      <c r="JT163" s="199"/>
      <c r="JU163" s="199"/>
      <c r="JV163" s="199"/>
      <c r="JW163" s="199"/>
      <c r="JX163" s="199"/>
      <c r="JY163" s="199"/>
      <c r="JZ163" s="199"/>
      <c r="KA163" s="199"/>
      <c r="KB163" s="199"/>
      <c r="KC163" s="199"/>
      <c r="KD163" s="199"/>
      <c r="KE163" s="199"/>
      <c r="PQ163" s="201"/>
      <c r="PR163" s="201"/>
      <c r="PS163" s="201"/>
      <c r="PT163" s="201"/>
      <c r="PU163" s="201"/>
      <c r="PV163" s="201"/>
      <c r="PW163" s="201"/>
      <c r="PX163" s="201"/>
      <c r="PY163" s="201"/>
      <c r="PZ163" s="201"/>
      <c r="QA163" s="201"/>
      <c r="QB163" s="201"/>
      <c r="QC163" s="201"/>
      <c r="QD163" s="201"/>
      <c r="QE163" s="201"/>
      <c r="QF163" s="201"/>
      <c r="QG163" s="201"/>
      <c r="QH163" s="201"/>
      <c r="QI163" s="201"/>
      <c r="QJ163" s="201"/>
      <c r="QK163" s="201"/>
      <c r="QL163" s="201"/>
      <c r="QM163" s="201"/>
      <c r="QN163" s="201"/>
      <c r="QO163" s="201"/>
      <c r="QP163" s="201"/>
      <c r="QQ163" s="201"/>
      <c r="QR163" s="201"/>
      <c r="QS163" s="201"/>
      <c r="QT163" s="201"/>
      <c r="QU163" s="201"/>
      <c r="QV163" s="201"/>
      <c r="QW163" s="201"/>
      <c r="QX163" s="201"/>
      <c r="QY163" s="201"/>
      <c r="QZ163" s="201"/>
      <c r="RA163" s="201"/>
      <c r="RB163" s="201"/>
      <c r="RC163" s="201"/>
      <c r="RD163" s="201"/>
      <c r="RE163" s="201"/>
      <c r="RF163" s="201"/>
      <c r="RG163" s="201"/>
      <c r="RH163" s="201"/>
      <c r="RI163" s="201"/>
      <c r="RJ163" s="201"/>
      <c r="RK163" s="201"/>
      <c r="RL163" s="201"/>
      <c r="RM163" s="201"/>
      <c r="RN163" s="201"/>
      <c r="RO163" s="201"/>
      <c r="RP163" s="201"/>
      <c r="RQ163" s="201"/>
      <c r="RR163" s="201"/>
      <c r="RS163" s="201"/>
      <c r="RT163" s="201"/>
      <c r="RU163" s="201"/>
      <c r="RV163" s="201"/>
      <c r="RW163" s="201"/>
      <c r="RX163" s="201"/>
      <c r="RY163" s="201"/>
      <c r="RZ163" s="201"/>
      <c r="SA163" s="201"/>
      <c r="SB163" s="201"/>
      <c r="SC163" s="201"/>
      <c r="SD163" s="201"/>
      <c r="SE163" s="201"/>
      <c r="SF163" s="201"/>
      <c r="SG163" s="201"/>
      <c r="SH163" s="201"/>
      <c r="SI163" s="201"/>
      <c r="SJ163" s="201"/>
      <c r="SK163" s="201"/>
      <c r="SL163" s="201"/>
      <c r="SM163" s="201"/>
      <c r="SN163" s="201"/>
      <c r="SO163" s="201"/>
      <c r="SP163" s="201"/>
      <c r="SQ163" s="201"/>
      <c r="SR163" s="201"/>
      <c r="SS163" s="201"/>
      <c r="ST163" s="201"/>
      <c r="SU163" s="201"/>
      <c r="SV163" s="201"/>
      <c r="SW163" s="201"/>
      <c r="SX163" s="201"/>
      <c r="SY163" s="201"/>
      <c r="SZ163" s="201"/>
      <c r="TA163" s="201"/>
      <c r="TB163" s="201"/>
      <c r="TC163" s="201"/>
      <c r="TD163" s="201"/>
      <c r="TE163" s="201"/>
      <c r="TF163" s="201"/>
      <c r="TG163" s="201"/>
      <c r="TH163" s="201"/>
      <c r="TI163" s="201"/>
      <c r="TJ163" s="201"/>
      <c r="TK163" s="201"/>
      <c r="TL163" s="201"/>
      <c r="TM163" s="201"/>
      <c r="TN163" s="201"/>
      <c r="TO163" s="201"/>
      <c r="TP163" s="201"/>
      <c r="TQ163" s="201"/>
      <c r="TR163" s="201"/>
      <c r="TS163" s="201"/>
      <c r="TT163" s="201"/>
      <c r="TU163" s="201"/>
      <c r="TV163" s="201"/>
      <c r="TW163" s="201"/>
      <c r="TX163" s="201"/>
      <c r="TY163" s="201"/>
      <c r="TZ163" s="201"/>
      <c r="UA163" s="201"/>
      <c r="UB163" s="201"/>
      <c r="UC163" s="201"/>
      <c r="UD163" s="201"/>
      <c r="UE163" s="201"/>
      <c r="UF163" s="201"/>
      <c r="UG163" s="201"/>
      <c r="UH163" s="201"/>
      <c r="UI163" s="201"/>
      <c r="UJ163" s="201"/>
      <c r="UK163" s="201"/>
      <c r="UL163" s="201"/>
      <c r="UM163" s="201"/>
      <c r="UN163" s="201"/>
      <c r="UO163" s="201"/>
      <c r="UP163" s="201"/>
      <c r="UQ163" s="201"/>
      <c r="UR163" s="201"/>
      <c r="US163" s="201"/>
      <c r="UT163" s="201"/>
      <c r="UU163" s="201"/>
    </row>
    <row r="164" spans="2:567" x14ac:dyDescent="0.25">
      <c r="B164" s="102" t="s">
        <v>195</v>
      </c>
      <c r="C164" s="15"/>
      <c r="D164" s="15"/>
      <c r="E164" s="15"/>
      <c r="F164" s="15"/>
      <c r="G164" s="15"/>
      <c r="H164" s="15"/>
      <c r="I164" s="15"/>
      <c r="J164" s="192"/>
      <c r="K164" s="192"/>
      <c r="L164" s="15"/>
      <c r="M164" s="497"/>
      <c r="N164" s="497"/>
      <c r="O164" s="497"/>
      <c r="P164" s="497"/>
      <c r="Q164" s="497"/>
      <c r="R164" s="258"/>
      <c r="S164" s="259"/>
      <c r="T164" s="259"/>
      <c r="U164" s="259"/>
      <c r="V164" s="259"/>
      <c r="W164" s="259"/>
      <c r="X164" s="259"/>
      <c r="Y164" s="259"/>
      <c r="Z164" s="259"/>
      <c r="AA164" s="259"/>
      <c r="AB164" s="259"/>
      <c r="AC164" s="259"/>
      <c r="AD164" s="259"/>
      <c r="AE164" s="259"/>
      <c r="AF164" s="259"/>
      <c r="AG164" s="259"/>
      <c r="AH164" s="259"/>
      <c r="AI164" s="259"/>
      <c r="AJ164" s="259"/>
      <c r="AK164" s="259"/>
      <c r="AL164" s="259"/>
      <c r="AM164" s="259"/>
      <c r="AN164" s="259"/>
      <c r="AO164" s="259"/>
      <c r="AP164" s="259"/>
      <c r="AQ164" s="259"/>
      <c r="AR164" s="259"/>
      <c r="AS164" s="259"/>
      <c r="AT164" s="259"/>
      <c r="AU164" s="259"/>
      <c r="AV164" s="259"/>
      <c r="AW164" s="259"/>
      <c r="AX164" s="259"/>
      <c r="AY164" s="259"/>
      <c r="AZ164" s="259"/>
      <c r="BA164" s="259"/>
      <c r="BB164" s="259"/>
      <c r="BC164" s="259"/>
      <c r="BD164" s="259"/>
      <c r="BE164" s="259"/>
      <c r="BF164" s="259"/>
      <c r="BG164" s="259"/>
      <c r="BH164" s="259"/>
      <c r="BI164" s="259"/>
      <c r="BJ164" s="259"/>
      <c r="BK164" s="259"/>
      <c r="BL164" s="259"/>
      <c r="BM164" s="259"/>
      <c r="BN164" s="259"/>
      <c r="BO164" s="259"/>
      <c r="BP164" s="259"/>
      <c r="BQ164" s="259"/>
      <c r="BR164" s="259"/>
      <c r="BS164" s="259"/>
      <c r="BT164" s="259"/>
      <c r="BU164" s="259"/>
      <c r="BV164" s="259"/>
      <c r="BW164" s="259"/>
      <c r="BX164" s="259"/>
      <c r="BY164" s="259"/>
      <c r="BZ164" s="259"/>
      <c r="CA164" s="259"/>
      <c r="CB164" s="259"/>
      <c r="CC164" s="259"/>
      <c r="CD164" s="259"/>
      <c r="CE164" s="259"/>
      <c r="CF164" s="259"/>
      <c r="CG164" s="259"/>
      <c r="CH164" s="259"/>
      <c r="CI164" s="259"/>
      <c r="CJ164" s="259"/>
      <c r="CK164" s="259"/>
      <c r="CL164" s="259"/>
      <c r="CM164" s="259"/>
      <c r="CN164" s="259"/>
      <c r="CO164" s="259"/>
      <c r="CP164" s="259"/>
      <c r="CQ164" s="259"/>
      <c r="CR164" s="259"/>
      <c r="CS164" s="259"/>
      <c r="CT164" s="259"/>
      <c r="CU164" s="259"/>
      <c r="CV164" s="259"/>
      <c r="CW164" s="259"/>
      <c r="CX164" s="259"/>
      <c r="CY164" s="259"/>
      <c r="CZ164" s="259"/>
      <c r="DA164" s="259"/>
      <c r="DB164" s="259"/>
      <c r="DC164" s="259"/>
      <c r="DD164" s="259"/>
      <c r="DE164" s="259"/>
      <c r="DF164" s="259"/>
      <c r="DG164" s="259"/>
      <c r="DH164" s="259"/>
      <c r="DI164" s="259"/>
      <c r="DJ164" s="259"/>
      <c r="DK164" s="259"/>
      <c r="DL164" s="259"/>
      <c r="DM164" s="259"/>
      <c r="DN164" s="259"/>
      <c r="DO164" s="259"/>
      <c r="DP164" s="259"/>
      <c r="DQ164" s="259"/>
      <c r="DR164" s="259"/>
      <c r="DS164" s="259"/>
      <c r="DT164" s="259"/>
      <c r="DU164" s="259"/>
      <c r="DV164" s="259"/>
      <c r="DW164" s="259"/>
      <c r="DX164" s="259"/>
      <c r="DY164" s="259"/>
      <c r="DZ164" s="259"/>
      <c r="EA164" s="259"/>
      <c r="EB164" s="259"/>
      <c r="EC164" s="259"/>
      <c r="ED164" s="259"/>
      <c r="EE164" s="259"/>
      <c r="EF164" s="259"/>
      <c r="EG164" s="259"/>
      <c r="EH164" s="259"/>
      <c r="EI164" s="259"/>
      <c r="EJ164" s="259"/>
      <c r="EK164" s="259"/>
      <c r="EL164" s="259"/>
      <c r="EM164" s="259"/>
      <c r="EN164" s="259"/>
      <c r="EO164" s="259"/>
      <c r="EP164" s="259"/>
      <c r="EQ164" s="259"/>
      <c r="ER164" s="259"/>
      <c r="ES164" s="259"/>
      <c r="ET164" s="259"/>
      <c r="EU164" s="259"/>
      <c r="FC164" s="199"/>
      <c r="FD164" s="199"/>
      <c r="FE164" s="199"/>
      <c r="FF164" s="199"/>
      <c r="FG164" s="199"/>
      <c r="FH164" s="199"/>
      <c r="FI164" s="199"/>
      <c r="FJ164" s="199"/>
      <c r="FK164" s="199"/>
      <c r="FL164" s="199"/>
      <c r="FM164" s="199"/>
      <c r="FN164" s="199"/>
      <c r="FO164" s="199"/>
      <c r="FP164" s="199"/>
      <c r="FQ164" s="199"/>
      <c r="FR164" s="199"/>
      <c r="FS164" s="199"/>
      <c r="FT164" s="199"/>
      <c r="FU164" s="199"/>
      <c r="FV164" s="199"/>
      <c r="FW164" s="199"/>
      <c r="FX164" s="199"/>
      <c r="FY164" s="199"/>
      <c r="FZ164" s="199"/>
      <c r="GA164" s="199"/>
      <c r="GB164" s="199"/>
      <c r="GC164" s="199"/>
      <c r="GD164" s="199"/>
      <c r="GE164" s="199"/>
      <c r="GF164" s="199"/>
      <c r="GG164" s="199"/>
      <c r="GH164" s="199"/>
      <c r="GI164" s="199"/>
      <c r="GJ164" s="199"/>
      <c r="GK164" s="199"/>
      <c r="GL164" s="199"/>
      <c r="GM164" s="199"/>
      <c r="GN164" s="199"/>
      <c r="GO164" s="199"/>
      <c r="GP164" s="199"/>
      <c r="GQ164" s="199"/>
      <c r="GR164" s="199"/>
      <c r="GS164" s="199"/>
      <c r="GT164" s="199"/>
      <c r="GU164" s="199"/>
      <c r="GV164" s="199"/>
      <c r="GW164" s="199"/>
      <c r="GX164" s="199"/>
      <c r="GY164" s="199"/>
      <c r="GZ164" s="199"/>
      <c r="HA164" s="199"/>
      <c r="HB164" s="199"/>
      <c r="HC164" s="199"/>
      <c r="HD164" s="199"/>
      <c r="HE164" s="199"/>
      <c r="HF164" s="199"/>
      <c r="HG164" s="199"/>
      <c r="HH164" s="199"/>
      <c r="HI164" s="199"/>
      <c r="HJ164" s="199"/>
      <c r="HK164" s="199"/>
      <c r="HL164" s="199"/>
      <c r="HM164" s="199"/>
      <c r="HN164" s="199"/>
      <c r="HO164" s="199"/>
      <c r="HP164" s="199"/>
      <c r="HQ164" s="199"/>
      <c r="HR164" s="199"/>
      <c r="HS164" s="199"/>
      <c r="HT164" s="199"/>
      <c r="HU164" s="199"/>
      <c r="HV164" s="199"/>
      <c r="HW164" s="199"/>
      <c r="HX164" s="199"/>
      <c r="HY164" s="199"/>
      <c r="HZ164" s="199"/>
      <c r="IA164" s="199"/>
      <c r="IB164" s="199"/>
      <c r="IC164" s="199"/>
      <c r="ID164" s="199"/>
      <c r="IE164" s="199"/>
      <c r="IF164" s="199"/>
      <c r="IG164" s="199"/>
      <c r="IH164" s="199"/>
      <c r="II164" s="199"/>
      <c r="IJ164" s="199"/>
      <c r="IK164" s="199"/>
      <c r="IL164" s="199"/>
      <c r="IM164" s="199"/>
      <c r="IN164" s="199"/>
      <c r="IO164" s="199"/>
      <c r="IP164" s="199"/>
      <c r="IQ164" s="199"/>
      <c r="IR164" s="199"/>
      <c r="IS164" s="199"/>
      <c r="IT164" s="199"/>
      <c r="IU164" s="199"/>
      <c r="IV164" s="199"/>
      <c r="IW164" s="199"/>
      <c r="IX164" s="199"/>
      <c r="IY164" s="199"/>
      <c r="IZ164" s="199"/>
      <c r="JA164" s="199"/>
      <c r="JB164" s="199"/>
      <c r="JC164" s="199"/>
      <c r="JD164" s="199"/>
      <c r="JE164" s="199"/>
      <c r="JF164" s="199"/>
      <c r="JG164" s="199"/>
      <c r="JH164" s="199"/>
      <c r="JI164" s="199"/>
      <c r="JJ164" s="199"/>
      <c r="JK164" s="199"/>
      <c r="JL164" s="199"/>
      <c r="JM164" s="199"/>
      <c r="JN164" s="199"/>
      <c r="JO164" s="199"/>
      <c r="JP164" s="199"/>
      <c r="JQ164" s="199"/>
      <c r="JR164" s="199"/>
      <c r="JS164" s="199"/>
      <c r="JT164" s="199"/>
      <c r="JU164" s="199"/>
      <c r="JV164" s="199"/>
      <c r="JW164" s="199"/>
      <c r="JX164" s="199"/>
      <c r="JY164" s="199"/>
      <c r="JZ164" s="199"/>
      <c r="KA164" s="199"/>
      <c r="KB164" s="199"/>
      <c r="KC164" s="199"/>
      <c r="KD164" s="199"/>
      <c r="KE164" s="199"/>
      <c r="PQ164" s="201"/>
      <c r="PR164" s="201"/>
      <c r="PS164" s="201"/>
      <c r="PT164" s="201"/>
      <c r="PU164" s="201"/>
      <c r="PV164" s="201"/>
      <c r="PW164" s="201"/>
      <c r="PX164" s="201"/>
      <c r="PY164" s="201"/>
      <c r="PZ164" s="201"/>
      <c r="QA164" s="201"/>
      <c r="QB164" s="201"/>
      <c r="QC164" s="201"/>
      <c r="QD164" s="201"/>
      <c r="QE164" s="201"/>
      <c r="QF164" s="201"/>
      <c r="QG164" s="201"/>
      <c r="QH164" s="201"/>
      <c r="QI164" s="201"/>
      <c r="QJ164" s="201"/>
      <c r="QK164" s="201"/>
      <c r="QL164" s="201"/>
      <c r="QM164" s="201"/>
      <c r="QN164" s="201"/>
      <c r="QO164" s="201"/>
      <c r="QP164" s="201"/>
      <c r="QQ164" s="201"/>
      <c r="QR164" s="201"/>
      <c r="QS164" s="201"/>
      <c r="QT164" s="201"/>
      <c r="QU164" s="201"/>
      <c r="QV164" s="201"/>
      <c r="QW164" s="201"/>
      <c r="QX164" s="201"/>
      <c r="QY164" s="201"/>
      <c r="QZ164" s="201"/>
      <c r="RA164" s="201"/>
      <c r="RB164" s="201"/>
      <c r="RC164" s="201"/>
      <c r="RD164" s="201"/>
      <c r="RE164" s="201"/>
      <c r="RF164" s="201"/>
      <c r="RG164" s="201"/>
      <c r="RH164" s="201"/>
      <c r="RI164" s="201"/>
      <c r="RJ164" s="201"/>
      <c r="RK164" s="201"/>
      <c r="RL164" s="201"/>
      <c r="RM164" s="201"/>
      <c r="RN164" s="201"/>
      <c r="RO164" s="201"/>
      <c r="RP164" s="201"/>
      <c r="RQ164" s="201"/>
      <c r="RR164" s="201"/>
      <c r="RS164" s="201"/>
      <c r="RT164" s="201"/>
      <c r="RU164" s="201"/>
      <c r="RV164" s="201"/>
      <c r="RW164" s="201"/>
      <c r="RX164" s="201"/>
      <c r="RY164" s="201"/>
      <c r="RZ164" s="201"/>
      <c r="SA164" s="201"/>
      <c r="SB164" s="201"/>
      <c r="SC164" s="201"/>
      <c r="SD164" s="201"/>
      <c r="SE164" s="201"/>
      <c r="SF164" s="201"/>
      <c r="SG164" s="201"/>
      <c r="SH164" s="201"/>
      <c r="SI164" s="201"/>
      <c r="SJ164" s="201"/>
      <c r="SK164" s="201"/>
      <c r="SL164" s="201"/>
      <c r="SM164" s="201"/>
      <c r="SN164" s="201"/>
      <c r="SO164" s="201"/>
      <c r="SP164" s="201"/>
      <c r="SQ164" s="201"/>
      <c r="SR164" s="201"/>
      <c r="SS164" s="201"/>
      <c r="ST164" s="201"/>
      <c r="SU164" s="201"/>
      <c r="SV164" s="201"/>
      <c r="SW164" s="201"/>
      <c r="SX164" s="201"/>
      <c r="SY164" s="201"/>
      <c r="SZ164" s="201"/>
      <c r="TA164" s="201"/>
      <c r="TB164" s="201"/>
      <c r="TC164" s="201"/>
      <c r="TD164" s="201"/>
      <c r="TE164" s="201"/>
      <c r="TF164" s="201"/>
      <c r="TG164" s="201"/>
      <c r="TH164" s="201"/>
      <c r="TI164" s="201"/>
      <c r="TJ164" s="201"/>
      <c r="TK164" s="201"/>
      <c r="TL164" s="201"/>
      <c r="TM164" s="201"/>
      <c r="TN164" s="201"/>
      <c r="TO164" s="201"/>
      <c r="TP164" s="201"/>
      <c r="TQ164" s="201"/>
      <c r="TR164" s="201"/>
      <c r="TS164" s="201"/>
      <c r="TT164" s="201"/>
      <c r="TU164" s="201"/>
      <c r="TV164" s="201"/>
      <c r="TW164" s="201"/>
      <c r="TX164" s="201"/>
      <c r="TY164" s="201"/>
      <c r="TZ164" s="201"/>
      <c r="UA164" s="201"/>
      <c r="UB164" s="201"/>
      <c r="UC164" s="201"/>
      <c r="UD164" s="201"/>
      <c r="UE164" s="201"/>
      <c r="UF164" s="201"/>
      <c r="UG164" s="201"/>
      <c r="UH164" s="201"/>
      <c r="UI164" s="201"/>
      <c r="UJ164" s="201"/>
      <c r="UK164" s="201"/>
      <c r="UL164" s="201"/>
      <c r="UM164" s="201"/>
      <c r="UN164" s="201"/>
      <c r="UO164" s="201"/>
      <c r="UP164" s="201"/>
      <c r="UQ164" s="201"/>
      <c r="UR164" s="201"/>
      <c r="US164" s="201"/>
      <c r="UT164" s="201"/>
      <c r="UU164" s="201"/>
    </row>
    <row r="165" spans="2:567" x14ac:dyDescent="0.25">
      <c r="B165" s="125" t="s">
        <v>196</v>
      </c>
      <c r="C165" s="125"/>
      <c r="D165" s="125"/>
      <c r="E165" s="126"/>
      <c r="F165" s="126"/>
      <c r="G165" s="126"/>
      <c r="H165" s="126"/>
      <c r="I165" s="168" t="s">
        <v>197</v>
      </c>
      <c r="J165" s="126"/>
      <c r="K165" s="126"/>
      <c r="L165" s="240"/>
      <c r="R165" s="257"/>
      <c r="S165" s="243"/>
      <c r="T165" s="243"/>
      <c r="U165" s="243"/>
      <c r="V165" s="243"/>
      <c r="W165" s="243"/>
      <c r="X165" s="243"/>
      <c r="Y165" s="243"/>
      <c r="Z165" s="243"/>
      <c r="AA165" s="243"/>
      <c r="AB165" s="243"/>
      <c r="AC165" s="243"/>
      <c r="AD165" s="243"/>
      <c r="AE165" s="243"/>
      <c r="AF165" s="243"/>
      <c r="AG165" s="243"/>
      <c r="AH165" s="243"/>
      <c r="AI165" s="243"/>
      <c r="AJ165" s="243"/>
      <c r="AK165" s="243"/>
      <c r="AL165" s="243"/>
      <c r="AM165" s="243"/>
      <c r="AN165" s="243"/>
      <c r="AO165" s="243"/>
      <c r="AP165" s="243"/>
      <c r="AQ165" s="243"/>
      <c r="AR165" s="243"/>
      <c r="AS165" s="243"/>
      <c r="AT165" s="243"/>
      <c r="AU165" s="243"/>
      <c r="AV165" s="243"/>
      <c r="AW165" s="243"/>
      <c r="AX165" s="243"/>
      <c r="AY165" s="243"/>
      <c r="AZ165" s="243"/>
      <c r="BA165" s="243"/>
      <c r="BB165" s="243"/>
      <c r="BC165" s="243"/>
      <c r="BD165" s="243"/>
      <c r="BE165" s="243"/>
      <c r="BF165" s="243"/>
      <c r="BG165" s="243"/>
      <c r="BH165" s="243"/>
      <c r="BI165" s="243"/>
      <c r="BJ165" s="243"/>
      <c r="BK165" s="243"/>
      <c r="BL165" s="243"/>
      <c r="BM165" s="243"/>
      <c r="BN165" s="243"/>
      <c r="BO165" s="243"/>
      <c r="BP165" s="243"/>
      <c r="BQ165" s="243"/>
      <c r="BR165" s="243"/>
      <c r="BS165" s="243"/>
      <c r="BT165" s="243"/>
      <c r="BU165" s="243"/>
      <c r="BV165" s="243"/>
      <c r="BW165" s="243"/>
      <c r="BX165" s="243"/>
      <c r="BY165" s="243"/>
      <c r="BZ165" s="243"/>
      <c r="CA165" s="243"/>
      <c r="CB165" s="243"/>
      <c r="CC165" s="243"/>
      <c r="CD165" s="243"/>
      <c r="CE165" s="243"/>
      <c r="CF165" s="243"/>
      <c r="CG165" s="243"/>
      <c r="CH165" s="243"/>
      <c r="CI165" s="243"/>
      <c r="CJ165" s="243"/>
      <c r="CK165" s="243"/>
      <c r="CL165" s="243"/>
      <c r="CM165" s="243"/>
      <c r="CN165" s="243"/>
      <c r="CO165" s="243"/>
      <c r="CP165" s="243"/>
      <c r="CQ165" s="243"/>
      <c r="CR165" s="243"/>
      <c r="CS165" s="243"/>
      <c r="CT165" s="243"/>
      <c r="CU165" s="243"/>
      <c r="CV165" s="243"/>
      <c r="CW165" s="243"/>
      <c r="CX165" s="243"/>
      <c r="CY165" s="243"/>
      <c r="CZ165" s="243"/>
      <c r="DA165" s="243"/>
      <c r="DB165" s="243"/>
      <c r="DC165" s="243"/>
      <c r="DD165" s="243"/>
      <c r="DE165" s="243"/>
      <c r="DF165" s="243"/>
      <c r="DG165" s="243"/>
      <c r="DH165" s="243"/>
      <c r="DI165" s="243"/>
      <c r="DJ165" s="243"/>
      <c r="DK165" s="243"/>
      <c r="DL165" s="243"/>
      <c r="DM165" s="243"/>
      <c r="DN165" s="243"/>
      <c r="DO165" s="243"/>
      <c r="DP165" s="243"/>
      <c r="DQ165" s="243"/>
      <c r="DR165" s="243"/>
      <c r="DS165" s="243"/>
      <c r="DT165" s="243"/>
      <c r="DU165" s="243"/>
      <c r="DV165" s="243"/>
      <c r="DW165" s="243"/>
      <c r="DX165" s="243"/>
      <c r="DY165" s="243"/>
      <c r="DZ165" s="243"/>
      <c r="EA165" s="243"/>
      <c r="EB165" s="243"/>
      <c r="EC165" s="243"/>
      <c r="ED165" s="243"/>
      <c r="EE165" s="243"/>
      <c r="EF165" s="243"/>
      <c r="EG165" s="243"/>
      <c r="EH165" s="243"/>
      <c r="EI165" s="243"/>
      <c r="EJ165" s="243"/>
      <c r="EK165" s="243"/>
      <c r="EL165" s="243"/>
      <c r="EM165" s="243"/>
      <c r="EN165" s="243"/>
      <c r="EO165" s="243"/>
      <c r="EP165" s="243"/>
      <c r="EQ165" s="243"/>
      <c r="ER165" s="243"/>
      <c r="ES165" s="243"/>
      <c r="ET165" s="243"/>
      <c r="EU165" s="243"/>
      <c r="FC165" s="199"/>
      <c r="FD165" s="199"/>
      <c r="FE165" s="199"/>
      <c r="FF165" s="199"/>
      <c r="FG165" s="199"/>
      <c r="FH165" s="199"/>
      <c r="FI165" s="199"/>
      <c r="FJ165" s="199"/>
      <c r="FK165" s="199"/>
      <c r="FL165" s="199"/>
      <c r="FM165" s="199"/>
      <c r="FN165" s="199"/>
      <c r="FO165" s="199"/>
      <c r="FP165" s="199"/>
      <c r="FQ165" s="199"/>
      <c r="FR165" s="199"/>
      <c r="FS165" s="199"/>
      <c r="FT165" s="199"/>
      <c r="FU165" s="199"/>
      <c r="FV165" s="199"/>
      <c r="FW165" s="199"/>
      <c r="FX165" s="199"/>
      <c r="FY165" s="199"/>
      <c r="FZ165" s="199"/>
      <c r="GA165" s="199"/>
      <c r="GB165" s="199"/>
      <c r="GC165" s="199"/>
      <c r="GD165" s="199"/>
      <c r="GE165" s="199"/>
      <c r="GF165" s="199"/>
      <c r="GG165" s="199"/>
      <c r="GH165" s="199"/>
      <c r="GI165" s="199"/>
      <c r="GJ165" s="199"/>
      <c r="GK165" s="199"/>
      <c r="GL165" s="199"/>
      <c r="GM165" s="199"/>
      <c r="GN165" s="199"/>
      <c r="GO165" s="199"/>
      <c r="GP165" s="199"/>
      <c r="GQ165" s="199"/>
      <c r="GR165" s="199"/>
      <c r="GS165" s="199"/>
      <c r="GT165" s="199"/>
      <c r="GU165" s="199"/>
      <c r="GV165" s="199"/>
      <c r="GW165" s="199"/>
      <c r="GX165" s="199"/>
      <c r="GY165" s="199"/>
      <c r="GZ165" s="199"/>
      <c r="HA165" s="199"/>
      <c r="HB165" s="199"/>
      <c r="HC165" s="199"/>
      <c r="HD165" s="199"/>
      <c r="HE165" s="199"/>
      <c r="HF165" s="199"/>
      <c r="HG165" s="199"/>
      <c r="HH165" s="199"/>
      <c r="HI165" s="199"/>
      <c r="HJ165" s="199"/>
      <c r="HK165" s="199"/>
      <c r="HL165" s="199"/>
      <c r="HM165" s="199"/>
      <c r="HN165" s="199"/>
      <c r="HO165" s="199"/>
      <c r="HP165" s="199"/>
      <c r="HQ165" s="199"/>
      <c r="HR165" s="199"/>
      <c r="HS165" s="199"/>
      <c r="HT165" s="199"/>
      <c r="HU165" s="199"/>
      <c r="HV165" s="199"/>
      <c r="HW165" s="199"/>
      <c r="HX165" s="199"/>
      <c r="HY165" s="199"/>
      <c r="HZ165" s="199"/>
      <c r="IA165" s="199"/>
      <c r="IB165" s="199"/>
      <c r="IC165" s="199"/>
      <c r="ID165" s="199"/>
      <c r="IE165" s="199"/>
      <c r="IF165" s="199"/>
      <c r="IG165" s="199"/>
      <c r="IH165" s="199"/>
      <c r="II165" s="199"/>
      <c r="IJ165" s="199"/>
      <c r="IK165" s="199"/>
      <c r="IL165" s="199"/>
      <c r="IM165" s="199"/>
      <c r="IN165" s="199"/>
      <c r="IO165" s="199"/>
      <c r="IP165" s="199"/>
      <c r="IQ165" s="199"/>
      <c r="IR165" s="199"/>
      <c r="IS165" s="199"/>
      <c r="IT165" s="199"/>
      <c r="IU165" s="199"/>
      <c r="IV165" s="199"/>
      <c r="IW165" s="199"/>
      <c r="IX165" s="199"/>
      <c r="IY165" s="199"/>
      <c r="IZ165" s="199"/>
      <c r="JA165" s="199"/>
      <c r="JB165" s="199"/>
      <c r="JC165" s="199"/>
      <c r="JD165" s="199"/>
      <c r="JE165" s="199"/>
      <c r="JF165" s="199"/>
      <c r="JG165" s="199"/>
      <c r="JH165" s="199"/>
      <c r="JI165" s="199"/>
      <c r="JJ165" s="199"/>
      <c r="JK165" s="199"/>
      <c r="JL165" s="199"/>
      <c r="JM165" s="199"/>
      <c r="JN165" s="199"/>
      <c r="JO165" s="199"/>
      <c r="JP165" s="199"/>
      <c r="JQ165" s="199"/>
      <c r="JR165" s="199"/>
      <c r="JS165" s="199"/>
      <c r="JT165" s="199"/>
      <c r="JU165" s="199"/>
      <c r="JV165" s="199"/>
      <c r="JW165" s="199"/>
      <c r="JX165" s="199"/>
      <c r="JY165" s="199"/>
      <c r="JZ165" s="199"/>
      <c r="KA165" s="199"/>
      <c r="KB165" s="199"/>
      <c r="KC165" s="199"/>
      <c r="KD165" s="199"/>
      <c r="KE165" s="199"/>
      <c r="PQ165" s="201"/>
      <c r="PR165" s="201"/>
      <c r="PS165" s="201"/>
      <c r="PT165" s="201"/>
      <c r="PU165" s="201"/>
      <c r="PV165" s="201"/>
      <c r="PW165" s="201"/>
      <c r="PX165" s="201"/>
      <c r="PY165" s="201"/>
      <c r="PZ165" s="201"/>
      <c r="QA165" s="201"/>
      <c r="QB165" s="201"/>
      <c r="QC165" s="201"/>
      <c r="QD165" s="201"/>
      <c r="QE165" s="201"/>
      <c r="QF165" s="201"/>
      <c r="QG165" s="201"/>
      <c r="QH165" s="201"/>
      <c r="QI165" s="201"/>
      <c r="QJ165" s="201"/>
      <c r="QK165" s="201"/>
      <c r="QL165" s="201"/>
      <c r="QM165" s="201"/>
      <c r="QN165" s="201"/>
      <c r="QO165" s="201"/>
      <c r="QP165" s="201"/>
      <c r="QQ165" s="201"/>
      <c r="QR165" s="201"/>
      <c r="QS165" s="201"/>
      <c r="QT165" s="201"/>
      <c r="QU165" s="201"/>
      <c r="QV165" s="201"/>
      <c r="QW165" s="201"/>
      <c r="QX165" s="201"/>
      <c r="QY165" s="201"/>
      <c r="QZ165" s="201"/>
      <c r="RA165" s="201"/>
      <c r="RB165" s="201"/>
      <c r="RC165" s="201"/>
      <c r="RD165" s="201"/>
      <c r="RE165" s="201"/>
      <c r="RF165" s="201"/>
      <c r="RG165" s="201"/>
      <c r="RH165" s="201"/>
      <c r="RI165" s="201"/>
      <c r="RJ165" s="201"/>
      <c r="RK165" s="201"/>
      <c r="RL165" s="201"/>
      <c r="RM165" s="201"/>
      <c r="RN165" s="201"/>
      <c r="RO165" s="201"/>
      <c r="RP165" s="201"/>
      <c r="RQ165" s="201"/>
      <c r="RR165" s="201"/>
      <c r="RS165" s="201"/>
      <c r="RT165" s="201"/>
      <c r="RU165" s="201"/>
      <c r="RV165" s="201"/>
      <c r="RW165" s="201"/>
      <c r="RX165" s="201"/>
      <c r="RY165" s="201"/>
      <c r="RZ165" s="201"/>
      <c r="SA165" s="201"/>
      <c r="SB165" s="201"/>
      <c r="SC165" s="201"/>
      <c r="SD165" s="201"/>
      <c r="SE165" s="201"/>
      <c r="SF165" s="201"/>
      <c r="SG165" s="201"/>
      <c r="SH165" s="201"/>
      <c r="SI165" s="201"/>
      <c r="SJ165" s="201"/>
      <c r="SK165" s="201"/>
      <c r="SL165" s="201"/>
      <c r="SM165" s="201"/>
      <c r="SN165" s="201"/>
      <c r="SO165" s="201"/>
      <c r="SP165" s="201"/>
      <c r="SQ165" s="201"/>
      <c r="SR165" s="201"/>
      <c r="SS165" s="201"/>
      <c r="ST165" s="201"/>
      <c r="SU165" s="201"/>
      <c r="SV165" s="201"/>
      <c r="SW165" s="201"/>
      <c r="SX165" s="201"/>
      <c r="SY165" s="201"/>
      <c r="SZ165" s="201"/>
      <c r="TA165" s="201"/>
      <c r="TB165" s="201"/>
      <c r="TC165" s="201"/>
      <c r="TD165" s="201"/>
      <c r="TE165" s="201"/>
      <c r="TF165" s="201"/>
      <c r="TG165" s="201"/>
      <c r="TH165" s="201"/>
      <c r="TI165" s="201"/>
      <c r="TJ165" s="201"/>
      <c r="TK165" s="201"/>
      <c r="TL165" s="201"/>
      <c r="TM165" s="201"/>
      <c r="TN165" s="201"/>
      <c r="TO165" s="201"/>
      <c r="TP165" s="201"/>
      <c r="TQ165" s="201"/>
      <c r="TR165" s="201"/>
      <c r="TS165" s="201"/>
      <c r="TT165" s="201"/>
      <c r="TU165" s="201"/>
      <c r="TV165" s="201"/>
      <c r="TW165" s="201"/>
      <c r="TX165" s="201"/>
      <c r="TY165" s="201"/>
      <c r="TZ165" s="201"/>
      <c r="UA165" s="201"/>
      <c r="UB165" s="201"/>
      <c r="UC165" s="201"/>
      <c r="UD165" s="201"/>
      <c r="UE165" s="201"/>
      <c r="UF165" s="201"/>
      <c r="UG165" s="201"/>
      <c r="UH165" s="201"/>
      <c r="UI165" s="201"/>
      <c r="UJ165" s="201"/>
      <c r="UK165" s="201"/>
      <c r="UL165" s="201"/>
      <c r="UM165" s="201"/>
      <c r="UN165" s="201"/>
      <c r="UO165" s="201"/>
      <c r="UP165" s="201"/>
      <c r="UQ165" s="201"/>
      <c r="UR165" s="201"/>
      <c r="US165" s="201"/>
      <c r="UT165" s="201"/>
      <c r="UU165" s="201"/>
    </row>
    <row r="166" spans="2:567" x14ac:dyDescent="0.25">
      <c r="B166" s="18" t="s">
        <v>198</v>
      </c>
      <c r="C166" s="161"/>
      <c r="D166" s="169">
        <f>F49</f>
        <v>18</v>
      </c>
      <c r="E166" s="161"/>
      <c r="F166" s="161"/>
      <c r="G166" s="161"/>
      <c r="H166" s="161"/>
      <c r="I166" s="162" t="s">
        <v>199</v>
      </c>
      <c r="J166" s="161"/>
      <c r="K166" s="163">
        <v>5.5E-2</v>
      </c>
      <c r="L166" s="240"/>
      <c r="M166" s="3" t="s">
        <v>851</v>
      </c>
      <c r="R166" s="257"/>
      <c r="S166" s="243"/>
      <c r="T166" s="243"/>
      <c r="U166" s="243"/>
      <c r="V166" s="243"/>
      <c r="W166" s="243"/>
      <c r="X166" s="243"/>
      <c r="Y166" s="243"/>
      <c r="Z166" s="243"/>
      <c r="AA166" s="243"/>
      <c r="AB166" s="243"/>
      <c r="AC166" s="243"/>
      <c r="AD166" s="243"/>
      <c r="AE166" s="243"/>
      <c r="AF166" s="243"/>
      <c r="AG166" s="243"/>
      <c r="AH166" s="243"/>
      <c r="AI166" s="243"/>
      <c r="AJ166" s="243"/>
      <c r="AK166" s="243"/>
      <c r="AL166" s="243"/>
      <c r="AM166" s="243"/>
      <c r="AN166" s="243"/>
      <c r="AO166" s="243"/>
      <c r="AP166" s="243"/>
      <c r="AQ166" s="243"/>
      <c r="AR166" s="243"/>
      <c r="AS166" s="243"/>
      <c r="AT166" s="243"/>
      <c r="AU166" s="243"/>
      <c r="AV166" s="243"/>
      <c r="AW166" s="243"/>
      <c r="AX166" s="243"/>
      <c r="AY166" s="243"/>
      <c r="AZ166" s="243"/>
      <c r="BA166" s="243"/>
      <c r="BB166" s="243"/>
      <c r="BC166" s="243"/>
      <c r="BD166" s="243"/>
      <c r="BE166" s="243"/>
      <c r="BF166" s="243"/>
      <c r="BG166" s="243"/>
      <c r="BH166" s="243"/>
      <c r="BI166" s="243"/>
      <c r="BJ166" s="243"/>
      <c r="BK166" s="243"/>
      <c r="BL166" s="243"/>
      <c r="BM166" s="243"/>
      <c r="BN166" s="243"/>
      <c r="BO166" s="243"/>
      <c r="BP166" s="243"/>
      <c r="BQ166" s="243"/>
      <c r="BR166" s="243"/>
      <c r="BS166" s="243"/>
      <c r="BT166" s="243"/>
      <c r="BU166" s="243"/>
      <c r="BV166" s="243"/>
      <c r="BW166" s="243"/>
      <c r="BX166" s="243"/>
      <c r="BY166" s="243"/>
      <c r="BZ166" s="243"/>
      <c r="CA166" s="243"/>
      <c r="CB166" s="243"/>
      <c r="CC166" s="243"/>
      <c r="CD166" s="243"/>
      <c r="CE166" s="243"/>
      <c r="CF166" s="243"/>
      <c r="CG166" s="243"/>
      <c r="CH166" s="243"/>
      <c r="CI166" s="243"/>
      <c r="CJ166" s="243"/>
      <c r="CK166" s="243"/>
      <c r="CL166" s="243"/>
      <c r="CM166" s="243"/>
      <c r="CN166" s="243"/>
      <c r="CO166" s="243"/>
      <c r="CP166" s="243"/>
      <c r="CQ166" s="243"/>
      <c r="CR166" s="243"/>
      <c r="CS166" s="243"/>
      <c r="CT166" s="243"/>
      <c r="CU166" s="243"/>
      <c r="CV166" s="243"/>
      <c r="CW166" s="243"/>
      <c r="CX166" s="243"/>
      <c r="CY166" s="243"/>
      <c r="CZ166" s="243"/>
      <c r="DA166" s="243"/>
      <c r="DB166" s="243"/>
      <c r="DC166" s="243"/>
      <c r="DD166" s="243"/>
      <c r="DE166" s="243"/>
      <c r="DF166" s="243"/>
      <c r="DG166" s="243"/>
      <c r="DH166" s="243"/>
      <c r="DI166" s="243"/>
      <c r="DJ166" s="243"/>
      <c r="DK166" s="243"/>
      <c r="DL166" s="243"/>
      <c r="DM166" s="243"/>
      <c r="DN166" s="243"/>
      <c r="DO166" s="243"/>
      <c r="DP166" s="243"/>
      <c r="DQ166" s="243"/>
      <c r="DR166" s="243"/>
      <c r="DS166" s="243"/>
      <c r="DT166" s="243"/>
      <c r="DU166" s="243"/>
      <c r="DV166" s="243"/>
      <c r="DW166" s="243"/>
      <c r="DX166" s="243"/>
      <c r="DY166" s="243"/>
      <c r="DZ166" s="243"/>
      <c r="EA166" s="243"/>
      <c r="EB166" s="243"/>
      <c r="EC166" s="243"/>
      <c r="ED166" s="243"/>
      <c r="EE166" s="243"/>
      <c r="EF166" s="243"/>
      <c r="EG166" s="243"/>
      <c r="EH166" s="243"/>
      <c r="EI166" s="243"/>
      <c r="EJ166" s="243"/>
      <c r="EK166" s="243"/>
      <c r="EL166" s="243"/>
      <c r="EM166" s="243"/>
      <c r="EN166" s="243"/>
      <c r="EO166" s="243"/>
      <c r="EP166" s="243"/>
      <c r="EQ166" s="243"/>
      <c r="ER166" s="243"/>
      <c r="ES166" s="243"/>
      <c r="ET166" s="243"/>
      <c r="EU166" s="243"/>
      <c r="FC166" s="199"/>
      <c r="FD166" s="199"/>
      <c r="FE166" s="199"/>
      <c r="FF166" s="199"/>
      <c r="FG166" s="199"/>
      <c r="FH166" s="199"/>
      <c r="FI166" s="199"/>
      <c r="FJ166" s="199"/>
      <c r="FK166" s="199"/>
      <c r="FL166" s="199"/>
      <c r="FM166" s="199"/>
      <c r="FN166" s="199"/>
      <c r="FO166" s="199"/>
      <c r="FP166" s="199"/>
      <c r="FQ166" s="199"/>
      <c r="FR166" s="199"/>
      <c r="FS166" s="199"/>
      <c r="FT166" s="199"/>
      <c r="FU166" s="199"/>
      <c r="FV166" s="199"/>
      <c r="FW166" s="199"/>
      <c r="FX166" s="199"/>
      <c r="FY166" s="199"/>
      <c r="FZ166" s="199"/>
      <c r="GA166" s="199"/>
      <c r="GB166" s="199"/>
      <c r="GC166" s="199"/>
      <c r="GD166" s="199"/>
      <c r="GE166" s="199"/>
      <c r="GF166" s="199"/>
      <c r="GG166" s="199"/>
      <c r="GH166" s="199"/>
      <c r="GI166" s="199"/>
      <c r="GJ166" s="199"/>
      <c r="GK166" s="199"/>
      <c r="GL166" s="199"/>
      <c r="GM166" s="199"/>
      <c r="GN166" s="199"/>
      <c r="GO166" s="199"/>
      <c r="GP166" s="199"/>
      <c r="GQ166" s="199"/>
      <c r="GR166" s="199"/>
      <c r="GS166" s="199"/>
      <c r="GT166" s="199"/>
      <c r="GU166" s="199"/>
      <c r="GV166" s="199"/>
      <c r="GW166" s="199"/>
      <c r="GX166" s="199"/>
      <c r="GY166" s="199"/>
      <c r="GZ166" s="199"/>
      <c r="HA166" s="199"/>
      <c r="HB166" s="199"/>
      <c r="HC166" s="199"/>
      <c r="HD166" s="199"/>
      <c r="HE166" s="199"/>
      <c r="HF166" s="199"/>
      <c r="HG166" s="199"/>
      <c r="HH166" s="199"/>
      <c r="HI166" s="199"/>
      <c r="HJ166" s="199"/>
      <c r="HK166" s="199"/>
      <c r="HL166" s="199"/>
      <c r="HM166" s="199"/>
      <c r="HN166" s="199"/>
      <c r="HO166" s="199"/>
      <c r="HP166" s="199"/>
      <c r="HQ166" s="199"/>
      <c r="HR166" s="199"/>
      <c r="HS166" s="199"/>
      <c r="HT166" s="199"/>
      <c r="HU166" s="199"/>
      <c r="HV166" s="199"/>
      <c r="HW166" s="199"/>
      <c r="HX166" s="199"/>
      <c r="HY166" s="199"/>
      <c r="HZ166" s="199"/>
      <c r="IA166" s="199"/>
      <c r="IB166" s="199"/>
      <c r="IC166" s="199"/>
      <c r="ID166" s="199"/>
      <c r="IE166" s="199"/>
      <c r="IF166" s="199"/>
      <c r="IG166" s="199"/>
      <c r="IH166" s="199"/>
      <c r="II166" s="199"/>
      <c r="IJ166" s="199"/>
      <c r="IK166" s="199"/>
      <c r="IL166" s="199"/>
      <c r="IM166" s="199"/>
      <c r="IN166" s="199"/>
      <c r="IO166" s="199"/>
      <c r="IP166" s="199"/>
      <c r="IQ166" s="199"/>
      <c r="IR166" s="199"/>
      <c r="IS166" s="199"/>
      <c r="IT166" s="199"/>
      <c r="IU166" s="199"/>
      <c r="IV166" s="199"/>
      <c r="IW166" s="199"/>
      <c r="IX166" s="199"/>
      <c r="IY166" s="199"/>
      <c r="IZ166" s="199"/>
      <c r="JA166" s="199"/>
      <c r="JB166" s="199"/>
      <c r="JC166" s="199"/>
      <c r="JD166" s="199"/>
      <c r="JE166" s="199"/>
      <c r="JF166" s="199"/>
      <c r="JG166" s="199"/>
      <c r="JH166" s="199"/>
      <c r="JI166" s="199"/>
      <c r="JJ166" s="199"/>
      <c r="JK166" s="199"/>
      <c r="JL166" s="199"/>
      <c r="JM166" s="199"/>
      <c r="JN166" s="199"/>
      <c r="JO166" s="199"/>
      <c r="JP166" s="199"/>
      <c r="JQ166" s="199"/>
      <c r="JR166" s="199"/>
      <c r="JS166" s="199"/>
      <c r="JT166" s="199"/>
      <c r="JU166" s="199"/>
      <c r="JV166" s="199"/>
      <c r="JW166" s="199"/>
      <c r="JX166" s="199"/>
      <c r="JY166" s="199"/>
      <c r="JZ166" s="199"/>
      <c r="KA166" s="199"/>
      <c r="KB166" s="199"/>
      <c r="KC166" s="199"/>
      <c r="KD166" s="199"/>
      <c r="KE166" s="199"/>
      <c r="PQ166" s="201"/>
      <c r="PR166" s="201"/>
      <c r="PS166" s="201"/>
      <c r="PT166" s="201"/>
      <c r="PU166" s="201"/>
      <c r="PV166" s="201"/>
      <c r="PW166" s="201"/>
      <c r="PX166" s="201"/>
      <c r="PY166" s="201"/>
      <c r="PZ166" s="201"/>
      <c r="QA166" s="201"/>
      <c r="QB166" s="201"/>
      <c r="QC166" s="201"/>
      <c r="QD166" s="201"/>
      <c r="QE166" s="201"/>
      <c r="QF166" s="201"/>
      <c r="QG166" s="201"/>
      <c r="QH166" s="201"/>
      <c r="QI166" s="201"/>
      <c r="QJ166" s="201"/>
      <c r="QK166" s="201"/>
      <c r="QL166" s="201"/>
      <c r="QM166" s="201"/>
      <c r="QN166" s="201"/>
      <c r="QO166" s="201"/>
      <c r="QP166" s="201"/>
      <c r="QQ166" s="201"/>
      <c r="QR166" s="201"/>
      <c r="QS166" s="201"/>
      <c r="QT166" s="201"/>
      <c r="QU166" s="201"/>
      <c r="QV166" s="201"/>
      <c r="QW166" s="201"/>
      <c r="QX166" s="201"/>
      <c r="QY166" s="201"/>
      <c r="QZ166" s="201"/>
      <c r="RA166" s="201"/>
      <c r="RB166" s="201"/>
      <c r="RC166" s="201"/>
      <c r="RD166" s="201"/>
      <c r="RE166" s="201"/>
      <c r="RF166" s="201"/>
      <c r="RG166" s="201"/>
      <c r="RH166" s="201"/>
      <c r="RI166" s="201"/>
      <c r="RJ166" s="201"/>
      <c r="RK166" s="201"/>
      <c r="RL166" s="201"/>
      <c r="RM166" s="201"/>
      <c r="RN166" s="201"/>
      <c r="RO166" s="201"/>
      <c r="RP166" s="201"/>
      <c r="RQ166" s="201"/>
      <c r="RR166" s="201"/>
      <c r="RS166" s="201"/>
      <c r="RT166" s="201"/>
      <c r="RU166" s="201"/>
      <c r="RV166" s="201"/>
      <c r="RW166" s="201"/>
      <c r="RX166" s="201"/>
      <c r="RY166" s="201"/>
      <c r="RZ166" s="201"/>
      <c r="SA166" s="201"/>
      <c r="SB166" s="201"/>
      <c r="SC166" s="201"/>
      <c r="SD166" s="201"/>
      <c r="SE166" s="201"/>
      <c r="SF166" s="201"/>
      <c r="SG166" s="201"/>
      <c r="SH166" s="201"/>
      <c r="SI166" s="201"/>
      <c r="SJ166" s="201"/>
      <c r="SK166" s="201"/>
      <c r="SL166" s="201"/>
      <c r="SM166" s="201"/>
      <c r="SN166" s="201"/>
      <c r="SO166" s="201"/>
      <c r="SP166" s="201"/>
      <c r="SQ166" s="201"/>
      <c r="SR166" s="201"/>
      <c r="SS166" s="201"/>
      <c r="ST166" s="201"/>
      <c r="SU166" s="201"/>
      <c r="SV166" s="201"/>
      <c r="SW166" s="201"/>
      <c r="SX166" s="201"/>
      <c r="SY166" s="201"/>
      <c r="SZ166" s="201"/>
      <c r="TA166" s="201"/>
      <c r="TB166" s="201"/>
      <c r="TC166" s="201"/>
      <c r="TD166" s="201"/>
      <c r="TE166" s="201"/>
      <c r="TF166" s="201"/>
      <c r="TG166" s="201"/>
      <c r="TH166" s="201"/>
      <c r="TI166" s="201"/>
      <c r="TJ166" s="201"/>
      <c r="TK166" s="201"/>
      <c r="TL166" s="201"/>
      <c r="TM166" s="201"/>
      <c r="TN166" s="201"/>
      <c r="TO166" s="201"/>
      <c r="TP166" s="201"/>
      <c r="TQ166" s="201"/>
      <c r="TR166" s="201"/>
      <c r="TS166" s="201"/>
      <c r="TT166" s="201"/>
      <c r="TU166" s="201"/>
      <c r="TV166" s="201"/>
      <c r="TW166" s="201"/>
      <c r="TX166" s="201"/>
      <c r="TY166" s="201"/>
      <c r="TZ166" s="201"/>
      <c r="UA166" s="201"/>
      <c r="UB166" s="201"/>
      <c r="UC166" s="201"/>
      <c r="UD166" s="201"/>
      <c r="UE166" s="201"/>
      <c r="UF166" s="201"/>
      <c r="UG166" s="201"/>
      <c r="UH166" s="201"/>
      <c r="UI166" s="201"/>
      <c r="UJ166" s="201"/>
      <c r="UK166" s="201"/>
      <c r="UL166" s="201"/>
      <c r="UM166" s="201"/>
      <c r="UN166" s="201"/>
      <c r="UO166" s="201"/>
      <c r="UP166" s="201"/>
      <c r="UQ166" s="201"/>
      <c r="UR166" s="201"/>
      <c r="US166" s="201"/>
      <c r="UT166" s="201"/>
      <c r="UU166" s="201"/>
    </row>
    <row r="167" spans="2:567" x14ac:dyDescent="0.25">
      <c r="B167" s="18" t="s">
        <v>214</v>
      </c>
      <c r="C167" s="161"/>
      <c r="D167" s="170">
        <f>+K105</f>
        <v>24</v>
      </c>
      <c r="E167" s="162"/>
      <c r="F167" s="162"/>
      <c r="G167" s="162"/>
      <c r="H167" s="162"/>
      <c r="I167" s="162" t="s">
        <v>200</v>
      </c>
      <c r="J167" s="161"/>
      <c r="K167" s="163">
        <v>0.06</v>
      </c>
      <c r="L167" s="240"/>
      <c r="M167" s="3" t="s">
        <v>851</v>
      </c>
      <c r="R167" s="257"/>
      <c r="S167" s="243"/>
      <c r="T167" s="243"/>
      <c r="U167" s="243"/>
      <c r="V167" s="243"/>
      <c r="W167" s="243"/>
      <c r="X167" s="243"/>
      <c r="Y167" s="243"/>
      <c r="Z167" s="243"/>
      <c r="AA167" s="243"/>
      <c r="AB167" s="243"/>
      <c r="AC167" s="243"/>
      <c r="AD167" s="243"/>
      <c r="AE167" s="243"/>
      <c r="AF167" s="243"/>
      <c r="AG167" s="243"/>
      <c r="AH167" s="243"/>
      <c r="AI167" s="243"/>
      <c r="AJ167" s="243"/>
      <c r="AK167" s="243"/>
      <c r="AL167" s="243"/>
      <c r="AM167" s="243"/>
      <c r="AN167" s="243"/>
      <c r="AO167" s="243"/>
      <c r="AP167" s="243"/>
      <c r="AQ167" s="243"/>
      <c r="AR167" s="243"/>
      <c r="AS167" s="243"/>
      <c r="AT167" s="243"/>
      <c r="AU167" s="243"/>
      <c r="AV167" s="243"/>
      <c r="AW167" s="243"/>
      <c r="AX167" s="243"/>
      <c r="AY167" s="243"/>
      <c r="AZ167" s="243"/>
      <c r="BA167" s="243"/>
      <c r="BB167" s="243"/>
      <c r="BC167" s="243"/>
      <c r="BD167" s="243"/>
      <c r="BE167" s="243"/>
      <c r="BF167" s="243"/>
      <c r="BG167" s="243"/>
      <c r="BH167" s="243"/>
      <c r="BI167" s="243"/>
      <c r="BJ167" s="243"/>
      <c r="BK167" s="243"/>
      <c r="BL167" s="243"/>
      <c r="BM167" s="243"/>
      <c r="BN167" s="243"/>
      <c r="BO167" s="243"/>
      <c r="BP167" s="243"/>
      <c r="BQ167" s="243"/>
      <c r="BR167" s="243"/>
      <c r="BS167" s="243"/>
      <c r="BT167" s="243"/>
      <c r="BU167" s="243"/>
      <c r="BV167" s="243"/>
      <c r="BW167" s="243"/>
      <c r="BX167" s="243"/>
      <c r="BY167" s="243"/>
      <c r="BZ167" s="243"/>
      <c r="CA167" s="243"/>
      <c r="CB167" s="243"/>
      <c r="CC167" s="243"/>
      <c r="CD167" s="243"/>
      <c r="CE167" s="243"/>
      <c r="CF167" s="243"/>
      <c r="CG167" s="243"/>
      <c r="CH167" s="243"/>
      <c r="CI167" s="243"/>
      <c r="CJ167" s="243"/>
      <c r="CK167" s="243"/>
      <c r="CL167" s="243"/>
      <c r="CM167" s="243"/>
      <c r="CN167" s="243"/>
      <c r="CO167" s="243"/>
      <c r="CP167" s="243"/>
      <c r="CQ167" s="243"/>
      <c r="CR167" s="243"/>
      <c r="CS167" s="243"/>
      <c r="CT167" s="243"/>
      <c r="CU167" s="243"/>
      <c r="CV167" s="243"/>
      <c r="CW167" s="243"/>
      <c r="CX167" s="243"/>
      <c r="CY167" s="243"/>
      <c r="CZ167" s="243"/>
      <c r="DA167" s="243"/>
      <c r="DB167" s="243"/>
      <c r="DC167" s="243"/>
      <c r="DD167" s="243"/>
      <c r="DE167" s="243"/>
      <c r="DF167" s="243"/>
      <c r="DG167" s="243"/>
      <c r="DH167" s="243"/>
      <c r="DI167" s="243"/>
      <c r="DJ167" s="243"/>
      <c r="DK167" s="243"/>
      <c r="DL167" s="243"/>
      <c r="DM167" s="243"/>
      <c r="DN167" s="243"/>
      <c r="DO167" s="243"/>
      <c r="DP167" s="243"/>
      <c r="DQ167" s="243"/>
      <c r="DR167" s="243"/>
      <c r="DS167" s="243"/>
      <c r="DT167" s="243"/>
      <c r="DU167" s="243"/>
      <c r="DV167" s="243"/>
      <c r="DW167" s="243"/>
      <c r="DX167" s="243"/>
      <c r="DY167" s="243"/>
      <c r="DZ167" s="243"/>
      <c r="EA167" s="243"/>
      <c r="EB167" s="243"/>
      <c r="EC167" s="243"/>
      <c r="ED167" s="243"/>
      <c r="EE167" s="243"/>
      <c r="EF167" s="243"/>
      <c r="EG167" s="243"/>
      <c r="EH167" s="243"/>
      <c r="EI167" s="243"/>
      <c r="EJ167" s="243"/>
      <c r="EK167" s="243"/>
      <c r="EL167" s="243"/>
      <c r="EM167" s="243"/>
      <c r="EN167" s="243"/>
      <c r="EO167" s="243"/>
      <c r="EP167" s="243"/>
      <c r="EQ167" s="243"/>
      <c r="ER167" s="243"/>
      <c r="ES167" s="243"/>
      <c r="ET167" s="243"/>
      <c r="EU167" s="243"/>
      <c r="FC167" s="199"/>
      <c r="FD167" s="199"/>
      <c r="FE167" s="199"/>
      <c r="FF167" s="199"/>
      <c r="FG167" s="199"/>
      <c r="FH167" s="199"/>
      <c r="FI167" s="199"/>
      <c r="FJ167" s="199"/>
      <c r="FK167" s="199"/>
      <c r="FL167" s="199"/>
      <c r="FM167" s="199"/>
      <c r="FN167" s="199"/>
      <c r="FO167" s="199"/>
      <c r="FP167" s="199"/>
      <c r="FQ167" s="199"/>
      <c r="FR167" s="199"/>
      <c r="FS167" s="199"/>
      <c r="FT167" s="199"/>
      <c r="FU167" s="199"/>
      <c r="FV167" s="199"/>
      <c r="FW167" s="199"/>
      <c r="FX167" s="199"/>
      <c r="FY167" s="199"/>
      <c r="FZ167" s="199"/>
      <c r="GA167" s="199"/>
      <c r="GB167" s="199"/>
      <c r="GC167" s="199"/>
      <c r="GD167" s="199"/>
      <c r="GE167" s="199"/>
      <c r="GF167" s="199"/>
      <c r="GG167" s="199"/>
      <c r="GH167" s="199"/>
      <c r="GI167" s="199"/>
      <c r="GJ167" s="199"/>
      <c r="GK167" s="199"/>
      <c r="GL167" s="199"/>
      <c r="GM167" s="199"/>
      <c r="GN167" s="199"/>
      <c r="GO167" s="199"/>
      <c r="GP167" s="199"/>
      <c r="GQ167" s="199"/>
      <c r="GR167" s="199"/>
      <c r="GS167" s="199"/>
      <c r="GT167" s="199"/>
      <c r="GU167" s="199"/>
      <c r="GV167" s="199"/>
      <c r="GW167" s="199"/>
      <c r="GX167" s="199"/>
      <c r="GY167" s="199"/>
      <c r="GZ167" s="199"/>
      <c r="HA167" s="199"/>
      <c r="HB167" s="199"/>
      <c r="HC167" s="199"/>
      <c r="HD167" s="199"/>
      <c r="HE167" s="199"/>
      <c r="HF167" s="199"/>
      <c r="HG167" s="199"/>
      <c r="HH167" s="199"/>
      <c r="HI167" s="199"/>
      <c r="HJ167" s="199"/>
      <c r="HK167" s="199"/>
      <c r="HL167" s="199"/>
      <c r="HM167" s="199"/>
      <c r="HN167" s="199"/>
      <c r="HO167" s="199"/>
      <c r="HP167" s="199"/>
      <c r="HQ167" s="199"/>
      <c r="HR167" s="199"/>
      <c r="HS167" s="199"/>
      <c r="HT167" s="199"/>
      <c r="HU167" s="199"/>
      <c r="HV167" s="199"/>
      <c r="HW167" s="199"/>
      <c r="HX167" s="199"/>
      <c r="HY167" s="199"/>
      <c r="HZ167" s="199"/>
      <c r="IA167" s="199"/>
      <c r="IB167" s="199"/>
      <c r="IC167" s="199"/>
      <c r="ID167" s="199"/>
      <c r="IE167" s="199"/>
      <c r="IF167" s="199"/>
      <c r="IG167" s="199"/>
      <c r="IH167" s="199"/>
      <c r="II167" s="199"/>
      <c r="IJ167" s="199"/>
      <c r="IK167" s="199"/>
      <c r="IL167" s="199"/>
      <c r="IM167" s="199"/>
      <c r="IN167" s="199"/>
      <c r="IO167" s="199"/>
      <c r="IP167" s="199"/>
      <c r="IQ167" s="199"/>
      <c r="IR167" s="199"/>
      <c r="IS167" s="199"/>
      <c r="IT167" s="199"/>
      <c r="IU167" s="199"/>
      <c r="IV167" s="199"/>
      <c r="IW167" s="199"/>
      <c r="IX167" s="199"/>
      <c r="IY167" s="199"/>
      <c r="IZ167" s="199"/>
      <c r="JA167" s="199"/>
      <c r="JB167" s="199"/>
      <c r="JC167" s="199"/>
      <c r="JD167" s="199"/>
      <c r="JE167" s="199"/>
      <c r="JF167" s="199"/>
      <c r="JG167" s="199"/>
      <c r="JH167" s="199"/>
      <c r="JI167" s="199"/>
      <c r="JJ167" s="199"/>
      <c r="JK167" s="199"/>
      <c r="JL167" s="199"/>
      <c r="JM167" s="199"/>
      <c r="JN167" s="199"/>
      <c r="JO167" s="199"/>
      <c r="JP167" s="199"/>
      <c r="JQ167" s="199"/>
      <c r="JR167" s="199"/>
      <c r="JS167" s="199"/>
      <c r="JT167" s="199"/>
      <c r="JU167" s="199"/>
      <c r="JV167" s="199"/>
      <c r="JW167" s="199"/>
      <c r="JX167" s="199"/>
      <c r="JY167" s="199"/>
      <c r="JZ167" s="199"/>
      <c r="KA167" s="199"/>
      <c r="KB167" s="199"/>
      <c r="KC167" s="199"/>
      <c r="KD167" s="199"/>
      <c r="KE167" s="199"/>
      <c r="PQ167" s="201"/>
      <c r="PR167" s="201"/>
      <c r="PS167" s="201"/>
      <c r="PT167" s="201"/>
      <c r="PU167" s="201"/>
      <c r="PV167" s="201"/>
      <c r="PW167" s="201"/>
      <c r="PX167" s="201"/>
      <c r="PY167" s="201"/>
      <c r="PZ167" s="201"/>
      <c r="QA167" s="201"/>
      <c r="QB167" s="201"/>
      <c r="QC167" s="201"/>
      <c r="QD167" s="201"/>
      <c r="QE167" s="201"/>
      <c r="QF167" s="201"/>
      <c r="QG167" s="201"/>
      <c r="QH167" s="201"/>
      <c r="QI167" s="201"/>
      <c r="QJ167" s="201"/>
      <c r="QK167" s="201"/>
      <c r="QL167" s="201"/>
      <c r="QM167" s="201"/>
      <c r="QN167" s="201"/>
      <c r="QO167" s="201"/>
      <c r="QP167" s="201"/>
      <c r="QQ167" s="201"/>
      <c r="QR167" s="201"/>
      <c r="QS167" s="201"/>
      <c r="QT167" s="201"/>
      <c r="QU167" s="201"/>
      <c r="QV167" s="201"/>
      <c r="QW167" s="201"/>
      <c r="QX167" s="201"/>
      <c r="QY167" s="201"/>
      <c r="QZ167" s="201"/>
      <c r="RA167" s="201"/>
      <c r="RB167" s="201"/>
      <c r="RC167" s="201"/>
      <c r="RD167" s="201"/>
      <c r="RE167" s="201"/>
      <c r="RF167" s="201"/>
      <c r="RG167" s="201"/>
      <c r="RH167" s="201"/>
      <c r="RI167" s="201"/>
      <c r="RJ167" s="201"/>
      <c r="RK167" s="201"/>
      <c r="RL167" s="201"/>
      <c r="RM167" s="201"/>
      <c r="RN167" s="201"/>
      <c r="RO167" s="201"/>
      <c r="RP167" s="201"/>
      <c r="RQ167" s="201"/>
      <c r="RR167" s="201"/>
      <c r="RS167" s="201"/>
      <c r="RT167" s="201"/>
      <c r="RU167" s="201"/>
      <c r="RV167" s="201"/>
      <c r="RW167" s="201"/>
      <c r="RX167" s="201"/>
      <c r="RY167" s="201"/>
      <c r="RZ167" s="201"/>
      <c r="SA167" s="201"/>
      <c r="SB167" s="201"/>
      <c r="SC167" s="201"/>
      <c r="SD167" s="201"/>
      <c r="SE167" s="201"/>
      <c r="SF167" s="201"/>
      <c r="SG167" s="201"/>
      <c r="SH167" s="201"/>
      <c r="SI167" s="201"/>
      <c r="SJ167" s="201"/>
      <c r="SK167" s="201"/>
      <c r="SL167" s="201"/>
      <c r="SM167" s="201"/>
      <c r="SN167" s="201"/>
      <c r="SO167" s="201"/>
      <c r="SP167" s="201"/>
      <c r="SQ167" s="201"/>
      <c r="SR167" s="201"/>
      <c r="SS167" s="201"/>
      <c r="ST167" s="201"/>
      <c r="SU167" s="201"/>
      <c r="SV167" s="201"/>
      <c r="SW167" s="201"/>
      <c r="SX167" s="201"/>
      <c r="SY167" s="201"/>
      <c r="SZ167" s="201"/>
      <c r="TA167" s="201"/>
      <c r="TB167" s="201"/>
      <c r="TC167" s="201"/>
      <c r="TD167" s="201"/>
      <c r="TE167" s="201"/>
      <c r="TF167" s="201"/>
      <c r="TG167" s="201"/>
      <c r="TH167" s="201"/>
      <c r="TI167" s="201"/>
      <c r="TJ167" s="201"/>
      <c r="TK167" s="201"/>
      <c r="TL167" s="201"/>
      <c r="TM167" s="201"/>
      <c r="TN167" s="201"/>
      <c r="TO167" s="201"/>
      <c r="TP167" s="201"/>
      <c r="TQ167" s="201"/>
      <c r="TR167" s="201"/>
      <c r="TS167" s="201"/>
      <c r="TT167" s="201"/>
      <c r="TU167" s="201"/>
      <c r="TV167" s="201"/>
      <c r="TW167" s="201"/>
      <c r="TX167" s="201"/>
      <c r="TY167" s="201"/>
      <c r="TZ167" s="201"/>
      <c r="UA167" s="201"/>
      <c r="UB167" s="201"/>
      <c r="UC167" s="201"/>
      <c r="UD167" s="201"/>
      <c r="UE167" s="201"/>
      <c r="UF167" s="201"/>
      <c r="UG167" s="201"/>
      <c r="UH167" s="201"/>
      <c r="UI167" s="201"/>
      <c r="UJ167" s="201"/>
      <c r="UK167" s="201"/>
      <c r="UL167" s="201"/>
      <c r="UM167" s="201"/>
      <c r="UN167" s="201"/>
      <c r="UO167" s="201"/>
      <c r="UP167" s="201"/>
      <c r="UQ167" s="201"/>
      <c r="UR167" s="201"/>
      <c r="US167" s="201"/>
      <c r="UT167" s="201"/>
      <c r="UU167" s="201"/>
    </row>
    <row r="168" spans="2:567" x14ac:dyDescent="0.25">
      <c r="B168" s="18" t="s">
        <v>202</v>
      </c>
      <c r="C168" s="161"/>
      <c r="D168" s="537">
        <f>IF(Toggle_Refi_Sell=1,120,K105+12)</f>
        <v>36</v>
      </c>
      <c r="E168" s="162"/>
      <c r="F168" s="162"/>
      <c r="G168" s="162"/>
      <c r="H168" s="162"/>
      <c r="I168" s="162" t="s">
        <v>201</v>
      </c>
      <c r="J168" s="161"/>
      <c r="K168" s="163">
        <v>1.4999999999999999E-2</v>
      </c>
      <c r="L168" s="240"/>
      <c r="M168" s="3" t="s">
        <v>852</v>
      </c>
      <c r="R168" s="257"/>
      <c r="S168" s="243"/>
      <c r="T168" s="243"/>
      <c r="U168" s="243"/>
      <c r="V168" s="243"/>
      <c r="W168" s="243"/>
      <c r="X168" s="243"/>
      <c r="Y168" s="243"/>
      <c r="Z168" s="243"/>
      <c r="AA168" s="243"/>
      <c r="AB168" s="243"/>
      <c r="AC168" s="243"/>
      <c r="AD168" s="243"/>
      <c r="AE168" s="243"/>
      <c r="AF168" s="243"/>
      <c r="AG168" s="243"/>
      <c r="AH168" s="243"/>
      <c r="AI168" s="243"/>
      <c r="AJ168" s="243"/>
      <c r="AK168" s="243"/>
      <c r="AL168" s="243"/>
      <c r="AM168" s="243"/>
      <c r="AN168" s="243"/>
      <c r="AO168" s="243"/>
      <c r="AP168" s="243"/>
      <c r="AQ168" s="243"/>
      <c r="AR168" s="243"/>
      <c r="AS168" s="243"/>
      <c r="AT168" s="243"/>
      <c r="AU168" s="243"/>
      <c r="AV168" s="243"/>
      <c r="AW168" s="243"/>
      <c r="AX168" s="243"/>
      <c r="AY168" s="243"/>
      <c r="AZ168" s="243"/>
      <c r="BA168" s="243"/>
      <c r="BB168" s="243"/>
      <c r="BC168" s="243"/>
      <c r="BD168" s="243"/>
      <c r="BE168" s="243"/>
      <c r="BF168" s="243"/>
      <c r="BG168" s="243"/>
      <c r="BH168" s="243"/>
      <c r="BI168" s="243"/>
      <c r="BJ168" s="243"/>
      <c r="BK168" s="243"/>
      <c r="BL168" s="243"/>
      <c r="BM168" s="243"/>
      <c r="BN168" s="243"/>
      <c r="BO168" s="243"/>
      <c r="BP168" s="243"/>
      <c r="BQ168" s="243"/>
      <c r="BR168" s="243"/>
      <c r="BS168" s="243"/>
      <c r="BT168" s="243"/>
      <c r="BU168" s="243"/>
      <c r="BV168" s="243"/>
      <c r="BW168" s="243"/>
      <c r="BX168" s="243"/>
      <c r="BY168" s="243"/>
      <c r="BZ168" s="243"/>
      <c r="CA168" s="243"/>
      <c r="CB168" s="243"/>
      <c r="CC168" s="243"/>
      <c r="CD168" s="243"/>
      <c r="CE168" s="243"/>
      <c r="CF168" s="243"/>
      <c r="CG168" s="243"/>
      <c r="CH168" s="243"/>
      <c r="CI168" s="243"/>
      <c r="CJ168" s="243"/>
      <c r="CK168" s="243"/>
      <c r="CL168" s="243"/>
      <c r="CM168" s="243"/>
      <c r="CN168" s="243"/>
      <c r="CO168" s="243"/>
      <c r="CP168" s="243"/>
      <c r="CQ168" s="243"/>
      <c r="CR168" s="243"/>
      <c r="CS168" s="243"/>
      <c r="CT168" s="243"/>
      <c r="CU168" s="243"/>
      <c r="CV168" s="243"/>
      <c r="CW168" s="243"/>
      <c r="CX168" s="243"/>
      <c r="CY168" s="243"/>
      <c r="CZ168" s="243"/>
      <c r="DA168" s="243"/>
      <c r="DB168" s="243"/>
      <c r="DC168" s="243"/>
      <c r="DD168" s="243"/>
      <c r="DE168" s="243"/>
      <c r="DF168" s="243"/>
      <c r="DG168" s="243"/>
      <c r="DH168" s="243"/>
      <c r="DI168" s="243"/>
      <c r="DJ168" s="243"/>
      <c r="DK168" s="243"/>
      <c r="DL168" s="243"/>
      <c r="DM168" s="243"/>
      <c r="DN168" s="243"/>
      <c r="DO168" s="243"/>
      <c r="DP168" s="243"/>
      <c r="DQ168" s="243"/>
      <c r="DR168" s="243"/>
      <c r="DS168" s="243"/>
      <c r="DT168" s="243"/>
      <c r="DU168" s="243"/>
      <c r="DV168" s="243"/>
      <c r="DW168" s="243"/>
      <c r="DX168" s="243"/>
      <c r="DY168" s="243"/>
      <c r="DZ168" s="243"/>
      <c r="EA168" s="243"/>
      <c r="EB168" s="243"/>
      <c r="EC168" s="243"/>
      <c r="ED168" s="243"/>
      <c r="EE168" s="243"/>
      <c r="EF168" s="243"/>
      <c r="EG168" s="243"/>
      <c r="EH168" s="243"/>
      <c r="EI168" s="243"/>
      <c r="EJ168" s="243"/>
      <c r="EK168" s="243"/>
      <c r="EL168" s="243"/>
      <c r="EM168" s="243"/>
      <c r="EN168" s="243"/>
      <c r="EO168" s="243"/>
      <c r="EP168" s="243"/>
      <c r="EQ168" s="243"/>
      <c r="ER168" s="243"/>
      <c r="ES168" s="243"/>
      <c r="ET168" s="243"/>
      <c r="EU168" s="243"/>
      <c r="FC168" s="199"/>
      <c r="FD168" s="199"/>
      <c r="FE168" s="199"/>
      <c r="FF168" s="199"/>
      <c r="FG168" s="199"/>
      <c r="FH168" s="199"/>
      <c r="FI168" s="199"/>
      <c r="FJ168" s="199"/>
      <c r="FK168" s="199"/>
      <c r="FL168" s="199"/>
      <c r="FM168" s="199"/>
      <c r="FN168" s="199"/>
      <c r="FO168" s="199"/>
      <c r="FP168" s="199"/>
      <c r="FQ168" s="199"/>
      <c r="FR168" s="199"/>
      <c r="FS168" s="199"/>
      <c r="FT168" s="199"/>
      <c r="FU168" s="199"/>
      <c r="FV168" s="199"/>
      <c r="FW168" s="199"/>
      <c r="FX168" s="199"/>
      <c r="FY168" s="199"/>
      <c r="FZ168" s="199"/>
      <c r="GA168" s="199"/>
      <c r="GB168" s="199"/>
      <c r="GC168" s="199"/>
      <c r="GD168" s="199"/>
      <c r="GE168" s="199"/>
      <c r="GF168" s="199"/>
      <c r="GG168" s="199"/>
      <c r="GH168" s="199"/>
      <c r="GI168" s="199"/>
      <c r="GJ168" s="199"/>
      <c r="GK168" s="199"/>
      <c r="GL168" s="199"/>
      <c r="GM168" s="199"/>
      <c r="GN168" s="199"/>
      <c r="GO168" s="199"/>
      <c r="GP168" s="199"/>
      <c r="GQ168" s="199"/>
      <c r="GR168" s="199"/>
      <c r="GS168" s="199"/>
      <c r="GT168" s="199"/>
      <c r="GU168" s="199"/>
      <c r="GV168" s="199"/>
      <c r="GW168" s="199"/>
      <c r="GX168" s="199"/>
      <c r="GY168" s="199"/>
      <c r="GZ168" s="199"/>
      <c r="HA168" s="199"/>
      <c r="HB168" s="199"/>
      <c r="HC168" s="199"/>
      <c r="HD168" s="199"/>
      <c r="HE168" s="199"/>
      <c r="HF168" s="199"/>
      <c r="HG168" s="199"/>
      <c r="HH168" s="199"/>
      <c r="HI168" s="199"/>
      <c r="HJ168" s="199"/>
      <c r="HK168" s="199"/>
      <c r="HL168" s="199"/>
      <c r="HM168" s="199"/>
      <c r="HN168" s="199"/>
      <c r="HO168" s="199"/>
      <c r="HP168" s="199"/>
      <c r="HQ168" s="199"/>
      <c r="HR168" s="199"/>
      <c r="HS168" s="199"/>
      <c r="HT168" s="199"/>
      <c r="HU168" s="199"/>
      <c r="HV168" s="199"/>
      <c r="HW168" s="199"/>
      <c r="HX168" s="199"/>
      <c r="HY168" s="199"/>
      <c r="HZ168" s="199"/>
      <c r="IA168" s="199"/>
      <c r="IB168" s="199"/>
      <c r="IC168" s="199"/>
      <c r="ID168" s="199"/>
      <c r="IE168" s="199"/>
      <c r="IF168" s="199"/>
      <c r="IG168" s="199"/>
      <c r="IH168" s="199"/>
      <c r="II168" s="199"/>
      <c r="IJ168" s="199"/>
      <c r="IK168" s="199"/>
      <c r="IL168" s="199"/>
      <c r="IM168" s="199"/>
      <c r="IN168" s="199"/>
      <c r="IO168" s="199"/>
      <c r="IP168" s="199"/>
      <c r="IQ168" s="199"/>
      <c r="IR168" s="199"/>
      <c r="IS168" s="199"/>
      <c r="IT168" s="199"/>
      <c r="IU168" s="199"/>
      <c r="IV168" s="199"/>
      <c r="IW168" s="199"/>
      <c r="IX168" s="199"/>
      <c r="IY168" s="199"/>
      <c r="IZ168" s="199"/>
      <c r="JA168" s="199"/>
      <c r="JB168" s="199"/>
      <c r="JC168" s="199"/>
      <c r="JD168" s="199"/>
      <c r="JE168" s="199"/>
      <c r="JF168" s="199"/>
      <c r="JG168" s="199"/>
      <c r="JH168" s="199"/>
      <c r="JI168" s="199"/>
      <c r="JJ168" s="199"/>
      <c r="JK168" s="199"/>
      <c r="JL168" s="199"/>
      <c r="JM168" s="199"/>
      <c r="JN168" s="199"/>
      <c r="JO168" s="199"/>
      <c r="JP168" s="199"/>
      <c r="JQ168" s="199"/>
      <c r="JR168" s="199"/>
      <c r="JS168" s="199"/>
      <c r="JT168" s="199"/>
      <c r="JU168" s="199"/>
      <c r="JV168" s="199"/>
      <c r="JW168" s="199"/>
      <c r="JX168" s="199"/>
      <c r="JY168" s="199"/>
      <c r="JZ168" s="199"/>
      <c r="KA168" s="199"/>
      <c r="KB168" s="199"/>
      <c r="KC168" s="199"/>
      <c r="KD168" s="199"/>
      <c r="KE168" s="199"/>
      <c r="PQ168" s="201"/>
      <c r="PR168" s="201"/>
      <c r="PS168" s="201"/>
      <c r="PT168" s="201"/>
      <c r="PU168" s="201"/>
      <c r="PV168" s="201"/>
      <c r="PW168" s="201"/>
      <c r="PX168" s="201"/>
      <c r="PY168" s="201"/>
      <c r="PZ168" s="201"/>
      <c r="QA168" s="201"/>
      <c r="QB168" s="201"/>
      <c r="QC168" s="201"/>
      <c r="QD168" s="201"/>
      <c r="QE168" s="201"/>
      <c r="QF168" s="201"/>
      <c r="QG168" s="201"/>
      <c r="QH168" s="201"/>
      <c r="QI168" s="201"/>
      <c r="QJ168" s="201"/>
      <c r="QK168" s="201"/>
      <c r="QL168" s="201"/>
      <c r="QM168" s="201"/>
      <c r="QN168" s="201"/>
      <c r="QO168" s="201"/>
      <c r="QP168" s="201"/>
      <c r="QQ168" s="201"/>
      <c r="QR168" s="201"/>
      <c r="QS168" s="201"/>
      <c r="QT168" s="201"/>
      <c r="QU168" s="201"/>
      <c r="QV168" s="201"/>
      <c r="QW168" s="201"/>
      <c r="QX168" s="201"/>
      <c r="QY168" s="201"/>
      <c r="QZ168" s="201"/>
      <c r="RA168" s="201"/>
      <c r="RB168" s="201"/>
      <c r="RC168" s="201"/>
      <c r="RD168" s="201"/>
      <c r="RE168" s="201"/>
      <c r="RF168" s="201"/>
      <c r="RG168" s="201"/>
      <c r="RH168" s="201"/>
      <c r="RI168" s="201"/>
      <c r="RJ168" s="201"/>
      <c r="RK168" s="201"/>
      <c r="RL168" s="201"/>
      <c r="RM168" s="201"/>
      <c r="RN168" s="201"/>
      <c r="RO168" s="201"/>
      <c r="RP168" s="201"/>
      <c r="RQ168" s="201"/>
      <c r="RR168" s="201"/>
      <c r="RS168" s="201"/>
      <c r="RT168" s="201"/>
      <c r="RU168" s="201"/>
      <c r="RV168" s="201"/>
      <c r="RW168" s="201"/>
      <c r="RX168" s="201"/>
      <c r="RY168" s="201"/>
      <c r="RZ168" s="201"/>
      <c r="SA168" s="201"/>
      <c r="SB168" s="201"/>
      <c r="SC168" s="201"/>
      <c r="SD168" s="201"/>
      <c r="SE168" s="201"/>
      <c r="SF168" s="201"/>
      <c r="SG168" s="201"/>
      <c r="SH168" s="201"/>
      <c r="SI168" s="201"/>
      <c r="SJ168" s="201"/>
      <c r="SK168" s="201"/>
      <c r="SL168" s="201"/>
      <c r="SM168" s="201"/>
      <c r="SN168" s="201"/>
      <c r="SO168" s="201"/>
      <c r="SP168" s="201"/>
      <c r="SQ168" s="201"/>
      <c r="SR168" s="201"/>
      <c r="SS168" s="201"/>
      <c r="ST168" s="201"/>
      <c r="SU168" s="201"/>
      <c r="SV168" s="201"/>
      <c r="SW168" s="201"/>
      <c r="SX168" s="201"/>
      <c r="SY168" s="201"/>
      <c r="SZ168" s="201"/>
      <c r="TA168" s="201"/>
      <c r="TB168" s="201"/>
      <c r="TC168" s="201"/>
      <c r="TD168" s="201"/>
      <c r="TE168" s="201"/>
      <c r="TF168" s="201"/>
      <c r="TG168" s="201"/>
      <c r="TH168" s="201"/>
      <c r="TI168" s="201"/>
      <c r="TJ168" s="201"/>
      <c r="TK168" s="201"/>
      <c r="TL168" s="201"/>
      <c r="TM168" s="201"/>
      <c r="TN168" s="201"/>
      <c r="TO168" s="201"/>
      <c r="TP168" s="201"/>
      <c r="TQ168" s="201"/>
      <c r="TR168" s="201"/>
      <c r="TS168" s="201"/>
      <c r="TT168" s="201"/>
      <c r="TU168" s="201"/>
      <c r="TV168" s="201"/>
      <c r="TW168" s="201"/>
      <c r="TX168" s="201"/>
      <c r="TY168" s="201"/>
      <c r="TZ168" s="201"/>
      <c r="UA168" s="201"/>
      <c r="UB168" s="201"/>
      <c r="UC168" s="201"/>
      <c r="UD168" s="201"/>
      <c r="UE168" s="201"/>
      <c r="UF168" s="201"/>
      <c r="UG168" s="201"/>
      <c r="UH168" s="201"/>
      <c r="UI168" s="201"/>
      <c r="UJ168" s="201"/>
      <c r="UK168" s="201"/>
      <c r="UL168" s="201"/>
      <c r="UM168" s="201"/>
      <c r="UN168" s="201"/>
      <c r="UO168" s="201"/>
      <c r="UP168" s="201"/>
      <c r="UQ168" s="201"/>
      <c r="UR168" s="201"/>
      <c r="US168" s="201"/>
      <c r="UT168" s="201"/>
      <c r="UU168" s="201"/>
    </row>
    <row r="169" spans="2:567" x14ac:dyDescent="0.25">
      <c r="B169" s="162"/>
      <c r="C169" s="162"/>
      <c r="D169" s="162"/>
      <c r="E169" s="162"/>
      <c r="F169" s="162"/>
      <c r="G169" s="162"/>
      <c r="H169" s="162"/>
      <c r="I169" s="174">
        <f>J111</f>
        <v>0</v>
      </c>
      <c r="J169" s="174">
        <f>MIN(Analysis_Period,K105)</f>
        <v>24</v>
      </c>
      <c r="K169" s="174">
        <f>D168</f>
        <v>36</v>
      </c>
      <c r="L169" s="240"/>
      <c r="R169" s="257"/>
      <c r="S169" s="243"/>
      <c r="T169" s="243"/>
      <c r="U169" s="243"/>
      <c r="V169" s="243"/>
      <c r="W169" s="243"/>
      <c r="X169" s="243"/>
      <c r="Y169" s="243"/>
      <c r="Z169" s="243"/>
      <c r="AA169" s="243"/>
      <c r="AB169" s="243"/>
      <c r="AC169" s="243"/>
      <c r="AD169" s="243"/>
      <c r="AE169" s="243"/>
      <c r="AF169" s="243"/>
      <c r="AG169" s="243"/>
      <c r="AH169" s="243"/>
      <c r="AI169" s="243"/>
      <c r="AJ169" s="243"/>
      <c r="AK169" s="243"/>
      <c r="AL169" s="243"/>
      <c r="AM169" s="243"/>
      <c r="AN169" s="243"/>
      <c r="AO169" s="243"/>
      <c r="AP169" s="243"/>
      <c r="AQ169" s="243"/>
      <c r="AR169" s="243"/>
      <c r="AS169" s="243"/>
      <c r="AT169" s="243"/>
      <c r="AU169" s="243"/>
      <c r="AV169" s="243"/>
      <c r="AW169" s="243"/>
      <c r="AX169" s="243"/>
      <c r="AY169" s="243"/>
      <c r="AZ169" s="243"/>
      <c r="BA169" s="243"/>
      <c r="BB169" s="243"/>
      <c r="BC169" s="243"/>
      <c r="BD169" s="243"/>
      <c r="BE169" s="243"/>
      <c r="BF169" s="243"/>
      <c r="BG169" s="243"/>
      <c r="BH169" s="243"/>
      <c r="BI169" s="243"/>
      <c r="BJ169" s="243"/>
      <c r="BK169" s="243"/>
      <c r="BL169" s="243"/>
      <c r="BM169" s="243"/>
      <c r="BN169" s="243"/>
      <c r="BO169" s="243"/>
      <c r="BP169" s="243"/>
      <c r="BQ169" s="243"/>
      <c r="BR169" s="243"/>
      <c r="BS169" s="243"/>
      <c r="BT169" s="243"/>
      <c r="BU169" s="243"/>
      <c r="BV169" s="243"/>
      <c r="BW169" s="243"/>
      <c r="BX169" s="243"/>
      <c r="BY169" s="243"/>
      <c r="BZ169" s="243"/>
      <c r="CA169" s="243"/>
      <c r="CB169" s="243"/>
      <c r="CC169" s="243"/>
      <c r="CD169" s="243"/>
      <c r="CE169" s="243"/>
      <c r="CF169" s="243"/>
      <c r="CG169" s="243"/>
      <c r="CH169" s="243"/>
      <c r="CI169" s="243"/>
      <c r="CJ169" s="243"/>
      <c r="CK169" s="243"/>
      <c r="CL169" s="243"/>
      <c r="CM169" s="243"/>
      <c r="CN169" s="243"/>
      <c r="CO169" s="243"/>
      <c r="CP169" s="243"/>
      <c r="CQ169" s="243"/>
      <c r="CR169" s="243"/>
      <c r="CS169" s="243"/>
      <c r="CT169" s="243"/>
      <c r="CU169" s="243"/>
      <c r="CV169" s="243"/>
      <c r="CW169" s="243"/>
      <c r="CX169" s="243"/>
      <c r="CY169" s="243"/>
      <c r="CZ169" s="243"/>
      <c r="DA169" s="243"/>
      <c r="DB169" s="243"/>
      <c r="DC169" s="243"/>
      <c r="DD169" s="243"/>
      <c r="DE169" s="243"/>
      <c r="DF169" s="243"/>
      <c r="DG169" s="243"/>
      <c r="DH169" s="243"/>
      <c r="DI169" s="243"/>
      <c r="DJ169" s="243"/>
      <c r="DK169" s="243"/>
      <c r="DL169" s="243"/>
      <c r="DM169" s="243"/>
      <c r="DN169" s="243"/>
      <c r="DO169" s="243"/>
      <c r="DP169" s="243"/>
      <c r="DQ169" s="243"/>
      <c r="DR169" s="243"/>
      <c r="DS169" s="243"/>
      <c r="DT169" s="243"/>
      <c r="DU169" s="243"/>
      <c r="DV169" s="243"/>
      <c r="DW169" s="243"/>
      <c r="DX169" s="243"/>
      <c r="DY169" s="243"/>
      <c r="DZ169" s="243"/>
      <c r="EA169" s="243"/>
      <c r="EB169" s="243"/>
      <c r="EC169" s="243"/>
      <c r="ED169" s="243"/>
      <c r="EE169" s="243"/>
      <c r="EF169" s="243"/>
      <c r="EG169" s="243"/>
      <c r="EH169" s="243"/>
      <c r="EI169" s="243"/>
      <c r="EJ169" s="243"/>
      <c r="EK169" s="243"/>
      <c r="EL169" s="243"/>
      <c r="EM169" s="243"/>
      <c r="EN169" s="243"/>
      <c r="EO169" s="243"/>
      <c r="EP169" s="243"/>
      <c r="EQ169" s="243"/>
      <c r="ER169" s="243"/>
      <c r="ES169" s="243"/>
      <c r="ET169" s="243"/>
      <c r="EU169" s="243"/>
      <c r="FC169" s="199"/>
      <c r="FD169" s="199"/>
      <c r="FE169" s="199"/>
      <c r="FF169" s="199"/>
      <c r="FG169" s="199"/>
      <c r="FH169" s="199"/>
      <c r="FI169" s="199"/>
      <c r="FJ169" s="199"/>
      <c r="FK169" s="199"/>
      <c r="FL169" s="199"/>
      <c r="FM169" s="199"/>
      <c r="FN169" s="199"/>
      <c r="FO169" s="199"/>
      <c r="FP169" s="199"/>
      <c r="FQ169" s="199"/>
      <c r="FR169" s="199"/>
      <c r="FS169" s="199"/>
      <c r="FT169" s="199"/>
      <c r="FU169" s="199"/>
      <c r="FV169" s="199"/>
      <c r="FW169" s="199"/>
      <c r="FX169" s="199"/>
      <c r="FY169" s="199"/>
      <c r="FZ169" s="199"/>
      <c r="GA169" s="199"/>
      <c r="GB169" s="199"/>
      <c r="GC169" s="199"/>
      <c r="GD169" s="199"/>
      <c r="GE169" s="199"/>
      <c r="GF169" s="199"/>
      <c r="GG169" s="199"/>
      <c r="GH169" s="199"/>
      <c r="GI169" s="199"/>
      <c r="GJ169" s="199"/>
      <c r="GK169" s="199"/>
      <c r="GL169" s="199"/>
      <c r="GM169" s="199"/>
      <c r="GN169" s="199"/>
      <c r="GO169" s="199"/>
      <c r="GP169" s="199"/>
      <c r="GQ169" s="199"/>
      <c r="GR169" s="199"/>
      <c r="GS169" s="199"/>
      <c r="GT169" s="199"/>
      <c r="GU169" s="199"/>
      <c r="GV169" s="199"/>
      <c r="GW169" s="199"/>
      <c r="GX169" s="199"/>
      <c r="GY169" s="199"/>
      <c r="GZ169" s="199"/>
      <c r="HA169" s="199"/>
      <c r="HB169" s="199"/>
      <c r="HC169" s="199"/>
      <c r="HD169" s="199"/>
      <c r="HE169" s="199"/>
      <c r="HF169" s="199"/>
      <c r="HG169" s="199"/>
      <c r="HH169" s="199"/>
      <c r="HI169" s="199"/>
      <c r="HJ169" s="199"/>
      <c r="HK169" s="199"/>
      <c r="HL169" s="199"/>
      <c r="HM169" s="199"/>
      <c r="HN169" s="199"/>
      <c r="HO169" s="199"/>
      <c r="HP169" s="199"/>
      <c r="HQ169" s="199"/>
      <c r="HR169" s="199"/>
      <c r="HS169" s="199"/>
      <c r="HT169" s="199"/>
      <c r="HU169" s="199"/>
      <c r="HV169" s="199"/>
      <c r="HW169" s="199"/>
      <c r="HX169" s="199"/>
      <c r="HY169" s="199"/>
      <c r="HZ169" s="199"/>
      <c r="IA169" s="199"/>
      <c r="IB169" s="199"/>
      <c r="IC169" s="199"/>
      <c r="ID169" s="199"/>
      <c r="IE169" s="199"/>
      <c r="IF169" s="199"/>
      <c r="IG169" s="199"/>
      <c r="IH169" s="199"/>
      <c r="II169" s="199"/>
      <c r="IJ169" s="199"/>
      <c r="IK169" s="199"/>
      <c r="IL169" s="199"/>
      <c r="IM169" s="199"/>
      <c r="IN169" s="199"/>
      <c r="IO169" s="199"/>
      <c r="IP169" s="199"/>
      <c r="IQ169" s="199"/>
      <c r="IR169" s="199"/>
      <c r="IS169" s="199"/>
      <c r="IT169" s="199"/>
      <c r="IU169" s="199"/>
      <c r="IV169" s="199"/>
      <c r="IW169" s="199"/>
      <c r="IX169" s="199"/>
      <c r="IY169" s="199"/>
      <c r="IZ169" s="199"/>
      <c r="JA169" s="199"/>
      <c r="JB169" s="199"/>
      <c r="JC169" s="199"/>
      <c r="JD169" s="199"/>
      <c r="JE169" s="199"/>
      <c r="JF169" s="199"/>
      <c r="JG169" s="199"/>
      <c r="JH169" s="199"/>
      <c r="JI169" s="199"/>
      <c r="JJ169" s="199"/>
      <c r="JK169" s="199"/>
      <c r="JL169" s="199"/>
      <c r="JM169" s="199"/>
      <c r="JN169" s="199"/>
      <c r="JO169" s="199"/>
      <c r="JP169" s="199"/>
      <c r="JQ169" s="199"/>
      <c r="JR169" s="199"/>
      <c r="JS169" s="199"/>
      <c r="JT169" s="199"/>
      <c r="JU169" s="199"/>
      <c r="JV169" s="199"/>
      <c r="JW169" s="199"/>
      <c r="JX169" s="199"/>
      <c r="JY169" s="199"/>
      <c r="JZ169" s="199"/>
      <c r="KA169" s="199"/>
      <c r="KB169" s="199"/>
      <c r="KC169" s="199"/>
      <c r="KD169" s="199"/>
      <c r="KE169" s="199"/>
      <c r="PQ169" s="201"/>
      <c r="PR169" s="201"/>
      <c r="PS169" s="201"/>
      <c r="PT169" s="201"/>
      <c r="PU169" s="201"/>
      <c r="PV169" s="201"/>
      <c r="PW169" s="201"/>
      <c r="PX169" s="201"/>
      <c r="PY169" s="201"/>
      <c r="PZ169" s="201"/>
      <c r="QA169" s="201"/>
      <c r="QB169" s="201"/>
      <c r="QC169" s="201"/>
      <c r="QD169" s="201"/>
      <c r="QE169" s="201"/>
      <c r="QF169" s="201"/>
      <c r="QG169" s="201"/>
      <c r="QH169" s="201"/>
      <c r="QI169" s="201"/>
      <c r="QJ169" s="201"/>
      <c r="QK169" s="201"/>
      <c r="QL169" s="201"/>
      <c r="QM169" s="201"/>
      <c r="QN169" s="201"/>
      <c r="QO169" s="201"/>
      <c r="QP169" s="201"/>
      <c r="QQ169" s="201"/>
      <c r="QR169" s="201"/>
      <c r="QS169" s="201"/>
      <c r="QT169" s="201"/>
      <c r="QU169" s="201"/>
      <c r="QV169" s="201"/>
      <c r="QW169" s="201"/>
      <c r="QX169" s="201"/>
      <c r="QY169" s="201"/>
      <c r="QZ169" s="201"/>
      <c r="RA169" s="201"/>
      <c r="RB169" s="201"/>
      <c r="RC169" s="201"/>
      <c r="RD169" s="201"/>
      <c r="RE169" s="201"/>
      <c r="RF169" s="201"/>
      <c r="RG169" s="201"/>
      <c r="RH169" s="201"/>
      <c r="RI169" s="201"/>
      <c r="RJ169" s="201"/>
      <c r="RK169" s="201"/>
      <c r="RL169" s="201"/>
      <c r="RM169" s="201"/>
      <c r="RN169" s="201"/>
      <c r="RO169" s="201"/>
      <c r="RP169" s="201"/>
      <c r="RQ169" s="201"/>
      <c r="RR169" s="201"/>
      <c r="RS169" s="201"/>
      <c r="RT169" s="201"/>
      <c r="RU169" s="201"/>
      <c r="RV169" s="201"/>
      <c r="RW169" s="201"/>
      <c r="RX169" s="201"/>
      <c r="RY169" s="201"/>
      <c r="RZ169" s="201"/>
      <c r="SA169" s="201"/>
      <c r="SB169" s="201"/>
      <c r="SC169" s="201"/>
      <c r="SD169" s="201"/>
      <c r="SE169" s="201"/>
      <c r="SF169" s="201"/>
      <c r="SG169" s="201"/>
      <c r="SH169" s="201"/>
      <c r="SI169" s="201"/>
      <c r="SJ169" s="201"/>
      <c r="SK169" s="201"/>
      <c r="SL169" s="201"/>
      <c r="SM169" s="201"/>
      <c r="SN169" s="201"/>
      <c r="SO169" s="201"/>
      <c r="SP169" s="201"/>
      <c r="SQ169" s="201"/>
      <c r="SR169" s="201"/>
      <c r="SS169" s="201"/>
      <c r="ST169" s="201"/>
      <c r="SU169" s="201"/>
      <c r="SV169" s="201"/>
      <c r="SW169" s="201"/>
      <c r="SX169" s="201"/>
      <c r="SY169" s="201"/>
      <c r="SZ169" s="201"/>
      <c r="TA169" s="201"/>
      <c r="TB169" s="201"/>
      <c r="TC169" s="201"/>
      <c r="TD169" s="201"/>
      <c r="TE169" s="201"/>
      <c r="TF169" s="201"/>
      <c r="TG169" s="201"/>
      <c r="TH169" s="201"/>
      <c r="TI169" s="201"/>
      <c r="TJ169" s="201"/>
      <c r="TK169" s="201"/>
      <c r="TL169" s="201"/>
      <c r="TM169" s="201"/>
      <c r="TN169" s="201"/>
      <c r="TO169" s="201"/>
      <c r="TP169" s="201"/>
      <c r="TQ169" s="201"/>
      <c r="TR169" s="201"/>
      <c r="TS169" s="201"/>
      <c r="TT169" s="201"/>
      <c r="TU169" s="201"/>
      <c r="TV169" s="201"/>
      <c r="TW169" s="201"/>
      <c r="TX169" s="201"/>
      <c r="TY169" s="201"/>
      <c r="TZ169" s="201"/>
      <c r="UA169" s="201"/>
      <c r="UB169" s="201"/>
      <c r="UC169" s="201"/>
      <c r="UD169" s="201"/>
      <c r="UE169" s="201"/>
      <c r="UF169" s="201"/>
      <c r="UG169" s="201"/>
      <c r="UH169" s="201"/>
      <c r="UI169" s="201"/>
      <c r="UJ169" s="201"/>
      <c r="UK169" s="201"/>
      <c r="UL169" s="201"/>
      <c r="UM169" s="201"/>
      <c r="UN169" s="201"/>
      <c r="UO169" s="201"/>
      <c r="UP169" s="201"/>
      <c r="UQ169" s="201"/>
      <c r="UR169" s="201"/>
      <c r="US169" s="201"/>
      <c r="UT169" s="201"/>
      <c r="UU169" s="201"/>
    </row>
    <row r="170" spans="2:567" x14ac:dyDescent="0.25">
      <c r="B170" s="125" t="s">
        <v>218</v>
      </c>
      <c r="C170" s="125"/>
      <c r="D170" s="125"/>
      <c r="E170" s="126"/>
      <c r="F170" s="126"/>
      <c r="G170" s="126"/>
      <c r="H170" s="126"/>
      <c r="I170" s="126" t="s">
        <v>215</v>
      </c>
      <c r="J170" s="126" t="s">
        <v>216</v>
      </c>
      <c r="K170" s="126" t="s">
        <v>203</v>
      </c>
      <c r="L170" s="240"/>
      <c r="R170" s="257"/>
      <c r="S170" s="243"/>
      <c r="T170" s="243"/>
      <c r="U170" s="243"/>
      <c r="V170" s="243"/>
      <c r="W170" s="243"/>
      <c r="X170" s="243"/>
      <c r="Y170" s="243"/>
      <c r="Z170" s="243"/>
      <c r="AA170" s="243"/>
      <c r="AB170" s="243"/>
      <c r="AC170" s="243"/>
      <c r="AD170" s="243"/>
      <c r="AE170" s="243"/>
      <c r="AF170" s="243"/>
      <c r="AG170" s="243"/>
      <c r="AH170" s="243"/>
      <c r="AI170" s="243"/>
      <c r="AJ170" s="243"/>
      <c r="AK170" s="243"/>
      <c r="AL170" s="243"/>
      <c r="AM170" s="243"/>
      <c r="AN170" s="243"/>
      <c r="AO170" s="243"/>
      <c r="AP170" s="243"/>
      <c r="AQ170" s="243"/>
      <c r="AR170" s="243"/>
      <c r="AS170" s="243"/>
      <c r="AT170" s="243"/>
      <c r="AU170" s="243"/>
      <c r="AV170" s="243"/>
      <c r="AW170" s="243"/>
      <c r="AX170" s="243"/>
      <c r="AY170" s="243"/>
      <c r="AZ170" s="243"/>
      <c r="BA170" s="243"/>
      <c r="BB170" s="243"/>
      <c r="BC170" s="243"/>
      <c r="BD170" s="243"/>
      <c r="BE170" s="243"/>
      <c r="BF170" s="243"/>
      <c r="BG170" s="243"/>
      <c r="BH170" s="243"/>
      <c r="BI170" s="243"/>
      <c r="BJ170" s="243"/>
      <c r="BK170" s="243"/>
      <c r="BL170" s="243"/>
      <c r="BM170" s="243"/>
      <c r="BN170" s="243"/>
      <c r="BO170" s="243"/>
      <c r="BP170" s="243"/>
      <c r="BQ170" s="243"/>
      <c r="BR170" s="243"/>
      <c r="BS170" s="243"/>
      <c r="BT170" s="243"/>
      <c r="BU170" s="243"/>
      <c r="BV170" s="243"/>
      <c r="BW170" s="243"/>
      <c r="BX170" s="243"/>
      <c r="BY170" s="243"/>
      <c r="BZ170" s="243"/>
      <c r="CA170" s="243"/>
      <c r="CB170" s="243"/>
      <c r="CC170" s="243"/>
      <c r="CD170" s="243"/>
      <c r="CE170" s="243"/>
      <c r="CF170" s="243"/>
      <c r="CG170" s="243"/>
      <c r="CH170" s="243"/>
      <c r="CI170" s="243"/>
      <c r="CJ170" s="243"/>
      <c r="CK170" s="243"/>
      <c r="CL170" s="243"/>
      <c r="CM170" s="243"/>
      <c r="CN170" s="243"/>
      <c r="CO170" s="243"/>
      <c r="CP170" s="243"/>
      <c r="CQ170" s="243"/>
      <c r="CR170" s="243"/>
      <c r="CS170" s="243"/>
      <c r="CT170" s="243"/>
      <c r="CU170" s="243"/>
      <c r="CV170" s="243"/>
      <c r="CW170" s="243"/>
      <c r="CX170" s="243"/>
      <c r="CY170" s="243"/>
      <c r="CZ170" s="243"/>
      <c r="DA170" s="243"/>
      <c r="DB170" s="243"/>
      <c r="DC170" s="243"/>
      <c r="DD170" s="243"/>
      <c r="DE170" s="243"/>
      <c r="DF170" s="243"/>
      <c r="DG170" s="243"/>
      <c r="DH170" s="243"/>
      <c r="DI170" s="243"/>
      <c r="DJ170" s="243"/>
      <c r="DK170" s="243"/>
      <c r="DL170" s="243"/>
      <c r="DM170" s="243"/>
      <c r="DN170" s="243"/>
      <c r="DO170" s="243"/>
      <c r="DP170" s="243"/>
      <c r="DQ170" s="243"/>
      <c r="DR170" s="243"/>
      <c r="DS170" s="243"/>
      <c r="DT170" s="243"/>
      <c r="DU170" s="243"/>
      <c r="DV170" s="243"/>
      <c r="DW170" s="243"/>
      <c r="DX170" s="243"/>
      <c r="DY170" s="243"/>
      <c r="DZ170" s="243"/>
      <c r="EA170" s="243"/>
      <c r="EB170" s="243"/>
      <c r="EC170" s="243"/>
      <c r="ED170" s="243"/>
      <c r="EE170" s="243"/>
      <c r="EF170" s="243"/>
      <c r="EG170" s="243"/>
      <c r="EH170" s="243"/>
      <c r="EI170" s="243"/>
      <c r="EJ170" s="243"/>
      <c r="EK170" s="243"/>
      <c r="EL170" s="243"/>
      <c r="EM170" s="243"/>
      <c r="EN170" s="243"/>
      <c r="EO170" s="243"/>
      <c r="EP170" s="243"/>
      <c r="EQ170" s="243"/>
      <c r="ER170" s="243"/>
      <c r="ES170" s="243"/>
      <c r="ET170" s="243"/>
      <c r="EU170" s="243"/>
      <c r="FC170" s="199"/>
      <c r="FD170" s="199"/>
      <c r="FE170" s="199"/>
      <c r="FF170" s="199"/>
      <c r="FG170" s="199"/>
      <c r="FH170" s="199"/>
      <c r="FI170" s="199"/>
      <c r="FJ170" s="199"/>
      <c r="FK170" s="199"/>
      <c r="FL170" s="199"/>
      <c r="FM170" s="199"/>
      <c r="FN170" s="199"/>
      <c r="FO170" s="199"/>
      <c r="FP170" s="199"/>
      <c r="FQ170" s="199"/>
      <c r="FR170" s="199"/>
      <c r="FS170" s="199"/>
      <c r="FT170" s="199"/>
      <c r="FU170" s="199"/>
      <c r="FV170" s="199"/>
      <c r="FW170" s="199"/>
      <c r="FX170" s="199"/>
      <c r="FY170" s="199"/>
      <c r="FZ170" s="199"/>
      <c r="GA170" s="199"/>
      <c r="GB170" s="199"/>
      <c r="GC170" s="199"/>
      <c r="GD170" s="199"/>
      <c r="GE170" s="199"/>
      <c r="GF170" s="199"/>
      <c r="GG170" s="199"/>
      <c r="GH170" s="199"/>
      <c r="GI170" s="199"/>
      <c r="GJ170" s="199"/>
      <c r="GK170" s="199"/>
      <c r="GL170" s="199"/>
      <c r="GM170" s="199"/>
      <c r="GN170" s="199"/>
      <c r="GO170" s="199"/>
      <c r="GP170" s="199"/>
      <c r="GQ170" s="199"/>
      <c r="GR170" s="199"/>
      <c r="GS170" s="199"/>
      <c r="GT170" s="199"/>
      <c r="GU170" s="199"/>
      <c r="GV170" s="199"/>
      <c r="GW170" s="199"/>
      <c r="GX170" s="199"/>
      <c r="GY170" s="199"/>
      <c r="GZ170" s="199"/>
      <c r="HA170" s="199"/>
      <c r="HB170" s="199"/>
      <c r="HC170" s="199"/>
      <c r="HD170" s="199"/>
      <c r="HE170" s="199"/>
      <c r="HF170" s="199"/>
      <c r="HG170" s="199"/>
      <c r="HH170" s="199"/>
      <c r="HI170" s="199"/>
      <c r="HJ170" s="199"/>
      <c r="HK170" s="199"/>
      <c r="HL170" s="199"/>
      <c r="HM170" s="199"/>
      <c r="HN170" s="199"/>
      <c r="HO170" s="199"/>
      <c r="HP170" s="199"/>
      <c r="HQ170" s="199"/>
      <c r="HR170" s="199"/>
      <c r="HS170" s="199"/>
      <c r="HT170" s="199"/>
      <c r="HU170" s="199"/>
      <c r="HV170" s="199"/>
      <c r="HW170" s="199"/>
      <c r="HX170" s="199"/>
      <c r="HY170" s="199"/>
      <c r="HZ170" s="199"/>
      <c r="IA170" s="199"/>
      <c r="IB170" s="199"/>
      <c r="IC170" s="199"/>
      <c r="ID170" s="199"/>
      <c r="IE170" s="199"/>
      <c r="IF170" s="199"/>
      <c r="IG170" s="199"/>
      <c r="IH170" s="199"/>
      <c r="II170" s="199"/>
      <c r="IJ170" s="199"/>
      <c r="IK170" s="199"/>
      <c r="IL170" s="199"/>
      <c r="IM170" s="199"/>
      <c r="IN170" s="199"/>
      <c r="IO170" s="199"/>
      <c r="IP170" s="199"/>
      <c r="IQ170" s="199"/>
      <c r="IR170" s="199"/>
      <c r="IS170" s="199"/>
      <c r="IT170" s="199"/>
      <c r="IU170" s="199"/>
      <c r="IV170" s="199"/>
      <c r="IW170" s="199"/>
      <c r="IX170" s="199"/>
      <c r="IY170" s="199"/>
      <c r="IZ170" s="199"/>
      <c r="JA170" s="199"/>
      <c r="JB170" s="199"/>
      <c r="JC170" s="199"/>
      <c r="JD170" s="199"/>
      <c r="JE170" s="199"/>
      <c r="JF170" s="199"/>
      <c r="JG170" s="199"/>
      <c r="JH170" s="199"/>
      <c r="JI170" s="199"/>
      <c r="JJ170" s="199"/>
      <c r="JK170" s="199"/>
      <c r="JL170" s="199"/>
      <c r="JM170" s="199"/>
      <c r="JN170" s="199"/>
      <c r="JO170" s="199"/>
      <c r="JP170" s="199"/>
      <c r="JQ170" s="199"/>
      <c r="JR170" s="199"/>
      <c r="JS170" s="199"/>
      <c r="JT170" s="199"/>
      <c r="JU170" s="199"/>
      <c r="JV170" s="199"/>
      <c r="JW170" s="199"/>
      <c r="JX170" s="199"/>
      <c r="JY170" s="199"/>
      <c r="JZ170" s="199"/>
      <c r="KA170" s="199"/>
      <c r="KB170" s="199"/>
      <c r="KC170" s="199"/>
      <c r="KD170" s="199"/>
      <c r="KE170" s="199"/>
      <c r="PQ170" s="201"/>
      <c r="PR170" s="201"/>
      <c r="PS170" s="201"/>
      <c r="PT170" s="201"/>
      <c r="PU170" s="201"/>
      <c r="PV170" s="201"/>
      <c r="PW170" s="201"/>
      <c r="PX170" s="201"/>
      <c r="PY170" s="201"/>
      <c r="PZ170" s="201"/>
      <c r="QA170" s="201"/>
      <c r="QB170" s="201"/>
      <c r="QC170" s="201"/>
      <c r="QD170" s="201"/>
      <c r="QE170" s="201"/>
      <c r="QF170" s="201"/>
      <c r="QG170" s="201"/>
      <c r="QH170" s="201"/>
      <c r="QI170" s="201"/>
      <c r="QJ170" s="201"/>
      <c r="QK170" s="201"/>
      <c r="QL170" s="201"/>
      <c r="QM170" s="201"/>
      <c r="QN170" s="201"/>
      <c r="QO170" s="201"/>
      <c r="QP170" s="201"/>
      <c r="QQ170" s="201"/>
      <c r="QR170" s="201"/>
      <c r="QS170" s="201"/>
      <c r="QT170" s="201"/>
      <c r="QU170" s="201"/>
      <c r="QV170" s="201"/>
      <c r="QW170" s="201"/>
      <c r="QX170" s="201"/>
      <c r="QY170" s="201"/>
      <c r="QZ170" s="201"/>
      <c r="RA170" s="201"/>
      <c r="RB170" s="201"/>
      <c r="RC170" s="201"/>
      <c r="RD170" s="201"/>
      <c r="RE170" s="201"/>
      <c r="RF170" s="201"/>
      <c r="RG170" s="201"/>
      <c r="RH170" s="201"/>
      <c r="RI170" s="201"/>
      <c r="RJ170" s="201"/>
      <c r="RK170" s="201"/>
      <c r="RL170" s="201"/>
      <c r="RM170" s="201"/>
      <c r="RN170" s="201"/>
      <c r="RO170" s="201"/>
      <c r="RP170" s="201"/>
      <c r="RQ170" s="201"/>
      <c r="RR170" s="201"/>
      <c r="RS170" s="201"/>
      <c r="RT170" s="201"/>
      <c r="RU170" s="201"/>
      <c r="RV170" s="201"/>
      <c r="RW170" s="201"/>
      <c r="RX170" s="201"/>
      <c r="RY170" s="201"/>
      <c r="RZ170" s="201"/>
      <c r="SA170" s="201"/>
      <c r="SB170" s="201"/>
      <c r="SC170" s="201"/>
      <c r="SD170" s="201"/>
      <c r="SE170" s="201"/>
      <c r="SF170" s="201"/>
      <c r="SG170" s="201"/>
      <c r="SH170" s="201"/>
      <c r="SI170" s="201"/>
      <c r="SJ170" s="201"/>
      <c r="SK170" s="201"/>
      <c r="SL170" s="201"/>
      <c r="SM170" s="201"/>
      <c r="SN170" s="201"/>
      <c r="SO170" s="201"/>
      <c r="SP170" s="201"/>
      <c r="SQ170" s="201"/>
      <c r="SR170" s="201"/>
      <c r="SS170" s="201"/>
      <c r="ST170" s="201"/>
      <c r="SU170" s="201"/>
      <c r="SV170" s="201"/>
      <c r="SW170" s="201"/>
      <c r="SX170" s="201"/>
      <c r="SY170" s="201"/>
      <c r="SZ170" s="201"/>
      <c r="TA170" s="201"/>
      <c r="TB170" s="201"/>
      <c r="TC170" s="201"/>
      <c r="TD170" s="201"/>
      <c r="TE170" s="201"/>
      <c r="TF170" s="201"/>
      <c r="TG170" s="201"/>
      <c r="TH170" s="201"/>
      <c r="TI170" s="201"/>
      <c r="TJ170" s="201"/>
      <c r="TK170" s="201"/>
      <c r="TL170" s="201"/>
      <c r="TM170" s="201"/>
      <c r="TN170" s="201"/>
      <c r="TO170" s="201"/>
      <c r="TP170" s="201"/>
      <c r="TQ170" s="201"/>
      <c r="TR170" s="201"/>
      <c r="TS170" s="201"/>
      <c r="TT170" s="201"/>
      <c r="TU170" s="201"/>
      <c r="TV170" s="201"/>
      <c r="TW170" s="201"/>
      <c r="TX170" s="201"/>
      <c r="TY170" s="201"/>
      <c r="TZ170" s="201"/>
      <c r="UA170" s="201"/>
      <c r="UB170" s="201"/>
      <c r="UC170" s="201"/>
      <c r="UD170" s="201"/>
      <c r="UE170" s="201"/>
      <c r="UF170" s="201"/>
      <c r="UG170" s="201"/>
      <c r="UH170" s="201"/>
      <c r="UI170" s="201"/>
      <c r="UJ170" s="201"/>
      <c r="UK170" s="201"/>
      <c r="UL170" s="201"/>
      <c r="UM170" s="201"/>
      <c r="UN170" s="201"/>
      <c r="UO170" s="201"/>
      <c r="UP170" s="201"/>
      <c r="UQ170" s="201"/>
      <c r="UR170" s="201"/>
      <c r="US170" s="201"/>
      <c r="UT170" s="201"/>
      <c r="UU170" s="201"/>
    </row>
    <row r="171" spans="2:567" x14ac:dyDescent="0.25">
      <c r="B171" s="18" t="s">
        <v>129</v>
      </c>
      <c r="C171" s="161"/>
      <c r="D171" s="161"/>
      <c r="E171" s="162"/>
      <c r="F171" s="162"/>
      <c r="G171" s="162"/>
      <c r="H171" s="162"/>
      <c r="I171" s="164">
        <f>J120</f>
        <v>5731200</v>
      </c>
      <c r="J171" s="164">
        <f ca="1">SUM(OFFSET($S120,0,$D$167,1,12))</f>
        <v>6832715.3988184193</v>
      </c>
      <c r="K171" s="165">
        <f ca="1">SUM(OFFSET($S120,0,$D$168,1,12))</f>
        <v>7003533.2837888692</v>
      </c>
      <c r="L171" s="240"/>
      <c r="M171" s="3" t="s">
        <v>853</v>
      </c>
      <c r="R171" s="257"/>
      <c r="S171" s="243"/>
      <c r="T171" s="243"/>
      <c r="U171" s="243"/>
      <c r="V171" s="243"/>
      <c r="W171" s="243"/>
      <c r="X171" s="243"/>
      <c r="Y171" s="243"/>
      <c r="Z171" s="243"/>
      <c r="AA171" s="243"/>
      <c r="AB171" s="243"/>
      <c r="AC171" s="243"/>
      <c r="AD171" s="243"/>
      <c r="AE171" s="243"/>
      <c r="AF171" s="243"/>
      <c r="AG171" s="243"/>
      <c r="AH171" s="243"/>
      <c r="AI171" s="243"/>
      <c r="AJ171" s="243"/>
      <c r="AK171" s="243"/>
      <c r="AL171" s="243"/>
      <c r="AM171" s="243"/>
      <c r="AN171" s="243"/>
      <c r="AO171" s="243"/>
      <c r="AP171" s="243"/>
      <c r="AQ171" s="243"/>
      <c r="AR171" s="243"/>
      <c r="AS171" s="243"/>
      <c r="AT171" s="243"/>
      <c r="AU171" s="243"/>
      <c r="AV171" s="243"/>
      <c r="AW171" s="243"/>
      <c r="AX171" s="243"/>
      <c r="AY171" s="243"/>
      <c r="AZ171" s="243"/>
      <c r="BA171" s="243"/>
      <c r="BB171" s="243"/>
      <c r="BC171" s="243"/>
      <c r="BD171" s="243"/>
      <c r="BE171" s="243"/>
      <c r="BF171" s="243"/>
      <c r="BG171" s="243"/>
      <c r="BH171" s="243"/>
      <c r="BI171" s="243"/>
      <c r="BJ171" s="243"/>
      <c r="BK171" s="243"/>
      <c r="BL171" s="243"/>
      <c r="BM171" s="243"/>
      <c r="BN171" s="243"/>
      <c r="BO171" s="243"/>
      <c r="BP171" s="243"/>
      <c r="BQ171" s="243"/>
      <c r="BR171" s="243"/>
      <c r="BS171" s="243"/>
      <c r="BT171" s="243"/>
      <c r="BU171" s="243"/>
      <c r="BV171" s="243"/>
      <c r="BW171" s="243"/>
      <c r="BX171" s="243"/>
      <c r="BY171" s="243"/>
      <c r="BZ171" s="243"/>
      <c r="CA171" s="243"/>
      <c r="CB171" s="243"/>
      <c r="CC171" s="243"/>
      <c r="CD171" s="243"/>
      <c r="CE171" s="243"/>
      <c r="CF171" s="243"/>
      <c r="CG171" s="243"/>
      <c r="CH171" s="243"/>
      <c r="CI171" s="243"/>
      <c r="CJ171" s="243"/>
      <c r="CK171" s="243"/>
      <c r="CL171" s="243"/>
      <c r="CM171" s="243"/>
      <c r="CN171" s="243"/>
      <c r="CO171" s="243"/>
      <c r="CP171" s="243"/>
      <c r="CQ171" s="243"/>
      <c r="CR171" s="243"/>
      <c r="CS171" s="243"/>
      <c r="CT171" s="243"/>
      <c r="CU171" s="243"/>
      <c r="CV171" s="243"/>
      <c r="CW171" s="243"/>
      <c r="CX171" s="243"/>
      <c r="CY171" s="243"/>
      <c r="CZ171" s="243"/>
      <c r="DA171" s="243"/>
      <c r="DB171" s="243"/>
      <c r="DC171" s="243"/>
      <c r="DD171" s="243"/>
      <c r="DE171" s="243"/>
      <c r="DF171" s="243"/>
      <c r="DG171" s="243"/>
      <c r="DH171" s="243"/>
      <c r="DI171" s="243"/>
      <c r="DJ171" s="243"/>
      <c r="DK171" s="243"/>
      <c r="DL171" s="243"/>
      <c r="DM171" s="243"/>
      <c r="DN171" s="243"/>
      <c r="DO171" s="243"/>
      <c r="DP171" s="243"/>
      <c r="DQ171" s="243"/>
      <c r="DR171" s="243"/>
      <c r="DS171" s="243"/>
      <c r="DT171" s="243"/>
      <c r="DU171" s="243"/>
      <c r="DV171" s="243"/>
      <c r="DW171" s="243"/>
      <c r="DX171" s="243"/>
      <c r="DY171" s="243"/>
      <c r="DZ171" s="243"/>
      <c r="EA171" s="243"/>
      <c r="EB171" s="243"/>
      <c r="EC171" s="243"/>
      <c r="ED171" s="243"/>
      <c r="EE171" s="243"/>
      <c r="EF171" s="243"/>
      <c r="EG171" s="243"/>
      <c r="EH171" s="243"/>
      <c r="EI171" s="243"/>
      <c r="EJ171" s="243"/>
      <c r="EK171" s="243"/>
      <c r="EL171" s="243"/>
      <c r="EM171" s="243"/>
      <c r="EN171" s="243"/>
      <c r="EO171" s="243"/>
      <c r="EP171" s="243"/>
      <c r="EQ171" s="243"/>
      <c r="ER171" s="243"/>
      <c r="ES171" s="243"/>
      <c r="ET171" s="243"/>
      <c r="EU171" s="243"/>
      <c r="FC171" s="199"/>
      <c r="FD171" s="199"/>
      <c r="FE171" s="199"/>
      <c r="FF171" s="199"/>
      <c r="FG171" s="199"/>
      <c r="FH171" s="199"/>
      <c r="FI171" s="199"/>
      <c r="FJ171" s="199"/>
      <c r="FK171" s="199"/>
      <c r="FL171" s="199"/>
      <c r="FM171" s="199"/>
      <c r="FN171" s="199"/>
      <c r="FO171" s="199"/>
      <c r="FP171" s="199"/>
      <c r="FQ171" s="199"/>
      <c r="FR171" s="199"/>
      <c r="FS171" s="199"/>
      <c r="FT171" s="199"/>
      <c r="FU171" s="199"/>
      <c r="FV171" s="199"/>
      <c r="FW171" s="199"/>
      <c r="FX171" s="199"/>
      <c r="FY171" s="199"/>
      <c r="FZ171" s="199"/>
      <c r="GA171" s="199"/>
      <c r="GB171" s="199"/>
      <c r="GC171" s="199"/>
      <c r="GD171" s="199"/>
      <c r="GE171" s="199"/>
      <c r="GF171" s="199"/>
      <c r="GG171" s="199"/>
      <c r="GH171" s="199"/>
      <c r="GI171" s="199"/>
      <c r="GJ171" s="199"/>
      <c r="GK171" s="199"/>
      <c r="GL171" s="199"/>
      <c r="GM171" s="199"/>
      <c r="GN171" s="199"/>
      <c r="GO171" s="199"/>
      <c r="GP171" s="199"/>
      <c r="GQ171" s="199"/>
      <c r="GR171" s="199"/>
      <c r="GS171" s="199"/>
      <c r="GT171" s="199"/>
      <c r="GU171" s="199"/>
      <c r="GV171" s="199"/>
      <c r="GW171" s="199"/>
      <c r="GX171" s="199"/>
      <c r="GY171" s="199"/>
      <c r="GZ171" s="199"/>
      <c r="HA171" s="199"/>
      <c r="HB171" s="199"/>
      <c r="HC171" s="199"/>
      <c r="HD171" s="199"/>
      <c r="HE171" s="199"/>
      <c r="HF171" s="199"/>
      <c r="HG171" s="199"/>
      <c r="HH171" s="199"/>
      <c r="HI171" s="199"/>
      <c r="HJ171" s="199"/>
      <c r="HK171" s="199"/>
      <c r="HL171" s="199"/>
      <c r="HM171" s="199"/>
      <c r="HN171" s="199"/>
      <c r="HO171" s="199"/>
      <c r="HP171" s="199"/>
      <c r="HQ171" s="199"/>
      <c r="HR171" s="199"/>
      <c r="HS171" s="199"/>
      <c r="HT171" s="199"/>
      <c r="HU171" s="199"/>
      <c r="HV171" s="199"/>
      <c r="HW171" s="199"/>
      <c r="HX171" s="199"/>
      <c r="HY171" s="199"/>
      <c r="HZ171" s="199"/>
      <c r="IA171" s="199"/>
      <c r="IB171" s="199"/>
      <c r="IC171" s="199"/>
      <c r="ID171" s="199"/>
      <c r="IE171" s="199"/>
      <c r="IF171" s="199"/>
      <c r="IG171" s="199"/>
      <c r="IH171" s="199"/>
      <c r="II171" s="199"/>
      <c r="IJ171" s="199"/>
      <c r="IK171" s="199"/>
      <c r="IL171" s="199"/>
      <c r="IM171" s="199"/>
      <c r="IN171" s="199"/>
      <c r="IO171" s="199"/>
      <c r="IP171" s="199"/>
      <c r="IQ171" s="199"/>
      <c r="IR171" s="199"/>
      <c r="IS171" s="199"/>
      <c r="IT171" s="199"/>
      <c r="IU171" s="199"/>
      <c r="IV171" s="199"/>
      <c r="IW171" s="199"/>
      <c r="IX171" s="199"/>
      <c r="IY171" s="199"/>
      <c r="IZ171" s="199"/>
      <c r="JA171" s="199"/>
      <c r="JB171" s="199"/>
      <c r="JC171" s="199"/>
      <c r="JD171" s="199"/>
      <c r="JE171" s="199"/>
      <c r="JF171" s="199"/>
      <c r="JG171" s="199"/>
      <c r="JH171" s="199"/>
      <c r="JI171" s="199"/>
      <c r="JJ171" s="199"/>
      <c r="JK171" s="199"/>
      <c r="JL171" s="199"/>
      <c r="JM171" s="199"/>
      <c r="JN171" s="199"/>
      <c r="JO171" s="199"/>
      <c r="JP171" s="199"/>
      <c r="JQ171" s="199"/>
      <c r="JR171" s="199"/>
      <c r="JS171" s="199"/>
      <c r="JT171" s="199"/>
      <c r="JU171" s="199"/>
      <c r="JV171" s="199"/>
      <c r="JW171" s="199"/>
      <c r="JX171" s="199"/>
      <c r="JY171" s="199"/>
      <c r="JZ171" s="199"/>
      <c r="KA171" s="199"/>
      <c r="KB171" s="199"/>
      <c r="KC171" s="199"/>
      <c r="KD171" s="199"/>
      <c r="KE171" s="199"/>
      <c r="PQ171" s="201"/>
      <c r="PR171" s="201"/>
      <c r="PS171" s="201"/>
      <c r="PT171" s="201"/>
      <c r="PU171" s="201"/>
      <c r="PV171" s="201"/>
      <c r="PW171" s="201"/>
      <c r="PX171" s="201"/>
      <c r="PY171" s="201"/>
      <c r="PZ171" s="201"/>
      <c r="QA171" s="201"/>
      <c r="QB171" s="201"/>
      <c r="QC171" s="201"/>
      <c r="QD171" s="201"/>
      <c r="QE171" s="201"/>
      <c r="QF171" s="201"/>
      <c r="QG171" s="201"/>
      <c r="QH171" s="201"/>
      <c r="QI171" s="201"/>
      <c r="QJ171" s="201"/>
      <c r="QK171" s="201"/>
      <c r="QL171" s="201"/>
      <c r="QM171" s="201"/>
      <c r="QN171" s="201"/>
      <c r="QO171" s="201"/>
      <c r="QP171" s="201"/>
      <c r="QQ171" s="201"/>
      <c r="QR171" s="201"/>
      <c r="QS171" s="201"/>
      <c r="QT171" s="201"/>
      <c r="QU171" s="201"/>
      <c r="QV171" s="201"/>
      <c r="QW171" s="201"/>
      <c r="QX171" s="201"/>
      <c r="QY171" s="201"/>
      <c r="QZ171" s="201"/>
      <c r="RA171" s="201"/>
      <c r="RB171" s="201"/>
      <c r="RC171" s="201"/>
      <c r="RD171" s="201"/>
      <c r="RE171" s="201"/>
      <c r="RF171" s="201"/>
      <c r="RG171" s="201"/>
      <c r="RH171" s="201"/>
      <c r="RI171" s="201"/>
      <c r="RJ171" s="201"/>
      <c r="RK171" s="201"/>
      <c r="RL171" s="201"/>
      <c r="RM171" s="201"/>
      <c r="RN171" s="201"/>
      <c r="RO171" s="201"/>
      <c r="RP171" s="201"/>
      <c r="RQ171" s="201"/>
      <c r="RR171" s="201"/>
      <c r="RS171" s="201"/>
      <c r="RT171" s="201"/>
      <c r="RU171" s="201"/>
      <c r="RV171" s="201"/>
      <c r="RW171" s="201"/>
      <c r="RX171" s="201"/>
      <c r="RY171" s="201"/>
      <c r="RZ171" s="201"/>
      <c r="SA171" s="201"/>
      <c r="SB171" s="201"/>
      <c r="SC171" s="201"/>
      <c r="SD171" s="201"/>
      <c r="SE171" s="201"/>
      <c r="SF171" s="201"/>
      <c r="SG171" s="201"/>
      <c r="SH171" s="201"/>
      <c r="SI171" s="201"/>
      <c r="SJ171" s="201"/>
      <c r="SK171" s="201"/>
      <c r="SL171" s="201"/>
      <c r="SM171" s="201"/>
      <c r="SN171" s="201"/>
      <c r="SO171" s="201"/>
      <c r="SP171" s="201"/>
      <c r="SQ171" s="201"/>
      <c r="SR171" s="201"/>
      <c r="SS171" s="201"/>
      <c r="ST171" s="201"/>
      <c r="SU171" s="201"/>
      <c r="SV171" s="201"/>
      <c r="SW171" s="201"/>
      <c r="SX171" s="201"/>
      <c r="SY171" s="201"/>
      <c r="SZ171" s="201"/>
      <c r="TA171" s="201"/>
      <c r="TB171" s="201"/>
      <c r="TC171" s="201"/>
      <c r="TD171" s="201"/>
      <c r="TE171" s="201"/>
      <c r="TF171" s="201"/>
      <c r="TG171" s="201"/>
      <c r="TH171" s="201"/>
      <c r="TI171" s="201"/>
      <c r="TJ171" s="201"/>
      <c r="TK171" s="201"/>
      <c r="TL171" s="201"/>
      <c r="TM171" s="201"/>
      <c r="TN171" s="201"/>
      <c r="TO171" s="201"/>
      <c r="TP171" s="201"/>
      <c r="TQ171" s="201"/>
      <c r="TR171" s="201"/>
      <c r="TS171" s="201"/>
      <c r="TT171" s="201"/>
      <c r="TU171" s="201"/>
      <c r="TV171" s="201"/>
      <c r="TW171" s="201"/>
      <c r="TX171" s="201"/>
      <c r="TY171" s="201"/>
      <c r="TZ171" s="201"/>
      <c r="UA171" s="201"/>
      <c r="UB171" s="201"/>
      <c r="UC171" s="201"/>
      <c r="UD171" s="201"/>
      <c r="UE171" s="201"/>
      <c r="UF171" s="201"/>
      <c r="UG171" s="201"/>
      <c r="UH171" s="201"/>
      <c r="UI171" s="201"/>
      <c r="UJ171" s="201"/>
      <c r="UK171" s="201"/>
      <c r="UL171" s="201"/>
      <c r="UM171" s="201"/>
      <c r="UN171" s="201"/>
      <c r="UO171" s="201"/>
      <c r="UP171" s="201"/>
      <c r="UQ171" s="201"/>
      <c r="UR171" s="201"/>
      <c r="US171" s="201"/>
      <c r="UT171" s="201"/>
      <c r="UU171" s="201"/>
    </row>
    <row r="172" spans="2:567" x14ac:dyDescent="0.25">
      <c r="B172" s="107" t="s">
        <v>604</v>
      </c>
      <c r="C172" s="161"/>
      <c r="D172" s="161"/>
      <c r="E172" s="162"/>
      <c r="F172" s="162"/>
      <c r="G172" s="162"/>
      <c r="H172" s="162"/>
      <c r="I172" s="164">
        <v>0</v>
      </c>
      <c r="J172" s="164">
        <v>0</v>
      </c>
      <c r="K172" s="165">
        <v>0</v>
      </c>
      <c r="L172" s="240"/>
      <c r="M172" s="3" t="s">
        <v>853</v>
      </c>
      <c r="R172" s="257"/>
      <c r="S172" s="243"/>
      <c r="T172" s="243"/>
      <c r="U172" s="243"/>
      <c r="V172" s="243"/>
      <c r="W172" s="243"/>
      <c r="X172" s="243"/>
      <c r="Y172" s="243"/>
      <c r="Z172" s="243"/>
      <c r="AA172" s="243"/>
      <c r="AB172" s="243"/>
      <c r="AC172" s="243"/>
      <c r="AD172" s="243"/>
      <c r="AE172" s="243"/>
      <c r="AF172" s="243"/>
      <c r="AG172" s="243"/>
      <c r="AH172" s="243"/>
      <c r="AI172" s="243"/>
      <c r="AJ172" s="243"/>
      <c r="AK172" s="243"/>
      <c r="AL172" s="243"/>
      <c r="AM172" s="243"/>
      <c r="AN172" s="243"/>
      <c r="AO172" s="243"/>
      <c r="AP172" s="243"/>
      <c r="AQ172" s="243"/>
      <c r="AR172" s="243"/>
      <c r="AS172" s="243"/>
      <c r="AT172" s="243"/>
      <c r="AU172" s="243"/>
      <c r="AV172" s="243"/>
      <c r="AW172" s="243"/>
      <c r="AX172" s="243"/>
      <c r="AY172" s="243"/>
      <c r="AZ172" s="243"/>
      <c r="BA172" s="243"/>
      <c r="BB172" s="243"/>
      <c r="BC172" s="243"/>
      <c r="BD172" s="243"/>
      <c r="BE172" s="243"/>
      <c r="BF172" s="243"/>
      <c r="BG172" s="243"/>
      <c r="BH172" s="243"/>
      <c r="BI172" s="243"/>
      <c r="BJ172" s="243"/>
      <c r="BK172" s="243"/>
      <c r="BL172" s="243"/>
      <c r="BM172" s="243"/>
      <c r="BN172" s="243"/>
      <c r="BO172" s="243"/>
      <c r="BP172" s="243"/>
      <c r="BQ172" s="243"/>
      <c r="BR172" s="243"/>
      <c r="BS172" s="243"/>
      <c r="BT172" s="243"/>
      <c r="BU172" s="243"/>
      <c r="BV172" s="243"/>
      <c r="BW172" s="243"/>
      <c r="BX172" s="243"/>
      <c r="BY172" s="243"/>
      <c r="BZ172" s="243"/>
      <c r="CA172" s="243"/>
      <c r="CB172" s="243"/>
      <c r="CC172" s="243"/>
      <c r="CD172" s="243"/>
      <c r="CE172" s="243"/>
      <c r="CF172" s="243"/>
      <c r="CG172" s="243"/>
      <c r="CH172" s="243"/>
      <c r="CI172" s="243"/>
      <c r="CJ172" s="243"/>
      <c r="CK172" s="243"/>
      <c r="CL172" s="243"/>
      <c r="CM172" s="243"/>
      <c r="CN172" s="243"/>
      <c r="CO172" s="243"/>
      <c r="CP172" s="243"/>
      <c r="CQ172" s="243"/>
      <c r="CR172" s="243"/>
      <c r="CS172" s="243"/>
      <c r="CT172" s="243"/>
      <c r="CU172" s="243"/>
      <c r="CV172" s="243"/>
      <c r="CW172" s="243"/>
      <c r="CX172" s="243"/>
      <c r="CY172" s="243"/>
      <c r="CZ172" s="243"/>
      <c r="DA172" s="243"/>
      <c r="DB172" s="243"/>
      <c r="DC172" s="243"/>
      <c r="DD172" s="243"/>
      <c r="DE172" s="243"/>
      <c r="DF172" s="243"/>
      <c r="DG172" s="243"/>
      <c r="DH172" s="243"/>
      <c r="DI172" s="243"/>
      <c r="DJ172" s="243"/>
      <c r="DK172" s="243"/>
      <c r="DL172" s="243"/>
      <c r="DM172" s="243"/>
      <c r="DN172" s="243"/>
      <c r="DO172" s="243"/>
      <c r="DP172" s="243"/>
      <c r="DQ172" s="243"/>
      <c r="DR172" s="243"/>
      <c r="DS172" s="243"/>
      <c r="DT172" s="243"/>
      <c r="DU172" s="243"/>
      <c r="DV172" s="243"/>
      <c r="DW172" s="243"/>
      <c r="DX172" s="243"/>
      <c r="DY172" s="243"/>
      <c r="DZ172" s="243"/>
      <c r="EA172" s="243"/>
      <c r="EB172" s="243"/>
      <c r="EC172" s="243"/>
      <c r="ED172" s="243"/>
      <c r="EE172" s="243"/>
      <c r="EF172" s="243"/>
      <c r="EG172" s="243"/>
      <c r="EH172" s="243"/>
      <c r="EI172" s="243"/>
      <c r="EJ172" s="243"/>
      <c r="EK172" s="243"/>
      <c r="EL172" s="243"/>
      <c r="EM172" s="243"/>
      <c r="EN172" s="243"/>
      <c r="EO172" s="243"/>
      <c r="EP172" s="243"/>
      <c r="EQ172" s="243"/>
      <c r="ER172" s="243"/>
      <c r="ES172" s="243"/>
      <c r="ET172" s="243"/>
      <c r="EU172" s="243"/>
      <c r="FC172" s="199"/>
      <c r="FD172" s="199"/>
      <c r="FE172" s="199"/>
      <c r="FF172" s="199"/>
      <c r="FG172" s="199"/>
      <c r="FH172" s="199"/>
      <c r="FI172" s="199"/>
      <c r="FJ172" s="199"/>
      <c r="FK172" s="199"/>
      <c r="FL172" s="199"/>
      <c r="FM172" s="199"/>
      <c r="FN172" s="199"/>
      <c r="FO172" s="199"/>
      <c r="FP172" s="199"/>
      <c r="FQ172" s="199"/>
      <c r="FR172" s="199"/>
      <c r="FS172" s="199"/>
      <c r="FT172" s="199"/>
      <c r="FU172" s="199"/>
      <c r="FV172" s="199"/>
      <c r="FW172" s="199"/>
      <c r="FX172" s="199"/>
      <c r="FY172" s="199"/>
      <c r="FZ172" s="199"/>
      <c r="GA172" s="199"/>
      <c r="GB172" s="199"/>
      <c r="GC172" s="199"/>
      <c r="GD172" s="199"/>
      <c r="GE172" s="199"/>
      <c r="GF172" s="199"/>
      <c r="GG172" s="199"/>
      <c r="GH172" s="199"/>
      <c r="GI172" s="199"/>
      <c r="GJ172" s="199"/>
      <c r="GK172" s="199"/>
      <c r="GL172" s="199"/>
      <c r="GM172" s="199"/>
      <c r="GN172" s="199"/>
      <c r="GO172" s="199"/>
      <c r="GP172" s="199"/>
      <c r="GQ172" s="199"/>
      <c r="GR172" s="199"/>
      <c r="GS172" s="199"/>
      <c r="GT172" s="199"/>
      <c r="GU172" s="199"/>
      <c r="GV172" s="199"/>
      <c r="GW172" s="199"/>
      <c r="GX172" s="199"/>
      <c r="GY172" s="199"/>
      <c r="GZ172" s="199"/>
      <c r="HA172" s="199"/>
      <c r="HB172" s="199"/>
      <c r="HC172" s="199"/>
      <c r="HD172" s="199"/>
      <c r="HE172" s="199"/>
      <c r="HF172" s="199"/>
      <c r="HG172" s="199"/>
      <c r="HH172" s="199"/>
      <c r="HI172" s="199"/>
      <c r="HJ172" s="199"/>
      <c r="HK172" s="199"/>
      <c r="HL172" s="199"/>
      <c r="HM172" s="199"/>
      <c r="HN172" s="199"/>
      <c r="HO172" s="199"/>
      <c r="HP172" s="199"/>
      <c r="HQ172" s="199"/>
      <c r="HR172" s="199"/>
      <c r="HS172" s="199"/>
      <c r="HT172" s="199"/>
      <c r="HU172" s="199"/>
      <c r="HV172" s="199"/>
      <c r="HW172" s="199"/>
      <c r="HX172" s="199"/>
      <c r="HY172" s="199"/>
      <c r="HZ172" s="199"/>
      <c r="IA172" s="199"/>
      <c r="IB172" s="199"/>
      <c r="IC172" s="199"/>
      <c r="ID172" s="199"/>
      <c r="IE172" s="199"/>
      <c r="IF172" s="199"/>
      <c r="IG172" s="199"/>
      <c r="IH172" s="199"/>
      <c r="II172" s="199"/>
      <c r="IJ172" s="199"/>
      <c r="IK172" s="199"/>
      <c r="IL172" s="199"/>
      <c r="IM172" s="199"/>
      <c r="IN172" s="199"/>
      <c r="IO172" s="199"/>
      <c r="IP172" s="199"/>
      <c r="IQ172" s="199"/>
      <c r="IR172" s="199"/>
      <c r="IS172" s="199"/>
      <c r="IT172" s="199"/>
      <c r="IU172" s="199"/>
      <c r="IV172" s="199"/>
      <c r="IW172" s="199"/>
      <c r="IX172" s="199"/>
      <c r="IY172" s="199"/>
      <c r="IZ172" s="199"/>
      <c r="JA172" s="199"/>
      <c r="JB172" s="199"/>
      <c r="JC172" s="199"/>
      <c r="JD172" s="199"/>
      <c r="JE172" s="199"/>
      <c r="JF172" s="199"/>
      <c r="JG172" s="199"/>
      <c r="JH172" s="199"/>
      <c r="JI172" s="199"/>
      <c r="JJ172" s="199"/>
      <c r="JK172" s="199"/>
      <c r="JL172" s="199"/>
      <c r="JM172" s="199"/>
      <c r="JN172" s="199"/>
      <c r="JO172" s="199"/>
      <c r="JP172" s="199"/>
      <c r="JQ172" s="199"/>
      <c r="JR172" s="199"/>
      <c r="JS172" s="199"/>
      <c r="JT172" s="199"/>
      <c r="JU172" s="199"/>
      <c r="JV172" s="199"/>
      <c r="JW172" s="199"/>
      <c r="JX172" s="199"/>
      <c r="JY172" s="199"/>
      <c r="JZ172" s="199"/>
      <c r="KA172" s="199"/>
      <c r="KB172" s="199"/>
      <c r="KC172" s="199"/>
      <c r="KD172" s="199"/>
      <c r="KE172" s="199"/>
      <c r="PQ172" s="201"/>
      <c r="PR172" s="201"/>
      <c r="PS172" s="201"/>
      <c r="PT172" s="201"/>
      <c r="PU172" s="201"/>
      <c r="PV172" s="201"/>
      <c r="PW172" s="201"/>
      <c r="PX172" s="201"/>
      <c r="PY172" s="201"/>
      <c r="PZ172" s="201"/>
      <c r="QA172" s="201"/>
      <c r="QB172" s="201"/>
      <c r="QC172" s="201"/>
      <c r="QD172" s="201"/>
      <c r="QE172" s="201"/>
      <c r="QF172" s="201"/>
      <c r="QG172" s="201"/>
      <c r="QH172" s="201"/>
      <c r="QI172" s="201"/>
      <c r="QJ172" s="201"/>
      <c r="QK172" s="201"/>
      <c r="QL172" s="201"/>
      <c r="QM172" s="201"/>
      <c r="QN172" s="201"/>
      <c r="QO172" s="201"/>
      <c r="QP172" s="201"/>
      <c r="QQ172" s="201"/>
      <c r="QR172" s="201"/>
      <c r="QS172" s="201"/>
      <c r="QT172" s="201"/>
      <c r="QU172" s="201"/>
      <c r="QV172" s="201"/>
      <c r="QW172" s="201"/>
      <c r="QX172" s="201"/>
      <c r="QY172" s="201"/>
      <c r="QZ172" s="201"/>
      <c r="RA172" s="201"/>
      <c r="RB172" s="201"/>
      <c r="RC172" s="201"/>
      <c r="RD172" s="201"/>
      <c r="RE172" s="201"/>
      <c r="RF172" s="201"/>
      <c r="RG172" s="201"/>
      <c r="RH172" s="201"/>
      <c r="RI172" s="201"/>
      <c r="RJ172" s="201"/>
      <c r="RK172" s="201"/>
      <c r="RL172" s="201"/>
      <c r="RM172" s="201"/>
      <c r="RN172" s="201"/>
      <c r="RO172" s="201"/>
      <c r="RP172" s="201"/>
      <c r="RQ172" s="201"/>
      <c r="RR172" s="201"/>
      <c r="RS172" s="201"/>
      <c r="RT172" s="201"/>
      <c r="RU172" s="201"/>
      <c r="RV172" s="201"/>
      <c r="RW172" s="201"/>
      <c r="RX172" s="201"/>
      <c r="RY172" s="201"/>
      <c r="RZ172" s="201"/>
      <c r="SA172" s="201"/>
      <c r="SB172" s="201"/>
      <c r="SC172" s="201"/>
      <c r="SD172" s="201"/>
      <c r="SE172" s="201"/>
      <c r="SF172" s="201"/>
      <c r="SG172" s="201"/>
      <c r="SH172" s="201"/>
      <c r="SI172" s="201"/>
      <c r="SJ172" s="201"/>
      <c r="SK172" s="201"/>
      <c r="SL172" s="201"/>
      <c r="SM172" s="201"/>
      <c r="SN172" s="201"/>
      <c r="SO172" s="201"/>
      <c r="SP172" s="201"/>
      <c r="SQ172" s="201"/>
      <c r="SR172" s="201"/>
      <c r="SS172" s="201"/>
      <c r="ST172" s="201"/>
      <c r="SU172" s="201"/>
      <c r="SV172" s="201"/>
      <c r="SW172" s="201"/>
      <c r="SX172" s="201"/>
      <c r="SY172" s="201"/>
      <c r="SZ172" s="201"/>
      <c r="TA172" s="201"/>
      <c r="TB172" s="201"/>
      <c r="TC172" s="201"/>
      <c r="TD172" s="201"/>
      <c r="TE172" s="201"/>
      <c r="TF172" s="201"/>
      <c r="TG172" s="201"/>
      <c r="TH172" s="201"/>
      <c r="TI172" s="201"/>
      <c r="TJ172" s="201"/>
      <c r="TK172" s="201"/>
      <c r="TL172" s="201"/>
      <c r="TM172" s="201"/>
      <c r="TN172" s="201"/>
      <c r="TO172" s="201"/>
      <c r="TP172" s="201"/>
      <c r="TQ172" s="201"/>
      <c r="TR172" s="201"/>
      <c r="TS172" s="201"/>
      <c r="TT172" s="201"/>
      <c r="TU172" s="201"/>
      <c r="TV172" s="201"/>
      <c r="TW172" s="201"/>
      <c r="TX172" s="201"/>
      <c r="TY172" s="201"/>
      <c r="TZ172" s="201"/>
      <c r="UA172" s="201"/>
      <c r="UB172" s="201"/>
      <c r="UC172" s="201"/>
      <c r="UD172" s="201"/>
      <c r="UE172" s="201"/>
      <c r="UF172" s="201"/>
      <c r="UG172" s="201"/>
      <c r="UH172" s="201"/>
      <c r="UI172" s="201"/>
      <c r="UJ172" s="201"/>
      <c r="UK172" s="201"/>
      <c r="UL172" s="201"/>
      <c r="UM172" s="201"/>
      <c r="UN172" s="201"/>
      <c r="UO172" s="201"/>
      <c r="UP172" s="201"/>
      <c r="UQ172" s="201"/>
      <c r="UR172" s="201"/>
      <c r="US172" s="201"/>
      <c r="UT172" s="201"/>
      <c r="UU172" s="201"/>
    </row>
    <row r="173" spans="2:567" x14ac:dyDescent="0.25">
      <c r="B173" s="54" t="s">
        <v>131</v>
      </c>
      <c r="C173" s="161"/>
      <c r="D173" s="161"/>
      <c r="E173" s="162"/>
      <c r="F173" s="162"/>
      <c r="G173" s="162"/>
      <c r="H173" s="162"/>
      <c r="I173" s="164">
        <f>J122</f>
        <v>-425132.88461538462</v>
      </c>
      <c r="J173" s="164">
        <f ca="1">SUM(OFFSET($S122,0,$D$167,1,12))</f>
        <v>0</v>
      </c>
      <c r="K173" s="165">
        <f ca="1">SUM(OFFSET($S122,0,$D$168,1,12))</f>
        <v>0</v>
      </c>
      <c r="L173" s="240"/>
      <c r="M173" s="3" t="s">
        <v>853</v>
      </c>
      <c r="R173" s="257"/>
      <c r="S173" s="243"/>
      <c r="T173" s="243"/>
      <c r="U173" s="243"/>
      <c r="V173" s="243"/>
      <c r="W173" s="243"/>
      <c r="X173" s="243"/>
      <c r="Y173" s="243"/>
      <c r="Z173" s="243"/>
      <c r="AA173" s="243"/>
      <c r="AB173" s="243"/>
      <c r="AC173" s="243"/>
      <c r="AD173" s="243"/>
      <c r="AE173" s="243"/>
      <c r="AF173" s="243"/>
      <c r="AG173" s="243"/>
      <c r="AH173" s="243"/>
      <c r="AI173" s="243"/>
      <c r="AJ173" s="243"/>
      <c r="AK173" s="243"/>
      <c r="AL173" s="243"/>
      <c r="AM173" s="243"/>
      <c r="AN173" s="243"/>
      <c r="AO173" s="243"/>
      <c r="AP173" s="243"/>
      <c r="AQ173" s="243"/>
      <c r="AR173" s="243"/>
      <c r="AS173" s="243"/>
      <c r="AT173" s="243"/>
      <c r="AU173" s="243"/>
      <c r="AV173" s="243"/>
      <c r="AW173" s="243"/>
      <c r="AX173" s="243"/>
      <c r="AY173" s="243"/>
      <c r="AZ173" s="243"/>
      <c r="BA173" s="243"/>
      <c r="BB173" s="243"/>
      <c r="BC173" s="243"/>
      <c r="BD173" s="243"/>
      <c r="BE173" s="243"/>
      <c r="BF173" s="243"/>
      <c r="BG173" s="243"/>
      <c r="BH173" s="243"/>
      <c r="BI173" s="243"/>
      <c r="BJ173" s="243"/>
      <c r="BK173" s="243"/>
      <c r="BL173" s="243"/>
      <c r="BM173" s="243"/>
      <c r="BN173" s="243"/>
      <c r="BO173" s="243"/>
      <c r="BP173" s="243"/>
      <c r="BQ173" s="243"/>
      <c r="BR173" s="243"/>
      <c r="BS173" s="243"/>
      <c r="BT173" s="243"/>
      <c r="BU173" s="243"/>
      <c r="BV173" s="243"/>
      <c r="BW173" s="243"/>
      <c r="BX173" s="243"/>
      <c r="BY173" s="243"/>
      <c r="BZ173" s="243"/>
      <c r="CA173" s="243"/>
      <c r="CB173" s="243"/>
      <c r="CC173" s="243"/>
      <c r="CD173" s="243"/>
      <c r="CE173" s="243"/>
      <c r="CF173" s="243"/>
      <c r="CG173" s="243"/>
      <c r="CH173" s="243"/>
      <c r="CI173" s="243"/>
      <c r="CJ173" s="243"/>
      <c r="CK173" s="243"/>
      <c r="CL173" s="243"/>
      <c r="CM173" s="243"/>
      <c r="CN173" s="243"/>
      <c r="CO173" s="243"/>
      <c r="CP173" s="243"/>
      <c r="CQ173" s="243"/>
      <c r="CR173" s="243"/>
      <c r="CS173" s="243"/>
      <c r="CT173" s="243"/>
      <c r="CU173" s="243"/>
      <c r="CV173" s="243"/>
      <c r="CW173" s="243"/>
      <c r="CX173" s="243"/>
      <c r="CY173" s="243"/>
      <c r="CZ173" s="243"/>
      <c r="DA173" s="243"/>
      <c r="DB173" s="243"/>
      <c r="DC173" s="243"/>
      <c r="DD173" s="243"/>
      <c r="DE173" s="243"/>
      <c r="DF173" s="243"/>
      <c r="DG173" s="243"/>
      <c r="DH173" s="243"/>
      <c r="DI173" s="243"/>
      <c r="DJ173" s="243"/>
      <c r="DK173" s="243"/>
      <c r="DL173" s="243"/>
      <c r="DM173" s="243"/>
      <c r="DN173" s="243"/>
      <c r="DO173" s="243"/>
      <c r="DP173" s="243"/>
      <c r="DQ173" s="243"/>
      <c r="DR173" s="243"/>
      <c r="DS173" s="243"/>
      <c r="DT173" s="243"/>
      <c r="DU173" s="243"/>
      <c r="DV173" s="243"/>
      <c r="DW173" s="243"/>
      <c r="DX173" s="243"/>
      <c r="DY173" s="243"/>
      <c r="DZ173" s="243"/>
      <c r="EA173" s="243"/>
      <c r="EB173" s="243"/>
      <c r="EC173" s="243"/>
      <c r="ED173" s="243"/>
      <c r="EE173" s="243"/>
      <c r="EF173" s="243"/>
      <c r="EG173" s="243"/>
      <c r="EH173" s="243"/>
      <c r="EI173" s="243"/>
      <c r="EJ173" s="243"/>
      <c r="EK173" s="243"/>
      <c r="EL173" s="243"/>
      <c r="EM173" s="243"/>
      <c r="EN173" s="243"/>
      <c r="EO173" s="243"/>
      <c r="EP173" s="243"/>
      <c r="EQ173" s="243"/>
      <c r="ER173" s="243"/>
      <c r="ES173" s="243"/>
      <c r="ET173" s="243"/>
      <c r="EU173" s="243"/>
      <c r="FC173" s="199"/>
      <c r="FD173" s="199"/>
      <c r="FE173" s="199"/>
      <c r="FF173" s="199"/>
      <c r="FG173" s="199"/>
      <c r="FH173" s="199"/>
      <c r="FI173" s="199"/>
      <c r="FJ173" s="199"/>
      <c r="FK173" s="199"/>
      <c r="FL173" s="199"/>
      <c r="FM173" s="199"/>
      <c r="FN173" s="199"/>
      <c r="FO173" s="199"/>
      <c r="FP173" s="199"/>
      <c r="FQ173" s="199"/>
      <c r="FR173" s="199"/>
      <c r="FS173" s="199"/>
      <c r="FT173" s="199"/>
      <c r="FU173" s="199"/>
      <c r="FV173" s="199"/>
      <c r="FW173" s="199"/>
      <c r="FX173" s="199"/>
      <c r="FY173" s="199"/>
      <c r="FZ173" s="199"/>
      <c r="GA173" s="199"/>
      <c r="GB173" s="199"/>
      <c r="GC173" s="199"/>
      <c r="GD173" s="199"/>
      <c r="GE173" s="199"/>
      <c r="GF173" s="199"/>
      <c r="GG173" s="199"/>
      <c r="GH173" s="199"/>
      <c r="GI173" s="199"/>
      <c r="GJ173" s="199"/>
      <c r="GK173" s="199"/>
      <c r="GL173" s="199"/>
      <c r="GM173" s="199"/>
      <c r="GN173" s="199"/>
      <c r="GO173" s="199"/>
      <c r="GP173" s="199"/>
      <c r="GQ173" s="199"/>
      <c r="GR173" s="199"/>
      <c r="GS173" s="199"/>
      <c r="GT173" s="199"/>
      <c r="GU173" s="199"/>
      <c r="GV173" s="199"/>
      <c r="GW173" s="199"/>
      <c r="GX173" s="199"/>
      <c r="GY173" s="199"/>
      <c r="GZ173" s="199"/>
      <c r="HA173" s="199"/>
      <c r="HB173" s="199"/>
      <c r="HC173" s="199"/>
      <c r="HD173" s="199"/>
      <c r="HE173" s="199"/>
      <c r="HF173" s="199"/>
      <c r="HG173" s="199"/>
      <c r="HH173" s="199"/>
      <c r="HI173" s="199"/>
      <c r="HJ173" s="199"/>
      <c r="HK173" s="199"/>
      <c r="HL173" s="199"/>
      <c r="HM173" s="199"/>
      <c r="HN173" s="199"/>
      <c r="HO173" s="199"/>
      <c r="HP173" s="199"/>
      <c r="HQ173" s="199"/>
      <c r="HR173" s="199"/>
      <c r="HS173" s="199"/>
      <c r="HT173" s="199"/>
      <c r="HU173" s="199"/>
      <c r="HV173" s="199"/>
      <c r="HW173" s="199"/>
      <c r="HX173" s="199"/>
      <c r="HY173" s="199"/>
      <c r="HZ173" s="199"/>
      <c r="IA173" s="199"/>
      <c r="IB173" s="199"/>
      <c r="IC173" s="199"/>
      <c r="ID173" s="199"/>
      <c r="IE173" s="199"/>
      <c r="IF173" s="199"/>
      <c r="IG173" s="199"/>
      <c r="IH173" s="199"/>
      <c r="II173" s="199"/>
      <c r="IJ173" s="199"/>
      <c r="IK173" s="199"/>
      <c r="IL173" s="199"/>
      <c r="IM173" s="199"/>
      <c r="IN173" s="199"/>
      <c r="IO173" s="199"/>
      <c r="IP173" s="199"/>
      <c r="IQ173" s="199"/>
      <c r="IR173" s="199"/>
      <c r="IS173" s="199"/>
      <c r="IT173" s="199"/>
      <c r="IU173" s="199"/>
      <c r="IV173" s="199"/>
      <c r="IW173" s="199"/>
      <c r="IX173" s="199"/>
      <c r="IY173" s="199"/>
      <c r="IZ173" s="199"/>
      <c r="JA173" s="199"/>
      <c r="JB173" s="199"/>
      <c r="JC173" s="199"/>
      <c r="JD173" s="199"/>
      <c r="JE173" s="199"/>
      <c r="JF173" s="199"/>
      <c r="JG173" s="199"/>
      <c r="JH173" s="199"/>
      <c r="JI173" s="199"/>
      <c r="JJ173" s="199"/>
      <c r="JK173" s="199"/>
      <c r="JL173" s="199"/>
      <c r="JM173" s="199"/>
      <c r="JN173" s="199"/>
      <c r="JO173" s="199"/>
      <c r="JP173" s="199"/>
      <c r="JQ173" s="199"/>
      <c r="JR173" s="199"/>
      <c r="JS173" s="199"/>
      <c r="JT173" s="199"/>
      <c r="JU173" s="199"/>
      <c r="JV173" s="199"/>
      <c r="JW173" s="199"/>
      <c r="JX173" s="199"/>
      <c r="JY173" s="199"/>
      <c r="JZ173" s="199"/>
      <c r="KA173" s="199"/>
      <c r="KB173" s="199"/>
      <c r="KC173" s="199"/>
      <c r="KD173" s="199"/>
      <c r="KE173" s="199"/>
      <c r="PQ173" s="201"/>
      <c r="PR173" s="201"/>
      <c r="PS173" s="201"/>
      <c r="PT173" s="201"/>
      <c r="PU173" s="201"/>
      <c r="PV173" s="201"/>
      <c r="PW173" s="201"/>
      <c r="PX173" s="201"/>
      <c r="PY173" s="201"/>
      <c r="PZ173" s="201"/>
      <c r="QA173" s="201"/>
      <c r="QB173" s="201"/>
      <c r="QC173" s="201"/>
      <c r="QD173" s="201"/>
      <c r="QE173" s="201"/>
      <c r="QF173" s="201"/>
      <c r="QG173" s="201"/>
      <c r="QH173" s="201"/>
      <c r="QI173" s="201"/>
      <c r="QJ173" s="201"/>
      <c r="QK173" s="201"/>
      <c r="QL173" s="201"/>
      <c r="QM173" s="201"/>
      <c r="QN173" s="201"/>
      <c r="QO173" s="201"/>
      <c r="QP173" s="201"/>
      <c r="QQ173" s="201"/>
      <c r="QR173" s="201"/>
      <c r="QS173" s="201"/>
      <c r="QT173" s="201"/>
      <c r="QU173" s="201"/>
      <c r="QV173" s="201"/>
      <c r="QW173" s="201"/>
      <c r="QX173" s="201"/>
      <c r="QY173" s="201"/>
      <c r="QZ173" s="201"/>
      <c r="RA173" s="201"/>
      <c r="RB173" s="201"/>
      <c r="RC173" s="201"/>
      <c r="RD173" s="201"/>
      <c r="RE173" s="201"/>
      <c r="RF173" s="201"/>
      <c r="RG173" s="201"/>
      <c r="RH173" s="201"/>
      <c r="RI173" s="201"/>
      <c r="RJ173" s="201"/>
      <c r="RK173" s="201"/>
      <c r="RL173" s="201"/>
      <c r="RM173" s="201"/>
      <c r="RN173" s="201"/>
      <c r="RO173" s="201"/>
      <c r="RP173" s="201"/>
      <c r="RQ173" s="201"/>
      <c r="RR173" s="201"/>
      <c r="RS173" s="201"/>
      <c r="RT173" s="201"/>
      <c r="RU173" s="201"/>
      <c r="RV173" s="201"/>
      <c r="RW173" s="201"/>
      <c r="RX173" s="201"/>
      <c r="RY173" s="201"/>
      <c r="RZ173" s="201"/>
      <c r="SA173" s="201"/>
      <c r="SB173" s="201"/>
      <c r="SC173" s="201"/>
      <c r="SD173" s="201"/>
      <c r="SE173" s="201"/>
      <c r="SF173" s="201"/>
      <c r="SG173" s="201"/>
      <c r="SH173" s="201"/>
      <c r="SI173" s="201"/>
      <c r="SJ173" s="201"/>
      <c r="SK173" s="201"/>
      <c r="SL173" s="201"/>
      <c r="SM173" s="201"/>
      <c r="SN173" s="201"/>
      <c r="SO173" s="201"/>
      <c r="SP173" s="201"/>
      <c r="SQ173" s="201"/>
      <c r="SR173" s="201"/>
      <c r="SS173" s="201"/>
      <c r="ST173" s="201"/>
      <c r="SU173" s="201"/>
      <c r="SV173" s="201"/>
      <c r="SW173" s="201"/>
      <c r="SX173" s="201"/>
      <c r="SY173" s="201"/>
      <c r="SZ173" s="201"/>
      <c r="TA173" s="201"/>
      <c r="TB173" s="201"/>
      <c r="TC173" s="201"/>
      <c r="TD173" s="201"/>
      <c r="TE173" s="201"/>
      <c r="TF173" s="201"/>
      <c r="TG173" s="201"/>
      <c r="TH173" s="201"/>
      <c r="TI173" s="201"/>
      <c r="TJ173" s="201"/>
      <c r="TK173" s="201"/>
      <c r="TL173" s="201"/>
      <c r="TM173" s="201"/>
      <c r="TN173" s="201"/>
      <c r="TO173" s="201"/>
      <c r="TP173" s="201"/>
      <c r="TQ173" s="201"/>
      <c r="TR173" s="201"/>
      <c r="TS173" s="201"/>
      <c r="TT173" s="201"/>
      <c r="TU173" s="201"/>
      <c r="TV173" s="201"/>
      <c r="TW173" s="201"/>
      <c r="TX173" s="201"/>
      <c r="TY173" s="201"/>
      <c r="TZ173" s="201"/>
      <c r="UA173" s="201"/>
      <c r="UB173" s="201"/>
      <c r="UC173" s="201"/>
      <c r="UD173" s="201"/>
      <c r="UE173" s="201"/>
      <c r="UF173" s="201"/>
      <c r="UG173" s="201"/>
      <c r="UH173" s="201"/>
      <c r="UI173" s="201"/>
      <c r="UJ173" s="201"/>
      <c r="UK173" s="201"/>
      <c r="UL173" s="201"/>
      <c r="UM173" s="201"/>
      <c r="UN173" s="201"/>
      <c r="UO173" s="201"/>
      <c r="UP173" s="201"/>
      <c r="UQ173" s="201"/>
      <c r="UR173" s="201"/>
      <c r="US173" s="201"/>
      <c r="UT173" s="201"/>
      <c r="UU173" s="201"/>
    </row>
    <row r="174" spans="2:567" ht="15" x14ac:dyDescent="0.35">
      <c r="B174" s="54" t="s">
        <v>132</v>
      </c>
      <c r="C174" s="161"/>
      <c r="D174" s="161"/>
      <c r="E174" s="162"/>
      <c r="F174" s="162"/>
      <c r="G174" s="162"/>
      <c r="H174" s="162"/>
      <c r="I174" s="166">
        <f>J123</f>
        <v>-38446.800000000003</v>
      </c>
      <c r="J174" s="166">
        <f ca="1">SUM(OFFSET($S123,0,$D$167,1,12))</f>
        <v>-45551.435992122781</v>
      </c>
      <c r="K174" s="167">
        <f ca="1">SUM(OFFSET($S123,0,$D$168,1,12))</f>
        <v>-46690.221891925801</v>
      </c>
      <c r="L174" s="240"/>
      <c r="M174" s="3" t="s">
        <v>853</v>
      </c>
      <c r="R174" s="257"/>
      <c r="S174" s="243"/>
      <c r="T174" s="243"/>
      <c r="U174" s="243"/>
      <c r="V174" s="243"/>
      <c r="W174" s="243"/>
      <c r="X174" s="243"/>
      <c r="Y174" s="243"/>
      <c r="Z174" s="243"/>
      <c r="AA174" s="243"/>
      <c r="AB174" s="243"/>
      <c r="AC174" s="243"/>
      <c r="AD174" s="243"/>
      <c r="AE174" s="243"/>
      <c r="AF174" s="243"/>
      <c r="AG174" s="243"/>
      <c r="AH174" s="243"/>
      <c r="AI174" s="243"/>
      <c r="AJ174" s="243"/>
      <c r="AK174" s="243"/>
      <c r="AL174" s="243"/>
      <c r="AM174" s="243"/>
      <c r="AN174" s="243"/>
      <c r="AO174" s="243"/>
      <c r="AP174" s="243"/>
      <c r="AQ174" s="243"/>
      <c r="AR174" s="243"/>
      <c r="AS174" s="243"/>
      <c r="AT174" s="243"/>
      <c r="AU174" s="243"/>
      <c r="AV174" s="243"/>
      <c r="AW174" s="243"/>
      <c r="AX174" s="243"/>
      <c r="AY174" s="243"/>
      <c r="AZ174" s="243"/>
      <c r="BA174" s="243"/>
      <c r="BB174" s="243"/>
      <c r="BC174" s="243"/>
      <c r="BD174" s="243"/>
      <c r="BE174" s="243"/>
      <c r="BF174" s="243"/>
      <c r="BG174" s="243"/>
      <c r="BH174" s="243"/>
      <c r="BI174" s="243"/>
      <c r="BJ174" s="243"/>
      <c r="BK174" s="243"/>
      <c r="BL174" s="243"/>
      <c r="BM174" s="243"/>
      <c r="BN174" s="243"/>
      <c r="BO174" s="243"/>
      <c r="BP174" s="243"/>
      <c r="BQ174" s="243"/>
      <c r="BR174" s="243"/>
      <c r="BS174" s="243"/>
      <c r="BT174" s="243"/>
      <c r="BU174" s="243"/>
      <c r="BV174" s="243"/>
      <c r="BW174" s="243"/>
      <c r="BX174" s="243"/>
      <c r="BY174" s="243"/>
      <c r="BZ174" s="243"/>
      <c r="CA174" s="243"/>
      <c r="CB174" s="243"/>
      <c r="CC174" s="243"/>
      <c r="CD174" s="243"/>
      <c r="CE174" s="243"/>
      <c r="CF174" s="243"/>
      <c r="CG174" s="243"/>
      <c r="CH174" s="243"/>
      <c r="CI174" s="243"/>
      <c r="CJ174" s="243"/>
      <c r="CK174" s="243"/>
      <c r="CL174" s="243"/>
      <c r="CM174" s="243"/>
      <c r="CN174" s="243"/>
      <c r="CO174" s="243"/>
      <c r="CP174" s="243"/>
      <c r="CQ174" s="243"/>
      <c r="CR174" s="243"/>
      <c r="CS174" s="243"/>
      <c r="CT174" s="243"/>
      <c r="CU174" s="243"/>
      <c r="CV174" s="243"/>
      <c r="CW174" s="243"/>
      <c r="CX174" s="243"/>
      <c r="CY174" s="243"/>
      <c r="CZ174" s="243"/>
      <c r="DA174" s="243"/>
      <c r="DB174" s="243"/>
      <c r="DC174" s="243"/>
      <c r="DD174" s="243"/>
      <c r="DE174" s="243"/>
      <c r="DF174" s="243"/>
      <c r="DG174" s="243"/>
      <c r="DH174" s="243"/>
      <c r="DI174" s="243"/>
      <c r="DJ174" s="243"/>
      <c r="DK174" s="243"/>
      <c r="DL174" s="243"/>
      <c r="DM174" s="243"/>
      <c r="DN174" s="243"/>
      <c r="DO174" s="243"/>
      <c r="DP174" s="243"/>
      <c r="DQ174" s="243"/>
      <c r="DR174" s="243"/>
      <c r="DS174" s="243"/>
      <c r="DT174" s="243"/>
      <c r="DU174" s="243"/>
      <c r="DV174" s="243"/>
      <c r="DW174" s="243"/>
      <c r="DX174" s="243"/>
      <c r="DY174" s="243"/>
      <c r="DZ174" s="243"/>
      <c r="EA174" s="243"/>
      <c r="EB174" s="243"/>
      <c r="EC174" s="243"/>
      <c r="ED174" s="243"/>
      <c r="EE174" s="243"/>
      <c r="EF174" s="243"/>
      <c r="EG174" s="243"/>
      <c r="EH174" s="243"/>
      <c r="EI174" s="243"/>
      <c r="EJ174" s="243"/>
      <c r="EK174" s="243"/>
      <c r="EL174" s="243"/>
      <c r="EM174" s="243"/>
      <c r="EN174" s="243"/>
      <c r="EO174" s="243"/>
      <c r="EP174" s="243"/>
      <c r="EQ174" s="243"/>
      <c r="ER174" s="243"/>
      <c r="ES174" s="243"/>
      <c r="ET174" s="243"/>
      <c r="EU174" s="243"/>
      <c r="FC174" s="199"/>
      <c r="FD174" s="199"/>
      <c r="FE174" s="199"/>
      <c r="FF174" s="199"/>
      <c r="FG174" s="199"/>
      <c r="FH174" s="199"/>
      <c r="FI174" s="199"/>
      <c r="FJ174" s="199"/>
      <c r="FK174" s="199"/>
      <c r="FL174" s="199"/>
      <c r="FM174" s="199"/>
      <c r="FN174" s="199"/>
      <c r="FO174" s="199"/>
      <c r="FP174" s="199"/>
      <c r="FQ174" s="199"/>
      <c r="FR174" s="199"/>
      <c r="FS174" s="199"/>
      <c r="FT174" s="199"/>
      <c r="FU174" s="199"/>
      <c r="FV174" s="199"/>
      <c r="FW174" s="199"/>
      <c r="FX174" s="199"/>
      <c r="FY174" s="199"/>
      <c r="FZ174" s="199"/>
      <c r="GA174" s="199"/>
      <c r="GB174" s="199"/>
      <c r="GC174" s="199"/>
      <c r="GD174" s="199"/>
      <c r="GE174" s="199"/>
      <c r="GF174" s="199"/>
      <c r="GG174" s="199"/>
      <c r="GH174" s="199"/>
      <c r="GI174" s="199"/>
      <c r="GJ174" s="199"/>
      <c r="GK174" s="199"/>
      <c r="GL174" s="199"/>
      <c r="GM174" s="199"/>
      <c r="GN174" s="199"/>
      <c r="GO174" s="199"/>
      <c r="GP174" s="199"/>
      <c r="GQ174" s="199"/>
      <c r="GR174" s="199"/>
      <c r="GS174" s="199"/>
      <c r="GT174" s="199"/>
      <c r="GU174" s="199"/>
      <c r="GV174" s="199"/>
      <c r="GW174" s="199"/>
      <c r="GX174" s="199"/>
      <c r="GY174" s="199"/>
      <c r="GZ174" s="199"/>
      <c r="HA174" s="199"/>
      <c r="HB174" s="199"/>
      <c r="HC174" s="199"/>
      <c r="HD174" s="199"/>
      <c r="HE174" s="199"/>
      <c r="HF174" s="199"/>
      <c r="HG174" s="199"/>
      <c r="HH174" s="199"/>
      <c r="HI174" s="199"/>
      <c r="HJ174" s="199"/>
      <c r="HK174" s="199"/>
      <c r="HL174" s="199"/>
      <c r="HM174" s="199"/>
      <c r="HN174" s="199"/>
      <c r="HO174" s="199"/>
      <c r="HP174" s="199"/>
      <c r="HQ174" s="199"/>
      <c r="HR174" s="199"/>
      <c r="HS174" s="199"/>
      <c r="HT174" s="199"/>
      <c r="HU174" s="199"/>
      <c r="HV174" s="199"/>
      <c r="HW174" s="199"/>
      <c r="HX174" s="199"/>
      <c r="HY174" s="199"/>
      <c r="HZ174" s="199"/>
      <c r="IA174" s="199"/>
      <c r="IB174" s="199"/>
      <c r="IC174" s="199"/>
      <c r="ID174" s="199"/>
      <c r="IE174" s="199"/>
      <c r="IF174" s="199"/>
      <c r="IG174" s="199"/>
      <c r="IH174" s="199"/>
      <c r="II174" s="199"/>
      <c r="IJ174" s="199"/>
      <c r="IK174" s="199"/>
      <c r="IL174" s="199"/>
      <c r="IM174" s="199"/>
      <c r="IN174" s="199"/>
      <c r="IO174" s="199"/>
      <c r="IP174" s="199"/>
      <c r="IQ174" s="199"/>
      <c r="IR174" s="199"/>
      <c r="IS174" s="199"/>
      <c r="IT174" s="199"/>
      <c r="IU174" s="199"/>
      <c r="IV174" s="199"/>
      <c r="IW174" s="199"/>
      <c r="IX174" s="199"/>
      <c r="IY174" s="199"/>
      <c r="IZ174" s="199"/>
      <c r="JA174" s="199"/>
      <c r="JB174" s="199"/>
      <c r="JC174" s="199"/>
      <c r="JD174" s="199"/>
      <c r="JE174" s="199"/>
      <c r="JF174" s="199"/>
      <c r="JG174" s="199"/>
      <c r="JH174" s="199"/>
      <c r="JI174" s="199"/>
      <c r="JJ174" s="199"/>
      <c r="JK174" s="199"/>
      <c r="JL174" s="199"/>
      <c r="JM174" s="199"/>
      <c r="JN174" s="199"/>
      <c r="JO174" s="199"/>
      <c r="JP174" s="199"/>
      <c r="JQ174" s="199"/>
      <c r="JR174" s="199"/>
      <c r="JS174" s="199"/>
      <c r="JT174" s="199"/>
      <c r="JU174" s="199"/>
      <c r="JV174" s="199"/>
      <c r="JW174" s="199"/>
      <c r="JX174" s="199"/>
      <c r="JY174" s="199"/>
      <c r="JZ174" s="199"/>
      <c r="KA174" s="199"/>
      <c r="KB174" s="199"/>
      <c r="KC174" s="199"/>
      <c r="KD174" s="199"/>
      <c r="KE174" s="199"/>
      <c r="PQ174" s="201"/>
      <c r="PR174" s="201"/>
      <c r="PS174" s="201"/>
      <c r="PT174" s="201"/>
      <c r="PU174" s="201"/>
      <c r="PV174" s="201"/>
      <c r="PW174" s="201"/>
      <c r="PX174" s="201"/>
      <c r="PY174" s="201"/>
      <c r="PZ174" s="201"/>
      <c r="QA174" s="201"/>
      <c r="QB174" s="201"/>
      <c r="QC174" s="201"/>
      <c r="QD174" s="201"/>
      <c r="QE174" s="201"/>
      <c r="QF174" s="201"/>
      <c r="QG174" s="201"/>
      <c r="QH174" s="201"/>
      <c r="QI174" s="201"/>
      <c r="QJ174" s="201"/>
      <c r="QK174" s="201"/>
      <c r="QL174" s="201"/>
      <c r="QM174" s="201"/>
      <c r="QN174" s="201"/>
      <c r="QO174" s="201"/>
      <c r="QP174" s="201"/>
      <c r="QQ174" s="201"/>
      <c r="QR174" s="201"/>
      <c r="QS174" s="201"/>
      <c r="QT174" s="201"/>
      <c r="QU174" s="201"/>
      <c r="QV174" s="201"/>
      <c r="QW174" s="201"/>
      <c r="QX174" s="201"/>
      <c r="QY174" s="201"/>
      <c r="QZ174" s="201"/>
      <c r="RA174" s="201"/>
      <c r="RB174" s="201"/>
      <c r="RC174" s="201"/>
      <c r="RD174" s="201"/>
      <c r="RE174" s="201"/>
      <c r="RF174" s="201"/>
      <c r="RG174" s="201"/>
      <c r="RH174" s="201"/>
      <c r="RI174" s="201"/>
      <c r="RJ174" s="201"/>
      <c r="RK174" s="201"/>
      <c r="RL174" s="201"/>
      <c r="RM174" s="201"/>
      <c r="RN174" s="201"/>
      <c r="RO174" s="201"/>
      <c r="RP174" s="201"/>
      <c r="RQ174" s="201"/>
      <c r="RR174" s="201"/>
      <c r="RS174" s="201"/>
      <c r="RT174" s="201"/>
      <c r="RU174" s="201"/>
      <c r="RV174" s="201"/>
      <c r="RW174" s="201"/>
      <c r="RX174" s="201"/>
      <c r="RY174" s="201"/>
      <c r="RZ174" s="201"/>
      <c r="SA174" s="201"/>
      <c r="SB174" s="201"/>
      <c r="SC174" s="201"/>
      <c r="SD174" s="201"/>
      <c r="SE174" s="201"/>
      <c r="SF174" s="201"/>
      <c r="SG174" s="201"/>
      <c r="SH174" s="201"/>
      <c r="SI174" s="201"/>
      <c r="SJ174" s="201"/>
      <c r="SK174" s="201"/>
      <c r="SL174" s="201"/>
      <c r="SM174" s="201"/>
      <c r="SN174" s="201"/>
      <c r="SO174" s="201"/>
      <c r="SP174" s="201"/>
      <c r="SQ174" s="201"/>
      <c r="SR174" s="201"/>
      <c r="SS174" s="201"/>
      <c r="ST174" s="201"/>
      <c r="SU174" s="201"/>
      <c r="SV174" s="201"/>
      <c r="SW174" s="201"/>
      <c r="SX174" s="201"/>
      <c r="SY174" s="201"/>
      <c r="SZ174" s="201"/>
      <c r="TA174" s="201"/>
      <c r="TB174" s="201"/>
      <c r="TC174" s="201"/>
      <c r="TD174" s="201"/>
      <c r="TE174" s="201"/>
      <c r="TF174" s="201"/>
      <c r="TG174" s="201"/>
      <c r="TH174" s="201"/>
      <c r="TI174" s="201"/>
      <c r="TJ174" s="201"/>
      <c r="TK174" s="201"/>
      <c r="TL174" s="201"/>
      <c r="TM174" s="201"/>
      <c r="TN174" s="201"/>
      <c r="TO174" s="201"/>
      <c r="TP174" s="201"/>
      <c r="TQ174" s="201"/>
      <c r="TR174" s="201"/>
      <c r="TS174" s="201"/>
      <c r="TT174" s="201"/>
      <c r="TU174" s="201"/>
      <c r="TV174" s="201"/>
      <c r="TW174" s="201"/>
      <c r="TX174" s="201"/>
      <c r="TY174" s="201"/>
      <c r="TZ174" s="201"/>
      <c r="UA174" s="201"/>
      <c r="UB174" s="201"/>
      <c r="UC174" s="201"/>
      <c r="UD174" s="201"/>
      <c r="UE174" s="201"/>
      <c r="UF174" s="201"/>
      <c r="UG174" s="201"/>
      <c r="UH174" s="201"/>
      <c r="UI174" s="201"/>
      <c r="UJ174" s="201"/>
      <c r="UK174" s="201"/>
      <c r="UL174" s="201"/>
      <c r="UM174" s="201"/>
      <c r="UN174" s="201"/>
      <c r="UO174" s="201"/>
      <c r="UP174" s="201"/>
      <c r="UQ174" s="201"/>
      <c r="UR174" s="201"/>
      <c r="US174" s="201"/>
      <c r="UT174" s="201"/>
      <c r="UU174" s="201"/>
    </row>
    <row r="175" spans="2:567" x14ac:dyDescent="0.25">
      <c r="B175" s="18" t="s">
        <v>133</v>
      </c>
      <c r="C175" s="161"/>
      <c r="D175" s="161"/>
      <c r="E175" s="162"/>
      <c r="F175" s="162"/>
      <c r="G175" s="162"/>
      <c r="H175" s="162"/>
      <c r="I175" s="164">
        <f>SUM(I171:I174)</f>
        <v>5267620.3153846152</v>
      </c>
      <c r="J175" s="164">
        <f t="shared" ref="J175:K175" ca="1" si="3082">SUM(J171:J174)</f>
        <v>6787163.9628262967</v>
      </c>
      <c r="K175" s="164">
        <f t="shared" ca="1" si="3082"/>
        <v>6956843.0618969435</v>
      </c>
      <c r="L175" s="240"/>
      <c r="R175" s="257"/>
      <c r="S175" s="243"/>
      <c r="T175" s="243"/>
      <c r="U175" s="243"/>
      <c r="V175" s="243"/>
      <c r="W175" s="243"/>
      <c r="X175" s="243"/>
      <c r="Y175" s="243"/>
      <c r="Z175" s="243"/>
      <c r="AA175" s="243"/>
      <c r="AB175" s="243"/>
      <c r="AC175" s="243"/>
      <c r="AD175" s="243"/>
      <c r="AE175" s="243"/>
      <c r="AF175" s="243"/>
      <c r="AG175" s="243"/>
      <c r="AH175" s="243"/>
      <c r="AI175" s="243"/>
      <c r="AJ175" s="243"/>
      <c r="AK175" s="243"/>
      <c r="AL175" s="243"/>
      <c r="AM175" s="243"/>
      <c r="AN175" s="243"/>
      <c r="AO175" s="243"/>
      <c r="AP175" s="243"/>
      <c r="AQ175" s="243"/>
      <c r="AR175" s="243"/>
      <c r="AS175" s="243"/>
      <c r="AT175" s="243"/>
      <c r="AU175" s="243"/>
      <c r="AV175" s="243"/>
      <c r="AW175" s="243"/>
      <c r="AX175" s="243"/>
      <c r="AY175" s="243"/>
      <c r="AZ175" s="243"/>
      <c r="BA175" s="243"/>
      <c r="BB175" s="243"/>
      <c r="BC175" s="243"/>
      <c r="BD175" s="243"/>
      <c r="BE175" s="243"/>
      <c r="BF175" s="243"/>
      <c r="BG175" s="243"/>
      <c r="BH175" s="243"/>
      <c r="BI175" s="243"/>
      <c r="BJ175" s="243"/>
      <c r="BK175" s="243"/>
      <c r="BL175" s="243"/>
      <c r="BM175" s="243"/>
      <c r="BN175" s="243"/>
      <c r="BO175" s="243"/>
      <c r="BP175" s="243"/>
      <c r="BQ175" s="243"/>
      <c r="BR175" s="243"/>
      <c r="BS175" s="243"/>
      <c r="BT175" s="243"/>
      <c r="BU175" s="243"/>
      <c r="BV175" s="243"/>
      <c r="BW175" s="243"/>
      <c r="BX175" s="243"/>
      <c r="BY175" s="243"/>
      <c r="BZ175" s="243"/>
      <c r="CA175" s="243"/>
      <c r="CB175" s="243"/>
      <c r="CC175" s="243"/>
      <c r="CD175" s="243"/>
      <c r="CE175" s="243"/>
      <c r="CF175" s="243"/>
      <c r="CG175" s="243"/>
      <c r="CH175" s="243"/>
      <c r="CI175" s="243"/>
      <c r="CJ175" s="243"/>
      <c r="CK175" s="243"/>
      <c r="CL175" s="243"/>
      <c r="CM175" s="243"/>
      <c r="CN175" s="243"/>
      <c r="CO175" s="243"/>
      <c r="CP175" s="243"/>
      <c r="CQ175" s="243"/>
      <c r="CR175" s="243"/>
      <c r="CS175" s="243"/>
      <c r="CT175" s="243"/>
      <c r="CU175" s="243"/>
      <c r="CV175" s="243"/>
      <c r="CW175" s="243"/>
      <c r="CX175" s="243"/>
      <c r="CY175" s="243"/>
      <c r="CZ175" s="243"/>
      <c r="DA175" s="243"/>
      <c r="DB175" s="243"/>
      <c r="DC175" s="243"/>
      <c r="DD175" s="243"/>
      <c r="DE175" s="243"/>
      <c r="DF175" s="243"/>
      <c r="DG175" s="243"/>
      <c r="DH175" s="243"/>
      <c r="DI175" s="243"/>
      <c r="DJ175" s="243"/>
      <c r="DK175" s="243"/>
      <c r="DL175" s="243"/>
      <c r="DM175" s="243"/>
      <c r="DN175" s="243"/>
      <c r="DO175" s="243"/>
      <c r="DP175" s="243"/>
      <c r="DQ175" s="243"/>
      <c r="DR175" s="243"/>
      <c r="DS175" s="243"/>
      <c r="DT175" s="243"/>
      <c r="DU175" s="243"/>
      <c r="DV175" s="243"/>
      <c r="DW175" s="243"/>
      <c r="DX175" s="243"/>
      <c r="DY175" s="243"/>
      <c r="DZ175" s="243"/>
      <c r="EA175" s="243"/>
      <c r="EB175" s="243"/>
      <c r="EC175" s="243"/>
      <c r="ED175" s="243"/>
      <c r="EE175" s="243"/>
      <c r="EF175" s="243"/>
      <c r="EG175" s="243"/>
      <c r="EH175" s="243"/>
      <c r="EI175" s="243"/>
      <c r="EJ175" s="243"/>
      <c r="EK175" s="243"/>
      <c r="EL175" s="243"/>
      <c r="EM175" s="243"/>
      <c r="EN175" s="243"/>
      <c r="EO175" s="243"/>
      <c r="EP175" s="243"/>
      <c r="EQ175" s="243"/>
      <c r="ER175" s="243"/>
      <c r="ES175" s="243"/>
      <c r="ET175" s="243"/>
      <c r="EU175" s="243"/>
      <c r="FC175" s="199"/>
      <c r="FD175" s="199"/>
      <c r="FE175" s="199"/>
      <c r="FF175" s="199"/>
      <c r="FG175" s="199"/>
      <c r="FH175" s="199"/>
      <c r="FI175" s="199"/>
      <c r="FJ175" s="199"/>
      <c r="FK175" s="199"/>
      <c r="FL175" s="199"/>
      <c r="FM175" s="199"/>
      <c r="FN175" s="199"/>
      <c r="FO175" s="199"/>
      <c r="FP175" s="199"/>
      <c r="FQ175" s="199"/>
      <c r="FR175" s="199"/>
      <c r="FS175" s="199"/>
      <c r="FT175" s="199"/>
      <c r="FU175" s="199"/>
      <c r="FV175" s="199"/>
      <c r="FW175" s="199"/>
      <c r="FX175" s="199"/>
      <c r="FY175" s="199"/>
      <c r="FZ175" s="199"/>
      <c r="GA175" s="199"/>
      <c r="GB175" s="199"/>
      <c r="GC175" s="199"/>
      <c r="GD175" s="199"/>
      <c r="GE175" s="199"/>
      <c r="GF175" s="199"/>
      <c r="GG175" s="199"/>
      <c r="GH175" s="199"/>
      <c r="GI175" s="199"/>
      <c r="GJ175" s="199"/>
      <c r="GK175" s="199"/>
      <c r="GL175" s="199"/>
      <c r="GM175" s="199"/>
      <c r="GN175" s="199"/>
      <c r="GO175" s="199"/>
      <c r="GP175" s="199"/>
      <c r="GQ175" s="199"/>
      <c r="GR175" s="199"/>
      <c r="GS175" s="199"/>
      <c r="GT175" s="199"/>
      <c r="GU175" s="199"/>
      <c r="GV175" s="199"/>
      <c r="GW175" s="199"/>
      <c r="GX175" s="199"/>
      <c r="GY175" s="199"/>
      <c r="GZ175" s="199"/>
      <c r="HA175" s="199"/>
      <c r="HB175" s="199"/>
      <c r="HC175" s="199"/>
      <c r="HD175" s="199"/>
      <c r="HE175" s="199"/>
      <c r="HF175" s="199"/>
      <c r="HG175" s="199"/>
      <c r="HH175" s="199"/>
      <c r="HI175" s="199"/>
      <c r="HJ175" s="199"/>
      <c r="HK175" s="199"/>
      <c r="HL175" s="199"/>
      <c r="HM175" s="199"/>
      <c r="HN175" s="199"/>
      <c r="HO175" s="199"/>
      <c r="HP175" s="199"/>
      <c r="HQ175" s="199"/>
      <c r="HR175" s="199"/>
      <c r="HS175" s="199"/>
      <c r="HT175" s="199"/>
      <c r="HU175" s="199"/>
      <c r="HV175" s="199"/>
      <c r="HW175" s="199"/>
      <c r="HX175" s="199"/>
      <c r="HY175" s="199"/>
      <c r="HZ175" s="199"/>
      <c r="IA175" s="199"/>
      <c r="IB175" s="199"/>
      <c r="IC175" s="199"/>
      <c r="ID175" s="199"/>
      <c r="IE175" s="199"/>
      <c r="IF175" s="199"/>
      <c r="IG175" s="199"/>
      <c r="IH175" s="199"/>
      <c r="II175" s="199"/>
      <c r="IJ175" s="199"/>
      <c r="IK175" s="199"/>
      <c r="IL175" s="199"/>
      <c r="IM175" s="199"/>
      <c r="IN175" s="199"/>
      <c r="IO175" s="199"/>
      <c r="IP175" s="199"/>
      <c r="IQ175" s="199"/>
      <c r="IR175" s="199"/>
      <c r="IS175" s="199"/>
      <c r="IT175" s="199"/>
      <c r="IU175" s="199"/>
      <c r="IV175" s="199"/>
      <c r="IW175" s="199"/>
      <c r="IX175" s="199"/>
      <c r="IY175" s="199"/>
      <c r="IZ175" s="199"/>
      <c r="JA175" s="199"/>
      <c r="JB175" s="199"/>
      <c r="JC175" s="199"/>
      <c r="JD175" s="199"/>
      <c r="JE175" s="199"/>
      <c r="JF175" s="199"/>
      <c r="JG175" s="199"/>
      <c r="JH175" s="199"/>
      <c r="JI175" s="199"/>
      <c r="JJ175" s="199"/>
      <c r="JK175" s="199"/>
      <c r="JL175" s="199"/>
      <c r="JM175" s="199"/>
      <c r="JN175" s="199"/>
      <c r="JO175" s="199"/>
      <c r="JP175" s="199"/>
      <c r="JQ175" s="199"/>
      <c r="JR175" s="199"/>
      <c r="JS175" s="199"/>
      <c r="JT175" s="199"/>
      <c r="JU175" s="199"/>
      <c r="JV175" s="199"/>
      <c r="JW175" s="199"/>
      <c r="JX175" s="199"/>
      <c r="JY175" s="199"/>
      <c r="JZ175" s="199"/>
      <c r="KA175" s="199"/>
      <c r="KB175" s="199"/>
      <c r="KC175" s="199"/>
      <c r="KD175" s="199"/>
      <c r="KE175" s="199"/>
      <c r="PQ175" s="201"/>
      <c r="PR175" s="201"/>
      <c r="PS175" s="201"/>
      <c r="PT175" s="201"/>
      <c r="PU175" s="201"/>
      <c r="PV175" s="201"/>
      <c r="PW175" s="201"/>
      <c r="PX175" s="201"/>
      <c r="PY175" s="201"/>
      <c r="PZ175" s="201"/>
      <c r="QA175" s="201"/>
      <c r="QB175" s="201"/>
      <c r="QC175" s="201"/>
      <c r="QD175" s="201"/>
      <c r="QE175" s="201"/>
      <c r="QF175" s="201"/>
      <c r="QG175" s="201"/>
      <c r="QH175" s="201"/>
      <c r="QI175" s="201"/>
      <c r="QJ175" s="201"/>
      <c r="QK175" s="201"/>
      <c r="QL175" s="201"/>
      <c r="QM175" s="201"/>
      <c r="QN175" s="201"/>
      <c r="QO175" s="201"/>
      <c r="QP175" s="201"/>
      <c r="QQ175" s="201"/>
      <c r="QR175" s="201"/>
      <c r="QS175" s="201"/>
      <c r="QT175" s="201"/>
      <c r="QU175" s="201"/>
      <c r="QV175" s="201"/>
      <c r="QW175" s="201"/>
      <c r="QX175" s="201"/>
      <c r="QY175" s="201"/>
      <c r="QZ175" s="201"/>
      <c r="RA175" s="201"/>
      <c r="RB175" s="201"/>
      <c r="RC175" s="201"/>
      <c r="RD175" s="201"/>
      <c r="RE175" s="201"/>
      <c r="RF175" s="201"/>
      <c r="RG175" s="201"/>
      <c r="RH175" s="201"/>
      <c r="RI175" s="201"/>
      <c r="RJ175" s="201"/>
      <c r="RK175" s="201"/>
      <c r="RL175" s="201"/>
      <c r="RM175" s="201"/>
      <c r="RN175" s="201"/>
      <c r="RO175" s="201"/>
      <c r="RP175" s="201"/>
      <c r="RQ175" s="201"/>
      <c r="RR175" s="201"/>
      <c r="RS175" s="201"/>
      <c r="RT175" s="201"/>
      <c r="RU175" s="201"/>
      <c r="RV175" s="201"/>
      <c r="RW175" s="201"/>
      <c r="RX175" s="201"/>
      <c r="RY175" s="201"/>
      <c r="RZ175" s="201"/>
      <c r="SA175" s="201"/>
      <c r="SB175" s="201"/>
      <c r="SC175" s="201"/>
      <c r="SD175" s="201"/>
      <c r="SE175" s="201"/>
      <c r="SF175" s="201"/>
      <c r="SG175" s="201"/>
      <c r="SH175" s="201"/>
      <c r="SI175" s="201"/>
      <c r="SJ175" s="201"/>
      <c r="SK175" s="201"/>
      <c r="SL175" s="201"/>
      <c r="SM175" s="201"/>
      <c r="SN175" s="201"/>
      <c r="SO175" s="201"/>
      <c r="SP175" s="201"/>
      <c r="SQ175" s="201"/>
      <c r="SR175" s="201"/>
      <c r="SS175" s="201"/>
      <c r="ST175" s="201"/>
      <c r="SU175" s="201"/>
      <c r="SV175" s="201"/>
      <c r="SW175" s="201"/>
      <c r="SX175" s="201"/>
      <c r="SY175" s="201"/>
      <c r="SZ175" s="201"/>
      <c r="TA175" s="201"/>
      <c r="TB175" s="201"/>
      <c r="TC175" s="201"/>
      <c r="TD175" s="201"/>
      <c r="TE175" s="201"/>
      <c r="TF175" s="201"/>
      <c r="TG175" s="201"/>
      <c r="TH175" s="201"/>
      <c r="TI175" s="201"/>
      <c r="TJ175" s="201"/>
      <c r="TK175" s="201"/>
      <c r="TL175" s="201"/>
      <c r="TM175" s="201"/>
      <c r="TN175" s="201"/>
      <c r="TO175" s="201"/>
      <c r="TP175" s="201"/>
      <c r="TQ175" s="201"/>
      <c r="TR175" s="201"/>
      <c r="TS175" s="201"/>
      <c r="TT175" s="201"/>
      <c r="TU175" s="201"/>
      <c r="TV175" s="201"/>
      <c r="TW175" s="201"/>
      <c r="TX175" s="201"/>
      <c r="TY175" s="201"/>
      <c r="TZ175" s="201"/>
      <c r="UA175" s="201"/>
      <c r="UB175" s="201"/>
      <c r="UC175" s="201"/>
      <c r="UD175" s="201"/>
      <c r="UE175" s="201"/>
      <c r="UF175" s="201"/>
      <c r="UG175" s="201"/>
      <c r="UH175" s="201"/>
      <c r="UI175" s="201"/>
      <c r="UJ175" s="201"/>
      <c r="UK175" s="201"/>
      <c r="UL175" s="201"/>
      <c r="UM175" s="201"/>
      <c r="UN175" s="201"/>
      <c r="UO175" s="201"/>
      <c r="UP175" s="201"/>
      <c r="UQ175" s="201"/>
      <c r="UR175" s="201"/>
      <c r="US175" s="201"/>
      <c r="UT175" s="201"/>
      <c r="UU175" s="201"/>
    </row>
    <row r="176" spans="2:567" x14ac:dyDescent="0.25">
      <c r="B176" s="18" t="s">
        <v>134</v>
      </c>
      <c r="C176" s="161"/>
      <c r="D176" s="161"/>
      <c r="E176" s="162"/>
      <c r="F176" s="162"/>
      <c r="G176" s="162"/>
      <c r="H176" s="162"/>
      <c r="I176" s="164"/>
      <c r="J176" s="164"/>
      <c r="K176" s="164"/>
      <c r="L176" s="240"/>
      <c r="R176" s="257"/>
      <c r="S176" s="243"/>
      <c r="T176" s="243"/>
      <c r="U176" s="243"/>
      <c r="V176" s="243"/>
      <c r="W176" s="243"/>
      <c r="X176" s="243"/>
      <c r="Y176" s="243"/>
      <c r="Z176" s="243"/>
      <c r="AA176" s="243"/>
      <c r="AB176" s="243"/>
      <c r="AC176" s="243"/>
      <c r="AD176" s="243"/>
      <c r="AE176" s="243"/>
      <c r="AF176" s="243"/>
      <c r="AG176" s="243"/>
      <c r="AH176" s="243"/>
      <c r="AI176" s="243"/>
      <c r="AJ176" s="243"/>
      <c r="AK176" s="243"/>
      <c r="AL176" s="243"/>
      <c r="AM176" s="243"/>
      <c r="AN176" s="243"/>
      <c r="AO176" s="243"/>
      <c r="AP176" s="243"/>
      <c r="AQ176" s="243"/>
      <c r="AR176" s="243"/>
      <c r="AS176" s="243"/>
      <c r="AT176" s="243"/>
      <c r="AU176" s="243"/>
      <c r="AV176" s="243"/>
      <c r="AW176" s="243"/>
      <c r="AX176" s="243"/>
      <c r="AY176" s="243"/>
      <c r="AZ176" s="243"/>
      <c r="BA176" s="243"/>
      <c r="BB176" s="243"/>
      <c r="BC176" s="243"/>
      <c r="BD176" s="243"/>
      <c r="BE176" s="243"/>
      <c r="BF176" s="243"/>
      <c r="BG176" s="243"/>
      <c r="BH176" s="243"/>
      <c r="BI176" s="243"/>
      <c r="BJ176" s="243"/>
      <c r="BK176" s="243"/>
      <c r="BL176" s="243"/>
      <c r="BM176" s="243"/>
      <c r="BN176" s="243"/>
      <c r="BO176" s="243"/>
      <c r="BP176" s="243"/>
      <c r="BQ176" s="243"/>
      <c r="BR176" s="243"/>
      <c r="BS176" s="243"/>
      <c r="BT176" s="243"/>
      <c r="BU176" s="243"/>
      <c r="BV176" s="243"/>
      <c r="BW176" s="243"/>
      <c r="BX176" s="243"/>
      <c r="BY176" s="243"/>
      <c r="BZ176" s="243"/>
      <c r="CA176" s="243"/>
      <c r="CB176" s="243"/>
      <c r="CC176" s="243"/>
      <c r="CD176" s="243"/>
      <c r="CE176" s="243"/>
      <c r="CF176" s="243"/>
      <c r="CG176" s="243"/>
      <c r="CH176" s="243"/>
      <c r="CI176" s="243"/>
      <c r="CJ176" s="243"/>
      <c r="CK176" s="243"/>
      <c r="CL176" s="243"/>
      <c r="CM176" s="243"/>
      <c r="CN176" s="243"/>
      <c r="CO176" s="243"/>
      <c r="CP176" s="243"/>
      <c r="CQ176" s="243"/>
      <c r="CR176" s="243"/>
      <c r="CS176" s="243"/>
      <c r="CT176" s="243"/>
      <c r="CU176" s="243"/>
      <c r="CV176" s="243"/>
      <c r="CW176" s="243"/>
      <c r="CX176" s="243"/>
      <c r="CY176" s="243"/>
      <c r="CZ176" s="243"/>
      <c r="DA176" s="243"/>
      <c r="DB176" s="243"/>
      <c r="DC176" s="243"/>
      <c r="DD176" s="243"/>
      <c r="DE176" s="243"/>
      <c r="DF176" s="243"/>
      <c r="DG176" s="243"/>
      <c r="DH176" s="243"/>
      <c r="DI176" s="243"/>
      <c r="DJ176" s="243"/>
      <c r="DK176" s="243"/>
      <c r="DL176" s="243"/>
      <c r="DM176" s="243"/>
      <c r="DN176" s="243"/>
      <c r="DO176" s="243"/>
      <c r="DP176" s="243"/>
      <c r="DQ176" s="243"/>
      <c r="DR176" s="243"/>
      <c r="DS176" s="243"/>
      <c r="DT176" s="243"/>
      <c r="DU176" s="243"/>
      <c r="DV176" s="243"/>
      <c r="DW176" s="243"/>
      <c r="DX176" s="243"/>
      <c r="DY176" s="243"/>
      <c r="DZ176" s="243"/>
      <c r="EA176" s="243"/>
      <c r="EB176" s="243"/>
      <c r="EC176" s="243"/>
      <c r="ED176" s="243"/>
      <c r="EE176" s="243"/>
      <c r="EF176" s="243"/>
      <c r="EG176" s="243"/>
      <c r="EH176" s="243"/>
      <c r="EI176" s="243"/>
      <c r="EJ176" s="243"/>
      <c r="EK176" s="243"/>
      <c r="EL176" s="243"/>
      <c r="EM176" s="243"/>
      <c r="EN176" s="243"/>
      <c r="EO176" s="243"/>
      <c r="EP176" s="243"/>
      <c r="EQ176" s="243"/>
      <c r="ER176" s="243"/>
      <c r="ES176" s="243"/>
      <c r="ET176" s="243"/>
      <c r="EU176" s="243"/>
      <c r="FC176" s="199"/>
      <c r="FD176" s="199"/>
      <c r="FE176" s="199"/>
      <c r="FF176" s="199"/>
      <c r="FG176" s="199"/>
      <c r="FH176" s="199"/>
      <c r="FI176" s="199"/>
      <c r="FJ176" s="199"/>
      <c r="FK176" s="199"/>
      <c r="FL176" s="199"/>
      <c r="FM176" s="199"/>
      <c r="FN176" s="199"/>
      <c r="FO176" s="199"/>
      <c r="FP176" s="199"/>
      <c r="FQ176" s="199"/>
      <c r="FR176" s="199"/>
      <c r="FS176" s="199"/>
      <c r="FT176" s="199"/>
      <c r="FU176" s="199"/>
      <c r="FV176" s="199"/>
      <c r="FW176" s="199"/>
      <c r="FX176" s="199"/>
      <c r="FY176" s="199"/>
      <c r="FZ176" s="199"/>
      <c r="GA176" s="199"/>
      <c r="GB176" s="199"/>
      <c r="GC176" s="199"/>
      <c r="GD176" s="199"/>
      <c r="GE176" s="199"/>
      <c r="GF176" s="199"/>
      <c r="GG176" s="199"/>
      <c r="GH176" s="199"/>
      <c r="GI176" s="199"/>
      <c r="GJ176" s="199"/>
      <c r="GK176" s="199"/>
      <c r="GL176" s="199"/>
      <c r="GM176" s="199"/>
      <c r="GN176" s="199"/>
      <c r="GO176" s="199"/>
      <c r="GP176" s="199"/>
      <c r="GQ176" s="199"/>
      <c r="GR176" s="199"/>
      <c r="GS176" s="199"/>
      <c r="GT176" s="199"/>
      <c r="GU176" s="199"/>
      <c r="GV176" s="199"/>
      <c r="GW176" s="199"/>
      <c r="GX176" s="199"/>
      <c r="GY176" s="199"/>
      <c r="GZ176" s="199"/>
      <c r="HA176" s="199"/>
      <c r="HB176" s="199"/>
      <c r="HC176" s="199"/>
      <c r="HD176" s="199"/>
      <c r="HE176" s="199"/>
      <c r="HF176" s="199"/>
      <c r="HG176" s="199"/>
      <c r="HH176" s="199"/>
      <c r="HI176" s="199"/>
      <c r="HJ176" s="199"/>
      <c r="HK176" s="199"/>
      <c r="HL176" s="199"/>
      <c r="HM176" s="199"/>
      <c r="HN176" s="199"/>
      <c r="HO176" s="199"/>
      <c r="HP176" s="199"/>
      <c r="HQ176" s="199"/>
      <c r="HR176" s="199"/>
      <c r="HS176" s="199"/>
      <c r="HT176" s="199"/>
      <c r="HU176" s="199"/>
      <c r="HV176" s="199"/>
      <c r="HW176" s="199"/>
      <c r="HX176" s="199"/>
      <c r="HY176" s="199"/>
      <c r="HZ176" s="199"/>
      <c r="IA176" s="199"/>
      <c r="IB176" s="199"/>
      <c r="IC176" s="199"/>
      <c r="ID176" s="199"/>
      <c r="IE176" s="199"/>
      <c r="IF176" s="199"/>
      <c r="IG176" s="199"/>
      <c r="IH176" s="199"/>
      <c r="II176" s="199"/>
      <c r="IJ176" s="199"/>
      <c r="IK176" s="199"/>
      <c r="IL176" s="199"/>
      <c r="IM176" s="199"/>
      <c r="IN176" s="199"/>
      <c r="IO176" s="199"/>
      <c r="IP176" s="199"/>
      <c r="IQ176" s="199"/>
      <c r="IR176" s="199"/>
      <c r="IS176" s="199"/>
      <c r="IT176" s="199"/>
      <c r="IU176" s="199"/>
      <c r="IV176" s="199"/>
      <c r="IW176" s="199"/>
      <c r="IX176" s="199"/>
      <c r="IY176" s="199"/>
      <c r="IZ176" s="199"/>
      <c r="JA176" s="199"/>
      <c r="JB176" s="199"/>
      <c r="JC176" s="199"/>
      <c r="JD176" s="199"/>
      <c r="JE176" s="199"/>
      <c r="JF176" s="199"/>
      <c r="JG176" s="199"/>
      <c r="JH176" s="199"/>
      <c r="JI176" s="199"/>
      <c r="JJ176" s="199"/>
      <c r="JK176" s="199"/>
      <c r="JL176" s="199"/>
      <c r="JM176" s="199"/>
      <c r="JN176" s="199"/>
      <c r="JO176" s="199"/>
      <c r="JP176" s="199"/>
      <c r="JQ176" s="199"/>
      <c r="JR176" s="199"/>
      <c r="JS176" s="199"/>
      <c r="JT176" s="199"/>
      <c r="JU176" s="199"/>
      <c r="JV176" s="199"/>
      <c r="JW176" s="199"/>
      <c r="JX176" s="199"/>
      <c r="JY176" s="199"/>
      <c r="JZ176" s="199"/>
      <c r="KA176" s="199"/>
      <c r="KB176" s="199"/>
      <c r="KC176" s="199"/>
      <c r="KD176" s="199"/>
      <c r="KE176" s="199"/>
      <c r="PQ176" s="201"/>
      <c r="PR176" s="201"/>
      <c r="PS176" s="201"/>
      <c r="PT176" s="201"/>
      <c r="PU176" s="201"/>
      <c r="PV176" s="201"/>
      <c r="PW176" s="201"/>
      <c r="PX176" s="201"/>
      <c r="PY176" s="201"/>
      <c r="PZ176" s="201"/>
      <c r="QA176" s="201"/>
      <c r="QB176" s="201"/>
      <c r="QC176" s="201"/>
      <c r="QD176" s="201"/>
      <c r="QE176" s="201"/>
      <c r="QF176" s="201"/>
      <c r="QG176" s="201"/>
      <c r="QH176" s="201"/>
      <c r="QI176" s="201"/>
      <c r="QJ176" s="201"/>
      <c r="QK176" s="201"/>
      <c r="QL176" s="201"/>
      <c r="QM176" s="201"/>
      <c r="QN176" s="201"/>
      <c r="QO176" s="201"/>
      <c r="QP176" s="201"/>
      <c r="QQ176" s="201"/>
      <c r="QR176" s="201"/>
      <c r="QS176" s="201"/>
      <c r="QT176" s="201"/>
      <c r="QU176" s="201"/>
      <c r="QV176" s="201"/>
      <c r="QW176" s="201"/>
      <c r="QX176" s="201"/>
      <c r="QY176" s="201"/>
      <c r="QZ176" s="201"/>
      <c r="RA176" s="201"/>
      <c r="RB176" s="201"/>
      <c r="RC176" s="201"/>
      <c r="RD176" s="201"/>
      <c r="RE176" s="201"/>
      <c r="RF176" s="201"/>
      <c r="RG176" s="201"/>
      <c r="RH176" s="201"/>
      <c r="RI176" s="201"/>
      <c r="RJ176" s="201"/>
      <c r="RK176" s="201"/>
      <c r="RL176" s="201"/>
      <c r="RM176" s="201"/>
      <c r="RN176" s="201"/>
      <c r="RO176" s="201"/>
      <c r="RP176" s="201"/>
      <c r="RQ176" s="201"/>
      <c r="RR176" s="201"/>
      <c r="RS176" s="201"/>
      <c r="RT176" s="201"/>
      <c r="RU176" s="201"/>
      <c r="RV176" s="201"/>
      <c r="RW176" s="201"/>
      <c r="RX176" s="201"/>
      <c r="RY176" s="201"/>
      <c r="RZ176" s="201"/>
      <c r="SA176" s="201"/>
      <c r="SB176" s="201"/>
      <c r="SC176" s="201"/>
      <c r="SD176" s="201"/>
      <c r="SE176" s="201"/>
      <c r="SF176" s="201"/>
      <c r="SG176" s="201"/>
      <c r="SH176" s="201"/>
      <c r="SI176" s="201"/>
      <c r="SJ176" s="201"/>
      <c r="SK176" s="201"/>
      <c r="SL176" s="201"/>
      <c r="SM176" s="201"/>
      <c r="SN176" s="201"/>
      <c r="SO176" s="201"/>
      <c r="SP176" s="201"/>
      <c r="SQ176" s="201"/>
      <c r="SR176" s="201"/>
      <c r="SS176" s="201"/>
      <c r="ST176" s="201"/>
      <c r="SU176" s="201"/>
      <c r="SV176" s="201"/>
      <c r="SW176" s="201"/>
      <c r="SX176" s="201"/>
      <c r="SY176" s="201"/>
      <c r="SZ176" s="201"/>
      <c r="TA176" s="201"/>
      <c r="TB176" s="201"/>
      <c r="TC176" s="201"/>
      <c r="TD176" s="201"/>
      <c r="TE176" s="201"/>
      <c r="TF176" s="201"/>
      <c r="TG176" s="201"/>
      <c r="TH176" s="201"/>
      <c r="TI176" s="201"/>
      <c r="TJ176" s="201"/>
      <c r="TK176" s="201"/>
      <c r="TL176" s="201"/>
      <c r="TM176" s="201"/>
      <c r="TN176" s="201"/>
      <c r="TO176" s="201"/>
      <c r="TP176" s="201"/>
      <c r="TQ176" s="201"/>
      <c r="TR176" s="201"/>
      <c r="TS176" s="201"/>
      <c r="TT176" s="201"/>
      <c r="TU176" s="201"/>
      <c r="TV176" s="201"/>
      <c r="TW176" s="201"/>
      <c r="TX176" s="201"/>
      <c r="TY176" s="201"/>
      <c r="TZ176" s="201"/>
      <c r="UA176" s="201"/>
      <c r="UB176" s="201"/>
      <c r="UC176" s="201"/>
      <c r="UD176" s="201"/>
      <c r="UE176" s="201"/>
      <c r="UF176" s="201"/>
      <c r="UG176" s="201"/>
      <c r="UH176" s="201"/>
      <c r="UI176" s="201"/>
      <c r="UJ176" s="201"/>
      <c r="UK176" s="201"/>
      <c r="UL176" s="201"/>
      <c r="UM176" s="201"/>
      <c r="UN176" s="201"/>
      <c r="UO176" s="201"/>
      <c r="UP176" s="201"/>
      <c r="UQ176" s="201"/>
      <c r="UR176" s="201"/>
      <c r="US176" s="201"/>
      <c r="UT176" s="201"/>
      <c r="UU176" s="201"/>
    </row>
    <row r="177" spans="2:567" x14ac:dyDescent="0.25">
      <c r="B177" s="54" t="str">
        <f>+B126</f>
        <v>RUBS</v>
      </c>
      <c r="C177" s="161"/>
      <c r="D177" s="161"/>
      <c r="E177" s="162"/>
      <c r="F177" s="162"/>
      <c r="G177" s="162"/>
      <c r="H177" s="162"/>
      <c r="I177" s="164">
        <f>J126</f>
        <v>108000</v>
      </c>
      <c r="J177" s="164">
        <f ca="1">SUM(OFFSET($S126,0,$D$167,1,12))</f>
        <v>167944.17355627526</v>
      </c>
      <c r="K177" s="165">
        <f ca="1">SUM(OFFSET($S126,0,$D$168,1,12))</f>
        <v>172142.77789518191</v>
      </c>
      <c r="L177" s="240"/>
      <c r="M177" s="3" t="s">
        <v>853</v>
      </c>
      <c r="R177" s="257"/>
      <c r="S177" s="243"/>
      <c r="T177" s="243"/>
      <c r="U177" s="243"/>
      <c r="V177" s="243"/>
      <c r="W177" s="243"/>
      <c r="X177" s="243"/>
      <c r="Y177" s="243"/>
      <c r="Z177" s="243"/>
      <c r="AA177" s="243"/>
      <c r="AB177" s="243"/>
      <c r="AC177" s="243"/>
      <c r="AD177" s="243"/>
      <c r="AE177" s="243"/>
      <c r="AF177" s="243"/>
      <c r="AG177" s="243"/>
      <c r="AH177" s="243"/>
      <c r="AI177" s="243"/>
      <c r="AJ177" s="243"/>
      <c r="AK177" s="243"/>
      <c r="AL177" s="243"/>
      <c r="AM177" s="243"/>
      <c r="AN177" s="243"/>
      <c r="AO177" s="243"/>
      <c r="AP177" s="243"/>
      <c r="AQ177" s="243"/>
      <c r="AR177" s="243"/>
      <c r="AS177" s="243"/>
      <c r="AT177" s="243"/>
      <c r="AU177" s="243"/>
      <c r="AV177" s="243"/>
      <c r="AW177" s="243"/>
      <c r="AX177" s="243"/>
      <c r="AY177" s="243"/>
      <c r="AZ177" s="243"/>
      <c r="BA177" s="243"/>
      <c r="BB177" s="243"/>
      <c r="BC177" s="243"/>
      <c r="BD177" s="243"/>
      <c r="BE177" s="243"/>
      <c r="BF177" s="243"/>
      <c r="BG177" s="243"/>
      <c r="BH177" s="243"/>
      <c r="BI177" s="243"/>
      <c r="BJ177" s="243"/>
      <c r="BK177" s="243"/>
      <c r="BL177" s="243"/>
      <c r="BM177" s="243"/>
      <c r="BN177" s="243"/>
      <c r="BO177" s="243"/>
      <c r="BP177" s="243"/>
      <c r="BQ177" s="243"/>
      <c r="BR177" s="243"/>
      <c r="BS177" s="243"/>
      <c r="BT177" s="243"/>
      <c r="BU177" s="243"/>
      <c r="BV177" s="243"/>
      <c r="BW177" s="243"/>
      <c r="BX177" s="243"/>
      <c r="BY177" s="243"/>
      <c r="BZ177" s="243"/>
      <c r="CA177" s="243"/>
      <c r="CB177" s="243"/>
      <c r="CC177" s="243"/>
      <c r="CD177" s="243"/>
      <c r="CE177" s="243"/>
      <c r="CF177" s="243"/>
      <c r="CG177" s="243"/>
      <c r="CH177" s="243"/>
      <c r="CI177" s="243"/>
      <c r="CJ177" s="243"/>
      <c r="CK177" s="243"/>
      <c r="CL177" s="243"/>
      <c r="CM177" s="243"/>
      <c r="CN177" s="243"/>
      <c r="CO177" s="243"/>
      <c r="CP177" s="243"/>
      <c r="CQ177" s="243"/>
      <c r="CR177" s="243"/>
      <c r="CS177" s="243"/>
      <c r="CT177" s="243"/>
      <c r="CU177" s="243"/>
      <c r="CV177" s="243"/>
      <c r="CW177" s="243"/>
      <c r="CX177" s="243"/>
      <c r="CY177" s="243"/>
      <c r="CZ177" s="243"/>
      <c r="DA177" s="243"/>
      <c r="DB177" s="243"/>
      <c r="DC177" s="243"/>
      <c r="DD177" s="243"/>
      <c r="DE177" s="243"/>
      <c r="DF177" s="243"/>
      <c r="DG177" s="243"/>
      <c r="DH177" s="243"/>
      <c r="DI177" s="243"/>
      <c r="DJ177" s="243"/>
      <c r="DK177" s="243"/>
      <c r="DL177" s="243"/>
      <c r="DM177" s="243"/>
      <c r="DN177" s="243"/>
      <c r="DO177" s="243"/>
      <c r="DP177" s="243"/>
      <c r="DQ177" s="243"/>
      <c r="DR177" s="243"/>
      <c r="DS177" s="243"/>
      <c r="DT177" s="243"/>
      <c r="DU177" s="243"/>
      <c r="DV177" s="243"/>
      <c r="DW177" s="243"/>
      <c r="DX177" s="243"/>
      <c r="DY177" s="243"/>
      <c r="DZ177" s="243"/>
      <c r="EA177" s="243"/>
      <c r="EB177" s="243"/>
      <c r="EC177" s="243"/>
      <c r="ED177" s="243"/>
      <c r="EE177" s="243"/>
      <c r="EF177" s="243"/>
      <c r="EG177" s="243"/>
      <c r="EH177" s="243"/>
      <c r="EI177" s="243"/>
      <c r="EJ177" s="243"/>
      <c r="EK177" s="243"/>
      <c r="EL177" s="243"/>
      <c r="EM177" s="243"/>
      <c r="EN177" s="243"/>
      <c r="EO177" s="243"/>
      <c r="EP177" s="243"/>
      <c r="EQ177" s="243"/>
      <c r="ER177" s="243"/>
      <c r="ES177" s="243"/>
      <c r="ET177" s="243"/>
      <c r="EU177" s="243"/>
      <c r="FC177" s="199"/>
      <c r="FD177" s="199"/>
      <c r="FE177" s="199"/>
      <c r="FF177" s="199"/>
      <c r="FG177" s="199"/>
      <c r="FH177" s="199"/>
      <c r="FI177" s="199"/>
      <c r="FJ177" s="199"/>
      <c r="FK177" s="199"/>
      <c r="FL177" s="199"/>
      <c r="FM177" s="199"/>
      <c r="FN177" s="199"/>
      <c r="FO177" s="199"/>
      <c r="FP177" s="199"/>
      <c r="FQ177" s="199"/>
      <c r="FR177" s="199"/>
      <c r="FS177" s="199"/>
      <c r="FT177" s="199"/>
      <c r="FU177" s="199"/>
      <c r="FV177" s="199"/>
      <c r="FW177" s="199"/>
      <c r="FX177" s="199"/>
      <c r="FY177" s="199"/>
      <c r="FZ177" s="199"/>
      <c r="GA177" s="199"/>
      <c r="GB177" s="199"/>
      <c r="GC177" s="199"/>
      <c r="GD177" s="199"/>
      <c r="GE177" s="199"/>
      <c r="GF177" s="199"/>
      <c r="GG177" s="199"/>
      <c r="GH177" s="199"/>
      <c r="GI177" s="199"/>
      <c r="GJ177" s="199"/>
      <c r="GK177" s="199"/>
      <c r="GL177" s="199"/>
      <c r="GM177" s="199"/>
      <c r="GN177" s="199"/>
      <c r="GO177" s="199"/>
      <c r="GP177" s="199"/>
      <c r="GQ177" s="199"/>
      <c r="GR177" s="199"/>
      <c r="GS177" s="199"/>
      <c r="GT177" s="199"/>
      <c r="GU177" s="199"/>
      <c r="GV177" s="199"/>
      <c r="GW177" s="199"/>
      <c r="GX177" s="199"/>
      <c r="GY177" s="199"/>
      <c r="GZ177" s="199"/>
      <c r="HA177" s="199"/>
      <c r="HB177" s="199"/>
      <c r="HC177" s="199"/>
      <c r="HD177" s="199"/>
      <c r="HE177" s="199"/>
      <c r="HF177" s="199"/>
      <c r="HG177" s="199"/>
      <c r="HH177" s="199"/>
      <c r="HI177" s="199"/>
      <c r="HJ177" s="199"/>
      <c r="HK177" s="199"/>
      <c r="HL177" s="199"/>
      <c r="HM177" s="199"/>
      <c r="HN177" s="199"/>
      <c r="HO177" s="199"/>
      <c r="HP177" s="199"/>
      <c r="HQ177" s="199"/>
      <c r="HR177" s="199"/>
      <c r="HS177" s="199"/>
      <c r="HT177" s="199"/>
      <c r="HU177" s="199"/>
      <c r="HV177" s="199"/>
      <c r="HW177" s="199"/>
      <c r="HX177" s="199"/>
      <c r="HY177" s="199"/>
      <c r="HZ177" s="199"/>
      <c r="IA177" s="199"/>
      <c r="IB177" s="199"/>
      <c r="IC177" s="199"/>
      <c r="ID177" s="199"/>
      <c r="IE177" s="199"/>
      <c r="IF177" s="199"/>
      <c r="IG177" s="199"/>
      <c r="IH177" s="199"/>
      <c r="II177" s="199"/>
      <c r="IJ177" s="199"/>
      <c r="IK177" s="199"/>
      <c r="IL177" s="199"/>
      <c r="IM177" s="199"/>
      <c r="IN177" s="199"/>
      <c r="IO177" s="199"/>
      <c r="IP177" s="199"/>
      <c r="IQ177" s="199"/>
      <c r="IR177" s="199"/>
      <c r="IS177" s="199"/>
      <c r="IT177" s="199"/>
      <c r="IU177" s="199"/>
      <c r="IV177" s="199"/>
      <c r="IW177" s="199"/>
      <c r="IX177" s="199"/>
      <c r="IY177" s="199"/>
      <c r="IZ177" s="199"/>
      <c r="JA177" s="199"/>
      <c r="JB177" s="199"/>
      <c r="JC177" s="199"/>
      <c r="JD177" s="199"/>
      <c r="JE177" s="199"/>
      <c r="JF177" s="199"/>
      <c r="JG177" s="199"/>
      <c r="JH177" s="199"/>
      <c r="JI177" s="199"/>
      <c r="JJ177" s="199"/>
      <c r="JK177" s="199"/>
      <c r="JL177" s="199"/>
      <c r="JM177" s="199"/>
      <c r="JN177" s="199"/>
      <c r="JO177" s="199"/>
      <c r="JP177" s="199"/>
      <c r="JQ177" s="199"/>
      <c r="JR177" s="199"/>
      <c r="JS177" s="199"/>
      <c r="JT177" s="199"/>
      <c r="JU177" s="199"/>
      <c r="JV177" s="199"/>
      <c r="JW177" s="199"/>
      <c r="JX177" s="199"/>
      <c r="JY177" s="199"/>
      <c r="JZ177" s="199"/>
      <c r="KA177" s="199"/>
      <c r="KB177" s="199"/>
      <c r="KC177" s="199"/>
      <c r="KD177" s="199"/>
      <c r="KE177" s="199"/>
      <c r="PQ177" s="201"/>
      <c r="PR177" s="201"/>
      <c r="PS177" s="201"/>
      <c r="PT177" s="201"/>
      <c r="PU177" s="201"/>
      <c r="PV177" s="201"/>
      <c r="PW177" s="201"/>
      <c r="PX177" s="201"/>
      <c r="PY177" s="201"/>
      <c r="PZ177" s="201"/>
      <c r="QA177" s="201"/>
      <c r="QB177" s="201"/>
      <c r="QC177" s="201"/>
      <c r="QD177" s="201"/>
      <c r="QE177" s="201"/>
      <c r="QF177" s="201"/>
      <c r="QG177" s="201"/>
      <c r="QH177" s="201"/>
      <c r="QI177" s="201"/>
      <c r="QJ177" s="201"/>
      <c r="QK177" s="201"/>
      <c r="QL177" s="201"/>
      <c r="QM177" s="201"/>
      <c r="QN177" s="201"/>
      <c r="QO177" s="201"/>
      <c r="QP177" s="201"/>
      <c r="QQ177" s="201"/>
      <c r="QR177" s="201"/>
      <c r="QS177" s="201"/>
      <c r="QT177" s="201"/>
      <c r="QU177" s="201"/>
      <c r="QV177" s="201"/>
      <c r="QW177" s="201"/>
      <c r="QX177" s="201"/>
      <c r="QY177" s="201"/>
      <c r="QZ177" s="201"/>
      <c r="RA177" s="201"/>
      <c r="RB177" s="201"/>
      <c r="RC177" s="201"/>
      <c r="RD177" s="201"/>
      <c r="RE177" s="201"/>
      <c r="RF177" s="201"/>
      <c r="RG177" s="201"/>
      <c r="RH177" s="201"/>
      <c r="RI177" s="201"/>
      <c r="RJ177" s="201"/>
      <c r="RK177" s="201"/>
      <c r="RL177" s="201"/>
      <c r="RM177" s="201"/>
      <c r="RN177" s="201"/>
      <c r="RO177" s="201"/>
      <c r="RP177" s="201"/>
      <c r="RQ177" s="201"/>
      <c r="RR177" s="201"/>
      <c r="RS177" s="201"/>
      <c r="RT177" s="201"/>
      <c r="RU177" s="201"/>
      <c r="RV177" s="201"/>
      <c r="RW177" s="201"/>
      <c r="RX177" s="201"/>
      <c r="RY177" s="201"/>
      <c r="RZ177" s="201"/>
      <c r="SA177" s="201"/>
      <c r="SB177" s="201"/>
      <c r="SC177" s="201"/>
      <c r="SD177" s="201"/>
      <c r="SE177" s="201"/>
      <c r="SF177" s="201"/>
      <c r="SG177" s="201"/>
      <c r="SH177" s="201"/>
      <c r="SI177" s="201"/>
      <c r="SJ177" s="201"/>
      <c r="SK177" s="201"/>
      <c r="SL177" s="201"/>
      <c r="SM177" s="201"/>
      <c r="SN177" s="201"/>
      <c r="SO177" s="201"/>
      <c r="SP177" s="201"/>
      <c r="SQ177" s="201"/>
      <c r="SR177" s="201"/>
      <c r="SS177" s="201"/>
      <c r="ST177" s="201"/>
      <c r="SU177" s="201"/>
      <c r="SV177" s="201"/>
      <c r="SW177" s="201"/>
      <c r="SX177" s="201"/>
      <c r="SY177" s="201"/>
      <c r="SZ177" s="201"/>
      <c r="TA177" s="201"/>
      <c r="TB177" s="201"/>
      <c r="TC177" s="201"/>
      <c r="TD177" s="201"/>
      <c r="TE177" s="201"/>
      <c r="TF177" s="201"/>
      <c r="TG177" s="201"/>
      <c r="TH177" s="201"/>
      <c r="TI177" s="201"/>
      <c r="TJ177" s="201"/>
      <c r="TK177" s="201"/>
      <c r="TL177" s="201"/>
      <c r="TM177" s="201"/>
      <c r="TN177" s="201"/>
      <c r="TO177" s="201"/>
      <c r="TP177" s="201"/>
      <c r="TQ177" s="201"/>
      <c r="TR177" s="201"/>
      <c r="TS177" s="201"/>
      <c r="TT177" s="201"/>
      <c r="TU177" s="201"/>
      <c r="TV177" s="201"/>
      <c r="TW177" s="201"/>
      <c r="TX177" s="201"/>
      <c r="TY177" s="201"/>
      <c r="TZ177" s="201"/>
      <c r="UA177" s="201"/>
      <c r="UB177" s="201"/>
      <c r="UC177" s="201"/>
      <c r="UD177" s="201"/>
      <c r="UE177" s="201"/>
      <c r="UF177" s="201"/>
      <c r="UG177" s="201"/>
      <c r="UH177" s="201"/>
      <c r="UI177" s="201"/>
      <c r="UJ177" s="201"/>
      <c r="UK177" s="201"/>
      <c r="UL177" s="201"/>
      <c r="UM177" s="201"/>
      <c r="UN177" s="201"/>
      <c r="UO177" s="201"/>
      <c r="UP177" s="201"/>
      <c r="UQ177" s="201"/>
      <c r="UR177" s="201"/>
      <c r="US177" s="201"/>
      <c r="UT177" s="201"/>
      <c r="UU177" s="201"/>
    </row>
    <row r="178" spans="2:567" x14ac:dyDescent="0.25">
      <c r="B178" s="54" t="str">
        <f>+B127</f>
        <v>Other Income</v>
      </c>
      <c r="C178" s="161"/>
      <c r="D178" s="161"/>
      <c r="E178" s="162"/>
      <c r="F178" s="162"/>
      <c r="G178" s="162"/>
      <c r="H178" s="162"/>
      <c r="I178" s="164">
        <f>J127</f>
        <v>90000</v>
      </c>
      <c r="J178" s="164">
        <f ca="1">SUM(OFFSET($S127,0,$D$167,1,12))</f>
        <v>111962.78237085023</v>
      </c>
      <c r="K178" s="165">
        <f ca="1">SUM(OFFSET($S127,0,$D$168,1,12))</f>
        <v>114761.85193012128</v>
      </c>
      <c r="L178" s="240"/>
      <c r="M178" s="3" t="s">
        <v>853</v>
      </c>
      <c r="R178" s="257"/>
      <c r="S178" s="243"/>
      <c r="T178" s="243"/>
      <c r="U178" s="243"/>
      <c r="V178" s="243"/>
      <c r="W178" s="243"/>
      <c r="X178" s="243"/>
      <c r="Y178" s="243"/>
      <c r="Z178" s="243"/>
      <c r="AA178" s="243"/>
      <c r="AB178" s="243"/>
      <c r="AC178" s="243"/>
      <c r="AD178" s="243"/>
      <c r="AE178" s="243"/>
      <c r="AF178" s="243"/>
      <c r="AG178" s="243"/>
      <c r="AH178" s="243"/>
      <c r="AI178" s="243"/>
      <c r="AJ178" s="243"/>
      <c r="AK178" s="243"/>
      <c r="AL178" s="243"/>
      <c r="AM178" s="243"/>
      <c r="AN178" s="243"/>
      <c r="AO178" s="243"/>
      <c r="AP178" s="243"/>
      <c r="AQ178" s="243"/>
      <c r="AR178" s="243"/>
      <c r="AS178" s="243"/>
      <c r="AT178" s="243"/>
      <c r="AU178" s="243"/>
      <c r="AV178" s="243"/>
      <c r="AW178" s="243"/>
      <c r="AX178" s="243"/>
      <c r="AY178" s="243"/>
      <c r="AZ178" s="243"/>
      <c r="BA178" s="243"/>
      <c r="BB178" s="243"/>
      <c r="BC178" s="243"/>
      <c r="BD178" s="243"/>
      <c r="BE178" s="243"/>
      <c r="BF178" s="243"/>
      <c r="BG178" s="243"/>
      <c r="BH178" s="243"/>
      <c r="BI178" s="243"/>
      <c r="BJ178" s="243"/>
      <c r="BK178" s="243"/>
      <c r="BL178" s="243"/>
      <c r="BM178" s="243"/>
      <c r="BN178" s="243"/>
      <c r="BO178" s="243"/>
      <c r="BP178" s="243"/>
      <c r="BQ178" s="243"/>
      <c r="BR178" s="243"/>
      <c r="BS178" s="243"/>
      <c r="BT178" s="243"/>
      <c r="BU178" s="243"/>
      <c r="BV178" s="243"/>
      <c r="BW178" s="243"/>
      <c r="BX178" s="243"/>
      <c r="BY178" s="243"/>
      <c r="BZ178" s="243"/>
      <c r="CA178" s="243"/>
      <c r="CB178" s="243"/>
      <c r="CC178" s="243"/>
      <c r="CD178" s="243"/>
      <c r="CE178" s="243"/>
      <c r="CF178" s="243"/>
      <c r="CG178" s="243"/>
      <c r="CH178" s="243"/>
      <c r="CI178" s="243"/>
      <c r="CJ178" s="243"/>
      <c r="CK178" s="243"/>
      <c r="CL178" s="243"/>
      <c r="CM178" s="243"/>
      <c r="CN178" s="243"/>
      <c r="CO178" s="243"/>
      <c r="CP178" s="243"/>
      <c r="CQ178" s="243"/>
      <c r="CR178" s="243"/>
      <c r="CS178" s="243"/>
      <c r="CT178" s="243"/>
      <c r="CU178" s="243"/>
      <c r="CV178" s="243"/>
      <c r="CW178" s="243"/>
      <c r="CX178" s="243"/>
      <c r="CY178" s="243"/>
      <c r="CZ178" s="243"/>
      <c r="DA178" s="243"/>
      <c r="DB178" s="243"/>
      <c r="DC178" s="243"/>
      <c r="DD178" s="243"/>
      <c r="DE178" s="243"/>
      <c r="DF178" s="243"/>
      <c r="DG178" s="243"/>
      <c r="DH178" s="243"/>
      <c r="DI178" s="243"/>
      <c r="DJ178" s="243"/>
      <c r="DK178" s="243"/>
      <c r="DL178" s="243"/>
      <c r="DM178" s="243"/>
      <c r="DN178" s="243"/>
      <c r="DO178" s="243"/>
      <c r="DP178" s="243"/>
      <c r="DQ178" s="243"/>
      <c r="DR178" s="243"/>
      <c r="DS178" s="243"/>
      <c r="DT178" s="243"/>
      <c r="DU178" s="243"/>
      <c r="DV178" s="243"/>
      <c r="DW178" s="243"/>
      <c r="DX178" s="243"/>
      <c r="DY178" s="243"/>
      <c r="DZ178" s="243"/>
      <c r="EA178" s="243"/>
      <c r="EB178" s="243"/>
      <c r="EC178" s="243"/>
      <c r="ED178" s="243"/>
      <c r="EE178" s="243"/>
      <c r="EF178" s="243"/>
      <c r="EG178" s="243"/>
      <c r="EH178" s="243"/>
      <c r="EI178" s="243"/>
      <c r="EJ178" s="243"/>
      <c r="EK178" s="243"/>
      <c r="EL178" s="243"/>
      <c r="EM178" s="243"/>
      <c r="EN178" s="243"/>
      <c r="EO178" s="243"/>
      <c r="EP178" s="243"/>
      <c r="EQ178" s="243"/>
      <c r="ER178" s="243"/>
      <c r="ES178" s="243"/>
      <c r="ET178" s="243"/>
      <c r="EU178" s="243"/>
      <c r="FC178" s="199"/>
      <c r="FD178" s="199"/>
      <c r="FE178" s="199"/>
      <c r="FF178" s="199"/>
      <c r="FG178" s="199"/>
      <c r="FH178" s="199"/>
      <c r="FI178" s="199"/>
      <c r="FJ178" s="199"/>
      <c r="FK178" s="199"/>
      <c r="FL178" s="199"/>
      <c r="FM178" s="199"/>
      <c r="FN178" s="199"/>
      <c r="FO178" s="199"/>
      <c r="FP178" s="199"/>
      <c r="FQ178" s="199"/>
      <c r="FR178" s="199"/>
      <c r="FS178" s="199"/>
      <c r="FT178" s="199"/>
      <c r="FU178" s="199"/>
      <c r="FV178" s="199"/>
      <c r="FW178" s="199"/>
      <c r="FX178" s="199"/>
      <c r="FY178" s="199"/>
      <c r="FZ178" s="199"/>
      <c r="GA178" s="199"/>
      <c r="GB178" s="199"/>
      <c r="GC178" s="199"/>
      <c r="GD178" s="199"/>
      <c r="GE178" s="199"/>
      <c r="GF178" s="199"/>
      <c r="GG178" s="199"/>
      <c r="GH178" s="199"/>
      <c r="GI178" s="199"/>
      <c r="GJ178" s="199"/>
      <c r="GK178" s="199"/>
      <c r="GL178" s="199"/>
      <c r="GM178" s="199"/>
      <c r="GN178" s="199"/>
      <c r="GO178" s="199"/>
      <c r="GP178" s="199"/>
      <c r="GQ178" s="199"/>
      <c r="GR178" s="199"/>
      <c r="GS178" s="199"/>
      <c r="GT178" s="199"/>
      <c r="GU178" s="199"/>
      <c r="GV178" s="199"/>
      <c r="GW178" s="199"/>
      <c r="GX178" s="199"/>
      <c r="GY178" s="199"/>
      <c r="GZ178" s="199"/>
      <c r="HA178" s="199"/>
      <c r="HB178" s="199"/>
      <c r="HC178" s="199"/>
      <c r="HD178" s="199"/>
      <c r="HE178" s="199"/>
      <c r="HF178" s="199"/>
      <c r="HG178" s="199"/>
      <c r="HH178" s="199"/>
      <c r="HI178" s="199"/>
      <c r="HJ178" s="199"/>
      <c r="HK178" s="199"/>
      <c r="HL178" s="199"/>
      <c r="HM178" s="199"/>
      <c r="HN178" s="199"/>
      <c r="HO178" s="199"/>
      <c r="HP178" s="199"/>
      <c r="HQ178" s="199"/>
      <c r="HR178" s="199"/>
      <c r="HS178" s="199"/>
      <c r="HT178" s="199"/>
      <c r="HU178" s="199"/>
      <c r="HV178" s="199"/>
      <c r="HW178" s="199"/>
      <c r="HX178" s="199"/>
      <c r="HY178" s="199"/>
      <c r="HZ178" s="199"/>
      <c r="IA178" s="199"/>
      <c r="IB178" s="199"/>
      <c r="IC178" s="199"/>
      <c r="ID178" s="199"/>
      <c r="IE178" s="199"/>
      <c r="IF178" s="199"/>
      <c r="IG178" s="199"/>
      <c r="IH178" s="199"/>
      <c r="II178" s="199"/>
      <c r="IJ178" s="199"/>
      <c r="IK178" s="199"/>
      <c r="IL178" s="199"/>
      <c r="IM178" s="199"/>
      <c r="IN178" s="199"/>
      <c r="IO178" s="199"/>
      <c r="IP178" s="199"/>
      <c r="IQ178" s="199"/>
      <c r="IR178" s="199"/>
      <c r="IS178" s="199"/>
      <c r="IT178" s="199"/>
      <c r="IU178" s="199"/>
      <c r="IV178" s="199"/>
      <c r="IW178" s="199"/>
      <c r="IX178" s="199"/>
      <c r="IY178" s="199"/>
      <c r="IZ178" s="199"/>
      <c r="JA178" s="199"/>
      <c r="JB178" s="199"/>
      <c r="JC178" s="199"/>
      <c r="JD178" s="199"/>
      <c r="JE178" s="199"/>
      <c r="JF178" s="199"/>
      <c r="JG178" s="199"/>
      <c r="JH178" s="199"/>
      <c r="JI178" s="199"/>
      <c r="JJ178" s="199"/>
      <c r="JK178" s="199"/>
      <c r="JL178" s="199"/>
      <c r="JM178" s="199"/>
      <c r="JN178" s="199"/>
      <c r="JO178" s="199"/>
      <c r="JP178" s="199"/>
      <c r="JQ178" s="199"/>
      <c r="JR178" s="199"/>
      <c r="JS178" s="199"/>
      <c r="JT178" s="199"/>
      <c r="JU178" s="199"/>
      <c r="JV178" s="199"/>
      <c r="JW178" s="199"/>
      <c r="JX178" s="199"/>
      <c r="JY178" s="199"/>
      <c r="JZ178" s="199"/>
      <c r="KA178" s="199"/>
      <c r="KB178" s="199"/>
      <c r="KC178" s="199"/>
      <c r="KD178" s="199"/>
      <c r="KE178" s="199"/>
      <c r="PQ178" s="201"/>
      <c r="PR178" s="201"/>
      <c r="PS178" s="201"/>
      <c r="PT178" s="201"/>
      <c r="PU178" s="201"/>
      <c r="PV178" s="201"/>
      <c r="PW178" s="201"/>
      <c r="PX178" s="201"/>
      <c r="PY178" s="201"/>
      <c r="PZ178" s="201"/>
      <c r="QA178" s="201"/>
      <c r="QB178" s="201"/>
      <c r="QC178" s="201"/>
      <c r="QD178" s="201"/>
      <c r="QE178" s="201"/>
      <c r="QF178" s="201"/>
      <c r="QG178" s="201"/>
      <c r="QH178" s="201"/>
      <c r="QI178" s="201"/>
      <c r="QJ178" s="201"/>
      <c r="QK178" s="201"/>
      <c r="QL178" s="201"/>
      <c r="QM178" s="201"/>
      <c r="QN178" s="201"/>
      <c r="QO178" s="201"/>
      <c r="QP178" s="201"/>
      <c r="QQ178" s="201"/>
      <c r="QR178" s="201"/>
      <c r="QS178" s="201"/>
      <c r="QT178" s="201"/>
      <c r="QU178" s="201"/>
      <c r="QV178" s="201"/>
      <c r="QW178" s="201"/>
      <c r="QX178" s="201"/>
      <c r="QY178" s="201"/>
      <c r="QZ178" s="201"/>
      <c r="RA178" s="201"/>
      <c r="RB178" s="201"/>
      <c r="RC178" s="201"/>
      <c r="RD178" s="201"/>
      <c r="RE178" s="201"/>
      <c r="RF178" s="201"/>
      <c r="RG178" s="201"/>
      <c r="RH178" s="201"/>
      <c r="RI178" s="201"/>
      <c r="RJ178" s="201"/>
      <c r="RK178" s="201"/>
      <c r="RL178" s="201"/>
      <c r="RM178" s="201"/>
      <c r="RN178" s="201"/>
      <c r="RO178" s="201"/>
      <c r="RP178" s="201"/>
      <c r="RQ178" s="201"/>
      <c r="RR178" s="201"/>
      <c r="RS178" s="201"/>
      <c r="RT178" s="201"/>
      <c r="RU178" s="201"/>
      <c r="RV178" s="201"/>
      <c r="RW178" s="201"/>
      <c r="RX178" s="201"/>
      <c r="RY178" s="201"/>
      <c r="RZ178" s="201"/>
      <c r="SA178" s="201"/>
      <c r="SB178" s="201"/>
      <c r="SC178" s="201"/>
      <c r="SD178" s="201"/>
      <c r="SE178" s="201"/>
      <c r="SF178" s="201"/>
      <c r="SG178" s="201"/>
      <c r="SH178" s="201"/>
      <c r="SI178" s="201"/>
      <c r="SJ178" s="201"/>
      <c r="SK178" s="201"/>
      <c r="SL178" s="201"/>
      <c r="SM178" s="201"/>
      <c r="SN178" s="201"/>
      <c r="SO178" s="201"/>
      <c r="SP178" s="201"/>
      <c r="SQ178" s="201"/>
      <c r="SR178" s="201"/>
      <c r="SS178" s="201"/>
      <c r="ST178" s="201"/>
      <c r="SU178" s="201"/>
      <c r="SV178" s="201"/>
      <c r="SW178" s="201"/>
      <c r="SX178" s="201"/>
      <c r="SY178" s="201"/>
      <c r="SZ178" s="201"/>
      <c r="TA178" s="201"/>
      <c r="TB178" s="201"/>
      <c r="TC178" s="201"/>
      <c r="TD178" s="201"/>
      <c r="TE178" s="201"/>
      <c r="TF178" s="201"/>
      <c r="TG178" s="201"/>
      <c r="TH178" s="201"/>
      <c r="TI178" s="201"/>
      <c r="TJ178" s="201"/>
      <c r="TK178" s="201"/>
      <c r="TL178" s="201"/>
      <c r="TM178" s="201"/>
      <c r="TN178" s="201"/>
      <c r="TO178" s="201"/>
      <c r="TP178" s="201"/>
      <c r="TQ178" s="201"/>
      <c r="TR178" s="201"/>
      <c r="TS178" s="201"/>
      <c r="TT178" s="201"/>
      <c r="TU178" s="201"/>
      <c r="TV178" s="201"/>
      <c r="TW178" s="201"/>
      <c r="TX178" s="201"/>
      <c r="TY178" s="201"/>
      <c r="TZ178" s="201"/>
      <c r="UA178" s="201"/>
      <c r="UB178" s="201"/>
      <c r="UC178" s="201"/>
      <c r="UD178" s="201"/>
      <c r="UE178" s="201"/>
      <c r="UF178" s="201"/>
      <c r="UG178" s="201"/>
      <c r="UH178" s="201"/>
      <c r="UI178" s="201"/>
      <c r="UJ178" s="201"/>
      <c r="UK178" s="201"/>
      <c r="UL178" s="201"/>
      <c r="UM178" s="201"/>
      <c r="UN178" s="201"/>
      <c r="UO178" s="201"/>
      <c r="UP178" s="201"/>
      <c r="UQ178" s="201"/>
      <c r="UR178" s="201"/>
      <c r="US178" s="201"/>
      <c r="UT178" s="201"/>
      <c r="UU178" s="201"/>
    </row>
    <row r="179" spans="2:567" x14ac:dyDescent="0.25">
      <c r="B179" s="54" t="str">
        <f>+B128</f>
        <v>Parking Income</v>
      </c>
      <c r="C179" s="161"/>
      <c r="D179" s="161"/>
      <c r="E179" s="162"/>
      <c r="F179" s="162"/>
      <c r="G179" s="162"/>
      <c r="H179" s="162"/>
      <c r="I179" s="164">
        <f>J128</f>
        <v>0</v>
      </c>
      <c r="J179" s="164">
        <f ca="1">SUM(OFFSET($S128,0,$D$167,1,12))</f>
        <v>37320.92745695007</v>
      </c>
      <c r="K179" s="165">
        <f ca="1">SUM(OFFSET($S128,0,$D$168,1,12))</f>
        <v>38253.950643373777</v>
      </c>
      <c r="L179" s="240"/>
      <c r="M179" s="3" t="s">
        <v>853</v>
      </c>
      <c r="R179" s="257"/>
      <c r="S179" s="243"/>
      <c r="T179" s="243"/>
      <c r="U179" s="243"/>
      <c r="V179" s="243"/>
      <c r="W179" s="243"/>
      <c r="X179" s="243"/>
      <c r="Y179" s="243"/>
      <c r="Z179" s="243"/>
      <c r="AA179" s="243"/>
      <c r="AB179" s="243"/>
      <c r="AC179" s="243"/>
      <c r="AD179" s="243"/>
      <c r="AE179" s="243"/>
      <c r="AF179" s="243"/>
      <c r="AG179" s="243"/>
      <c r="AH179" s="243"/>
      <c r="AI179" s="243"/>
      <c r="AJ179" s="243"/>
      <c r="AK179" s="243"/>
      <c r="AL179" s="243"/>
      <c r="AM179" s="243"/>
      <c r="AN179" s="243"/>
      <c r="AO179" s="243"/>
      <c r="AP179" s="243"/>
      <c r="AQ179" s="243"/>
      <c r="AR179" s="243"/>
      <c r="AS179" s="243"/>
      <c r="AT179" s="243"/>
      <c r="AU179" s="243"/>
      <c r="AV179" s="243"/>
      <c r="AW179" s="243"/>
      <c r="AX179" s="243"/>
      <c r="AY179" s="243"/>
      <c r="AZ179" s="243"/>
      <c r="BA179" s="243"/>
      <c r="BB179" s="243"/>
      <c r="BC179" s="243"/>
      <c r="BD179" s="243"/>
      <c r="BE179" s="243"/>
      <c r="BF179" s="243"/>
      <c r="BG179" s="243"/>
      <c r="BH179" s="243"/>
      <c r="BI179" s="243"/>
      <c r="BJ179" s="243"/>
      <c r="BK179" s="243"/>
      <c r="BL179" s="243"/>
      <c r="BM179" s="243"/>
      <c r="BN179" s="243"/>
      <c r="BO179" s="243"/>
      <c r="BP179" s="243"/>
      <c r="BQ179" s="243"/>
      <c r="BR179" s="243"/>
      <c r="BS179" s="243"/>
      <c r="BT179" s="243"/>
      <c r="BU179" s="243"/>
      <c r="BV179" s="243"/>
      <c r="BW179" s="243"/>
      <c r="BX179" s="243"/>
      <c r="BY179" s="243"/>
      <c r="BZ179" s="243"/>
      <c r="CA179" s="243"/>
      <c r="CB179" s="243"/>
      <c r="CC179" s="243"/>
      <c r="CD179" s="243"/>
      <c r="CE179" s="243"/>
      <c r="CF179" s="243"/>
      <c r="CG179" s="243"/>
      <c r="CH179" s="243"/>
      <c r="CI179" s="243"/>
      <c r="CJ179" s="243"/>
      <c r="CK179" s="243"/>
      <c r="CL179" s="243"/>
      <c r="CM179" s="243"/>
      <c r="CN179" s="243"/>
      <c r="CO179" s="243"/>
      <c r="CP179" s="243"/>
      <c r="CQ179" s="243"/>
      <c r="CR179" s="243"/>
      <c r="CS179" s="243"/>
      <c r="CT179" s="243"/>
      <c r="CU179" s="243"/>
      <c r="CV179" s="243"/>
      <c r="CW179" s="243"/>
      <c r="CX179" s="243"/>
      <c r="CY179" s="243"/>
      <c r="CZ179" s="243"/>
      <c r="DA179" s="243"/>
      <c r="DB179" s="243"/>
      <c r="DC179" s="243"/>
      <c r="DD179" s="243"/>
      <c r="DE179" s="243"/>
      <c r="DF179" s="243"/>
      <c r="DG179" s="243"/>
      <c r="DH179" s="243"/>
      <c r="DI179" s="243"/>
      <c r="DJ179" s="243"/>
      <c r="DK179" s="243"/>
      <c r="DL179" s="243"/>
      <c r="DM179" s="243"/>
      <c r="DN179" s="243"/>
      <c r="DO179" s="243"/>
      <c r="DP179" s="243"/>
      <c r="DQ179" s="243"/>
      <c r="DR179" s="243"/>
      <c r="DS179" s="243"/>
      <c r="DT179" s="243"/>
      <c r="DU179" s="243"/>
      <c r="DV179" s="243"/>
      <c r="DW179" s="243"/>
      <c r="DX179" s="243"/>
      <c r="DY179" s="243"/>
      <c r="DZ179" s="243"/>
      <c r="EA179" s="243"/>
      <c r="EB179" s="243"/>
      <c r="EC179" s="243"/>
      <c r="ED179" s="243"/>
      <c r="EE179" s="243"/>
      <c r="EF179" s="243"/>
      <c r="EG179" s="243"/>
      <c r="EH179" s="243"/>
      <c r="EI179" s="243"/>
      <c r="EJ179" s="243"/>
      <c r="EK179" s="243"/>
      <c r="EL179" s="243"/>
      <c r="EM179" s="243"/>
      <c r="EN179" s="243"/>
      <c r="EO179" s="243"/>
      <c r="EP179" s="243"/>
      <c r="EQ179" s="243"/>
      <c r="ER179" s="243"/>
      <c r="ES179" s="243"/>
      <c r="ET179" s="243"/>
      <c r="EU179" s="243"/>
      <c r="FC179" s="199"/>
      <c r="FD179" s="199"/>
      <c r="FE179" s="199"/>
      <c r="FF179" s="199"/>
      <c r="FG179" s="199"/>
      <c r="FH179" s="199"/>
      <c r="FI179" s="199"/>
      <c r="FJ179" s="199"/>
      <c r="FK179" s="199"/>
      <c r="FL179" s="199"/>
      <c r="FM179" s="199"/>
      <c r="FN179" s="199"/>
      <c r="FO179" s="199"/>
      <c r="FP179" s="199"/>
      <c r="FQ179" s="199"/>
      <c r="FR179" s="199"/>
      <c r="FS179" s="199"/>
      <c r="FT179" s="199"/>
      <c r="FU179" s="199"/>
      <c r="FV179" s="199"/>
      <c r="FW179" s="199"/>
      <c r="FX179" s="199"/>
      <c r="FY179" s="199"/>
      <c r="FZ179" s="199"/>
      <c r="GA179" s="199"/>
      <c r="GB179" s="199"/>
      <c r="GC179" s="199"/>
      <c r="GD179" s="199"/>
      <c r="GE179" s="199"/>
      <c r="GF179" s="199"/>
      <c r="GG179" s="199"/>
      <c r="GH179" s="199"/>
      <c r="GI179" s="199"/>
      <c r="GJ179" s="199"/>
      <c r="GK179" s="199"/>
      <c r="GL179" s="199"/>
      <c r="GM179" s="199"/>
      <c r="GN179" s="199"/>
      <c r="GO179" s="199"/>
      <c r="GP179" s="199"/>
      <c r="GQ179" s="199"/>
      <c r="GR179" s="199"/>
      <c r="GS179" s="199"/>
      <c r="GT179" s="199"/>
      <c r="GU179" s="199"/>
      <c r="GV179" s="199"/>
      <c r="GW179" s="199"/>
      <c r="GX179" s="199"/>
      <c r="GY179" s="199"/>
      <c r="GZ179" s="199"/>
      <c r="HA179" s="199"/>
      <c r="HB179" s="199"/>
      <c r="HC179" s="199"/>
      <c r="HD179" s="199"/>
      <c r="HE179" s="199"/>
      <c r="HF179" s="199"/>
      <c r="HG179" s="199"/>
      <c r="HH179" s="199"/>
      <c r="HI179" s="199"/>
      <c r="HJ179" s="199"/>
      <c r="HK179" s="199"/>
      <c r="HL179" s="199"/>
      <c r="HM179" s="199"/>
      <c r="HN179" s="199"/>
      <c r="HO179" s="199"/>
      <c r="HP179" s="199"/>
      <c r="HQ179" s="199"/>
      <c r="HR179" s="199"/>
      <c r="HS179" s="199"/>
      <c r="HT179" s="199"/>
      <c r="HU179" s="199"/>
      <c r="HV179" s="199"/>
      <c r="HW179" s="199"/>
      <c r="HX179" s="199"/>
      <c r="HY179" s="199"/>
      <c r="HZ179" s="199"/>
      <c r="IA179" s="199"/>
      <c r="IB179" s="199"/>
      <c r="IC179" s="199"/>
      <c r="ID179" s="199"/>
      <c r="IE179" s="199"/>
      <c r="IF179" s="199"/>
      <c r="IG179" s="199"/>
      <c r="IH179" s="199"/>
      <c r="II179" s="199"/>
      <c r="IJ179" s="199"/>
      <c r="IK179" s="199"/>
      <c r="IL179" s="199"/>
      <c r="IM179" s="199"/>
      <c r="IN179" s="199"/>
      <c r="IO179" s="199"/>
      <c r="IP179" s="199"/>
      <c r="IQ179" s="199"/>
      <c r="IR179" s="199"/>
      <c r="IS179" s="199"/>
      <c r="IT179" s="199"/>
      <c r="IU179" s="199"/>
      <c r="IV179" s="199"/>
      <c r="IW179" s="199"/>
      <c r="IX179" s="199"/>
      <c r="IY179" s="199"/>
      <c r="IZ179" s="199"/>
      <c r="JA179" s="199"/>
      <c r="JB179" s="199"/>
      <c r="JC179" s="199"/>
      <c r="JD179" s="199"/>
      <c r="JE179" s="199"/>
      <c r="JF179" s="199"/>
      <c r="JG179" s="199"/>
      <c r="JH179" s="199"/>
      <c r="JI179" s="199"/>
      <c r="JJ179" s="199"/>
      <c r="JK179" s="199"/>
      <c r="JL179" s="199"/>
      <c r="JM179" s="199"/>
      <c r="JN179" s="199"/>
      <c r="JO179" s="199"/>
      <c r="JP179" s="199"/>
      <c r="JQ179" s="199"/>
      <c r="JR179" s="199"/>
      <c r="JS179" s="199"/>
      <c r="JT179" s="199"/>
      <c r="JU179" s="199"/>
      <c r="JV179" s="199"/>
      <c r="JW179" s="199"/>
      <c r="JX179" s="199"/>
      <c r="JY179" s="199"/>
      <c r="JZ179" s="199"/>
      <c r="KA179" s="199"/>
      <c r="KB179" s="199"/>
      <c r="KC179" s="199"/>
      <c r="KD179" s="199"/>
      <c r="KE179" s="199"/>
      <c r="PQ179" s="201"/>
      <c r="PR179" s="201"/>
      <c r="PS179" s="201"/>
      <c r="PT179" s="201"/>
      <c r="PU179" s="201"/>
      <c r="PV179" s="201"/>
      <c r="PW179" s="201"/>
      <c r="PX179" s="201"/>
      <c r="PY179" s="201"/>
      <c r="PZ179" s="201"/>
      <c r="QA179" s="201"/>
      <c r="QB179" s="201"/>
      <c r="QC179" s="201"/>
      <c r="QD179" s="201"/>
      <c r="QE179" s="201"/>
      <c r="QF179" s="201"/>
      <c r="QG179" s="201"/>
      <c r="QH179" s="201"/>
      <c r="QI179" s="201"/>
      <c r="QJ179" s="201"/>
      <c r="QK179" s="201"/>
      <c r="QL179" s="201"/>
      <c r="QM179" s="201"/>
      <c r="QN179" s="201"/>
      <c r="QO179" s="201"/>
      <c r="QP179" s="201"/>
      <c r="QQ179" s="201"/>
      <c r="QR179" s="201"/>
      <c r="QS179" s="201"/>
      <c r="QT179" s="201"/>
      <c r="QU179" s="201"/>
      <c r="QV179" s="201"/>
      <c r="QW179" s="201"/>
      <c r="QX179" s="201"/>
      <c r="QY179" s="201"/>
      <c r="QZ179" s="201"/>
      <c r="RA179" s="201"/>
      <c r="RB179" s="201"/>
      <c r="RC179" s="201"/>
      <c r="RD179" s="201"/>
      <c r="RE179" s="201"/>
      <c r="RF179" s="201"/>
      <c r="RG179" s="201"/>
      <c r="RH179" s="201"/>
      <c r="RI179" s="201"/>
      <c r="RJ179" s="201"/>
      <c r="RK179" s="201"/>
      <c r="RL179" s="201"/>
      <c r="RM179" s="201"/>
      <c r="RN179" s="201"/>
      <c r="RO179" s="201"/>
      <c r="RP179" s="201"/>
      <c r="RQ179" s="201"/>
      <c r="RR179" s="201"/>
      <c r="RS179" s="201"/>
      <c r="RT179" s="201"/>
      <c r="RU179" s="201"/>
      <c r="RV179" s="201"/>
      <c r="RW179" s="201"/>
      <c r="RX179" s="201"/>
      <c r="RY179" s="201"/>
      <c r="RZ179" s="201"/>
      <c r="SA179" s="201"/>
      <c r="SB179" s="201"/>
      <c r="SC179" s="201"/>
      <c r="SD179" s="201"/>
      <c r="SE179" s="201"/>
      <c r="SF179" s="201"/>
      <c r="SG179" s="201"/>
      <c r="SH179" s="201"/>
      <c r="SI179" s="201"/>
      <c r="SJ179" s="201"/>
      <c r="SK179" s="201"/>
      <c r="SL179" s="201"/>
      <c r="SM179" s="201"/>
      <c r="SN179" s="201"/>
      <c r="SO179" s="201"/>
      <c r="SP179" s="201"/>
      <c r="SQ179" s="201"/>
      <c r="SR179" s="201"/>
      <c r="SS179" s="201"/>
      <c r="ST179" s="201"/>
      <c r="SU179" s="201"/>
      <c r="SV179" s="201"/>
      <c r="SW179" s="201"/>
      <c r="SX179" s="201"/>
      <c r="SY179" s="201"/>
      <c r="SZ179" s="201"/>
      <c r="TA179" s="201"/>
      <c r="TB179" s="201"/>
      <c r="TC179" s="201"/>
      <c r="TD179" s="201"/>
      <c r="TE179" s="201"/>
      <c r="TF179" s="201"/>
      <c r="TG179" s="201"/>
      <c r="TH179" s="201"/>
      <c r="TI179" s="201"/>
      <c r="TJ179" s="201"/>
      <c r="TK179" s="201"/>
      <c r="TL179" s="201"/>
      <c r="TM179" s="201"/>
      <c r="TN179" s="201"/>
      <c r="TO179" s="201"/>
      <c r="TP179" s="201"/>
      <c r="TQ179" s="201"/>
      <c r="TR179" s="201"/>
      <c r="TS179" s="201"/>
      <c r="TT179" s="201"/>
      <c r="TU179" s="201"/>
      <c r="TV179" s="201"/>
      <c r="TW179" s="201"/>
      <c r="TX179" s="201"/>
      <c r="TY179" s="201"/>
      <c r="TZ179" s="201"/>
      <c r="UA179" s="201"/>
      <c r="UB179" s="201"/>
      <c r="UC179" s="201"/>
      <c r="UD179" s="201"/>
      <c r="UE179" s="201"/>
      <c r="UF179" s="201"/>
      <c r="UG179" s="201"/>
      <c r="UH179" s="201"/>
      <c r="UI179" s="201"/>
      <c r="UJ179" s="201"/>
      <c r="UK179" s="201"/>
      <c r="UL179" s="201"/>
      <c r="UM179" s="201"/>
      <c r="UN179" s="201"/>
      <c r="UO179" s="201"/>
      <c r="UP179" s="201"/>
      <c r="UQ179" s="201"/>
      <c r="UR179" s="201"/>
      <c r="US179" s="201"/>
      <c r="UT179" s="201"/>
      <c r="UU179" s="201"/>
    </row>
    <row r="180" spans="2:567" ht="15" x14ac:dyDescent="0.35">
      <c r="B180" s="54" t="str">
        <f>+B129</f>
        <v>[Other Income Item]</v>
      </c>
      <c r="C180" s="161"/>
      <c r="D180" s="161"/>
      <c r="E180" s="162"/>
      <c r="F180" s="162"/>
      <c r="G180" s="162"/>
      <c r="H180" s="162"/>
      <c r="I180" s="166">
        <f>J129</f>
        <v>0</v>
      </c>
      <c r="J180" s="166">
        <f ca="1">SUM(OFFSET($S129,0,$D$167,1,12))</f>
        <v>0</v>
      </c>
      <c r="K180" s="167">
        <f ca="1">SUM(OFFSET($S129,0,$D$168,1,12))</f>
        <v>0</v>
      </c>
      <c r="L180" s="240"/>
      <c r="M180" s="3" t="s">
        <v>853</v>
      </c>
      <c r="R180" s="257"/>
      <c r="S180" s="243"/>
      <c r="T180" s="243"/>
      <c r="U180" s="243"/>
      <c r="V180" s="243"/>
      <c r="W180" s="243"/>
      <c r="X180" s="243"/>
      <c r="Y180" s="243"/>
      <c r="Z180" s="243"/>
      <c r="AA180" s="243"/>
      <c r="AB180" s="243"/>
      <c r="AC180" s="243"/>
      <c r="AD180" s="243"/>
      <c r="AE180" s="243"/>
      <c r="AF180" s="243"/>
      <c r="AG180" s="243"/>
      <c r="AH180" s="243"/>
      <c r="AI180" s="243"/>
      <c r="AJ180" s="243"/>
      <c r="AK180" s="243"/>
      <c r="AL180" s="243"/>
      <c r="AM180" s="243"/>
      <c r="AN180" s="243"/>
      <c r="AO180" s="243"/>
      <c r="AP180" s="243"/>
      <c r="AQ180" s="243"/>
      <c r="AR180" s="243"/>
      <c r="AS180" s="243"/>
      <c r="AT180" s="243"/>
      <c r="AU180" s="243"/>
      <c r="AV180" s="243"/>
      <c r="AW180" s="243"/>
      <c r="AX180" s="243"/>
      <c r="AY180" s="243"/>
      <c r="AZ180" s="243"/>
      <c r="BA180" s="243"/>
      <c r="BB180" s="243"/>
      <c r="BC180" s="243"/>
      <c r="BD180" s="243"/>
      <c r="BE180" s="243"/>
      <c r="BF180" s="243"/>
      <c r="BG180" s="243"/>
      <c r="BH180" s="243"/>
      <c r="BI180" s="243"/>
      <c r="BJ180" s="243"/>
      <c r="BK180" s="243"/>
      <c r="BL180" s="243"/>
      <c r="BM180" s="243"/>
      <c r="BN180" s="243"/>
      <c r="BO180" s="243"/>
      <c r="BP180" s="243"/>
      <c r="BQ180" s="243"/>
      <c r="BR180" s="243"/>
      <c r="BS180" s="243"/>
      <c r="BT180" s="243"/>
      <c r="BU180" s="243"/>
      <c r="BV180" s="243"/>
      <c r="BW180" s="243"/>
      <c r="BX180" s="243"/>
      <c r="BY180" s="243"/>
      <c r="BZ180" s="243"/>
      <c r="CA180" s="243"/>
      <c r="CB180" s="243"/>
      <c r="CC180" s="243"/>
      <c r="CD180" s="243"/>
      <c r="CE180" s="243"/>
      <c r="CF180" s="243"/>
      <c r="CG180" s="243"/>
      <c r="CH180" s="243"/>
      <c r="CI180" s="243"/>
      <c r="CJ180" s="243"/>
      <c r="CK180" s="243"/>
      <c r="CL180" s="243"/>
      <c r="CM180" s="243"/>
      <c r="CN180" s="243"/>
      <c r="CO180" s="243"/>
      <c r="CP180" s="243"/>
      <c r="CQ180" s="243"/>
      <c r="CR180" s="243"/>
      <c r="CS180" s="243"/>
      <c r="CT180" s="243"/>
      <c r="CU180" s="243"/>
      <c r="CV180" s="243"/>
      <c r="CW180" s="243"/>
      <c r="CX180" s="243"/>
      <c r="CY180" s="243"/>
      <c r="CZ180" s="243"/>
      <c r="DA180" s="243"/>
      <c r="DB180" s="243"/>
      <c r="DC180" s="243"/>
      <c r="DD180" s="243"/>
      <c r="DE180" s="243"/>
      <c r="DF180" s="243"/>
      <c r="DG180" s="243"/>
      <c r="DH180" s="243"/>
      <c r="DI180" s="243"/>
      <c r="DJ180" s="243"/>
      <c r="DK180" s="243"/>
      <c r="DL180" s="243"/>
      <c r="DM180" s="243"/>
      <c r="DN180" s="243"/>
      <c r="DO180" s="243"/>
      <c r="DP180" s="243"/>
      <c r="DQ180" s="243"/>
      <c r="DR180" s="243"/>
      <c r="DS180" s="243"/>
      <c r="DT180" s="243"/>
      <c r="DU180" s="243"/>
      <c r="DV180" s="243"/>
      <c r="DW180" s="243"/>
      <c r="DX180" s="243"/>
      <c r="DY180" s="243"/>
      <c r="DZ180" s="243"/>
      <c r="EA180" s="243"/>
      <c r="EB180" s="243"/>
      <c r="EC180" s="243"/>
      <c r="ED180" s="243"/>
      <c r="EE180" s="243"/>
      <c r="EF180" s="243"/>
      <c r="EG180" s="243"/>
      <c r="EH180" s="243"/>
      <c r="EI180" s="243"/>
      <c r="EJ180" s="243"/>
      <c r="EK180" s="243"/>
      <c r="EL180" s="243"/>
      <c r="EM180" s="243"/>
      <c r="EN180" s="243"/>
      <c r="EO180" s="243"/>
      <c r="EP180" s="243"/>
      <c r="EQ180" s="243"/>
      <c r="ER180" s="243"/>
      <c r="ES180" s="243"/>
      <c r="ET180" s="243"/>
      <c r="EU180" s="243"/>
      <c r="FC180" s="199"/>
      <c r="FD180" s="199"/>
      <c r="FE180" s="199"/>
      <c r="FF180" s="199"/>
      <c r="FG180" s="199"/>
      <c r="FH180" s="199"/>
      <c r="FI180" s="199"/>
      <c r="FJ180" s="199"/>
      <c r="FK180" s="199"/>
      <c r="FL180" s="199"/>
      <c r="FM180" s="199"/>
      <c r="FN180" s="199"/>
      <c r="FO180" s="199"/>
      <c r="FP180" s="199"/>
      <c r="FQ180" s="199"/>
      <c r="FR180" s="199"/>
      <c r="FS180" s="199"/>
      <c r="FT180" s="199"/>
      <c r="FU180" s="199"/>
      <c r="FV180" s="199"/>
      <c r="FW180" s="199"/>
      <c r="FX180" s="199"/>
      <c r="FY180" s="199"/>
      <c r="FZ180" s="199"/>
      <c r="GA180" s="199"/>
      <c r="GB180" s="199"/>
      <c r="GC180" s="199"/>
      <c r="GD180" s="199"/>
      <c r="GE180" s="199"/>
      <c r="GF180" s="199"/>
      <c r="GG180" s="199"/>
      <c r="GH180" s="199"/>
      <c r="GI180" s="199"/>
      <c r="GJ180" s="199"/>
      <c r="GK180" s="199"/>
      <c r="GL180" s="199"/>
      <c r="GM180" s="199"/>
      <c r="GN180" s="199"/>
      <c r="GO180" s="199"/>
      <c r="GP180" s="199"/>
      <c r="GQ180" s="199"/>
      <c r="GR180" s="199"/>
      <c r="GS180" s="199"/>
      <c r="GT180" s="199"/>
      <c r="GU180" s="199"/>
      <c r="GV180" s="199"/>
      <c r="GW180" s="199"/>
      <c r="GX180" s="199"/>
      <c r="GY180" s="199"/>
      <c r="GZ180" s="199"/>
      <c r="HA180" s="199"/>
      <c r="HB180" s="199"/>
      <c r="HC180" s="199"/>
      <c r="HD180" s="199"/>
      <c r="HE180" s="199"/>
      <c r="HF180" s="199"/>
      <c r="HG180" s="199"/>
      <c r="HH180" s="199"/>
      <c r="HI180" s="199"/>
      <c r="HJ180" s="199"/>
      <c r="HK180" s="199"/>
      <c r="HL180" s="199"/>
      <c r="HM180" s="199"/>
      <c r="HN180" s="199"/>
      <c r="HO180" s="199"/>
      <c r="HP180" s="199"/>
      <c r="HQ180" s="199"/>
      <c r="HR180" s="199"/>
      <c r="HS180" s="199"/>
      <c r="HT180" s="199"/>
      <c r="HU180" s="199"/>
      <c r="HV180" s="199"/>
      <c r="HW180" s="199"/>
      <c r="HX180" s="199"/>
      <c r="HY180" s="199"/>
      <c r="HZ180" s="199"/>
      <c r="IA180" s="199"/>
      <c r="IB180" s="199"/>
      <c r="IC180" s="199"/>
      <c r="ID180" s="199"/>
      <c r="IE180" s="199"/>
      <c r="IF180" s="199"/>
      <c r="IG180" s="199"/>
      <c r="IH180" s="199"/>
      <c r="II180" s="199"/>
      <c r="IJ180" s="199"/>
      <c r="IK180" s="199"/>
      <c r="IL180" s="199"/>
      <c r="IM180" s="199"/>
      <c r="IN180" s="199"/>
      <c r="IO180" s="199"/>
      <c r="IP180" s="199"/>
      <c r="IQ180" s="199"/>
      <c r="IR180" s="199"/>
      <c r="IS180" s="199"/>
      <c r="IT180" s="199"/>
      <c r="IU180" s="199"/>
      <c r="IV180" s="199"/>
      <c r="IW180" s="199"/>
      <c r="IX180" s="199"/>
      <c r="IY180" s="199"/>
      <c r="IZ180" s="199"/>
      <c r="JA180" s="199"/>
      <c r="JB180" s="199"/>
      <c r="JC180" s="199"/>
      <c r="JD180" s="199"/>
      <c r="JE180" s="199"/>
      <c r="JF180" s="199"/>
      <c r="JG180" s="199"/>
      <c r="JH180" s="199"/>
      <c r="JI180" s="199"/>
      <c r="JJ180" s="199"/>
      <c r="JK180" s="199"/>
      <c r="JL180" s="199"/>
      <c r="JM180" s="199"/>
      <c r="JN180" s="199"/>
      <c r="JO180" s="199"/>
      <c r="JP180" s="199"/>
      <c r="JQ180" s="199"/>
      <c r="JR180" s="199"/>
      <c r="JS180" s="199"/>
      <c r="JT180" s="199"/>
      <c r="JU180" s="199"/>
      <c r="JV180" s="199"/>
      <c r="JW180" s="199"/>
      <c r="JX180" s="199"/>
      <c r="JY180" s="199"/>
      <c r="JZ180" s="199"/>
      <c r="KA180" s="199"/>
      <c r="KB180" s="199"/>
      <c r="KC180" s="199"/>
      <c r="KD180" s="199"/>
      <c r="KE180" s="199"/>
      <c r="PQ180" s="201"/>
      <c r="PR180" s="201"/>
      <c r="PS180" s="201"/>
      <c r="PT180" s="201"/>
      <c r="PU180" s="201"/>
      <c r="PV180" s="201"/>
      <c r="PW180" s="201"/>
      <c r="PX180" s="201"/>
      <c r="PY180" s="201"/>
      <c r="PZ180" s="201"/>
      <c r="QA180" s="201"/>
      <c r="QB180" s="201"/>
      <c r="QC180" s="201"/>
      <c r="QD180" s="201"/>
      <c r="QE180" s="201"/>
      <c r="QF180" s="201"/>
      <c r="QG180" s="201"/>
      <c r="QH180" s="201"/>
      <c r="QI180" s="201"/>
      <c r="QJ180" s="201"/>
      <c r="QK180" s="201"/>
      <c r="QL180" s="201"/>
      <c r="QM180" s="201"/>
      <c r="QN180" s="201"/>
      <c r="QO180" s="201"/>
      <c r="QP180" s="201"/>
      <c r="QQ180" s="201"/>
      <c r="QR180" s="201"/>
      <c r="QS180" s="201"/>
      <c r="QT180" s="201"/>
      <c r="QU180" s="201"/>
      <c r="QV180" s="201"/>
      <c r="QW180" s="201"/>
      <c r="QX180" s="201"/>
      <c r="QY180" s="201"/>
      <c r="QZ180" s="201"/>
      <c r="RA180" s="201"/>
      <c r="RB180" s="201"/>
      <c r="RC180" s="201"/>
      <c r="RD180" s="201"/>
      <c r="RE180" s="201"/>
      <c r="RF180" s="201"/>
      <c r="RG180" s="201"/>
      <c r="RH180" s="201"/>
      <c r="RI180" s="201"/>
      <c r="RJ180" s="201"/>
      <c r="RK180" s="201"/>
      <c r="RL180" s="201"/>
      <c r="RM180" s="201"/>
      <c r="RN180" s="201"/>
      <c r="RO180" s="201"/>
      <c r="RP180" s="201"/>
      <c r="RQ180" s="201"/>
      <c r="RR180" s="201"/>
      <c r="RS180" s="201"/>
      <c r="RT180" s="201"/>
      <c r="RU180" s="201"/>
      <c r="RV180" s="201"/>
      <c r="RW180" s="201"/>
      <c r="RX180" s="201"/>
      <c r="RY180" s="201"/>
      <c r="RZ180" s="201"/>
      <c r="SA180" s="201"/>
      <c r="SB180" s="201"/>
      <c r="SC180" s="201"/>
      <c r="SD180" s="201"/>
      <c r="SE180" s="201"/>
      <c r="SF180" s="201"/>
      <c r="SG180" s="201"/>
      <c r="SH180" s="201"/>
      <c r="SI180" s="201"/>
      <c r="SJ180" s="201"/>
      <c r="SK180" s="201"/>
      <c r="SL180" s="201"/>
      <c r="SM180" s="201"/>
      <c r="SN180" s="201"/>
      <c r="SO180" s="201"/>
      <c r="SP180" s="201"/>
      <c r="SQ180" s="201"/>
      <c r="SR180" s="201"/>
      <c r="SS180" s="201"/>
      <c r="ST180" s="201"/>
      <c r="SU180" s="201"/>
      <c r="SV180" s="201"/>
      <c r="SW180" s="201"/>
      <c r="SX180" s="201"/>
      <c r="SY180" s="201"/>
      <c r="SZ180" s="201"/>
      <c r="TA180" s="201"/>
      <c r="TB180" s="201"/>
      <c r="TC180" s="201"/>
      <c r="TD180" s="201"/>
      <c r="TE180" s="201"/>
      <c r="TF180" s="201"/>
      <c r="TG180" s="201"/>
      <c r="TH180" s="201"/>
      <c r="TI180" s="201"/>
      <c r="TJ180" s="201"/>
      <c r="TK180" s="201"/>
      <c r="TL180" s="201"/>
      <c r="TM180" s="201"/>
      <c r="TN180" s="201"/>
      <c r="TO180" s="201"/>
      <c r="TP180" s="201"/>
      <c r="TQ180" s="201"/>
      <c r="TR180" s="201"/>
      <c r="TS180" s="201"/>
      <c r="TT180" s="201"/>
      <c r="TU180" s="201"/>
      <c r="TV180" s="201"/>
      <c r="TW180" s="201"/>
      <c r="TX180" s="201"/>
      <c r="TY180" s="201"/>
      <c r="TZ180" s="201"/>
      <c r="UA180" s="201"/>
      <c r="UB180" s="201"/>
      <c r="UC180" s="201"/>
      <c r="UD180" s="201"/>
      <c r="UE180" s="201"/>
      <c r="UF180" s="201"/>
      <c r="UG180" s="201"/>
      <c r="UH180" s="201"/>
      <c r="UI180" s="201"/>
      <c r="UJ180" s="201"/>
      <c r="UK180" s="201"/>
      <c r="UL180" s="201"/>
      <c r="UM180" s="201"/>
      <c r="UN180" s="201"/>
      <c r="UO180" s="201"/>
      <c r="UP180" s="201"/>
      <c r="UQ180" s="201"/>
      <c r="UR180" s="201"/>
      <c r="US180" s="201"/>
      <c r="UT180" s="201"/>
      <c r="UU180" s="201"/>
    </row>
    <row r="181" spans="2:567" x14ac:dyDescent="0.25">
      <c r="B181" s="18" t="s">
        <v>138</v>
      </c>
      <c r="C181" s="161"/>
      <c r="D181" s="161"/>
      <c r="E181" s="162"/>
      <c r="F181" s="162"/>
      <c r="G181" s="162"/>
      <c r="H181" s="162"/>
      <c r="I181" s="164">
        <f>SUM(I177:I180)</f>
        <v>198000</v>
      </c>
      <c r="J181" s="164">
        <f ca="1">SUM(J177:J180)</f>
        <v>317227.88338407554</v>
      </c>
      <c r="K181" s="574">
        <f ca="1">SUM(K177:K180)</f>
        <v>325158.58046867698</v>
      </c>
      <c r="L181" s="240"/>
      <c r="R181" s="257"/>
      <c r="S181" s="243"/>
      <c r="T181" s="243"/>
      <c r="U181" s="243"/>
      <c r="V181" s="243"/>
      <c r="W181" s="243"/>
      <c r="X181" s="243"/>
      <c r="Y181" s="243"/>
      <c r="Z181" s="243"/>
      <c r="AA181" s="243"/>
      <c r="AB181" s="243"/>
      <c r="AC181" s="243"/>
      <c r="AD181" s="243"/>
      <c r="AE181" s="243"/>
      <c r="AF181" s="243"/>
      <c r="AG181" s="243"/>
      <c r="AH181" s="243"/>
      <c r="AI181" s="243"/>
      <c r="AJ181" s="243"/>
      <c r="AK181" s="243"/>
      <c r="AL181" s="243"/>
      <c r="AM181" s="243"/>
      <c r="AN181" s="243"/>
      <c r="AO181" s="243"/>
      <c r="AP181" s="243"/>
      <c r="AQ181" s="243"/>
      <c r="AR181" s="243"/>
      <c r="AS181" s="243"/>
      <c r="AT181" s="243"/>
      <c r="AU181" s="243"/>
      <c r="AV181" s="243"/>
      <c r="AW181" s="243"/>
      <c r="AX181" s="243"/>
      <c r="AY181" s="243"/>
      <c r="AZ181" s="243"/>
      <c r="BA181" s="243"/>
      <c r="BB181" s="243"/>
      <c r="BC181" s="243"/>
      <c r="BD181" s="243"/>
      <c r="BE181" s="243"/>
      <c r="BF181" s="243"/>
      <c r="BG181" s="243"/>
      <c r="BH181" s="243"/>
      <c r="BI181" s="243"/>
      <c r="BJ181" s="243"/>
      <c r="BK181" s="243"/>
      <c r="BL181" s="243"/>
      <c r="BM181" s="243"/>
      <c r="BN181" s="243"/>
      <c r="BO181" s="243"/>
      <c r="BP181" s="243"/>
      <c r="BQ181" s="243"/>
      <c r="BR181" s="243"/>
      <c r="BS181" s="243"/>
      <c r="BT181" s="243"/>
      <c r="BU181" s="243"/>
      <c r="BV181" s="243"/>
      <c r="BW181" s="243"/>
      <c r="BX181" s="243"/>
      <c r="BY181" s="243"/>
      <c r="BZ181" s="243"/>
      <c r="CA181" s="243"/>
      <c r="CB181" s="243"/>
      <c r="CC181" s="243"/>
      <c r="CD181" s="243"/>
      <c r="CE181" s="243"/>
      <c r="CF181" s="243"/>
      <c r="CG181" s="243"/>
      <c r="CH181" s="243"/>
      <c r="CI181" s="243"/>
      <c r="CJ181" s="243"/>
      <c r="CK181" s="243"/>
      <c r="CL181" s="243"/>
      <c r="CM181" s="243"/>
      <c r="CN181" s="243"/>
      <c r="CO181" s="243"/>
      <c r="CP181" s="243"/>
      <c r="CQ181" s="243"/>
      <c r="CR181" s="243"/>
      <c r="CS181" s="243"/>
      <c r="CT181" s="243"/>
      <c r="CU181" s="243"/>
      <c r="CV181" s="243"/>
      <c r="CW181" s="243"/>
      <c r="CX181" s="243"/>
      <c r="CY181" s="243"/>
      <c r="CZ181" s="243"/>
      <c r="DA181" s="243"/>
      <c r="DB181" s="243"/>
      <c r="DC181" s="243"/>
      <c r="DD181" s="243"/>
      <c r="DE181" s="243"/>
      <c r="DF181" s="243"/>
      <c r="DG181" s="243"/>
      <c r="DH181" s="243"/>
      <c r="DI181" s="243"/>
      <c r="DJ181" s="243"/>
      <c r="DK181" s="243"/>
      <c r="DL181" s="243"/>
      <c r="DM181" s="243"/>
      <c r="DN181" s="243"/>
      <c r="DO181" s="243"/>
      <c r="DP181" s="243"/>
      <c r="DQ181" s="243"/>
      <c r="DR181" s="243"/>
      <c r="DS181" s="243"/>
      <c r="DT181" s="243"/>
      <c r="DU181" s="243"/>
      <c r="DV181" s="243"/>
      <c r="DW181" s="243"/>
      <c r="DX181" s="243"/>
      <c r="DY181" s="243"/>
      <c r="DZ181" s="243"/>
      <c r="EA181" s="243"/>
      <c r="EB181" s="243"/>
      <c r="EC181" s="243"/>
      <c r="ED181" s="243"/>
      <c r="EE181" s="243"/>
      <c r="EF181" s="243"/>
      <c r="EG181" s="243"/>
      <c r="EH181" s="243"/>
      <c r="EI181" s="243"/>
      <c r="EJ181" s="243"/>
      <c r="EK181" s="243"/>
      <c r="EL181" s="243"/>
      <c r="EM181" s="243"/>
      <c r="EN181" s="243"/>
      <c r="EO181" s="243"/>
      <c r="EP181" s="243"/>
      <c r="EQ181" s="243"/>
      <c r="ER181" s="243"/>
      <c r="ES181" s="243"/>
      <c r="ET181" s="243"/>
      <c r="EU181" s="243"/>
      <c r="FC181" s="199"/>
      <c r="FD181" s="199"/>
      <c r="FE181" s="199"/>
      <c r="FF181" s="199"/>
      <c r="FG181" s="199"/>
      <c r="FH181" s="199"/>
      <c r="FI181" s="199"/>
      <c r="FJ181" s="199"/>
      <c r="FK181" s="199"/>
      <c r="FL181" s="199"/>
      <c r="FM181" s="199"/>
      <c r="FN181" s="199"/>
      <c r="FO181" s="199"/>
      <c r="FP181" s="199"/>
      <c r="FQ181" s="199"/>
      <c r="FR181" s="199"/>
      <c r="FS181" s="199"/>
      <c r="FT181" s="199"/>
      <c r="FU181" s="199"/>
      <c r="FV181" s="199"/>
      <c r="FW181" s="199"/>
      <c r="FX181" s="199"/>
      <c r="FY181" s="199"/>
      <c r="FZ181" s="199"/>
      <c r="GA181" s="199"/>
      <c r="GB181" s="199"/>
      <c r="GC181" s="199"/>
      <c r="GD181" s="199"/>
      <c r="GE181" s="199"/>
      <c r="GF181" s="199"/>
      <c r="GG181" s="199"/>
      <c r="GH181" s="199"/>
      <c r="GI181" s="199"/>
      <c r="GJ181" s="199"/>
      <c r="GK181" s="199"/>
      <c r="GL181" s="199"/>
      <c r="GM181" s="199"/>
      <c r="GN181" s="199"/>
      <c r="GO181" s="199"/>
      <c r="GP181" s="199"/>
      <c r="GQ181" s="199"/>
      <c r="GR181" s="199"/>
      <c r="GS181" s="199"/>
      <c r="GT181" s="199"/>
      <c r="GU181" s="199"/>
      <c r="GV181" s="199"/>
      <c r="GW181" s="199"/>
      <c r="GX181" s="199"/>
      <c r="GY181" s="199"/>
      <c r="GZ181" s="199"/>
      <c r="HA181" s="199"/>
      <c r="HB181" s="199"/>
      <c r="HC181" s="199"/>
      <c r="HD181" s="199"/>
      <c r="HE181" s="199"/>
      <c r="HF181" s="199"/>
      <c r="HG181" s="199"/>
      <c r="HH181" s="199"/>
      <c r="HI181" s="199"/>
      <c r="HJ181" s="199"/>
      <c r="HK181" s="199"/>
      <c r="HL181" s="199"/>
      <c r="HM181" s="199"/>
      <c r="HN181" s="199"/>
      <c r="HO181" s="199"/>
      <c r="HP181" s="199"/>
      <c r="HQ181" s="199"/>
      <c r="HR181" s="199"/>
      <c r="HS181" s="199"/>
      <c r="HT181" s="199"/>
      <c r="HU181" s="199"/>
      <c r="HV181" s="199"/>
      <c r="HW181" s="199"/>
      <c r="HX181" s="199"/>
      <c r="HY181" s="199"/>
      <c r="HZ181" s="199"/>
      <c r="IA181" s="199"/>
      <c r="IB181" s="199"/>
      <c r="IC181" s="199"/>
      <c r="ID181" s="199"/>
      <c r="IE181" s="199"/>
      <c r="IF181" s="199"/>
      <c r="IG181" s="199"/>
      <c r="IH181" s="199"/>
      <c r="II181" s="199"/>
      <c r="IJ181" s="199"/>
      <c r="IK181" s="199"/>
      <c r="IL181" s="199"/>
      <c r="IM181" s="199"/>
      <c r="IN181" s="199"/>
      <c r="IO181" s="199"/>
      <c r="IP181" s="199"/>
      <c r="IQ181" s="199"/>
      <c r="IR181" s="199"/>
      <c r="IS181" s="199"/>
      <c r="IT181" s="199"/>
      <c r="IU181" s="199"/>
      <c r="IV181" s="199"/>
      <c r="IW181" s="199"/>
      <c r="IX181" s="199"/>
      <c r="IY181" s="199"/>
      <c r="IZ181" s="199"/>
      <c r="JA181" s="199"/>
      <c r="JB181" s="199"/>
      <c r="JC181" s="199"/>
      <c r="JD181" s="199"/>
      <c r="JE181" s="199"/>
      <c r="JF181" s="199"/>
      <c r="JG181" s="199"/>
      <c r="JH181" s="199"/>
      <c r="JI181" s="199"/>
      <c r="JJ181" s="199"/>
      <c r="JK181" s="199"/>
      <c r="JL181" s="199"/>
      <c r="JM181" s="199"/>
      <c r="JN181" s="199"/>
      <c r="JO181" s="199"/>
      <c r="JP181" s="199"/>
      <c r="JQ181" s="199"/>
      <c r="JR181" s="199"/>
      <c r="JS181" s="199"/>
      <c r="JT181" s="199"/>
      <c r="JU181" s="199"/>
      <c r="JV181" s="199"/>
      <c r="JW181" s="199"/>
      <c r="JX181" s="199"/>
      <c r="JY181" s="199"/>
      <c r="JZ181" s="199"/>
      <c r="KA181" s="199"/>
      <c r="KB181" s="199"/>
      <c r="KC181" s="199"/>
      <c r="KD181" s="199"/>
      <c r="KE181" s="199"/>
      <c r="PQ181" s="201"/>
      <c r="PR181" s="201"/>
      <c r="PS181" s="201"/>
      <c r="PT181" s="201"/>
      <c r="PU181" s="201"/>
      <c r="PV181" s="201"/>
      <c r="PW181" s="201"/>
      <c r="PX181" s="201"/>
      <c r="PY181" s="201"/>
      <c r="PZ181" s="201"/>
      <c r="QA181" s="201"/>
      <c r="QB181" s="201"/>
      <c r="QC181" s="201"/>
      <c r="QD181" s="201"/>
      <c r="QE181" s="201"/>
      <c r="QF181" s="201"/>
      <c r="QG181" s="201"/>
      <c r="QH181" s="201"/>
      <c r="QI181" s="201"/>
      <c r="QJ181" s="201"/>
      <c r="QK181" s="201"/>
      <c r="QL181" s="201"/>
      <c r="QM181" s="201"/>
      <c r="QN181" s="201"/>
      <c r="QO181" s="201"/>
      <c r="QP181" s="201"/>
      <c r="QQ181" s="201"/>
      <c r="QR181" s="201"/>
      <c r="QS181" s="201"/>
      <c r="QT181" s="201"/>
      <c r="QU181" s="201"/>
      <c r="QV181" s="201"/>
      <c r="QW181" s="201"/>
      <c r="QX181" s="201"/>
      <c r="QY181" s="201"/>
      <c r="QZ181" s="201"/>
      <c r="RA181" s="201"/>
      <c r="RB181" s="201"/>
      <c r="RC181" s="201"/>
      <c r="RD181" s="201"/>
      <c r="RE181" s="201"/>
      <c r="RF181" s="201"/>
      <c r="RG181" s="201"/>
      <c r="RH181" s="201"/>
      <c r="RI181" s="201"/>
      <c r="RJ181" s="201"/>
      <c r="RK181" s="201"/>
      <c r="RL181" s="201"/>
      <c r="RM181" s="201"/>
      <c r="RN181" s="201"/>
      <c r="RO181" s="201"/>
      <c r="RP181" s="201"/>
      <c r="RQ181" s="201"/>
      <c r="RR181" s="201"/>
      <c r="RS181" s="201"/>
      <c r="RT181" s="201"/>
      <c r="RU181" s="201"/>
      <c r="RV181" s="201"/>
      <c r="RW181" s="201"/>
      <c r="RX181" s="201"/>
      <c r="RY181" s="201"/>
      <c r="RZ181" s="201"/>
      <c r="SA181" s="201"/>
      <c r="SB181" s="201"/>
      <c r="SC181" s="201"/>
      <c r="SD181" s="201"/>
      <c r="SE181" s="201"/>
      <c r="SF181" s="201"/>
      <c r="SG181" s="201"/>
      <c r="SH181" s="201"/>
      <c r="SI181" s="201"/>
      <c r="SJ181" s="201"/>
      <c r="SK181" s="201"/>
      <c r="SL181" s="201"/>
      <c r="SM181" s="201"/>
      <c r="SN181" s="201"/>
      <c r="SO181" s="201"/>
      <c r="SP181" s="201"/>
      <c r="SQ181" s="201"/>
      <c r="SR181" s="201"/>
      <c r="SS181" s="201"/>
      <c r="ST181" s="201"/>
      <c r="SU181" s="201"/>
      <c r="SV181" s="201"/>
      <c r="SW181" s="201"/>
      <c r="SX181" s="201"/>
      <c r="SY181" s="201"/>
      <c r="SZ181" s="201"/>
      <c r="TA181" s="201"/>
      <c r="TB181" s="201"/>
      <c r="TC181" s="201"/>
      <c r="TD181" s="201"/>
      <c r="TE181" s="201"/>
      <c r="TF181" s="201"/>
      <c r="TG181" s="201"/>
      <c r="TH181" s="201"/>
      <c r="TI181" s="201"/>
      <c r="TJ181" s="201"/>
      <c r="TK181" s="201"/>
      <c r="TL181" s="201"/>
      <c r="TM181" s="201"/>
      <c r="TN181" s="201"/>
      <c r="TO181" s="201"/>
      <c r="TP181" s="201"/>
      <c r="TQ181" s="201"/>
      <c r="TR181" s="201"/>
      <c r="TS181" s="201"/>
      <c r="TT181" s="201"/>
      <c r="TU181" s="201"/>
      <c r="TV181" s="201"/>
      <c r="TW181" s="201"/>
      <c r="TX181" s="201"/>
      <c r="TY181" s="201"/>
      <c r="TZ181" s="201"/>
      <c r="UA181" s="201"/>
      <c r="UB181" s="201"/>
      <c r="UC181" s="201"/>
      <c r="UD181" s="201"/>
      <c r="UE181" s="201"/>
      <c r="UF181" s="201"/>
      <c r="UG181" s="201"/>
      <c r="UH181" s="201"/>
      <c r="UI181" s="201"/>
      <c r="UJ181" s="201"/>
      <c r="UK181" s="201"/>
      <c r="UL181" s="201"/>
      <c r="UM181" s="201"/>
      <c r="UN181" s="201"/>
      <c r="UO181" s="201"/>
      <c r="UP181" s="201"/>
      <c r="UQ181" s="201"/>
      <c r="UR181" s="201"/>
      <c r="US181" s="201"/>
      <c r="UT181" s="201"/>
      <c r="UU181" s="201"/>
    </row>
    <row r="182" spans="2:567" x14ac:dyDescent="0.25">
      <c r="B182" s="18" t="s">
        <v>139</v>
      </c>
      <c r="C182" s="161"/>
      <c r="D182" s="161"/>
      <c r="E182" s="162"/>
      <c r="F182" s="162"/>
      <c r="G182" s="162"/>
      <c r="H182" s="162"/>
      <c r="I182" s="164">
        <f>+I181+I175</f>
        <v>5465620.3153846152</v>
      </c>
      <c r="J182" s="164">
        <f ca="1">+J181+J175</f>
        <v>7104391.8462103726</v>
      </c>
      <c r="K182" s="164">
        <f ca="1">+K181+K175</f>
        <v>7282001.6423656205</v>
      </c>
      <c r="L182" s="240"/>
      <c r="R182" s="257"/>
      <c r="S182" s="243"/>
      <c r="T182" s="243"/>
      <c r="U182" s="243"/>
      <c r="V182" s="243"/>
      <c r="W182" s="243"/>
      <c r="X182" s="243"/>
      <c r="Y182" s="243"/>
      <c r="Z182" s="243"/>
      <c r="AA182" s="243"/>
      <c r="AB182" s="243"/>
      <c r="AC182" s="243"/>
      <c r="AD182" s="243"/>
      <c r="AE182" s="243"/>
      <c r="AF182" s="243"/>
      <c r="AG182" s="243"/>
      <c r="AH182" s="243"/>
      <c r="AI182" s="243"/>
      <c r="AJ182" s="243"/>
      <c r="AK182" s="243"/>
      <c r="AL182" s="243"/>
      <c r="AM182" s="243"/>
      <c r="AN182" s="243"/>
      <c r="AO182" s="243"/>
      <c r="AP182" s="243"/>
      <c r="AQ182" s="243"/>
      <c r="AR182" s="243"/>
      <c r="AS182" s="243"/>
      <c r="AT182" s="243"/>
      <c r="AU182" s="243"/>
      <c r="AV182" s="243"/>
      <c r="AW182" s="243"/>
      <c r="AX182" s="243"/>
      <c r="AY182" s="243"/>
      <c r="AZ182" s="243"/>
      <c r="BA182" s="243"/>
      <c r="BB182" s="243"/>
      <c r="BC182" s="243"/>
      <c r="BD182" s="243"/>
      <c r="BE182" s="243"/>
      <c r="BF182" s="243"/>
      <c r="BG182" s="243"/>
      <c r="BH182" s="243"/>
      <c r="BI182" s="243"/>
      <c r="BJ182" s="243"/>
      <c r="BK182" s="243"/>
      <c r="BL182" s="243"/>
      <c r="BM182" s="243"/>
      <c r="BN182" s="243"/>
      <c r="BO182" s="243"/>
      <c r="BP182" s="243"/>
      <c r="BQ182" s="243"/>
      <c r="BR182" s="243"/>
      <c r="BS182" s="243"/>
      <c r="BT182" s="243"/>
      <c r="BU182" s="243"/>
      <c r="BV182" s="243"/>
      <c r="BW182" s="243"/>
      <c r="BX182" s="243"/>
      <c r="BY182" s="243"/>
      <c r="BZ182" s="243"/>
      <c r="CA182" s="243"/>
      <c r="CB182" s="243"/>
      <c r="CC182" s="243"/>
      <c r="CD182" s="243"/>
      <c r="CE182" s="243"/>
      <c r="CF182" s="243"/>
      <c r="CG182" s="243"/>
      <c r="CH182" s="243"/>
      <c r="CI182" s="243"/>
      <c r="CJ182" s="243"/>
      <c r="CK182" s="243"/>
      <c r="CL182" s="243"/>
      <c r="CM182" s="243"/>
      <c r="CN182" s="243"/>
      <c r="CO182" s="243"/>
      <c r="CP182" s="243"/>
      <c r="CQ182" s="243"/>
      <c r="CR182" s="243"/>
      <c r="CS182" s="243"/>
      <c r="CT182" s="243"/>
      <c r="CU182" s="243"/>
      <c r="CV182" s="243"/>
      <c r="CW182" s="243"/>
      <c r="CX182" s="243"/>
      <c r="CY182" s="243"/>
      <c r="CZ182" s="243"/>
      <c r="DA182" s="243"/>
      <c r="DB182" s="243"/>
      <c r="DC182" s="243"/>
      <c r="DD182" s="243"/>
      <c r="DE182" s="243"/>
      <c r="DF182" s="243"/>
      <c r="DG182" s="243"/>
      <c r="DH182" s="243"/>
      <c r="DI182" s="243"/>
      <c r="DJ182" s="243"/>
      <c r="DK182" s="243"/>
      <c r="DL182" s="243"/>
      <c r="DM182" s="243"/>
      <c r="DN182" s="243"/>
      <c r="DO182" s="243"/>
      <c r="DP182" s="243"/>
      <c r="DQ182" s="243"/>
      <c r="DR182" s="243"/>
      <c r="DS182" s="243"/>
      <c r="DT182" s="243"/>
      <c r="DU182" s="243"/>
      <c r="DV182" s="243"/>
      <c r="DW182" s="243"/>
      <c r="DX182" s="243"/>
      <c r="DY182" s="243"/>
      <c r="DZ182" s="243"/>
      <c r="EA182" s="243"/>
      <c r="EB182" s="243"/>
      <c r="EC182" s="243"/>
      <c r="ED182" s="243"/>
      <c r="EE182" s="243"/>
      <c r="EF182" s="243"/>
      <c r="EG182" s="243"/>
      <c r="EH182" s="243"/>
      <c r="EI182" s="243"/>
      <c r="EJ182" s="243"/>
      <c r="EK182" s="243"/>
      <c r="EL182" s="243"/>
      <c r="EM182" s="243"/>
      <c r="EN182" s="243"/>
      <c r="EO182" s="243"/>
      <c r="EP182" s="243"/>
      <c r="EQ182" s="243"/>
      <c r="ER182" s="243"/>
      <c r="ES182" s="243"/>
      <c r="ET182" s="243"/>
      <c r="EU182" s="243"/>
      <c r="FC182" s="199"/>
      <c r="FD182" s="199"/>
      <c r="FE182" s="199"/>
      <c r="FF182" s="199"/>
      <c r="FG182" s="199"/>
      <c r="FH182" s="199"/>
      <c r="FI182" s="199"/>
      <c r="FJ182" s="199"/>
      <c r="FK182" s="199"/>
      <c r="FL182" s="199"/>
      <c r="FM182" s="199"/>
      <c r="FN182" s="199"/>
      <c r="FO182" s="199"/>
      <c r="FP182" s="199"/>
      <c r="FQ182" s="199"/>
      <c r="FR182" s="199"/>
      <c r="FS182" s="199"/>
      <c r="FT182" s="199"/>
      <c r="FU182" s="199"/>
      <c r="FV182" s="199"/>
      <c r="FW182" s="199"/>
      <c r="FX182" s="199"/>
      <c r="FY182" s="199"/>
      <c r="FZ182" s="199"/>
      <c r="GA182" s="199"/>
      <c r="GB182" s="199"/>
      <c r="GC182" s="199"/>
      <c r="GD182" s="199"/>
      <c r="GE182" s="199"/>
      <c r="GF182" s="199"/>
      <c r="GG182" s="199"/>
      <c r="GH182" s="199"/>
      <c r="GI182" s="199"/>
      <c r="GJ182" s="199"/>
      <c r="GK182" s="199"/>
      <c r="GL182" s="199"/>
      <c r="GM182" s="199"/>
      <c r="GN182" s="199"/>
      <c r="GO182" s="199"/>
      <c r="GP182" s="199"/>
      <c r="GQ182" s="199"/>
      <c r="GR182" s="199"/>
      <c r="GS182" s="199"/>
      <c r="GT182" s="199"/>
      <c r="GU182" s="199"/>
      <c r="GV182" s="199"/>
      <c r="GW182" s="199"/>
      <c r="GX182" s="199"/>
      <c r="GY182" s="199"/>
      <c r="GZ182" s="199"/>
      <c r="HA182" s="199"/>
      <c r="HB182" s="199"/>
      <c r="HC182" s="199"/>
      <c r="HD182" s="199"/>
      <c r="HE182" s="199"/>
      <c r="HF182" s="199"/>
      <c r="HG182" s="199"/>
      <c r="HH182" s="199"/>
      <c r="HI182" s="199"/>
      <c r="HJ182" s="199"/>
      <c r="HK182" s="199"/>
      <c r="HL182" s="199"/>
      <c r="HM182" s="199"/>
      <c r="HN182" s="199"/>
      <c r="HO182" s="199"/>
      <c r="HP182" s="199"/>
      <c r="HQ182" s="199"/>
      <c r="HR182" s="199"/>
      <c r="HS182" s="199"/>
      <c r="HT182" s="199"/>
      <c r="HU182" s="199"/>
      <c r="HV182" s="199"/>
      <c r="HW182" s="199"/>
      <c r="HX182" s="199"/>
      <c r="HY182" s="199"/>
      <c r="HZ182" s="199"/>
      <c r="IA182" s="199"/>
      <c r="IB182" s="199"/>
      <c r="IC182" s="199"/>
      <c r="ID182" s="199"/>
      <c r="IE182" s="199"/>
      <c r="IF182" s="199"/>
      <c r="IG182" s="199"/>
      <c r="IH182" s="199"/>
      <c r="II182" s="199"/>
      <c r="IJ182" s="199"/>
      <c r="IK182" s="199"/>
      <c r="IL182" s="199"/>
      <c r="IM182" s="199"/>
      <c r="IN182" s="199"/>
      <c r="IO182" s="199"/>
      <c r="IP182" s="199"/>
      <c r="IQ182" s="199"/>
      <c r="IR182" s="199"/>
      <c r="IS182" s="199"/>
      <c r="IT182" s="199"/>
      <c r="IU182" s="199"/>
      <c r="IV182" s="199"/>
      <c r="IW182" s="199"/>
      <c r="IX182" s="199"/>
      <c r="IY182" s="199"/>
      <c r="IZ182" s="199"/>
      <c r="JA182" s="199"/>
      <c r="JB182" s="199"/>
      <c r="JC182" s="199"/>
      <c r="JD182" s="199"/>
      <c r="JE182" s="199"/>
      <c r="JF182" s="199"/>
      <c r="JG182" s="199"/>
      <c r="JH182" s="199"/>
      <c r="JI182" s="199"/>
      <c r="JJ182" s="199"/>
      <c r="JK182" s="199"/>
      <c r="JL182" s="199"/>
      <c r="JM182" s="199"/>
      <c r="JN182" s="199"/>
      <c r="JO182" s="199"/>
      <c r="JP182" s="199"/>
      <c r="JQ182" s="199"/>
      <c r="JR182" s="199"/>
      <c r="JS182" s="199"/>
      <c r="JT182" s="199"/>
      <c r="JU182" s="199"/>
      <c r="JV182" s="199"/>
      <c r="JW182" s="199"/>
      <c r="JX182" s="199"/>
      <c r="JY182" s="199"/>
      <c r="JZ182" s="199"/>
      <c r="KA182" s="199"/>
      <c r="KB182" s="199"/>
      <c r="KC182" s="199"/>
      <c r="KD182" s="199"/>
      <c r="KE182" s="199"/>
      <c r="PQ182" s="201"/>
      <c r="PR182" s="201"/>
      <c r="PS182" s="201"/>
      <c r="PT182" s="201"/>
      <c r="PU182" s="201"/>
      <c r="PV182" s="201"/>
      <c r="PW182" s="201"/>
      <c r="PX182" s="201"/>
      <c r="PY182" s="201"/>
      <c r="PZ182" s="201"/>
      <c r="QA182" s="201"/>
      <c r="QB182" s="201"/>
      <c r="QC182" s="201"/>
      <c r="QD182" s="201"/>
      <c r="QE182" s="201"/>
      <c r="QF182" s="201"/>
      <c r="QG182" s="201"/>
      <c r="QH182" s="201"/>
      <c r="QI182" s="201"/>
      <c r="QJ182" s="201"/>
      <c r="QK182" s="201"/>
      <c r="QL182" s="201"/>
      <c r="QM182" s="201"/>
      <c r="QN182" s="201"/>
      <c r="QO182" s="201"/>
      <c r="QP182" s="201"/>
      <c r="QQ182" s="201"/>
      <c r="QR182" s="201"/>
      <c r="QS182" s="201"/>
      <c r="QT182" s="201"/>
      <c r="QU182" s="201"/>
      <c r="QV182" s="201"/>
      <c r="QW182" s="201"/>
      <c r="QX182" s="201"/>
      <c r="QY182" s="201"/>
      <c r="QZ182" s="201"/>
      <c r="RA182" s="201"/>
      <c r="RB182" s="201"/>
      <c r="RC182" s="201"/>
      <c r="RD182" s="201"/>
      <c r="RE182" s="201"/>
      <c r="RF182" s="201"/>
      <c r="RG182" s="201"/>
      <c r="RH182" s="201"/>
      <c r="RI182" s="201"/>
      <c r="RJ182" s="201"/>
      <c r="RK182" s="201"/>
      <c r="RL182" s="201"/>
      <c r="RM182" s="201"/>
      <c r="RN182" s="201"/>
      <c r="RO182" s="201"/>
      <c r="RP182" s="201"/>
      <c r="RQ182" s="201"/>
      <c r="RR182" s="201"/>
      <c r="RS182" s="201"/>
      <c r="RT182" s="201"/>
      <c r="RU182" s="201"/>
      <c r="RV182" s="201"/>
      <c r="RW182" s="201"/>
      <c r="RX182" s="201"/>
      <c r="RY182" s="201"/>
      <c r="RZ182" s="201"/>
      <c r="SA182" s="201"/>
      <c r="SB182" s="201"/>
      <c r="SC182" s="201"/>
      <c r="SD182" s="201"/>
      <c r="SE182" s="201"/>
      <c r="SF182" s="201"/>
      <c r="SG182" s="201"/>
      <c r="SH182" s="201"/>
      <c r="SI182" s="201"/>
      <c r="SJ182" s="201"/>
      <c r="SK182" s="201"/>
      <c r="SL182" s="201"/>
      <c r="SM182" s="201"/>
      <c r="SN182" s="201"/>
      <c r="SO182" s="201"/>
      <c r="SP182" s="201"/>
      <c r="SQ182" s="201"/>
      <c r="SR182" s="201"/>
      <c r="SS182" s="201"/>
      <c r="ST182" s="201"/>
      <c r="SU182" s="201"/>
      <c r="SV182" s="201"/>
      <c r="SW182" s="201"/>
      <c r="SX182" s="201"/>
      <c r="SY182" s="201"/>
      <c r="SZ182" s="201"/>
      <c r="TA182" s="201"/>
      <c r="TB182" s="201"/>
      <c r="TC182" s="201"/>
      <c r="TD182" s="201"/>
      <c r="TE182" s="201"/>
      <c r="TF182" s="201"/>
      <c r="TG182" s="201"/>
      <c r="TH182" s="201"/>
      <c r="TI182" s="201"/>
      <c r="TJ182" s="201"/>
      <c r="TK182" s="201"/>
      <c r="TL182" s="201"/>
      <c r="TM182" s="201"/>
      <c r="TN182" s="201"/>
      <c r="TO182" s="201"/>
      <c r="TP182" s="201"/>
      <c r="TQ182" s="201"/>
      <c r="TR182" s="201"/>
      <c r="TS182" s="201"/>
      <c r="TT182" s="201"/>
      <c r="TU182" s="201"/>
      <c r="TV182" s="201"/>
      <c r="TW182" s="201"/>
      <c r="TX182" s="201"/>
      <c r="TY182" s="201"/>
      <c r="TZ182" s="201"/>
      <c r="UA182" s="201"/>
      <c r="UB182" s="201"/>
      <c r="UC182" s="201"/>
      <c r="UD182" s="201"/>
      <c r="UE182" s="201"/>
      <c r="UF182" s="201"/>
      <c r="UG182" s="201"/>
      <c r="UH182" s="201"/>
      <c r="UI182" s="201"/>
      <c r="UJ182" s="201"/>
      <c r="UK182" s="201"/>
      <c r="UL182" s="201"/>
      <c r="UM182" s="201"/>
      <c r="UN182" s="201"/>
      <c r="UO182" s="201"/>
      <c r="UP182" s="201"/>
      <c r="UQ182" s="201"/>
      <c r="UR182" s="201"/>
      <c r="US182" s="201"/>
      <c r="UT182" s="201"/>
      <c r="UU182" s="201"/>
    </row>
    <row r="183" spans="2:567" x14ac:dyDescent="0.25">
      <c r="B183" s="107" t="s">
        <v>399</v>
      </c>
      <c r="C183" s="161"/>
      <c r="D183" s="161"/>
      <c r="E183" s="162"/>
      <c r="F183" s="162"/>
      <c r="G183" s="162"/>
      <c r="H183" s="162"/>
      <c r="I183" s="164">
        <f>J132</f>
        <v>-382593.42207692307</v>
      </c>
      <c r="J183" s="164">
        <f ca="1">SUM(OFFSET($S132,0,$D$167,1,12))</f>
        <v>-354046.73606051854</v>
      </c>
      <c r="K183" s="165">
        <f ca="1">SUM(OFFSET($S132,0,$D$168,1,12))</f>
        <v>-364100.08211828105</v>
      </c>
      <c r="L183" s="240"/>
      <c r="M183" s="3" t="s">
        <v>853</v>
      </c>
      <c r="R183" s="257"/>
      <c r="S183" s="243"/>
      <c r="T183" s="243"/>
      <c r="U183" s="243"/>
      <c r="V183" s="243"/>
      <c r="W183" s="243"/>
      <c r="X183" s="243"/>
      <c r="Y183" s="243"/>
      <c r="Z183" s="243"/>
      <c r="AA183" s="243"/>
      <c r="AB183" s="243"/>
      <c r="AC183" s="243"/>
      <c r="AD183" s="243"/>
      <c r="AE183" s="243"/>
      <c r="AF183" s="243"/>
      <c r="AG183" s="243"/>
      <c r="AH183" s="243"/>
      <c r="AI183" s="243"/>
      <c r="AJ183" s="243"/>
      <c r="AK183" s="243"/>
      <c r="AL183" s="243"/>
      <c r="AM183" s="243"/>
      <c r="AN183" s="243"/>
      <c r="AO183" s="243"/>
      <c r="AP183" s="243"/>
      <c r="AQ183" s="243"/>
      <c r="AR183" s="243"/>
      <c r="AS183" s="243"/>
      <c r="AT183" s="243"/>
      <c r="AU183" s="243"/>
      <c r="AV183" s="243"/>
      <c r="AW183" s="243"/>
      <c r="AX183" s="243"/>
      <c r="AY183" s="243"/>
      <c r="AZ183" s="243"/>
      <c r="BA183" s="243"/>
      <c r="BB183" s="243"/>
      <c r="BC183" s="243"/>
      <c r="BD183" s="243"/>
      <c r="BE183" s="243"/>
      <c r="BF183" s="243"/>
      <c r="BG183" s="243"/>
      <c r="BH183" s="243"/>
      <c r="BI183" s="243"/>
      <c r="BJ183" s="243"/>
      <c r="BK183" s="243"/>
      <c r="BL183" s="243"/>
      <c r="BM183" s="243"/>
      <c r="BN183" s="243"/>
      <c r="BO183" s="243"/>
      <c r="BP183" s="243"/>
      <c r="BQ183" s="243"/>
      <c r="BR183" s="243"/>
      <c r="BS183" s="243"/>
      <c r="BT183" s="243"/>
      <c r="BU183" s="243"/>
      <c r="BV183" s="243"/>
      <c r="BW183" s="243"/>
      <c r="BX183" s="243"/>
      <c r="BY183" s="243"/>
      <c r="BZ183" s="243"/>
      <c r="CA183" s="243"/>
      <c r="CB183" s="243"/>
      <c r="CC183" s="243"/>
      <c r="CD183" s="243"/>
      <c r="CE183" s="243"/>
      <c r="CF183" s="243"/>
      <c r="CG183" s="243"/>
      <c r="CH183" s="243"/>
      <c r="CI183" s="243"/>
      <c r="CJ183" s="243"/>
      <c r="CK183" s="243"/>
      <c r="CL183" s="243"/>
      <c r="CM183" s="243"/>
      <c r="CN183" s="243"/>
      <c r="CO183" s="243"/>
      <c r="CP183" s="243"/>
      <c r="CQ183" s="243"/>
      <c r="CR183" s="243"/>
      <c r="CS183" s="243"/>
      <c r="CT183" s="243"/>
      <c r="CU183" s="243"/>
      <c r="CV183" s="243"/>
      <c r="CW183" s="243"/>
      <c r="CX183" s="243"/>
      <c r="CY183" s="243"/>
      <c r="CZ183" s="243"/>
      <c r="DA183" s="243"/>
      <c r="DB183" s="243"/>
      <c r="DC183" s="243"/>
      <c r="DD183" s="243"/>
      <c r="DE183" s="243"/>
      <c r="DF183" s="243"/>
      <c r="DG183" s="243"/>
      <c r="DH183" s="243"/>
      <c r="DI183" s="243"/>
      <c r="DJ183" s="243"/>
      <c r="DK183" s="243"/>
      <c r="DL183" s="243"/>
      <c r="DM183" s="243"/>
      <c r="DN183" s="243"/>
      <c r="DO183" s="243"/>
      <c r="DP183" s="243"/>
      <c r="DQ183" s="243"/>
      <c r="DR183" s="243"/>
      <c r="DS183" s="243"/>
      <c r="DT183" s="243"/>
      <c r="DU183" s="243"/>
      <c r="DV183" s="243"/>
      <c r="DW183" s="243"/>
      <c r="DX183" s="243"/>
      <c r="DY183" s="243"/>
      <c r="DZ183" s="243"/>
      <c r="EA183" s="243"/>
      <c r="EB183" s="243"/>
      <c r="EC183" s="243"/>
      <c r="ED183" s="243"/>
      <c r="EE183" s="243"/>
      <c r="EF183" s="243"/>
      <c r="EG183" s="243"/>
      <c r="EH183" s="243"/>
      <c r="EI183" s="243"/>
      <c r="EJ183" s="243"/>
      <c r="EK183" s="243"/>
      <c r="EL183" s="243"/>
      <c r="EM183" s="243"/>
      <c r="EN183" s="243"/>
      <c r="EO183" s="243"/>
      <c r="EP183" s="243"/>
      <c r="EQ183" s="243"/>
      <c r="ER183" s="243"/>
      <c r="ES183" s="243"/>
      <c r="ET183" s="243"/>
      <c r="EU183" s="243"/>
      <c r="FC183" s="199"/>
      <c r="FD183" s="199"/>
      <c r="FE183" s="199"/>
      <c r="FF183" s="199"/>
      <c r="FG183" s="199"/>
      <c r="FH183" s="199"/>
      <c r="FI183" s="199"/>
      <c r="FJ183" s="199"/>
      <c r="FK183" s="199"/>
      <c r="FL183" s="199"/>
      <c r="FM183" s="199"/>
      <c r="FN183" s="199"/>
      <c r="FO183" s="199"/>
      <c r="FP183" s="199"/>
      <c r="FQ183" s="199"/>
      <c r="FR183" s="199"/>
      <c r="FS183" s="199"/>
      <c r="FT183" s="199"/>
      <c r="FU183" s="199"/>
      <c r="FV183" s="199"/>
      <c r="FW183" s="199"/>
      <c r="FX183" s="199"/>
      <c r="FY183" s="199"/>
      <c r="FZ183" s="199"/>
      <c r="GA183" s="199"/>
      <c r="GB183" s="199"/>
      <c r="GC183" s="199"/>
      <c r="GD183" s="199"/>
      <c r="GE183" s="199"/>
      <c r="GF183" s="199"/>
      <c r="GG183" s="199"/>
      <c r="GH183" s="199"/>
      <c r="GI183" s="199"/>
      <c r="GJ183" s="199"/>
      <c r="GK183" s="199"/>
      <c r="GL183" s="199"/>
      <c r="GM183" s="199"/>
      <c r="GN183" s="199"/>
      <c r="GO183" s="199"/>
      <c r="GP183" s="199"/>
      <c r="GQ183" s="199"/>
      <c r="GR183" s="199"/>
      <c r="GS183" s="199"/>
      <c r="GT183" s="199"/>
      <c r="GU183" s="199"/>
      <c r="GV183" s="199"/>
      <c r="GW183" s="199"/>
      <c r="GX183" s="199"/>
      <c r="GY183" s="199"/>
      <c r="GZ183" s="199"/>
      <c r="HA183" s="199"/>
      <c r="HB183" s="199"/>
      <c r="HC183" s="199"/>
      <c r="HD183" s="199"/>
      <c r="HE183" s="199"/>
      <c r="HF183" s="199"/>
      <c r="HG183" s="199"/>
      <c r="HH183" s="199"/>
      <c r="HI183" s="199"/>
      <c r="HJ183" s="199"/>
      <c r="HK183" s="199"/>
      <c r="HL183" s="199"/>
      <c r="HM183" s="199"/>
      <c r="HN183" s="199"/>
      <c r="HO183" s="199"/>
      <c r="HP183" s="199"/>
      <c r="HQ183" s="199"/>
      <c r="HR183" s="199"/>
      <c r="HS183" s="199"/>
      <c r="HT183" s="199"/>
      <c r="HU183" s="199"/>
      <c r="HV183" s="199"/>
      <c r="HW183" s="199"/>
      <c r="HX183" s="199"/>
      <c r="HY183" s="199"/>
      <c r="HZ183" s="199"/>
      <c r="IA183" s="199"/>
      <c r="IB183" s="199"/>
      <c r="IC183" s="199"/>
      <c r="ID183" s="199"/>
      <c r="IE183" s="199"/>
      <c r="IF183" s="199"/>
      <c r="IG183" s="199"/>
      <c r="IH183" s="199"/>
      <c r="II183" s="199"/>
      <c r="IJ183" s="199"/>
      <c r="IK183" s="199"/>
      <c r="IL183" s="199"/>
      <c r="IM183" s="199"/>
      <c r="IN183" s="199"/>
      <c r="IO183" s="199"/>
      <c r="IP183" s="199"/>
      <c r="IQ183" s="199"/>
      <c r="IR183" s="199"/>
      <c r="IS183" s="199"/>
      <c r="IT183" s="199"/>
      <c r="IU183" s="199"/>
      <c r="IV183" s="199"/>
      <c r="IW183" s="199"/>
      <c r="IX183" s="199"/>
      <c r="IY183" s="199"/>
      <c r="IZ183" s="199"/>
      <c r="JA183" s="199"/>
      <c r="JB183" s="199"/>
      <c r="JC183" s="199"/>
      <c r="JD183" s="199"/>
      <c r="JE183" s="199"/>
      <c r="JF183" s="199"/>
      <c r="JG183" s="199"/>
      <c r="JH183" s="199"/>
      <c r="JI183" s="199"/>
      <c r="JJ183" s="199"/>
      <c r="JK183" s="199"/>
      <c r="JL183" s="199"/>
      <c r="JM183" s="199"/>
      <c r="JN183" s="199"/>
      <c r="JO183" s="199"/>
      <c r="JP183" s="199"/>
      <c r="JQ183" s="199"/>
      <c r="JR183" s="199"/>
      <c r="JS183" s="199"/>
      <c r="JT183" s="199"/>
      <c r="JU183" s="199"/>
      <c r="JV183" s="199"/>
      <c r="JW183" s="199"/>
      <c r="JX183" s="199"/>
      <c r="JY183" s="199"/>
      <c r="JZ183" s="199"/>
      <c r="KA183" s="199"/>
      <c r="KB183" s="199"/>
      <c r="KC183" s="199"/>
      <c r="KD183" s="199"/>
      <c r="KE183" s="199"/>
      <c r="PQ183" s="201"/>
      <c r="PR183" s="201"/>
      <c r="PS183" s="201"/>
      <c r="PT183" s="201"/>
      <c r="PU183" s="201"/>
      <c r="PV183" s="201"/>
      <c r="PW183" s="201"/>
      <c r="PX183" s="201"/>
      <c r="PY183" s="201"/>
      <c r="PZ183" s="201"/>
      <c r="QA183" s="201"/>
      <c r="QB183" s="201"/>
      <c r="QC183" s="201"/>
      <c r="QD183" s="201"/>
      <c r="QE183" s="201"/>
      <c r="QF183" s="201"/>
      <c r="QG183" s="201"/>
      <c r="QH183" s="201"/>
      <c r="QI183" s="201"/>
      <c r="QJ183" s="201"/>
      <c r="QK183" s="201"/>
      <c r="QL183" s="201"/>
      <c r="QM183" s="201"/>
      <c r="QN183" s="201"/>
      <c r="QO183" s="201"/>
      <c r="QP183" s="201"/>
      <c r="QQ183" s="201"/>
      <c r="QR183" s="201"/>
      <c r="QS183" s="201"/>
      <c r="QT183" s="201"/>
      <c r="QU183" s="201"/>
      <c r="QV183" s="201"/>
      <c r="QW183" s="201"/>
      <c r="QX183" s="201"/>
      <c r="QY183" s="201"/>
      <c r="QZ183" s="201"/>
      <c r="RA183" s="201"/>
      <c r="RB183" s="201"/>
      <c r="RC183" s="201"/>
      <c r="RD183" s="201"/>
      <c r="RE183" s="201"/>
      <c r="RF183" s="201"/>
      <c r="RG183" s="201"/>
      <c r="RH183" s="201"/>
      <c r="RI183" s="201"/>
      <c r="RJ183" s="201"/>
      <c r="RK183" s="201"/>
      <c r="RL183" s="201"/>
      <c r="RM183" s="201"/>
      <c r="RN183" s="201"/>
      <c r="RO183" s="201"/>
      <c r="RP183" s="201"/>
      <c r="RQ183" s="201"/>
      <c r="RR183" s="201"/>
      <c r="RS183" s="201"/>
      <c r="RT183" s="201"/>
      <c r="RU183" s="201"/>
      <c r="RV183" s="201"/>
      <c r="RW183" s="201"/>
      <c r="RX183" s="201"/>
      <c r="RY183" s="201"/>
      <c r="RZ183" s="201"/>
      <c r="SA183" s="201"/>
      <c r="SB183" s="201"/>
      <c r="SC183" s="201"/>
      <c r="SD183" s="201"/>
      <c r="SE183" s="201"/>
      <c r="SF183" s="201"/>
      <c r="SG183" s="201"/>
      <c r="SH183" s="201"/>
      <c r="SI183" s="201"/>
      <c r="SJ183" s="201"/>
      <c r="SK183" s="201"/>
      <c r="SL183" s="201"/>
      <c r="SM183" s="201"/>
      <c r="SN183" s="201"/>
      <c r="SO183" s="201"/>
      <c r="SP183" s="201"/>
      <c r="SQ183" s="201"/>
      <c r="SR183" s="201"/>
      <c r="SS183" s="201"/>
      <c r="ST183" s="201"/>
      <c r="SU183" s="201"/>
      <c r="SV183" s="201"/>
      <c r="SW183" s="201"/>
      <c r="SX183" s="201"/>
      <c r="SY183" s="201"/>
      <c r="SZ183" s="201"/>
      <c r="TA183" s="201"/>
      <c r="TB183" s="201"/>
      <c r="TC183" s="201"/>
      <c r="TD183" s="201"/>
      <c r="TE183" s="201"/>
      <c r="TF183" s="201"/>
      <c r="TG183" s="201"/>
      <c r="TH183" s="201"/>
      <c r="TI183" s="201"/>
      <c r="TJ183" s="201"/>
      <c r="TK183" s="201"/>
      <c r="TL183" s="201"/>
      <c r="TM183" s="201"/>
      <c r="TN183" s="201"/>
      <c r="TO183" s="201"/>
      <c r="TP183" s="201"/>
      <c r="TQ183" s="201"/>
      <c r="TR183" s="201"/>
      <c r="TS183" s="201"/>
      <c r="TT183" s="201"/>
      <c r="TU183" s="201"/>
      <c r="TV183" s="201"/>
      <c r="TW183" s="201"/>
      <c r="TX183" s="201"/>
      <c r="TY183" s="201"/>
      <c r="TZ183" s="201"/>
      <c r="UA183" s="201"/>
      <c r="UB183" s="201"/>
      <c r="UC183" s="201"/>
      <c r="UD183" s="201"/>
      <c r="UE183" s="201"/>
      <c r="UF183" s="201"/>
      <c r="UG183" s="201"/>
      <c r="UH183" s="201"/>
      <c r="UI183" s="201"/>
      <c r="UJ183" s="201"/>
      <c r="UK183" s="201"/>
      <c r="UL183" s="201"/>
      <c r="UM183" s="201"/>
      <c r="UN183" s="201"/>
      <c r="UO183" s="201"/>
      <c r="UP183" s="201"/>
      <c r="UQ183" s="201"/>
      <c r="UR183" s="201"/>
      <c r="US183" s="201"/>
      <c r="UT183" s="201"/>
      <c r="UU183" s="201"/>
    </row>
    <row r="184" spans="2:567" ht="15" x14ac:dyDescent="0.35">
      <c r="B184" s="107" t="s">
        <v>400</v>
      </c>
      <c r="C184" s="161"/>
      <c r="D184" s="161"/>
      <c r="E184" s="162"/>
      <c r="F184" s="162"/>
      <c r="G184" s="162"/>
      <c r="H184" s="162"/>
      <c r="I184" s="166">
        <f>J133</f>
        <v>-54656.203153846152</v>
      </c>
      <c r="J184" s="166">
        <f ca="1">SUM(OFFSET($S133,0,$D$167,1,12))</f>
        <v>-70809.347212103719</v>
      </c>
      <c r="K184" s="167">
        <f ca="1">SUM(OFFSET($S133,0,$D$168,1,12))</f>
        <v>-72820.016423656212</v>
      </c>
      <c r="L184" s="240"/>
      <c r="M184" s="3" t="s">
        <v>853</v>
      </c>
      <c r="R184" s="257"/>
      <c r="S184" s="243"/>
      <c r="T184" s="243"/>
      <c r="U184" s="243"/>
      <c r="V184" s="243"/>
      <c r="W184" s="243"/>
      <c r="X184" s="243"/>
      <c r="Y184" s="243"/>
      <c r="Z184" s="243"/>
      <c r="AA184" s="243"/>
      <c r="AB184" s="243"/>
      <c r="AC184" s="243"/>
      <c r="AD184" s="243"/>
      <c r="AE184" s="243"/>
      <c r="AF184" s="243"/>
      <c r="AG184" s="243"/>
      <c r="AH184" s="243"/>
      <c r="AI184" s="243"/>
      <c r="AJ184" s="243"/>
      <c r="AK184" s="243"/>
      <c r="AL184" s="243"/>
      <c r="AM184" s="243"/>
      <c r="AN184" s="243"/>
      <c r="AO184" s="243"/>
      <c r="AP184" s="243"/>
      <c r="AQ184" s="243"/>
      <c r="AR184" s="243"/>
      <c r="AS184" s="243"/>
      <c r="AT184" s="243"/>
      <c r="AU184" s="243"/>
      <c r="AV184" s="243"/>
      <c r="AW184" s="243"/>
      <c r="AX184" s="243"/>
      <c r="AY184" s="243"/>
      <c r="AZ184" s="243"/>
      <c r="BA184" s="243"/>
      <c r="BB184" s="243"/>
      <c r="BC184" s="243"/>
      <c r="BD184" s="243"/>
      <c r="BE184" s="243"/>
      <c r="BF184" s="243"/>
      <c r="BG184" s="243"/>
      <c r="BH184" s="243"/>
      <c r="BI184" s="243"/>
      <c r="BJ184" s="243"/>
      <c r="BK184" s="243"/>
      <c r="BL184" s="243"/>
      <c r="BM184" s="243"/>
      <c r="BN184" s="243"/>
      <c r="BO184" s="243"/>
      <c r="BP184" s="243"/>
      <c r="BQ184" s="243"/>
      <c r="BR184" s="243"/>
      <c r="BS184" s="243"/>
      <c r="BT184" s="243"/>
      <c r="BU184" s="243"/>
      <c r="BV184" s="243"/>
      <c r="BW184" s="243"/>
      <c r="BX184" s="243"/>
      <c r="BY184" s="243"/>
      <c r="BZ184" s="243"/>
      <c r="CA184" s="243"/>
      <c r="CB184" s="243"/>
      <c r="CC184" s="243"/>
      <c r="CD184" s="243"/>
      <c r="CE184" s="243"/>
      <c r="CF184" s="243"/>
      <c r="CG184" s="243"/>
      <c r="CH184" s="243"/>
      <c r="CI184" s="243"/>
      <c r="CJ184" s="243"/>
      <c r="CK184" s="243"/>
      <c r="CL184" s="243"/>
      <c r="CM184" s="243"/>
      <c r="CN184" s="243"/>
      <c r="CO184" s="243"/>
      <c r="CP184" s="243"/>
      <c r="CQ184" s="243"/>
      <c r="CR184" s="243"/>
      <c r="CS184" s="243"/>
      <c r="CT184" s="243"/>
      <c r="CU184" s="243"/>
      <c r="CV184" s="243"/>
      <c r="CW184" s="243"/>
      <c r="CX184" s="243"/>
      <c r="CY184" s="243"/>
      <c r="CZ184" s="243"/>
      <c r="DA184" s="243"/>
      <c r="DB184" s="243"/>
      <c r="DC184" s="243"/>
      <c r="DD184" s="243"/>
      <c r="DE184" s="243"/>
      <c r="DF184" s="243"/>
      <c r="DG184" s="243"/>
      <c r="DH184" s="243"/>
      <c r="DI184" s="243"/>
      <c r="DJ184" s="243"/>
      <c r="DK184" s="243"/>
      <c r="DL184" s="243"/>
      <c r="DM184" s="243"/>
      <c r="DN184" s="243"/>
      <c r="DO184" s="243"/>
      <c r="DP184" s="243"/>
      <c r="DQ184" s="243"/>
      <c r="DR184" s="243"/>
      <c r="DS184" s="243"/>
      <c r="DT184" s="243"/>
      <c r="DU184" s="243"/>
      <c r="DV184" s="243"/>
      <c r="DW184" s="243"/>
      <c r="DX184" s="243"/>
      <c r="DY184" s="243"/>
      <c r="DZ184" s="243"/>
      <c r="EA184" s="243"/>
      <c r="EB184" s="243"/>
      <c r="EC184" s="243"/>
      <c r="ED184" s="243"/>
      <c r="EE184" s="243"/>
      <c r="EF184" s="243"/>
      <c r="EG184" s="243"/>
      <c r="EH184" s="243"/>
      <c r="EI184" s="243"/>
      <c r="EJ184" s="243"/>
      <c r="EK184" s="243"/>
      <c r="EL184" s="243"/>
      <c r="EM184" s="243"/>
      <c r="EN184" s="243"/>
      <c r="EO184" s="243"/>
      <c r="EP184" s="243"/>
      <c r="EQ184" s="243"/>
      <c r="ER184" s="243"/>
      <c r="ES184" s="243"/>
      <c r="ET184" s="243"/>
      <c r="EU184" s="243"/>
      <c r="FC184" s="199"/>
      <c r="FD184" s="199"/>
      <c r="FE184" s="199"/>
      <c r="FF184" s="199"/>
      <c r="FG184" s="199"/>
      <c r="FH184" s="199"/>
      <c r="FI184" s="199"/>
      <c r="FJ184" s="199"/>
      <c r="FK184" s="199"/>
      <c r="FL184" s="199"/>
      <c r="FM184" s="199"/>
      <c r="FN184" s="199"/>
      <c r="FO184" s="199"/>
      <c r="FP184" s="199"/>
      <c r="FQ184" s="199"/>
      <c r="FR184" s="199"/>
      <c r="FS184" s="199"/>
      <c r="FT184" s="199"/>
      <c r="FU184" s="199"/>
      <c r="FV184" s="199"/>
      <c r="FW184" s="199"/>
      <c r="FX184" s="199"/>
      <c r="FY184" s="199"/>
      <c r="FZ184" s="199"/>
      <c r="GA184" s="199"/>
      <c r="GB184" s="199"/>
      <c r="GC184" s="199"/>
      <c r="GD184" s="199"/>
      <c r="GE184" s="199"/>
      <c r="GF184" s="199"/>
      <c r="GG184" s="199"/>
      <c r="GH184" s="199"/>
      <c r="GI184" s="199"/>
      <c r="GJ184" s="199"/>
      <c r="GK184" s="199"/>
      <c r="GL184" s="199"/>
      <c r="GM184" s="199"/>
      <c r="GN184" s="199"/>
      <c r="GO184" s="199"/>
      <c r="GP184" s="199"/>
      <c r="GQ184" s="199"/>
      <c r="GR184" s="199"/>
      <c r="GS184" s="199"/>
      <c r="GT184" s="199"/>
      <c r="GU184" s="199"/>
      <c r="GV184" s="199"/>
      <c r="GW184" s="199"/>
      <c r="GX184" s="199"/>
      <c r="GY184" s="199"/>
      <c r="GZ184" s="199"/>
      <c r="HA184" s="199"/>
      <c r="HB184" s="199"/>
      <c r="HC184" s="199"/>
      <c r="HD184" s="199"/>
      <c r="HE184" s="199"/>
      <c r="HF184" s="199"/>
      <c r="HG184" s="199"/>
      <c r="HH184" s="199"/>
      <c r="HI184" s="199"/>
      <c r="HJ184" s="199"/>
      <c r="HK184" s="199"/>
      <c r="HL184" s="199"/>
      <c r="HM184" s="199"/>
      <c r="HN184" s="199"/>
      <c r="HO184" s="199"/>
      <c r="HP184" s="199"/>
      <c r="HQ184" s="199"/>
      <c r="HR184" s="199"/>
      <c r="HS184" s="199"/>
      <c r="HT184" s="199"/>
      <c r="HU184" s="199"/>
      <c r="HV184" s="199"/>
      <c r="HW184" s="199"/>
      <c r="HX184" s="199"/>
      <c r="HY184" s="199"/>
      <c r="HZ184" s="199"/>
      <c r="IA184" s="199"/>
      <c r="IB184" s="199"/>
      <c r="IC184" s="199"/>
      <c r="ID184" s="199"/>
      <c r="IE184" s="199"/>
      <c r="IF184" s="199"/>
      <c r="IG184" s="199"/>
      <c r="IH184" s="199"/>
      <c r="II184" s="199"/>
      <c r="IJ184" s="199"/>
      <c r="IK184" s="199"/>
      <c r="IL184" s="199"/>
      <c r="IM184" s="199"/>
      <c r="IN184" s="199"/>
      <c r="IO184" s="199"/>
      <c r="IP184" s="199"/>
      <c r="IQ184" s="199"/>
      <c r="IR184" s="199"/>
      <c r="IS184" s="199"/>
      <c r="IT184" s="199"/>
      <c r="IU184" s="199"/>
      <c r="IV184" s="199"/>
      <c r="IW184" s="199"/>
      <c r="IX184" s="199"/>
      <c r="IY184" s="199"/>
      <c r="IZ184" s="199"/>
      <c r="JA184" s="199"/>
      <c r="JB184" s="199"/>
      <c r="JC184" s="199"/>
      <c r="JD184" s="199"/>
      <c r="JE184" s="199"/>
      <c r="JF184" s="199"/>
      <c r="JG184" s="199"/>
      <c r="JH184" s="199"/>
      <c r="JI184" s="199"/>
      <c r="JJ184" s="199"/>
      <c r="JK184" s="199"/>
      <c r="JL184" s="199"/>
      <c r="JM184" s="199"/>
      <c r="JN184" s="199"/>
      <c r="JO184" s="199"/>
      <c r="JP184" s="199"/>
      <c r="JQ184" s="199"/>
      <c r="JR184" s="199"/>
      <c r="JS184" s="199"/>
      <c r="JT184" s="199"/>
      <c r="JU184" s="199"/>
      <c r="JV184" s="199"/>
      <c r="JW184" s="199"/>
      <c r="JX184" s="199"/>
      <c r="JY184" s="199"/>
      <c r="JZ184" s="199"/>
      <c r="KA184" s="199"/>
      <c r="KB184" s="199"/>
      <c r="KC184" s="199"/>
      <c r="KD184" s="199"/>
      <c r="KE184" s="199"/>
      <c r="PQ184" s="201"/>
      <c r="PR184" s="201"/>
      <c r="PS184" s="201"/>
      <c r="PT184" s="201"/>
      <c r="PU184" s="201"/>
      <c r="PV184" s="201"/>
      <c r="PW184" s="201"/>
      <c r="PX184" s="201"/>
      <c r="PY184" s="201"/>
      <c r="PZ184" s="201"/>
      <c r="QA184" s="201"/>
      <c r="QB184" s="201"/>
      <c r="QC184" s="201"/>
      <c r="QD184" s="201"/>
      <c r="QE184" s="201"/>
      <c r="QF184" s="201"/>
      <c r="QG184" s="201"/>
      <c r="QH184" s="201"/>
      <c r="QI184" s="201"/>
      <c r="QJ184" s="201"/>
      <c r="QK184" s="201"/>
      <c r="QL184" s="201"/>
      <c r="QM184" s="201"/>
      <c r="QN184" s="201"/>
      <c r="QO184" s="201"/>
      <c r="QP184" s="201"/>
      <c r="QQ184" s="201"/>
      <c r="QR184" s="201"/>
      <c r="QS184" s="201"/>
      <c r="QT184" s="201"/>
      <c r="QU184" s="201"/>
      <c r="QV184" s="201"/>
      <c r="QW184" s="201"/>
      <c r="QX184" s="201"/>
      <c r="QY184" s="201"/>
      <c r="QZ184" s="201"/>
      <c r="RA184" s="201"/>
      <c r="RB184" s="201"/>
      <c r="RC184" s="201"/>
      <c r="RD184" s="201"/>
      <c r="RE184" s="201"/>
      <c r="RF184" s="201"/>
      <c r="RG184" s="201"/>
      <c r="RH184" s="201"/>
      <c r="RI184" s="201"/>
      <c r="RJ184" s="201"/>
      <c r="RK184" s="201"/>
      <c r="RL184" s="201"/>
      <c r="RM184" s="201"/>
      <c r="RN184" s="201"/>
      <c r="RO184" s="201"/>
      <c r="RP184" s="201"/>
      <c r="RQ184" s="201"/>
      <c r="RR184" s="201"/>
      <c r="RS184" s="201"/>
      <c r="RT184" s="201"/>
      <c r="RU184" s="201"/>
      <c r="RV184" s="201"/>
      <c r="RW184" s="201"/>
      <c r="RX184" s="201"/>
      <c r="RY184" s="201"/>
      <c r="RZ184" s="201"/>
      <c r="SA184" s="201"/>
      <c r="SB184" s="201"/>
      <c r="SC184" s="201"/>
      <c r="SD184" s="201"/>
      <c r="SE184" s="201"/>
      <c r="SF184" s="201"/>
      <c r="SG184" s="201"/>
      <c r="SH184" s="201"/>
      <c r="SI184" s="201"/>
      <c r="SJ184" s="201"/>
      <c r="SK184" s="201"/>
      <c r="SL184" s="201"/>
      <c r="SM184" s="201"/>
      <c r="SN184" s="201"/>
      <c r="SO184" s="201"/>
      <c r="SP184" s="201"/>
      <c r="SQ184" s="201"/>
      <c r="SR184" s="201"/>
      <c r="SS184" s="201"/>
      <c r="ST184" s="201"/>
      <c r="SU184" s="201"/>
      <c r="SV184" s="201"/>
      <c r="SW184" s="201"/>
      <c r="SX184" s="201"/>
      <c r="SY184" s="201"/>
      <c r="SZ184" s="201"/>
      <c r="TA184" s="201"/>
      <c r="TB184" s="201"/>
      <c r="TC184" s="201"/>
      <c r="TD184" s="201"/>
      <c r="TE184" s="201"/>
      <c r="TF184" s="201"/>
      <c r="TG184" s="201"/>
      <c r="TH184" s="201"/>
      <c r="TI184" s="201"/>
      <c r="TJ184" s="201"/>
      <c r="TK184" s="201"/>
      <c r="TL184" s="201"/>
      <c r="TM184" s="201"/>
      <c r="TN184" s="201"/>
      <c r="TO184" s="201"/>
      <c r="TP184" s="201"/>
      <c r="TQ184" s="201"/>
      <c r="TR184" s="201"/>
      <c r="TS184" s="201"/>
      <c r="TT184" s="201"/>
      <c r="TU184" s="201"/>
      <c r="TV184" s="201"/>
      <c r="TW184" s="201"/>
      <c r="TX184" s="201"/>
      <c r="TY184" s="201"/>
      <c r="TZ184" s="201"/>
      <c r="UA184" s="201"/>
      <c r="UB184" s="201"/>
      <c r="UC184" s="201"/>
      <c r="UD184" s="201"/>
      <c r="UE184" s="201"/>
      <c r="UF184" s="201"/>
      <c r="UG184" s="201"/>
      <c r="UH184" s="201"/>
      <c r="UI184" s="201"/>
      <c r="UJ184" s="201"/>
      <c r="UK184" s="201"/>
      <c r="UL184" s="201"/>
      <c r="UM184" s="201"/>
      <c r="UN184" s="201"/>
      <c r="UO184" s="201"/>
      <c r="UP184" s="201"/>
      <c r="UQ184" s="201"/>
      <c r="UR184" s="201"/>
      <c r="US184" s="201"/>
      <c r="UT184" s="201"/>
      <c r="UU184" s="201"/>
    </row>
    <row r="185" spans="2:567" x14ac:dyDescent="0.25">
      <c r="B185" s="18" t="s">
        <v>140</v>
      </c>
      <c r="C185" s="161"/>
      <c r="D185" s="161"/>
      <c r="E185" s="162"/>
      <c r="F185" s="162"/>
      <c r="G185" s="162"/>
      <c r="H185" s="162"/>
      <c r="I185" s="164">
        <f>SUM(I182:I184)</f>
        <v>5028370.6901538465</v>
      </c>
      <c r="J185" s="164">
        <f t="shared" ref="J185:K185" ca="1" si="3083">SUM(J182:J184)</f>
        <v>6679535.7629377497</v>
      </c>
      <c r="K185" s="164">
        <f t="shared" ca="1" si="3083"/>
        <v>6845081.5438236827</v>
      </c>
      <c r="L185" s="240"/>
      <c r="R185" s="257"/>
      <c r="S185" s="243"/>
      <c r="T185" s="243"/>
      <c r="U185" s="243"/>
      <c r="V185" s="243"/>
      <c r="W185" s="243"/>
      <c r="X185" s="243"/>
      <c r="Y185" s="243"/>
      <c r="Z185" s="243"/>
      <c r="AA185" s="243"/>
      <c r="AB185" s="243"/>
      <c r="AC185" s="243"/>
      <c r="AD185" s="243"/>
      <c r="AE185" s="243"/>
      <c r="AF185" s="243"/>
      <c r="AG185" s="243"/>
      <c r="AH185" s="243"/>
      <c r="AI185" s="243"/>
      <c r="AJ185" s="243"/>
      <c r="AK185" s="243"/>
      <c r="AL185" s="243"/>
      <c r="AM185" s="243"/>
      <c r="AN185" s="243"/>
      <c r="AO185" s="243"/>
      <c r="AP185" s="243"/>
      <c r="AQ185" s="243"/>
      <c r="AR185" s="243"/>
      <c r="AS185" s="243"/>
      <c r="AT185" s="243"/>
      <c r="AU185" s="243"/>
      <c r="AV185" s="243"/>
      <c r="AW185" s="243"/>
      <c r="AX185" s="243"/>
      <c r="AY185" s="243"/>
      <c r="AZ185" s="243"/>
      <c r="BA185" s="243"/>
      <c r="BB185" s="243"/>
      <c r="BC185" s="243"/>
      <c r="BD185" s="243"/>
      <c r="BE185" s="243"/>
      <c r="BF185" s="243"/>
      <c r="BG185" s="243"/>
      <c r="BH185" s="243"/>
      <c r="BI185" s="243"/>
      <c r="BJ185" s="243"/>
      <c r="BK185" s="243"/>
      <c r="BL185" s="243"/>
      <c r="BM185" s="243"/>
      <c r="BN185" s="243"/>
      <c r="BO185" s="243"/>
      <c r="BP185" s="243"/>
      <c r="BQ185" s="243"/>
      <c r="BR185" s="243"/>
      <c r="BS185" s="243"/>
      <c r="BT185" s="243"/>
      <c r="BU185" s="243"/>
      <c r="BV185" s="243"/>
      <c r="BW185" s="243"/>
      <c r="BX185" s="243"/>
      <c r="BY185" s="243"/>
      <c r="BZ185" s="243"/>
      <c r="CA185" s="243"/>
      <c r="CB185" s="243"/>
      <c r="CC185" s="243"/>
      <c r="CD185" s="243"/>
      <c r="CE185" s="243"/>
      <c r="CF185" s="243"/>
      <c r="CG185" s="243"/>
      <c r="CH185" s="243"/>
      <c r="CI185" s="243"/>
      <c r="CJ185" s="243"/>
      <c r="CK185" s="243"/>
      <c r="CL185" s="243"/>
      <c r="CM185" s="243"/>
      <c r="CN185" s="243"/>
      <c r="CO185" s="243"/>
      <c r="CP185" s="243"/>
      <c r="CQ185" s="243"/>
      <c r="CR185" s="243"/>
      <c r="CS185" s="243"/>
      <c r="CT185" s="243"/>
      <c r="CU185" s="243"/>
      <c r="CV185" s="243"/>
      <c r="CW185" s="243"/>
      <c r="CX185" s="243"/>
      <c r="CY185" s="243"/>
      <c r="CZ185" s="243"/>
      <c r="DA185" s="243"/>
      <c r="DB185" s="243"/>
      <c r="DC185" s="243"/>
      <c r="DD185" s="243"/>
      <c r="DE185" s="243"/>
      <c r="DF185" s="243"/>
      <c r="DG185" s="243"/>
      <c r="DH185" s="243"/>
      <c r="DI185" s="243"/>
      <c r="DJ185" s="243"/>
      <c r="DK185" s="243"/>
      <c r="DL185" s="243"/>
      <c r="DM185" s="243"/>
      <c r="DN185" s="243"/>
      <c r="DO185" s="243"/>
      <c r="DP185" s="243"/>
      <c r="DQ185" s="243"/>
      <c r="DR185" s="243"/>
      <c r="DS185" s="243"/>
      <c r="DT185" s="243"/>
      <c r="DU185" s="243"/>
      <c r="DV185" s="243"/>
      <c r="DW185" s="243"/>
      <c r="DX185" s="243"/>
      <c r="DY185" s="243"/>
      <c r="DZ185" s="243"/>
      <c r="EA185" s="243"/>
      <c r="EB185" s="243"/>
      <c r="EC185" s="243"/>
      <c r="ED185" s="243"/>
      <c r="EE185" s="243"/>
      <c r="EF185" s="243"/>
      <c r="EG185" s="243"/>
      <c r="EH185" s="243"/>
      <c r="EI185" s="243"/>
      <c r="EJ185" s="243"/>
      <c r="EK185" s="243"/>
      <c r="EL185" s="243"/>
      <c r="EM185" s="243"/>
      <c r="EN185" s="243"/>
      <c r="EO185" s="243"/>
      <c r="EP185" s="243"/>
      <c r="EQ185" s="243"/>
      <c r="ER185" s="243"/>
      <c r="ES185" s="243"/>
      <c r="ET185" s="243"/>
      <c r="EU185" s="243"/>
      <c r="FC185" s="199"/>
      <c r="FD185" s="199"/>
      <c r="FE185" s="199"/>
      <c r="FF185" s="199"/>
      <c r="FG185" s="199"/>
      <c r="FH185" s="199"/>
      <c r="FI185" s="199"/>
      <c r="FJ185" s="199"/>
      <c r="FK185" s="199"/>
      <c r="FL185" s="199"/>
      <c r="FM185" s="199"/>
      <c r="FN185" s="199"/>
      <c r="FO185" s="199"/>
      <c r="FP185" s="199"/>
      <c r="FQ185" s="199"/>
      <c r="FR185" s="199"/>
      <c r="FS185" s="199"/>
      <c r="FT185" s="199"/>
      <c r="FU185" s="199"/>
      <c r="FV185" s="199"/>
      <c r="FW185" s="199"/>
      <c r="FX185" s="199"/>
      <c r="FY185" s="199"/>
      <c r="FZ185" s="199"/>
      <c r="GA185" s="199"/>
      <c r="GB185" s="199"/>
      <c r="GC185" s="199"/>
      <c r="GD185" s="199"/>
      <c r="GE185" s="199"/>
      <c r="GF185" s="199"/>
      <c r="GG185" s="199"/>
      <c r="GH185" s="199"/>
      <c r="GI185" s="199"/>
      <c r="GJ185" s="199"/>
      <c r="GK185" s="199"/>
      <c r="GL185" s="199"/>
      <c r="GM185" s="199"/>
      <c r="GN185" s="199"/>
      <c r="GO185" s="199"/>
      <c r="GP185" s="199"/>
      <c r="GQ185" s="199"/>
      <c r="GR185" s="199"/>
      <c r="GS185" s="199"/>
      <c r="GT185" s="199"/>
      <c r="GU185" s="199"/>
      <c r="GV185" s="199"/>
      <c r="GW185" s="199"/>
      <c r="GX185" s="199"/>
      <c r="GY185" s="199"/>
      <c r="GZ185" s="199"/>
      <c r="HA185" s="199"/>
      <c r="HB185" s="199"/>
      <c r="HC185" s="199"/>
      <c r="HD185" s="199"/>
      <c r="HE185" s="199"/>
      <c r="HF185" s="199"/>
      <c r="HG185" s="199"/>
      <c r="HH185" s="199"/>
      <c r="HI185" s="199"/>
      <c r="HJ185" s="199"/>
      <c r="HK185" s="199"/>
      <c r="HL185" s="199"/>
      <c r="HM185" s="199"/>
      <c r="HN185" s="199"/>
      <c r="HO185" s="199"/>
      <c r="HP185" s="199"/>
      <c r="HQ185" s="199"/>
      <c r="HR185" s="199"/>
      <c r="HS185" s="199"/>
      <c r="HT185" s="199"/>
      <c r="HU185" s="199"/>
      <c r="HV185" s="199"/>
      <c r="HW185" s="199"/>
      <c r="HX185" s="199"/>
      <c r="HY185" s="199"/>
      <c r="HZ185" s="199"/>
      <c r="IA185" s="199"/>
      <c r="IB185" s="199"/>
      <c r="IC185" s="199"/>
      <c r="ID185" s="199"/>
      <c r="IE185" s="199"/>
      <c r="IF185" s="199"/>
      <c r="IG185" s="199"/>
      <c r="IH185" s="199"/>
      <c r="II185" s="199"/>
      <c r="IJ185" s="199"/>
      <c r="IK185" s="199"/>
      <c r="IL185" s="199"/>
      <c r="IM185" s="199"/>
      <c r="IN185" s="199"/>
      <c r="IO185" s="199"/>
      <c r="IP185" s="199"/>
      <c r="IQ185" s="199"/>
      <c r="IR185" s="199"/>
      <c r="IS185" s="199"/>
      <c r="IT185" s="199"/>
      <c r="IU185" s="199"/>
      <c r="IV185" s="199"/>
      <c r="IW185" s="199"/>
      <c r="IX185" s="199"/>
      <c r="IY185" s="199"/>
      <c r="IZ185" s="199"/>
      <c r="JA185" s="199"/>
      <c r="JB185" s="199"/>
      <c r="JC185" s="199"/>
      <c r="JD185" s="199"/>
      <c r="JE185" s="199"/>
      <c r="JF185" s="199"/>
      <c r="JG185" s="199"/>
      <c r="JH185" s="199"/>
      <c r="JI185" s="199"/>
      <c r="JJ185" s="199"/>
      <c r="JK185" s="199"/>
      <c r="JL185" s="199"/>
      <c r="JM185" s="199"/>
      <c r="JN185" s="199"/>
      <c r="JO185" s="199"/>
      <c r="JP185" s="199"/>
      <c r="JQ185" s="199"/>
      <c r="JR185" s="199"/>
      <c r="JS185" s="199"/>
      <c r="JT185" s="199"/>
      <c r="JU185" s="199"/>
      <c r="JV185" s="199"/>
      <c r="JW185" s="199"/>
      <c r="JX185" s="199"/>
      <c r="JY185" s="199"/>
      <c r="JZ185" s="199"/>
      <c r="KA185" s="199"/>
      <c r="KB185" s="199"/>
      <c r="KC185" s="199"/>
      <c r="KD185" s="199"/>
      <c r="KE185" s="199"/>
      <c r="PQ185" s="201"/>
      <c r="PR185" s="201"/>
      <c r="PS185" s="201"/>
      <c r="PT185" s="201"/>
      <c r="PU185" s="201"/>
      <c r="PV185" s="201"/>
      <c r="PW185" s="201"/>
      <c r="PX185" s="201"/>
      <c r="PY185" s="201"/>
      <c r="PZ185" s="201"/>
      <c r="QA185" s="201"/>
      <c r="QB185" s="201"/>
      <c r="QC185" s="201"/>
      <c r="QD185" s="201"/>
      <c r="QE185" s="201"/>
      <c r="QF185" s="201"/>
      <c r="QG185" s="201"/>
      <c r="QH185" s="201"/>
      <c r="QI185" s="201"/>
      <c r="QJ185" s="201"/>
      <c r="QK185" s="201"/>
      <c r="QL185" s="201"/>
      <c r="QM185" s="201"/>
      <c r="QN185" s="201"/>
      <c r="QO185" s="201"/>
      <c r="QP185" s="201"/>
      <c r="QQ185" s="201"/>
      <c r="QR185" s="201"/>
      <c r="QS185" s="201"/>
      <c r="QT185" s="201"/>
      <c r="QU185" s="201"/>
      <c r="QV185" s="201"/>
      <c r="QW185" s="201"/>
      <c r="QX185" s="201"/>
      <c r="QY185" s="201"/>
      <c r="QZ185" s="201"/>
      <c r="RA185" s="201"/>
      <c r="RB185" s="201"/>
      <c r="RC185" s="201"/>
      <c r="RD185" s="201"/>
      <c r="RE185" s="201"/>
      <c r="RF185" s="201"/>
      <c r="RG185" s="201"/>
      <c r="RH185" s="201"/>
      <c r="RI185" s="201"/>
      <c r="RJ185" s="201"/>
      <c r="RK185" s="201"/>
      <c r="RL185" s="201"/>
      <c r="RM185" s="201"/>
      <c r="RN185" s="201"/>
      <c r="RO185" s="201"/>
      <c r="RP185" s="201"/>
      <c r="RQ185" s="201"/>
      <c r="RR185" s="201"/>
      <c r="RS185" s="201"/>
      <c r="RT185" s="201"/>
      <c r="RU185" s="201"/>
      <c r="RV185" s="201"/>
      <c r="RW185" s="201"/>
      <c r="RX185" s="201"/>
      <c r="RY185" s="201"/>
      <c r="RZ185" s="201"/>
      <c r="SA185" s="201"/>
      <c r="SB185" s="201"/>
      <c r="SC185" s="201"/>
      <c r="SD185" s="201"/>
      <c r="SE185" s="201"/>
      <c r="SF185" s="201"/>
      <c r="SG185" s="201"/>
      <c r="SH185" s="201"/>
      <c r="SI185" s="201"/>
      <c r="SJ185" s="201"/>
      <c r="SK185" s="201"/>
      <c r="SL185" s="201"/>
      <c r="SM185" s="201"/>
      <c r="SN185" s="201"/>
      <c r="SO185" s="201"/>
      <c r="SP185" s="201"/>
      <c r="SQ185" s="201"/>
      <c r="SR185" s="201"/>
      <c r="SS185" s="201"/>
      <c r="ST185" s="201"/>
      <c r="SU185" s="201"/>
      <c r="SV185" s="201"/>
      <c r="SW185" s="201"/>
      <c r="SX185" s="201"/>
      <c r="SY185" s="201"/>
      <c r="SZ185" s="201"/>
      <c r="TA185" s="201"/>
      <c r="TB185" s="201"/>
      <c r="TC185" s="201"/>
      <c r="TD185" s="201"/>
      <c r="TE185" s="201"/>
      <c r="TF185" s="201"/>
      <c r="TG185" s="201"/>
      <c r="TH185" s="201"/>
      <c r="TI185" s="201"/>
      <c r="TJ185" s="201"/>
      <c r="TK185" s="201"/>
      <c r="TL185" s="201"/>
      <c r="TM185" s="201"/>
      <c r="TN185" s="201"/>
      <c r="TO185" s="201"/>
      <c r="TP185" s="201"/>
      <c r="TQ185" s="201"/>
      <c r="TR185" s="201"/>
      <c r="TS185" s="201"/>
      <c r="TT185" s="201"/>
      <c r="TU185" s="201"/>
      <c r="TV185" s="201"/>
      <c r="TW185" s="201"/>
      <c r="TX185" s="201"/>
      <c r="TY185" s="201"/>
      <c r="TZ185" s="201"/>
      <c r="UA185" s="201"/>
      <c r="UB185" s="201"/>
      <c r="UC185" s="201"/>
      <c r="UD185" s="201"/>
      <c r="UE185" s="201"/>
      <c r="UF185" s="201"/>
      <c r="UG185" s="201"/>
      <c r="UH185" s="201"/>
      <c r="UI185" s="201"/>
      <c r="UJ185" s="201"/>
      <c r="UK185" s="201"/>
      <c r="UL185" s="201"/>
      <c r="UM185" s="201"/>
      <c r="UN185" s="201"/>
      <c r="UO185" s="201"/>
      <c r="UP185" s="201"/>
      <c r="UQ185" s="201"/>
      <c r="UR185" s="201"/>
      <c r="US185" s="201"/>
      <c r="UT185" s="201"/>
      <c r="UU185" s="201"/>
    </row>
    <row r="186" spans="2:567" x14ac:dyDescent="0.25">
      <c r="B186" s="18" t="s">
        <v>144</v>
      </c>
      <c r="C186" s="161"/>
      <c r="D186" s="161"/>
      <c r="E186" s="162"/>
      <c r="F186" s="162"/>
      <c r="G186" s="162"/>
      <c r="H186" s="162"/>
      <c r="I186" s="164"/>
      <c r="J186" s="164"/>
      <c r="K186" s="164"/>
      <c r="L186" s="240"/>
      <c r="R186" s="257"/>
      <c r="S186" s="243"/>
      <c r="T186" s="243"/>
      <c r="U186" s="243"/>
      <c r="V186" s="243"/>
      <c r="W186" s="243"/>
      <c r="X186" s="243"/>
      <c r="Y186" s="243"/>
      <c r="Z186" s="243"/>
      <c r="AA186" s="243"/>
      <c r="AB186" s="243"/>
      <c r="AC186" s="243"/>
      <c r="AD186" s="243"/>
      <c r="AE186" s="243"/>
      <c r="AF186" s="243"/>
      <c r="AG186" s="243"/>
      <c r="AH186" s="243"/>
      <c r="AI186" s="243"/>
      <c r="AJ186" s="243"/>
      <c r="AK186" s="243"/>
      <c r="AL186" s="243"/>
      <c r="AM186" s="243"/>
      <c r="AN186" s="243"/>
      <c r="AO186" s="243"/>
      <c r="AP186" s="243"/>
      <c r="AQ186" s="243"/>
      <c r="AR186" s="243"/>
      <c r="AS186" s="243"/>
      <c r="AT186" s="243"/>
      <c r="AU186" s="243"/>
      <c r="AV186" s="243"/>
      <c r="AW186" s="243"/>
      <c r="AX186" s="243"/>
      <c r="AY186" s="243"/>
      <c r="AZ186" s="243"/>
      <c r="BA186" s="243"/>
      <c r="BB186" s="243"/>
      <c r="BC186" s="243"/>
      <c r="BD186" s="243"/>
      <c r="BE186" s="243"/>
      <c r="BF186" s="243"/>
      <c r="BG186" s="243"/>
      <c r="BH186" s="243"/>
      <c r="BI186" s="243"/>
      <c r="BJ186" s="243"/>
      <c r="BK186" s="243"/>
      <c r="BL186" s="243"/>
      <c r="BM186" s="243"/>
      <c r="BN186" s="243"/>
      <c r="BO186" s="243"/>
      <c r="BP186" s="243"/>
      <c r="BQ186" s="243"/>
      <c r="BR186" s="243"/>
      <c r="BS186" s="243"/>
      <c r="BT186" s="243"/>
      <c r="BU186" s="243"/>
      <c r="BV186" s="243"/>
      <c r="BW186" s="243"/>
      <c r="BX186" s="243"/>
      <c r="BY186" s="243"/>
      <c r="BZ186" s="243"/>
      <c r="CA186" s="243"/>
      <c r="CB186" s="243"/>
      <c r="CC186" s="243"/>
      <c r="CD186" s="243"/>
      <c r="CE186" s="243"/>
      <c r="CF186" s="243"/>
      <c r="CG186" s="243"/>
      <c r="CH186" s="243"/>
      <c r="CI186" s="243"/>
      <c r="CJ186" s="243"/>
      <c r="CK186" s="243"/>
      <c r="CL186" s="243"/>
      <c r="CM186" s="243"/>
      <c r="CN186" s="243"/>
      <c r="CO186" s="243"/>
      <c r="CP186" s="243"/>
      <c r="CQ186" s="243"/>
      <c r="CR186" s="243"/>
      <c r="CS186" s="243"/>
      <c r="CT186" s="243"/>
      <c r="CU186" s="243"/>
      <c r="CV186" s="243"/>
      <c r="CW186" s="243"/>
      <c r="CX186" s="243"/>
      <c r="CY186" s="243"/>
      <c r="CZ186" s="243"/>
      <c r="DA186" s="243"/>
      <c r="DB186" s="243"/>
      <c r="DC186" s="243"/>
      <c r="DD186" s="243"/>
      <c r="DE186" s="243"/>
      <c r="DF186" s="243"/>
      <c r="DG186" s="243"/>
      <c r="DH186" s="243"/>
      <c r="DI186" s="243"/>
      <c r="DJ186" s="243"/>
      <c r="DK186" s="243"/>
      <c r="DL186" s="243"/>
      <c r="DM186" s="243"/>
      <c r="DN186" s="243"/>
      <c r="DO186" s="243"/>
      <c r="DP186" s="243"/>
      <c r="DQ186" s="243"/>
      <c r="DR186" s="243"/>
      <c r="DS186" s="243"/>
      <c r="DT186" s="243"/>
      <c r="DU186" s="243"/>
      <c r="DV186" s="243"/>
      <c r="DW186" s="243"/>
      <c r="DX186" s="243"/>
      <c r="DY186" s="243"/>
      <c r="DZ186" s="243"/>
      <c r="EA186" s="243"/>
      <c r="EB186" s="243"/>
      <c r="EC186" s="243"/>
      <c r="ED186" s="243"/>
      <c r="EE186" s="243"/>
      <c r="EF186" s="243"/>
      <c r="EG186" s="243"/>
      <c r="EH186" s="243"/>
      <c r="EI186" s="243"/>
      <c r="EJ186" s="243"/>
      <c r="EK186" s="243"/>
      <c r="EL186" s="243"/>
      <c r="EM186" s="243"/>
      <c r="EN186" s="243"/>
      <c r="EO186" s="243"/>
      <c r="EP186" s="243"/>
      <c r="EQ186" s="243"/>
      <c r="ER186" s="243"/>
      <c r="ES186" s="243"/>
      <c r="ET186" s="243"/>
      <c r="EU186" s="243"/>
      <c r="FC186" s="199"/>
      <c r="FD186" s="199"/>
      <c r="FE186" s="199"/>
      <c r="FF186" s="199"/>
      <c r="FG186" s="199"/>
      <c r="FH186" s="199"/>
      <c r="FI186" s="199"/>
      <c r="FJ186" s="199"/>
      <c r="FK186" s="199"/>
      <c r="FL186" s="199"/>
      <c r="FM186" s="199"/>
      <c r="FN186" s="199"/>
      <c r="FO186" s="199"/>
      <c r="FP186" s="199"/>
      <c r="FQ186" s="199"/>
      <c r="FR186" s="199"/>
      <c r="FS186" s="199"/>
      <c r="FT186" s="199"/>
      <c r="FU186" s="199"/>
      <c r="FV186" s="199"/>
      <c r="FW186" s="199"/>
      <c r="FX186" s="199"/>
      <c r="FY186" s="199"/>
      <c r="FZ186" s="199"/>
      <c r="GA186" s="199"/>
      <c r="GB186" s="199"/>
      <c r="GC186" s="199"/>
      <c r="GD186" s="199"/>
      <c r="GE186" s="199"/>
      <c r="GF186" s="199"/>
      <c r="GG186" s="199"/>
      <c r="GH186" s="199"/>
      <c r="GI186" s="199"/>
      <c r="GJ186" s="199"/>
      <c r="GK186" s="199"/>
      <c r="GL186" s="199"/>
      <c r="GM186" s="199"/>
      <c r="GN186" s="199"/>
      <c r="GO186" s="199"/>
      <c r="GP186" s="199"/>
      <c r="GQ186" s="199"/>
      <c r="GR186" s="199"/>
      <c r="GS186" s="199"/>
      <c r="GT186" s="199"/>
      <c r="GU186" s="199"/>
      <c r="GV186" s="199"/>
      <c r="GW186" s="199"/>
      <c r="GX186" s="199"/>
      <c r="GY186" s="199"/>
      <c r="GZ186" s="199"/>
      <c r="HA186" s="199"/>
      <c r="HB186" s="199"/>
      <c r="HC186" s="199"/>
      <c r="HD186" s="199"/>
      <c r="HE186" s="199"/>
      <c r="HF186" s="199"/>
      <c r="HG186" s="199"/>
      <c r="HH186" s="199"/>
      <c r="HI186" s="199"/>
      <c r="HJ186" s="199"/>
      <c r="HK186" s="199"/>
      <c r="HL186" s="199"/>
      <c r="HM186" s="199"/>
      <c r="HN186" s="199"/>
      <c r="HO186" s="199"/>
      <c r="HP186" s="199"/>
      <c r="HQ186" s="199"/>
      <c r="HR186" s="199"/>
      <c r="HS186" s="199"/>
      <c r="HT186" s="199"/>
      <c r="HU186" s="199"/>
      <c r="HV186" s="199"/>
      <c r="HW186" s="199"/>
      <c r="HX186" s="199"/>
      <c r="HY186" s="199"/>
      <c r="HZ186" s="199"/>
      <c r="IA186" s="199"/>
      <c r="IB186" s="199"/>
      <c r="IC186" s="199"/>
      <c r="ID186" s="199"/>
      <c r="IE186" s="199"/>
      <c r="IF186" s="199"/>
      <c r="IG186" s="199"/>
      <c r="IH186" s="199"/>
      <c r="II186" s="199"/>
      <c r="IJ186" s="199"/>
      <c r="IK186" s="199"/>
      <c r="IL186" s="199"/>
      <c r="IM186" s="199"/>
      <c r="IN186" s="199"/>
      <c r="IO186" s="199"/>
      <c r="IP186" s="199"/>
      <c r="IQ186" s="199"/>
      <c r="IR186" s="199"/>
      <c r="IS186" s="199"/>
      <c r="IT186" s="199"/>
      <c r="IU186" s="199"/>
      <c r="IV186" s="199"/>
      <c r="IW186" s="199"/>
      <c r="IX186" s="199"/>
      <c r="IY186" s="199"/>
      <c r="IZ186" s="199"/>
      <c r="JA186" s="199"/>
      <c r="JB186" s="199"/>
      <c r="JC186" s="199"/>
      <c r="JD186" s="199"/>
      <c r="JE186" s="199"/>
      <c r="JF186" s="199"/>
      <c r="JG186" s="199"/>
      <c r="JH186" s="199"/>
      <c r="JI186" s="199"/>
      <c r="JJ186" s="199"/>
      <c r="JK186" s="199"/>
      <c r="JL186" s="199"/>
      <c r="JM186" s="199"/>
      <c r="JN186" s="199"/>
      <c r="JO186" s="199"/>
      <c r="JP186" s="199"/>
      <c r="JQ186" s="199"/>
      <c r="JR186" s="199"/>
      <c r="JS186" s="199"/>
      <c r="JT186" s="199"/>
      <c r="JU186" s="199"/>
      <c r="JV186" s="199"/>
      <c r="JW186" s="199"/>
      <c r="JX186" s="199"/>
      <c r="JY186" s="199"/>
      <c r="JZ186" s="199"/>
      <c r="KA186" s="199"/>
      <c r="KB186" s="199"/>
      <c r="KC186" s="199"/>
      <c r="KD186" s="199"/>
      <c r="KE186" s="199"/>
      <c r="PQ186" s="201"/>
      <c r="PR186" s="201"/>
      <c r="PS186" s="201"/>
      <c r="PT186" s="201"/>
      <c r="PU186" s="201"/>
      <c r="PV186" s="201"/>
      <c r="PW186" s="201"/>
      <c r="PX186" s="201"/>
      <c r="PY186" s="201"/>
      <c r="PZ186" s="201"/>
      <c r="QA186" s="201"/>
      <c r="QB186" s="201"/>
      <c r="QC186" s="201"/>
      <c r="QD186" s="201"/>
      <c r="QE186" s="201"/>
      <c r="QF186" s="201"/>
      <c r="QG186" s="201"/>
      <c r="QH186" s="201"/>
      <c r="QI186" s="201"/>
      <c r="QJ186" s="201"/>
      <c r="QK186" s="201"/>
      <c r="QL186" s="201"/>
      <c r="QM186" s="201"/>
      <c r="QN186" s="201"/>
      <c r="QO186" s="201"/>
      <c r="QP186" s="201"/>
      <c r="QQ186" s="201"/>
      <c r="QR186" s="201"/>
      <c r="QS186" s="201"/>
      <c r="QT186" s="201"/>
      <c r="QU186" s="201"/>
      <c r="QV186" s="201"/>
      <c r="QW186" s="201"/>
      <c r="QX186" s="201"/>
      <c r="QY186" s="201"/>
      <c r="QZ186" s="201"/>
      <c r="RA186" s="201"/>
      <c r="RB186" s="201"/>
      <c r="RC186" s="201"/>
      <c r="RD186" s="201"/>
      <c r="RE186" s="201"/>
      <c r="RF186" s="201"/>
      <c r="RG186" s="201"/>
      <c r="RH186" s="201"/>
      <c r="RI186" s="201"/>
      <c r="RJ186" s="201"/>
      <c r="RK186" s="201"/>
      <c r="RL186" s="201"/>
      <c r="RM186" s="201"/>
      <c r="RN186" s="201"/>
      <c r="RO186" s="201"/>
      <c r="RP186" s="201"/>
      <c r="RQ186" s="201"/>
      <c r="RR186" s="201"/>
      <c r="RS186" s="201"/>
      <c r="RT186" s="201"/>
      <c r="RU186" s="201"/>
      <c r="RV186" s="201"/>
      <c r="RW186" s="201"/>
      <c r="RX186" s="201"/>
      <c r="RY186" s="201"/>
      <c r="RZ186" s="201"/>
      <c r="SA186" s="201"/>
      <c r="SB186" s="201"/>
      <c r="SC186" s="201"/>
      <c r="SD186" s="201"/>
      <c r="SE186" s="201"/>
      <c r="SF186" s="201"/>
      <c r="SG186" s="201"/>
      <c r="SH186" s="201"/>
      <c r="SI186" s="201"/>
      <c r="SJ186" s="201"/>
      <c r="SK186" s="201"/>
      <c r="SL186" s="201"/>
      <c r="SM186" s="201"/>
      <c r="SN186" s="201"/>
      <c r="SO186" s="201"/>
      <c r="SP186" s="201"/>
      <c r="SQ186" s="201"/>
      <c r="SR186" s="201"/>
      <c r="SS186" s="201"/>
      <c r="ST186" s="201"/>
      <c r="SU186" s="201"/>
      <c r="SV186" s="201"/>
      <c r="SW186" s="201"/>
      <c r="SX186" s="201"/>
      <c r="SY186" s="201"/>
      <c r="SZ186" s="201"/>
      <c r="TA186" s="201"/>
      <c r="TB186" s="201"/>
      <c r="TC186" s="201"/>
      <c r="TD186" s="201"/>
      <c r="TE186" s="201"/>
      <c r="TF186" s="201"/>
      <c r="TG186" s="201"/>
      <c r="TH186" s="201"/>
      <c r="TI186" s="201"/>
      <c r="TJ186" s="201"/>
      <c r="TK186" s="201"/>
      <c r="TL186" s="201"/>
      <c r="TM186" s="201"/>
      <c r="TN186" s="201"/>
      <c r="TO186" s="201"/>
      <c r="TP186" s="201"/>
      <c r="TQ186" s="201"/>
      <c r="TR186" s="201"/>
      <c r="TS186" s="201"/>
      <c r="TT186" s="201"/>
      <c r="TU186" s="201"/>
      <c r="TV186" s="201"/>
      <c r="TW186" s="201"/>
      <c r="TX186" s="201"/>
      <c r="TY186" s="201"/>
      <c r="TZ186" s="201"/>
      <c r="UA186" s="201"/>
      <c r="UB186" s="201"/>
      <c r="UC186" s="201"/>
      <c r="UD186" s="201"/>
      <c r="UE186" s="201"/>
      <c r="UF186" s="201"/>
      <c r="UG186" s="201"/>
      <c r="UH186" s="201"/>
      <c r="UI186" s="201"/>
      <c r="UJ186" s="201"/>
      <c r="UK186" s="201"/>
      <c r="UL186" s="201"/>
      <c r="UM186" s="201"/>
      <c r="UN186" s="201"/>
      <c r="UO186" s="201"/>
      <c r="UP186" s="201"/>
      <c r="UQ186" s="201"/>
      <c r="UR186" s="201"/>
      <c r="US186" s="201"/>
      <c r="UT186" s="201"/>
      <c r="UU186" s="201"/>
    </row>
    <row r="187" spans="2:567" x14ac:dyDescent="0.25">
      <c r="B187" s="54" t="str">
        <f t="shared" ref="B187:B196" si="3084">B136</f>
        <v>Repairs and Maintenance</v>
      </c>
      <c r="C187" s="161"/>
      <c r="D187" s="161"/>
      <c r="E187" s="162"/>
      <c r="F187" s="162"/>
      <c r="G187" s="162"/>
      <c r="H187" s="162"/>
      <c r="I187" s="164">
        <f t="shared" ref="I187:I196" si="3085">J136</f>
        <v>105000</v>
      </c>
      <c r="J187" s="164">
        <f t="shared" ref="J187:J196" ca="1" si="3086">SUM(OFFSET($S136,0,$D$167,1,12))</f>
        <v>108852.705082771</v>
      </c>
      <c r="K187" s="165">
        <f t="shared" ref="K187:K196" ca="1" si="3087">SUM(OFFSET($S136,0,$D$168,1,12))</f>
        <v>111574.02270984017</v>
      </c>
      <c r="L187" s="240"/>
      <c r="M187" s="3" t="s">
        <v>853</v>
      </c>
      <c r="R187" s="257"/>
      <c r="S187" s="243"/>
      <c r="T187" s="243"/>
      <c r="U187" s="243"/>
      <c r="V187" s="243"/>
      <c r="W187" s="243"/>
      <c r="X187" s="243"/>
      <c r="Y187" s="243"/>
      <c r="Z187" s="243"/>
      <c r="AA187" s="243"/>
      <c r="AB187" s="243"/>
      <c r="AC187" s="243"/>
      <c r="AD187" s="243"/>
      <c r="AE187" s="243"/>
      <c r="AF187" s="243"/>
      <c r="AG187" s="243"/>
      <c r="AH187" s="243"/>
      <c r="AI187" s="243"/>
      <c r="AJ187" s="243"/>
      <c r="AK187" s="243"/>
      <c r="AL187" s="243"/>
      <c r="AM187" s="243"/>
      <c r="AN187" s="243"/>
      <c r="AO187" s="243"/>
      <c r="AP187" s="243"/>
      <c r="AQ187" s="243"/>
      <c r="AR187" s="243"/>
      <c r="AS187" s="243"/>
      <c r="AT187" s="243"/>
      <c r="AU187" s="243"/>
      <c r="AV187" s="243"/>
      <c r="AW187" s="243"/>
      <c r="AX187" s="243"/>
      <c r="AY187" s="243"/>
      <c r="AZ187" s="243"/>
      <c r="BA187" s="243"/>
      <c r="BB187" s="243"/>
      <c r="BC187" s="243"/>
      <c r="BD187" s="243"/>
      <c r="BE187" s="243"/>
      <c r="BF187" s="243"/>
      <c r="BG187" s="243"/>
      <c r="BH187" s="243"/>
      <c r="BI187" s="243"/>
      <c r="BJ187" s="243"/>
      <c r="BK187" s="243"/>
      <c r="BL187" s="243"/>
      <c r="BM187" s="243"/>
      <c r="BN187" s="243"/>
      <c r="BO187" s="243"/>
      <c r="BP187" s="243"/>
      <c r="BQ187" s="243"/>
      <c r="BR187" s="243"/>
      <c r="BS187" s="243"/>
      <c r="BT187" s="243"/>
      <c r="BU187" s="243"/>
      <c r="BV187" s="243"/>
      <c r="BW187" s="243"/>
      <c r="BX187" s="243"/>
      <c r="BY187" s="243"/>
      <c r="BZ187" s="243"/>
      <c r="CA187" s="243"/>
      <c r="CB187" s="243"/>
      <c r="CC187" s="243"/>
      <c r="CD187" s="243"/>
      <c r="CE187" s="243"/>
      <c r="CF187" s="243"/>
      <c r="CG187" s="243"/>
      <c r="CH187" s="243"/>
      <c r="CI187" s="243"/>
      <c r="CJ187" s="243"/>
      <c r="CK187" s="243"/>
      <c r="CL187" s="243"/>
      <c r="CM187" s="243"/>
      <c r="CN187" s="243"/>
      <c r="CO187" s="243"/>
      <c r="CP187" s="243"/>
      <c r="CQ187" s="243"/>
      <c r="CR187" s="243"/>
      <c r="CS187" s="243"/>
      <c r="CT187" s="243"/>
      <c r="CU187" s="243"/>
      <c r="CV187" s="243"/>
      <c r="CW187" s="243"/>
      <c r="CX187" s="243"/>
      <c r="CY187" s="243"/>
      <c r="CZ187" s="243"/>
      <c r="DA187" s="243"/>
      <c r="DB187" s="243"/>
      <c r="DC187" s="243"/>
      <c r="DD187" s="243"/>
      <c r="DE187" s="243"/>
      <c r="DF187" s="243"/>
      <c r="DG187" s="243"/>
      <c r="DH187" s="243"/>
      <c r="DI187" s="243"/>
      <c r="DJ187" s="243"/>
      <c r="DK187" s="243"/>
      <c r="DL187" s="243"/>
      <c r="DM187" s="243"/>
      <c r="DN187" s="243"/>
      <c r="DO187" s="243"/>
      <c r="DP187" s="243"/>
      <c r="DQ187" s="243"/>
      <c r="DR187" s="243"/>
      <c r="DS187" s="243"/>
      <c r="DT187" s="243"/>
      <c r="DU187" s="243"/>
      <c r="DV187" s="243"/>
      <c r="DW187" s="243"/>
      <c r="DX187" s="243"/>
      <c r="DY187" s="243"/>
      <c r="DZ187" s="243"/>
      <c r="EA187" s="243"/>
      <c r="EB187" s="243"/>
      <c r="EC187" s="243"/>
      <c r="ED187" s="243"/>
      <c r="EE187" s="243"/>
      <c r="EF187" s="243"/>
      <c r="EG187" s="243"/>
      <c r="EH187" s="243"/>
      <c r="EI187" s="243"/>
      <c r="EJ187" s="243"/>
      <c r="EK187" s="243"/>
      <c r="EL187" s="243"/>
      <c r="EM187" s="243"/>
      <c r="EN187" s="243"/>
      <c r="EO187" s="243"/>
      <c r="EP187" s="243"/>
      <c r="EQ187" s="243"/>
      <c r="ER187" s="243"/>
      <c r="ES187" s="243"/>
      <c r="ET187" s="243"/>
      <c r="EU187" s="243"/>
      <c r="FC187" s="199"/>
      <c r="FD187" s="199"/>
      <c r="FE187" s="199"/>
      <c r="FF187" s="199"/>
      <c r="FG187" s="199"/>
      <c r="FH187" s="199"/>
      <c r="FI187" s="199"/>
      <c r="FJ187" s="199"/>
      <c r="FK187" s="199"/>
      <c r="FL187" s="199"/>
      <c r="FM187" s="199"/>
      <c r="FN187" s="199"/>
      <c r="FO187" s="199"/>
      <c r="FP187" s="199"/>
      <c r="FQ187" s="199"/>
      <c r="FR187" s="199"/>
      <c r="FS187" s="199"/>
      <c r="FT187" s="199"/>
      <c r="FU187" s="199"/>
      <c r="FV187" s="199"/>
      <c r="FW187" s="199"/>
      <c r="FX187" s="199"/>
      <c r="FY187" s="199"/>
      <c r="FZ187" s="199"/>
      <c r="GA187" s="199"/>
      <c r="GB187" s="199"/>
      <c r="GC187" s="199"/>
      <c r="GD187" s="199"/>
      <c r="GE187" s="199"/>
      <c r="GF187" s="199"/>
      <c r="GG187" s="199"/>
      <c r="GH187" s="199"/>
      <c r="GI187" s="199"/>
      <c r="GJ187" s="199"/>
      <c r="GK187" s="199"/>
      <c r="GL187" s="199"/>
      <c r="GM187" s="199"/>
      <c r="GN187" s="199"/>
      <c r="GO187" s="199"/>
      <c r="GP187" s="199"/>
      <c r="GQ187" s="199"/>
      <c r="GR187" s="199"/>
      <c r="GS187" s="199"/>
      <c r="GT187" s="199"/>
      <c r="GU187" s="199"/>
      <c r="GV187" s="199"/>
      <c r="GW187" s="199"/>
      <c r="GX187" s="199"/>
      <c r="GY187" s="199"/>
      <c r="GZ187" s="199"/>
      <c r="HA187" s="199"/>
      <c r="HB187" s="199"/>
      <c r="HC187" s="199"/>
      <c r="HD187" s="199"/>
      <c r="HE187" s="199"/>
      <c r="HF187" s="199"/>
      <c r="HG187" s="199"/>
      <c r="HH187" s="199"/>
      <c r="HI187" s="199"/>
      <c r="HJ187" s="199"/>
      <c r="HK187" s="199"/>
      <c r="HL187" s="199"/>
      <c r="HM187" s="199"/>
      <c r="HN187" s="199"/>
      <c r="HO187" s="199"/>
      <c r="HP187" s="199"/>
      <c r="HQ187" s="199"/>
      <c r="HR187" s="199"/>
      <c r="HS187" s="199"/>
      <c r="HT187" s="199"/>
      <c r="HU187" s="199"/>
      <c r="HV187" s="199"/>
      <c r="HW187" s="199"/>
      <c r="HX187" s="199"/>
      <c r="HY187" s="199"/>
      <c r="HZ187" s="199"/>
      <c r="IA187" s="199"/>
      <c r="IB187" s="199"/>
      <c r="IC187" s="199"/>
      <c r="ID187" s="199"/>
      <c r="IE187" s="199"/>
      <c r="IF187" s="199"/>
      <c r="IG187" s="199"/>
      <c r="IH187" s="199"/>
      <c r="II187" s="199"/>
      <c r="IJ187" s="199"/>
      <c r="IK187" s="199"/>
      <c r="IL187" s="199"/>
      <c r="IM187" s="199"/>
      <c r="IN187" s="199"/>
      <c r="IO187" s="199"/>
      <c r="IP187" s="199"/>
      <c r="IQ187" s="199"/>
      <c r="IR187" s="199"/>
      <c r="IS187" s="199"/>
      <c r="IT187" s="199"/>
      <c r="IU187" s="199"/>
      <c r="IV187" s="199"/>
      <c r="IW187" s="199"/>
      <c r="IX187" s="199"/>
      <c r="IY187" s="199"/>
      <c r="IZ187" s="199"/>
      <c r="JA187" s="199"/>
      <c r="JB187" s="199"/>
      <c r="JC187" s="199"/>
      <c r="JD187" s="199"/>
      <c r="JE187" s="199"/>
      <c r="JF187" s="199"/>
      <c r="JG187" s="199"/>
      <c r="JH187" s="199"/>
      <c r="JI187" s="199"/>
      <c r="JJ187" s="199"/>
      <c r="JK187" s="199"/>
      <c r="JL187" s="199"/>
      <c r="JM187" s="199"/>
      <c r="JN187" s="199"/>
      <c r="JO187" s="199"/>
      <c r="JP187" s="199"/>
      <c r="JQ187" s="199"/>
      <c r="JR187" s="199"/>
      <c r="JS187" s="199"/>
      <c r="JT187" s="199"/>
      <c r="JU187" s="199"/>
      <c r="JV187" s="199"/>
      <c r="JW187" s="199"/>
      <c r="JX187" s="199"/>
      <c r="JY187" s="199"/>
      <c r="JZ187" s="199"/>
      <c r="KA187" s="199"/>
      <c r="KB187" s="199"/>
      <c r="KC187" s="199"/>
      <c r="KD187" s="199"/>
      <c r="KE187" s="199"/>
      <c r="PQ187" s="201"/>
      <c r="PR187" s="201"/>
      <c r="PS187" s="201"/>
      <c r="PT187" s="201"/>
      <c r="PU187" s="201"/>
      <c r="PV187" s="201"/>
      <c r="PW187" s="201"/>
      <c r="PX187" s="201"/>
      <c r="PY187" s="201"/>
      <c r="PZ187" s="201"/>
      <c r="QA187" s="201"/>
      <c r="QB187" s="201"/>
      <c r="QC187" s="201"/>
      <c r="QD187" s="201"/>
      <c r="QE187" s="201"/>
      <c r="QF187" s="201"/>
      <c r="QG187" s="201"/>
      <c r="QH187" s="201"/>
      <c r="QI187" s="201"/>
      <c r="QJ187" s="201"/>
      <c r="QK187" s="201"/>
      <c r="QL187" s="201"/>
      <c r="QM187" s="201"/>
      <c r="QN187" s="201"/>
      <c r="QO187" s="201"/>
      <c r="QP187" s="201"/>
      <c r="QQ187" s="201"/>
      <c r="QR187" s="201"/>
      <c r="QS187" s="201"/>
      <c r="QT187" s="201"/>
      <c r="QU187" s="201"/>
      <c r="QV187" s="201"/>
      <c r="QW187" s="201"/>
      <c r="QX187" s="201"/>
      <c r="QY187" s="201"/>
      <c r="QZ187" s="201"/>
      <c r="RA187" s="201"/>
      <c r="RB187" s="201"/>
      <c r="RC187" s="201"/>
      <c r="RD187" s="201"/>
      <c r="RE187" s="201"/>
      <c r="RF187" s="201"/>
      <c r="RG187" s="201"/>
      <c r="RH187" s="201"/>
      <c r="RI187" s="201"/>
      <c r="RJ187" s="201"/>
      <c r="RK187" s="201"/>
      <c r="RL187" s="201"/>
      <c r="RM187" s="201"/>
      <c r="RN187" s="201"/>
      <c r="RO187" s="201"/>
      <c r="RP187" s="201"/>
      <c r="RQ187" s="201"/>
      <c r="RR187" s="201"/>
      <c r="RS187" s="201"/>
      <c r="RT187" s="201"/>
      <c r="RU187" s="201"/>
      <c r="RV187" s="201"/>
      <c r="RW187" s="201"/>
      <c r="RX187" s="201"/>
      <c r="RY187" s="201"/>
      <c r="RZ187" s="201"/>
      <c r="SA187" s="201"/>
      <c r="SB187" s="201"/>
      <c r="SC187" s="201"/>
      <c r="SD187" s="201"/>
      <c r="SE187" s="201"/>
      <c r="SF187" s="201"/>
      <c r="SG187" s="201"/>
      <c r="SH187" s="201"/>
      <c r="SI187" s="201"/>
      <c r="SJ187" s="201"/>
      <c r="SK187" s="201"/>
      <c r="SL187" s="201"/>
      <c r="SM187" s="201"/>
      <c r="SN187" s="201"/>
      <c r="SO187" s="201"/>
      <c r="SP187" s="201"/>
      <c r="SQ187" s="201"/>
      <c r="SR187" s="201"/>
      <c r="SS187" s="201"/>
      <c r="ST187" s="201"/>
      <c r="SU187" s="201"/>
      <c r="SV187" s="201"/>
      <c r="SW187" s="201"/>
      <c r="SX187" s="201"/>
      <c r="SY187" s="201"/>
      <c r="SZ187" s="201"/>
      <c r="TA187" s="201"/>
      <c r="TB187" s="201"/>
      <c r="TC187" s="201"/>
      <c r="TD187" s="201"/>
      <c r="TE187" s="201"/>
      <c r="TF187" s="201"/>
      <c r="TG187" s="201"/>
      <c r="TH187" s="201"/>
      <c r="TI187" s="201"/>
      <c r="TJ187" s="201"/>
      <c r="TK187" s="201"/>
      <c r="TL187" s="201"/>
      <c r="TM187" s="201"/>
      <c r="TN187" s="201"/>
      <c r="TO187" s="201"/>
      <c r="TP187" s="201"/>
      <c r="TQ187" s="201"/>
      <c r="TR187" s="201"/>
      <c r="TS187" s="201"/>
      <c r="TT187" s="201"/>
      <c r="TU187" s="201"/>
      <c r="TV187" s="201"/>
      <c r="TW187" s="201"/>
      <c r="TX187" s="201"/>
      <c r="TY187" s="201"/>
      <c r="TZ187" s="201"/>
      <c r="UA187" s="201"/>
      <c r="UB187" s="201"/>
      <c r="UC187" s="201"/>
      <c r="UD187" s="201"/>
      <c r="UE187" s="201"/>
      <c r="UF187" s="201"/>
      <c r="UG187" s="201"/>
      <c r="UH187" s="201"/>
      <c r="UI187" s="201"/>
      <c r="UJ187" s="201"/>
      <c r="UK187" s="201"/>
      <c r="UL187" s="201"/>
      <c r="UM187" s="201"/>
      <c r="UN187" s="201"/>
      <c r="UO187" s="201"/>
      <c r="UP187" s="201"/>
      <c r="UQ187" s="201"/>
      <c r="UR187" s="201"/>
      <c r="US187" s="201"/>
      <c r="UT187" s="201"/>
      <c r="UU187" s="201"/>
    </row>
    <row r="188" spans="2:567" x14ac:dyDescent="0.25">
      <c r="B188" s="54" t="str">
        <f t="shared" si="3084"/>
        <v>Payroll</v>
      </c>
      <c r="C188" s="161"/>
      <c r="D188" s="161"/>
      <c r="E188" s="162"/>
      <c r="F188" s="162"/>
      <c r="G188" s="162"/>
      <c r="H188" s="162"/>
      <c r="I188" s="164">
        <f t="shared" si="3085"/>
        <v>330000</v>
      </c>
      <c r="J188" s="164">
        <f t="shared" ca="1" si="3086"/>
        <v>342108.50168870896</v>
      </c>
      <c r="K188" s="165">
        <f t="shared" ca="1" si="3087"/>
        <v>350661.21423092607</v>
      </c>
      <c r="L188" s="240"/>
      <c r="M188" s="3" t="s">
        <v>853</v>
      </c>
      <c r="R188" s="257"/>
      <c r="S188" s="243"/>
      <c r="T188" s="243"/>
      <c r="U188" s="243"/>
      <c r="V188" s="243"/>
      <c r="W188" s="243"/>
      <c r="X188" s="243"/>
      <c r="Y188" s="243"/>
      <c r="Z188" s="243"/>
      <c r="AA188" s="243"/>
      <c r="AB188" s="243"/>
      <c r="AC188" s="243"/>
      <c r="AD188" s="243"/>
      <c r="AE188" s="243"/>
      <c r="AF188" s="243"/>
      <c r="AG188" s="243"/>
      <c r="AH188" s="243"/>
      <c r="AI188" s="243"/>
      <c r="AJ188" s="243"/>
      <c r="AK188" s="243"/>
      <c r="AL188" s="243"/>
      <c r="AM188" s="243"/>
      <c r="AN188" s="243"/>
      <c r="AO188" s="243"/>
      <c r="AP188" s="243"/>
      <c r="AQ188" s="243"/>
      <c r="AR188" s="243"/>
      <c r="AS188" s="243"/>
      <c r="AT188" s="243"/>
      <c r="AU188" s="243"/>
      <c r="AV188" s="243"/>
      <c r="AW188" s="243"/>
      <c r="AX188" s="243"/>
      <c r="AY188" s="243"/>
      <c r="AZ188" s="243"/>
      <c r="BA188" s="243"/>
      <c r="BB188" s="243"/>
      <c r="BC188" s="243"/>
      <c r="BD188" s="243"/>
      <c r="BE188" s="243"/>
      <c r="BF188" s="243"/>
      <c r="BG188" s="243"/>
      <c r="BH188" s="243"/>
      <c r="BI188" s="243"/>
      <c r="BJ188" s="243"/>
      <c r="BK188" s="243"/>
      <c r="BL188" s="243"/>
      <c r="BM188" s="243"/>
      <c r="BN188" s="243"/>
      <c r="BO188" s="243"/>
      <c r="BP188" s="243"/>
      <c r="BQ188" s="243"/>
      <c r="BR188" s="243"/>
      <c r="BS188" s="243"/>
      <c r="BT188" s="243"/>
      <c r="BU188" s="243"/>
      <c r="BV188" s="243"/>
      <c r="BW188" s="243"/>
      <c r="BX188" s="243"/>
      <c r="BY188" s="243"/>
      <c r="BZ188" s="243"/>
      <c r="CA188" s="243"/>
      <c r="CB188" s="243"/>
      <c r="CC188" s="243"/>
      <c r="CD188" s="243"/>
      <c r="CE188" s="243"/>
      <c r="CF188" s="243"/>
      <c r="CG188" s="243"/>
      <c r="CH188" s="243"/>
      <c r="CI188" s="243"/>
      <c r="CJ188" s="243"/>
      <c r="CK188" s="243"/>
      <c r="CL188" s="243"/>
      <c r="CM188" s="243"/>
      <c r="CN188" s="243"/>
      <c r="CO188" s="243"/>
      <c r="CP188" s="243"/>
      <c r="CQ188" s="243"/>
      <c r="CR188" s="243"/>
      <c r="CS188" s="243"/>
      <c r="CT188" s="243"/>
      <c r="CU188" s="243"/>
      <c r="CV188" s="243"/>
      <c r="CW188" s="243"/>
      <c r="CX188" s="243"/>
      <c r="CY188" s="243"/>
      <c r="CZ188" s="243"/>
      <c r="DA188" s="243"/>
      <c r="DB188" s="243"/>
      <c r="DC188" s="243"/>
      <c r="DD188" s="243"/>
      <c r="DE188" s="243"/>
      <c r="DF188" s="243"/>
      <c r="DG188" s="243"/>
      <c r="DH188" s="243"/>
      <c r="DI188" s="243"/>
      <c r="DJ188" s="243"/>
      <c r="DK188" s="243"/>
      <c r="DL188" s="243"/>
      <c r="DM188" s="243"/>
      <c r="DN188" s="243"/>
      <c r="DO188" s="243"/>
      <c r="DP188" s="243"/>
      <c r="DQ188" s="243"/>
      <c r="DR188" s="243"/>
      <c r="DS188" s="243"/>
      <c r="DT188" s="243"/>
      <c r="DU188" s="243"/>
      <c r="DV188" s="243"/>
      <c r="DW188" s="243"/>
      <c r="DX188" s="243"/>
      <c r="DY188" s="243"/>
      <c r="DZ188" s="243"/>
      <c r="EA188" s="243"/>
      <c r="EB188" s="243"/>
      <c r="EC188" s="243"/>
      <c r="ED188" s="243"/>
      <c r="EE188" s="243"/>
      <c r="EF188" s="243"/>
      <c r="EG188" s="243"/>
      <c r="EH188" s="243"/>
      <c r="EI188" s="243"/>
      <c r="EJ188" s="243"/>
      <c r="EK188" s="243"/>
      <c r="EL188" s="243"/>
      <c r="EM188" s="243"/>
      <c r="EN188" s="243"/>
      <c r="EO188" s="243"/>
      <c r="EP188" s="243"/>
      <c r="EQ188" s="243"/>
      <c r="ER188" s="243"/>
      <c r="ES188" s="243"/>
      <c r="ET188" s="243"/>
      <c r="EU188" s="243"/>
      <c r="FC188" s="199"/>
      <c r="FD188" s="199"/>
      <c r="FE188" s="199"/>
      <c r="FF188" s="199"/>
      <c r="FG188" s="199"/>
      <c r="FH188" s="199"/>
      <c r="FI188" s="199"/>
      <c r="FJ188" s="199"/>
      <c r="FK188" s="199"/>
      <c r="FL188" s="199"/>
      <c r="FM188" s="199"/>
      <c r="FN188" s="199"/>
      <c r="FO188" s="199"/>
      <c r="FP188" s="199"/>
      <c r="FQ188" s="199"/>
      <c r="FR188" s="199"/>
      <c r="FS188" s="199"/>
      <c r="FT188" s="199"/>
      <c r="FU188" s="199"/>
      <c r="FV188" s="199"/>
      <c r="FW188" s="199"/>
      <c r="FX188" s="199"/>
      <c r="FY188" s="199"/>
      <c r="FZ188" s="199"/>
      <c r="GA188" s="199"/>
      <c r="GB188" s="199"/>
      <c r="GC188" s="199"/>
      <c r="GD188" s="199"/>
      <c r="GE188" s="199"/>
      <c r="GF188" s="199"/>
      <c r="GG188" s="199"/>
      <c r="GH188" s="199"/>
      <c r="GI188" s="199"/>
      <c r="GJ188" s="199"/>
      <c r="GK188" s="199"/>
      <c r="GL188" s="199"/>
      <c r="GM188" s="199"/>
      <c r="GN188" s="199"/>
      <c r="GO188" s="199"/>
      <c r="GP188" s="199"/>
      <c r="GQ188" s="199"/>
      <c r="GR188" s="199"/>
      <c r="GS188" s="199"/>
      <c r="GT188" s="199"/>
      <c r="GU188" s="199"/>
      <c r="GV188" s="199"/>
      <c r="GW188" s="199"/>
      <c r="GX188" s="199"/>
      <c r="GY188" s="199"/>
      <c r="GZ188" s="199"/>
      <c r="HA188" s="199"/>
      <c r="HB188" s="199"/>
      <c r="HC188" s="199"/>
      <c r="HD188" s="199"/>
      <c r="HE188" s="199"/>
      <c r="HF188" s="199"/>
      <c r="HG188" s="199"/>
      <c r="HH188" s="199"/>
      <c r="HI188" s="199"/>
      <c r="HJ188" s="199"/>
      <c r="HK188" s="199"/>
      <c r="HL188" s="199"/>
      <c r="HM188" s="199"/>
      <c r="HN188" s="199"/>
      <c r="HO188" s="199"/>
      <c r="HP188" s="199"/>
      <c r="HQ188" s="199"/>
      <c r="HR188" s="199"/>
      <c r="HS188" s="199"/>
      <c r="HT188" s="199"/>
      <c r="HU188" s="199"/>
      <c r="HV188" s="199"/>
      <c r="HW188" s="199"/>
      <c r="HX188" s="199"/>
      <c r="HY188" s="199"/>
      <c r="HZ188" s="199"/>
      <c r="IA188" s="199"/>
      <c r="IB188" s="199"/>
      <c r="IC188" s="199"/>
      <c r="ID188" s="199"/>
      <c r="IE188" s="199"/>
      <c r="IF188" s="199"/>
      <c r="IG188" s="199"/>
      <c r="IH188" s="199"/>
      <c r="II188" s="199"/>
      <c r="IJ188" s="199"/>
      <c r="IK188" s="199"/>
      <c r="IL188" s="199"/>
      <c r="IM188" s="199"/>
      <c r="IN188" s="199"/>
      <c r="IO188" s="199"/>
      <c r="IP188" s="199"/>
      <c r="IQ188" s="199"/>
      <c r="IR188" s="199"/>
      <c r="IS188" s="199"/>
      <c r="IT188" s="199"/>
      <c r="IU188" s="199"/>
      <c r="IV188" s="199"/>
      <c r="IW188" s="199"/>
      <c r="IX188" s="199"/>
      <c r="IY188" s="199"/>
      <c r="IZ188" s="199"/>
      <c r="JA188" s="199"/>
      <c r="JB188" s="199"/>
      <c r="JC188" s="199"/>
      <c r="JD188" s="199"/>
      <c r="JE188" s="199"/>
      <c r="JF188" s="199"/>
      <c r="JG188" s="199"/>
      <c r="JH188" s="199"/>
      <c r="JI188" s="199"/>
      <c r="JJ188" s="199"/>
      <c r="JK188" s="199"/>
      <c r="JL188" s="199"/>
      <c r="JM188" s="199"/>
      <c r="JN188" s="199"/>
      <c r="JO188" s="199"/>
      <c r="JP188" s="199"/>
      <c r="JQ188" s="199"/>
      <c r="JR188" s="199"/>
      <c r="JS188" s="199"/>
      <c r="JT188" s="199"/>
      <c r="JU188" s="199"/>
      <c r="JV188" s="199"/>
      <c r="JW188" s="199"/>
      <c r="JX188" s="199"/>
      <c r="JY188" s="199"/>
      <c r="JZ188" s="199"/>
      <c r="KA188" s="199"/>
      <c r="KB188" s="199"/>
      <c r="KC188" s="199"/>
      <c r="KD188" s="199"/>
      <c r="KE188" s="199"/>
      <c r="PQ188" s="201"/>
      <c r="PR188" s="201"/>
      <c r="PS188" s="201"/>
      <c r="PT188" s="201"/>
      <c r="PU188" s="201"/>
      <c r="PV188" s="201"/>
      <c r="PW188" s="201"/>
      <c r="PX188" s="201"/>
      <c r="PY188" s="201"/>
      <c r="PZ188" s="201"/>
      <c r="QA188" s="201"/>
      <c r="QB188" s="201"/>
      <c r="QC188" s="201"/>
      <c r="QD188" s="201"/>
      <c r="QE188" s="201"/>
      <c r="QF188" s="201"/>
      <c r="QG188" s="201"/>
      <c r="QH188" s="201"/>
      <c r="QI188" s="201"/>
      <c r="QJ188" s="201"/>
      <c r="QK188" s="201"/>
      <c r="QL188" s="201"/>
      <c r="QM188" s="201"/>
      <c r="QN188" s="201"/>
      <c r="QO188" s="201"/>
      <c r="QP188" s="201"/>
      <c r="QQ188" s="201"/>
      <c r="QR188" s="201"/>
      <c r="QS188" s="201"/>
      <c r="QT188" s="201"/>
      <c r="QU188" s="201"/>
      <c r="QV188" s="201"/>
      <c r="QW188" s="201"/>
      <c r="QX188" s="201"/>
      <c r="QY188" s="201"/>
      <c r="QZ188" s="201"/>
      <c r="RA188" s="201"/>
      <c r="RB188" s="201"/>
      <c r="RC188" s="201"/>
      <c r="RD188" s="201"/>
      <c r="RE188" s="201"/>
      <c r="RF188" s="201"/>
      <c r="RG188" s="201"/>
      <c r="RH188" s="201"/>
      <c r="RI188" s="201"/>
      <c r="RJ188" s="201"/>
      <c r="RK188" s="201"/>
      <c r="RL188" s="201"/>
      <c r="RM188" s="201"/>
      <c r="RN188" s="201"/>
      <c r="RO188" s="201"/>
      <c r="RP188" s="201"/>
      <c r="RQ188" s="201"/>
      <c r="RR188" s="201"/>
      <c r="RS188" s="201"/>
      <c r="RT188" s="201"/>
      <c r="RU188" s="201"/>
      <c r="RV188" s="201"/>
      <c r="RW188" s="201"/>
      <c r="RX188" s="201"/>
      <c r="RY188" s="201"/>
      <c r="RZ188" s="201"/>
      <c r="SA188" s="201"/>
      <c r="SB188" s="201"/>
      <c r="SC188" s="201"/>
      <c r="SD188" s="201"/>
      <c r="SE188" s="201"/>
      <c r="SF188" s="201"/>
      <c r="SG188" s="201"/>
      <c r="SH188" s="201"/>
      <c r="SI188" s="201"/>
      <c r="SJ188" s="201"/>
      <c r="SK188" s="201"/>
      <c r="SL188" s="201"/>
      <c r="SM188" s="201"/>
      <c r="SN188" s="201"/>
      <c r="SO188" s="201"/>
      <c r="SP188" s="201"/>
      <c r="SQ188" s="201"/>
      <c r="SR188" s="201"/>
      <c r="SS188" s="201"/>
      <c r="ST188" s="201"/>
      <c r="SU188" s="201"/>
      <c r="SV188" s="201"/>
      <c r="SW188" s="201"/>
      <c r="SX188" s="201"/>
      <c r="SY188" s="201"/>
      <c r="SZ188" s="201"/>
      <c r="TA188" s="201"/>
      <c r="TB188" s="201"/>
      <c r="TC188" s="201"/>
      <c r="TD188" s="201"/>
      <c r="TE188" s="201"/>
      <c r="TF188" s="201"/>
      <c r="TG188" s="201"/>
      <c r="TH188" s="201"/>
      <c r="TI188" s="201"/>
      <c r="TJ188" s="201"/>
      <c r="TK188" s="201"/>
      <c r="TL188" s="201"/>
      <c r="TM188" s="201"/>
      <c r="TN188" s="201"/>
      <c r="TO188" s="201"/>
      <c r="TP188" s="201"/>
      <c r="TQ188" s="201"/>
      <c r="TR188" s="201"/>
      <c r="TS188" s="201"/>
      <c r="TT188" s="201"/>
      <c r="TU188" s="201"/>
      <c r="TV188" s="201"/>
      <c r="TW188" s="201"/>
      <c r="TX188" s="201"/>
      <c r="TY188" s="201"/>
      <c r="TZ188" s="201"/>
      <c r="UA188" s="201"/>
      <c r="UB188" s="201"/>
      <c r="UC188" s="201"/>
      <c r="UD188" s="201"/>
      <c r="UE188" s="201"/>
      <c r="UF188" s="201"/>
      <c r="UG188" s="201"/>
      <c r="UH188" s="201"/>
      <c r="UI188" s="201"/>
      <c r="UJ188" s="201"/>
      <c r="UK188" s="201"/>
      <c r="UL188" s="201"/>
      <c r="UM188" s="201"/>
      <c r="UN188" s="201"/>
      <c r="UO188" s="201"/>
      <c r="UP188" s="201"/>
      <c r="UQ188" s="201"/>
      <c r="UR188" s="201"/>
      <c r="US188" s="201"/>
      <c r="UT188" s="201"/>
      <c r="UU188" s="201"/>
    </row>
    <row r="189" spans="2:567" x14ac:dyDescent="0.25">
      <c r="B189" s="54" t="str">
        <f t="shared" si="3084"/>
        <v>General &amp; Administrative</v>
      </c>
      <c r="C189" s="161"/>
      <c r="D189" s="161"/>
      <c r="E189" s="162"/>
      <c r="F189" s="162"/>
      <c r="G189" s="162"/>
      <c r="H189" s="162"/>
      <c r="I189" s="164">
        <f t="shared" si="3085"/>
        <v>90000</v>
      </c>
      <c r="J189" s="164">
        <f t="shared" ca="1" si="3086"/>
        <v>93302.318642375161</v>
      </c>
      <c r="K189" s="165">
        <f t="shared" ca="1" si="3087"/>
        <v>95634.876608434395</v>
      </c>
      <c r="L189" s="240"/>
      <c r="M189" s="3" t="s">
        <v>853</v>
      </c>
      <c r="R189" s="257"/>
      <c r="S189" s="243"/>
      <c r="T189" s="243"/>
      <c r="U189" s="243"/>
      <c r="V189" s="243"/>
      <c r="W189" s="243"/>
      <c r="X189" s="243"/>
      <c r="Y189" s="243"/>
      <c r="Z189" s="243"/>
      <c r="AA189" s="243"/>
      <c r="AB189" s="243"/>
      <c r="AC189" s="243"/>
      <c r="AD189" s="243"/>
      <c r="AE189" s="243"/>
      <c r="AF189" s="243"/>
      <c r="AG189" s="243"/>
      <c r="AH189" s="243"/>
      <c r="AI189" s="243"/>
      <c r="AJ189" s="243"/>
      <c r="AK189" s="243"/>
      <c r="AL189" s="243"/>
      <c r="AM189" s="243"/>
      <c r="AN189" s="243"/>
      <c r="AO189" s="243"/>
      <c r="AP189" s="243"/>
      <c r="AQ189" s="243"/>
      <c r="AR189" s="243"/>
      <c r="AS189" s="243"/>
      <c r="AT189" s="243"/>
      <c r="AU189" s="243"/>
      <c r="AV189" s="243"/>
      <c r="AW189" s="243"/>
      <c r="AX189" s="243"/>
      <c r="AY189" s="243"/>
      <c r="AZ189" s="243"/>
      <c r="BA189" s="243"/>
      <c r="BB189" s="243"/>
      <c r="BC189" s="243"/>
      <c r="BD189" s="243"/>
      <c r="BE189" s="243"/>
      <c r="BF189" s="243"/>
      <c r="BG189" s="243"/>
      <c r="BH189" s="243"/>
      <c r="BI189" s="243"/>
      <c r="BJ189" s="243"/>
      <c r="BK189" s="243"/>
      <c r="BL189" s="243"/>
      <c r="BM189" s="243"/>
      <c r="BN189" s="243"/>
      <c r="BO189" s="243"/>
      <c r="BP189" s="243"/>
      <c r="BQ189" s="243"/>
      <c r="BR189" s="243"/>
      <c r="BS189" s="243"/>
      <c r="BT189" s="243"/>
      <c r="BU189" s="243"/>
      <c r="BV189" s="243"/>
      <c r="BW189" s="243"/>
      <c r="BX189" s="243"/>
      <c r="BY189" s="243"/>
      <c r="BZ189" s="243"/>
      <c r="CA189" s="243"/>
      <c r="CB189" s="243"/>
      <c r="CC189" s="243"/>
      <c r="CD189" s="243"/>
      <c r="CE189" s="243"/>
      <c r="CF189" s="243"/>
      <c r="CG189" s="243"/>
      <c r="CH189" s="243"/>
      <c r="CI189" s="243"/>
      <c r="CJ189" s="243"/>
      <c r="CK189" s="243"/>
      <c r="CL189" s="243"/>
      <c r="CM189" s="243"/>
      <c r="CN189" s="243"/>
      <c r="CO189" s="243"/>
      <c r="CP189" s="243"/>
      <c r="CQ189" s="243"/>
      <c r="CR189" s="243"/>
      <c r="CS189" s="243"/>
      <c r="CT189" s="243"/>
      <c r="CU189" s="243"/>
      <c r="CV189" s="243"/>
      <c r="CW189" s="243"/>
      <c r="CX189" s="243"/>
      <c r="CY189" s="243"/>
      <c r="CZ189" s="243"/>
      <c r="DA189" s="243"/>
      <c r="DB189" s="243"/>
      <c r="DC189" s="243"/>
      <c r="DD189" s="243"/>
      <c r="DE189" s="243"/>
      <c r="DF189" s="243"/>
      <c r="DG189" s="243"/>
      <c r="DH189" s="243"/>
      <c r="DI189" s="243"/>
      <c r="DJ189" s="243"/>
      <c r="DK189" s="243"/>
      <c r="DL189" s="243"/>
      <c r="DM189" s="243"/>
      <c r="DN189" s="243"/>
      <c r="DO189" s="243"/>
      <c r="DP189" s="243"/>
      <c r="DQ189" s="243"/>
      <c r="DR189" s="243"/>
      <c r="DS189" s="243"/>
      <c r="DT189" s="243"/>
      <c r="DU189" s="243"/>
      <c r="DV189" s="243"/>
      <c r="DW189" s="243"/>
      <c r="DX189" s="243"/>
      <c r="DY189" s="243"/>
      <c r="DZ189" s="243"/>
      <c r="EA189" s="243"/>
      <c r="EB189" s="243"/>
      <c r="EC189" s="243"/>
      <c r="ED189" s="243"/>
      <c r="EE189" s="243"/>
      <c r="EF189" s="243"/>
      <c r="EG189" s="243"/>
      <c r="EH189" s="243"/>
      <c r="EI189" s="243"/>
      <c r="EJ189" s="243"/>
      <c r="EK189" s="243"/>
      <c r="EL189" s="243"/>
      <c r="EM189" s="243"/>
      <c r="EN189" s="243"/>
      <c r="EO189" s="243"/>
      <c r="EP189" s="243"/>
      <c r="EQ189" s="243"/>
      <c r="ER189" s="243"/>
      <c r="ES189" s="243"/>
      <c r="ET189" s="243"/>
      <c r="EU189" s="243"/>
      <c r="FC189" s="199"/>
      <c r="FD189" s="199"/>
      <c r="FE189" s="199"/>
      <c r="FF189" s="199"/>
      <c r="FG189" s="199"/>
      <c r="FH189" s="199"/>
      <c r="FI189" s="199"/>
      <c r="FJ189" s="199"/>
      <c r="FK189" s="199"/>
      <c r="FL189" s="199"/>
      <c r="FM189" s="199"/>
      <c r="FN189" s="199"/>
      <c r="FO189" s="199"/>
      <c r="FP189" s="199"/>
      <c r="FQ189" s="199"/>
      <c r="FR189" s="199"/>
      <c r="FS189" s="199"/>
      <c r="FT189" s="199"/>
      <c r="FU189" s="199"/>
      <c r="FV189" s="199"/>
      <c r="FW189" s="199"/>
      <c r="FX189" s="199"/>
      <c r="FY189" s="199"/>
      <c r="FZ189" s="199"/>
      <c r="GA189" s="199"/>
      <c r="GB189" s="199"/>
      <c r="GC189" s="199"/>
      <c r="GD189" s="199"/>
      <c r="GE189" s="199"/>
      <c r="GF189" s="199"/>
      <c r="GG189" s="199"/>
      <c r="GH189" s="199"/>
      <c r="GI189" s="199"/>
      <c r="GJ189" s="199"/>
      <c r="GK189" s="199"/>
      <c r="GL189" s="199"/>
      <c r="GM189" s="199"/>
      <c r="GN189" s="199"/>
      <c r="GO189" s="199"/>
      <c r="GP189" s="199"/>
      <c r="GQ189" s="199"/>
      <c r="GR189" s="199"/>
      <c r="GS189" s="199"/>
      <c r="GT189" s="199"/>
      <c r="GU189" s="199"/>
      <c r="GV189" s="199"/>
      <c r="GW189" s="199"/>
      <c r="GX189" s="199"/>
      <c r="GY189" s="199"/>
      <c r="GZ189" s="199"/>
      <c r="HA189" s="199"/>
      <c r="HB189" s="199"/>
      <c r="HC189" s="199"/>
      <c r="HD189" s="199"/>
      <c r="HE189" s="199"/>
      <c r="HF189" s="199"/>
      <c r="HG189" s="199"/>
      <c r="HH189" s="199"/>
      <c r="HI189" s="199"/>
      <c r="HJ189" s="199"/>
      <c r="HK189" s="199"/>
      <c r="HL189" s="199"/>
      <c r="HM189" s="199"/>
      <c r="HN189" s="199"/>
      <c r="HO189" s="199"/>
      <c r="HP189" s="199"/>
      <c r="HQ189" s="199"/>
      <c r="HR189" s="199"/>
      <c r="HS189" s="199"/>
      <c r="HT189" s="199"/>
      <c r="HU189" s="199"/>
      <c r="HV189" s="199"/>
      <c r="HW189" s="199"/>
      <c r="HX189" s="199"/>
      <c r="HY189" s="199"/>
      <c r="HZ189" s="199"/>
      <c r="IA189" s="199"/>
      <c r="IB189" s="199"/>
      <c r="IC189" s="199"/>
      <c r="ID189" s="199"/>
      <c r="IE189" s="199"/>
      <c r="IF189" s="199"/>
      <c r="IG189" s="199"/>
      <c r="IH189" s="199"/>
      <c r="II189" s="199"/>
      <c r="IJ189" s="199"/>
      <c r="IK189" s="199"/>
      <c r="IL189" s="199"/>
      <c r="IM189" s="199"/>
      <c r="IN189" s="199"/>
      <c r="IO189" s="199"/>
      <c r="IP189" s="199"/>
      <c r="IQ189" s="199"/>
      <c r="IR189" s="199"/>
      <c r="IS189" s="199"/>
      <c r="IT189" s="199"/>
      <c r="IU189" s="199"/>
      <c r="IV189" s="199"/>
      <c r="IW189" s="199"/>
      <c r="IX189" s="199"/>
      <c r="IY189" s="199"/>
      <c r="IZ189" s="199"/>
      <c r="JA189" s="199"/>
      <c r="JB189" s="199"/>
      <c r="JC189" s="199"/>
      <c r="JD189" s="199"/>
      <c r="JE189" s="199"/>
      <c r="JF189" s="199"/>
      <c r="JG189" s="199"/>
      <c r="JH189" s="199"/>
      <c r="JI189" s="199"/>
      <c r="JJ189" s="199"/>
      <c r="JK189" s="199"/>
      <c r="JL189" s="199"/>
      <c r="JM189" s="199"/>
      <c r="JN189" s="199"/>
      <c r="JO189" s="199"/>
      <c r="JP189" s="199"/>
      <c r="JQ189" s="199"/>
      <c r="JR189" s="199"/>
      <c r="JS189" s="199"/>
      <c r="JT189" s="199"/>
      <c r="JU189" s="199"/>
      <c r="JV189" s="199"/>
      <c r="JW189" s="199"/>
      <c r="JX189" s="199"/>
      <c r="JY189" s="199"/>
      <c r="JZ189" s="199"/>
      <c r="KA189" s="199"/>
      <c r="KB189" s="199"/>
      <c r="KC189" s="199"/>
      <c r="KD189" s="199"/>
      <c r="KE189" s="199"/>
      <c r="PQ189" s="201"/>
      <c r="PR189" s="201"/>
      <c r="PS189" s="201"/>
      <c r="PT189" s="201"/>
      <c r="PU189" s="201"/>
      <c r="PV189" s="201"/>
      <c r="PW189" s="201"/>
      <c r="PX189" s="201"/>
      <c r="PY189" s="201"/>
      <c r="PZ189" s="201"/>
      <c r="QA189" s="201"/>
      <c r="QB189" s="201"/>
      <c r="QC189" s="201"/>
      <c r="QD189" s="201"/>
      <c r="QE189" s="201"/>
      <c r="QF189" s="201"/>
      <c r="QG189" s="201"/>
      <c r="QH189" s="201"/>
      <c r="QI189" s="201"/>
      <c r="QJ189" s="201"/>
      <c r="QK189" s="201"/>
      <c r="QL189" s="201"/>
      <c r="QM189" s="201"/>
      <c r="QN189" s="201"/>
      <c r="QO189" s="201"/>
      <c r="QP189" s="201"/>
      <c r="QQ189" s="201"/>
      <c r="QR189" s="201"/>
      <c r="QS189" s="201"/>
      <c r="QT189" s="201"/>
      <c r="QU189" s="201"/>
      <c r="QV189" s="201"/>
      <c r="QW189" s="201"/>
      <c r="QX189" s="201"/>
      <c r="QY189" s="201"/>
      <c r="QZ189" s="201"/>
      <c r="RA189" s="201"/>
      <c r="RB189" s="201"/>
      <c r="RC189" s="201"/>
      <c r="RD189" s="201"/>
      <c r="RE189" s="201"/>
      <c r="RF189" s="201"/>
      <c r="RG189" s="201"/>
      <c r="RH189" s="201"/>
      <c r="RI189" s="201"/>
      <c r="RJ189" s="201"/>
      <c r="RK189" s="201"/>
      <c r="RL189" s="201"/>
      <c r="RM189" s="201"/>
      <c r="RN189" s="201"/>
      <c r="RO189" s="201"/>
      <c r="RP189" s="201"/>
      <c r="RQ189" s="201"/>
      <c r="RR189" s="201"/>
      <c r="RS189" s="201"/>
      <c r="RT189" s="201"/>
      <c r="RU189" s="201"/>
      <c r="RV189" s="201"/>
      <c r="RW189" s="201"/>
      <c r="RX189" s="201"/>
      <c r="RY189" s="201"/>
      <c r="RZ189" s="201"/>
      <c r="SA189" s="201"/>
      <c r="SB189" s="201"/>
      <c r="SC189" s="201"/>
      <c r="SD189" s="201"/>
      <c r="SE189" s="201"/>
      <c r="SF189" s="201"/>
      <c r="SG189" s="201"/>
      <c r="SH189" s="201"/>
      <c r="SI189" s="201"/>
      <c r="SJ189" s="201"/>
      <c r="SK189" s="201"/>
      <c r="SL189" s="201"/>
      <c r="SM189" s="201"/>
      <c r="SN189" s="201"/>
      <c r="SO189" s="201"/>
      <c r="SP189" s="201"/>
      <c r="SQ189" s="201"/>
      <c r="SR189" s="201"/>
      <c r="SS189" s="201"/>
      <c r="ST189" s="201"/>
      <c r="SU189" s="201"/>
      <c r="SV189" s="201"/>
      <c r="SW189" s="201"/>
      <c r="SX189" s="201"/>
      <c r="SY189" s="201"/>
      <c r="SZ189" s="201"/>
      <c r="TA189" s="201"/>
      <c r="TB189" s="201"/>
      <c r="TC189" s="201"/>
      <c r="TD189" s="201"/>
      <c r="TE189" s="201"/>
      <c r="TF189" s="201"/>
      <c r="TG189" s="201"/>
      <c r="TH189" s="201"/>
      <c r="TI189" s="201"/>
      <c r="TJ189" s="201"/>
      <c r="TK189" s="201"/>
      <c r="TL189" s="201"/>
      <c r="TM189" s="201"/>
      <c r="TN189" s="201"/>
      <c r="TO189" s="201"/>
      <c r="TP189" s="201"/>
      <c r="TQ189" s="201"/>
      <c r="TR189" s="201"/>
      <c r="TS189" s="201"/>
      <c r="TT189" s="201"/>
      <c r="TU189" s="201"/>
      <c r="TV189" s="201"/>
      <c r="TW189" s="201"/>
      <c r="TX189" s="201"/>
      <c r="TY189" s="201"/>
      <c r="TZ189" s="201"/>
      <c r="UA189" s="201"/>
      <c r="UB189" s="201"/>
      <c r="UC189" s="201"/>
      <c r="UD189" s="201"/>
      <c r="UE189" s="201"/>
      <c r="UF189" s="201"/>
      <c r="UG189" s="201"/>
      <c r="UH189" s="201"/>
      <c r="UI189" s="201"/>
      <c r="UJ189" s="201"/>
      <c r="UK189" s="201"/>
      <c r="UL189" s="201"/>
      <c r="UM189" s="201"/>
      <c r="UN189" s="201"/>
      <c r="UO189" s="201"/>
      <c r="UP189" s="201"/>
      <c r="UQ189" s="201"/>
      <c r="UR189" s="201"/>
      <c r="US189" s="201"/>
      <c r="UT189" s="201"/>
      <c r="UU189" s="201"/>
    </row>
    <row r="190" spans="2:567" x14ac:dyDescent="0.25">
      <c r="B190" s="54" t="str">
        <f t="shared" si="3084"/>
        <v>Marketing</v>
      </c>
      <c r="C190" s="161"/>
      <c r="D190" s="161"/>
      <c r="E190" s="162"/>
      <c r="F190" s="162"/>
      <c r="G190" s="162"/>
      <c r="H190" s="162"/>
      <c r="I190" s="164">
        <f t="shared" si="3085"/>
        <v>75000</v>
      </c>
      <c r="J190" s="164">
        <f t="shared" ca="1" si="3086"/>
        <v>77751.932201979333</v>
      </c>
      <c r="K190" s="165">
        <f t="shared" ca="1" si="3087"/>
        <v>79695.730507028726</v>
      </c>
      <c r="L190" s="240"/>
      <c r="M190" s="3" t="s">
        <v>853</v>
      </c>
      <c r="R190" s="257"/>
      <c r="S190" s="243"/>
      <c r="T190" s="243"/>
      <c r="U190" s="243"/>
      <c r="V190" s="243"/>
      <c r="W190" s="243"/>
      <c r="X190" s="243"/>
      <c r="Y190" s="243"/>
      <c r="Z190" s="243"/>
      <c r="AA190" s="243"/>
      <c r="AB190" s="243"/>
      <c r="AC190" s="243"/>
      <c r="AD190" s="243"/>
      <c r="AE190" s="243"/>
      <c r="AF190" s="243"/>
      <c r="AG190" s="243"/>
      <c r="AH190" s="243"/>
      <c r="AI190" s="243"/>
      <c r="AJ190" s="243"/>
      <c r="AK190" s="243"/>
      <c r="AL190" s="243"/>
      <c r="AM190" s="243"/>
      <c r="AN190" s="243"/>
      <c r="AO190" s="243"/>
      <c r="AP190" s="243"/>
      <c r="AQ190" s="243"/>
      <c r="AR190" s="243"/>
      <c r="AS190" s="243"/>
      <c r="AT190" s="243"/>
      <c r="AU190" s="243"/>
      <c r="AV190" s="243"/>
      <c r="AW190" s="243"/>
      <c r="AX190" s="243"/>
      <c r="AY190" s="243"/>
      <c r="AZ190" s="243"/>
      <c r="BA190" s="243"/>
      <c r="BB190" s="243"/>
      <c r="BC190" s="243"/>
      <c r="BD190" s="243"/>
      <c r="BE190" s="243"/>
      <c r="BF190" s="243"/>
      <c r="BG190" s="243"/>
      <c r="BH190" s="243"/>
      <c r="BI190" s="243"/>
      <c r="BJ190" s="243"/>
      <c r="BK190" s="243"/>
      <c r="BL190" s="243"/>
      <c r="BM190" s="243"/>
      <c r="BN190" s="243"/>
      <c r="BO190" s="243"/>
      <c r="BP190" s="243"/>
      <c r="BQ190" s="243"/>
      <c r="BR190" s="243"/>
      <c r="BS190" s="243"/>
      <c r="BT190" s="243"/>
      <c r="BU190" s="243"/>
      <c r="BV190" s="243"/>
      <c r="BW190" s="243"/>
      <c r="BX190" s="243"/>
      <c r="BY190" s="243"/>
      <c r="BZ190" s="243"/>
      <c r="CA190" s="243"/>
      <c r="CB190" s="243"/>
      <c r="CC190" s="243"/>
      <c r="CD190" s="243"/>
      <c r="CE190" s="243"/>
      <c r="CF190" s="243"/>
      <c r="CG190" s="243"/>
      <c r="CH190" s="243"/>
      <c r="CI190" s="243"/>
      <c r="CJ190" s="243"/>
      <c r="CK190" s="243"/>
      <c r="CL190" s="243"/>
      <c r="CM190" s="243"/>
      <c r="CN190" s="243"/>
      <c r="CO190" s="243"/>
      <c r="CP190" s="243"/>
      <c r="CQ190" s="243"/>
      <c r="CR190" s="243"/>
      <c r="CS190" s="243"/>
      <c r="CT190" s="243"/>
      <c r="CU190" s="243"/>
      <c r="CV190" s="243"/>
      <c r="CW190" s="243"/>
      <c r="CX190" s="243"/>
      <c r="CY190" s="243"/>
      <c r="CZ190" s="243"/>
      <c r="DA190" s="243"/>
      <c r="DB190" s="243"/>
      <c r="DC190" s="243"/>
      <c r="DD190" s="243"/>
      <c r="DE190" s="243"/>
      <c r="DF190" s="243"/>
      <c r="DG190" s="243"/>
      <c r="DH190" s="243"/>
      <c r="DI190" s="243"/>
      <c r="DJ190" s="243"/>
      <c r="DK190" s="243"/>
      <c r="DL190" s="243"/>
      <c r="DM190" s="243"/>
      <c r="DN190" s="243"/>
      <c r="DO190" s="243"/>
      <c r="DP190" s="243"/>
      <c r="DQ190" s="243"/>
      <c r="DR190" s="243"/>
      <c r="DS190" s="243"/>
      <c r="DT190" s="243"/>
      <c r="DU190" s="243"/>
      <c r="DV190" s="243"/>
      <c r="DW190" s="243"/>
      <c r="DX190" s="243"/>
      <c r="DY190" s="243"/>
      <c r="DZ190" s="243"/>
      <c r="EA190" s="243"/>
      <c r="EB190" s="243"/>
      <c r="EC190" s="243"/>
      <c r="ED190" s="243"/>
      <c r="EE190" s="243"/>
      <c r="EF190" s="243"/>
      <c r="EG190" s="243"/>
      <c r="EH190" s="243"/>
      <c r="EI190" s="243"/>
      <c r="EJ190" s="243"/>
      <c r="EK190" s="243"/>
      <c r="EL190" s="243"/>
      <c r="EM190" s="243"/>
      <c r="EN190" s="243"/>
      <c r="EO190" s="243"/>
      <c r="EP190" s="243"/>
      <c r="EQ190" s="243"/>
      <c r="ER190" s="243"/>
      <c r="ES190" s="243"/>
      <c r="ET190" s="243"/>
      <c r="EU190" s="243"/>
      <c r="FC190" s="199"/>
      <c r="FD190" s="199"/>
      <c r="FE190" s="199"/>
      <c r="FF190" s="199"/>
      <c r="FG190" s="199"/>
      <c r="FH190" s="199"/>
      <c r="FI190" s="199"/>
      <c r="FJ190" s="199"/>
      <c r="FK190" s="199"/>
      <c r="FL190" s="199"/>
      <c r="FM190" s="199"/>
      <c r="FN190" s="199"/>
      <c r="FO190" s="199"/>
      <c r="FP190" s="199"/>
      <c r="FQ190" s="199"/>
      <c r="FR190" s="199"/>
      <c r="FS190" s="199"/>
      <c r="FT190" s="199"/>
      <c r="FU190" s="199"/>
      <c r="FV190" s="199"/>
      <c r="FW190" s="199"/>
      <c r="FX190" s="199"/>
      <c r="FY190" s="199"/>
      <c r="FZ190" s="199"/>
      <c r="GA190" s="199"/>
      <c r="GB190" s="199"/>
      <c r="GC190" s="199"/>
      <c r="GD190" s="199"/>
      <c r="GE190" s="199"/>
      <c r="GF190" s="199"/>
      <c r="GG190" s="199"/>
      <c r="GH190" s="199"/>
      <c r="GI190" s="199"/>
      <c r="GJ190" s="199"/>
      <c r="GK190" s="199"/>
      <c r="GL190" s="199"/>
      <c r="GM190" s="199"/>
      <c r="GN190" s="199"/>
      <c r="GO190" s="199"/>
      <c r="GP190" s="199"/>
      <c r="GQ190" s="199"/>
      <c r="GR190" s="199"/>
      <c r="GS190" s="199"/>
      <c r="GT190" s="199"/>
      <c r="GU190" s="199"/>
      <c r="GV190" s="199"/>
      <c r="GW190" s="199"/>
      <c r="GX190" s="199"/>
      <c r="GY190" s="199"/>
      <c r="GZ190" s="199"/>
      <c r="HA190" s="199"/>
      <c r="HB190" s="199"/>
      <c r="HC190" s="199"/>
      <c r="HD190" s="199"/>
      <c r="HE190" s="199"/>
      <c r="HF190" s="199"/>
      <c r="HG190" s="199"/>
      <c r="HH190" s="199"/>
      <c r="HI190" s="199"/>
      <c r="HJ190" s="199"/>
      <c r="HK190" s="199"/>
      <c r="HL190" s="199"/>
      <c r="HM190" s="199"/>
      <c r="HN190" s="199"/>
      <c r="HO190" s="199"/>
      <c r="HP190" s="199"/>
      <c r="HQ190" s="199"/>
      <c r="HR190" s="199"/>
      <c r="HS190" s="199"/>
      <c r="HT190" s="199"/>
      <c r="HU190" s="199"/>
      <c r="HV190" s="199"/>
      <c r="HW190" s="199"/>
      <c r="HX190" s="199"/>
      <c r="HY190" s="199"/>
      <c r="HZ190" s="199"/>
      <c r="IA190" s="199"/>
      <c r="IB190" s="199"/>
      <c r="IC190" s="199"/>
      <c r="ID190" s="199"/>
      <c r="IE190" s="199"/>
      <c r="IF190" s="199"/>
      <c r="IG190" s="199"/>
      <c r="IH190" s="199"/>
      <c r="II190" s="199"/>
      <c r="IJ190" s="199"/>
      <c r="IK190" s="199"/>
      <c r="IL190" s="199"/>
      <c r="IM190" s="199"/>
      <c r="IN190" s="199"/>
      <c r="IO190" s="199"/>
      <c r="IP190" s="199"/>
      <c r="IQ190" s="199"/>
      <c r="IR190" s="199"/>
      <c r="IS190" s="199"/>
      <c r="IT190" s="199"/>
      <c r="IU190" s="199"/>
      <c r="IV190" s="199"/>
      <c r="IW190" s="199"/>
      <c r="IX190" s="199"/>
      <c r="IY190" s="199"/>
      <c r="IZ190" s="199"/>
      <c r="JA190" s="199"/>
      <c r="JB190" s="199"/>
      <c r="JC190" s="199"/>
      <c r="JD190" s="199"/>
      <c r="JE190" s="199"/>
      <c r="JF190" s="199"/>
      <c r="JG190" s="199"/>
      <c r="JH190" s="199"/>
      <c r="JI190" s="199"/>
      <c r="JJ190" s="199"/>
      <c r="JK190" s="199"/>
      <c r="JL190" s="199"/>
      <c r="JM190" s="199"/>
      <c r="JN190" s="199"/>
      <c r="JO190" s="199"/>
      <c r="JP190" s="199"/>
      <c r="JQ190" s="199"/>
      <c r="JR190" s="199"/>
      <c r="JS190" s="199"/>
      <c r="JT190" s="199"/>
      <c r="JU190" s="199"/>
      <c r="JV190" s="199"/>
      <c r="JW190" s="199"/>
      <c r="JX190" s="199"/>
      <c r="JY190" s="199"/>
      <c r="JZ190" s="199"/>
      <c r="KA190" s="199"/>
      <c r="KB190" s="199"/>
      <c r="KC190" s="199"/>
      <c r="KD190" s="199"/>
      <c r="KE190" s="199"/>
      <c r="PQ190" s="201"/>
      <c r="PR190" s="201"/>
      <c r="PS190" s="201"/>
      <c r="PT190" s="201"/>
      <c r="PU190" s="201"/>
      <c r="PV190" s="201"/>
      <c r="PW190" s="201"/>
      <c r="PX190" s="201"/>
      <c r="PY190" s="201"/>
      <c r="PZ190" s="201"/>
      <c r="QA190" s="201"/>
      <c r="QB190" s="201"/>
      <c r="QC190" s="201"/>
      <c r="QD190" s="201"/>
      <c r="QE190" s="201"/>
      <c r="QF190" s="201"/>
      <c r="QG190" s="201"/>
      <c r="QH190" s="201"/>
      <c r="QI190" s="201"/>
      <c r="QJ190" s="201"/>
      <c r="QK190" s="201"/>
      <c r="QL190" s="201"/>
      <c r="QM190" s="201"/>
      <c r="QN190" s="201"/>
      <c r="QO190" s="201"/>
      <c r="QP190" s="201"/>
      <c r="QQ190" s="201"/>
      <c r="QR190" s="201"/>
      <c r="QS190" s="201"/>
      <c r="QT190" s="201"/>
      <c r="QU190" s="201"/>
      <c r="QV190" s="201"/>
      <c r="QW190" s="201"/>
      <c r="QX190" s="201"/>
      <c r="QY190" s="201"/>
      <c r="QZ190" s="201"/>
      <c r="RA190" s="201"/>
      <c r="RB190" s="201"/>
      <c r="RC190" s="201"/>
      <c r="RD190" s="201"/>
      <c r="RE190" s="201"/>
      <c r="RF190" s="201"/>
      <c r="RG190" s="201"/>
      <c r="RH190" s="201"/>
      <c r="RI190" s="201"/>
      <c r="RJ190" s="201"/>
      <c r="RK190" s="201"/>
      <c r="RL190" s="201"/>
      <c r="RM190" s="201"/>
      <c r="RN190" s="201"/>
      <c r="RO190" s="201"/>
      <c r="RP190" s="201"/>
      <c r="RQ190" s="201"/>
      <c r="RR190" s="201"/>
      <c r="RS190" s="201"/>
      <c r="RT190" s="201"/>
      <c r="RU190" s="201"/>
      <c r="RV190" s="201"/>
      <c r="RW190" s="201"/>
      <c r="RX190" s="201"/>
      <c r="RY190" s="201"/>
      <c r="RZ190" s="201"/>
      <c r="SA190" s="201"/>
      <c r="SB190" s="201"/>
      <c r="SC190" s="201"/>
      <c r="SD190" s="201"/>
      <c r="SE190" s="201"/>
      <c r="SF190" s="201"/>
      <c r="SG190" s="201"/>
      <c r="SH190" s="201"/>
      <c r="SI190" s="201"/>
      <c r="SJ190" s="201"/>
      <c r="SK190" s="201"/>
      <c r="SL190" s="201"/>
      <c r="SM190" s="201"/>
      <c r="SN190" s="201"/>
      <c r="SO190" s="201"/>
      <c r="SP190" s="201"/>
      <c r="SQ190" s="201"/>
      <c r="SR190" s="201"/>
      <c r="SS190" s="201"/>
      <c r="ST190" s="201"/>
      <c r="SU190" s="201"/>
      <c r="SV190" s="201"/>
      <c r="SW190" s="201"/>
      <c r="SX190" s="201"/>
      <c r="SY190" s="201"/>
      <c r="SZ190" s="201"/>
      <c r="TA190" s="201"/>
      <c r="TB190" s="201"/>
      <c r="TC190" s="201"/>
      <c r="TD190" s="201"/>
      <c r="TE190" s="201"/>
      <c r="TF190" s="201"/>
      <c r="TG190" s="201"/>
      <c r="TH190" s="201"/>
      <c r="TI190" s="201"/>
      <c r="TJ190" s="201"/>
      <c r="TK190" s="201"/>
      <c r="TL190" s="201"/>
      <c r="TM190" s="201"/>
      <c r="TN190" s="201"/>
      <c r="TO190" s="201"/>
      <c r="TP190" s="201"/>
      <c r="TQ190" s="201"/>
      <c r="TR190" s="201"/>
      <c r="TS190" s="201"/>
      <c r="TT190" s="201"/>
      <c r="TU190" s="201"/>
      <c r="TV190" s="201"/>
      <c r="TW190" s="201"/>
      <c r="TX190" s="201"/>
      <c r="TY190" s="201"/>
      <c r="TZ190" s="201"/>
      <c r="UA190" s="201"/>
      <c r="UB190" s="201"/>
      <c r="UC190" s="201"/>
      <c r="UD190" s="201"/>
      <c r="UE190" s="201"/>
      <c r="UF190" s="201"/>
      <c r="UG190" s="201"/>
      <c r="UH190" s="201"/>
      <c r="UI190" s="201"/>
      <c r="UJ190" s="201"/>
      <c r="UK190" s="201"/>
      <c r="UL190" s="201"/>
      <c r="UM190" s="201"/>
      <c r="UN190" s="201"/>
      <c r="UO190" s="201"/>
      <c r="UP190" s="201"/>
      <c r="UQ190" s="201"/>
      <c r="UR190" s="201"/>
      <c r="US190" s="201"/>
      <c r="UT190" s="201"/>
      <c r="UU190" s="201"/>
    </row>
    <row r="191" spans="2:567" x14ac:dyDescent="0.25">
      <c r="B191" s="54" t="str">
        <f t="shared" si="3084"/>
        <v>Utilities</v>
      </c>
      <c r="C191" s="161"/>
      <c r="D191" s="161"/>
      <c r="E191" s="162"/>
      <c r="F191" s="162"/>
      <c r="G191" s="162"/>
      <c r="H191" s="162"/>
      <c r="I191" s="164">
        <f t="shared" si="3085"/>
        <v>210000</v>
      </c>
      <c r="J191" s="164">
        <f t="shared" ca="1" si="3086"/>
        <v>217705.41016554201</v>
      </c>
      <c r="K191" s="165">
        <f t="shared" ca="1" si="3087"/>
        <v>223148.04541968033</v>
      </c>
      <c r="L191" s="240"/>
      <c r="M191" s="3" t="s">
        <v>853</v>
      </c>
      <c r="R191" s="257"/>
      <c r="S191" s="243"/>
      <c r="T191" s="243"/>
      <c r="U191" s="243"/>
      <c r="V191" s="243"/>
      <c r="W191" s="243"/>
      <c r="X191" s="243"/>
      <c r="Y191" s="243"/>
      <c r="Z191" s="243"/>
      <c r="AA191" s="243"/>
      <c r="AB191" s="243"/>
      <c r="AC191" s="243"/>
      <c r="AD191" s="243"/>
      <c r="AE191" s="243"/>
      <c r="AF191" s="243"/>
      <c r="AG191" s="243"/>
      <c r="AH191" s="243"/>
      <c r="AI191" s="243"/>
      <c r="AJ191" s="243"/>
      <c r="AK191" s="243"/>
      <c r="AL191" s="243"/>
      <c r="AM191" s="243"/>
      <c r="AN191" s="243"/>
      <c r="AO191" s="243"/>
      <c r="AP191" s="243"/>
      <c r="AQ191" s="243"/>
      <c r="AR191" s="243"/>
      <c r="AS191" s="243"/>
      <c r="AT191" s="243"/>
      <c r="AU191" s="243"/>
      <c r="AV191" s="243"/>
      <c r="AW191" s="243"/>
      <c r="AX191" s="243"/>
      <c r="AY191" s="243"/>
      <c r="AZ191" s="243"/>
      <c r="BA191" s="243"/>
      <c r="BB191" s="243"/>
      <c r="BC191" s="243"/>
      <c r="BD191" s="243"/>
      <c r="BE191" s="243"/>
      <c r="BF191" s="243"/>
      <c r="BG191" s="243"/>
      <c r="BH191" s="243"/>
      <c r="BI191" s="243"/>
      <c r="BJ191" s="243"/>
      <c r="BK191" s="243"/>
      <c r="BL191" s="243"/>
      <c r="BM191" s="243"/>
      <c r="BN191" s="243"/>
      <c r="BO191" s="243"/>
      <c r="BP191" s="243"/>
      <c r="BQ191" s="243"/>
      <c r="BR191" s="243"/>
      <c r="BS191" s="243"/>
      <c r="BT191" s="243"/>
      <c r="BU191" s="243"/>
      <c r="BV191" s="243"/>
      <c r="BW191" s="243"/>
      <c r="BX191" s="243"/>
      <c r="BY191" s="243"/>
      <c r="BZ191" s="243"/>
      <c r="CA191" s="243"/>
      <c r="CB191" s="243"/>
      <c r="CC191" s="243"/>
      <c r="CD191" s="243"/>
      <c r="CE191" s="243"/>
      <c r="CF191" s="243"/>
      <c r="CG191" s="243"/>
      <c r="CH191" s="243"/>
      <c r="CI191" s="243"/>
      <c r="CJ191" s="243"/>
      <c r="CK191" s="243"/>
      <c r="CL191" s="243"/>
      <c r="CM191" s="243"/>
      <c r="CN191" s="243"/>
      <c r="CO191" s="243"/>
      <c r="CP191" s="243"/>
      <c r="CQ191" s="243"/>
      <c r="CR191" s="243"/>
      <c r="CS191" s="243"/>
      <c r="CT191" s="243"/>
      <c r="CU191" s="243"/>
      <c r="CV191" s="243"/>
      <c r="CW191" s="243"/>
      <c r="CX191" s="243"/>
      <c r="CY191" s="243"/>
      <c r="CZ191" s="243"/>
      <c r="DA191" s="243"/>
      <c r="DB191" s="243"/>
      <c r="DC191" s="243"/>
      <c r="DD191" s="243"/>
      <c r="DE191" s="243"/>
      <c r="DF191" s="243"/>
      <c r="DG191" s="243"/>
      <c r="DH191" s="243"/>
      <c r="DI191" s="243"/>
      <c r="DJ191" s="243"/>
      <c r="DK191" s="243"/>
      <c r="DL191" s="243"/>
      <c r="DM191" s="243"/>
      <c r="DN191" s="243"/>
      <c r="DO191" s="243"/>
      <c r="DP191" s="243"/>
      <c r="DQ191" s="243"/>
      <c r="DR191" s="243"/>
      <c r="DS191" s="243"/>
      <c r="DT191" s="243"/>
      <c r="DU191" s="243"/>
      <c r="DV191" s="243"/>
      <c r="DW191" s="243"/>
      <c r="DX191" s="243"/>
      <c r="DY191" s="243"/>
      <c r="DZ191" s="243"/>
      <c r="EA191" s="243"/>
      <c r="EB191" s="243"/>
      <c r="EC191" s="243"/>
      <c r="ED191" s="243"/>
      <c r="EE191" s="243"/>
      <c r="EF191" s="243"/>
      <c r="EG191" s="243"/>
      <c r="EH191" s="243"/>
      <c r="EI191" s="243"/>
      <c r="EJ191" s="243"/>
      <c r="EK191" s="243"/>
      <c r="EL191" s="243"/>
      <c r="EM191" s="243"/>
      <c r="EN191" s="243"/>
      <c r="EO191" s="243"/>
      <c r="EP191" s="243"/>
      <c r="EQ191" s="243"/>
      <c r="ER191" s="243"/>
      <c r="ES191" s="243"/>
      <c r="ET191" s="243"/>
      <c r="EU191" s="243"/>
      <c r="FC191" s="199"/>
      <c r="FD191" s="199"/>
      <c r="FE191" s="199"/>
      <c r="FF191" s="199"/>
      <c r="FG191" s="199"/>
      <c r="FH191" s="199"/>
      <c r="FI191" s="199"/>
      <c r="FJ191" s="199"/>
      <c r="FK191" s="199"/>
      <c r="FL191" s="199"/>
      <c r="FM191" s="199"/>
      <c r="FN191" s="199"/>
      <c r="FO191" s="199"/>
      <c r="FP191" s="199"/>
      <c r="FQ191" s="199"/>
      <c r="FR191" s="199"/>
      <c r="FS191" s="199"/>
      <c r="FT191" s="199"/>
      <c r="FU191" s="199"/>
      <c r="FV191" s="199"/>
      <c r="FW191" s="199"/>
      <c r="FX191" s="199"/>
      <c r="FY191" s="199"/>
      <c r="FZ191" s="199"/>
      <c r="GA191" s="199"/>
      <c r="GB191" s="199"/>
      <c r="GC191" s="199"/>
      <c r="GD191" s="199"/>
      <c r="GE191" s="199"/>
      <c r="GF191" s="199"/>
      <c r="GG191" s="199"/>
      <c r="GH191" s="199"/>
      <c r="GI191" s="199"/>
      <c r="GJ191" s="199"/>
      <c r="GK191" s="199"/>
      <c r="GL191" s="199"/>
      <c r="GM191" s="199"/>
      <c r="GN191" s="199"/>
      <c r="GO191" s="199"/>
      <c r="GP191" s="199"/>
      <c r="GQ191" s="199"/>
      <c r="GR191" s="199"/>
      <c r="GS191" s="199"/>
      <c r="GT191" s="199"/>
      <c r="GU191" s="199"/>
      <c r="GV191" s="199"/>
      <c r="GW191" s="199"/>
      <c r="GX191" s="199"/>
      <c r="GY191" s="199"/>
      <c r="GZ191" s="199"/>
      <c r="HA191" s="199"/>
      <c r="HB191" s="199"/>
      <c r="HC191" s="199"/>
      <c r="HD191" s="199"/>
      <c r="HE191" s="199"/>
      <c r="HF191" s="199"/>
      <c r="HG191" s="199"/>
      <c r="HH191" s="199"/>
      <c r="HI191" s="199"/>
      <c r="HJ191" s="199"/>
      <c r="HK191" s="199"/>
      <c r="HL191" s="199"/>
      <c r="HM191" s="199"/>
      <c r="HN191" s="199"/>
      <c r="HO191" s="199"/>
      <c r="HP191" s="199"/>
      <c r="HQ191" s="199"/>
      <c r="HR191" s="199"/>
      <c r="HS191" s="199"/>
      <c r="HT191" s="199"/>
      <c r="HU191" s="199"/>
      <c r="HV191" s="199"/>
      <c r="HW191" s="199"/>
      <c r="HX191" s="199"/>
      <c r="HY191" s="199"/>
      <c r="HZ191" s="199"/>
      <c r="IA191" s="199"/>
      <c r="IB191" s="199"/>
      <c r="IC191" s="199"/>
      <c r="ID191" s="199"/>
      <c r="IE191" s="199"/>
      <c r="IF191" s="199"/>
      <c r="IG191" s="199"/>
      <c r="IH191" s="199"/>
      <c r="II191" s="199"/>
      <c r="IJ191" s="199"/>
      <c r="IK191" s="199"/>
      <c r="IL191" s="199"/>
      <c r="IM191" s="199"/>
      <c r="IN191" s="199"/>
      <c r="IO191" s="199"/>
      <c r="IP191" s="199"/>
      <c r="IQ191" s="199"/>
      <c r="IR191" s="199"/>
      <c r="IS191" s="199"/>
      <c r="IT191" s="199"/>
      <c r="IU191" s="199"/>
      <c r="IV191" s="199"/>
      <c r="IW191" s="199"/>
      <c r="IX191" s="199"/>
      <c r="IY191" s="199"/>
      <c r="IZ191" s="199"/>
      <c r="JA191" s="199"/>
      <c r="JB191" s="199"/>
      <c r="JC191" s="199"/>
      <c r="JD191" s="199"/>
      <c r="JE191" s="199"/>
      <c r="JF191" s="199"/>
      <c r="JG191" s="199"/>
      <c r="JH191" s="199"/>
      <c r="JI191" s="199"/>
      <c r="JJ191" s="199"/>
      <c r="JK191" s="199"/>
      <c r="JL191" s="199"/>
      <c r="JM191" s="199"/>
      <c r="JN191" s="199"/>
      <c r="JO191" s="199"/>
      <c r="JP191" s="199"/>
      <c r="JQ191" s="199"/>
      <c r="JR191" s="199"/>
      <c r="JS191" s="199"/>
      <c r="JT191" s="199"/>
      <c r="JU191" s="199"/>
      <c r="JV191" s="199"/>
      <c r="JW191" s="199"/>
      <c r="JX191" s="199"/>
      <c r="JY191" s="199"/>
      <c r="JZ191" s="199"/>
      <c r="KA191" s="199"/>
      <c r="KB191" s="199"/>
      <c r="KC191" s="199"/>
      <c r="KD191" s="199"/>
      <c r="KE191" s="199"/>
      <c r="PQ191" s="201"/>
      <c r="PR191" s="201"/>
      <c r="PS191" s="201"/>
      <c r="PT191" s="201"/>
      <c r="PU191" s="201"/>
      <c r="PV191" s="201"/>
      <c r="PW191" s="201"/>
      <c r="PX191" s="201"/>
      <c r="PY191" s="201"/>
      <c r="PZ191" s="201"/>
      <c r="QA191" s="201"/>
      <c r="QB191" s="201"/>
      <c r="QC191" s="201"/>
      <c r="QD191" s="201"/>
      <c r="QE191" s="201"/>
      <c r="QF191" s="201"/>
      <c r="QG191" s="201"/>
      <c r="QH191" s="201"/>
      <c r="QI191" s="201"/>
      <c r="QJ191" s="201"/>
      <c r="QK191" s="201"/>
      <c r="QL191" s="201"/>
      <c r="QM191" s="201"/>
      <c r="QN191" s="201"/>
      <c r="QO191" s="201"/>
      <c r="QP191" s="201"/>
      <c r="QQ191" s="201"/>
      <c r="QR191" s="201"/>
      <c r="QS191" s="201"/>
      <c r="QT191" s="201"/>
      <c r="QU191" s="201"/>
      <c r="QV191" s="201"/>
      <c r="QW191" s="201"/>
      <c r="QX191" s="201"/>
      <c r="QY191" s="201"/>
      <c r="QZ191" s="201"/>
      <c r="RA191" s="201"/>
      <c r="RB191" s="201"/>
      <c r="RC191" s="201"/>
      <c r="RD191" s="201"/>
      <c r="RE191" s="201"/>
      <c r="RF191" s="201"/>
      <c r="RG191" s="201"/>
      <c r="RH191" s="201"/>
      <c r="RI191" s="201"/>
      <c r="RJ191" s="201"/>
      <c r="RK191" s="201"/>
      <c r="RL191" s="201"/>
      <c r="RM191" s="201"/>
      <c r="RN191" s="201"/>
      <c r="RO191" s="201"/>
      <c r="RP191" s="201"/>
      <c r="RQ191" s="201"/>
      <c r="RR191" s="201"/>
      <c r="RS191" s="201"/>
      <c r="RT191" s="201"/>
      <c r="RU191" s="201"/>
      <c r="RV191" s="201"/>
      <c r="RW191" s="201"/>
      <c r="RX191" s="201"/>
      <c r="RY191" s="201"/>
      <c r="RZ191" s="201"/>
      <c r="SA191" s="201"/>
      <c r="SB191" s="201"/>
      <c r="SC191" s="201"/>
      <c r="SD191" s="201"/>
      <c r="SE191" s="201"/>
      <c r="SF191" s="201"/>
      <c r="SG191" s="201"/>
      <c r="SH191" s="201"/>
      <c r="SI191" s="201"/>
      <c r="SJ191" s="201"/>
      <c r="SK191" s="201"/>
      <c r="SL191" s="201"/>
      <c r="SM191" s="201"/>
      <c r="SN191" s="201"/>
      <c r="SO191" s="201"/>
      <c r="SP191" s="201"/>
      <c r="SQ191" s="201"/>
      <c r="SR191" s="201"/>
      <c r="SS191" s="201"/>
      <c r="ST191" s="201"/>
      <c r="SU191" s="201"/>
      <c r="SV191" s="201"/>
      <c r="SW191" s="201"/>
      <c r="SX191" s="201"/>
      <c r="SY191" s="201"/>
      <c r="SZ191" s="201"/>
      <c r="TA191" s="201"/>
      <c r="TB191" s="201"/>
      <c r="TC191" s="201"/>
      <c r="TD191" s="201"/>
      <c r="TE191" s="201"/>
      <c r="TF191" s="201"/>
      <c r="TG191" s="201"/>
      <c r="TH191" s="201"/>
      <c r="TI191" s="201"/>
      <c r="TJ191" s="201"/>
      <c r="TK191" s="201"/>
      <c r="TL191" s="201"/>
      <c r="TM191" s="201"/>
      <c r="TN191" s="201"/>
      <c r="TO191" s="201"/>
      <c r="TP191" s="201"/>
      <c r="TQ191" s="201"/>
      <c r="TR191" s="201"/>
      <c r="TS191" s="201"/>
      <c r="TT191" s="201"/>
      <c r="TU191" s="201"/>
      <c r="TV191" s="201"/>
      <c r="TW191" s="201"/>
      <c r="TX191" s="201"/>
      <c r="TY191" s="201"/>
      <c r="TZ191" s="201"/>
      <c r="UA191" s="201"/>
      <c r="UB191" s="201"/>
      <c r="UC191" s="201"/>
      <c r="UD191" s="201"/>
      <c r="UE191" s="201"/>
      <c r="UF191" s="201"/>
      <c r="UG191" s="201"/>
      <c r="UH191" s="201"/>
      <c r="UI191" s="201"/>
      <c r="UJ191" s="201"/>
      <c r="UK191" s="201"/>
      <c r="UL191" s="201"/>
      <c r="UM191" s="201"/>
      <c r="UN191" s="201"/>
      <c r="UO191" s="201"/>
      <c r="UP191" s="201"/>
      <c r="UQ191" s="201"/>
      <c r="UR191" s="201"/>
      <c r="US191" s="201"/>
      <c r="UT191" s="201"/>
      <c r="UU191" s="201"/>
    </row>
    <row r="192" spans="2:567" x14ac:dyDescent="0.25">
      <c r="B192" s="54" t="str">
        <f t="shared" si="3084"/>
        <v>Contract Services</v>
      </c>
      <c r="C192" s="161"/>
      <c r="D192" s="161"/>
      <c r="E192" s="162"/>
      <c r="F192" s="162"/>
      <c r="G192" s="162"/>
      <c r="H192" s="162"/>
      <c r="I192" s="164">
        <f t="shared" si="3085"/>
        <v>75000</v>
      </c>
      <c r="J192" s="164">
        <f t="shared" ca="1" si="3086"/>
        <v>77751.932201979333</v>
      </c>
      <c r="K192" s="165">
        <f t="shared" ca="1" si="3087"/>
        <v>79695.730507028726</v>
      </c>
      <c r="L192" s="240"/>
      <c r="M192" s="3" t="s">
        <v>853</v>
      </c>
      <c r="R192" s="257"/>
      <c r="S192" s="243"/>
      <c r="T192" s="243"/>
      <c r="U192" s="243"/>
      <c r="V192" s="243"/>
      <c r="W192" s="243"/>
      <c r="X192" s="243"/>
      <c r="Y192" s="243"/>
      <c r="Z192" s="243"/>
      <c r="AA192" s="243"/>
      <c r="AB192" s="243"/>
      <c r="AC192" s="243"/>
      <c r="AD192" s="243"/>
      <c r="AE192" s="243"/>
      <c r="AF192" s="243"/>
      <c r="AG192" s="243"/>
      <c r="AH192" s="243"/>
      <c r="AI192" s="243"/>
      <c r="AJ192" s="243"/>
      <c r="AK192" s="243"/>
      <c r="AL192" s="243"/>
      <c r="AM192" s="243"/>
      <c r="AN192" s="243"/>
      <c r="AO192" s="243"/>
      <c r="AP192" s="243"/>
      <c r="AQ192" s="243"/>
      <c r="AR192" s="243"/>
      <c r="AS192" s="243"/>
      <c r="AT192" s="243"/>
      <c r="AU192" s="243"/>
      <c r="AV192" s="243"/>
      <c r="AW192" s="243"/>
      <c r="AX192" s="243"/>
      <c r="AY192" s="243"/>
      <c r="AZ192" s="243"/>
      <c r="BA192" s="243"/>
      <c r="BB192" s="243"/>
      <c r="BC192" s="243"/>
      <c r="BD192" s="243"/>
      <c r="BE192" s="243"/>
      <c r="BF192" s="243"/>
      <c r="BG192" s="243"/>
      <c r="BH192" s="243"/>
      <c r="BI192" s="243"/>
      <c r="BJ192" s="243"/>
      <c r="BK192" s="243"/>
      <c r="BL192" s="243"/>
      <c r="BM192" s="243"/>
      <c r="BN192" s="243"/>
      <c r="BO192" s="243"/>
      <c r="BP192" s="243"/>
      <c r="BQ192" s="243"/>
      <c r="BR192" s="243"/>
      <c r="BS192" s="243"/>
      <c r="BT192" s="243"/>
      <c r="BU192" s="243"/>
      <c r="BV192" s="243"/>
      <c r="BW192" s="243"/>
      <c r="BX192" s="243"/>
      <c r="BY192" s="243"/>
      <c r="BZ192" s="243"/>
      <c r="CA192" s="243"/>
      <c r="CB192" s="243"/>
      <c r="CC192" s="243"/>
      <c r="CD192" s="243"/>
      <c r="CE192" s="243"/>
      <c r="CF192" s="243"/>
      <c r="CG192" s="243"/>
      <c r="CH192" s="243"/>
      <c r="CI192" s="243"/>
      <c r="CJ192" s="243"/>
      <c r="CK192" s="243"/>
      <c r="CL192" s="243"/>
      <c r="CM192" s="243"/>
      <c r="CN192" s="243"/>
      <c r="CO192" s="243"/>
      <c r="CP192" s="243"/>
      <c r="CQ192" s="243"/>
      <c r="CR192" s="243"/>
      <c r="CS192" s="243"/>
      <c r="CT192" s="243"/>
      <c r="CU192" s="243"/>
      <c r="CV192" s="243"/>
      <c r="CW192" s="243"/>
      <c r="CX192" s="243"/>
      <c r="CY192" s="243"/>
      <c r="CZ192" s="243"/>
      <c r="DA192" s="243"/>
      <c r="DB192" s="243"/>
      <c r="DC192" s="243"/>
      <c r="DD192" s="243"/>
      <c r="DE192" s="243"/>
      <c r="DF192" s="243"/>
      <c r="DG192" s="243"/>
      <c r="DH192" s="243"/>
      <c r="DI192" s="243"/>
      <c r="DJ192" s="243"/>
      <c r="DK192" s="243"/>
      <c r="DL192" s="243"/>
      <c r="DM192" s="243"/>
      <c r="DN192" s="243"/>
      <c r="DO192" s="243"/>
      <c r="DP192" s="243"/>
      <c r="DQ192" s="243"/>
      <c r="DR192" s="243"/>
      <c r="DS192" s="243"/>
      <c r="DT192" s="243"/>
      <c r="DU192" s="243"/>
      <c r="DV192" s="243"/>
      <c r="DW192" s="243"/>
      <c r="DX192" s="243"/>
      <c r="DY192" s="243"/>
      <c r="DZ192" s="243"/>
      <c r="EA192" s="243"/>
      <c r="EB192" s="243"/>
      <c r="EC192" s="243"/>
      <c r="ED192" s="243"/>
      <c r="EE192" s="243"/>
      <c r="EF192" s="243"/>
      <c r="EG192" s="243"/>
      <c r="EH192" s="243"/>
      <c r="EI192" s="243"/>
      <c r="EJ192" s="243"/>
      <c r="EK192" s="243"/>
      <c r="EL192" s="243"/>
      <c r="EM192" s="243"/>
      <c r="EN192" s="243"/>
      <c r="EO192" s="243"/>
      <c r="EP192" s="243"/>
      <c r="EQ192" s="243"/>
      <c r="ER192" s="243"/>
      <c r="ES192" s="243"/>
      <c r="ET192" s="243"/>
      <c r="EU192" s="243"/>
      <c r="FC192" s="199"/>
      <c r="FD192" s="199"/>
      <c r="FE192" s="199"/>
      <c r="FF192" s="199"/>
      <c r="FG192" s="199"/>
      <c r="FH192" s="199"/>
      <c r="FI192" s="199"/>
      <c r="FJ192" s="199"/>
      <c r="FK192" s="199"/>
      <c r="FL192" s="199"/>
      <c r="FM192" s="199"/>
      <c r="FN192" s="199"/>
      <c r="FO192" s="199"/>
      <c r="FP192" s="199"/>
      <c r="FQ192" s="199"/>
      <c r="FR192" s="199"/>
      <c r="FS192" s="199"/>
      <c r="FT192" s="199"/>
      <c r="FU192" s="199"/>
      <c r="FV192" s="199"/>
      <c r="FW192" s="199"/>
      <c r="FX192" s="199"/>
      <c r="FY192" s="199"/>
      <c r="FZ192" s="199"/>
      <c r="GA192" s="199"/>
      <c r="GB192" s="199"/>
      <c r="GC192" s="199"/>
      <c r="GD192" s="199"/>
      <c r="GE192" s="199"/>
      <c r="GF192" s="199"/>
      <c r="GG192" s="199"/>
      <c r="GH192" s="199"/>
      <c r="GI192" s="199"/>
      <c r="GJ192" s="199"/>
      <c r="GK192" s="199"/>
      <c r="GL192" s="199"/>
      <c r="GM192" s="199"/>
      <c r="GN192" s="199"/>
      <c r="GO192" s="199"/>
      <c r="GP192" s="199"/>
      <c r="GQ192" s="199"/>
      <c r="GR192" s="199"/>
      <c r="GS192" s="199"/>
      <c r="GT192" s="199"/>
      <c r="GU192" s="199"/>
      <c r="GV192" s="199"/>
      <c r="GW192" s="199"/>
      <c r="GX192" s="199"/>
      <c r="GY192" s="199"/>
      <c r="GZ192" s="199"/>
      <c r="HA192" s="199"/>
      <c r="HB192" s="199"/>
      <c r="HC192" s="199"/>
      <c r="HD192" s="199"/>
      <c r="HE192" s="199"/>
      <c r="HF192" s="199"/>
      <c r="HG192" s="199"/>
      <c r="HH192" s="199"/>
      <c r="HI192" s="199"/>
      <c r="HJ192" s="199"/>
      <c r="HK192" s="199"/>
      <c r="HL192" s="199"/>
      <c r="HM192" s="199"/>
      <c r="HN192" s="199"/>
      <c r="HO192" s="199"/>
      <c r="HP192" s="199"/>
      <c r="HQ192" s="199"/>
      <c r="HR192" s="199"/>
      <c r="HS192" s="199"/>
      <c r="HT192" s="199"/>
      <c r="HU192" s="199"/>
      <c r="HV192" s="199"/>
      <c r="HW192" s="199"/>
      <c r="HX192" s="199"/>
      <c r="HY192" s="199"/>
      <c r="HZ192" s="199"/>
      <c r="IA192" s="199"/>
      <c r="IB192" s="199"/>
      <c r="IC192" s="199"/>
      <c r="ID192" s="199"/>
      <c r="IE192" s="199"/>
      <c r="IF192" s="199"/>
      <c r="IG192" s="199"/>
      <c r="IH192" s="199"/>
      <c r="II192" s="199"/>
      <c r="IJ192" s="199"/>
      <c r="IK192" s="199"/>
      <c r="IL192" s="199"/>
      <c r="IM192" s="199"/>
      <c r="IN192" s="199"/>
      <c r="IO192" s="199"/>
      <c r="IP192" s="199"/>
      <c r="IQ192" s="199"/>
      <c r="IR192" s="199"/>
      <c r="IS192" s="199"/>
      <c r="IT192" s="199"/>
      <c r="IU192" s="199"/>
      <c r="IV192" s="199"/>
      <c r="IW192" s="199"/>
      <c r="IX192" s="199"/>
      <c r="IY192" s="199"/>
      <c r="IZ192" s="199"/>
      <c r="JA192" s="199"/>
      <c r="JB192" s="199"/>
      <c r="JC192" s="199"/>
      <c r="JD192" s="199"/>
      <c r="JE192" s="199"/>
      <c r="JF192" s="199"/>
      <c r="JG192" s="199"/>
      <c r="JH192" s="199"/>
      <c r="JI192" s="199"/>
      <c r="JJ192" s="199"/>
      <c r="JK192" s="199"/>
      <c r="JL192" s="199"/>
      <c r="JM192" s="199"/>
      <c r="JN192" s="199"/>
      <c r="JO192" s="199"/>
      <c r="JP192" s="199"/>
      <c r="JQ192" s="199"/>
      <c r="JR192" s="199"/>
      <c r="JS192" s="199"/>
      <c r="JT192" s="199"/>
      <c r="JU192" s="199"/>
      <c r="JV192" s="199"/>
      <c r="JW192" s="199"/>
      <c r="JX192" s="199"/>
      <c r="JY192" s="199"/>
      <c r="JZ192" s="199"/>
      <c r="KA192" s="199"/>
      <c r="KB192" s="199"/>
      <c r="KC192" s="199"/>
      <c r="KD192" s="199"/>
      <c r="KE192" s="199"/>
      <c r="PQ192" s="201"/>
      <c r="PR192" s="201"/>
      <c r="PS192" s="201"/>
      <c r="PT192" s="201"/>
      <c r="PU192" s="201"/>
      <c r="PV192" s="201"/>
      <c r="PW192" s="201"/>
      <c r="PX192" s="201"/>
      <c r="PY192" s="201"/>
      <c r="PZ192" s="201"/>
      <c r="QA192" s="201"/>
      <c r="QB192" s="201"/>
      <c r="QC192" s="201"/>
      <c r="QD192" s="201"/>
      <c r="QE192" s="201"/>
      <c r="QF192" s="201"/>
      <c r="QG192" s="201"/>
      <c r="QH192" s="201"/>
      <c r="QI192" s="201"/>
      <c r="QJ192" s="201"/>
      <c r="QK192" s="201"/>
      <c r="QL192" s="201"/>
      <c r="QM192" s="201"/>
      <c r="QN192" s="201"/>
      <c r="QO192" s="201"/>
      <c r="QP192" s="201"/>
      <c r="QQ192" s="201"/>
      <c r="QR192" s="201"/>
      <c r="QS192" s="201"/>
      <c r="QT192" s="201"/>
      <c r="QU192" s="201"/>
      <c r="QV192" s="201"/>
      <c r="QW192" s="201"/>
      <c r="QX192" s="201"/>
      <c r="QY192" s="201"/>
      <c r="QZ192" s="201"/>
      <c r="RA192" s="201"/>
      <c r="RB192" s="201"/>
      <c r="RC192" s="201"/>
      <c r="RD192" s="201"/>
      <c r="RE192" s="201"/>
      <c r="RF192" s="201"/>
      <c r="RG192" s="201"/>
      <c r="RH192" s="201"/>
      <c r="RI192" s="201"/>
      <c r="RJ192" s="201"/>
      <c r="RK192" s="201"/>
      <c r="RL192" s="201"/>
      <c r="RM192" s="201"/>
      <c r="RN192" s="201"/>
      <c r="RO192" s="201"/>
      <c r="RP192" s="201"/>
      <c r="RQ192" s="201"/>
      <c r="RR192" s="201"/>
      <c r="RS192" s="201"/>
      <c r="RT192" s="201"/>
      <c r="RU192" s="201"/>
      <c r="RV192" s="201"/>
      <c r="RW192" s="201"/>
      <c r="RX192" s="201"/>
      <c r="RY192" s="201"/>
      <c r="RZ192" s="201"/>
      <c r="SA192" s="201"/>
      <c r="SB192" s="201"/>
      <c r="SC192" s="201"/>
      <c r="SD192" s="201"/>
      <c r="SE192" s="201"/>
      <c r="SF192" s="201"/>
      <c r="SG192" s="201"/>
      <c r="SH192" s="201"/>
      <c r="SI192" s="201"/>
      <c r="SJ192" s="201"/>
      <c r="SK192" s="201"/>
      <c r="SL192" s="201"/>
      <c r="SM192" s="201"/>
      <c r="SN192" s="201"/>
      <c r="SO192" s="201"/>
      <c r="SP192" s="201"/>
      <c r="SQ192" s="201"/>
      <c r="SR192" s="201"/>
      <c r="SS192" s="201"/>
      <c r="ST192" s="201"/>
      <c r="SU192" s="201"/>
      <c r="SV192" s="201"/>
      <c r="SW192" s="201"/>
      <c r="SX192" s="201"/>
      <c r="SY192" s="201"/>
      <c r="SZ192" s="201"/>
      <c r="TA192" s="201"/>
      <c r="TB192" s="201"/>
      <c r="TC192" s="201"/>
      <c r="TD192" s="201"/>
      <c r="TE192" s="201"/>
      <c r="TF192" s="201"/>
      <c r="TG192" s="201"/>
      <c r="TH192" s="201"/>
      <c r="TI192" s="201"/>
      <c r="TJ192" s="201"/>
      <c r="TK192" s="201"/>
      <c r="TL192" s="201"/>
      <c r="TM192" s="201"/>
      <c r="TN192" s="201"/>
      <c r="TO192" s="201"/>
      <c r="TP192" s="201"/>
      <c r="TQ192" s="201"/>
      <c r="TR192" s="201"/>
      <c r="TS192" s="201"/>
      <c r="TT192" s="201"/>
      <c r="TU192" s="201"/>
      <c r="TV192" s="201"/>
      <c r="TW192" s="201"/>
      <c r="TX192" s="201"/>
      <c r="TY192" s="201"/>
      <c r="TZ192" s="201"/>
      <c r="UA192" s="201"/>
      <c r="UB192" s="201"/>
      <c r="UC192" s="201"/>
      <c r="UD192" s="201"/>
      <c r="UE192" s="201"/>
      <c r="UF192" s="201"/>
      <c r="UG192" s="201"/>
      <c r="UH192" s="201"/>
      <c r="UI192" s="201"/>
      <c r="UJ192" s="201"/>
      <c r="UK192" s="201"/>
      <c r="UL192" s="201"/>
      <c r="UM192" s="201"/>
      <c r="UN192" s="201"/>
      <c r="UO192" s="201"/>
      <c r="UP192" s="201"/>
      <c r="UQ192" s="201"/>
      <c r="UR192" s="201"/>
      <c r="US192" s="201"/>
      <c r="UT192" s="201"/>
      <c r="UU192" s="201"/>
    </row>
    <row r="193" spans="2:567" x14ac:dyDescent="0.25">
      <c r="B193" s="54" t="str">
        <f t="shared" si="3084"/>
        <v>Make Ready Cost</v>
      </c>
      <c r="C193" s="161"/>
      <c r="D193" s="161"/>
      <c r="E193" s="162"/>
      <c r="F193" s="162"/>
      <c r="G193" s="162"/>
      <c r="H193" s="162"/>
      <c r="I193" s="164">
        <f t="shared" si="3085"/>
        <v>60000</v>
      </c>
      <c r="J193" s="164">
        <f t="shared" ca="1" si="3086"/>
        <v>62201.545761583453</v>
      </c>
      <c r="K193" s="165">
        <f t="shared" ca="1" si="3087"/>
        <v>63756.584405622954</v>
      </c>
      <c r="L193" s="240"/>
      <c r="M193" s="3" t="s">
        <v>853</v>
      </c>
      <c r="R193" s="257"/>
      <c r="S193" s="243"/>
      <c r="T193" s="243"/>
      <c r="U193" s="243"/>
      <c r="V193" s="243"/>
      <c r="W193" s="243"/>
      <c r="X193" s="243"/>
      <c r="Y193" s="243"/>
      <c r="Z193" s="243"/>
      <c r="AA193" s="243"/>
      <c r="AB193" s="243"/>
      <c r="AC193" s="243"/>
      <c r="AD193" s="243"/>
      <c r="AE193" s="243"/>
      <c r="AF193" s="243"/>
      <c r="AG193" s="243"/>
      <c r="AH193" s="243"/>
      <c r="AI193" s="243"/>
      <c r="AJ193" s="243"/>
      <c r="AK193" s="243"/>
      <c r="AL193" s="243"/>
      <c r="AM193" s="243"/>
      <c r="AN193" s="243"/>
      <c r="AO193" s="243"/>
      <c r="AP193" s="243"/>
      <c r="AQ193" s="243"/>
      <c r="AR193" s="243"/>
      <c r="AS193" s="243"/>
      <c r="AT193" s="243"/>
      <c r="AU193" s="243"/>
      <c r="AV193" s="243"/>
      <c r="AW193" s="243"/>
      <c r="AX193" s="243"/>
      <c r="AY193" s="243"/>
      <c r="AZ193" s="243"/>
      <c r="BA193" s="243"/>
      <c r="BB193" s="243"/>
      <c r="BC193" s="243"/>
      <c r="BD193" s="243"/>
      <c r="BE193" s="243"/>
      <c r="BF193" s="243"/>
      <c r="BG193" s="243"/>
      <c r="BH193" s="243"/>
      <c r="BI193" s="243"/>
      <c r="BJ193" s="243"/>
      <c r="BK193" s="243"/>
      <c r="BL193" s="243"/>
      <c r="BM193" s="243"/>
      <c r="BN193" s="243"/>
      <c r="BO193" s="243"/>
      <c r="BP193" s="243"/>
      <c r="BQ193" s="243"/>
      <c r="BR193" s="243"/>
      <c r="BS193" s="243"/>
      <c r="BT193" s="243"/>
      <c r="BU193" s="243"/>
      <c r="BV193" s="243"/>
      <c r="BW193" s="243"/>
      <c r="BX193" s="243"/>
      <c r="BY193" s="243"/>
      <c r="BZ193" s="243"/>
      <c r="CA193" s="243"/>
      <c r="CB193" s="243"/>
      <c r="CC193" s="243"/>
      <c r="CD193" s="243"/>
      <c r="CE193" s="243"/>
      <c r="CF193" s="243"/>
      <c r="CG193" s="243"/>
      <c r="CH193" s="243"/>
      <c r="CI193" s="243"/>
      <c r="CJ193" s="243"/>
      <c r="CK193" s="243"/>
      <c r="CL193" s="243"/>
      <c r="CM193" s="243"/>
      <c r="CN193" s="243"/>
      <c r="CO193" s="243"/>
      <c r="CP193" s="243"/>
      <c r="CQ193" s="243"/>
      <c r="CR193" s="243"/>
      <c r="CS193" s="243"/>
      <c r="CT193" s="243"/>
      <c r="CU193" s="243"/>
      <c r="CV193" s="243"/>
      <c r="CW193" s="243"/>
      <c r="CX193" s="243"/>
      <c r="CY193" s="243"/>
      <c r="CZ193" s="243"/>
      <c r="DA193" s="243"/>
      <c r="DB193" s="243"/>
      <c r="DC193" s="243"/>
      <c r="DD193" s="243"/>
      <c r="DE193" s="243"/>
      <c r="DF193" s="243"/>
      <c r="DG193" s="243"/>
      <c r="DH193" s="243"/>
      <c r="DI193" s="243"/>
      <c r="DJ193" s="243"/>
      <c r="DK193" s="243"/>
      <c r="DL193" s="243"/>
      <c r="DM193" s="243"/>
      <c r="DN193" s="243"/>
      <c r="DO193" s="243"/>
      <c r="DP193" s="243"/>
      <c r="DQ193" s="243"/>
      <c r="DR193" s="243"/>
      <c r="DS193" s="243"/>
      <c r="DT193" s="243"/>
      <c r="DU193" s="243"/>
      <c r="DV193" s="243"/>
      <c r="DW193" s="243"/>
      <c r="DX193" s="243"/>
      <c r="DY193" s="243"/>
      <c r="DZ193" s="243"/>
      <c r="EA193" s="243"/>
      <c r="EB193" s="243"/>
      <c r="EC193" s="243"/>
      <c r="ED193" s="243"/>
      <c r="EE193" s="243"/>
      <c r="EF193" s="243"/>
      <c r="EG193" s="243"/>
      <c r="EH193" s="243"/>
      <c r="EI193" s="243"/>
      <c r="EJ193" s="243"/>
      <c r="EK193" s="243"/>
      <c r="EL193" s="243"/>
      <c r="EM193" s="243"/>
      <c r="EN193" s="243"/>
      <c r="EO193" s="243"/>
      <c r="EP193" s="243"/>
      <c r="EQ193" s="243"/>
      <c r="ER193" s="243"/>
      <c r="ES193" s="243"/>
      <c r="ET193" s="243"/>
      <c r="EU193" s="243"/>
      <c r="FA193" s="202" t="s">
        <v>811</v>
      </c>
      <c r="FC193" s="204"/>
      <c r="FD193" s="204">
        <f t="shared" ref="FD193:GI193" si="3088">FD199</f>
        <v>1</v>
      </c>
      <c r="FE193" s="204">
        <f t="shared" si="3088"/>
        <v>2</v>
      </c>
      <c r="FF193" s="204">
        <f t="shared" si="3088"/>
        <v>3</v>
      </c>
      <c r="FG193" s="204">
        <f t="shared" si="3088"/>
        <v>4</v>
      </c>
      <c r="FH193" s="204">
        <f t="shared" si="3088"/>
        <v>5</v>
      </c>
      <c r="FI193" s="204">
        <f t="shared" si="3088"/>
        <v>6</v>
      </c>
      <c r="FJ193" s="204">
        <f t="shared" si="3088"/>
        <v>7</v>
      </c>
      <c r="FK193" s="204">
        <f t="shared" si="3088"/>
        <v>8</v>
      </c>
      <c r="FL193" s="204">
        <f t="shared" si="3088"/>
        <v>9</v>
      </c>
      <c r="FM193" s="204">
        <f t="shared" si="3088"/>
        <v>10</v>
      </c>
      <c r="FN193" s="204">
        <f t="shared" si="3088"/>
        <v>11</v>
      </c>
      <c r="FO193" s="204">
        <f t="shared" si="3088"/>
        <v>12</v>
      </c>
      <c r="FP193" s="204">
        <f t="shared" si="3088"/>
        <v>13</v>
      </c>
      <c r="FQ193" s="204">
        <f t="shared" si="3088"/>
        <v>14</v>
      </c>
      <c r="FR193" s="204">
        <f t="shared" si="3088"/>
        <v>15</v>
      </c>
      <c r="FS193" s="204">
        <f t="shared" si="3088"/>
        <v>16</v>
      </c>
      <c r="FT193" s="204">
        <f t="shared" si="3088"/>
        <v>17</v>
      </c>
      <c r="FU193" s="204">
        <f t="shared" si="3088"/>
        <v>18</v>
      </c>
      <c r="FV193" s="204">
        <f t="shared" si="3088"/>
        <v>19</v>
      </c>
      <c r="FW193" s="204">
        <f t="shared" si="3088"/>
        <v>20</v>
      </c>
      <c r="FX193" s="204">
        <f t="shared" si="3088"/>
        <v>21</v>
      </c>
      <c r="FY193" s="204">
        <f t="shared" si="3088"/>
        <v>22</v>
      </c>
      <c r="FZ193" s="204">
        <f t="shared" si="3088"/>
        <v>23</v>
      </c>
      <c r="GA193" s="204">
        <f t="shared" si="3088"/>
        <v>24</v>
      </c>
      <c r="GB193" s="204">
        <f t="shared" si="3088"/>
        <v>25</v>
      </c>
      <c r="GC193" s="204">
        <f t="shared" si="3088"/>
        <v>26</v>
      </c>
      <c r="GD193" s="204">
        <f t="shared" si="3088"/>
        <v>27</v>
      </c>
      <c r="GE193" s="204">
        <f t="shared" si="3088"/>
        <v>28</v>
      </c>
      <c r="GF193" s="204">
        <f t="shared" si="3088"/>
        <v>29</v>
      </c>
      <c r="GG193" s="204">
        <f t="shared" si="3088"/>
        <v>30</v>
      </c>
      <c r="GH193" s="204">
        <f t="shared" si="3088"/>
        <v>31</v>
      </c>
      <c r="GI193" s="204">
        <f t="shared" si="3088"/>
        <v>32</v>
      </c>
      <c r="GJ193" s="204">
        <f t="shared" ref="GJ193:HO193" si="3089">GJ199</f>
        <v>33</v>
      </c>
      <c r="GK193" s="204">
        <f t="shared" si="3089"/>
        <v>34</v>
      </c>
      <c r="GL193" s="204">
        <f t="shared" si="3089"/>
        <v>35</v>
      </c>
      <c r="GM193" s="204">
        <f t="shared" si="3089"/>
        <v>36</v>
      </c>
      <c r="GN193" s="204">
        <f t="shared" si="3089"/>
        <v>37</v>
      </c>
      <c r="GO193" s="204">
        <f t="shared" si="3089"/>
        <v>38</v>
      </c>
      <c r="GP193" s="204">
        <f t="shared" si="3089"/>
        <v>39</v>
      </c>
      <c r="GQ193" s="204">
        <f t="shared" si="3089"/>
        <v>40</v>
      </c>
      <c r="GR193" s="204">
        <f t="shared" si="3089"/>
        <v>41</v>
      </c>
      <c r="GS193" s="204">
        <f t="shared" si="3089"/>
        <v>42</v>
      </c>
      <c r="GT193" s="204">
        <f t="shared" si="3089"/>
        <v>43</v>
      </c>
      <c r="GU193" s="204">
        <f t="shared" si="3089"/>
        <v>44</v>
      </c>
      <c r="GV193" s="204">
        <f t="shared" si="3089"/>
        <v>45</v>
      </c>
      <c r="GW193" s="204">
        <f t="shared" si="3089"/>
        <v>46</v>
      </c>
      <c r="GX193" s="204">
        <f t="shared" si="3089"/>
        <v>47</v>
      </c>
      <c r="GY193" s="204">
        <f t="shared" si="3089"/>
        <v>48</v>
      </c>
      <c r="GZ193" s="204">
        <f t="shared" si="3089"/>
        <v>49</v>
      </c>
      <c r="HA193" s="204">
        <f t="shared" si="3089"/>
        <v>50</v>
      </c>
      <c r="HB193" s="204">
        <f t="shared" si="3089"/>
        <v>51</v>
      </c>
      <c r="HC193" s="204">
        <f t="shared" si="3089"/>
        <v>52</v>
      </c>
      <c r="HD193" s="204">
        <f t="shared" si="3089"/>
        <v>53</v>
      </c>
      <c r="HE193" s="204">
        <f t="shared" si="3089"/>
        <v>54</v>
      </c>
      <c r="HF193" s="204">
        <f t="shared" si="3089"/>
        <v>55</v>
      </c>
      <c r="HG193" s="204">
        <f t="shared" si="3089"/>
        <v>56</v>
      </c>
      <c r="HH193" s="204">
        <f t="shared" si="3089"/>
        <v>57</v>
      </c>
      <c r="HI193" s="204">
        <f t="shared" si="3089"/>
        <v>58</v>
      </c>
      <c r="HJ193" s="204">
        <f t="shared" si="3089"/>
        <v>59</v>
      </c>
      <c r="HK193" s="204">
        <f t="shared" si="3089"/>
        <v>60</v>
      </c>
      <c r="HL193" s="204">
        <f t="shared" si="3089"/>
        <v>61</v>
      </c>
      <c r="HM193" s="204">
        <f t="shared" si="3089"/>
        <v>62</v>
      </c>
      <c r="HN193" s="204">
        <f t="shared" si="3089"/>
        <v>63</v>
      </c>
      <c r="HO193" s="204">
        <f t="shared" si="3089"/>
        <v>64</v>
      </c>
      <c r="HP193" s="204">
        <f t="shared" ref="HP193:IU193" si="3090">HP199</f>
        <v>65</v>
      </c>
      <c r="HQ193" s="204">
        <f t="shared" si="3090"/>
        <v>66</v>
      </c>
      <c r="HR193" s="204">
        <f t="shared" si="3090"/>
        <v>67</v>
      </c>
      <c r="HS193" s="204">
        <f t="shared" si="3090"/>
        <v>68</v>
      </c>
      <c r="HT193" s="204">
        <f t="shared" si="3090"/>
        <v>69</v>
      </c>
      <c r="HU193" s="204">
        <f t="shared" si="3090"/>
        <v>70</v>
      </c>
      <c r="HV193" s="204">
        <f t="shared" si="3090"/>
        <v>71</v>
      </c>
      <c r="HW193" s="204">
        <f t="shared" si="3090"/>
        <v>72</v>
      </c>
      <c r="HX193" s="204">
        <f t="shared" si="3090"/>
        <v>73</v>
      </c>
      <c r="HY193" s="204">
        <f t="shared" si="3090"/>
        <v>74</v>
      </c>
      <c r="HZ193" s="204">
        <f t="shared" si="3090"/>
        <v>75</v>
      </c>
      <c r="IA193" s="204">
        <f t="shared" si="3090"/>
        <v>76</v>
      </c>
      <c r="IB193" s="204">
        <f t="shared" si="3090"/>
        <v>77</v>
      </c>
      <c r="IC193" s="204">
        <f t="shared" si="3090"/>
        <v>78</v>
      </c>
      <c r="ID193" s="204">
        <f t="shared" si="3090"/>
        <v>79</v>
      </c>
      <c r="IE193" s="204">
        <f t="shared" si="3090"/>
        <v>80</v>
      </c>
      <c r="IF193" s="204">
        <f t="shared" si="3090"/>
        <v>81</v>
      </c>
      <c r="IG193" s="204">
        <f t="shared" si="3090"/>
        <v>82</v>
      </c>
      <c r="IH193" s="204">
        <f t="shared" si="3090"/>
        <v>83</v>
      </c>
      <c r="II193" s="204">
        <f t="shared" si="3090"/>
        <v>84</v>
      </c>
      <c r="IJ193" s="204">
        <f t="shared" si="3090"/>
        <v>85</v>
      </c>
      <c r="IK193" s="204">
        <f t="shared" si="3090"/>
        <v>86</v>
      </c>
      <c r="IL193" s="204">
        <f t="shared" si="3090"/>
        <v>87</v>
      </c>
      <c r="IM193" s="204">
        <f t="shared" si="3090"/>
        <v>88</v>
      </c>
      <c r="IN193" s="204">
        <f t="shared" si="3090"/>
        <v>89</v>
      </c>
      <c r="IO193" s="204">
        <f t="shared" si="3090"/>
        <v>90</v>
      </c>
      <c r="IP193" s="204">
        <f t="shared" si="3090"/>
        <v>91</v>
      </c>
      <c r="IQ193" s="204">
        <f t="shared" si="3090"/>
        <v>92</v>
      </c>
      <c r="IR193" s="204">
        <f t="shared" si="3090"/>
        <v>93</v>
      </c>
      <c r="IS193" s="204">
        <f t="shared" si="3090"/>
        <v>94</v>
      </c>
      <c r="IT193" s="204">
        <f t="shared" si="3090"/>
        <v>95</v>
      </c>
      <c r="IU193" s="204">
        <f t="shared" si="3090"/>
        <v>96</v>
      </c>
      <c r="IV193" s="204">
        <f t="shared" ref="IV193:KE193" si="3091">IV199</f>
        <v>97</v>
      </c>
      <c r="IW193" s="204">
        <f t="shared" si="3091"/>
        <v>98</v>
      </c>
      <c r="IX193" s="204">
        <f t="shared" si="3091"/>
        <v>99</v>
      </c>
      <c r="IY193" s="204">
        <f t="shared" si="3091"/>
        <v>100</v>
      </c>
      <c r="IZ193" s="204">
        <f t="shared" si="3091"/>
        <v>101</v>
      </c>
      <c r="JA193" s="204">
        <f t="shared" si="3091"/>
        <v>102</v>
      </c>
      <c r="JB193" s="204">
        <f t="shared" si="3091"/>
        <v>103</v>
      </c>
      <c r="JC193" s="204">
        <f t="shared" si="3091"/>
        <v>104</v>
      </c>
      <c r="JD193" s="204">
        <f t="shared" si="3091"/>
        <v>105</v>
      </c>
      <c r="JE193" s="204">
        <f t="shared" si="3091"/>
        <v>106</v>
      </c>
      <c r="JF193" s="204">
        <f t="shared" si="3091"/>
        <v>107</v>
      </c>
      <c r="JG193" s="204">
        <f t="shared" si="3091"/>
        <v>108</v>
      </c>
      <c r="JH193" s="204">
        <f t="shared" si="3091"/>
        <v>109</v>
      </c>
      <c r="JI193" s="204">
        <f t="shared" si="3091"/>
        <v>110</v>
      </c>
      <c r="JJ193" s="204">
        <f t="shared" si="3091"/>
        <v>111</v>
      </c>
      <c r="JK193" s="204">
        <f t="shared" si="3091"/>
        <v>112</v>
      </c>
      <c r="JL193" s="204">
        <f t="shared" si="3091"/>
        <v>113</v>
      </c>
      <c r="JM193" s="204">
        <f t="shared" si="3091"/>
        <v>114</v>
      </c>
      <c r="JN193" s="204">
        <f t="shared" si="3091"/>
        <v>115</v>
      </c>
      <c r="JO193" s="204">
        <f t="shared" si="3091"/>
        <v>116</v>
      </c>
      <c r="JP193" s="204">
        <f t="shared" si="3091"/>
        <v>117</v>
      </c>
      <c r="JQ193" s="204">
        <f t="shared" si="3091"/>
        <v>118</v>
      </c>
      <c r="JR193" s="204">
        <f t="shared" si="3091"/>
        <v>119</v>
      </c>
      <c r="JS193" s="204">
        <f t="shared" si="3091"/>
        <v>120</v>
      </c>
      <c r="JT193" s="204">
        <f t="shared" si="3091"/>
        <v>121</v>
      </c>
      <c r="JU193" s="204">
        <f t="shared" si="3091"/>
        <v>122</v>
      </c>
      <c r="JV193" s="204">
        <f t="shared" si="3091"/>
        <v>123</v>
      </c>
      <c r="JW193" s="204">
        <f t="shared" si="3091"/>
        <v>124</v>
      </c>
      <c r="JX193" s="204">
        <f t="shared" si="3091"/>
        <v>125</v>
      </c>
      <c r="JY193" s="204">
        <f t="shared" si="3091"/>
        <v>126</v>
      </c>
      <c r="JZ193" s="204">
        <f t="shared" si="3091"/>
        <v>127</v>
      </c>
      <c r="KA193" s="204">
        <f t="shared" si="3091"/>
        <v>128</v>
      </c>
      <c r="KB193" s="204">
        <f t="shared" si="3091"/>
        <v>129</v>
      </c>
      <c r="KC193" s="204">
        <f t="shared" si="3091"/>
        <v>130</v>
      </c>
      <c r="KD193" s="204">
        <f t="shared" si="3091"/>
        <v>131</v>
      </c>
      <c r="KE193" s="204">
        <f t="shared" si="3091"/>
        <v>132</v>
      </c>
      <c r="PQ193" s="201"/>
      <c r="PR193" s="201"/>
      <c r="PS193" s="201"/>
      <c r="PT193" s="201"/>
      <c r="PU193" s="201"/>
      <c r="PV193" s="201"/>
      <c r="PW193" s="201"/>
      <c r="PX193" s="201"/>
      <c r="PY193" s="201"/>
      <c r="PZ193" s="201"/>
      <c r="QA193" s="201"/>
      <c r="QB193" s="201"/>
      <c r="QC193" s="201"/>
      <c r="QD193" s="201"/>
      <c r="QE193" s="201"/>
      <c r="QF193" s="201"/>
      <c r="QG193" s="201"/>
      <c r="QH193" s="201"/>
      <c r="QI193" s="201"/>
      <c r="QJ193" s="201"/>
      <c r="QK193" s="201"/>
      <c r="QL193" s="201"/>
      <c r="QM193" s="201"/>
      <c r="QN193" s="201"/>
      <c r="QO193" s="201"/>
      <c r="QP193" s="201"/>
      <c r="QQ193" s="201"/>
      <c r="QR193" s="201"/>
      <c r="QS193" s="201"/>
      <c r="QT193" s="201"/>
      <c r="QU193" s="201"/>
      <c r="QV193" s="201"/>
      <c r="QW193" s="201"/>
      <c r="QX193" s="201"/>
      <c r="QY193" s="201"/>
      <c r="QZ193" s="201"/>
      <c r="RA193" s="201"/>
      <c r="RB193" s="201"/>
      <c r="RC193" s="201"/>
      <c r="RD193" s="201"/>
      <c r="RE193" s="201"/>
      <c r="RF193" s="201"/>
      <c r="RG193" s="201"/>
      <c r="RH193" s="201"/>
      <c r="RI193" s="201"/>
      <c r="RJ193" s="201"/>
      <c r="RK193" s="201"/>
      <c r="RL193" s="201"/>
      <c r="RM193" s="201"/>
      <c r="RN193" s="201"/>
      <c r="RO193" s="201"/>
      <c r="RP193" s="201"/>
      <c r="RQ193" s="201"/>
      <c r="RR193" s="201"/>
      <c r="RS193" s="201"/>
      <c r="RT193" s="201"/>
      <c r="RU193" s="201"/>
      <c r="RV193" s="201"/>
      <c r="RW193" s="201"/>
      <c r="RX193" s="201"/>
      <c r="RY193" s="201"/>
      <c r="RZ193" s="201"/>
      <c r="SA193" s="201"/>
      <c r="SB193" s="201"/>
      <c r="SC193" s="201"/>
      <c r="SD193" s="201"/>
      <c r="SE193" s="201"/>
      <c r="SF193" s="201"/>
      <c r="SG193" s="201"/>
      <c r="SH193" s="201"/>
      <c r="SI193" s="201"/>
      <c r="SJ193" s="201"/>
      <c r="SK193" s="201"/>
      <c r="SL193" s="201"/>
      <c r="SM193" s="201"/>
      <c r="SN193" s="201"/>
      <c r="SO193" s="201"/>
      <c r="SP193" s="201"/>
      <c r="SQ193" s="201"/>
      <c r="SR193" s="201"/>
      <c r="SS193" s="201"/>
      <c r="ST193" s="201"/>
      <c r="SU193" s="201"/>
      <c r="SV193" s="201"/>
      <c r="SW193" s="201"/>
      <c r="SX193" s="201"/>
      <c r="SY193" s="201"/>
      <c r="SZ193" s="201"/>
      <c r="TA193" s="201"/>
      <c r="TB193" s="201"/>
      <c r="TC193" s="201"/>
      <c r="TD193" s="201"/>
      <c r="TE193" s="201"/>
      <c r="TF193" s="201"/>
      <c r="TG193" s="201"/>
      <c r="TH193" s="201"/>
      <c r="TI193" s="201"/>
      <c r="TJ193" s="201"/>
      <c r="TK193" s="201"/>
      <c r="TL193" s="201"/>
      <c r="TM193" s="201"/>
      <c r="TN193" s="201"/>
      <c r="TO193" s="201"/>
      <c r="TP193" s="201"/>
      <c r="TQ193" s="201"/>
      <c r="TR193" s="201"/>
      <c r="TS193" s="201"/>
      <c r="TT193" s="201"/>
      <c r="TU193" s="201"/>
      <c r="TV193" s="201"/>
      <c r="TW193" s="201"/>
      <c r="TX193" s="201"/>
      <c r="TY193" s="201"/>
      <c r="TZ193" s="201"/>
      <c r="UA193" s="201"/>
      <c r="UB193" s="201"/>
      <c r="UC193" s="201"/>
      <c r="UD193" s="201"/>
      <c r="UE193" s="201"/>
      <c r="UF193" s="201"/>
      <c r="UG193" s="201"/>
      <c r="UH193" s="201"/>
      <c r="UI193" s="201"/>
      <c r="UJ193" s="201"/>
      <c r="UK193" s="201"/>
      <c r="UL193" s="201"/>
      <c r="UM193" s="201"/>
      <c r="UN193" s="201"/>
      <c r="UO193" s="201"/>
      <c r="UP193" s="201"/>
      <c r="UQ193" s="201"/>
      <c r="UR193" s="201"/>
      <c r="US193" s="201"/>
      <c r="UT193" s="201"/>
      <c r="UU193" s="201"/>
    </row>
    <row r="194" spans="2:567" x14ac:dyDescent="0.25">
      <c r="B194" s="54" t="str">
        <f t="shared" si="3084"/>
        <v>Management Fee</v>
      </c>
      <c r="C194" s="161"/>
      <c r="D194" s="161"/>
      <c r="E194" s="162"/>
      <c r="F194" s="162"/>
      <c r="G194" s="162"/>
      <c r="H194" s="162"/>
      <c r="I194" s="164">
        <f t="shared" si="3085"/>
        <v>150851.1207046154</v>
      </c>
      <c r="J194" s="164">
        <f t="shared" ca="1" si="3086"/>
        <v>199682.35913813242</v>
      </c>
      <c r="K194" s="165">
        <f t="shared" ca="1" si="3087"/>
        <v>205352.44631471054</v>
      </c>
      <c r="L194" s="240"/>
      <c r="M194" s="3" t="s">
        <v>853</v>
      </c>
      <c r="R194" s="257"/>
      <c r="S194" s="243"/>
      <c r="T194" s="243"/>
      <c r="U194" s="243"/>
      <c r="V194" s="243"/>
      <c r="W194" s="243"/>
      <c r="X194" s="243"/>
      <c r="Y194" s="243"/>
      <c r="Z194" s="243"/>
      <c r="AA194" s="243"/>
      <c r="AB194" s="243"/>
      <c r="AC194" s="243"/>
      <c r="AD194" s="243"/>
      <c r="AE194" s="243"/>
      <c r="AF194" s="243"/>
      <c r="AG194" s="243"/>
      <c r="AH194" s="243"/>
      <c r="AI194" s="243"/>
      <c r="AJ194" s="243"/>
      <c r="AK194" s="243"/>
      <c r="AL194" s="243"/>
      <c r="AM194" s="243"/>
      <c r="AN194" s="243"/>
      <c r="AO194" s="243"/>
      <c r="AP194" s="243"/>
      <c r="AQ194" s="243"/>
      <c r="AR194" s="243"/>
      <c r="AS194" s="243"/>
      <c r="AT194" s="243"/>
      <c r="AU194" s="243"/>
      <c r="AV194" s="243"/>
      <c r="AW194" s="243"/>
      <c r="AX194" s="243"/>
      <c r="AY194" s="243"/>
      <c r="AZ194" s="243"/>
      <c r="BA194" s="243"/>
      <c r="BB194" s="243"/>
      <c r="BC194" s="243"/>
      <c r="BD194" s="243"/>
      <c r="BE194" s="243"/>
      <c r="BF194" s="243"/>
      <c r="BG194" s="243"/>
      <c r="BH194" s="243"/>
      <c r="BI194" s="243"/>
      <c r="BJ194" s="243"/>
      <c r="BK194" s="243"/>
      <c r="BL194" s="243"/>
      <c r="BM194" s="243"/>
      <c r="BN194" s="243"/>
      <c r="BO194" s="243"/>
      <c r="BP194" s="243"/>
      <c r="BQ194" s="243"/>
      <c r="BR194" s="243"/>
      <c r="BS194" s="243"/>
      <c r="BT194" s="243"/>
      <c r="BU194" s="243"/>
      <c r="BV194" s="243"/>
      <c r="BW194" s="243"/>
      <c r="BX194" s="243"/>
      <c r="BY194" s="243"/>
      <c r="BZ194" s="243"/>
      <c r="CA194" s="243"/>
      <c r="CB194" s="243"/>
      <c r="CC194" s="243"/>
      <c r="CD194" s="243"/>
      <c r="CE194" s="243"/>
      <c r="CF194" s="243"/>
      <c r="CG194" s="243"/>
      <c r="CH194" s="243"/>
      <c r="CI194" s="243"/>
      <c r="CJ194" s="243"/>
      <c r="CK194" s="243"/>
      <c r="CL194" s="243"/>
      <c r="CM194" s="243"/>
      <c r="CN194" s="243"/>
      <c r="CO194" s="243"/>
      <c r="CP194" s="243"/>
      <c r="CQ194" s="243"/>
      <c r="CR194" s="243"/>
      <c r="CS194" s="243"/>
      <c r="CT194" s="243"/>
      <c r="CU194" s="243"/>
      <c r="CV194" s="243"/>
      <c r="CW194" s="243"/>
      <c r="CX194" s="243"/>
      <c r="CY194" s="243"/>
      <c r="CZ194" s="243"/>
      <c r="DA194" s="243"/>
      <c r="DB194" s="243"/>
      <c r="DC194" s="243"/>
      <c r="DD194" s="243"/>
      <c r="DE194" s="243"/>
      <c r="DF194" s="243"/>
      <c r="DG194" s="243"/>
      <c r="DH194" s="243"/>
      <c r="DI194" s="243"/>
      <c r="DJ194" s="243"/>
      <c r="DK194" s="243"/>
      <c r="DL194" s="243"/>
      <c r="DM194" s="243"/>
      <c r="DN194" s="243"/>
      <c r="DO194" s="243"/>
      <c r="DP194" s="243"/>
      <c r="DQ194" s="243"/>
      <c r="DR194" s="243"/>
      <c r="DS194" s="243"/>
      <c r="DT194" s="243"/>
      <c r="DU194" s="243"/>
      <c r="DV194" s="243"/>
      <c r="DW194" s="243"/>
      <c r="DX194" s="243"/>
      <c r="DY194" s="243"/>
      <c r="DZ194" s="243"/>
      <c r="EA194" s="243"/>
      <c r="EB194" s="243"/>
      <c r="EC194" s="243"/>
      <c r="ED194" s="243"/>
      <c r="EE194" s="243"/>
      <c r="EF194" s="243"/>
      <c r="EG194" s="243"/>
      <c r="EH194" s="243"/>
      <c r="EI194" s="243"/>
      <c r="EJ194" s="243"/>
      <c r="EK194" s="243"/>
      <c r="EL194" s="243"/>
      <c r="EM194" s="243"/>
      <c r="EN194" s="243"/>
      <c r="EO194" s="243"/>
      <c r="EP194" s="243"/>
      <c r="EQ194" s="243"/>
      <c r="ER194" s="243"/>
      <c r="ES194" s="243"/>
      <c r="ET194" s="243"/>
      <c r="EU194" s="243"/>
      <c r="FA194" s="216" t="s">
        <v>810</v>
      </c>
      <c r="FB194" s="216" t="s">
        <v>808</v>
      </c>
      <c r="FD194" s="207">
        <f>(FD193&lt;=Analysis_Period)*SUM($S$49:T49)</f>
        <v>64215297.916666672</v>
      </c>
      <c r="FE194" s="207">
        <f>(FE193&lt;=Analysis_Period)*SUM($S$49:U49)</f>
        <v>64438571.875000007</v>
      </c>
      <c r="FF194" s="207">
        <f>(FF193&lt;=Analysis_Period)*SUM($S$49:V49)</f>
        <v>64661845.833333343</v>
      </c>
      <c r="FG194" s="207">
        <f>(FG193&lt;=Analysis_Period)*SUM($S$49:W49)</f>
        <v>64885119.791666679</v>
      </c>
      <c r="FH194" s="207">
        <f>(FH193&lt;=Analysis_Period)*SUM($S$49:X49)</f>
        <v>65108393.750000015</v>
      </c>
      <c r="FI194" s="207">
        <f>(FI193&lt;=Analysis_Period)*SUM($S$49:Y49)</f>
        <v>65331667.708333351</v>
      </c>
      <c r="FJ194" s="207">
        <f>(FJ193&lt;=Analysis_Period)*SUM($S$49:Z49)</f>
        <v>65554941.666666687</v>
      </c>
      <c r="FK194" s="207">
        <f>(FK193&lt;=Analysis_Period)*SUM($S$49:AA49)</f>
        <v>65778215.625000022</v>
      </c>
      <c r="FL194" s="207">
        <f>(FL193&lt;=Analysis_Period)*SUM($S$49:AB49)</f>
        <v>66001489.583333358</v>
      </c>
      <c r="FM194" s="207">
        <f>(FM193&lt;=Analysis_Period)*SUM($S$49:AC49)</f>
        <v>66224763.541666694</v>
      </c>
      <c r="FN194" s="207">
        <f>(FN193&lt;=Analysis_Period)*SUM($S$49:AD49)</f>
        <v>66448037.50000003</v>
      </c>
      <c r="FO194" s="207">
        <f>(FO193&lt;=Analysis_Period)*SUM($S$49:AE49)</f>
        <v>66671311.458333366</v>
      </c>
      <c r="FP194" s="207">
        <f>(FP193&lt;=Analysis_Period)*SUM($S$49:AF49)</f>
        <v>66894585.416666701</v>
      </c>
      <c r="FQ194" s="207">
        <f>(FQ193&lt;=Analysis_Period)*SUM($S$49:AG49)</f>
        <v>67117859.37500003</v>
      </c>
      <c r="FR194" s="207">
        <f>(FR193&lt;=Analysis_Period)*SUM($S$49:AH49)</f>
        <v>67341133.333333358</v>
      </c>
      <c r="FS194" s="207">
        <f>(FS193&lt;=Analysis_Period)*SUM($S$49:AI49)</f>
        <v>67564407.291666687</v>
      </c>
      <c r="FT194" s="207">
        <f>(FT193&lt;=Analysis_Period)*SUM($S$49:AJ49)</f>
        <v>67787681.250000015</v>
      </c>
      <c r="FU194" s="207">
        <f>(FU193&lt;=Analysis_Period)*SUM($S$49:AK49)</f>
        <v>68010955.208333343</v>
      </c>
      <c r="FV194" s="207">
        <f>(FV193&lt;=Analysis_Period)*SUM($S$49:AL49)</f>
        <v>68234229.166666672</v>
      </c>
      <c r="FW194" s="207">
        <f>(FW193&lt;=Analysis_Period)*SUM($S$49:AM49)</f>
        <v>68457503.125</v>
      </c>
      <c r="FX194" s="207">
        <f>(FX193&lt;=Analysis_Period)*SUM($S$49:AN49)</f>
        <v>68680777.083333328</v>
      </c>
      <c r="FY194" s="207">
        <f>(FY193&lt;=Analysis_Period)*SUM($S$49:AO49)</f>
        <v>68904051.041666657</v>
      </c>
      <c r="FZ194" s="207">
        <f>(FZ193&lt;=Analysis_Period)*SUM($S$49:AP49)</f>
        <v>69127324.999999985</v>
      </c>
      <c r="GA194" s="207">
        <f>(GA193&lt;=Analysis_Period)*SUM($S$49:AQ49)</f>
        <v>69127324.999999985</v>
      </c>
      <c r="GB194" s="207">
        <f>(GB193&lt;=Analysis_Period)*SUM($S$49:AR49)</f>
        <v>69127324.999999985</v>
      </c>
      <c r="GC194" s="207">
        <f>(GC193&lt;=Analysis_Period)*SUM($S$49:AS49)</f>
        <v>69127324.999999985</v>
      </c>
      <c r="GD194" s="207">
        <f>(GD193&lt;=Analysis_Period)*SUM($S$49:AT49)</f>
        <v>69127324.999999985</v>
      </c>
      <c r="GE194" s="207">
        <f>(GE193&lt;=Analysis_Period)*SUM($S$49:AU49)</f>
        <v>69127324.999999985</v>
      </c>
      <c r="GF194" s="207">
        <f>(GF193&lt;=Analysis_Period)*SUM($S$49:AV49)</f>
        <v>69127324.999999985</v>
      </c>
      <c r="GG194" s="207">
        <f>(GG193&lt;=Analysis_Period)*SUM($S$49:AW49)</f>
        <v>69127324.999999985</v>
      </c>
      <c r="GH194" s="207">
        <f>(GH193&lt;=Analysis_Period)*SUM($S$49:AX49)</f>
        <v>69127324.999999985</v>
      </c>
      <c r="GI194" s="207">
        <f>(GI193&lt;=Analysis_Period)*SUM($S$49:AY49)</f>
        <v>69127324.999999985</v>
      </c>
      <c r="GJ194" s="207">
        <f>(GJ193&lt;=Analysis_Period)*SUM($S$49:AZ49)</f>
        <v>69127324.999999985</v>
      </c>
      <c r="GK194" s="207">
        <f>(GK193&lt;=Analysis_Period)*SUM($S$49:BA49)</f>
        <v>69127324.999999985</v>
      </c>
      <c r="GL194" s="207">
        <f>(GL193&lt;=Analysis_Period)*SUM($S$49:BB49)</f>
        <v>69127324.999999985</v>
      </c>
      <c r="GM194" s="207">
        <f>(GM193&lt;=Analysis_Period)*SUM($S$49:BC49)</f>
        <v>69127324.999999985</v>
      </c>
      <c r="GN194" s="207">
        <f>(GN193&lt;=Analysis_Period)*SUM($S$49:BD49)</f>
        <v>0</v>
      </c>
      <c r="GO194" s="207">
        <f>(GO193&lt;=Analysis_Period)*SUM($S$49:BE49)</f>
        <v>0</v>
      </c>
      <c r="GP194" s="207">
        <f>(GP193&lt;=Analysis_Period)*SUM($S$49:BF49)</f>
        <v>0</v>
      </c>
      <c r="GQ194" s="207">
        <f>(GQ193&lt;=Analysis_Period)*SUM($S$49:BG49)</f>
        <v>0</v>
      </c>
      <c r="GR194" s="207">
        <f>(GR193&lt;=Analysis_Period)*SUM($S$49:BH49)</f>
        <v>0</v>
      </c>
      <c r="GS194" s="207">
        <f>(GS193&lt;=Analysis_Period)*SUM($S$49:BI49)</f>
        <v>0</v>
      </c>
      <c r="GT194" s="207">
        <f>(GT193&lt;=Analysis_Period)*SUM($S$49:BJ49)</f>
        <v>0</v>
      </c>
      <c r="GU194" s="207">
        <f>(GU193&lt;=Analysis_Period)*SUM($S$49:BK49)</f>
        <v>0</v>
      </c>
      <c r="GV194" s="207">
        <f>(GV193&lt;=Analysis_Period)*SUM($S$49:BL49)</f>
        <v>0</v>
      </c>
      <c r="GW194" s="207">
        <f>(GW193&lt;=Analysis_Period)*SUM($S$49:BM49)</f>
        <v>0</v>
      </c>
      <c r="GX194" s="207">
        <f>(GX193&lt;=Analysis_Period)*SUM($S$49:BN49)</f>
        <v>0</v>
      </c>
      <c r="GY194" s="207">
        <f>(GY193&lt;=Analysis_Period)*SUM($S$49:BO49)</f>
        <v>0</v>
      </c>
      <c r="GZ194" s="207">
        <f>(GZ193&lt;=Analysis_Period)*SUM($S$49:BP49)</f>
        <v>0</v>
      </c>
      <c r="HA194" s="207">
        <f>(HA193&lt;=Analysis_Period)*SUM($S$49:BQ49)</f>
        <v>0</v>
      </c>
      <c r="HB194" s="207">
        <f>(HB193&lt;=Analysis_Period)*SUM($S$49:BR49)</f>
        <v>0</v>
      </c>
      <c r="HC194" s="207">
        <f>(HC193&lt;=Analysis_Period)*SUM($S$49:BS49)</f>
        <v>0</v>
      </c>
      <c r="HD194" s="207">
        <f>(HD193&lt;=Analysis_Period)*SUM($S$49:BT49)</f>
        <v>0</v>
      </c>
      <c r="HE194" s="207">
        <f>(HE193&lt;=Analysis_Period)*SUM($S$49:BU49)</f>
        <v>0</v>
      </c>
      <c r="HF194" s="207">
        <f>(HF193&lt;=Analysis_Period)*SUM($S$49:BV49)</f>
        <v>0</v>
      </c>
      <c r="HG194" s="207">
        <f>(HG193&lt;=Analysis_Period)*SUM($S$49:BW49)</f>
        <v>0</v>
      </c>
      <c r="HH194" s="207">
        <f>(HH193&lt;=Analysis_Period)*SUM($S$49:BX49)</f>
        <v>0</v>
      </c>
      <c r="HI194" s="207">
        <f>(HI193&lt;=Analysis_Period)*SUM($S$49:BY49)</f>
        <v>0</v>
      </c>
      <c r="HJ194" s="207">
        <f>(HJ193&lt;=Analysis_Period)*SUM($S$49:BZ49)</f>
        <v>0</v>
      </c>
      <c r="HK194" s="207">
        <f>(HK193&lt;=Analysis_Period)*SUM($S$49:CA49)</f>
        <v>0</v>
      </c>
      <c r="HL194" s="207">
        <f>(HL193&lt;=Analysis_Period)*SUM($S$49:CB49)</f>
        <v>0</v>
      </c>
      <c r="HM194" s="207">
        <f>(HM193&lt;=Analysis_Period)*SUM($S$49:CC49)</f>
        <v>0</v>
      </c>
      <c r="HN194" s="207">
        <f>(HN193&lt;=Analysis_Period)*SUM($S$49:CD49)</f>
        <v>0</v>
      </c>
      <c r="HO194" s="207">
        <f>(HO193&lt;=Analysis_Period)*SUM($S$49:CE49)</f>
        <v>0</v>
      </c>
      <c r="HP194" s="207">
        <f>(HP193&lt;=Analysis_Period)*SUM($S$49:CF49)</f>
        <v>0</v>
      </c>
      <c r="HQ194" s="207">
        <f>(HQ193&lt;=Analysis_Period)*SUM($S$49:CG49)</f>
        <v>0</v>
      </c>
      <c r="HR194" s="207">
        <f>(HR193&lt;=Analysis_Period)*SUM($S$49:CH49)</f>
        <v>0</v>
      </c>
      <c r="HS194" s="207">
        <f>(HS193&lt;=Analysis_Period)*SUM($S$49:CI49)</f>
        <v>0</v>
      </c>
      <c r="HT194" s="207">
        <f>(HT193&lt;=Analysis_Period)*SUM($S$49:CJ49)</f>
        <v>0</v>
      </c>
      <c r="HU194" s="207">
        <f>(HU193&lt;=Analysis_Period)*SUM($S$49:CK49)</f>
        <v>0</v>
      </c>
      <c r="HV194" s="207">
        <f>(HV193&lt;=Analysis_Period)*SUM($S$49:CL49)</f>
        <v>0</v>
      </c>
      <c r="HW194" s="207">
        <f>(HW193&lt;=Analysis_Period)*SUM($S$49:CM49)</f>
        <v>0</v>
      </c>
      <c r="HX194" s="207">
        <f>(HX193&lt;=Analysis_Period)*SUM($S$49:CN49)</f>
        <v>0</v>
      </c>
      <c r="HY194" s="207">
        <f>(HY193&lt;=Analysis_Period)*SUM($S$49:CO49)</f>
        <v>0</v>
      </c>
      <c r="HZ194" s="207">
        <f>(HZ193&lt;=Analysis_Period)*SUM($S$49:CP49)</f>
        <v>0</v>
      </c>
      <c r="IA194" s="207">
        <f>(IA193&lt;=Analysis_Period)*SUM($S$49:CQ49)</f>
        <v>0</v>
      </c>
      <c r="IB194" s="207">
        <f>(IB193&lt;=Analysis_Period)*SUM($S$49:CR49)</f>
        <v>0</v>
      </c>
      <c r="IC194" s="207">
        <f>(IC193&lt;=Analysis_Period)*SUM($S$49:CS49)</f>
        <v>0</v>
      </c>
      <c r="ID194" s="207">
        <f>(ID193&lt;=Analysis_Period)*SUM($S$49:CT49)</f>
        <v>0</v>
      </c>
      <c r="IE194" s="207">
        <f>(IE193&lt;=Analysis_Period)*SUM($S$49:CU49)</f>
        <v>0</v>
      </c>
      <c r="IF194" s="207">
        <f>(IF193&lt;=Analysis_Period)*SUM($S$49:CV49)</f>
        <v>0</v>
      </c>
      <c r="IG194" s="207">
        <f>(IG193&lt;=Analysis_Period)*SUM($S$49:CW49)</f>
        <v>0</v>
      </c>
      <c r="IH194" s="207">
        <f>(IH193&lt;=Analysis_Period)*SUM($S$49:CX49)</f>
        <v>0</v>
      </c>
      <c r="II194" s="207">
        <f>(II193&lt;=Analysis_Period)*SUM($S$49:CY49)</f>
        <v>0</v>
      </c>
      <c r="IJ194" s="207">
        <f>(IJ193&lt;=Analysis_Period)*SUM($S$49:CZ49)</f>
        <v>0</v>
      </c>
      <c r="IK194" s="207">
        <f>(IK193&lt;=Analysis_Period)*SUM($S$49:DA49)</f>
        <v>0</v>
      </c>
      <c r="IL194" s="207">
        <f>(IL193&lt;=Analysis_Period)*SUM($S$49:DB49)</f>
        <v>0</v>
      </c>
      <c r="IM194" s="207">
        <f>(IM193&lt;=Analysis_Period)*SUM($S$49:DC49)</f>
        <v>0</v>
      </c>
      <c r="IN194" s="207">
        <f>(IN193&lt;=Analysis_Period)*SUM($S$49:DD49)</f>
        <v>0</v>
      </c>
      <c r="IO194" s="207">
        <f>(IO193&lt;=Analysis_Period)*SUM($S$49:DE49)</f>
        <v>0</v>
      </c>
      <c r="IP194" s="207">
        <f>(IP193&lt;=Analysis_Period)*SUM($S$49:DF49)</f>
        <v>0</v>
      </c>
      <c r="IQ194" s="207">
        <f>(IQ193&lt;=Analysis_Period)*SUM($S$49:DG49)</f>
        <v>0</v>
      </c>
      <c r="IR194" s="207">
        <f>(IR193&lt;=Analysis_Period)*SUM($S$49:DH49)</f>
        <v>0</v>
      </c>
      <c r="IS194" s="207">
        <f>(IS193&lt;=Analysis_Period)*SUM($S$49:DI49)</f>
        <v>0</v>
      </c>
      <c r="IT194" s="207">
        <f>(IT193&lt;=Analysis_Period)*SUM($S$49:DJ49)</f>
        <v>0</v>
      </c>
      <c r="IU194" s="207">
        <f>(IU193&lt;=Analysis_Period)*SUM($S$49:DK49)</f>
        <v>0</v>
      </c>
      <c r="IV194" s="207">
        <f>(IV193&lt;=Analysis_Period)*SUM($S$49:DL49)</f>
        <v>0</v>
      </c>
      <c r="IW194" s="207">
        <f>(IW193&lt;=Analysis_Period)*SUM($S$49:DM49)</f>
        <v>0</v>
      </c>
      <c r="IX194" s="207">
        <f>(IX193&lt;=Analysis_Period)*SUM($S$49:DN49)</f>
        <v>0</v>
      </c>
      <c r="IY194" s="207">
        <f>(IY193&lt;=Analysis_Period)*SUM($S$49:DO49)</f>
        <v>0</v>
      </c>
      <c r="IZ194" s="207">
        <f>(IZ193&lt;=Analysis_Period)*SUM($S$49:DP49)</f>
        <v>0</v>
      </c>
      <c r="JA194" s="207">
        <f>(JA193&lt;=Analysis_Period)*SUM($S$49:DQ49)</f>
        <v>0</v>
      </c>
      <c r="JB194" s="207">
        <f>(JB193&lt;=Analysis_Period)*SUM($S$49:DR49)</f>
        <v>0</v>
      </c>
      <c r="JC194" s="207">
        <f>(JC193&lt;=Analysis_Period)*SUM($S$49:DS49)</f>
        <v>0</v>
      </c>
      <c r="JD194" s="207">
        <f>(JD193&lt;=Analysis_Period)*SUM($S$49:DT49)</f>
        <v>0</v>
      </c>
      <c r="JE194" s="207">
        <f>(JE193&lt;=Analysis_Period)*SUM($S$49:DU49)</f>
        <v>0</v>
      </c>
      <c r="JF194" s="207">
        <f>(JF193&lt;=Analysis_Period)*SUM($S$49:DV49)</f>
        <v>0</v>
      </c>
      <c r="JG194" s="207">
        <f>(JG193&lt;=Analysis_Period)*SUM($S$49:DW49)</f>
        <v>0</v>
      </c>
      <c r="JH194" s="207">
        <f>(JH193&lt;=Analysis_Period)*SUM($S$49:DX49)</f>
        <v>0</v>
      </c>
      <c r="JI194" s="207">
        <f>(JI193&lt;=Analysis_Period)*SUM($S$49:DY49)</f>
        <v>0</v>
      </c>
      <c r="JJ194" s="207">
        <f>(JJ193&lt;=Analysis_Period)*SUM($S$49:DZ49)</f>
        <v>0</v>
      </c>
      <c r="JK194" s="207">
        <f>(JK193&lt;=Analysis_Period)*SUM($S$49:EA49)</f>
        <v>0</v>
      </c>
      <c r="JL194" s="207">
        <f>(JL193&lt;=Analysis_Period)*SUM($S$49:EB49)</f>
        <v>0</v>
      </c>
      <c r="JM194" s="207">
        <f>(JM193&lt;=Analysis_Period)*SUM($S$49:EC49)</f>
        <v>0</v>
      </c>
      <c r="JN194" s="207">
        <f>(JN193&lt;=Analysis_Period)*SUM($S$49:ED49)</f>
        <v>0</v>
      </c>
      <c r="JO194" s="207">
        <f>(JO193&lt;=Analysis_Period)*SUM($S$49:EE49)</f>
        <v>0</v>
      </c>
      <c r="JP194" s="207">
        <f>(JP193&lt;=Analysis_Period)*SUM($S$49:EF49)</f>
        <v>0</v>
      </c>
      <c r="JQ194" s="207">
        <f>(JQ193&lt;=Analysis_Period)*SUM($S$49:EG49)</f>
        <v>0</v>
      </c>
      <c r="JR194" s="207">
        <f>(JR193&lt;=Analysis_Period)*SUM($S$49:EH49)</f>
        <v>0</v>
      </c>
      <c r="JS194" s="207">
        <f>(JS193&lt;=Analysis_Period)*SUM($S$49:EI49)</f>
        <v>0</v>
      </c>
      <c r="JT194" s="207">
        <f>(JT193&lt;=Analysis_Period)*SUM($S$49:EJ49)</f>
        <v>0</v>
      </c>
      <c r="JU194" s="207">
        <f>(JU193&lt;=Analysis_Period)*SUM($S$49:EK49)</f>
        <v>0</v>
      </c>
      <c r="JV194" s="207">
        <f>(JV193&lt;=Analysis_Period)*SUM($S$49:EL49)</f>
        <v>0</v>
      </c>
      <c r="JW194" s="207">
        <f>(JW193&lt;=Analysis_Period)*SUM($S$49:EM49)</f>
        <v>0</v>
      </c>
      <c r="JX194" s="207">
        <f>(JX193&lt;=Analysis_Period)*SUM($S$49:EN49)</f>
        <v>0</v>
      </c>
      <c r="JY194" s="207">
        <f>(JY193&lt;=Analysis_Period)*SUM($S$49:EO49)</f>
        <v>0</v>
      </c>
      <c r="JZ194" s="207">
        <f>(JZ193&lt;=Analysis_Period)*SUM($S$49:EP49)</f>
        <v>0</v>
      </c>
      <c r="KA194" s="207">
        <f>(KA193&lt;=Analysis_Period)*SUM($S$49:EQ49)</f>
        <v>0</v>
      </c>
      <c r="KB194" s="207">
        <f>(KB193&lt;=Analysis_Period)*SUM($S$49:ER49)</f>
        <v>0</v>
      </c>
      <c r="KC194" s="207">
        <f>(KC193&lt;=Analysis_Period)*SUM($S$49:ES49)</f>
        <v>0</v>
      </c>
      <c r="KD194" s="207">
        <f>(KD193&lt;=Analysis_Period)*SUM($S$49:ET49)</f>
        <v>0</v>
      </c>
      <c r="KE194" s="207">
        <f>(KE193&lt;=Analysis_Period)*SUM($S$49:EU49)</f>
        <v>0</v>
      </c>
      <c r="PQ194" s="201"/>
      <c r="PR194" s="201"/>
      <c r="PS194" s="201"/>
      <c r="PT194" s="201"/>
      <c r="PU194" s="201"/>
      <c r="PV194" s="201"/>
      <c r="PW194" s="201"/>
      <c r="PX194" s="201"/>
      <c r="PY194" s="201"/>
      <c r="PZ194" s="201"/>
      <c r="QA194" s="201"/>
      <c r="QB194" s="201"/>
      <c r="QC194" s="201"/>
      <c r="QD194" s="201"/>
      <c r="QE194" s="201"/>
      <c r="QF194" s="201"/>
      <c r="QG194" s="201"/>
      <c r="QH194" s="201"/>
      <c r="QI194" s="201"/>
      <c r="QJ194" s="201"/>
      <c r="QK194" s="201"/>
      <c r="QL194" s="201"/>
      <c r="QM194" s="201"/>
      <c r="QN194" s="201"/>
      <c r="QO194" s="201"/>
      <c r="QP194" s="201"/>
      <c r="QQ194" s="201"/>
      <c r="QR194" s="201"/>
      <c r="QS194" s="201"/>
      <c r="QT194" s="201"/>
      <c r="QU194" s="201"/>
      <c r="QV194" s="201"/>
      <c r="QW194" s="201"/>
      <c r="QX194" s="201"/>
      <c r="QY194" s="201"/>
      <c r="QZ194" s="201"/>
      <c r="RA194" s="201"/>
      <c r="RB194" s="201"/>
      <c r="RC194" s="201"/>
      <c r="RD194" s="201"/>
      <c r="RE194" s="201"/>
      <c r="RF194" s="201"/>
      <c r="RG194" s="201"/>
      <c r="RH194" s="201"/>
      <c r="RI194" s="201"/>
      <c r="RJ194" s="201"/>
      <c r="RK194" s="201"/>
      <c r="RL194" s="201"/>
      <c r="RM194" s="201"/>
      <c r="RN194" s="201"/>
      <c r="RO194" s="201"/>
      <c r="RP194" s="201"/>
      <c r="RQ194" s="201"/>
      <c r="RR194" s="201"/>
      <c r="RS194" s="201"/>
      <c r="RT194" s="201"/>
      <c r="RU194" s="201"/>
      <c r="RV194" s="201"/>
      <c r="RW194" s="201"/>
      <c r="RX194" s="201"/>
      <c r="RY194" s="201"/>
      <c r="RZ194" s="201"/>
      <c r="SA194" s="201"/>
      <c r="SB194" s="201"/>
      <c r="SC194" s="201"/>
      <c r="SD194" s="201"/>
      <c r="SE194" s="201"/>
      <c r="SF194" s="201"/>
      <c r="SG194" s="201"/>
      <c r="SH194" s="201"/>
      <c r="SI194" s="201"/>
      <c r="SJ194" s="201"/>
      <c r="SK194" s="201"/>
      <c r="SL194" s="201"/>
      <c r="SM194" s="201"/>
      <c r="SN194" s="201"/>
      <c r="SO194" s="201"/>
      <c r="SP194" s="201"/>
      <c r="SQ194" s="201"/>
      <c r="SR194" s="201"/>
      <c r="SS194" s="201"/>
      <c r="ST194" s="201"/>
      <c r="SU194" s="201"/>
      <c r="SV194" s="201"/>
      <c r="SW194" s="201"/>
      <c r="SX194" s="201"/>
      <c r="SY194" s="201"/>
      <c r="SZ194" s="201"/>
      <c r="TA194" s="201"/>
      <c r="TB194" s="201"/>
      <c r="TC194" s="201"/>
      <c r="TD194" s="201"/>
      <c r="TE194" s="201"/>
      <c r="TF194" s="201"/>
      <c r="TG194" s="201"/>
      <c r="TH194" s="201"/>
      <c r="TI194" s="201"/>
      <c r="TJ194" s="201"/>
      <c r="TK194" s="201"/>
      <c r="TL194" s="201"/>
      <c r="TM194" s="201"/>
      <c r="TN194" s="201"/>
      <c r="TO194" s="201"/>
      <c r="TP194" s="201"/>
      <c r="TQ194" s="201"/>
      <c r="TR194" s="201"/>
      <c r="TS194" s="201"/>
      <c r="TT194" s="201"/>
      <c r="TU194" s="201"/>
      <c r="TV194" s="201"/>
      <c r="TW194" s="201"/>
      <c r="TX194" s="201"/>
      <c r="TY194" s="201"/>
      <c r="TZ194" s="201"/>
      <c r="UA194" s="201"/>
      <c r="UB194" s="201"/>
      <c r="UC194" s="201"/>
      <c r="UD194" s="201"/>
      <c r="UE194" s="201"/>
      <c r="UF194" s="201"/>
      <c r="UG194" s="201"/>
      <c r="UH194" s="201"/>
      <c r="UI194" s="201"/>
      <c r="UJ194" s="201"/>
      <c r="UK194" s="201"/>
      <c r="UL194" s="201"/>
      <c r="UM194" s="201"/>
      <c r="UN194" s="201"/>
      <c r="UO194" s="201"/>
      <c r="UP194" s="201"/>
      <c r="UQ194" s="201"/>
      <c r="UR194" s="201"/>
      <c r="US194" s="201"/>
      <c r="UT194" s="201"/>
      <c r="UU194" s="201"/>
    </row>
    <row r="195" spans="2:567" x14ac:dyDescent="0.25">
      <c r="B195" s="54" t="str">
        <f t="shared" si="3084"/>
        <v>Insurance</v>
      </c>
      <c r="C195" s="161"/>
      <c r="D195" s="161"/>
      <c r="E195" s="162"/>
      <c r="F195" s="154" t="s">
        <v>130</v>
      </c>
      <c r="G195" s="154" t="s">
        <v>178</v>
      </c>
      <c r="H195" s="155" t="s">
        <v>436</v>
      </c>
      <c r="I195" s="164">
        <f t="shared" si="3085"/>
        <v>82500</v>
      </c>
      <c r="J195" s="164">
        <f t="shared" ca="1" si="3086"/>
        <v>85527.12542217724</v>
      </c>
      <c r="K195" s="165">
        <f t="shared" ca="1" si="3087"/>
        <v>87665.303557731517</v>
      </c>
      <c r="L195" s="240"/>
      <c r="M195" s="3" t="s">
        <v>853</v>
      </c>
      <c r="R195" s="257"/>
      <c r="S195" s="243"/>
      <c r="T195" s="243"/>
      <c r="U195" s="243"/>
      <c r="V195" s="243"/>
      <c r="W195" s="243"/>
      <c r="X195" s="243"/>
      <c r="Y195" s="243"/>
      <c r="Z195" s="243"/>
      <c r="AA195" s="243"/>
      <c r="AB195" s="243"/>
      <c r="AC195" s="243"/>
      <c r="AD195" s="243"/>
      <c r="AE195" s="243"/>
      <c r="AF195" s="243"/>
      <c r="AG195" s="243"/>
      <c r="AH195" s="243"/>
      <c r="AI195" s="243"/>
      <c r="AJ195" s="243"/>
      <c r="AK195" s="243"/>
      <c r="AL195" s="243"/>
      <c r="AM195" s="243"/>
      <c r="AN195" s="243"/>
      <c r="AO195" s="243"/>
      <c r="AP195" s="243"/>
      <c r="AQ195" s="243"/>
      <c r="AR195" s="243"/>
      <c r="AS195" s="243"/>
      <c r="AT195" s="243"/>
      <c r="AU195" s="243"/>
      <c r="AV195" s="243"/>
      <c r="AW195" s="243"/>
      <c r="AX195" s="243"/>
      <c r="AY195" s="243"/>
      <c r="AZ195" s="243"/>
      <c r="BA195" s="243"/>
      <c r="BB195" s="243"/>
      <c r="BC195" s="243"/>
      <c r="BD195" s="243"/>
      <c r="BE195" s="243"/>
      <c r="BF195" s="243"/>
      <c r="BG195" s="243"/>
      <c r="BH195" s="243"/>
      <c r="BI195" s="243"/>
      <c r="BJ195" s="243"/>
      <c r="BK195" s="243"/>
      <c r="BL195" s="243"/>
      <c r="BM195" s="243"/>
      <c r="BN195" s="243"/>
      <c r="BO195" s="243"/>
      <c r="BP195" s="243"/>
      <c r="BQ195" s="243"/>
      <c r="BR195" s="243"/>
      <c r="BS195" s="243"/>
      <c r="BT195" s="243"/>
      <c r="BU195" s="243"/>
      <c r="BV195" s="243"/>
      <c r="BW195" s="243"/>
      <c r="BX195" s="243"/>
      <c r="BY195" s="243"/>
      <c r="BZ195" s="243"/>
      <c r="CA195" s="243"/>
      <c r="CB195" s="243"/>
      <c r="CC195" s="243"/>
      <c r="CD195" s="243"/>
      <c r="CE195" s="243"/>
      <c r="CF195" s="243"/>
      <c r="CG195" s="243"/>
      <c r="CH195" s="243"/>
      <c r="CI195" s="243"/>
      <c r="CJ195" s="243"/>
      <c r="CK195" s="243"/>
      <c r="CL195" s="243"/>
      <c r="CM195" s="243"/>
      <c r="CN195" s="243"/>
      <c r="CO195" s="243"/>
      <c r="CP195" s="243"/>
      <c r="CQ195" s="243"/>
      <c r="CR195" s="243"/>
      <c r="CS195" s="243"/>
      <c r="CT195" s="243"/>
      <c r="CU195" s="243"/>
      <c r="CV195" s="243"/>
      <c r="CW195" s="243"/>
      <c r="CX195" s="243"/>
      <c r="CY195" s="243"/>
      <c r="CZ195" s="243"/>
      <c r="DA195" s="243"/>
      <c r="DB195" s="243"/>
      <c r="DC195" s="243"/>
      <c r="DD195" s="243"/>
      <c r="DE195" s="243"/>
      <c r="DF195" s="243"/>
      <c r="DG195" s="243"/>
      <c r="DH195" s="243"/>
      <c r="DI195" s="243"/>
      <c r="DJ195" s="243"/>
      <c r="DK195" s="243"/>
      <c r="DL195" s="243"/>
      <c r="DM195" s="243"/>
      <c r="DN195" s="243"/>
      <c r="DO195" s="243"/>
      <c r="DP195" s="243"/>
      <c r="DQ195" s="243"/>
      <c r="DR195" s="243"/>
      <c r="DS195" s="243"/>
      <c r="DT195" s="243"/>
      <c r="DU195" s="243"/>
      <c r="DV195" s="243"/>
      <c r="DW195" s="243"/>
      <c r="DX195" s="243"/>
      <c r="DY195" s="243"/>
      <c r="DZ195" s="243"/>
      <c r="EA195" s="243"/>
      <c r="EB195" s="243"/>
      <c r="EC195" s="243"/>
      <c r="ED195" s="243"/>
      <c r="EE195" s="243"/>
      <c r="EF195" s="243"/>
      <c r="EG195" s="243"/>
      <c r="EH195" s="243"/>
      <c r="EI195" s="243"/>
      <c r="EJ195" s="243"/>
      <c r="EK195" s="243"/>
      <c r="EL195" s="243"/>
      <c r="EM195" s="243"/>
      <c r="EN195" s="243"/>
      <c r="EO195" s="243"/>
      <c r="EP195" s="243"/>
      <c r="EQ195" s="243"/>
      <c r="ER195" s="243"/>
      <c r="ES195" s="243"/>
      <c r="ET195" s="243"/>
      <c r="EU195" s="243"/>
      <c r="FA195" s="216" t="s">
        <v>615</v>
      </c>
      <c r="FB195" s="216" t="s">
        <v>52</v>
      </c>
      <c r="FD195" s="207">
        <f ca="1">(FD193&lt;=Analysis_Period)*-SUMIF($S$229:T229,"&lt;0")</f>
        <v>27650930</v>
      </c>
      <c r="FE195" s="207">
        <f ca="1">(FE193&lt;=Analysis_Period)*-SUMIF($S$229:U229,"&lt;0")</f>
        <v>27650930</v>
      </c>
      <c r="FF195" s="207">
        <f ca="1">(FF193&lt;=Analysis_Period)*-SUMIF($S$229:V229,"&lt;0")</f>
        <v>27650930</v>
      </c>
      <c r="FG195" s="207">
        <f ca="1">(FG193&lt;=Analysis_Period)*-SUMIF($S$229:W229,"&lt;0")</f>
        <v>27650930</v>
      </c>
      <c r="FH195" s="207">
        <f ca="1">(FH193&lt;=Analysis_Period)*-SUMIF($S$229:X229,"&lt;0")</f>
        <v>27650930</v>
      </c>
      <c r="FI195" s="207">
        <f ca="1">(FI193&lt;=Analysis_Period)*-SUMIF($S$229:Y229,"&lt;0")</f>
        <v>27650930</v>
      </c>
      <c r="FJ195" s="207">
        <f ca="1">(FJ193&lt;=Analysis_Period)*-SUMIF($S$229:Z229,"&lt;0")</f>
        <v>27650930</v>
      </c>
      <c r="FK195" s="207">
        <f ca="1">(FK193&lt;=Analysis_Period)*-SUMIF($S$229:AA229,"&lt;0")</f>
        <v>27650930</v>
      </c>
      <c r="FL195" s="207">
        <f ca="1">(FL193&lt;=Analysis_Period)*-SUMIF($S$229:AB229,"&lt;0")</f>
        <v>27650930</v>
      </c>
      <c r="FM195" s="207">
        <f ca="1">(FM193&lt;=Analysis_Period)*-SUMIF($S$229:AC229,"&lt;0")</f>
        <v>27650930</v>
      </c>
      <c r="FN195" s="207">
        <f ca="1">(FN193&lt;=Analysis_Period)*-SUMIF($S$229:AD229,"&lt;0")</f>
        <v>27650930</v>
      </c>
      <c r="FO195" s="207">
        <f ca="1">(FO193&lt;=Analysis_Period)*-SUMIF($S$229:AE229,"&lt;0")</f>
        <v>27650930</v>
      </c>
      <c r="FP195" s="207">
        <f ca="1">(FP193&lt;=Analysis_Period)*-SUMIF($S$229:AF229,"&lt;0")</f>
        <v>27650930</v>
      </c>
      <c r="FQ195" s="207">
        <f ca="1">(FQ193&lt;=Analysis_Period)*-SUMIF($S$229:AG229,"&lt;0")</f>
        <v>27650930</v>
      </c>
      <c r="FR195" s="207">
        <f ca="1">(FR193&lt;=Analysis_Period)*-SUMIF($S$229:AH229,"&lt;0")</f>
        <v>27650930</v>
      </c>
      <c r="FS195" s="207">
        <f ca="1">(FS193&lt;=Analysis_Period)*-SUMIF($S$229:AI229,"&lt;0")</f>
        <v>27650930</v>
      </c>
      <c r="FT195" s="207">
        <f ca="1">(FT193&lt;=Analysis_Period)*-SUMIF($S$229:AJ229,"&lt;0")</f>
        <v>27650930</v>
      </c>
      <c r="FU195" s="207">
        <f ca="1">(FU193&lt;=Analysis_Period)*-SUMIF($S$229:AK229,"&lt;0")</f>
        <v>27650930</v>
      </c>
      <c r="FV195" s="207">
        <f ca="1">(FV193&lt;=Analysis_Period)*-SUMIF($S$229:AL229,"&lt;0")</f>
        <v>27650930</v>
      </c>
      <c r="FW195" s="207">
        <f ca="1">(FW193&lt;=Analysis_Period)*-SUMIF($S$229:AM229,"&lt;0")</f>
        <v>27650930</v>
      </c>
      <c r="FX195" s="207">
        <f ca="1">(FX193&lt;=Analysis_Period)*-SUMIF($S$229:AN229,"&lt;0")</f>
        <v>27650930</v>
      </c>
      <c r="FY195" s="207">
        <f ca="1">(FY193&lt;=Analysis_Period)*-SUMIF($S$229:AO229,"&lt;0")</f>
        <v>27650930</v>
      </c>
      <c r="FZ195" s="207">
        <f ca="1">(FZ193&lt;=Analysis_Period)*-SUMIF($S$229:AP229,"&lt;0")</f>
        <v>27650930</v>
      </c>
      <c r="GA195" s="207">
        <f ca="1">(GA193&lt;=Analysis_Period)*-SUMIF($S$229:AQ229,"&lt;0")</f>
        <v>27650930</v>
      </c>
      <c r="GB195" s="207">
        <f ca="1">(GB193&lt;=Analysis_Period)*-SUMIF($S$229:AR229,"&lt;0")</f>
        <v>27650930</v>
      </c>
      <c r="GC195" s="207">
        <f ca="1">(GC193&lt;=Analysis_Period)*-SUMIF($S$229:AS229,"&lt;0")</f>
        <v>27650930</v>
      </c>
      <c r="GD195" s="207">
        <f ca="1">(GD193&lt;=Analysis_Period)*-SUMIF($S$229:AT229,"&lt;0")</f>
        <v>27650930</v>
      </c>
      <c r="GE195" s="207">
        <f ca="1">(GE193&lt;=Analysis_Period)*-SUMIF($S$229:AU229,"&lt;0")</f>
        <v>27650930</v>
      </c>
      <c r="GF195" s="207">
        <f ca="1">(GF193&lt;=Analysis_Period)*-SUMIF($S$229:AV229,"&lt;0")</f>
        <v>27650930</v>
      </c>
      <c r="GG195" s="207">
        <f ca="1">(GG193&lt;=Analysis_Period)*-SUMIF($S$229:AW229,"&lt;0")</f>
        <v>27650930</v>
      </c>
      <c r="GH195" s="207">
        <f ca="1">(GH193&lt;=Analysis_Period)*-SUMIF($S$229:AX229,"&lt;0")</f>
        <v>27650930</v>
      </c>
      <c r="GI195" s="207">
        <f ca="1">(GI193&lt;=Analysis_Period)*-SUMIF($S$229:AY229,"&lt;0")</f>
        <v>27650930</v>
      </c>
      <c r="GJ195" s="207">
        <f ca="1">(GJ193&lt;=Analysis_Period)*-SUMIF($S$229:AZ229,"&lt;0")</f>
        <v>27650930</v>
      </c>
      <c r="GK195" s="207">
        <f ca="1">(GK193&lt;=Analysis_Period)*-SUMIF($S$229:BA229,"&lt;0")</f>
        <v>27650930</v>
      </c>
      <c r="GL195" s="207">
        <f ca="1">(GL193&lt;=Analysis_Period)*-SUMIF($S$229:BB229,"&lt;0")</f>
        <v>27650930</v>
      </c>
      <c r="GM195" s="207">
        <f ca="1">(GM193&lt;=Analysis_Period)*-SUMIF($S$229:BC229,"&lt;0")</f>
        <v>27650930</v>
      </c>
      <c r="GN195" s="207">
        <f ca="1">(GN193&lt;=Analysis_Period)*-SUMIF($S$229:BD229,"&lt;0")</f>
        <v>0</v>
      </c>
      <c r="GO195" s="207">
        <f ca="1">(GO193&lt;=Analysis_Period)*-SUMIF($S$229:BE229,"&lt;0")</f>
        <v>0</v>
      </c>
      <c r="GP195" s="207">
        <f ca="1">(GP193&lt;=Analysis_Period)*-SUMIF($S$229:BF229,"&lt;0")</f>
        <v>0</v>
      </c>
      <c r="GQ195" s="207">
        <f ca="1">(GQ193&lt;=Analysis_Period)*-SUMIF($S$229:BG229,"&lt;0")</f>
        <v>0</v>
      </c>
      <c r="GR195" s="207">
        <f ca="1">(GR193&lt;=Analysis_Period)*-SUMIF($S$229:BH229,"&lt;0")</f>
        <v>0</v>
      </c>
      <c r="GS195" s="207">
        <f ca="1">(GS193&lt;=Analysis_Period)*-SUMIF($S$229:BI229,"&lt;0")</f>
        <v>0</v>
      </c>
      <c r="GT195" s="207">
        <f ca="1">(GT193&lt;=Analysis_Period)*-SUMIF($S$229:BJ229,"&lt;0")</f>
        <v>0</v>
      </c>
      <c r="GU195" s="207">
        <f ca="1">(GU193&lt;=Analysis_Period)*-SUMIF($S$229:BK229,"&lt;0")</f>
        <v>0</v>
      </c>
      <c r="GV195" s="207">
        <f ca="1">(GV193&lt;=Analysis_Period)*-SUMIF($S$229:BL229,"&lt;0")</f>
        <v>0</v>
      </c>
      <c r="GW195" s="207">
        <f ca="1">(GW193&lt;=Analysis_Period)*-SUMIF($S$229:BM229,"&lt;0")</f>
        <v>0</v>
      </c>
      <c r="GX195" s="207">
        <f ca="1">(GX193&lt;=Analysis_Period)*-SUMIF($S$229:BN229,"&lt;0")</f>
        <v>0</v>
      </c>
      <c r="GY195" s="207">
        <f ca="1">(GY193&lt;=Analysis_Period)*-SUMIF($S$229:BO229,"&lt;0")</f>
        <v>0</v>
      </c>
      <c r="GZ195" s="207">
        <f ca="1">(GZ193&lt;=Analysis_Period)*-SUMIF($S$229:BP229,"&lt;0")</f>
        <v>0</v>
      </c>
      <c r="HA195" s="207">
        <f ca="1">(HA193&lt;=Analysis_Period)*-SUMIF($S$229:BQ229,"&lt;0")</f>
        <v>0</v>
      </c>
      <c r="HB195" s="207">
        <f ca="1">(HB193&lt;=Analysis_Period)*-SUMIF($S$229:BR229,"&lt;0")</f>
        <v>0</v>
      </c>
      <c r="HC195" s="207">
        <f ca="1">(HC193&lt;=Analysis_Period)*-SUMIF($S$229:BS229,"&lt;0")</f>
        <v>0</v>
      </c>
      <c r="HD195" s="207">
        <f ca="1">(HD193&lt;=Analysis_Period)*-SUMIF($S$229:BT229,"&lt;0")</f>
        <v>0</v>
      </c>
      <c r="HE195" s="207">
        <f ca="1">(HE193&lt;=Analysis_Period)*-SUMIF($S$229:BU229,"&lt;0")</f>
        <v>0</v>
      </c>
      <c r="HF195" s="207">
        <f ca="1">(HF193&lt;=Analysis_Period)*-SUMIF($S$229:BV229,"&lt;0")</f>
        <v>0</v>
      </c>
      <c r="HG195" s="207">
        <f ca="1">(HG193&lt;=Analysis_Period)*-SUMIF($S$229:BW229,"&lt;0")</f>
        <v>0</v>
      </c>
      <c r="HH195" s="207">
        <f ca="1">(HH193&lt;=Analysis_Period)*-SUMIF($S$229:BX229,"&lt;0")</f>
        <v>0</v>
      </c>
      <c r="HI195" s="207">
        <f ca="1">(HI193&lt;=Analysis_Period)*-SUMIF($S$229:BY229,"&lt;0")</f>
        <v>0</v>
      </c>
      <c r="HJ195" s="207">
        <f ca="1">(HJ193&lt;=Analysis_Period)*-SUMIF($S$229:BZ229,"&lt;0")</f>
        <v>0</v>
      </c>
      <c r="HK195" s="207">
        <f ca="1">(HK193&lt;=Analysis_Period)*-SUMIF($S$229:CA229,"&lt;0")</f>
        <v>0</v>
      </c>
      <c r="HL195" s="207">
        <f ca="1">(HL193&lt;=Analysis_Period)*-SUMIF($S$229:CB229,"&lt;0")</f>
        <v>0</v>
      </c>
      <c r="HM195" s="207">
        <f ca="1">(HM193&lt;=Analysis_Period)*-SUMIF($S$229:CC229,"&lt;0")</f>
        <v>0</v>
      </c>
      <c r="HN195" s="207">
        <f ca="1">(HN193&lt;=Analysis_Period)*-SUMIF($S$229:CD229,"&lt;0")</f>
        <v>0</v>
      </c>
      <c r="HO195" s="207">
        <f ca="1">(HO193&lt;=Analysis_Period)*-SUMIF($S$229:CE229,"&lt;0")</f>
        <v>0</v>
      </c>
      <c r="HP195" s="207">
        <f ca="1">(HP193&lt;=Analysis_Period)*-SUMIF($S$229:CF229,"&lt;0")</f>
        <v>0</v>
      </c>
      <c r="HQ195" s="207">
        <f ca="1">(HQ193&lt;=Analysis_Period)*-SUMIF($S$229:CG229,"&lt;0")</f>
        <v>0</v>
      </c>
      <c r="HR195" s="207">
        <f ca="1">(HR193&lt;=Analysis_Period)*-SUMIF($S$229:CH229,"&lt;0")</f>
        <v>0</v>
      </c>
      <c r="HS195" s="207">
        <f ca="1">(HS193&lt;=Analysis_Period)*-SUMIF($S$229:CI229,"&lt;0")</f>
        <v>0</v>
      </c>
      <c r="HT195" s="207">
        <f ca="1">(HT193&lt;=Analysis_Period)*-SUMIF($S$229:CJ229,"&lt;0")</f>
        <v>0</v>
      </c>
      <c r="HU195" s="207">
        <f ca="1">(HU193&lt;=Analysis_Period)*-SUMIF($S$229:CK229,"&lt;0")</f>
        <v>0</v>
      </c>
      <c r="HV195" s="207">
        <f ca="1">(HV193&lt;=Analysis_Period)*-SUMIF($S$229:CL229,"&lt;0")</f>
        <v>0</v>
      </c>
      <c r="HW195" s="207">
        <f ca="1">(HW193&lt;=Analysis_Period)*-SUMIF($S$229:CM229,"&lt;0")</f>
        <v>0</v>
      </c>
      <c r="HX195" s="207">
        <f ca="1">(HX193&lt;=Analysis_Period)*-SUMIF($S$229:CN229,"&lt;0")</f>
        <v>0</v>
      </c>
      <c r="HY195" s="207">
        <f ca="1">(HY193&lt;=Analysis_Period)*-SUMIF($S$229:CO229,"&lt;0")</f>
        <v>0</v>
      </c>
      <c r="HZ195" s="207">
        <f ca="1">(HZ193&lt;=Analysis_Period)*-SUMIF($S$229:CP229,"&lt;0")</f>
        <v>0</v>
      </c>
      <c r="IA195" s="207">
        <f ca="1">(IA193&lt;=Analysis_Period)*-SUMIF($S$229:CQ229,"&lt;0")</f>
        <v>0</v>
      </c>
      <c r="IB195" s="207">
        <f ca="1">(IB193&lt;=Analysis_Period)*-SUMIF($S$229:CR229,"&lt;0")</f>
        <v>0</v>
      </c>
      <c r="IC195" s="207">
        <f ca="1">(IC193&lt;=Analysis_Period)*-SUMIF($S$229:CS229,"&lt;0")</f>
        <v>0</v>
      </c>
      <c r="ID195" s="207">
        <f ca="1">(ID193&lt;=Analysis_Period)*-SUMIF($S$229:CT229,"&lt;0")</f>
        <v>0</v>
      </c>
      <c r="IE195" s="207">
        <f ca="1">(IE193&lt;=Analysis_Period)*-SUMIF($S$229:CU229,"&lt;0")</f>
        <v>0</v>
      </c>
      <c r="IF195" s="207">
        <f ca="1">(IF193&lt;=Analysis_Period)*-SUMIF($S$229:CV229,"&lt;0")</f>
        <v>0</v>
      </c>
      <c r="IG195" s="207">
        <f ca="1">(IG193&lt;=Analysis_Period)*-SUMIF($S$229:CW229,"&lt;0")</f>
        <v>0</v>
      </c>
      <c r="IH195" s="207">
        <f ca="1">(IH193&lt;=Analysis_Period)*-SUMIF($S$229:CX229,"&lt;0")</f>
        <v>0</v>
      </c>
      <c r="II195" s="207">
        <f ca="1">(II193&lt;=Analysis_Period)*-SUMIF($S$229:CY229,"&lt;0")</f>
        <v>0</v>
      </c>
      <c r="IJ195" s="207">
        <f ca="1">(IJ193&lt;=Analysis_Period)*-SUMIF($S$229:CZ229,"&lt;0")</f>
        <v>0</v>
      </c>
      <c r="IK195" s="207">
        <f ca="1">(IK193&lt;=Analysis_Period)*-SUMIF($S$229:DA229,"&lt;0")</f>
        <v>0</v>
      </c>
      <c r="IL195" s="207">
        <f ca="1">(IL193&lt;=Analysis_Period)*-SUMIF($S$229:DB229,"&lt;0")</f>
        <v>0</v>
      </c>
      <c r="IM195" s="207">
        <f ca="1">(IM193&lt;=Analysis_Period)*-SUMIF($S$229:DC229,"&lt;0")</f>
        <v>0</v>
      </c>
      <c r="IN195" s="207">
        <f ca="1">(IN193&lt;=Analysis_Period)*-SUMIF($S$229:DD229,"&lt;0")</f>
        <v>0</v>
      </c>
      <c r="IO195" s="207">
        <f ca="1">(IO193&lt;=Analysis_Period)*-SUMIF($S$229:DE229,"&lt;0")</f>
        <v>0</v>
      </c>
      <c r="IP195" s="207">
        <f ca="1">(IP193&lt;=Analysis_Period)*-SUMIF($S$229:DF229,"&lt;0")</f>
        <v>0</v>
      </c>
      <c r="IQ195" s="207">
        <f ca="1">(IQ193&lt;=Analysis_Period)*-SUMIF($S$229:DG229,"&lt;0")</f>
        <v>0</v>
      </c>
      <c r="IR195" s="207">
        <f ca="1">(IR193&lt;=Analysis_Period)*-SUMIF($S$229:DH229,"&lt;0")</f>
        <v>0</v>
      </c>
      <c r="IS195" s="207">
        <f ca="1">(IS193&lt;=Analysis_Period)*-SUMIF($S$229:DI229,"&lt;0")</f>
        <v>0</v>
      </c>
      <c r="IT195" s="207">
        <f ca="1">(IT193&lt;=Analysis_Period)*-SUMIF($S$229:DJ229,"&lt;0")</f>
        <v>0</v>
      </c>
      <c r="IU195" s="207">
        <f ca="1">(IU193&lt;=Analysis_Period)*-SUMIF($S$229:DK229,"&lt;0")</f>
        <v>0</v>
      </c>
      <c r="IV195" s="207">
        <f ca="1">(IV193&lt;=Analysis_Period)*-SUMIF($S$229:DL229,"&lt;0")</f>
        <v>0</v>
      </c>
      <c r="IW195" s="207">
        <f ca="1">(IW193&lt;=Analysis_Period)*-SUMIF($S$229:DM229,"&lt;0")</f>
        <v>0</v>
      </c>
      <c r="IX195" s="207">
        <f ca="1">(IX193&lt;=Analysis_Period)*-SUMIF($S$229:DN229,"&lt;0")</f>
        <v>0</v>
      </c>
      <c r="IY195" s="207">
        <f ca="1">(IY193&lt;=Analysis_Period)*-SUMIF($S$229:DO229,"&lt;0")</f>
        <v>0</v>
      </c>
      <c r="IZ195" s="207">
        <f ca="1">(IZ193&lt;=Analysis_Period)*-SUMIF($S$229:DP229,"&lt;0")</f>
        <v>0</v>
      </c>
      <c r="JA195" s="207">
        <f ca="1">(JA193&lt;=Analysis_Period)*-SUMIF($S$229:DQ229,"&lt;0")</f>
        <v>0</v>
      </c>
      <c r="JB195" s="207">
        <f ca="1">(JB193&lt;=Analysis_Period)*-SUMIF($S$229:DR229,"&lt;0")</f>
        <v>0</v>
      </c>
      <c r="JC195" s="207">
        <f ca="1">(JC193&lt;=Analysis_Period)*-SUMIF($S$229:DS229,"&lt;0")</f>
        <v>0</v>
      </c>
      <c r="JD195" s="207">
        <f ca="1">(JD193&lt;=Analysis_Period)*-SUMIF($S$229:DT229,"&lt;0")</f>
        <v>0</v>
      </c>
      <c r="JE195" s="207">
        <f ca="1">(JE193&lt;=Analysis_Period)*-SUMIF($S$229:DU229,"&lt;0")</f>
        <v>0</v>
      </c>
      <c r="JF195" s="207">
        <f ca="1">(JF193&lt;=Analysis_Period)*-SUMIF($S$229:DV229,"&lt;0")</f>
        <v>0</v>
      </c>
      <c r="JG195" s="207">
        <f ca="1">(JG193&lt;=Analysis_Period)*-SUMIF($S$229:DW229,"&lt;0")</f>
        <v>0</v>
      </c>
      <c r="JH195" s="207">
        <f ca="1">(JH193&lt;=Analysis_Period)*-SUMIF($S$229:DX229,"&lt;0")</f>
        <v>0</v>
      </c>
      <c r="JI195" s="207">
        <f ca="1">(JI193&lt;=Analysis_Period)*-SUMIF($S$229:DY229,"&lt;0")</f>
        <v>0</v>
      </c>
      <c r="JJ195" s="207">
        <f ca="1">(JJ193&lt;=Analysis_Period)*-SUMIF($S$229:DZ229,"&lt;0")</f>
        <v>0</v>
      </c>
      <c r="JK195" s="207">
        <f ca="1">(JK193&lt;=Analysis_Period)*-SUMIF($S$229:EA229,"&lt;0")</f>
        <v>0</v>
      </c>
      <c r="JL195" s="207">
        <f ca="1">(JL193&lt;=Analysis_Period)*-SUMIF($S$229:EB229,"&lt;0")</f>
        <v>0</v>
      </c>
      <c r="JM195" s="207">
        <f ca="1">(JM193&lt;=Analysis_Period)*-SUMIF($S$229:EC229,"&lt;0")</f>
        <v>0</v>
      </c>
      <c r="JN195" s="207">
        <f ca="1">(JN193&lt;=Analysis_Period)*-SUMIF($S$229:ED229,"&lt;0")</f>
        <v>0</v>
      </c>
      <c r="JO195" s="207">
        <f ca="1">(JO193&lt;=Analysis_Period)*-SUMIF($S$229:EE229,"&lt;0")</f>
        <v>0</v>
      </c>
      <c r="JP195" s="207">
        <f ca="1">(JP193&lt;=Analysis_Period)*-SUMIF($S$229:EF229,"&lt;0")</f>
        <v>0</v>
      </c>
      <c r="JQ195" s="207">
        <f ca="1">(JQ193&lt;=Analysis_Period)*-SUMIF($S$229:EG229,"&lt;0")</f>
        <v>0</v>
      </c>
      <c r="JR195" s="207">
        <f ca="1">(JR193&lt;=Analysis_Period)*-SUMIF($S$229:EH229,"&lt;0")</f>
        <v>0</v>
      </c>
      <c r="JS195" s="207">
        <f ca="1">(JS193&lt;=Analysis_Period)*-SUMIF($S$229:EI229,"&lt;0")</f>
        <v>0</v>
      </c>
      <c r="JT195" s="207">
        <f ca="1">(JT193&lt;=Analysis_Period)*-SUMIF($S$229:EJ229,"&lt;0")</f>
        <v>0</v>
      </c>
      <c r="JU195" s="207">
        <f ca="1">(JU193&lt;=Analysis_Period)*-SUMIF($S$229:EK229,"&lt;0")</f>
        <v>0</v>
      </c>
      <c r="JV195" s="207">
        <f ca="1">(JV193&lt;=Analysis_Period)*-SUMIF($S$229:EL229,"&lt;0")</f>
        <v>0</v>
      </c>
      <c r="JW195" s="207">
        <f ca="1">(JW193&lt;=Analysis_Period)*-SUMIF($S$229:EM229,"&lt;0")</f>
        <v>0</v>
      </c>
      <c r="JX195" s="207">
        <f ca="1">(JX193&lt;=Analysis_Period)*-SUMIF($S$229:EN229,"&lt;0")</f>
        <v>0</v>
      </c>
      <c r="JY195" s="207">
        <f ca="1">(JY193&lt;=Analysis_Period)*-SUMIF($S$229:EO229,"&lt;0")</f>
        <v>0</v>
      </c>
      <c r="JZ195" s="207">
        <f ca="1">(JZ193&lt;=Analysis_Period)*-SUMIF($S$229:EP229,"&lt;0")</f>
        <v>0</v>
      </c>
      <c r="KA195" s="207">
        <f ca="1">(KA193&lt;=Analysis_Period)*-SUMIF($S$229:EQ229,"&lt;0")</f>
        <v>0</v>
      </c>
      <c r="KB195" s="207">
        <f ca="1">(KB193&lt;=Analysis_Period)*-SUMIF($S$229:ER229,"&lt;0")</f>
        <v>0</v>
      </c>
      <c r="KC195" s="207">
        <f ca="1">(KC193&lt;=Analysis_Period)*-SUMIF($S$229:ES229,"&lt;0")</f>
        <v>0</v>
      </c>
      <c r="KD195" s="207">
        <f ca="1">(KD193&lt;=Analysis_Period)*-SUMIF($S$229:ET229,"&lt;0")</f>
        <v>0</v>
      </c>
      <c r="KE195" s="207">
        <f ca="1">(KE193&lt;=Analysis_Period)*-SUMIF($S$229:EU229,"&lt;0")</f>
        <v>0</v>
      </c>
      <c r="PQ195" s="201"/>
      <c r="PR195" s="201"/>
      <c r="PS195" s="201"/>
      <c r="PT195" s="201"/>
      <c r="PU195" s="201"/>
      <c r="PV195" s="201"/>
      <c r="PW195" s="201"/>
      <c r="PX195" s="201"/>
      <c r="PY195" s="201"/>
      <c r="PZ195" s="201"/>
      <c r="QA195" s="201"/>
      <c r="QB195" s="201"/>
      <c r="QC195" s="201"/>
      <c r="QD195" s="201"/>
      <c r="QE195" s="201"/>
      <c r="QF195" s="201"/>
      <c r="QG195" s="201"/>
      <c r="QH195" s="201"/>
      <c r="QI195" s="201"/>
      <c r="QJ195" s="201"/>
      <c r="QK195" s="201"/>
      <c r="QL195" s="201"/>
      <c r="QM195" s="201"/>
      <c r="QN195" s="201"/>
      <c r="QO195" s="201"/>
      <c r="QP195" s="201"/>
      <c r="QQ195" s="201"/>
      <c r="QR195" s="201"/>
      <c r="QS195" s="201"/>
      <c r="QT195" s="201"/>
      <c r="QU195" s="201"/>
      <c r="QV195" s="201"/>
      <c r="QW195" s="201"/>
      <c r="QX195" s="201"/>
      <c r="QY195" s="201"/>
      <c r="QZ195" s="201"/>
      <c r="RA195" s="201"/>
      <c r="RB195" s="201"/>
      <c r="RC195" s="201"/>
      <c r="RD195" s="201"/>
      <c r="RE195" s="201"/>
      <c r="RF195" s="201"/>
      <c r="RG195" s="201"/>
      <c r="RH195" s="201"/>
      <c r="RI195" s="201"/>
      <c r="RJ195" s="201"/>
      <c r="RK195" s="201"/>
      <c r="RL195" s="201"/>
      <c r="RM195" s="201"/>
      <c r="RN195" s="201"/>
      <c r="RO195" s="201"/>
      <c r="RP195" s="201"/>
      <c r="RQ195" s="201"/>
      <c r="RR195" s="201"/>
      <c r="RS195" s="201"/>
      <c r="RT195" s="201"/>
      <c r="RU195" s="201"/>
      <c r="RV195" s="201"/>
      <c r="RW195" s="201"/>
      <c r="RX195" s="201"/>
      <c r="RY195" s="201"/>
      <c r="RZ195" s="201"/>
      <c r="SA195" s="201"/>
      <c r="SB195" s="201"/>
      <c r="SC195" s="201"/>
      <c r="SD195" s="201"/>
      <c r="SE195" s="201"/>
      <c r="SF195" s="201"/>
      <c r="SG195" s="201"/>
      <c r="SH195" s="201"/>
      <c r="SI195" s="201"/>
      <c r="SJ195" s="201"/>
      <c r="SK195" s="201"/>
      <c r="SL195" s="201"/>
      <c r="SM195" s="201"/>
      <c r="SN195" s="201"/>
      <c r="SO195" s="201"/>
      <c r="SP195" s="201"/>
      <c r="SQ195" s="201"/>
      <c r="SR195" s="201"/>
      <c r="SS195" s="201"/>
      <c r="ST195" s="201"/>
      <c r="SU195" s="201"/>
      <c r="SV195" s="201"/>
      <c r="SW195" s="201"/>
      <c r="SX195" s="201"/>
      <c r="SY195" s="201"/>
      <c r="SZ195" s="201"/>
      <c r="TA195" s="201"/>
      <c r="TB195" s="201"/>
      <c r="TC195" s="201"/>
      <c r="TD195" s="201"/>
      <c r="TE195" s="201"/>
      <c r="TF195" s="201"/>
      <c r="TG195" s="201"/>
      <c r="TH195" s="201"/>
      <c r="TI195" s="201"/>
      <c r="TJ195" s="201"/>
      <c r="TK195" s="201"/>
      <c r="TL195" s="201"/>
      <c r="TM195" s="201"/>
      <c r="TN195" s="201"/>
      <c r="TO195" s="201"/>
      <c r="TP195" s="201"/>
      <c r="TQ195" s="201"/>
      <c r="TR195" s="201"/>
      <c r="TS195" s="201"/>
      <c r="TT195" s="201"/>
      <c r="TU195" s="201"/>
      <c r="TV195" s="201"/>
      <c r="TW195" s="201"/>
      <c r="TX195" s="201"/>
      <c r="TY195" s="201"/>
      <c r="TZ195" s="201"/>
      <c r="UA195" s="201"/>
      <c r="UB195" s="201"/>
      <c r="UC195" s="201"/>
      <c r="UD195" s="201"/>
      <c r="UE195" s="201"/>
      <c r="UF195" s="201"/>
      <c r="UG195" s="201"/>
      <c r="UH195" s="201"/>
      <c r="UI195" s="201"/>
      <c r="UJ195" s="201"/>
      <c r="UK195" s="201"/>
      <c r="UL195" s="201"/>
      <c r="UM195" s="201"/>
      <c r="UN195" s="201"/>
      <c r="UO195" s="201"/>
      <c r="UP195" s="201"/>
      <c r="UQ195" s="201"/>
      <c r="UR195" s="201"/>
      <c r="US195" s="201"/>
      <c r="UT195" s="201"/>
      <c r="UU195" s="201"/>
    </row>
    <row r="196" spans="2:567" ht="15" x14ac:dyDescent="0.35">
      <c r="B196" s="54" t="str">
        <f t="shared" si="3084"/>
        <v>Property Taxes</v>
      </c>
      <c r="C196" s="161"/>
      <c r="D196" s="161"/>
      <c r="E196" s="26" t="s">
        <v>187</v>
      </c>
      <c r="F196" s="100">
        <f>+I196/I210</f>
        <v>8.9727566187597849E-3</v>
      </c>
      <c r="G196" s="100">
        <f ca="1">+J196/J210</f>
        <v>9.3271005230942828E-3</v>
      </c>
      <c r="H196" s="100">
        <f ca="1">+K196/K210</f>
        <v>9.597842785784157E-3</v>
      </c>
      <c r="I196" s="166">
        <f t="shared" si="3085"/>
        <v>540000</v>
      </c>
      <c r="J196" s="166">
        <f t="shared" ca="1" si="3086"/>
        <v>746418.54913900129</v>
      </c>
      <c r="K196" s="167">
        <f t="shared" ca="1" si="3087"/>
        <v>765079.01286747516</v>
      </c>
      <c r="L196" s="240"/>
      <c r="M196" s="3" t="s">
        <v>853</v>
      </c>
      <c r="R196" s="257"/>
      <c r="S196" s="243"/>
      <c r="T196" s="243"/>
      <c r="U196" s="243"/>
      <c r="V196" s="243"/>
      <c r="W196" s="243"/>
      <c r="X196" s="243"/>
      <c r="Y196" s="243"/>
      <c r="Z196" s="243"/>
      <c r="AA196" s="243"/>
      <c r="AB196" s="243"/>
      <c r="AC196" s="243"/>
      <c r="AD196" s="243"/>
      <c r="AE196" s="243"/>
      <c r="AF196" s="243"/>
      <c r="AG196" s="243"/>
      <c r="AH196" s="243"/>
      <c r="AI196" s="243"/>
      <c r="AJ196" s="243"/>
      <c r="AK196" s="243"/>
      <c r="AL196" s="243"/>
      <c r="AM196" s="243"/>
      <c r="AN196" s="243"/>
      <c r="AO196" s="243"/>
      <c r="AP196" s="243"/>
      <c r="AQ196" s="243"/>
      <c r="AR196" s="243"/>
      <c r="AS196" s="243"/>
      <c r="AT196" s="243"/>
      <c r="AU196" s="243"/>
      <c r="AV196" s="243"/>
      <c r="AW196" s="243"/>
      <c r="AX196" s="243"/>
      <c r="AY196" s="243"/>
      <c r="AZ196" s="243"/>
      <c r="BA196" s="243"/>
      <c r="BB196" s="243"/>
      <c r="BC196" s="243"/>
      <c r="BD196" s="243"/>
      <c r="BE196" s="243"/>
      <c r="BF196" s="243"/>
      <c r="BG196" s="243"/>
      <c r="BH196" s="243"/>
      <c r="BI196" s="243"/>
      <c r="BJ196" s="243"/>
      <c r="BK196" s="243"/>
      <c r="BL196" s="243"/>
      <c r="BM196" s="243"/>
      <c r="BN196" s="243"/>
      <c r="BO196" s="243"/>
      <c r="BP196" s="243"/>
      <c r="BQ196" s="243"/>
      <c r="BR196" s="243"/>
      <c r="BS196" s="243"/>
      <c r="BT196" s="243"/>
      <c r="BU196" s="243"/>
      <c r="BV196" s="243"/>
      <c r="BW196" s="243"/>
      <c r="BX196" s="243"/>
      <c r="BY196" s="243"/>
      <c r="BZ196" s="243"/>
      <c r="CA196" s="243"/>
      <c r="CB196" s="243"/>
      <c r="CC196" s="243"/>
      <c r="CD196" s="243"/>
      <c r="CE196" s="243"/>
      <c r="CF196" s="243"/>
      <c r="CG196" s="243"/>
      <c r="CH196" s="243"/>
      <c r="CI196" s="243"/>
      <c r="CJ196" s="243"/>
      <c r="CK196" s="243"/>
      <c r="CL196" s="243"/>
      <c r="CM196" s="243"/>
      <c r="CN196" s="243"/>
      <c r="CO196" s="243"/>
      <c r="CP196" s="243"/>
      <c r="CQ196" s="243"/>
      <c r="CR196" s="243"/>
      <c r="CS196" s="243"/>
      <c r="CT196" s="243"/>
      <c r="CU196" s="243"/>
      <c r="CV196" s="243"/>
      <c r="CW196" s="243"/>
      <c r="CX196" s="243"/>
      <c r="CY196" s="243"/>
      <c r="CZ196" s="243"/>
      <c r="DA196" s="243"/>
      <c r="DB196" s="243"/>
      <c r="DC196" s="243"/>
      <c r="DD196" s="243"/>
      <c r="DE196" s="243"/>
      <c r="DF196" s="243"/>
      <c r="DG196" s="243"/>
      <c r="DH196" s="243"/>
      <c r="DI196" s="243"/>
      <c r="DJ196" s="243"/>
      <c r="DK196" s="243"/>
      <c r="DL196" s="243"/>
      <c r="DM196" s="243"/>
      <c r="DN196" s="243"/>
      <c r="DO196" s="243"/>
      <c r="DP196" s="243"/>
      <c r="DQ196" s="243"/>
      <c r="DR196" s="243"/>
      <c r="DS196" s="243"/>
      <c r="DT196" s="243"/>
      <c r="DU196" s="243"/>
      <c r="DV196" s="243"/>
      <c r="DW196" s="243"/>
      <c r="DX196" s="243"/>
      <c r="DY196" s="243"/>
      <c r="DZ196" s="243"/>
      <c r="EA196" s="243"/>
      <c r="EB196" s="243"/>
      <c r="EC196" s="243"/>
      <c r="ED196" s="243"/>
      <c r="EE196" s="243"/>
      <c r="EF196" s="243"/>
      <c r="EG196" s="243"/>
      <c r="EH196" s="243"/>
      <c r="EI196" s="243"/>
      <c r="EJ196" s="243"/>
      <c r="EK196" s="243"/>
      <c r="EL196" s="243"/>
      <c r="EM196" s="243"/>
      <c r="EN196" s="243"/>
      <c r="EO196" s="243"/>
      <c r="EP196" s="243"/>
      <c r="EQ196" s="243"/>
      <c r="ER196" s="243"/>
      <c r="ES196" s="243"/>
      <c r="ET196" s="243"/>
      <c r="EU196" s="243"/>
      <c r="FA196" s="216" t="s">
        <v>751</v>
      </c>
      <c r="FB196" s="216" t="s">
        <v>809</v>
      </c>
      <c r="FD196" s="207">
        <f t="shared" ref="FD196:GI196" si="3092">(FD193&lt;=Analysis_Period)*MAX(T134)</f>
        <v>404065.33583333332</v>
      </c>
      <c r="FE196" s="207">
        <f t="shared" si="3092"/>
        <v>408620.51609615388</v>
      </c>
      <c r="FF196" s="207">
        <f t="shared" si="3092"/>
        <v>413200.92400961538</v>
      </c>
      <c r="FG196" s="207">
        <f t="shared" si="3092"/>
        <v>417806.6074102564</v>
      </c>
      <c r="FH196" s="207">
        <f t="shared" si="3092"/>
        <v>422437.61413461535</v>
      </c>
      <c r="FI196" s="207">
        <f t="shared" si="3092"/>
        <v>427093.99201923079</v>
      </c>
      <c r="FJ196" s="207">
        <f t="shared" si="3092"/>
        <v>431775.78890064103</v>
      </c>
      <c r="FK196" s="207">
        <f t="shared" si="3092"/>
        <v>436483.05261538457</v>
      </c>
      <c r="FL196" s="207">
        <f t="shared" si="3092"/>
        <v>441215.83100000001</v>
      </c>
      <c r="FM196" s="207">
        <f t="shared" si="3092"/>
        <v>445974.17189102562</v>
      </c>
      <c r="FN196" s="207">
        <f t="shared" si="3092"/>
        <v>450758.12312499998</v>
      </c>
      <c r="FO196" s="207">
        <f t="shared" si="3092"/>
        <v>455567.73253846157</v>
      </c>
      <c r="FP196" s="207">
        <f t="shared" si="3092"/>
        <v>461351.40286489931</v>
      </c>
      <c r="FQ196" s="207">
        <f t="shared" si="3092"/>
        <v>467182.82713850378</v>
      </c>
      <c r="FR196" s="207">
        <f t="shared" si="3092"/>
        <v>473062.2789504602</v>
      </c>
      <c r="FS196" s="207">
        <f t="shared" si="3092"/>
        <v>478990.03312445653</v>
      </c>
      <c r="FT196" s="207">
        <f t="shared" si="3092"/>
        <v>484966.36572143889</v>
      </c>
      <c r="FU196" s="207">
        <f t="shared" si="3092"/>
        <v>490991.55404438445</v>
      </c>
      <c r="FV196" s="207">
        <f t="shared" si="3092"/>
        <v>497065.876643089</v>
      </c>
      <c r="FW196" s="207">
        <f t="shared" si="3092"/>
        <v>503189.61331897182</v>
      </c>
      <c r="FX196" s="207">
        <f t="shared" si="3092"/>
        <v>509363.04512989841</v>
      </c>
      <c r="FY196" s="207">
        <f t="shared" si="3092"/>
        <v>515586.45439501753</v>
      </c>
      <c r="FZ196" s="207">
        <f t="shared" si="3092"/>
        <v>521860.12469961785</v>
      </c>
      <c r="GA196" s="207">
        <f t="shared" si="3092"/>
        <v>528184.34089999925</v>
      </c>
      <c r="GB196" s="207">
        <f t="shared" si="3092"/>
        <v>551367.4304291975</v>
      </c>
      <c r="GC196" s="207">
        <f t="shared" si="3092"/>
        <v>552503.15706040559</v>
      </c>
      <c r="GD196" s="207">
        <f t="shared" si="3092"/>
        <v>553641.22310252115</v>
      </c>
      <c r="GE196" s="207">
        <f t="shared" si="3092"/>
        <v>554781.63337434793</v>
      </c>
      <c r="GF196" s="207">
        <f t="shared" si="3092"/>
        <v>555924.39270461502</v>
      </c>
      <c r="GG196" s="207">
        <f t="shared" si="3092"/>
        <v>557069.50593199837</v>
      </c>
      <c r="GH196" s="207">
        <f t="shared" si="3092"/>
        <v>558216.97790514037</v>
      </c>
      <c r="GI196" s="207">
        <f t="shared" si="3092"/>
        <v>559366.81348267139</v>
      </c>
      <c r="GJ196" s="207">
        <f t="shared" ref="GJ196:HO196" si="3093">(GJ193&lt;=Analysis_Period)*MAX(AZ134)</f>
        <v>560519.01753322931</v>
      </c>
      <c r="GK196" s="207">
        <f t="shared" si="3093"/>
        <v>561673.59493548097</v>
      </c>
      <c r="GL196" s="207">
        <f t="shared" si="3093"/>
        <v>562830.55057814193</v>
      </c>
      <c r="GM196" s="207">
        <f t="shared" si="3093"/>
        <v>563989.8893599984</v>
      </c>
      <c r="GN196" s="207">
        <f t="shared" si="3093"/>
        <v>0</v>
      </c>
      <c r="GO196" s="207">
        <f t="shared" si="3093"/>
        <v>0</v>
      </c>
      <c r="GP196" s="207">
        <f t="shared" si="3093"/>
        <v>0</v>
      </c>
      <c r="GQ196" s="207">
        <f t="shared" si="3093"/>
        <v>0</v>
      </c>
      <c r="GR196" s="207">
        <f t="shared" si="3093"/>
        <v>0</v>
      </c>
      <c r="GS196" s="207">
        <f t="shared" si="3093"/>
        <v>0</v>
      </c>
      <c r="GT196" s="207">
        <f t="shared" si="3093"/>
        <v>0</v>
      </c>
      <c r="GU196" s="207">
        <f t="shared" si="3093"/>
        <v>0</v>
      </c>
      <c r="GV196" s="207">
        <f t="shared" si="3093"/>
        <v>0</v>
      </c>
      <c r="GW196" s="207">
        <f t="shared" si="3093"/>
        <v>0</v>
      </c>
      <c r="GX196" s="207">
        <f t="shared" si="3093"/>
        <v>0</v>
      </c>
      <c r="GY196" s="207">
        <f t="shared" si="3093"/>
        <v>0</v>
      </c>
      <c r="GZ196" s="207">
        <f t="shared" si="3093"/>
        <v>0</v>
      </c>
      <c r="HA196" s="207">
        <f t="shared" si="3093"/>
        <v>0</v>
      </c>
      <c r="HB196" s="207">
        <f t="shared" si="3093"/>
        <v>0</v>
      </c>
      <c r="HC196" s="207">
        <f t="shared" si="3093"/>
        <v>0</v>
      </c>
      <c r="HD196" s="207">
        <f t="shared" si="3093"/>
        <v>0</v>
      </c>
      <c r="HE196" s="207">
        <f t="shared" si="3093"/>
        <v>0</v>
      </c>
      <c r="HF196" s="207">
        <f t="shared" si="3093"/>
        <v>0</v>
      </c>
      <c r="HG196" s="207">
        <f t="shared" si="3093"/>
        <v>0</v>
      </c>
      <c r="HH196" s="207">
        <f t="shared" si="3093"/>
        <v>0</v>
      </c>
      <c r="HI196" s="207">
        <f t="shared" si="3093"/>
        <v>0</v>
      </c>
      <c r="HJ196" s="207">
        <f t="shared" si="3093"/>
        <v>0</v>
      </c>
      <c r="HK196" s="207">
        <f t="shared" si="3093"/>
        <v>0</v>
      </c>
      <c r="HL196" s="207">
        <f t="shared" si="3093"/>
        <v>0</v>
      </c>
      <c r="HM196" s="207">
        <f t="shared" si="3093"/>
        <v>0</v>
      </c>
      <c r="HN196" s="207">
        <f t="shared" si="3093"/>
        <v>0</v>
      </c>
      <c r="HO196" s="207">
        <f t="shared" si="3093"/>
        <v>0</v>
      </c>
      <c r="HP196" s="207">
        <f t="shared" ref="HP196:IU196" si="3094">(HP193&lt;=Analysis_Period)*MAX(CF134)</f>
        <v>0</v>
      </c>
      <c r="HQ196" s="207">
        <f t="shared" si="3094"/>
        <v>0</v>
      </c>
      <c r="HR196" s="207">
        <f t="shared" si="3094"/>
        <v>0</v>
      </c>
      <c r="HS196" s="207">
        <f t="shared" si="3094"/>
        <v>0</v>
      </c>
      <c r="HT196" s="207">
        <f t="shared" si="3094"/>
        <v>0</v>
      </c>
      <c r="HU196" s="207">
        <f t="shared" si="3094"/>
        <v>0</v>
      </c>
      <c r="HV196" s="207">
        <f t="shared" si="3094"/>
        <v>0</v>
      </c>
      <c r="HW196" s="207">
        <f t="shared" si="3094"/>
        <v>0</v>
      </c>
      <c r="HX196" s="207">
        <f t="shared" si="3094"/>
        <v>0</v>
      </c>
      <c r="HY196" s="207">
        <f t="shared" si="3094"/>
        <v>0</v>
      </c>
      <c r="HZ196" s="207">
        <f t="shared" si="3094"/>
        <v>0</v>
      </c>
      <c r="IA196" s="207">
        <f t="shared" si="3094"/>
        <v>0</v>
      </c>
      <c r="IB196" s="207">
        <f t="shared" si="3094"/>
        <v>0</v>
      </c>
      <c r="IC196" s="207">
        <f t="shared" si="3094"/>
        <v>0</v>
      </c>
      <c r="ID196" s="207">
        <f t="shared" si="3094"/>
        <v>0</v>
      </c>
      <c r="IE196" s="207">
        <f t="shared" si="3094"/>
        <v>0</v>
      </c>
      <c r="IF196" s="207">
        <f t="shared" si="3094"/>
        <v>0</v>
      </c>
      <c r="IG196" s="207">
        <f t="shared" si="3094"/>
        <v>0</v>
      </c>
      <c r="IH196" s="207">
        <f t="shared" si="3094"/>
        <v>0</v>
      </c>
      <c r="II196" s="207">
        <f t="shared" si="3094"/>
        <v>0</v>
      </c>
      <c r="IJ196" s="207">
        <f t="shared" si="3094"/>
        <v>0</v>
      </c>
      <c r="IK196" s="207">
        <f t="shared" si="3094"/>
        <v>0</v>
      </c>
      <c r="IL196" s="207">
        <f t="shared" si="3094"/>
        <v>0</v>
      </c>
      <c r="IM196" s="207">
        <f t="shared" si="3094"/>
        <v>0</v>
      </c>
      <c r="IN196" s="207">
        <f t="shared" si="3094"/>
        <v>0</v>
      </c>
      <c r="IO196" s="207">
        <f t="shared" si="3094"/>
        <v>0</v>
      </c>
      <c r="IP196" s="207">
        <f t="shared" si="3094"/>
        <v>0</v>
      </c>
      <c r="IQ196" s="207">
        <f t="shared" si="3094"/>
        <v>0</v>
      </c>
      <c r="IR196" s="207">
        <f t="shared" si="3094"/>
        <v>0</v>
      </c>
      <c r="IS196" s="207">
        <f t="shared" si="3094"/>
        <v>0</v>
      </c>
      <c r="IT196" s="207">
        <f t="shared" si="3094"/>
        <v>0</v>
      </c>
      <c r="IU196" s="207">
        <f t="shared" si="3094"/>
        <v>0</v>
      </c>
      <c r="IV196" s="207">
        <f t="shared" ref="IV196:KA196" si="3095">(IV193&lt;=Analysis_Period)*MAX(DL134)</f>
        <v>0</v>
      </c>
      <c r="IW196" s="207">
        <f t="shared" si="3095"/>
        <v>0</v>
      </c>
      <c r="IX196" s="207">
        <f t="shared" si="3095"/>
        <v>0</v>
      </c>
      <c r="IY196" s="207">
        <f t="shared" si="3095"/>
        <v>0</v>
      </c>
      <c r="IZ196" s="207">
        <f t="shared" si="3095"/>
        <v>0</v>
      </c>
      <c r="JA196" s="207">
        <f t="shared" si="3095"/>
        <v>0</v>
      </c>
      <c r="JB196" s="207">
        <f t="shared" si="3095"/>
        <v>0</v>
      </c>
      <c r="JC196" s="207">
        <f t="shared" si="3095"/>
        <v>0</v>
      </c>
      <c r="JD196" s="207">
        <f t="shared" si="3095"/>
        <v>0</v>
      </c>
      <c r="JE196" s="207">
        <f t="shared" si="3095"/>
        <v>0</v>
      </c>
      <c r="JF196" s="207">
        <f t="shared" si="3095"/>
        <v>0</v>
      </c>
      <c r="JG196" s="207">
        <f t="shared" si="3095"/>
        <v>0</v>
      </c>
      <c r="JH196" s="207">
        <f t="shared" si="3095"/>
        <v>0</v>
      </c>
      <c r="JI196" s="207">
        <f t="shared" si="3095"/>
        <v>0</v>
      </c>
      <c r="JJ196" s="207">
        <f t="shared" si="3095"/>
        <v>0</v>
      </c>
      <c r="JK196" s="207">
        <f t="shared" si="3095"/>
        <v>0</v>
      </c>
      <c r="JL196" s="207">
        <f t="shared" si="3095"/>
        <v>0</v>
      </c>
      <c r="JM196" s="207">
        <f t="shared" si="3095"/>
        <v>0</v>
      </c>
      <c r="JN196" s="207">
        <f t="shared" si="3095"/>
        <v>0</v>
      </c>
      <c r="JO196" s="207">
        <f t="shared" si="3095"/>
        <v>0</v>
      </c>
      <c r="JP196" s="207">
        <f t="shared" si="3095"/>
        <v>0</v>
      </c>
      <c r="JQ196" s="207">
        <f t="shared" si="3095"/>
        <v>0</v>
      </c>
      <c r="JR196" s="207">
        <f t="shared" si="3095"/>
        <v>0</v>
      </c>
      <c r="JS196" s="207">
        <f t="shared" si="3095"/>
        <v>0</v>
      </c>
      <c r="JT196" s="207">
        <f t="shared" si="3095"/>
        <v>0</v>
      </c>
      <c r="JU196" s="207">
        <f t="shared" si="3095"/>
        <v>0</v>
      </c>
      <c r="JV196" s="207">
        <f t="shared" si="3095"/>
        <v>0</v>
      </c>
      <c r="JW196" s="207">
        <f t="shared" si="3095"/>
        <v>0</v>
      </c>
      <c r="JX196" s="207">
        <f t="shared" si="3095"/>
        <v>0</v>
      </c>
      <c r="JY196" s="207">
        <f t="shared" si="3095"/>
        <v>0</v>
      </c>
      <c r="JZ196" s="207">
        <f t="shared" si="3095"/>
        <v>0</v>
      </c>
      <c r="KA196" s="207">
        <f t="shared" si="3095"/>
        <v>0</v>
      </c>
      <c r="KB196" s="207">
        <f t="shared" ref="KB196:KE196" si="3096">(KB193&lt;=Analysis_Period)*MAX(ER134)</f>
        <v>0</v>
      </c>
      <c r="KC196" s="207">
        <f t="shared" si="3096"/>
        <v>0</v>
      </c>
      <c r="KD196" s="207">
        <f t="shared" si="3096"/>
        <v>0</v>
      </c>
      <c r="KE196" s="207">
        <f t="shared" si="3096"/>
        <v>0</v>
      </c>
      <c r="PQ196" s="201"/>
      <c r="PR196" s="201"/>
      <c r="PS196" s="201"/>
      <c r="PT196" s="201"/>
      <c r="PU196" s="201"/>
      <c r="PV196" s="201"/>
      <c r="PW196" s="201"/>
      <c r="PX196" s="201"/>
      <c r="PY196" s="201"/>
      <c r="PZ196" s="201"/>
      <c r="QA196" s="201"/>
      <c r="QB196" s="201"/>
      <c r="QC196" s="201"/>
      <c r="QD196" s="201"/>
      <c r="QE196" s="201"/>
      <c r="QF196" s="201"/>
      <c r="QG196" s="201"/>
      <c r="QH196" s="201"/>
      <c r="QI196" s="201"/>
      <c r="QJ196" s="201"/>
      <c r="QK196" s="201"/>
      <c r="QL196" s="201"/>
      <c r="QM196" s="201"/>
      <c r="QN196" s="201"/>
      <c r="QO196" s="201"/>
      <c r="QP196" s="201"/>
      <c r="QQ196" s="201"/>
      <c r="QR196" s="201"/>
      <c r="QS196" s="201"/>
      <c r="QT196" s="201"/>
      <c r="QU196" s="201"/>
      <c r="QV196" s="201"/>
      <c r="QW196" s="201"/>
      <c r="QX196" s="201"/>
      <c r="QY196" s="201"/>
      <c r="QZ196" s="201"/>
      <c r="RA196" s="201"/>
      <c r="RB196" s="201"/>
      <c r="RC196" s="201"/>
      <c r="RD196" s="201"/>
      <c r="RE196" s="201"/>
      <c r="RF196" s="201"/>
      <c r="RG196" s="201"/>
      <c r="RH196" s="201"/>
      <c r="RI196" s="201"/>
      <c r="RJ196" s="201"/>
      <c r="RK196" s="201"/>
      <c r="RL196" s="201"/>
      <c r="RM196" s="201"/>
      <c r="RN196" s="201"/>
      <c r="RO196" s="201"/>
      <c r="RP196" s="201"/>
      <c r="RQ196" s="201"/>
      <c r="RR196" s="201"/>
      <c r="RS196" s="201"/>
      <c r="RT196" s="201"/>
      <c r="RU196" s="201"/>
      <c r="RV196" s="201"/>
      <c r="RW196" s="201"/>
      <c r="RX196" s="201"/>
      <c r="RY196" s="201"/>
      <c r="RZ196" s="201"/>
      <c r="SA196" s="201"/>
      <c r="SB196" s="201"/>
      <c r="SC196" s="201"/>
      <c r="SD196" s="201"/>
      <c r="SE196" s="201"/>
      <c r="SF196" s="201"/>
      <c r="SG196" s="201"/>
      <c r="SH196" s="201"/>
      <c r="SI196" s="201"/>
      <c r="SJ196" s="201"/>
      <c r="SK196" s="201"/>
      <c r="SL196" s="201"/>
      <c r="SM196" s="201"/>
      <c r="SN196" s="201"/>
      <c r="SO196" s="201"/>
      <c r="SP196" s="201"/>
      <c r="SQ196" s="201"/>
      <c r="SR196" s="201"/>
      <c r="SS196" s="201"/>
      <c r="ST196" s="201"/>
      <c r="SU196" s="201"/>
      <c r="SV196" s="201"/>
      <c r="SW196" s="201"/>
      <c r="SX196" s="201"/>
      <c r="SY196" s="201"/>
      <c r="SZ196" s="201"/>
      <c r="TA196" s="201"/>
      <c r="TB196" s="201"/>
      <c r="TC196" s="201"/>
      <c r="TD196" s="201"/>
      <c r="TE196" s="201"/>
      <c r="TF196" s="201"/>
      <c r="TG196" s="201"/>
      <c r="TH196" s="201"/>
      <c r="TI196" s="201"/>
      <c r="TJ196" s="201"/>
      <c r="TK196" s="201"/>
      <c r="TL196" s="201"/>
      <c r="TM196" s="201"/>
      <c r="TN196" s="201"/>
      <c r="TO196" s="201"/>
      <c r="TP196" s="201"/>
      <c r="TQ196" s="201"/>
      <c r="TR196" s="201"/>
      <c r="TS196" s="201"/>
      <c r="TT196" s="201"/>
      <c r="TU196" s="201"/>
      <c r="TV196" s="201"/>
      <c r="TW196" s="201"/>
      <c r="TX196" s="201"/>
      <c r="TY196" s="201"/>
      <c r="TZ196" s="201"/>
      <c r="UA196" s="201"/>
      <c r="UB196" s="201"/>
      <c r="UC196" s="201"/>
      <c r="UD196" s="201"/>
      <c r="UE196" s="201"/>
      <c r="UF196" s="201"/>
      <c r="UG196" s="201"/>
      <c r="UH196" s="201"/>
      <c r="UI196" s="201"/>
      <c r="UJ196" s="201"/>
      <c r="UK196" s="201"/>
      <c r="UL196" s="201"/>
      <c r="UM196" s="201"/>
      <c r="UN196" s="201"/>
      <c r="UO196" s="201"/>
      <c r="UP196" s="201"/>
      <c r="UQ196" s="201"/>
      <c r="UR196" s="201"/>
      <c r="US196" s="201"/>
      <c r="UT196" s="201"/>
      <c r="UU196" s="201"/>
    </row>
    <row r="197" spans="2:567" x14ac:dyDescent="0.25">
      <c r="B197" s="18" t="s">
        <v>154</v>
      </c>
      <c r="C197" s="161"/>
      <c r="D197" s="161"/>
      <c r="E197" s="162"/>
      <c r="F197" s="162"/>
      <c r="G197" s="162"/>
      <c r="H197" s="162"/>
      <c r="I197" s="164">
        <f>SUM(I187:I196)</f>
        <v>1718351.1207046155</v>
      </c>
      <c r="J197" s="164">
        <f t="shared" ref="J197:K197" ca="1" si="3097">SUM(J187:J196)</f>
        <v>2011302.3794442499</v>
      </c>
      <c r="K197" s="164">
        <f t="shared" ca="1" si="3097"/>
        <v>2062262.9671284785</v>
      </c>
      <c r="L197" s="240"/>
      <c r="R197" s="257"/>
      <c r="S197" s="243"/>
      <c r="T197" s="243"/>
      <c r="U197" s="243"/>
      <c r="V197" s="243"/>
      <c r="W197" s="243"/>
      <c r="X197" s="243"/>
      <c r="Y197" s="243"/>
      <c r="Z197" s="243"/>
      <c r="AA197" s="243"/>
      <c r="AB197" s="243"/>
      <c r="AC197" s="243"/>
      <c r="AD197" s="243"/>
      <c r="AE197" s="243"/>
      <c r="AF197" s="243"/>
      <c r="AG197" s="243"/>
      <c r="AH197" s="243"/>
      <c r="AI197" s="243"/>
      <c r="AJ197" s="243"/>
      <c r="AK197" s="243"/>
      <c r="AL197" s="243"/>
      <c r="AM197" s="243"/>
      <c r="AN197" s="243"/>
      <c r="AO197" s="243"/>
      <c r="AP197" s="243"/>
      <c r="AQ197" s="243"/>
      <c r="AR197" s="243"/>
      <c r="AS197" s="243"/>
      <c r="AT197" s="243"/>
      <c r="AU197" s="243"/>
      <c r="AV197" s="243"/>
      <c r="AW197" s="243"/>
      <c r="AX197" s="243"/>
      <c r="AY197" s="243"/>
      <c r="AZ197" s="243"/>
      <c r="BA197" s="243"/>
      <c r="BB197" s="243"/>
      <c r="BC197" s="243"/>
      <c r="BD197" s="243"/>
      <c r="BE197" s="243"/>
      <c r="BF197" s="243"/>
      <c r="BG197" s="243"/>
      <c r="BH197" s="243"/>
      <c r="BI197" s="243"/>
      <c r="BJ197" s="243"/>
      <c r="BK197" s="243"/>
      <c r="BL197" s="243"/>
      <c r="BM197" s="243"/>
      <c r="BN197" s="243"/>
      <c r="BO197" s="243"/>
      <c r="BP197" s="243"/>
      <c r="BQ197" s="243"/>
      <c r="BR197" s="243"/>
      <c r="BS197" s="243"/>
      <c r="BT197" s="243"/>
      <c r="BU197" s="243"/>
      <c r="BV197" s="243"/>
      <c r="BW197" s="243"/>
      <c r="BX197" s="243"/>
      <c r="BY197" s="243"/>
      <c r="BZ197" s="243"/>
      <c r="CA197" s="243"/>
      <c r="CB197" s="243"/>
      <c r="CC197" s="243"/>
      <c r="CD197" s="243"/>
      <c r="CE197" s="243"/>
      <c r="CF197" s="243"/>
      <c r="CG197" s="243"/>
      <c r="CH197" s="243"/>
      <c r="CI197" s="243"/>
      <c r="CJ197" s="243"/>
      <c r="CK197" s="243"/>
      <c r="CL197" s="243"/>
      <c r="CM197" s="243"/>
      <c r="CN197" s="243"/>
      <c r="CO197" s="243"/>
      <c r="CP197" s="243"/>
      <c r="CQ197" s="243"/>
      <c r="CR197" s="243"/>
      <c r="CS197" s="243"/>
      <c r="CT197" s="243"/>
      <c r="CU197" s="243"/>
      <c r="CV197" s="243"/>
      <c r="CW197" s="243"/>
      <c r="CX197" s="243"/>
      <c r="CY197" s="243"/>
      <c r="CZ197" s="243"/>
      <c r="DA197" s="243"/>
      <c r="DB197" s="243"/>
      <c r="DC197" s="243"/>
      <c r="DD197" s="243"/>
      <c r="DE197" s="243"/>
      <c r="DF197" s="243"/>
      <c r="DG197" s="243"/>
      <c r="DH197" s="243"/>
      <c r="DI197" s="243"/>
      <c r="DJ197" s="243"/>
      <c r="DK197" s="243"/>
      <c r="DL197" s="243"/>
      <c r="DM197" s="243"/>
      <c r="DN197" s="243"/>
      <c r="DO197" s="243"/>
      <c r="DP197" s="243"/>
      <c r="DQ197" s="243"/>
      <c r="DR197" s="243"/>
      <c r="DS197" s="243"/>
      <c r="DT197" s="243"/>
      <c r="DU197" s="243"/>
      <c r="DV197" s="243"/>
      <c r="DW197" s="243"/>
      <c r="DX197" s="243"/>
      <c r="DY197" s="243"/>
      <c r="DZ197" s="243"/>
      <c r="EA197" s="243"/>
      <c r="EB197" s="243"/>
      <c r="EC197" s="243"/>
      <c r="ED197" s="243"/>
      <c r="EE197" s="243"/>
      <c r="EF197" s="243"/>
      <c r="EG197" s="243"/>
      <c r="EH197" s="243"/>
      <c r="EI197" s="243"/>
      <c r="EJ197" s="243"/>
      <c r="EK197" s="243"/>
      <c r="EL197" s="243"/>
      <c r="EM197" s="243"/>
      <c r="EN197" s="243"/>
      <c r="EO197" s="243"/>
      <c r="EP197" s="243"/>
      <c r="EQ197" s="243"/>
      <c r="ER197" s="243"/>
      <c r="ES197" s="243"/>
      <c r="ET197" s="243"/>
      <c r="EU197" s="243"/>
      <c r="PQ197" s="201"/>
      <c r="PR197" s="201"/>
      <c r="PS197" s="201"/>
      <c r="PT197" s="201"/>
      <c r="PU197" s="201"/>
      <c r="PV197" s="201"/>
      <c r="PW197" s="201"/>
      <c r="PX197" s="201"/>
      <c r="PY197" s="201"/>
      <c r="PZ197" s="201"/>
      <c r="QA197" s="201"/>
      <c r="QB197" s="201"/>
      <c r="QC197" s="201"/>
      <c r="QD197" s="201"/>
      <c r="QE197" s="201"/>
      <c r="QF197" s="201"/>
      <c r="QG197" s="201"/>
      <c r="QH197" s="201"/>
      <c r="QI197" s="201"/>
      <c r="QJ197" s="201"/>
      <c r="QK197" s="201"/>
      <c r="QL197" s="201"/>
      <c r="QM197" s="201"/>
      <c r="QN197" s="201"/>
      <c r="QO197" s="201"/>
      <c r="QP197" s="201"/>
      <c r="QQ197" s="201"/>
      <c r="QR197" s="201"/>
      <c r="QS197" s="201"/>
      <c r="QT197" s="201"/>
      <c r="QU197" s="201"/>
      <c r="QV197" s="201"/>
      <c r="QW197" s="201"/>
      <c r="QX197" s="201"/>
      <c r="QY197" s="201"/>
      <c r="QZ197" s="201"/>
      <c r="RA197" s="201"/>
      <c r="RB197" s="201"/>
      <c r="RC197" s="201"/>
      <c r="RD197" s="201"/>
      <c r="RE197" s="201"/>
      <c r="RF197" s="201"/>
      <c r="RG197" s="201"/>
      <c r="RH197" s="201"/>
      <c r="RI197" s="201"/>
      <c r="RJ197" s="201"/>
      <c r="RK197" s="201"/>
      <c r="RL197" s="201"/>
      <c r="RM197" s="201"/>
      <c r="RN197" s="201"/>
      <c r="RO197" s="201"/>
      <c r="RP197" s="201"/>
      <c r="RQ197" s="201"/>
      <c r="RR197" s="201"/>
      <c r="RS197" s="201"/>
      <c r="RT197" s="201"/>
      <c r="RU197" s="201"/>
      <c r="RV197" s="201"/>
      <c r="RW197" s="201"/>
      <c r="RX197" s="201"/>
      <c r="RY197" s="201"/>
      <c r="RZ197" s="201"/>
      <c r="SA197" s="201"/>
      <c r="SB197" s="201"/>
      <c r="SC197" s="201"/>
      <c r="SD197" s="201"/>
      <c r="SE197" s="201"/>
      <c r="SF197" s="201"/>
      <c r="SG197" s="201"/>
      <c r="SH197" s="201"/>
      <c r="SI197" s="201"/>
      <c r="SJ197" s="201"/>
      <c r="SK197" s="201"/>
      <c r="SL197" s="201"/>
      <c r="SM197" s="201"/>
      <c r="SN197" s="201"/>
      <c r="SO197" s="201"/>
      <c r="SP197" s="201"/>
      <c r="SQ197" s="201"/>
      <c r="SR197" s="201"/>
      <c r="SS197" s="201"/>
      <c r="ST197" s="201"/>
      <c r="SU197" s="201"/>
      <c r="SV197" s="201"/>
      <c r="SW197" s="201"/>
      <c r="SX197" s="201"/>
      <c r="SY197" s="201"/>
      <c r="SZ197" s="201"/>
      <c r="TA197" s="201"/>
      <c r="TB197" s="201"/>
      <c r="TC197" s="201"/>
      <c r="TD197" s="201"/>
      <c r="TE197" s="201"/>
      <c r="TF197" s="201"/>
      <c r="TG197" s="201"/>
      <c r="TH197" s="201"/>
      <c r="TI197" s="201"/>
      <c r="TJ197" s="201"/>
      <c r="TK197" s="201"/>
      <c r="TL197" s="201"/>
      <c r="TM197" s="201"/>
      <c r="TN197" s="201"/>
      <c r="TO197" s="201"/>
      <c r="TP197" s="201"/>
      <c r="TQ197" s="201"/>
      <c r="TR197" s="201"/>
      <c r="TS197" s="201"/>
      <c r="TT197" s="201"/>
      <c r="TU197" s="201"/>
      <c r="TV197" s="201"/>
      <c r="TW197" s="201"/>
      <c r="TX197" s="201"/>
      <c r="TY197" s="201"/>
      <c r="TZ197" s="201"/>
      <c r="UA197" s="201"/>
      <c r="UB197" s="201"/>
      <c r="UC197" s="201"/>
      <c r="UD197" s="201"/>
      <c r="UE197" s="201"/>
      <c r="UF197" s="201"/>
      <c r="UG197" s="201"/>
      <c r="UH197" s="201"/>
      <c r="UI197" s="201"/>
      <c r="UJ197" s="201"/>
      <c r="UK197" s="201"/>
      <c r="UL197" s="201"/>
      <c r="UM197" s="201"/>
      <c r="UN197" s="201"/>
      <c r="UO197" s="201"/>
      <c r="UP197" s="201"/>
      <c r="UQ197" s="201"/>
      <c r="UR197" s="201"/>
      <c r="US197" s="201"/>
      <c r="UT197" s="201"/>
      <c r="UU197" s="201"/>
    </row>
    <row r="198" spans="2:567" ht="5.0999999999999996" customHeight="1" x14ac:dyDescent="0.25">
      <c r="B198" s="18"/>
      <c r="C198" s="161"/>
      <c r="D198" s="161"/>
      <c r="E198" s="162"/>
      <c r="F198" s="162"/>
      <c r="G198" s="162"/>
      <c r="H198" s="162"/>
      <c r="I198" s="164"/>
      <c r="J198" s="164"/>
      <c r="K198" s="164"/>
      <c r="L198" s="240"/>
      <c r="R198" s="257"/>
      <c r="S198" s="243"/>
      <c r="T198" s="243"/>
      <c r="U198" s="243"/>
      <c r="V198" s="243"/>
      <c r="W198" s="243"/>
      <c r="X198" s="243"/>
      <c r="Y198" s="243"/>
      <c r="Z198" s="243"/>
      <c r="AA198" s="243"/>
      <c r="AB198" s="243"/>
      <c r="AC198" s="243"/>
      <c r="AD198" s="243"/>
      <c r="AE198" s="243"/>
      <c r="AF198" s="243"/>
      <c r="AG198" s="243"/>
      <c r="AH198" s="243"/>
      <c r="AI198" s="243"/>
      <c r="AJ198" s="243"/>
      <c r="AK198" s="243"/>
      <c r="AL198" s="243"/>
      <c r="AM198" s="243"/>
      <c r="AN198" s="243"/>
      <c r="AO198" s="243"/>
      <c r="AP198" s="243"/>
      <c r="AQ198" s="243"/>
      <c r="AR198" s="243"/>
      <c r="AS198" s="243"/>
      <c r="AT198" s="243"/>
      <c r="AU198" s="243"/>
      <c r="AV198" s="243"/>
      <c r="AW198" s="243"/>
      <c r="AX198" s="243"/>
      <c r="AY198" s="243"/>
      <c r="AZ198" s="243"/>
      <c r="BA198" s="243"/>
      <c r="BB198" s="243"/>
      <c r="BC198" s="243"/>
      <c r="BD198" s="243"/>
      <c r="BE198" s="243"/>
      <c r="BF198" s="243"/>
      <c r="BG198" s="243"/>
      <c r="BH198" s="243"/>
      <c r="BI198" s="243"/>
      <c r="BJ198" s="243"/>
      <c r="BK198" s="243"/>
      <c r="BL198" s="243"/>
      <c r="BM198" s="243"/>
      <c r="BN198" s="243"/>
      <c r="BO198" s="243"/>
      <c r="BP198" s="243"/>
      <c r="BQ198" s="243"/>
      <c r="BR198" s="243"/>
      <c r="BS198" s="243"/>
      <c r="BT198" s="243"/>
      <c r="BU198" s="243"/>
      <c r="BV198" s="243"/>
      <c r="BW198" s="243"/>
      <c r="BX198" s="243"/>
      <c r="BY198" s="243"/>
      <c r="BZ198" s="243"/>
      <c r="CA198" s="243"/>
      <c r="CB198" s="243"/>
      <c r="CC198" s="243"/>
      <c r="CD198" s="243"/>
      <c r="CE198" s="243"/>
      <c r="CF198" s="243"/>
      <c r="CG198" s="243"/>
      <c r="CH198" s="243"/>
      <c r="CI198" s="243"/>
      <c r="CJ198" s="243"/>
      <c r="CK198" s="243"/>
      <c r="CL198" s="243"/>
      <c r="CM198" s="243"/>
      <c r="CN198" s="243"/>
      <c r="CO198" s="243"/>
      <c r="CP198" s="243"/>
      <c r="CQ198" s="243"/>
      <c r="CR198" s="243"/>
      <c r="CS198" s="243"/>
      <c r="CT198" s="243"/>
      <c r="CU198" s="243"/>
      <c r="CV198" s="243"/>
      <c r="CW198" s="243"/>
      <c r="CX198" s="243"/>
      <c r="CY198" s="243"/>
      <c r="CZ198" s="243"/>
      <c r="DA198" s="243"/>
      <c r="DB198" s="243"/>
      <c r="DC198" s="243"/>
      <c r="DD198" s="243"/>
      <c r="DE198" s="243"/>
      <c r="DF198" s="243"/>
      <c r="DG198" s="243"/>
      <c r="DH198" s="243"/>
      <c r="DI198" s="243"/>
      <c r="DJ198" s="243"/>
      <c r="DK198" s="243"/>
      <c r="DL198" s="243"/>
      <c r="DM198" s="243"/>
      <c r="DN198" s="243"/>
      <c r="DO198" s="243"/>
      <c r="DP198" s="243"/>
      <c r="DQ198" s="243"/>
      <c r="DR198" s="243"/>
      <c r="DS198" s="243"/>
      <c r="DT198" s="243"/>
      <c r="DU198" s="243"/>
      <c r="DV198" s="243"/>
      <c r="DW198" s="243"/>
      <c r="DX198" s="243"/>
      <c r="DY198" s="243"/>
      <c r="DZ198" s="243"/>
      <c r="EA198" s="243"/>
      <c r="EB198" s="243"/>
      <c r="EC198" s="243"/>
      <c r="ED198" s="243"/>
      <c r="EE198" s="243"/>
      <c r="EF198" s="243"/>
      <c r="EG198" s="243"/>
      <c r="EH198" s="243"/>
      <c r="EI198" s="243"/>
      <c r="EJ198" s="243"/>
      <c r="EK198" s="243"/>
      <c r="EL198" s="243"/>
      <c r="EM198" s="243"/>
      <c r="EN198" s="243"/>
      <c r="EO198" s="243"/>
      <c r="EP198" s="243"/>
      <c r="EQ198" s="243"/>
      <c r="ER198" s="243"/>
      <c r="ES198" s="243"/>
      <c r="ET198" s="243"/>
      <c r="EU198" s="243"/>
      <c r="FC198" s="199"/>
      <c r="FD198" s="199"/>
      <c r="FE198" s="199"/>
      <c r="FF198" s="199"/>
      <c r="FG198" s="199"/>
      <c r="FH198" s="199"/>
      <c r="FI198" s="199"/>
      <c r="FJ198" s="199"/>
      <c r="FK198" s="199"/>
      <c r="FL198" s="199"/>
      <c r="FM198" s="199"/>
      <c r="FN198" s="199"/>
      <c r="FO198" s="199"/>
      <c r="FP198" s="199"/>
      <c r="FQ198" s="199"/>
      <c r="FR198" s="199"/>
      <c r="FS198" s="199"/>
      <c r="FT198" s="199"/>
      <c r="FU198" s="199"/>
      <c r="FV198" s="199"/>
      <c r="FW198" s="199"/>
      <c r="FX198" s="199"/>
      <c r="FY198" s="199"/>
      <c r="FZ198" s="199"/>
      <c r="GA198" s="199"/>
      <c r="GB198" s="199"/>
      <c r="GC198" s="199"/>
      <c r="GD198" s="199"/>
      <c r="GE198" s="199"/>
      <c r="GF198" s="199"/>
      <c r="GG198" s="199"/>
      <c r="GH198" s="199"/>
      <c r="GI198" s="199"/>
      <c r="GJ198" s="199"/>
      <c r="GK198" s="199"/>
      <c r="GL198" s="199"/>
      <c r="GM198" s="199"/>
      <c r="GN198" s="199"/>
      <c r="GO198" s="199"/>
      <c r="GP198" s="199"/>
      <c r="GQ198" s="199"/>
      <c r="GR198" s="199"/>
      <c r="GS198" s="199"/>
      <c r="GT198" s="199"/>
      <c r="GU198" s="199"/>
      <c r="GV198" s="199"/>
      <c r="GW198" s="199"/>
      <c r="GX198" s="199"/>
      <c r="GY198" s="199"/>
      <c r="GZ198" s="199"/>
      <c r="HA198" s="199"/>
      <c r="HB198" s="199"/>
      <c r="HC198" s="199"/>
      <c r="HD198" s="199"/>
      <c r="HE198" s="199"/>
      <c r="HF198" s="199"/>
      <c r="HG198" s="199"/>
      <c r="HH198" s="199"/>
      <c r="HI198" s="199"/>
      <c r="HJ198" s="199"/>
      <c r="HK198" s="199"/>
      <c r="HL198" s="199"/>
      <c r="HM198" s="199"/>
      <c r="HN198" s="199"/>
      <c r="HO198" s="199"/>
      <c r="HP198" s="199"/>
      <c r="HQ198" s="199"/>
      <c r="HR198" s="199"/>
      <c r="HS198" s="199"/>
      <c r="HT198" s="199"/>
      <c r="HU198" s="199"/>
      <c r="HV198" s="199"/>
      <c r="HW198" s="199"/>
      <c r="HX198" s="199"/>
      <c r="HY198" s="199"/>
      <c r="HZ198" s="199"/>
      <c r="IA198" s="199"/>
      <c r="IB198" s="199"/>
      <c r="IC198" s="199"/>
      <c r="ID198" s="199"/>
      <c r="IE198" s="199"/>
      <c r="IF198" s="199"/>
      <c r="IG198" s="199"/>
      <c r="IH198" s="199"/>
      <c r="II198" s="199"/>
      <c r="IJ198" s="199"/>
      <c r="IK198" s="199"/>
      <c r="IL198" s="199"/>
      <c r="IM198" s="199"/>
      <c r="IN198" s="199"/>
      <c r="IO198" s="199"/>
      <c r="IP198" s="199"/>
      <c r="IQ198" s="199"/>
      <c r="IR198" s="199"/>
      <c r="IS198" s="199"/>
      <c r="IT198" s="199"/>
      <c r="IU198" s="199"/>
      <c r="IV198" s="199"/>
      <c r="IW198" s="199"/>
      <c r="IX198" s="199"/>
      <c r="IY198" s="199"/>
      <c r="IZ198" s="199"/>
      <c r="JA198" s="199"/>
      <c r="JB198" s="199"/>
      <c r="JC198" s="199"/>
      <c r="JD198" s="199"/>
      <c r="JE198" s="199"/>
      <c r="JF198" s="199"/>
      <c r="JG198" s="199"/>
      <c r="JH198" s="199"/>
      <c r="JI198" s="199"/>
      <c r="JJ198" s="199"/>
      <c r="JK198" s="199"/>
      <c r="JL198" s="199"/>
      <c r="JM198" s="199"/>
      <c r="JN198" s="199"/>
      <c r="JO198" s="199"/>
      <c r="JP198" s="199"/>
      <c r="JQ198" s="199"/>
      <c r="JR198" s="199"/>
      <c r="JS198" s="199"/>
      <c r="JT198" s="199"/>
      <c r="JU198" s="199"/>
      <c r="JV198" s="199"/>
      <c r="JW198" s="199"/>
      <c r="JX198" s="199"/>
      <c r="JY198" s="199"/>
      <c r="JZ198" s="199"/>
      <c r="KA198" s="199"/>
      <c r="KB198" s="199"/>
      <c r="KC198" s="199"/>
      <c r="KD198" s="199"/>
      <c r="KE198" s="199"/>
      <c r="PQ198" s="201"/>
      <c r="PR198" s="201"/>
      <c r="PS198" s="201"/>
      <c r="PT198" s="201"/>
      <c r="PU198" s="201"/>
      <c r="PV198" s="201"/>
      <c r="PW198" s="201"/>
      <c r="PX198" s="201"/>
      <c r="PY198" s="201"/>
      <c r="PZ198" s="201"/>
      <c r="QA198" s="201"/>
      <c r="QB198" s="201"/>
      <c r="QC198" s="201"/>
      <c r="QD198" s="201"/>
      <c r="QE198" s="201"/>
      <c r="QF198" s="201"/>
      <c r="QG198" s="201"/>
      <c r="QH198" s="201"/>
      <c r="QI198" s="201"/>
      <c r="QJ198" s="201"/>
      <c r="QK198" s="201"/>
      <c r="QL198" s="201"/>
      <c r="QM198" s="201"/>
      <c r="QN198" s="201"/>
      <c r="QO198" s="201"/>
      <c r="QP198" s="201"/>
      <c r="QQ198" s="201"/>
      <c r="QR198" s="201"/>
      <c r="QS198" s="201"/>
      <c r="QT198" s="201"/>
      <c r="QU198" s="201"/>
      <c r="QV198" s="201"/>
      <c r="QW198" s="201"/>
      <c r="QX198" s="201"/>
      <c r="QY198" s="201"/>
      <c r="QZ198" s="201"/>
      <c r="RA198" s="201"/>
      <c r="RB198" s="201"/>
      <c r="RC198" s="201"/>
      <c r="RD198" s="201"/>
      <c r="RE198" s="201"/>
      <c r="RF198" s="201"/>
      <c r="RG198" s="201"/>
      <c r="RH198" s="201"/>
      <c r="RI198" s="201"/>
      <c r="RJ198" s="201"/>
      <c r="RK198" s="201"/>
      <c r="RL198" s="201"/>
      <c r="RM198" s="201"/>
      <c r="RN198" s="201"/>
      <c r="RO198" s="201"/>
      <c r="RP198" s="201"/>
      <c r="RQ198" s="201"/>
      <c r="RR198" s="201"/>
      <c r="RS198" s="201"/>
      <c r="RT198" s="201"/>
      <c r="RU198" s="201"/>
      <c r="RV198" s="201"/>
      <c r="RW198" s="201"/>
      <c r="RX198" s="201"/>
      <c r="RY198" s="201"/>
      <c r="RZ198" s="201"/>
      <c r="SA198" s="201"/>
      <c r="SB198" s="201"/>
      <c r="SC198" s="201"/>
      <c r="SD198" s="201"/>
      <c r="SE198" s="201"/>
      <c r="SF198" s="201"/>
      <c r="SG198" s="201"/>
      <c r="SH198" s="201"/>
      <c r="SI198" s="201"/>
      <c r="SJ198" s="201"/>
      <c r="SK198" s="201"/>
      <c r="SL198" s="201"/>
      <c r="SM198" s="201"/>
      <c r="SN198" s="201"/>
      <c r="SO198" s="201"/>
      <c r="SP198" s="201"/>
      <c r="SQ198" s="201"/>
      <c r="SR198" s="201"/>
      <c r="SS198" s="201"/>
      <c r="ST198" s="201"/>
      <c r="SU198" s="201"/>
      <c r="SV198" s="201"/>
      <c r="SW198" s="201"/>
      <c r="SX198" s="201"/>
      <c r="SY198" s="201"/>
      <c r="SZ198" s="201"/>
      <c r="TA198" s="201"/>
      <c r="TB198" s="201"/>
      <c r="TC198" s="201"/>
      <c r="TD198" s="201"/>
      <c r="TE198" s="201"/>
      <c r="TF198" s="201"/>
      <c r="TG198" s="201"/>
      <c r="TH198" s="201"/>
      <c r="TI198" s="201"/>
      <c r="TJ198" s="201"/>
      <c r="TK198" s="201"/>
      <c r="TL198" s="201"/>
      <c r="TM198" s="201"/>
      <c r="TN198" s="201"/>
      <c r="TO198" s="201"/>
      <c r="TP198" s="201"/>
      <c r="TQ198" s="201"/>
      <c r="TR198" s="201"/>
      <c r="TS198" s="201"/>
      <c r="TT198" s="201"/>
      <c r="TU198" s="201"/>
      <c r="TV198" s="201"/>
      <c r="TW198" s="201"/>
      <c r="TX198" s="201"/>
      <c r="TY198" s="201"/>
      <c r="TZ198" s="201"/>
      <c r="UA198" s="201"/>
      <c r="UB198" s="201"/>
      <c r="UC198" s="201"/>
      <c r="UD198" s="201"/>
      <c r="UE198" s="201"/>
      <c r="UF198" s="201"/>
      <c r="UG198" s="201"/>
      <c r="UH198" s="201"/>
      <c r="UI198" s="201"/>
      <c r="UJ198" s="201"/>
      <c r="UK198" s="201"/>
      <c r="UL198" s="201"/>
      <c r="UM198" s="201"/>
      <c r="UN198" s="201"/>
      <c r="UO198" s="201"/>
      <c r="UP198" s="201"/>
      <c r="UQ198" s="201"/>
      <c r="UR198" s="201"/>
      <c r="US198" s="201"/>
      <c r="UT198" s="201"/>
      <c r="UU198" s="201"/>
    </row>
    <row r="199" spans="2:567" x14ac:dyDescent="0.25">
      <c r="B199" s="18" t="s">
        <v>155</v>
      </c>
      <c r="C199" s="161"/>
      <c r="D199" s="161"/>
      <c r="E199" s="162"/>
      <c r="F199" s="162"/>
      <c r="G199" s="162"/>
      <c r="H199" s="162"/>
      <c r="I199" s="164">
        <f>+I185-I197</f>
        <v>3310019.569449231</v>
      </c>
      <c r="J199" s="164">
        <f t="shared" ref="J199:K199" ca="1" si="3098">+J185-J197</f>
        <v>4668233.3834934998</v>
      </c>
      <c r="K199" s="164">
        <f t="shared" ca="1" si="3098"/>
        <v>4782818.5766952038</v>
      </c>
      <c r="L199" s="240"/>
      <c r="R199" s="257"/>
      <c r="S199" s="243"/>
      <c r="T199" s="243"/>
      <c r="U199" s="243"/>
      <c r="V199" s="243"/>
      <c r="W199" s="243"/>
      <c r="X199" s="243"/>
      <c r="Y199" s="243"/>
      <c r="Z199" s="243"/>
      <c r="AA199" s="243"/>
      <c r="AB199" s="243"/>
      <c r="AC199" s="243"/>
      <c r="AD199" s="243"/>
      <c r="AE199" s="243"/>
      <c r="AF199" s="243"/>
      <c r="AG199" s="243"/>
      <c r="AH199" s="243"/>
      <c r="AI199" s="243"/>
      <c r="AJ199" s="243"/>
      <c r="AK199" s="243"/>
      <c r="AL199" s="243"/>
      <c r="AM199" s="243"/>
      <c r="AN199" s="243"/>
      <c r="AO199" s="243"/>
      <c r="AP199" s="243"/>
      <c r="AQ199" s="243"/>
      <c r="AR199" s="243"/>
      <c r="AS199" s="243"/>
      <c r="AT199" s="243"/>
      <c r="AU199" s="243"/>
      <c r="AV199" s="243"/>
      <c r="AW199" s="243"/>
      <c r="AX199" s="243"/>
      <c r="AY199" s="243"/>
      <c r="AZ199" s="243"/>
      <c r="BA199" s="243"/>
      <c r="BB199" s="243"/>
      <c r="BC199" s="243"/>
      <c r="BD199" s="243"/>
      <c r="BE199" s="243"/>
      <c r="BF199" s="243"/>
      <c r="BG199" s="243"/>
      <c r="BH199" s="243"/>
      <c r="BI199" s="243"/>
      <c r="BJ199" s="243"/>
      <c r="BK199" s="243"/>
      <c r="BL199" s="243"/>
      <c r="BM199" s="243"/>
      <c r="BN199" s="243"/>
      <c r="BO199" s="243"/>
      <c r="BP199" s="243"/>
      <c r="BQ199" s="243"/>
      <c r="BR199" s="243"/>
      <c r="BS199" s="243"/>
      <c r="BT199" s="243"/>
      <c r="BU199" s="243"/>
      <c r="BV199" s="243"/>
      <c r="BW199" s="243"/>
      <c r="BX199" s="243"/>
      <c r="BY199" s="243"/>
      <c r="BZ199" s="243"/>
      <c r="CA199" s="243"/>
      <c r="CB199" s="243"/>
      <c r="CC199" s="243"/>
      <c r="CD199" s="243"/>
      <c r="CE199" s="243"/>
      <c r="CF199" s="243"/>
      <c r="CG199" s="243"/>
      <c r="CH199" s="243"/>
      <c r="CI199" s="243"/>
      <c r="CJ199" s="243"/>
      <c r="CK199" s="243"/>
      <c r="CL199" s="243"/>
      <c r="CM199" s="243"/>
      <c r="CN199" s="243"/>
      <c r="CO199" s="243"/>
      <c r="CP199" s="243"/>
      <c r="CQ199" s="243"/>
      <c r="CR199" s="243"/>
      <c r="CS199" s="243"/>
      <c r="CT199" s="243"/>
      <c r="CU199" s="243"/>
      <c r="CV199" s="243"/>
      <c r="CW199" s="243"/>
      <c r="CX199" s="243"/>
      <c r="CY199" s="243"/>
      <c r="CZ199" s="243"/>
      <c r="DA199" s="243"/>
      <c r="DB199" s="243"/>
      <c r="DC199" s="243"/>
      <c r="DD199" s="243"/>
      <c r="DE199" s="243"/>
      <c r="DF199" s="243"/>
      <c r="DG199" s="243"/>
      <c r="DH199" s="243"/>
      <c r="DI199" s="243"/>
      <c r="DJ199" s="243"/>
      <c r="DK199" s="243"/>
      <c r="DL199" s="243"/>
      <c r="DM199" s="243"/>
      <c r="DN199" s="243"/>
      <c r="DO199" s="243"/>
      <c r="DP199" s="243"/>
      <c r="DQ199" s="243"/>
      <c r="DR199" s="243"/>
      <c r="DS199" s="243"/>
      <c r="DT199" s="243"/>
      <c r="DU199" s="243"/>
      <c r="DV199" s="243"/>
      <c r="DW199" s="243"/>
      <c r="DX199" s="243"/>
      <c r="DY199" s="243"/>
      <c r="DZ199" s="243"/>
      <c r="EA199" s="243"/>
      <c r="EB199" s="243"/>
      <c r="EC199" s="243"/>
      <c r="ED199" s="243"/>
      <c r="EE199" s="243"/>
      <c r="EF199" s="243"/>
      <c r="EG199" s="243"/>
      <c r="EH199" s="243"/>
      <c r="EI199" s="243"/>
      <c r="EJ199" s="243"/>
      <c r="EK199" s="243"/>
      <c r="EL199" s="243"/>
      <c r="EM199" s="243"/>
      <c r="EN199" s="243"/>
      <c r="EO199" s="243"/>
      <c r="EP199" s="243"/>
      <c r="EQ199" s="243"/>
      <c r="ER199" s="243"/>
      <c r="ES199" s="243"/>
      <c r="ET199" s="243"/>
      <c r="EU199" s="243"/>
      <c r="EY199" s="203" t="str">
        <f>G237</f>
        <v>% of LP Equity</v>
      </c>
      <c r="EZ199" s="203"/>
      <c r="FA199" s="203" t="str">
        <f>+I237</f>
        <v>Fee Accrues?</v>
      </c>
      <c r="FC199" s="204">
        <f t="shared" ref="FC199:GH199" si="3099">+FC2</f>
        <v>0</v>
      </c>
      <c r="FD199" s="204">
        <f t="shared" si="3099"/>
        <v>1</v>
      </c>
      <c r="FE199" s="204">
        <f t="shared" si="3099"/>
        <v>2</v>
      </c>
      <c r="FF199" s="204">
        <f t="shared" si="3099"/>
        <v>3</v>
      </c>
      <c r="FG199" s="204">
        <f t="shared" si="3099"/>
        <v>4</v>
      </c>
      <c r="FH199" s="204">
        <f t="shared" si="3099"/>
        <v>5</v>
      </c>
      <c r="FI199" s="204">
        <f t="shared" si="3099"/>
        <v>6</v>
      </c>
      <c r="FJ199" s="204">
        <f t="shared" si="3099"/>
        <v>7</v>
      </c>
      <c r="FK199" s="204">
        <f t="shared" si="3099"/>
        <v>8</v>
      </c>
      <c r="FL199" s="204">
        <f t="shared" si="3099"/>
        <v>9</v>
      </c>
      <c r="FM199" s="204">
        <f t="shared" si="3099"/>
        <v>10</v>
      </c>
      <c r="FN199" s="204">
        <f t="shared" si="3099"/>
        <v>11</v>
      </c>
      <c r="FO199" s="204">
        <f t="shared" si="3099"/>
        <v>12</v>
      </c>
      <c r="FP199" s="204">
        <f t="shared" si="3099"/>
        <v>13</v>
      </c>
      <c r="FQ199" s="204">
        <f t="shared" si="3099"/>
        <v>14</v>
      </c>
      <c r="FR199" s="204">
        <f t="shared" si="3099"/>
        <v>15</v>
      </c>
      <c r="FS199" s="204">
        <f t="shared" si="3099"/>
        <v>16</v>
      </c>
      <c r="FT199" s="204">
        <f t="shared" si="3099"/>
        <v>17</v>
      </c>
      <c r="FU199" s="204">
        <f t="shared" si="3099"/>
        <v>18</v>
      </c>
      <c r="FV199" s="204">
        <f t="shared" si="3099"/>
        <v>19</v>
      </c>
      <c r="FW199" s="204">
        <f t="shared" si="3099"/>
        <v>20</v>
      </c>
      <c r="FX199" s="204">
        <f t="shared" si="3099"/>
        <v>21</v>
      </c>
      <c r="FY199" s="204">
        <f t="shared" si="3099"/>
        <v>22</v>
      </c>
      <c r="FZ199" s="204">
        <f t="shared" si="3099"/>
        <v>23</v>
      </c>
      <c r="GA199" s="204">
        <f t="shared" si="3099"/>
        <v>24</v>
      </c>
      <c r="GB199" s="204">
        <f t="shared" si="3099"/>
        <v>25</v>
      </c>
      <c r="GC199" s="204">
        <f t="shared" si="3099"/>
        <v>26</v>
      </c>
      <c r="GD199" s="204">
        <f t="shared" si="3099"/>
        <v>27</v>
      </c>
      <c r="GE199" s="204">
        <f t="shared" si="3099"/>
        <v>28</v>
      </c>
      <c r="GF199" s="204">
        <f t="shared" si="3099"/>
        <v>29</v>
      </c>
      <c r="GG199" s="204">
        <f t="shared" si="3099"/>
        <v>30</v>
      </c>
      <c r="GH199" s="204">
        <f t="shared" si="3099"/>
        <v>31</v>
      </c>
      <c r="GI199" s="204">
        <f t="shared" ref="GI199:HN199" si="3100">+GI2</f>
        <v>32</v>
      </c>
      <c r="GJ199" s="204">
        <f t="shared" si="3100"/>
        <v>33</v>
      </c>
      <c r="GK199" s="204">
        <f t="shared" si="3100"/>
        <v>34</v>
      </c>
      <c r="GL199" s="204">
        <f t="shared" si="3100"/>
        <v>35</v>
      </c>
      <c r="GM199" s="204">
        <f t="shared" si="3100"/>
        <v>36</v>
      </c>
      <c r="GN199" s="204">
        <f t="shared" si="3100"/>
        <v>37</v>
      </c>
      <c r="GO199" s="204">
        <f t="shared" si="3100"/>
        <v>38</v>
      </c>
      <c r="GP199" s="204">
        <f t="shared" si="3100"/>
        <v>39</v>
      </c>
      <c r="GQ199" s="204">
        <f t="shared" si="3100"/>
        <v>40</v>
      </c>
      <c r="GR199" s="204">
        <f t="shared" si="3100"/>
        <v>41</v>
      </c>
      <c r="GS199" s="204">
        <f t="shared" si="3100"/>
        <v>42</v>
      </c>
      <c r="GT199" s="204">
        <f t="shared" si="3100"/>
        <v>43</v>
      </c>
      <c r="GU199" s="204">
        <f t="shared" si="3100"/>
        <v>44</v>
      </c>
      <c r="GV199" s="204">
        <f t="shared" si="3100"/>
        <v>45</v>
      </c>
      <c r="GW199" s="204">
        <f t="shared" si="3100"/>
        <v>46</v>
      </c>
      <c r="GX199" s="204">
        <f t="shared" si="3100"/>
        <v>47</v>
      </c>
      <c r="GY199" s="204">
        <f t="shared" si="3100"/>
        <v>48</v>
      </c>
      <c r="GZ199" s="204">
        <f t="shared" si="3100"/>
        <v>49</v>
      </c>
      <c r="HA199" s="204">
        <f t="shared" si="3100"/>
        <v>50</v>
      </c>
      <c r="HB199" s="204">
        <f t="shared" si="3100"/>
        <v>51</v>
      </c>
      <c r="HC199" s="204">
        <f t="shared" si="3100"/>
        <v>52</v>
      </c>
      <c r="HD199" s="204">
        <f t="shared" si="3100"/>
        <v>53</v>
      </c>
      <c r="HE199" s="204">
        <f t="shared" si="3100"/>
        <v>54</v>
      </c>
      <c r="HF199" s="204">
        <f t="shared" si="3100"/>
        <v>55</v>
      </c>
      <c r="HG199" s="204">
        <f t="shared" si="3100"/>
        <v>56</v>
      </c>
      <c r="HH199" s="204">
        <f t="shared" si="3100"/>
        <v>57</v>
      </c>
      <c r="HI199" s="204">
        <f t="shared" si="3100"/>
        <v>58</v>
      </c>
      <c r="HJ199" s="204">
        <f t="shared" si="3100"/>
        <v>59</v>
      </c>
      <c r="HK199" s="204">
        <f t="shared" si="3100"/>
        <v>60</v>
      </c>
      <c r="HL199" s="204">
        <f t="shared" si="3100"/>
        <v>61</v>
      </c>
      <c r="HM199" s="204">
        <f t="shared" si="3100"/>
        <v>62</v>
      </c>
      <c r="HN199" s="204">
        <f t="shared" si="3100"/>
        <v>63</v>
      </c>
      <c r="HO199" s="204">
        <f t="shared" ref="HO199:IT199" si="3101">+HO2</f>
        <v>64</v>
      </c>
      <c r="HP199" s="204">
        <f t="shared" si="3101"/>
        <v>65</v>
      </c>
      <c r="HQ199" s="204">
        <f t="shared" si="3101"/>
        <v>66</v>
      </c>
      <c r="HR199" s="204">
        <f t="shared" si="3101"/>
        <v>67</v>
      </c>
      <c r="HS199" s="204">
        <f t="shared" si="3101"/>
        <v>68</v>
      </c>
      <c r="HT199" s="204">
        <f t="shared" si="3101"/>
        <v>69</v>
      </c>
      <c r="HU199" s="204">
        <f t="shared" si="3101"/>
        <v>70</v>
      </c>
      <c r="HV199" s="204">
        <f t="shared" si="3101"/>
        <v>71</v>
      </c>
      <c r="HW199" s="204">
        <f t="shared" si="3101"/>
        <v>72</v>
      </c>
      <c r="HX199" s="204">
        <f t="shared" si="3101"/>
        <v>73</v>
      </c>
      <c r="HY199" s="204">
        <f t="shared" si="3101"/>
        <v>74</v>
      </c>
      <c r="HZ199" s="204">
        <f t="shared" si="3101"/>
        <v>75</v>
      </c>
      <c r="IA199" s="204">
        <f t="shared" si="3101"/>
        <v>76</v>
      </c>
      <c r="IB199" s="204">
        <f t="shared" si="3101"/>
        <v>77</v>
      </c>
      <c r="IC199" s="204">
        <f t="shared" si="3101"/>
        <v>78</v>
      </c>
      <c r="ID199" s="204">
        <f t="shared" si="3101"/>
        <v>79</v>
      </c>
      <c r="IE199" s="204">
        <f t="shared" si="3101"/>
        <v>80</v>
      </c>
      <c r="IF199" s="204">
        <f t="shared" si="3101"/>
        <v>81</v>
      </c>
      <c r="IG199" s="204">
        <f t="shared" si="3101"/>
        <v>82</v>
      </c>
      <c r="IH199" s="204">
        <f t="shared" si="3101"/>
        <v>83</v>
      </c>
      <c r="II199" s="204">
        <f t="shared" si="3101"/>
        <v>84</v>
      </c>
      <c r="IJ199" s="204">
        <f t="shared" si="3101"/>
        <v>85</v>
      </c>
      <c r="IK199" s="204">
        <f t="shared" si="3101"/>
        <v>86</v>
      </c>
      <c r="IL199" s="204">
        <f t="shared" si="3101"/>
        <v>87</v>
      </c>
      <c r="IM199" s="204">
        <f t="shared" si="3101"/>
        <v>88</v>
      </c>
      <c r="IN199" s="204">
        <f t="shared" si="3101"/>
        <v>89</v>
      </c>
      <c r="IO199" s="204">
        <f t="shared" si="3101"/>
        <v>90</v>
      </c>
      <c r="IP199" s="204">
        <f t="shared" si="3101"/>
        <v>91</v>
      </c>
      <c r="IQ199" s="204">
        <f t="shared" si="3101"/>
        <v>92</v>
      </c>
      <c r="IR199" s="204">
        <f t="shared" si="3101"/>
        <v>93</v>
      </c>
      <c r="IS199" s="204">
        <f t="shared" si="3101"/>
        <v>94</v>
      </c>
      <c r="IT199" s="204">
        <f t="shared" si="3101"/>
        <v>95</v>
      </c>
      <c r="IU199" s="204">
        <f t="shared" ref="IU199:KE199" si="3102">+IU2</f>
        <v>96</v>
      </c>
      <c r="IV199" s="204">
        <f t="shared" si="3102"/>
        <v>97</v>
      </c>
      <c r="IW199" s="204">
        <f t="shared" si="3102"/>
        <v>98</v>
      </c>
      <c r="IX199" s="204">
        <f t="shared" si="3102"/>
        <v>99</v>
      </c>
      <c r="IY199" s="204">
        <f t="shared" si="3102"/>
        <v>100</v>
      </c>
      <c r="IZ199" s="204">
        <f t="shared" si="3102"/>
        <v>101</v>
      </c>
      <c r="JA199" s="204">
        <f t="shared" si="3102"/>
        <v>102</v>
      </c>
      <c r="JB199" s="204">
        <f t="shared" si="3102"/>
        <v>103</v>
      </c>
      <c r="JC199" s="204">
        <f t="shared" si="3102"/>
        <v>104</v>
      </c>
      <c r="JD199" s="204">
        <f t="shared" si="3102"/>
        <v>105</v>
      </c>
      <c r="JE199" s="204">
        <f t="shared" si="3102"/>
        <v>106</v>
      </c>
      <c r="JF199" s="204">
        <f t="shared" si="3102"/>
        <v>107</v>
      </c>
      <c r="JG199" s="204">
        <f t="shared" si="3102"/>
        <v>108</v>
      </c>
      <c r="JH199" s="204">
        <f t="shared" si="3102"/>
        <v>109</v>
      </c>
      <c r="JI199" s="204">
        <f t="shared" si="3102"/>
        <v>110</v>
      </c>
      <c r="JJ199" s="204">
        <f t="shared" si="3102"/>
        <v>111</v>
      </c>
      <c r="JK199" s="204">
        <f t="shared" si="3102"/>
        <v>112</v>
      </c>
      <c r="JL199" s="204">
        <f t="shared" si="3102"/>
        <v>113</v>
      </c>
      <c r="JM199" s="204">
        <f t="shared" si="3102"/>
        <v>114</v>
      </c>
      <c r="JN199" s="204">
        <f t="shared" si="3102"/>
        <v>115</v>
      </c>
      <c r="JO199" s="204">
        <f t="shared" si="3102"/>
        <v>116</v>
      </c>
      <c r="JP199" s="204">
        <f t="shared" si="3102"/>
        <v>117</v>
      </c>
      <c r="JQ199" s="204">
        <f t="shared" si="3102"/>
        <v>118</v>
      </c>
      <c r="JR199" s="204">
        <f t="shared" si="3102"/>
        <v>119</v>
      </c>
      <c r="JS199" s="204">
        <f t="shared" si="3102"/>
        <v>120</v>
      </c>
      <c r="JT199" s="204">
        <f t="shared" si="3102"/>
        <v>121</v>
      </c>
      <c r="JU199" s="204">
        <f t="shared" si="3102"/>
        <v>122</v>
      </c>
      <c r="JV199" s="204">
        <f t="shared" si="3102"/>
        <v>123</v>
      </c>
      <c r="JW199" s="204">
        <f t="shared" si="3102"/>
        <v>124</v>
      </c>
      <c r="JX199" s="204">
        <f t="shared" si="3102"/>
        <v>125</v>
      </c>
      <c r="JY199" s="204">
        <f t="shared" si="3102"/>
        <v>126</v>
      </c>
      <c r="JZ199" s="204">
        <f t="shared" si="3102"/>
        <v>127</v>
      </c>
      <c r="KA199" s="204">
        <f t="shared" si="3102"/>
        <v>128</v>
      </c>
      <c r="KB199" s="204">
        <f t="shared" si="3102"/>
        <v>129</v>
      </c>
      <c r="KC199" s="204">
        <f t="shared" si="3102"/>
        <v>130</v>
      </c>
      <c r="KD199" s="204">
        <f t="shared" si="3102"/>
        <v>131</v>
      </c>
      <c r="KE199" s="204">
        <f t="shared" si="3102"/>
        <v>132</v>
      </c>
      <c r="KF199" s="200" t="s">
        <v>269</v>
      </c>
      <c r="PQ199" s="201"/>
      <c r="PR199" s="201"/>
      <c r="PS199" s="201"/>
      <c r="PT199" s="201"/>
      <c r="PU199" s="201"/>
      <c r="PV199" s="201"/>
      <c r="PW199" s="201"/>
      <c r="PX199" s="201"/>
      <c r="PY199" s="201"/>
      <c r="PZ199" s="201"/>
      <c r="QA199" s="201"/>
      <c r="QB199" s="201"/>
      <c r="QC199" s="201"/>
      <c r="QD199" s="201"/>
      <c r="QE199" s="201"/>
      <c r="QF199" s="201"/>
      <c r="QG199" s="201"/>
      <c r="QH199" s="201"/>
      <c r="QI199" s="201"/>
      <c r="QJ199" s="201"/>
      <c r="QK199" s="201"/>
      <c r="QL199" s="201"/>
      <c r="QM199" s="201"/>
      <c r="QN199" s="201"/>
      <c r="QO199" s="201"/>
      <c r="QP199" s="201"/>
      <c r="QQ199" s="201"/>
      <c r="QR199" s="201"/>
      <c r="QS199" s="201"/>
      <c r="QT199" s="201"/>
      <c r="QU199" s="201"/>
      <c r="QV199" s="201"/>
      <c r="QW199" s="201"/>
      <c r="QX199" s="201"/>
      <c r="QY199" s="201"/>
      <c r="QZ199" s="201"/>
      <c r="RA199" s="201"/>
      <c r="RB199" s="201"/>
      <c r="RC199" s="201"/>
      <c r="RD199" s="201"/>
      <c r="RE199" s="201"/>
      <c r="RF199" s="201"/>
      <c r="RG199" s="201"/>
      <c r="RH199" s="201"/>
      <c r="RI199" s="201"/>
      <c r="RJ199" s="201"/>
      <c r="RK199" s="201"/>
      <c r="RL199" s="201"/>
      <c r="RM199" s="201"/>
      <c r="RN199" s="201"/>
      <c r="RO199" s="201"/>
      <c r="RP199" s="201"/>
      <c r="RQ199" s="201"/>
      <c r="RR199" s="201"/>
      <c r="RS199" s="201"/>
      <c r="RT199" s="201"/>
      <c r="RU199" s="201"/>
      <c r="RV199" s="201"/>
      <c r="RW199" s="201"/>
      <c r="RX199" s="201"/>
      <c r="RY199" s="201"/>
      <c r="RZ199" s="201"/>
      <c r="SA199" s="201"/>
      <c r="SB199" s="201"/>
      <c r="SC199" s="201"/>
      <c r="SD199" s="201"/>
      <c r="SE199" s="201"/>
      <c r="SF199" s="201"/>
      <c r="SG199" s="201"/>
      <c r="SH199" s="201"/>
      <c r="SI199" s="201"/>
      <c r="SJ199" s="201"/>
      <c r="SK199" s="201"/>
      <c r="SL199" s="201"/>
      <c r="SM199" s="201"/>
      <c r="SN199" s="201"/>
      <c r="SO199" s="201"/>
      <c r="SP199" s="201"/>
      <c r="SQ199" s="201"/>
      <c r="SR199" s="201"/>
      <c r="SS199" s="201"/>
      <c r="ST199" s="201"/>
      <c r="SU199" s="201"/>
      <c r="SV199" s="201"/>
      <c r="SW199" s="201"/>
      <c r="SX199" s="201"/>
      <c r="SY199" s="201"/>
      <c r="SZ199" s="201"/>
      <c r="TA199" s="201"/>
      <c r="TB199" s="201"/>
      <c r="TC199" s="201"/>
      <c r="TD199" s="201"/>
      <c r="TE199" s="201"/>
      <c r="TF199" s="201"/>
      <c r="TG199" s="201"/>
      <c r="TH199" s="201"/>
      <c r="TI199" s="201"/>
      <c r="TJ199" s="201"/>
      <c r="TK199" s="201"/>
      <c r="TL199" s="201"/>
      <c r="TM199" s="201"/>
      <c r="TN199" s="201"/>
      <c r="TO199" s="201"/>
      <c r="TP199" s="201"/>
      <c r="TQ199" s="201"/>
      <c r="TR199" s="201"/>
      <c r="TS199" s="201"/>
      <c r="TT199" s="201"/>
      <c r="TU199" s="201"/>
      <c r="TV199" s="201"/>
      <c r="TW199" s="201"/>
      <c r="TX199" s="201"/>
      <c r="TY199" s="201"/>
      <c r="TZ199" s="201"/>
      <c r="UA199" s="201"/>
      <c r="UB199" s="201"/>
      <c r="UC199" s="201"/>
      <c r="UD199" s="201"/>
      <c r="UE199" s="201"/>
      <c r="UF199" s="201"/>
      <c r="UG199" s="201"/>
      <c r="UH199" s="201"/>
      <c r="UI199" s="201"/>
      <c r="UJ199" s="201"/>
      <c r="UK199" s="201"/>
      <c r="UL199" s="201"/>
      <c r="UM199" s="201"/>
      <c r="UN199" s="201"/>
      <c r="UO199" s="201"/>
      <c r="UP199" s="201"/>
      <c r="UQ199" s="201"/>
      <c r="UR199" s="201"/>
      <c r="US199" s="201"/>
      <c r="UT199" s="201"/>
      <c r="UU199" s="201"/>
    </row>
    <row r="200" spans="2:567" x14ac:dyDescent="0.25">
      <c r="B200" s="18" t="s">
        <v>156</v>
      </c>
      <c r="C200" s="161"/>
      <c r="D200" s="161"/>
      <c r="E200" s="162"/>
      <c r="F200" s="162"/>
      <c r="G200" s="162"/>
      <c r="H200" s="162"/>
      <c r="I200" s="164"/>
      <c r="J200" s="164"/>
      <c r="K200" s="164"/>
      <c r="L200" s="240"/>
      <c r="R200" s="257"/>
      <c r="S200" s="243"/>
      <c r="T200" s="243"/>
      <c r="U200" s="243"/>
      <c r="V200" s="243"/>
      <c r="W200" s="243"/>
      <c r="X200" s="243"/>
      <c r="Y200" s="243"/>
      <c r="Z200" s="243"/>
      <c r="AA200" s="243"/>
      <c r="AB200" s="243"/>
      <c r="AC200" s="243"/>
      <c r="AD200" s="243"/>
      <c r="AE200" s="243"/>
      <c r="AF200" s="243"/>
      <c r="AG200" s="243"/>
      <c r="AH200" s="243"/>
      <c r="AI200" s="243"/>
      <c r="AJ200" s="243"/>
      <c r="AK200" s="243"/>
      <c r="AL200" s="243"/>
      <c r="AM200" s="243"/>
      <c r="AN200" s="243"/>
      <c r="AO200" s="243"/>
      <c r="AP200" s="243"/>
      <c r="AQ200" s="243"/>
      <c r="AR200" s="243"/>
      <c r="AS200" s="243"/>
      <c r="AT200" s="243"/>
      <c r="AU200" s="243"/>
      <c r="AV200" s="243"/>
      <c r="AW200" s="243"/>
      <c r="AX200" s="243"/>
      <c r="AY200" s="243"/>
      <c r="AZ200" s="243"/>
      <c r="BA200" s="243"/>
      <c r="BB200" s="243"/>
      <c r="BC200" s="243"/>
      <c r="BD200" s="243"/>
      <c r="BE200" s="243"/>
      <c r="BF200" s="243"/>
      <c r="BG200" s="243"/>
      <c r="BH200" s="243"/>
      <c r="BI200" s="243"/>
      <c r="BJ200" s="243"/>
      <c r="BK200" s="243"/>
      <c r="BL200" s="243"/>
      <c r="BM200" s="243"/>
      <c r="BN200" s="243"/>
      <c r="BO200" s="243"/>
      <c r="BP200" s="243"/>
      <c r="BQ200" s="243"/>
      <c r="BR200" s="243"/>
      <c r="BS200" s="243"/>
      <c r="BT200" s="243"/>
      <c r="BU200" s="243"/>
      <c r="BV200" s="243"/>
      <c r="BW200" s="243"/>
      <c r="BX200" s="243"/>
      <c r="BY200" s="243"/>
      <c r="BZ200" s="243"/>
      <c r="CA200" s="243"/>
      <c r="CB200" s="243"/>
      <c r="CC200" s="243"/>
      <c r="CD200" s="243"/>
      <c r="CE200" s="243"/>
      <c r="CF200" s="243"/>
      <c r="CG200" s="243"/>
      <c r="CH200" s="243"/>
      <c r="CI200" s="243"/>
      <c r="CJ200" s="243"/>
      <c r="CK200" s="243"/>
      <c r="CL200" s="243"/>
      <c r="CM200" s="243"/>
      <c r="CN200" s="243"/>
      <c r="CO200" s="243"/>
      <c r="CP200" s="243"/>
      <c r="CQ200" s="243"/>
      <c r="CR200" s="243"/>
      <c r="CS200" s="243"/>
      <c r="CT200" s="243"/>
      <c r="CU200" s="243"/>
      <c r="CV200" s="243"/>
      <c r="CW200" s="243"/>
      <c r="CX200" s="243"/>
      <c r="CY200" s="243"/>
      <c r="CZ200" s="243"/>
      <c r="DA200" s="243"/>
      <c r="DB200" s="243"/>
      <c r="DC200" s="243"/>
      <c r="DD200" s="243"/>
      <c r="DE200" s="243"/>
      <c r="DF200" s="243"/>
      <c r="DG200" s="243"/>
      <c r="DH200" s="243"/>
      <c r="DI200" s="243"/>
      <c r="DJ200" s="243"/>
      <c r="DK200" s="243"/>
      <c r="DL200" s="243"/>
      <c r="DM200" s="243"/>
      <c r="DN200" s="243"/>
      <c r="DO200" s="243"/>
      <c r="DP200" s="243"/>
      <c r="DQ200" s="243"/>
      <c r="DR200" s="243"/>
      <c r="DS200" s="243"/>
      <c r="DT200" s="243"/>
      <c r="DU200" s="243"/>
      <c r="DV200" s="243"/>
      <c r="DW200" s="243"/>
      <c r="DX200" s="243"/>
      <c r="DY200" s="243"/>
      <c r="DZ200" s="243"/>
      <c r="EA200" s="243"/>
      <c r="EB200" s="243"/>
      <c r="EC200" s="243"/>
      <c r="ED200" s="243"/>
      <c r="EE200" s="243"/>
      <c r="EF200" s="243"/>
      <c r="EG200" s="243"/>
      <c r="EH200" s="243"/>
      <c r="EI200" s="243"/>
      <c r="EJ200" s="243"/>
      <c r="EK200" s="243"/>
      <c r="EL200" s="243"/>
      <c r="EM200" s="243"/>
      <c r="EN200" s="243"/>
      <c r="EO200" s="243"/>
      <c r="EP200" s="243"/>
      <c r="EQ200" s="243"/>
      <c r="ER200" s="243"/>
      <c r="ES200" s="243"/>
      <c r="ET200" s="243"/>
      <c r="EU200" s="243"/>
      <c r="EW200" s="199" t="s">
        <v>573</v>
      </c>
      <c r="EY200" s="221">
        <f>G238</f>
        <v>7.4999999999999997E-3</v>
      </c>
      <c r="EZ200" s="529"/>
      <c r="FA200" s="216" t="str">
        <f>+I238</f>
        <v>Yes</v>
      </c>
      <c r="FC200" s="394">
        <f t="shared" ref="FC200:GH200" si="3103">($EY$199=$FA$194)*$EY$200*FC194/12+($EY$199=$FA$195)*$EY$200*FC195/12+($EY$199=$FA$196)*$EY$200*FC196</f>
        <v>0</v>
      </c>
      <c r="FD200" s="394">
        <f t="shared" ca="1" si="3103"/>
        <v>17281.831249999999</v>
      </c>
      <c r="FE200" s="394">
        <f t="shared" ca="1" si="3103"/>
        <v>17281.831249999999</v>
      </c>
      <c r="FF200" s="394">
        <f t="shared" ca="1" si="3103"/>
        <v>17281.831249999999</v>
      </c>
      <c r="FG200" s="394">
        <f t="shared" ca="1" si="3103"/>
        <v>17281.831249999999</v>
      </c>
      <c r="FH200" s="394">
        <f t="shared" ca="1" si="3103"/>
        <v>17281.831249999999</v>
      </c>
      <c r="FI200" s="394">
        <f t="shared" ca="1" si="3103"/>
        <v>17281.831249999999</v>
      </c>
      <c r="FJ200" s="394">
        <f t="shared" ca="1" si="3103"/>
        <v>17281.831249999999</v>
      </c>
      <c r="FK200" s="394">
        <f t="shared" ca="1" si="3103"/>
        <v>17281.831249999999</v>
      </c>
      <c r="FL200" s="394">
        <f t="shared" ca="1" si="3103"/>
        <v>17281.831249999999</v>
      </c>
      <c r="FM200" s="394">
        <f t="shared" ca="1" si="3103"/>
        <v>17281.831249999999</v>
      </c>
      <c r="FN200" s="394">
        <f t="shared" ca="1" si="3103"/>
        <v>17281.831249999999</v>
      </c>
      <c r="FO200" s="394">
        <f t="shared" ca="1" si="3103"/>
        <v>17281.831249999999</v>
      </c>
      <c r="FP200" s="394">
        <f t="shared" ca="1" si="3103"/>
        <v>17281.831249999999</v>
      </c>
      <c r="FQ200" s="394">
        <f t="shared" ca="1" si="3103"/>
        <v>17281.831249999999</v>
      </c>
      <c r="FR200" s="394">
        <f t="shared" ca="1" si="3103"/>
        <v>17281.831249999999</v>
      </c>
      <c r="FS200" s="394">
        <f t="shared" ca="1" si="3103"/>
        <v>17281.831249999999</v>
      </c>
      <c r="FT200" s="394">
        <f t="shared" ca="1" si="3103"/>
        <v>17281.831249999999</v>
      </c>
      <c r="FU200" s="394">
        <f t="shared" ca="1" si="3103"/>
        <v>17281.831249999999</v>
      </c>
      <c r="FV200" s="394">
        <f t="shared" ca="1" si="3103"/>
        <v>17281.831249999999</v>
      </c>
      <c r="FW200" s="394">
        <f t="shared" ca="1" si="3103"/>
        <v>17281.831249999999</v>
      </c>
      <c r="FX200" s="394">
        <f t="shared" ca="1" si="3103"/>
        <v>17281.831249999999</v>
      </c>
      <c r="FY200" s="394">
        <f t="shared" ca="1" si="3103"/>
        <v>17281.831249999999</v>
      </c>
      <c r="FZ200" s="394">
        <f t="shared" ca="1" si="3103"/>
        <v>17281.831249999999</v>
      </c>
      <c r="GA200" s="394">
        <f t="shared" ca="1" si="3103"/>
        <v>17281.831249999999</v>
      </c>
      <c r="GB200" s="394">
        <f t="shared" ca="1" si="3103"/>
        <v>17281.831249999999</v>
      </c>
      <c r="GC200" s="394">
        <f t="shared" ca="1" si="3103"/>
        <v>17281.831249999999</v>
      </c>
      <c r="GD200" s="394">
        <f t="shared" ca="1" si="3103"/>
        <v>17281.831249999999</v>
      </c>
      <c r="GE200" s="394">
        <f t="shared" ca="1" si="3103"/>
        <v>17281.831249999999</v>
      </c>
      <c r="GF200" s="394">
        <f t="shared" ca="1" si="3103"/>
        <v>17281.831249999999</v>
      </c>
      <c r="GG200" s="394">
        <f t="shared" ca="1" si="3103"/>
        <v>17281.831249999999</v>
      </c>
      <c r="GH200" s="394">
        <f t="shared" ca="1" si="3103"/>
        <v>17281.831249999999</v>
      </c>
      <c r="GI200" s="394">
        <f t="shared" ref="GI200:HN200" ca="1" si="3104">($EY$199=$FA$194)*$EY$200*GI194/12+($EY$199=$FA$195)*$EY$200*GI195/12+($EY$199=$FA$196)*$EY$200*GI196</f>
        <v>17281.831249999999</v>
      </c>
      <c r="GJ200" s="394">
        <f t="shared" ca="1" si="3104"/>
        <v>17281.831249999999</v>
      </c>
      <c r="GK200" s="394">
        <f t="shared" ca="1" si="3104"/>
        <v>17281.831249999999</v>
      </c>
      <c r="GL200" s="394">
        <f t="shared" ca="1" si="3104"/>
        <v>17281.831249999999</v>
      </c>
      <c r="GM200" s="394">
        <f t="shared" ca="1" si="3104"/>
        <v>17281.831249999999</v>
      </c>
      <c r="GN200" s="394">
        <f t="shared" ca="1" si="3104"/>
        <v>0</v>
      </c>
      <c r="GO200" s="394">
        <f t="shared" ca="1" si="3104"/>
        <v>0</v>
      </c>
      <c r="GP200" s="394">
        <f t="shared" ca="1" si="3104"/>
        <v>0</v>
      </c>
      <c r="GQ200" s="394">
        <f t="shared" ca="1" si="3104"/>
        <v>0</v>
      </c>
      <c r="GR200" s="394">
        <f t="shared" ca="1" si="3104"/>
        <v>0</v>
      </c>
      <c r="GS200" s="394">
        <f t="shared" ca="1" si="3104"/>
        <v>0</v>
      </c>
      <c r="GT200" s="394">
        <f t="shared" ca="1" si="3104"/>
        <v>0</v>
      </c>
      <c r="GU200" s="394">
        <f t="shared" ca="1" si="3104"/>
        <v>0</v>
      </c>
      <c r="GV200" s="394">
        <f t="shared" ca="1" si="3104"/>
        <v>0</v>
      </c>
      <c r="GW200" s="394">
        <f t="shared" ca="1" si="3104"/>
        <v>0</v>
      </c>
      <c r="GX200" s="394">
        <f t="shared" ca="1" si="3104"/>
        <v>0</v>
      </c>
      <c r="GY200" s="394">
        <f t="shared" ca="1" si="3104"/>
        <v>0</v>
      </c>
      <c r="GZ200" s="394">
        <f t="shared" ca="1" si="3104"/>
        <v>0</v>
      </c>
      <c r="HA200" s="394">
        <f t="shared" ca="1" si="3104"/>
        <v>0</v>
      </c>
      <c r="HB200" s="394">
        <f t="shared" ca="1" si="3104"/>
        <v>0</v>
      </c>
      <c r="HC200" s="394">
        <f t="shared" ca="1" si="3104"/>
        <v>0</v>
      </c>
      <c r="HD200" s="394">
        <f t="shared" ca="1" si="3104"/>
        <v>0</v>
      </c>
      <c r="HE200" s="394">
        <f t="shared" ca="1" si="3104"/>
        <v>0</v>
      </c>
      <c r="HF200" s="394">
        <f t="shared" ca="1" si="3104"/>
        <v>0</v>
      </c>
      <c r="HG200" s="394">
        <f t="shared" ca="1" si="3104"/>
        <v>0</v>
      </c>
      <c r="HH200" s="394">
        <f t="shared" ca="1" si="3104"/>
        <v>0</v>
      </c>
      <c r="HI200" s="394">
        <f t="shared" ca="1" si="3104"/>
        <v>0</v>
      </c>
      <c r="HJ200" s="394">
        <f t="shared" ca="1" si="3104"/>
        <v>0</v>
      </c>
      <c r="HK200" s="394">
        <f t="shared" ca="1" si="3104"/>
        <v>0</v>
      </c>
      <c r="HL200" s="394">
        <f t="shared" ca="1" si="3104"/>
        <v>0</v>
      </c>
      <c r="HM200" s="394">
        <f t="shared" ca="1" si="3104"/>
        <v>0</v>
      </c>
      <c r="HN200" s="394">
        <f t="shared" ca="1" si="3104"/>
        <v>0</v>
      </c>
      <c r="HO200" s="394">
        <f t="shared" ref="HO200:IT200" ca="1" si="3105">($EY$199=$FA$194)*$EY$200*HO194/12+($EY$199=$FA$195)*$EY$200*HO195/12+($EY$199=$FA$196)*$EY$200*HO196</f>
        <v>0</v>
      </c>
      <c r="HP200" s="394">
        <f t="shared" ca="1" si="3105"/>
        <v>0</v>
      </c>
      <c r="HQ200" s="394">
        <f t="shared" ca="1" si="3105"/>
        <v>0</v>
      </c>
      <c r="HR200" s="394">
        <f t="shared" ca="1" si="3105"/>
        <v>0</v>
      </c>
      <c r="HS200" s="394">
        <f t="shared" ca="1" si="3105"/>
        <v>0</v>
      </c>
      <c r="HT200" s="394">
        <f t="shared" ca="1" si="3105"/>
        <v>0</v>
      </c>
      <c r="HU200" s="394">
        <f t="shared" ca="1" si="3105"/>
        <v>0</v>
      </c>
      <c r="HV200" s="394">
        <f t="shared" ca="1" si="3105"/>
        <v>0</v>
      </c>
      <c r="HW200" s="394">
        <f t="shared" ca="1" si="3105"/>
        <v>0</v>
      </c>
      <c r="HX200" s="394">
        <f t="shared" ca="1" si="3105"/>
        <v>0</v>
      </c>
      <c r="HY200" s="394">
        <f t="shared" ca="1" si="3105"/>
        <v>0</v>
      </c>
      <c r="HZ200" s="394">
        <f t="shared" ca="1" si="3105"/>
        <v>0</v>
      </c>
      <c r="IA200" s="394">
        <f t="shared" ca="1" si="3105"/>
        <v>0</v>
      </c>
      <c r="IB200" s="394">
        <f t="shared" ca="1" si="3105"/>
        <v>0</v>
      </c>
      <c r="IC200" s="394">
        <f t="shared" ca="1" si="3105"/>
        <v>0</v>
      </c>
      <c r="ID200" s="394">
        <f t="shared" ca="1" si="3105"/>
        <v>0</v>
      </c>
      <c r="IE200" s="394">
        <f t="shared" ca="1" si="3105"/>
        <v>0</v>
      </c>
      <c r="IF200" s="394">
        <f t="shared" ca="1" si="3105"/>
        <v>0</v>
      </c>
      <c r="IG200" s="394">
        <f t="shared" ca="1" si="3105"/>
        <v>0</v>
      </c>
      <c r="IH200" s="394">
        <f t="shared" ca="1" si="3105"/>
        <v>0</v>
      </c>
      <c r="II200" s="394">
        <f t="shared" ca="1" si="3105"/>
        <v>0</v>
      </c>
      <c r="IJ200" s="394">
        <f t="shared" ca="1" si="3105"/>
        <v>0</v>
      </c>
      <c r="IK200" s="394">
        <f t="shared" ca="1" si="3105"/>
        <v>0</v>
      </c>
      <c r="IL200" s="394">
        <f t="shared" ca="1" si="3105"/>
        <v>0</v>
      </c>
      <c r="IM200" s="394">
        <f t="shared" ca="1" si="3105"/>
        <v>0</v>
      </c>
      <c r="IN200" s="394">
        <f t="shared" ca="1" si="3105"/>
        <v>0</v>
      </c>
      <c r="IO200" s="394">
        <f t="shared" ca="1" si="3105"/>
        <v>0</v>
      </c>
      <c r="IP200" s="394">
        <f t="shared" ca="1" si="3105"/>
        <v>0</v>
      </c>
      <c r="IQ200" s="394">
        <f t="shared" ca="1" si="3105"/>
        <v>0</v>
      </c>
      <c r="IR200" s="394">
        <f t="shared" ca="1" si="3105"/>
        <v>0</v>
      </c>
      <c r="IS200" s="394">
        <f t="shared" ca="1" si="3105"/>
        <v>0</v>
      </c>
      <c r="IT200" s="394">
        <f t="shared" ca="1" si="3105"/>
        <v>0</v>
      </c>
      <c r="IU200" s="394">
        <f t="shared" ref="IU200:KE200" ca="1" si="3106">($EY$199=$FA$194)*$EY$200*IU194/12+($EY$199=$FA$195)*$EY$200*IU195/12+($EY$199=$FA$196)*$EY$200*IU196</f>
        <v>0</v>
      </c>
      <c r="IV200" s="394">
        <f t="shared" ca="1" si="3106"/>
        <v>0</v>
      </c>
      <c r="IW200" s="394">
        <f t="shared" ca="1" si="3106"/>
        <v>0</v>
      </c>
      <c r="IX200" s="394">
        <f t="shared" ca="1" si="3106"/>
        <v>0</v>
      </c>
      <c r="IY200" s="394">
        <f t="shared" ca="1" si="3106"/>
        <v>0</v>
      </c>
      <c r="IZ200" s="394">
        <f t="shared" ca="1" si="3106"/>
        <v>0</v>
      </c>
      <c r="JA200" s="394">
        <f t="shared" ca="1" si="3106"/>
        <v>0</v>
      </c>
      <c r="JB200" s="394">
        <f t="shared" ca="1" si="3106"/>
        <v>0</v>
      </c>
      <c r="JC200" s="394">
        <f t="shared" ca="1" si="3106"/>
        <v>0</v>
      </c>
      <c r="JD200" s="394">
        <f t="shared" ca="1" si="3106"/>
        <v>0</v>
      </c>
      <c r="JE200" s="394">
        <f t="shared" ca="1" si="3106"/>
        <v>0</v>
      </c>
      <c r="JF200" s="394">
        <f t="shared" ca="1" si="3106"/>
        <v>0</v>
      </c>
      <c r="JG200" s="394">
        <f t="shared" ca="1" si="3106"/>
        <v>0</v>
      </c>
      <c r="JH200" s="394">
        <f t="shared" ca="1" si="3106"/>
        <v>0</v>
      </c>
      <c r="JI200" s="394">
        <f t="shared" ca="1" si="3106"/>
        <v>0</v>
      </c>
      <c r="JJ200" s="394">
        <f t="shared" ca="1" si="3106"/>
        <v>0</v>
      </c>
      <c r="JK200" s="394">
        <f t="shared" ca="1" si="3106"/>
        <v>0</v>
      </c>
      <c r="JL200" s="394">
        <f t="shared" ca="1" si="3106"/>
        <v>0</v>
      </c>
      <c r="JM200" s="394">
        <f t="shared" ca="1" si="3106"/>
        <v>0</v>
      </c>
      <c r="JN200" s="394">
        <f t="shared" ca="1" si="3106"/>
        <v>0</v>
      </c>
      <c r="JO200" s="394">
        <f t="shared" ca="1" si="3106"/>
        <v>0</v>
      </c>
      <c r="JP200" s="394">
        <f t="shared" ca="1" si="3106"/>
        <v>0</v>
      </c>
      <c r="JQ200" s="394">
        <f t="shared" ca="1" si="3106"/>
        <v>0</v>
      </c>
      <c r="JR200" s="394">
        <f t="shared" ca="1" si="3106"/>
        <v>0</v>
      </c>
      <c r="JS200" s="394">
        <f t="shared" ca="1" si="3106"/>
        <v>0</v>
      </c>
      <c r="JT200" s="394">
        <f t="shared" ca="1" si="3106"/>
        <v>0</v>
      </c>
      <c r="JU200" s="394">
        <f t="shared" ca="1" si="3106"/>
        <v>0</v>
      </c>
      <c r="JV200" s="394">
        <f t="shared" ca="1" si="3106"/>
        <v>0</v>
      </c>
      <c r="JW200" s="394">
        <f t="shared" ca="1" si="3106"/>
        <v>0</v>
      </c>
      <c r="JX200" s="394">
        <f t="shared" ca="1" si="3106"/>
        <v>0</v>
      </c>
      <c r="JY200" s="394">
        <f t="shared" ca="1" si="3106"/>
        <v>0</v>
      </c>
      <c r="JZ200" s="394">
        <f t="shared" ca="1" si="3106"/>
        <v>0</v>
      </c>
      <c r="KA200" s="394">
        <f t="shared" ca="1" si="3106"/>
        <v>0</v>
      </c>
      <c r="KB200" s="394">
        <f t="shared" ca="1" si="3106"/>
        <v>0</v>
      </c>
      <c r="KC200" s="394">
        <f t="shared" ca="1" si="3106"/>
        <v>0</v>
      </c>
      <c r="KD200" s="394">
        <f t="shared" ca="1" si="3106"/>
        <v>0</v>
      </c>
      <c r="KE200" s="394">
        <f t="shared" ca="1" si="3106"/>
        <v>0</v>
      </c>
      <c r="KF200" s="200" t="s">
        <v>269</v>
      </c>
      <c r="PQ200" s="201"/>
      <c r="PR200" s="201"/>
      <c r="PS200" s="201"/>
      <c r="PT200" s="201"/>
      <c r="PU200" s="201"/>
      <c r="PV200" s="201"/>
      <c r="PW200" s="201"/>
      <c r="PX200" s="201"/>
      <c r="PY200" s="201"/>
      <c r="PZ200" s="201"/>
      <c r="QA200" s="201"/>
      <c r="QB200" s="201"/>
      <c r="QC200" s="201"/>
      <c r="QD200" s="201"/>
      <c r="QE200" s="201"/>
      <c r="QF200" s="201"/>
      <c r="QG200" s="201"/>
      <c r="QH200" s="201"/>
      <c r="QI200" s="201"/>
      <c r="QJ200" s="201"/>
      <c r="QK200" s="201"/>
      <c r="QL200" s="201"/>
      <c r="QM200" s="201"/>
      <c r="QN200" s="201"/>
      <c r="QO200" s="201"/>
      <c r="QP200" s="201"/>
      <c r="QQ200" s="201"/>
      <c r="QR200" s="201"/>
      <c r="QS200" s="201"/>
      <c r="QT200" s="201"/>
      <c r="QU200" s="201"/>
      <c r="QV200" s="201"/>
      <c r="QW200" s="201"/>
      <c r="QX200" s="201"/>
      <c r="QY200" s="201"/>
      <c r="QZ200" s="201"/>
      <c r="RA200" s="201"/>
      <c r="RB200" s="201"/>
      <c r="RC200" s="201"/>
      <c r="RD200" s="201"/>
      <c r="RE200" s="201"/>
      <c r="RF200" s="201"/>
      <c r="RG200" s="201"/>
      <c r="RH200" s="201"/>
      <c r="RI200" s="201"/>
      <c r="RJ200" s="201"/>
      <c r="RK200" s="201"/>
      <c r="RL200" s="201"/>
      <c r="RM200" s="201"/>
      <c r="RN200" s="201"/>
      <c r="RO200" s="201"/>
      <c r="RP200" s="201"/>
      <c r="RQ200" s="201"/>
      <c r="RR200" s="201"/>
      <c r="RS200" s="201"/>
      <c r="RT200" s="201"/>
      <c r="RU200" s="201"/>
      <c r="RV200" s="201"/>
      <c r="RW200" s="201"/>
      <c r="RX200" s="201"/>
      <c r="RY200" s="201"/>
      <c r="RZ200" s="201"/>
      <c r="SA200" s="201"/>
      <c r="SB200" s="201"/>
      <c r="SC200" s="201"/>
      <c r="SD200" s="201"/>
      <c r="SE200" s="201"/>
      <c r="SF200" s="201"/>
      <c r="SG200" s="201"/>
      <c r="SH200" s="201"/>
      <c r="SI200" s="201"/>
      <c r="SJ200" s="201"/>
      <c r="SK200" s="201"/>
      <c r="SL200" s="201"/>
      <c r="SM200" s="201"/>
      <c r="SN200" s="201"/>
      <c r="SO200" s="201"/>
      <c r="SP200" s="201"/>
      <c r="SQ200" s="201"/>
      <c r="SR200" s="201"/>
      <c r="SS200" s="201"/>
      <c r="ST200" s="201"/>
      <c r="SU200" s="201"/>
      <c r="SV200" s="201"/>
      <c r="SW200" s="201"/>
      <c r="SX200" s="201"/>
      <c r="SY200" s="201"/>
      <c r="SZ200" s="201"/>
      <c r="TA200" s="201"/>
      <c r="TB200" s="201"/>
      <c r="TC200" s="201"/>
      <c r="TD200" s="201"/>
      <c r="TE200" s="201"/>
      <c r="TF200" s="201"/>
      <c r="TG200" s="201"/>
      <c r="TH200" s="201"/>
      <c r="TI200" s="201"/>
      <c r="TJ200" s="201"/>
      <c r="TK200" s="201"/>
      <c r="TL200" s="201"/>
      <c r="TM200" s="201"/>
      <c r="TN200" s="201"/>
      <c r="TO200" s="201"/>
      <c r="TP200" s="201"/>
      <c r="TQ200" s="201"/>
      <c r="TR200" s="201"/>
      <c r="TS200" s="201"/>
      <c r="TT200" s="201"/>
      <c r="TU200" s="201"/>
      <c r="TV200" s="201"/>
      <c r="TW200" s="201"/>
      <c r="TX200" s="201"/>
      <c r="TY200" s="201"/>
      <c r="TZ200" s="201"/>
      <c r="UA200" s="201"/>
      <c r="UB200" s="201"/>
      <c r="UC200" s="201"/>
      <c r="UD200" s="201"/>
      <c r="UE200" s="201"/>
      <c r="UF200" s="201"/>
      <c r="UG200" s="201"/>
      <c r="UH200" s="201"/>
      <c r="UI200" s="201"/>
      <c r="UJ200" s="201"/>
      <c r="UK200" s="201"/>
      <c r="UL200" s="201"/>
      <c r="UM200" s="201"/>
      <c r="UN200" s="201"/>
      <c r="UO200" s="201"/>
      <c r="UP200" s="201"/>
      <c r="UQ200" s="201"/>
      <c r="UR200" s="201"/>
      <c r="US200" s="201"/>
      <c r="UT200" s="201"/>
      <c r="UU200" s="201"/>
    </row>
    <row r="201" spans="2:567" x14ac:dyDescent="0.25">
      <c r="B201" s="54" t="str">
        <f>+B150</f>
        <v>Capital Reserves</v>
      </c>
      <c r="C201" s="161"/>
      <c r="D201" s="161"/>
      <c r="E201" s="162"/>
      <c r="F201" s="162"/>
      <c r="G201" s="162"/>
      <c r="H201" s="162"/>
      <c r="I201" s="164">
        <f>J151</f>
        <v>0</v>
      </c>
      <c r="J201" s="164">
        <f ca="1">SUM(OFFSET($S150,0,$D$167,1,12))</f>
        <v>62201.545761583453</v>
      </c>
      <c r="K201" s="165">
        <f ca="1">SUM(OFFSET($S150,0,$D$168,1,12))</f>
        <v>63756.584405622954</v>
      </c>
      <c r="L201" s="240"/>
      <c r="M201" s="3" t="s">
        <v>853</v>
      </c>
      <c r="R201" s="257"/>
      <c r="S201" s="243"/>
      <c r="T201" s="243"/>
      <c r="U201" s="243"/>
      <c r="V201" s="243"/>
      <c r="W201" s="243"/>
      <c r="X201" s="243"/>
      <c r="Y201" s="243"/>
      <c r="Z201" s="243"/>
      <c r="AA201" s="243"/>
      <c r="AB201" s="243"/>
      <c r="AC201" s="243"/>
      <c r="AD201" s="243"/>
      <c r="AE201" s="243"/>
      <c r="AF201" s="243"/>
      <c r="AG201" s="243"/>
      <c r="AH201" s="243"/>
      <c r="AI201" s="243"/>
      <c r="AJ201" s="243"/>
      <c r="AK201" s="243"/>
      <c r="AL201" s="243"/>
      <c r="AM201" s="243"/>
      <c r="AN201" s="243"/>
      <c r="AO201" s="243"/>
      <c r="AP201" s="243"/>
      <c r="AQ201" s="243"/>
      <c r="AR201" s="243"/>
      <c r="AS201" s="243"/>
      <c r="AT201" s="243"/>
      <c r="AU201" s="243"/>
      <c r="AV201" s="243"/>
      <c r="AW201" s="243"/>
      <c r="AX201" s="243"/>
      <c r="AY201" s="243"/>
      <c r="AZ201" s="243"/>
      <c r="BA201" s="243"/>
      <c r="BB201" s="243"/>
      <c r="BC201" s="243"/>
      <c r="BD201" s="243"/>
      <c r="BE201" s="243"/>
      <c r="BF201" s="243"/>
      <c r="BG201" s="243"/>
      <c r="BH201" s="243"/>
      <c r="BI201" s="243"/>
      <c r="BJ201" s="243"/>
      <c r="BK201" s="243"/>
      <c r="BL201" s="243"/>
      <c r="BM201" s="243"/>
      <c r="BN201" s="243"/>
      <c r="BO201" s="243"/>
      <c r="BP201" s="243"/>
      <c r="BQ201" s="243"/>
      <c r="BR201" s="243"/>
      <c r="BS201" s="243"/>
      <c r="BT201" s="243"/>
      <c r="BU201" s="243"/>
      <c r="BV201" s="243"/>
      <c r="BW201" s="243"/>
      <c r="BX201" s="243"/>
      <c r="BY201" s="243"/>
      <c r="BZ201" s="243"/>
      <c r="CA201" s="243"/>
      <c r="CB201" s="243"/>
      <c r="CC201" s="243"/>
      <c r="CD201" s="243"/>
      <c r="CE201" s="243"/>
      <c r="CF201" s="243"/>
      <c r="CG201" s="243"/>
      <c r="CH201" s="243"/>
      <c r="CI201" s="243"/>
      <c r="CJ201" s="243"/>
      <c r="CK201" s="243"/>
      <c r="CL201" s="243"/>
      <c r="CM201" s="243"/>
      <c r="CN201" s="243"/>
      <c r="CO201" s="243"/>
      <c r="CP201" s="243"/>
      <c r="CQ201" s="243"/>
      <c r="CR201" s="243"/>
      <c r="CS201" s="243"/>
      <c r="CT201" s="243"/>
      <c r="CU201" s="243"/>
      <c r="CV201" s="243"/>
      <c r="CW201" s="243"/>
      <c r="CX201" s="243"/>
      <c r="CY201" s="243"/>
      <c r="CZ201" s="243"/>
      <c r="DA201" s="243"/>
      <c r="DB201" s="243"/>
      <c r="DC201" s="243"/>
      <c r="DD201" s="243"/>
      <c r="DE201" s="243"/>
      <c r="DF201" s="243"/>
      <c r="DG201" s="243"/>
      <c r="DH201" s="243"/>
      <c r="DI201" s="243"/>
      <c r="DJ201" s="243"/>
      <c r="DK201" s="243"/>
      <c r="DL201" s="243"/>
      <c r="DM201" s="243"/>
      <c r="DN201" s="243"/>
      <c r="DO201" s="243"/>
      <c r="DP201" s="243"/>
      <c r="DQ201" s="243"/>
      <c r="DR201" s="243"/>
      <c r="DS201" s="243"/>
      <c r="DT201" s="243"/>
      <c r="DU201" s="243"/>
      <c r="DV201" s="243"/>
      <c r="DW201" s="243"/>
      <c r="DX201" s="243"/>
      <c r="DY201" s="243"/>
      <c r="DZ201" s="243"/>
      <c r="EA201" s="243"/>
      <c r="EB201" s="243"/>
      <c r="EC201" s="243"/>
      <c r="ED201" s="243"/>
      <c r="EE201" s="243"/>
      <c r="EF201" s="243"/>
      <c r="EG201" s="243"/>
      <c r="EH201" s="243"/>
      <c r="EI201" s="243"/>
      <c r="EJ201" s="243"/>
      <c r="EK201" s="243"/>
      <c r="EL201" s="243"/>
      <c r="EM201" s="243"/>
      <c r="EN201" s="243"/>
      <c r="EO201" s="243"/>
      <c r="EP201" s="243"/>
      <c r="EQ201" s="243"/>
      <c r="ER201" s="243"/>
      <c r="ES201" s="243"/>
      <c r="ET201" s="243"/>
      <c r="EU201" s="243"/>
      <c r="EW201" s="199" t="s">
        <v>584</v>
      </c>
      <c r="EX201" s="221">
        <f>+F237</f>
        <v>0.01</v>
      </c>
      <c r="EY201" s="221" t="str">
        <f>E237</f>
        <v>Acquisition Fee</v>
      </c>
      <c r="EZ201" s="199" t="s">
        <v>586</v>
      </c>
      <c r="FB201" s="394">
        <f>+K28</f>
        <v>62812500</v>
      </c>
      <c r="FC201" s="394">
        <f t="shared" ref="FC201:GH201" si="3107">(FC$2=$F$28)*$FB201*$EX201</f>
        <v>628125</v>
      </c>
      <c r="FD201" s="394">
        <f t="shared" si="3107"/>
        <v>0</v>
      </c>
      <c r="FE201" s="394">
        <f t="shared" si="3107"/>
        <v>0</v>
      </c>
      <c r="FF201" s="394">
        <f t="shared" si="3107"/>
        <v>0</v>
      </c>
      <c r="FG201" s="394">
        <f t="shared" si="3107"/>
        <v>0</v>
      </c>
      <c r="FH201" s="394">
        <f t="shared" si="3107"/>
        <v>0</v>
      </c>
      <c r="FI201" s="394">
        <f t="shared" si="3107"/>
        <v>0</v>
      </c>
      <c r="FJ201" s="394">
        <f t="shared" si="3107"/>
        <v>0</v>
      </c>
      <c r="FK201" s="394">
        <f t="shared" si="3107"/>
        <v>0</v>
      </c>
      <c r="FL201" s="394">
        <f t="shared" si="3107"/>
        <v>0</v>
      </c>
      <c r="FM201" s="394">
        <f t="shared" si="3107"/>
        <v>0</v>
      </c>
      <c r="FN201" s="394">
        <f t="shared" si="3107"/>
        <v>0</v>
      </c>
      <c r="FO201" s="394">
        <f t="shared" si="3107"/>
        <v>0</v>
      </c>
      <c r="FP201" s="394">
        <f t="shared" si="3107"/>
        <v>0</v>
      </c>
      <c r="FQ201" s="394">
        <f t="shared" si="3107"/>
        <v>0</v>
      </c>
      <c r="FR201" s="394">
        <f t="shared" si="3107"/>
        <v>0</v>
      </c>
      <c r="FS201" s="394">
        <f t="shared" si="3107"/>
        <v>0</v>
      </c>
      <c r="FT201" s="394">
        <f t="shared" si="3107"/>
        <v>0</v>
      </c>
      <c r="FU201" s="394">
        <f t="shared" si="3107"/>
        <v>0</v>
      </c>
      <c r="FV201" s="394">
        <f t="shared" si="3107"/>
        <v>0</v>
      </c>
      <c r="FW201" s="394">
        <f t="shared" si="3107"/>
        <v>0</v>
      </c>
      <c r="FX201" s="394">
        <f t="shared" si="3107"/>
        <v>0</v>
      </c>
      <c r="FY201" s="394">
        <f t="shared" si="3107"/>
        <v>0</v>
      </c>
      <c r="FZ201" s="394">
        <f t="shared" si="3107"/>
        <v>0</v>
      </c>
      <c r="GA201" s="394">
        <f t="shared" si="3107"/>
        <v>0</v>
      </c>
      <c r="GB201" s="394">
        <f t="shared" si="3107"/>
        <v>0</v>
      </c>
      <c r="GC201" s="394">
        <f t="shared" si="3107"/>
        <v>0</v>
      </c>
      <c r="GD201" s="394">
        <f t="shared" si="3107"/>
        <v>0</v>
      </c>
      <c r="GE201" s="394">
        <f t="shared" si="3107"/>
        <v>0</v>
      </c>
      <c r="GF201" s="394">
        <f t="shared" si="3107"/>
        <v>0</v>
      </c>
      <c r="GG201" s="394">
        <f t="shared" si="3107"/>
        <v>0</v>
      </c>
      <c r="GH201" s="394">
        <f t="shared" si="3107"/>
        <v>0</v>
      </c>
      <c r="GI201" s="394">
        <f t="shared" ref="GI201:HN201" si="3108">(GI$2=$F$28)*$FB201*$EX201</f>
        <v>0</v>
      </c>
      <c r="GJ201" s="394">
        <f t="shared" si="3108"/>
        <v>0</v>
      </c>
      <c r="GK201" s="394">
        <f t="shared" si="3108"/>
        <v>0</v>
      </c>
      <c r="GL201" s="394">
        <f t="shared" si="3108"/>
        <v>0</v>
      </c>
      <c r="GM201" s="394">
        <f t="shared" si="3108"/>
        <v>0</v>
      </c>
      <c r="GN201" s="394">
        <f t="shared" si="3108"/>
        <v>0</v>
      </c>
      <c r="GO201" s="394">
        <f t="shared" si="3108"/>
        <v>0</v>
      </c>
      <c r="GP201" s="394">
        <f t="shared" si="3108"/>
        <v>0</v>
      </c>
      <c r="GQ201" s="394">
        <f t="shared" si="3108"/>
        <v>0</v>
      </c>
      <c r="GR201" s="394">
        <f t="shared" si="3108"/>
        <v>0</v>
      </c>
      <c r="GS201" s="394">
        <f t="shared" si="3108"/>
        <v>0</v>
      </c>
      <c r="GT201" s="394">
        <f t="shared" si="3108"/>
        <v>0</v>
      </c>
      <c r="GU201" s="394">
        <f t="shared" si="3108"/>
        <v>0</v>
      </c>
      <c r="GV201" s="394">
        <f t="shared" si="3108"/>
        <v>0</v>
      </c>
      <c r="GW201" s="394">
        <f t="shared" si="3108"/>
        <v>0</v>
      </c>
      <c r="GX201" s="394">
        <f t="shared" si="3108"/>
        <v>0</v>
      </c>
      <c r="GY201" s="394">
        <f t="shared" si="3108"/>
        <v>0</v>
      </c>
      <c r="GZ201" s="394">
        <f t="shared" si="3108"/>
        <v>0</v>
      </c>
      <c r="HA201" s="394">
        <f t="shared" si="3108"/>
        <v>0</v>
      </c>
      <c r="HB201" s="394">
        <f t="shared" si="3108"/>
        <v>0</v>
      </c>
      <c r="HC201" s="394">
        <f t="shared" si="3108"/>
        <v>0</v>
      </c>
      <c r="HD201" s="394">
        <f t="shared" si="3108"/>
        <v>0</v>
      </c>
      <c r="HE201" s="394">
        <f t="shared" si="3108"/>
        <v>0</v>
      </c>
      <c r="HF201" s="394">
        <f t="shared" si="3108"/>
        <v>0</v>
      </c>
      <c r="HG201" s="394">
        <f t="shared" si="3108"/>
        <v>0</v>
      </c>
      <c r="HH201" s="394">
        <f t="shared" si="3108"/>
        <v>0</v>
      </c>
      <c r="HI201" s="394">
        <f t="shared" si="3108"/>
        <v>0</v>
      </c>
      <c r="HJ201" s="394">
        <f t="shared" si="3108"/>
        <v>0</v>
      </c>
      <c r="HK201" s="394">
        <f t="shared" si="3108"/>
        <v>0</v>
      </c>
      <c r="HL201" s="394">
        <f t="shared" si="3108"/>
        <v>0</v>
      </c>
      <c r="HM201" s="394">
        <f t="shared" si="3108"/>
        <v>0</v>
      </c>
      <c r="HN201" s="394">
        <f t="shared" si="3108"/>
        <v>0</v>
      </c>
      <c r="HO201" s="394">
        <f t="shared" ref="HO201:IT201" si="3109">(HO$2=$F$28)*$FB201*$EX201</f>
        <v>0</v>
      </c>
      <c r="HP201" s="394">
        <f t="shared" si="3109"/>
        <v>0</v>
      </c>
      <c r="HQ201" s="394">
        <f t="shared" si="3109"/>
        <v>0</v>
      </c>
      <c r="HR201" s="394">
        <f t="shared" si="3109"/>
        <v>0</v>
      </c>
      <c r="HS201" s="394">
        <f t="shared" si="3109"/>
        <v>0</v>
      </c>
      <c r="HT201" s="394">
        <f t="shared" si="3109"/>
        <v>0</v>
      </c>
      <c r="HU201" s="394">
        <f t="shared" si="3109"/>
        <v>0</v>
      </c>
      <c r="HV201" s="394">
        <f t="shared" si="3109"/>
        <v>0</v>
      </c>
      <c r="HW201" s="394">
        <f t="shared" si="3109"/>
        <v>0</v>
      </c>
      <c r="HX201" s="394">
        <f t="shared" si="3109"/>
        <v>0</v>
      </c>
      <c r="HY201" s="394">
        <f t="shared" si="3109"/>
        <v>0</v>
      </c>
      <c r="HZ201" s="394">
        <f t="shared" si="3109"/>
        <v>0</v>
      </c>
      <c r="IA201" s="394">
        <f t="shared" si="3109"/>
        <v>0</v>
      </c>
      <c r="IB201" s="394">
        <f t="shared" si="3109"/>
        <v>0</v>
      </c>
      <c r="IC201" s="394">
        <f t="shared" si="3109"/>
        <v>0</v>
      </c>
      <c r="ID201" s="394">
        <f t="shared" si="3109"/>
        <v>0</v>
      </c>
      <c r="IE201" s="394">
        <f t="shared" si="3109"/>
        <v>0</v>
      </c>
      <c r="IF201" s="394">
        <f t="shared" si="3109"/>
        <v>0</v>
      </c>
      <c r="IG201" s="394">
        <f t="shared" si="3109"/>
        <v>0</v>
      </c>
      <c r="IH201" s="394">
        <f t="shared" si="3109"/>
        <v>0</v>
      </c>
      <c r="II201" s="394">
        <f t="shared" si="3109"/>
        <v>0</v>
      </c>
      <c r="IJ201" s="394">
        <f t="shared" si="3109"/>
        <v>0</v>
      </c>
      <c r="IK201" s="394">
        <f t="shared" si="3109"/>
        <v>0</v>
      </c>
      <c r="IL201" s="394">
        <f t="shared" si="3109"/>
        <v>0</v>
      </c>
      <c r="IM201" s="394">
        <f t="shared" si="3109"/>
        <v>0</v>
      </c>
      <c r="IN201" s="394">
        <f t="shared" si="3109"/>
        <v>0</v>
      </c>
      <c r="IO201" s="394">
        <f t="shared" si="3109"/>
        <v>0</v>
      </c>
      <c r="IP201" s="394">
        <f t="shared" si="3109"/>
        <v>0</v>
      </c>
      <c r="IQ201" s="394">
        <f t="shared" si="3109"/>
        <v>0</v>
      </c>
      <c r="IR201" s="394">
        <f t="shared" si="3109"/>
        <v>0</v>
      </c>
      <c r="IS201" s="394">
        <f t="shared" si="3109"/>
        <v>0</v>
      </c>
      <c r="IT201" s="394">
        <f t="shared" si="3109"/>
        <v>0</v>
      </c>
      <c r="IU201" s="394">
        <f t="shared" ref="IU201:KE201" si="3110">(IU$2=$F$28)*$FB201*$EX201</f>
        <v>0</v>
      </c>
      <c r="IV201" s="394">
        <f t="shared" si="3110"/>
        <v>0</v>
      </c>
      <c r="IW201" s="394">
        <f t="shared" si="3110"/>
        <v>0</v>
      </c>
      <c r="IX201" s="394">
        <f t="shared" si="3110"/>
        <v>0</v>
      </c>
      <c r="IY201" s="394">
        <f t="shared" si="3110"/>
        <v>0</v>
      </c>
      <c r="IZ201" s="394">
        <f t="shared" si="3110"/>
        <v>0</v>
      </c>
      <c r="JA201" s="394">
        <f t="shared" si="3110"/>
        <v>0</v>
      </c>
      <c r="JB201" s="394">
        <f t="shared" si="3110"/>
        <v>0</v>
      </c>
      <c r="JC201" s="394">
        <f t="shared" si="3110"/>
        <v>0</v>
      </c>
      <c r="JD201" s="394">
        <f t="shared" si="3110"/>
        <v>0</v>
      </c>
      <c r="JE201" s="394">
        <f t="shared" si="3110"/>
        <v>0</v>
      </c>
      <c r="JF201" s="394">
        <f t="shared" si="3110"/>
        <v>0</v>
      </c>
      <c r="JG201" s="394">
        <f t="shared" si="3110"/>
        <v>0</v>
      </c>
      <c r="JH201" s="394">
        <f t="shared" si="3110"/>
        <v>0</v>
      </c>
      <c r="JI201" s="394">
        <f t="shared" si="3110"/>
        <v>0</v>
      </c>
      <c r="JJ201" s="394">
        <f t="shared" si="3110"/>
        <v>0</v>
      </c>
      <c r="JK201" s="394">
        <f t="shared" si="3110"/>
        <v>0</v>
      </c>
      <c r="JL201" s="394">
        <f t="shared" si="3110"/>
        <v>0</v>
      </c>
      <c r="JM201" s="394">
        <f t="shared" si="3110"/>
        <v>0</v>
      </c>
      <c r="JN201" s="394">
        <f t="shared" si="3110"/>
        <v>0</v>
      </c>
      <c r="JO201" s="394">
        <f t="shared" si="3110"/>
        <v>0</v>
      </c>
      <c r="JP201" s="394">
        <f t="shared" si="3110"/>
        <v>0</v>
      </c>
      <c r="JQ201" s="394">
        <f t="shared" si="3110"/>
        <v>0</v>
      </c>
      <c r="JR201" s="394">
        <f t="shared" si="3110"/>
        <v>0</v>
      </c>
      <c r="JS201" s="394">
        <f t="shared" si="3110"/>
        <v>0</v>
      </c>
      <c r="JT201" s="394">
        <f t="shared" si="3110"/>
        <v>0</v>
      </c>
      <c r="JU201" s="394">
        <f t="shared" si="3110"/>
        <v>0</v>
      </c>
      <c r="JV201" s="394">
        <f t="shared" si="3110"/>
        <v>0</v>
      </c>
      <c r="JW201" s="394">
        <f t="shared" si="3110"/>
        <v>0</v>
      </c>
      <c r="JX201" s="394">
        <f t="shared" si="3110"/>
        <v>0</v>
      </c>
      <c r="JY201" s="394">
        <f t="shared" si="3110"/>
        <v>0</v>
      </c>
      <c r="JZ201" s="394">
        <f t="shared" si="3110"/>
        <v>0</v>
      </c>
      <c r="KA201" s="394">
        <f t="shared" si="3110"/>
        <v>0</v>
      </c>
      <c r="KB201" s="394">
        <f t="shared" si="3110"/>
        <v>0</v>
      </c>
      <c r="KC201" s="394">
        <f t="shared" si="3110"/>
        <v>0</v>
      </c>
      <c r="KD201" s="394">
        <f t="shared" si="3110"/>
        <v>0</v>
      </c>
      <c r="KE201" s="394">
        <f t="shared" si="3110"/>
        <v>0</v>
      </c>
      <c r="KF201" s="200" t="s">
        <v>269</v>
      </c>
      <c r="PQ201" s="201"/>
      <c r="PR201" s="201"/>
      <c r="PS201" s="201"/>
      <c r="PT201" s="201"/>
      <c r="PU201" s="201"/>
      <c r="PV201" s="201"/>
      <c r="PW201" s="201"/>
      <c r="PX201" s="201"/>
      <c r="PY201" s="201"/>
      <c r="PZ201" s="201"/>
      <c r="QA201" s="201"/>
      <c r="QB201" s="201"/>
      <c r="QC201" s="201"/>
      <c r="QD201" s="201"/>
      <c r="QE201" s="201"/>
      <c r="QF201" s="201"/>
      <c r="QG201" s="201"/>
      <c r="QH201" s="201"/>
      <c r="QI201" s="201"/>
      <c r="QJ201" s="201"/>
      <c r="QK201" s="201"/>
      <c r="QL201" s="201"/>
      <c r="QM201" s="201"/>
      <c r="QN201" s="201"/>
      <c r="QO201" s="201"/>
      <c r="QP201" s="201"/>
      <c r="QQ201" s="201"/>
      <c r="QR201" s="201"/>
      <c r="QS201" s="201"/>
      <c r="QT201" s="201"/>
      <c r="QU201" s="201"/>
      <c r="QV201" s="201"/>
      <c r="QW201" s="201"/>
      <c r="QX201" s="201"/>
      <c r="QY201" s="201"/>
      <c r="QZ201" s="201"/>
      <c r="RA201" s="201"/>
      <c r="RB201" s="201"/>
      <c r="RC201" s="201"/>
      <c r="RD201" s="201"/>
      <c r="RE201" s="201"/>
      <c r="RF201" s="201"/>
      <c r="RG201" s="201"/>
      <c r="RH201" s="201"/>
      <c r="RI201" s="201"/>
      <c r="RJ201" s="201"/>
      <c r="RK201" s="201"/>
      <c r="RL201" s="201"/>
      <c r="RM201" s="201"/>
      <c r="RN201" s="201"/>
      <c r="RO201" s="201"/>
      <c r="RP201" s="201"/>
      <c r="RQ201" s="201"/>
      <c r="RR201" s="201"/>
      <c r="RS201" s="201"/>
      <c r="RT201" s="201"/>
      <c r="RU201" s="201"/>
      <c r="RV201" s="201"/>
      <c r="RW201" s="201"/>
      <c r="RX201" s="201"/>
      <c r="RY201" s="201"/>
      <c r="RZ201" s="201"/>
      <c r="SA201" s="201"/>
      <c r="SB201" s="201"/>
      <c r="SC201" s="201"/>
      <c r="SD201" s="201"/>
      <c r="SE201" s="201"/>
      <c r="SF201" s="201"/>
      <c r="SG201" s="201"/>
      <c r="SH201" s="201"/>
      <c r="SI201" s="201"/>
      <c r="SJ201" s="201"/>
      <c r="SK201" s="201"/>
      <c r="SL201" s="201"/>
      <c r="SM201" s="201"/>
      <c r="SN201" s="201"/>
      <c r="SO201" s="201"/>
      <c r="SP201" s="201"/>
      <c r="SQ201" s="201"/>
      <c r="SR201" s="201"/>
      <c r="SS201" s="201"/>
      <c r="ST201" s="201"/>
      <c r="SU201" s="201"/>
      <c r="SV201" s="201"/>
      <c r="SW201" s="201"/>
      <c r="SX201" s="201"/>
      <c r="SY201" s="201"/>
      <c r="SZ201" s="201"/>
      <c r="TA201" s="201"/>
      <c r="TB201" s="201"/>
      <c r="TC201" s="201"/>
      <c r="TD201" s="201"/>
      <c r="TE201" s="201"/>
      <c r="TF201" s="201"/>
      <c r="TG201" s="201"/>
      <c r="TH201" s="201"/>
      <c r="TI201" s="201"/>
      <c r="TJ201" s="201"/>
      <c r="TK201" s="201"/>
      <c r="TL201" s="201"/>
      <c r="TM201" s="201"/>
      <c r="TN201" s="201"/>
      <c r="TO201" s="201"/>
      <c r="TP201" s="201"/>
      <c r="TQ201" s="201"/>
      <c r="TR201" s="201"/>
      <c r="TS201" s="201"/>
      <c r="TT201" s="201"/>
      <c r="TU201" s="201"/>
      <c r="TV201" s="201"/>
      <c r="TW201" s="201"/>
      <c r="TX201" s="201"/>
      <c r="TY201" s="201"/>
      <c r="TZ201" s="201"/>
      <c r="UA201" s="201"/>
      <c r="UB201" s="201"/>
      <c r="UC201" s="201"/>
      <c r="UD201" s="201"/>
      <c r="UE201" s="201"/>
      <c r="UF201" s="201"/>
      <c r="UG201" s="201"/>
      <c r="UH201" s="201"/>
      <c r="UI201" s="201"/>
      <c r="UJ201" s="201"/>
      <c r="UK201" s="201"/>
      <c r="UL201" s="201"/>
      <c r="UM201" s="201"/>
      <c r="UN201" s="201"/>
      <c r="UO201" s="201"/>
      <c r="UP201" s="201"/>
      <c r="UQ201" s="201"/>
      <c r="UR201" s="201"/>
      <c r="US201" s="201"/>
      <c r="UT201" s="201"/>
      <c r="UU201" s="201"/>
    </row>
    <row r="202" spans="2:567" ht="15" x14ac:dyDescent="0.35">
      <c r="B202" s="54" t="str">
        <f>+B151</f>
        <v>Other Capital Expenditures</v>
      </c>
      <c r="C202" s="161"/>
      <c r="D202" s="161"/>
      <c r="E202" s="162"/>
      <c r="F202" s="162"/>
      <c r="G202" s="162"/>
      <c r="H202" s="162"/>
      <c r="I202" s="166">
        <f>J152</f>
        <v>60000</v>
      </c>
      <c r="J202" s="166">
        <f ca="1">SUM(OFFSET($S151,0,$D$167,1,12))</f>
        <v>0</v>
      </c>
      <c r="K202" s="167">
        <f ca="1">SUM(OFFSET($S151,0,$D$168,1,12))</f>
        <v>0</v>
      </c>
      <c r="L202" s="240"/>
      <c r="M202" s="3" t="s">
        <v>853</v>
      </c>
      <c r="R202" s="257"/>
      <c r="S202" s="243"/>
      <c r="T202" s="243"/>
      <c r="U202" s="243"/>
      <c r="V202" s="243"/>
      <c r="W202" s="243"/>
      <c r="X202" s="243"/>
      <c r="Y202" s="243"/>
      <c r="Z202" s="243"/>
      <c r="AA202" s="243"/>
      <c r="AB202" s="243"/>
      <c r="AC202" s="243"/>
      <c r="AD202" s="243"/>
      <c r="AE202" s="243"/>
      <c r="AF202" s="243"/>
      <c r="AG202" s="243"/>
      <c r="AH202" s="243"/>
      <c r="AI202" s="243"/>
      <c r="AJ202" s="243"/>
      <c r="AK202" s="243"/>
      <c r="AL202" s="243"/>
      <c r="AM202" s="243"/>
      <c r="AN202" s="243"/>
      <c r="AO202" s="243"/>
      <c r="AP202" s="243"/>
      <c r="AQ202" s="243"/>
      <c r="AR202" s="243"/>
      <c r="AS202" s="243"/>
      <c r="AT202" s="243"/>
      <c r="AU202" s="243"/>
      <c r="AV202" s="243"/>
      <c r="AW202" s="243"/>
      <c r="AX202" s="243"/>
      <c r="AY202" s="243"/>
      <c r="AZ202" s="243"/>
      <c r="BA202" s="243"/>
      <c r="BB202" s="243"/>
      <c r="BC202" s="243"/>
      <c r="BD202" s="243"/>
      <c r="BE202" s="243"/>
      <c r="BF202" s="243"/>
      <c r="BG202" s="243"/>
      <c r="BH202" s="243"/>
      <c r="BI202" s="243"/>
      <c r="BJ202" s="243"/>
      <c r="BK202" s="243"/>
      <c r="BL202" s="243"/>
      <c r="BM202" s="243"/>
      <c r="BN202" s="243"/>
      <c r="BO202" s="243"/>
      <c r="BP202" s="243"/>
      <c r="BQ202" s="243"/>
      <c r="BR202" s="243"/>
      <c r="BS202" s="243"/>
      <c r="BT202" s="243"/>
      <c r="BU202" s="243"/>
      <c r="BV202" s="243"/>
      <c r="BW202" s="243"/>
      <c r="BX202" s="243"/>
      <c r="BY202" s="243"/>
      <c r="BZ202" s="243"/>
      <c r="CA202" s="243"/>
      <c r="CB202" s="243"/>
      <c r="CC202" s="243"/>
      <c r="CD202" s="243"/>
      <c r="CE202" s="243"/>
      <c r="CF202" s="243"/>
      <c r="CG202" s="243"/>
      <c r="CH202" s="243"/>
      <c r="CI202" s="243"/>
      <c r="CJ202" s="243"/>
      <c r="CK202" s="243"/>
      <c r="CL202" s="243"/>
      <c r="CM202" s="243"/>
      <c r="CN202" s="243"/>
      <c r="CO202" s="243"/>
      <c r="CP202" s="243"/>
      <c r="CQ202" s="243"/>
      <c r="CR202" s="243"/>
      <c r="CS202" s="243"/>
      <c r="CT202" s="243"/>
      <c r="CU202" s="243"/>
      <c r="CV202" s="243"/>
      <c r="CW202" s="243"/>
      <c r="CX202" s="243"/>
      <c r="CY202" s="243"/>
      <c r="CZ202" s="243"/>
      <c r="DA202" s="243"/>
      <c r="DB202" s="243"/>
      <c r="DC202" s="243"/>
      <c r="DD202" s="243"/>
      <c r="DE202" s="243"/>
      <c r="DF202" s="243"/>
      <c r="DG202" s="243"/>
      <c r="DH202" s="243"/>
      <c r="DI202" s="243"/>
      <c r="DJ202" s="243"/>
      <c r="DK202" s="243"/>
      <c r="DL202" s="243"/>
      <c r="DM202" s="243"/>
      <c r="DN202" s="243"/>
      <c r="DO202" s="243"/>
      <c r="DP202" s="243"/>
      <c r="DQ202" s="243"/>
      <c r="DR202" s="243"/>
      <c r="DS202" s="243"/>
      <c r="DT202" s="243"/>
      <c r="DU202" s="243"/>
      <c r="DV202" s="243"/>
      <c r="DW202" s="243"/>
      <c r="DX202" s="243"/>
      <c r="DY202" s="243"/>
      <c r="DZ202" s="243"/>
      <c r="EA202" s="243"/>
      <c r="EB202" s="243"/>
      <c r="EC202" s="243"/>
      <c r="ED202" s="243"/>
      <c r="EE202" s="243"/>
      <c r="EF202" s="243"/>
      <c r="EG202" s="243"/>
      <c r="EH202" s="243"/>
      <c r="EI202" s="243"/>
      <c r="EJ202" s="243"/>
      <c r="EK202" s="243"/>
      <c r="EL202" s="243"/>
      <c r="EM202" s="243"/>
      <c r="EN202" s="243"/>
      <c r="EO202" s="243"/>
      <c r="EP202" s="243"/>
      <c r="EQ202" s="243"/>
      <c r="ER202" s="243"/>
      <c r="ES202" s="243"/>
      <c r="ET202" s="243"/>
      <c r="EU202" s="243"/>
      <c r="EW202" s="199" t="s">
        <v>585</v>
      </c>
      <c r="EX202" s="221">
        <f>+F238</f>
        <v>0</v>
      </c>
      <c r="EY202" s="221" t="str">
        <f>E238</f>
        <v>Disposition Fee</v>
      </c>
      <c r="EZ202" s="199" t="s">
        <v>587</v>
      </c>
      <c r="FB202" s="394">
        <f ca="1">+D206</f>
        <v>79713642.944920063</v>
      </c>
      <c r="FC202" s="396">
        <f t="shared" ref="FC202:GH202" ca="1" si="3111">(FC$2=Analysis_Period)*$FB202*$EX202</f>
        <v>0</v>
      </c>
      <c r="FD202" s="396">
        <f t="shared" ca="1" si="3111"/>
        <v>0</v>
      </c>
      <c r="FE202" s="396">
        <f t="shared" ca="1" si="3111"/>
        <v>0</v>
      </c>
      <c r="FF202" s="396">
        <f t="shared" ca="1" si="3111"/>
        <v>0</v>
      </c>
      <c r="FG202" s="396">
        <f t="shared" ca="1" si="3111"/>
        <v>0</v>
      </c>
      <c r="FH202" s="396">
        <f t="shared" ca="1" si="3111"/>
        <v>0</v>
      </c>
      <c r="FI202" s="396">
        <f t="shared" ca="1" si="3111"/>
        <v>0</v>
      </c>
      <c r="FJ202" s="396">
        <f t="shared" ca="1" si="3111"/>
        <v>0</v>
      </c>
      <c r="FK202" s="396">
        <f t="shared" ca="1" si="3111"/>
        <v>0</v>
      </c>
      <c r="FL202" s="396">
        <f t="shared" ca="1" si="3111"/>
        <v>0</v>
      </c>
      <c r="FM202" s="396">
        <f t="shared" ca="1" si="3111"/>
        <v>0</v>
      </c>
      <c r="FN202" s="396">
        <f t="shared" ca="1" si="3111"/>
        <v>0</v>
      </c>
      <c r="FO202" s="396">
        <f t="shared" ca="1" si="3111"/>
        <v>0</v>
      </c>
      <c r="FP202" s="396">
        <f t="shared" ca="1" si="3111"/>
        <v>0</v>
      </c>
      <c r="FQ202" s="396">
        <f t="shared" ca="1" si="3111"/>
        <v>0</v>
      </c>
      <c r="FR202" s="396">
        <f t="shared" ca="1" si="3111"/>
        <v>0</v>
      </c>
      <c r="FS202" s="396">
        <f t="shared" ca="1" si="3111"/>
        <v>0</v>
      </c>
      <c r="FT202" s="396">
        <f t="shared" ca="1" si="3111"/>
        <v>0</v>
      </c>
      <c r="FU202" s="396">
        <f t="shared" ca="1" si="3111"/>
        <v>0</v>
      </c>
      <c r="FV202" s="396">
        <f t="shared" ca="1" si="3111"/>
        <v>0</v>
      </c>
      <c r="FW202" s="396">
        <f t="shared" ca="1" si="3111"/>
        <v>0</v>
      </c>
      <c r="FX202" s="396">
        <f t="shared" ca="1" si="3111"/>
        <v>0</v>
      </c>
      <c r="FY202" s="396">
        <f t="shared" ca="1" si="3111"/>
        <v>0</v>
      </c>
      <c r="FZ202" s="396">
        <f t="shared" ca="1" si="3111"/>
        <v>0</v>
      </c>
      <c r="GA202" s="396">
        <f t="shared" ca="1" si="3111"/>
        <v>0</v>
      </c>
      <c r="GB202" s="396">
        <f t="shared" ca="1" si="3111"/>
        <v>0</v>
      </c>
      <c r="GC202" s="396">
        <f t="shared" ca="1" si="3111"/>
        <v>0</v>
      </c>
      <c r="GD202" s="396">
        <f t="shared" ca="1" si="3111"/>
        <v>0</v>
      </c>
      <c r="GE202" s="396">
        <f t="shared" ca="1" si="3111"/>
        <v>0</v>
      </c>
      <c r="GF202" s="396">
        <f t="shared" ca="1" si="3111"/>
        <v>0</v>
      </c>
      <c r="GG202" s="396">
        <f t="shared" ca="1" si="3111"/>
        <v>0</v>
      </c>
      <c r="GH202" s="396">
        <f t="shared" ca="1" si="3111"/>
        <v>0</v>
      </c>
      <c r="GI202" s="396">
        <f t="shared" ref="GI202:HN202" ca="1" si="3112">(GI$2=Analysis_Period)*$FB202*$EX202</f>
        <v>0</v>
      </c>
      <c r="GJ202" s="396">
        <f t="shared" ca="1" si="3112"/>
        <v>0</v>
      </c>
      <c r="GK202" s="396">
        <f t="shared" ca="1" si="3112"/>
        <v>0</v>
      </c>
      <c r="GL202" s="396">
        <f t="shared" ca="1" si="3112"/>
        <v>0</v>
      </c>
      <c r="GM202" s="396">
        <f t="shared" ca="1" si="3112"/>
        <v>0</v>
      </c>
      <c r="GN202" s="396">
        <f t="shared" ca="1" si="3112"/>
        <v>0</v>
      </c>
      <c r="GO202" s="396">
        <f t="shared" ca="1" si="3112"/>
        <v>0</v>
      </c>
      <c r="GP202" s="396">
        <f t="shared" ca="1" si="3112"/>
        <v>0</v>
      </c>
      <c r="GQ202" s="396">
        <f t="shared" ca="1" si="3112"/>
        <v>0</v>
      </c>
      <c r="GR202" s="396">
        <f t="shared" ca="1" si="3112"/>
        <v>0</v>
      </c>
      <c r="GS202" s="396">
        <f t="shared" ca="1" si="3112"/>
        <v>0</v>
      </c>
      <c r="GT202" s="396">
        <f t="shared" ca="1" si="3112"/>
        <v>0</v>
      </c>
      <c r="GU202" s="396">
        <f t="shared" ca="1" si="3112"/>
        <v>0</v>
      </c>
      <c r="GV202" s="396">
        <f t="shared" ca="1" si="3112"/>
        <v>0</v>
      </c>
      <c r="GW202" s="396">
        <f t="shared" ca="1" si="3112"/>
        <v>0</v>
      </c>
      <c r="GX202" s="396">
        <f t="shared" ca="1" si="3112"/>
        <v>0</v>
      </c>
      <c r="GY202" s="396">
        <f t="shared" ca="1" si="3112"/>
        <v>0</v>
      </c>
      <c r="GZ202" s="396">
        <f t="shared" ca="1" si="3112"/>
        <v>0</v>
      </c>
      <c r="HA202" s="396">
        <f t="shared" ca="1" si="3112"/>
        <v>0</v>
      </c>
      <c r="HB202" s="396">
        <f t="shared" ca="1" si="3112"/>
        <v>0</v>
      </c>
      <c r="HC202" s="396">
        <f t="shared" ca="1" si="3112"/>
        <v>0</v>
      </c>
      <c r="HD202" s="396">
        <f t="shared" ca="1" si="3112"/>
        <v>0</v>
      </c>
      <c r="HE202" s="396">
        <f t="shared" ca="1" si="3112"/>
        <v>0</v>
      </c>
      <c r="HF202" s="396">
        <f t="shared" ca="1" si="3112"/>
        <v>0</v>
      </c>
      <c r="HG202" s="396">
        <f t="shared" ca="1" si="3112"/>
        <v>0</v>
      </c>
      <c r="HH202" s="396">
        <f t="shared" ca="1" si="3112"/>
        <v>0</v>
      </c>
      <c r="HI202" s="396">
        <f t="shared" ca="1" si="3112"/>
        <v>0</v>
      </c>
      <c r="HJ202" s="396">
        <f t="shared" ca="1" si="3112"/>
        <v>0</v>
      </c>
      <c r="HK202" s="396">
        <f t="shared" ca="1" si="3112"/>
        <v>0</v>
      </c>
      <c r="HL202" s="396">
        <f t="shared" ca="1" si="3112"/>
        <v>0</v>
      </c>
      <c r="HM202" s="396">
        <f t="shared" ca="1" si="3112"/>
        <v>0</v>
      </c>
      <c r="HN202" s="396">
        <f t="shared" ca="1" si="3112"/>
        <v>0</v>
      </c>
      <c r="HO202" s="396">
        <f t="shared" ref="HO202:IT202" ca="1" si="3113">(HO$2=Analysis_Period)*$FB202*$EX202</f>
        <v>0</v>
      </c>
      <c r="HP202" s="396">
        <f t="shared" ca="1" si="3113"/>
        <v>0</v>
      </c>
      <c r="HQ202" s="396">
        <f t="shared" ca="1" si="3113"/>
        <v>0</v>
      </c>
      <c r="HR202" s="396">
        <f t="shared" ca="1" si="3113"/>
        <v>0</v>
      </c>
      <c r="HS202" s="396">
        <f t="shared" ca="1" si="3113"/>
        <v>0</v>
      </c>
      <c r="HT202" s="396">
        <f t="shared" ca="1" si="3113"/>
        <v>0</v>
      </c>
      <c r="HU202" s="396">
        <f t="shared" ca="1" si="3113"/>
        <v>0</v>
      </c>
      <c r="HV202" s="396">
        <f t="shared" ca="1" si="3113"/>
        <v>0</v>
      </c>
      <c r="HW202" s="396">
        <f t="shared" ca="1" si="3113"/>
        <v>0</v>
      </c>
      <c r="HX202" s="396">
        <f t="shared" ca="1" si="3113"/>
        <v>0</v>
      </c>
      <c r="HY202" s="396">
        <f t="shared" ca="1" si="3113"/>
        <v>0</v>
      </c>
      <c r="HZ202" s="396">
        <f t="shared" ca="1" si="3113"/>
        <v>0</v>
      </c>
      <c r="IA202" s="396">
        <f t="shared" ca="1" si="3113"/>
        <v>0</v>
      </c>
      <c r="IB202" s="396">
        <f t="shared" ca="1" si="3113"/>
        <v>0</v>
      </c>
      <c r="IC202" s="396">
        <f t="shared" ca="1" si="3113"/>
        <v>0</v>
      </c>
      <c r="ID202" s="396">
        <f t="shared" ca="1" si="3113"/>
        <v>0</v>
      </c>
      <c r="IE202" s="396">
        <f t="shared" ca="1" si="3113"/>
        <v>0</v>
      </c>
      <c r="IF202" s="396">
        <f t="shared" ca="1" si="3113"/>
        <v>0</v>
      </c>
      <c r="IG202" s="396">
        <f t="shared" ca="1" si="3113"/>
        <v>0</v>
      </c>
      <c r="IH202" s="396">
        <f t="shared" ca="1" si="3113"/>
        <v>0</v>
      </c>
      <c r="II202" s="396">
        <f t="shared" ca="1" si="3113"/>
        <v>0</v>
      </c>
      <c r="IJ202" s="396">
        <f t="shared" ca="1" si="3113"/>
        <v>0</v>
      </c>
      <c r="IK202" s="396">
        <f t="shared" ca="1" si="3113"/>
        <v>0</v>
      </c>
      <c r="IL202" s="396">
        <f t="shared" ca="1" si="3113"/>
        <v>0</v>
      </c>
      <c r="IM202" s="396">
        <f t="shared" ca="1" si="3113"/>
        <v>0</v>
      </c>
      <c r="IN202" s="396">
        <f t="shared" ca="1" si="3113"/>
        <v>0</v>
      </c>
      <c r="IO202" s="396">
        <f t="shared" ca="1" si="3113"/>
        <v>0</v>
      </c>
      <c r="IP202" s="396">
        <f t="shared" ca="1" si="3113"/>
        <v>0</v>
      </c>
      <c r="IQ202" s="396">
        <f t="shared" ca="1" si="3113"/>
        <v>0</v>
      </c>
      <c r="IR202" s="396">
        <f t="shared" ca="1" si="3113"/>
        <v>0</v>
      </c>
      <c r="IS202" s="396">
        <f t="shared" ca="1" si="3113"/>
        <v>0</v>
      </c>
      <c r="IT202" s="396">
        <f t="shared" ca="1" si="3113"/>
        <v>0</v>
      </c>
      <c r="IU202" s="396">
        <f t="shared" ref="IU202:KE202" ca="1" si="3114">(IU$2=Analysis_Period)*$FB202*$EX202</f>
        <v>0</v>
      </c>
      <c r="IV202" s="396">
        <f t="shared" ca="1" si="3114"/>
        <v>0</v>
      </c>
      <c r="IW202" s="396">
        <f t="shared" ca="1" si="3114"/>
        <v>0</v>
      </c>
      <c r="IX202" s="396">
        <f t="shared" ca="1" si="3114"/>
        <v>0</v>
      </c>
      <c r="IY202" s="396">
        <f t="shared" ca="1" si="3114"/>
        <v>0</v>
      </c>
      <c r="IZ202" s="396">
        <f t="shared" ca="1" si="3114"/>
        <v>0</v>
      </c>
      <c r="JA202" s="396">
        <f t="shared" ca="1" si="3114"/>
        <v>0</v>
      </c>
      <c r="JB202" s="396">
        <f t="shared" ca="1" si="3114"/>
        <v>0</v>
      </c>
      <c r="JC202" s="396">
        <f t="shared" ca="1" si="3114"/>
        <v>0</v>
      </c>
      <c r="JD202" s="396">
        <f t="shared" ca="1" si="3114"/>
        <v>0</v>
      </c>
      <c r="JE202" s="396">
        <f t="shared" ca="1" si="3114"/>
        <v>0</v>
      </c>
      <c r="JF202" s="396">
        <f t="shared" ca="1" si="3114"/>
        <v>0</v>
      </c>
      <c r="JG202" s="396">
        <f t="shared" ca="1" si="3114"/>
        <v>0</v>
      </c>
      <c r="JH202" s="396">
        <f t="shared" ca="1" si="3114"/>
        <v>0</v>
      </c>
      <c r="JI202" s="396">
        <f t="shared" ca="1" si="3114"/>
        <v>0</v>
      </c>
      <c r="JJ202" s="396">
        <f t="shared" ca="1" si="3114"/>
        <v>0</v>
      </c>
      <c r="JK202" s="396">
        <f t="shared" ca="1" si="3114"/>
        <v>0</v>
      </c>
      <c r="JL202" s="396">
        <f t="shared" ca="1" si="3114"/>
        <v>0</v>
      </c>
      <c r="JM202" s="396">
        <f t="shared" ca="1" si="3114"/>
        <v>0</v>
      </c>
      <c r="JN202" s="396">
        <f t="shared" ca="1" si="3114"/>
        <v>0</v>
      </c>
      <c r="JO202" s="396">
        <f t="shared" ca="1" si="3114"/>
        <v>0</v>
      </c>
      <c r="JP202" s="396">
        <f t="shared" ca="1" si="3114"/>
        <v>0</v>
      </c>
      <c r="JQ202" s="396">
        <f t="shared" ca="1" si="3114"/>
        <v>0</v>
      </c>
      <c r="JR202" s="396">
        <f t="shared" ca="1" si="3114"/>
        <v>0</v>
      </c>
      <c r="JS202" s="396">
        <f t="shared" ca="1" si="3114"/>
        <v>0</v>
      </c>
      <c r="JT202" s="396">
        <f t="shared" ca="1" si="3114"/>
        <v>0</v>
      </c>
      <c r="JU202" s="396">
        <f t="shared" ca="1" si="3114"/>
        <v>0</v>
      </c>
      <c r="JV202" s="396">
        <f t="shared" ca="1" si="3114"/>
        <v>0</v>
      </c>
      <c r="JW202" s="396">
        <f t="shared" ca="1" si="3114"/>
        <v>0</v>
      </c>
      <c r="JX202" s="396">
        <f t="shared" ca="1" si="3114"/>
        <v>0</v>
      </c>
      <c r="JY202" s="396">
        <f t="shared" ca="1" si="3114"/>
        <v>0</v>
      </c>
      <c r="JZ202" s="396">
        <f t="shared" ca="1" si="3114"/>
        <v>0</v>
      </c>
      <c r="KA202" s="396">
        <f t="shared" ca="1" si="3114"/>
        <v>0</v>
      </c>
      <c r="KB202" s="396">
        <f t="shared" ca="1" si="3114"/>
        <v>0</v>
      </c>
      <c r="KC202" s="396">
        <f t="shared" ca="1" si="3114"/>
        <v>0</v>
      </c>
      <c r="KD202" s="396">
        <f t="shared" ca="1" si="3114"/>
        <v>0</v>
      </c>
      <c r="KE202" s="396">
        <f t="shared" ca="1" si="3114"/>
        <v>0</v>
      </c>
      <c r="KF202" s="200" t="s">
        <v>269</v>
      </c>
      <c r="PQ202" s="201"/>
      <c r="PR202" s="201"/>
      <c r="PS202" s="201"/>
      <c r="PT202" s="201"/>
      <c r="PU202" s="201"/>
      <c r="PV202" s="201"/>
      <c r="PW202" s="201"/>
      <c r="PX202" s="201"/>
      <c r="PY202" s="201"/>
      <c r="PZ202" s="201"/>
      <c r="QA202" s="201"/>
      <c r="QB202" s="201"/>
      <c r="QC202" s="201"/>
      <c r="QD202" s="201"/>
      <c r="QE202" s="201"/>
      <c r="QF202" s="201"/>
      <c r="QG202" s="201"/>
      <c r="QH202" s="201"/>
      <c r="QI202" s="201"/>
      <c r="QJ202" s="201"/>
      <c r="QK202" s="201"/>
      <c r="QL202" s="201"/>
      <c r="QM202" s="201"/>
      <c r="QN202" s="201"/>
      <c r="QO202" s="201"/>
      <c r="QP202" s="201"/>
      <c r="QQ202" s="201"/>
      <c r="QR202" s="201"/>
      <c r="QS202" s="201"/>
      <c r="QT202" s="201"/>
      <c r="QU202" s="201"/>
      <c r="QV202" s="201"/>
      <c r="QW202" s="201"/>
      <c r="QX202" s="201"/>
      <c r="QY202" s="201"/>
      <c r="QZ202" s="201"/>
      <c r="RA202" s="201"/>
      <c r="RB202" s="201"/>
      <c r="RC202" s="201"/>
      <c r="RD202" s="201"/>
      <c r="RE202" s="201"/>
      <c r="RF202" s="201"/>
      <c r="RG202" s="201"/>
      <c r="RH202" s="201"/>
      <c r="RI202" s="201"/>
      <c r="RJ202" s="201"/>
      <c r="RK202" s="201"/>
      <c r="RL202" s="201"/>
      <c r="RM202" s="201"/>
      <c r="RN202" s="201"/>
      <c r="RO202" s="201"/>
      <c r="RP202" s="201"/>
      <c r="RQ202" s="201"/>
      <c r="RR202" s="201"/>
      <c r="RS202" s="201"/>
      <c r="RT202" s="201"/>
      <c r="RU202" s="201"/>
      <c r="RV202" s="201"/>
      <c r="RW202" s="201"/>
      <c r="RX202" s="201"/>
      <c r="RY202" s="201"/>
      <c r="RZ202" s="201"/>
      <c r="SA202" s="201"/>
      <c r="SB202" s="201"/>
      <c r="SC202" s="201"/>
      <c r="SD202" s="201"/>
      <c r="SE202" s="201"/>
      <c r="SF202" s="201"/>
      <c r="SG202" s="201"/>
      <c r="SH202" s="201"/>
      <c r="SI202" s="201"/>
      <c r="SJ202" s="201"/>
      <c r="SK202" s="201"/>
      <c r="SL202" s="201"/>
      <c r="SM202" s="201"/>
      <c r="SN202" s="201"/>
      <c r="SO202" s="201"/>
      <c r="SP202" s="201"/>
      <c r="SQ202" s="201"/>
      <c r="SR202" s="201"/>
      <c r="SS202" s="201"/>
      <c r="ST202" s="201"/>
      <c r="SU202" s="201"/>
      <c r="SV202" s="201"/>
      <c r="SW202" s="201"/>
      <c r="SX202" s="201"/>
      <c r="SY202" s="201"/>
      <c r="SZ202" s="201"/>
      <c r="TA202" s="201"/>
      <c r="TB202" s="201"/>
      <c r="TC202" s="201"/>
      <c r="TD202" s="201"/>
      <c r="TE202" s="201"/>
      <c r="TF202" s="201"/>
      <c r="TG202" s="201"/>
      <c r="TH202" s="201"/>
      <c r="TI202" s="201"/>
      <c r="TJ202" s="201"/>
      <c r="TK202" s="201"/>
      <c r="TL202" s="201"/>
      <c r="TM202" s="201"/>
      <c r="TN202" s="201"/>
      <c r="TO202" s="201"/>
      <c r="TP202" s="201"/>
      <c r="TQ202" s="201"/>
      <c r="TR202" s="201"/>
      <c r="TS202" s="201"/>
      <c r="TT202" s="201"/>
      <c r="TU202" s="201"/>
      <c r="TV202" s="201"/>
      <c r="TW202" s="201"/>
      <c r="TX202" s="201"/>
      <c r="TY202" s="201"/>
      <c r="TZ202" s="201"/>
      <c r="UA202" s="201"/>
      <c r="UB202" s="201"/>
      <c r="UC202" s="201"/>
      <c r="UD202" s="201"/>
      <c r="UE202" s="201"/>
      <c r="UF202" s="201"/>
      <c r="UG202" s="201"/>
      <c r="UH202" s="201"/>
      <c r="UI202" s="201"/>
      <c r="UJ202" s="201"/>
      <c r="UK202" s="201"/>
      <c r="UL202" s="201"/>
      <c r="UM202" s="201"/>
      <c r="UN202" s="201"/>
      <c r="UO202" s="201"/>
      <c r="UP202" s="201"/>
      <c r="UQ202" s="201"/>
      <c r="UR202" s="201"/>
      <c r="US202" s="201"/>
      <c r="UT202" s="201"/>
      <c r="UU202" s="201"/>
    </row>
    <row r="203" spans="2:567" x14ac:dyDescent="0.25">
      <c r="B203" s="18" t="s">
        <v>159</v>
      </c>
      <c r="C203" s="161"/>
      <c r="D203" s="161"/>
      <c r="E203" s="162"/>
      <c r="F203" s="162"/>
      <c r="G203" s="162"/>
      <c r="H203" s="162"/>
      <c r="I203" s="164">
        <f>SUM(I201:I202)</f>
        <v>60000</v>
      </c>
      <c r="J203" s="164">
        <f t="shared" ref="J203:K203" ca="1" si="3115">SUM(J201:J202)</f>
        <v>62201.545761583453</v>
      </c>
      <c r="K203" s="574">
        <f t="shared" ca="1" si="3115"/>
        <v>63756.584405622954</v>
      </c>
      <c r="L203" s="240"/>
      <c r="R203" s="257"/>
      <c r="S203" s="243"/>
      <c r="T203" s="243"/>
      <c r="U203" s="243"/>
      <c r="V203" s="243"/>
      <c r="W203" s="243"/>
      <c r="X203" s="243"/>
      <c r="Y203" s="243"/>
      <c r="Z203" s="243"/>
      <c r="AA203" s="243"/>
      <c r="AB203" s="243"/>
      <c r="AC203" s="243"/>
      <c r="AD203" s="243"/>
      <c r="AE203" s="243"/>
      <c r="AF203" s="243"/>
      <c r="AG203" s="243"/>
      <c r="AH203" s="243"/>
      <c r="AI203" s="243"/>
      <c r="AJ203" s="243"/>
      <c r="AK203" s="243"/>
      <c r="AL203" s="243"/>
      <c r="AM203" s="243"/>
      <c r="AN203" s="243"/>
      <c r="AO203" s="243"/>
      <c r="AP203" s="243"/>
      <c r="AQ203" s="243"/>
      <c r="AR203" s="243"/>
      <c r="AS203" s="243"/>
      <c r="AT203" s="243"/>
      <c r="AU203" s="243"/>
      <c r="AV203" s="243"/>
      <c r="AW203" s="243"/>
      <c r="AX203" s="243"/>
      <c r="AY203" s="243"/>
      <c r="AZ203" s="243"/>
      <c r="BA203" s="243"/>
      <c r="BB203" s="243"/>
      <c r="BC203" s="243"/>
      <c r="BD203" s="243"/>
      <c r="BE203" s="243"/>
      <c r="BF203" s="243"/>
      <c r="BG203" s="243"/>
      <c r="BH203" s="243"/>
      <c r="BI203" s="243"/>
      <c r="BJ203" s="243"/>
      <c r="BK203" s="243"/>
      <c r="BL203" s="243"/>
      <c r="BM203" s="243"/>
      <c r="BN203" s="243"/>
      <c r="BO203" s="243"/>
      <c r="BP203" s="243"/>
      <c r="BQ203" s="243"/>
      <c r="BR203" s="243"/>
      <c r="BS203" s="243"/>
      <c r="BT203" s="243"/>
      <c r="BU203" s="243"/>
      <c r="BV203" s="243"/>
      <c r="BW203" s="243"/>
      <c r="BX203" s="243"/>
      <c r="BY203" s="243"/>
      <c r="BZ203" s="243"/>
      <c r="CA203" s="243"/>
      <c r="CB203" s="243"/>
      <c r="CC203" s="243"/>
      <c r="CD203" s="243"/>
      <c r="CE203" s="243"/>
      <c r="CF203" s="243"/>
      <c r="CG203" s="243"/>
      <c r="CH203" s="243"/>
      <c r="CI203" s="243"/>
      <c r="CJ203" s="243"/>
      <c r="CK203" s="243"/>
      <c r="CL203" s="243"/>
      <c r="CM203" s="243"/>
      <c r="CN203" s="243"/>
      <c r="CO203" s="243"/>
      <c r="CP203" s="243"/>
      <c r="CQ203" s="243"/>
      <c r="CR203" s="243"/>
      <c r="CS203" s="243"/>
      <c r="CT203" s="243"/>
      <c r="CU203" s="243"/>
      <c r="CV203" s="243"/>
      <c r="CW203" s="243"/>
      <c r="CX203" s="243"/>
      <c r="CY203" s="243"/>
      <c r="CZ203" s="243"/>
      <c r="DA203" s="243"/>
      <c r="DB203" s="243"/>
      <c r="DC203" s="243"/>
      <c r="DD203" s="243"/>
      <c r="DE203" s="243"/>
      <c r="DF203" s="243"/>
      <c r="DG203" s="243"/>
      <c r="DH203" s="243"/>
      <c r="DI203" s="243"/>
      <c r="DJ203" s="243"/>
      <c r="DK203" s="243"/>
      <c r="DL203" s="243"/>
      <c r="DM203" s="243"/>
      <c r="DN203" s="243"/>
      <c r="DO203" s="243"/>
      <c r="DP203" s="243"/>
      <c r="DQ203" s="243"/>
      <c r="DR203" s="243"/>
      <c r="DS203" s="243"/>
      <c r="DT203" s="243"/>
      <c r="DU203" s="243"/>
      <c r="DV203" s="243"/>
      <c r="DW203" s="243"/>
      <c r="DX203" s="243"/>
      <c r="DY203" s="243"/>
      <c r="DZ203" s="243"/>
      <c r="EA203" s="243"/>
      <c r="EB203" s="243"/>
      <c r="EC203" s="243"/>
      <c r="ED203" s="243"/>
      <c r="EE203" s="243"/>
      <c r="EF203" s="243"/>
      <c r="EG203" s="243"/>
      <c r="EH203" s="243"/>
      <c r="EI203" s="243"/>
      <c r="EJ203" s="243"/>
      <c r="EK203" s="243"/>
      <c r="EL203" s="243"/>
      <c r="EM203" s="243"/>
      <c r="EN203" s="243"/>
      <c r="EO203" s="243"/>
      <c r="EP203" s="243"/>
      <c r="EQ203" s="243"/>
      <c r="ER203" s="243"/>
      <c r="ES203" s="243"/>
      <c r="ET203" s="243"/>
      <c r="EU203" s="243"/>
      <c r="EW203" s="199" t="s">
        <v>588</v>
      </c>
      <c r="FC203" s="394">
        <f ca="1">SUM(FC200:FC202)</f>
        <v>628125</v>
      </c>
      <c r="FD203" s="394">
        <f ca="1">SUM(FD200:FD202)</f>
        <v>17281.831249999999</v>
      </c>
      <c r="FE203" s="394">
        <f t="shared" ref="FE203:HP203" ca="1" si="3116">SUM(FE200:FE202)</f>
        <v>17281.831249999999</v>
      </c>
      <c r="FF203" s="394">
        <f t="shared" ca="1" si="3116"/>
        <v>17281.831249999999</v>
      </c>
      <c r="FG203" s="394">
        <f t="shared" ca="1" si="3116"/>
        <v>17281.831249999999</v>
      </c>
      <c r="FH203" s="394">
        <f t="shared" ca="1" si="3116"/>
        <v>17281.831249999999</v>
      </c>
      <c r="FI203" s="394">
        <f t="shared" ca="1" si="3116"/>
        <v>17281.831249999999</v>
      </c>
      <c r="FJ203" s="394">
        <f t="shared" ca="1" si="3116"/>
        <v>17281.831249999999</v>
      </c>
      <c r="FK203" s="394">
        <f t="shared" ca="1" si="3116"/>
        <v>17281.831249999999</v>
      </c>
      <c r="FL203" s="394">
        <f t="shared" ca="1" si="3116"/>
        <v>17281.831249999999</v>
      </c>
      <c r="FM203" s="394">
        <f t="shared" ca="1" si="3116"/>
        <v>17281.831249999999</v>
      </c>
      <c r="FN203" s="394">
        <f t="shared" ca="1" si="3116"/>
        <v>17281.831249999999</v>
      </c>
      <c r="FO203" s="394">
        <f t="shared" ca="1" si="3116"/>
        <v>17281.831249999999</v>
      </c>
      <c r="FP203" s="394">
        <f t="shared" ca="1" si="3116"/>
        <v>17281.831249999999</v>
      </c>
      <c r="FQ203" s="394">
        <f t="shared" ca="1" si="3116"/>
        <v>17281.831249999999</v>
      </c>
      <c r="FR203" s="394">
        <f t="shared" ca="1" si="3116"/>
        <v>17281.831249999999</v>
      </c>
      <c r="FS203" s="394">
        <f t="shared" ca="1" si="3116"/>
        <v>17281.831249999999</v>
      </c>
      <c r="FT203" s="394">
        <f t="shared" ca="1" si="3116"/>
        <v>17281.831249999999</v>
      </c>
      <c r="FU203" s="394">
        <f t="shared" ca="1" si="3116"/>
        <v>17281.831249999999</v>
      </c>
      <c r="FV203" s="394">
        <f t="shared" ca="1" si="3116"/>
        <v>17281.831249999999</v>
      </c>
      <c r="FW203" s="394">
        <f t="shared" ca="1" si="3116"/>
        <v>17281.831249999999</v>
      </c>
      <c r="FX203" s="394">
        <f t="shared" ca="1" si="3116"/>
        <v>17281.831249999999</v>
      </c>
      <c r="FY203" s="394">
        <f t="shared" ca="1" si="3116"/>
        <v>17281.831249999999</v>
      </c>
      <c r="FZ203" s="394">
        <f t="shared" ca="1" si="3116"/>
        <v>17281.831249999999</v>
      </c>
      <c r="GA203" s="394">
        <f t="shared" ca="1" si="3116"/>
        <v>17281.831249999999</v>
      </c>
      <c r="GB203" s="394">
        <f t="shared" ca="1" si="3116"/>
        <v>17281.831249999999</v>
      </c>
      <c r="GC203" s="394">
        <f t="shared" ca="1" si="3116"/>
        <v>17281.831249999999</v>
      </c>
      <c r="GD203" s="394">
        <f t="shared" ca="1" si="3116"/>
        <v>17281.831249999999</v>
      </c>
      <c r="GE203" s="394">
        <f t="shared" ca="1" si="3116"/>
        <v>17281.831249999999</v>
      </c>
      <c r="GF203" s="394">
        <f t="shared" ca="1" si="3116"/>
        <v>17281.831249999999</v>
      </c>
      <c r="GG203" s="394">
        <f t="shared" ca="1" si="3116"/>
        <v>17281.831249999999</v>
      </c>
      <c r="GH203" s="394">
        <f t="shared" ca="1" si="3116"/>
        <v>17281.831249999999</v>
      </c>
      <c r="GI203" s="394">
        <f t="shared" ca="1" si="3116"/>
        <v>17281.831249999999</v>
      </c>
      <c r="GJ203" s="394">
        <f t="shared" ca="1" si="3116"/>
        <v>17281.831249999999</v>
      </c>
      <c r="GK203" s="394">
        <f t="shared" ca="1" si="3116"/>
        <v>17281.831249999999</v>
      </c>
      <c r="GL203" s="394">
        <f t="shared" ca="1" si="3116"/>
        <v>17281.831249999999</v>
      </c>
      <c r="GM203" s="394">
        <f t="shared" ca="1" si="3116"/>
        <v>17281.831249999999</v>
      </c>
      <c r="GN203" s="394">
        <f t="shared" ca="1" si="3116"/>
        <v>0</v>
      </c>
      <c r="GO203" s="394">
        <f t="shared" ca="1" si="3116"/>
        <v>0</v>
      </c>
      <c r="GP203" s="394">
        <f t="shared" ca="1" si="3116"/>
        <v>0</v>
      </c>
      <c r="GQ203" s="394">
        <f t="shared" ca="1" si="3116"/>
        <v>0</v>
      </c>
      <c r="GR203" s="394">
        <f t="shared" ca="1" si="3116"/>
        <v>0</v>
      </c>
      <c r="GS203" s="394">
        <f t="shared" ca="1" si="3116"/>
        <v>0</v>
      </c>
      <c r="GT203" s="394">
        <f t="shared" ca="1" si="3116"/>
        <v>0</v>
      </c>
      <c r="GU203" s="394">
        <f t="shared" ca="1" si="3116"/>
        <v>0</v>
      </c>
      <c r="GV203" s="394">
        <f t="shared" ca="1" si="3116"/>
        <v>0</v>
      </c>
      <c r="GW203" s="394">
        <f t="shared" ca="1" si="3116"/>
        <v>0</v>
      </c>
      <c r="GX203" s="394">
        <f t="shared" ca="1" si="3116"/>
        <v>0</v>
      </c>
      <c r="GY203" s="394">
        <f t="shared" ca="1" si="3116"/>
        <v>0</v>
      </c>
      <c r="GZ203" s="394">
        <f t="shared" ca="1" si="3116"/>
        <v>0</v>
      </c>
      <c r="HA203" s="394">
        <f t="shared" ca="1" si="3116"/>
        <v>0</v>
      </c>
      <c r="HB203" s="394">
        <f t="shared" ca="1" si="3116"/>
        <v>0</v>
      </c>
      <c r="HC203" s="394">
        <f t="shared" ca="1" si="3116"/>
        <v>0</v>
      </c>
      <c r="HD203" s="394">
        <f t="shared" ca="1" si="3116"/>
        <v>0</v>
      </c>
      <c r="HE203" s="394">
        <f t="shared" ca="1" si="3116"/>
        <v>0</v>
      </c>
      <c r="HF203" s="394">
        <f t="shared" ca="1" si="3116"/>
        <v>0</v>
      </c>
      <c r="HG203" s="394">
        <f t="shared" ca="1" si="3116"/>
        <v>0</v>
      </c>
      <c r="HH203" s="394">
        <f t="shared" ca="1" si="3116"/>
        <v>0</v>
      </c>
      <c r="HI203" s="394">
        <f t="shared" ca="1" si="3116"/>
        <v>0</v>
      </c>
      <c r="HJ203" s="394">
        <f t="shared" ca="1" si="3116"/>
        <v>0</v>
      </c>
      <c r="HK203" s="394">
        <f t="shared" ca="1" si="3116"/>
        <v>0</v>
      </c>
      <c r="HL203" s="394">
        <f t="shared" ca="1" si="3116"/>
        <v>0</v>
      </c>
      <c r="HM203" s="394">
        <f t="shared" ca="1" si="3116"/>
        <v>0</v>
      </c>
      <c r="HN203" s="394">
        <f t="shared" ca="1" si="3116"/>
        <v>0</v>
      </c>
      <c r="HO203" s="394">
        <f t="shared" ca="1" si="3116"/>
        <v>0</v>
      </c>
      <c r="HP203" s="394">
        <f t="shared" ca="1" si="3116"/>
        <v>0</v>
      </c>
      <c r="HQ203" s="394">
        <f t="shared" ref="HQ203:KB203" ca="1" si="3117">SUM(HQ200:HQ202)</f>
        <v>0</v>
      </c>
      <c r="HR203" s="394">
        <f t="shared" ca="1" si="3117"/>
        <v>0</v>
      </c>
      <c r="HS203" s="394">
        <f t="shared" ca="1" si="3117"/>
        <v>0</v>
      </c>
      <c r="HT203" s="394">
        <f t="shared" ca="1" si="3117"/>
        <v>0</v>
      </c>
      <c r="HU203" s="394">
        <f t="shared" ca="1" si="3117"/>
        <v>0</v>
      </c>
      <c r="HV203" s="394">
        <f t="shared" ca="1" si="3117"/>
        <v>0</v>
      </c>
      <c r="HW203" s="394">
        <f t="shared" ca="1" si="3117"/>
        <v>0</v>
      </c>
      <c r="HX203" s="394">
        <f t="shared" ca="1" si="3117"/>
        <v>0</v>
      </c>
      <c r="HY203" s="394">
        <f t="shared" ca="1" si="3117"/>
        <v>0</v>
      </c>
      <c r="HZ203" s="394">
        <f t="shared" ca="1" si="3117"/>
        <v>0</v>
      </c>
      <c r="IA203" s="394">
        <f t="shared" ca="1" si="3117"/>
        <v>0</v>
      </c>
      <c r="IB203" s="394">
        <f t="shared" ca="1" si="3117"/>
        <v>0</v>
      </c>
      <c r="IC203" s="394">
        <f t="shared" ca="1" si="3117"/>
        <v>0</v>
      </c>
      <c r="ID203" s="394">
        <f t="shared" ca="1" si="3117"/>
        <v>0</v>
      </c>
      <c r="IE203" s="394">
        <f t="shared" ca="1" si="3117"/>
        <v>0</v>
      </c>
      <c r="IF203" s="394">
        <f t="shared" ca="1" si="3117"/>
        <v>0</v>
      </c>
      <c r="IG203" s="394">
        <f t="shared" ca="1" si="3117"/>
        <v>0</v>
      </c>
      <c r="IH203" s="394">
        <f t="shared" ca="1" si="3117"/>
        <v>0</v>
      </c>
      <c r="II203" s="394">
        <f t="shared" ca="1" si="3117"/>
        <v>0</v>
      </c>
      <c r="IJ203" s="394">
        <f t="shared" ca="1" si="3117"/>
        <v>0</v>
      </c>
      <c r="IK203" s="394">
        <f t="shared" ca="1" si="3117"/>
        <v>0</v>
      </c>
      <c r="IL203" s="394">
        <f t="shared" ca="1" si="3117"/>
        <v>0</v>
      </c>
      <c r="IM203" s="394">
        <f t="shared" ca="1" si="3117"/>
        <v>0</v>
      </c>
      <c r="IN203" s="394">
        <f t="shared" ca="1" si="3117"/>
        <v>0</v>
      </c>
      <c r="IO203" s="394">
        <f t="shared" ca="1" si="3117"/>
        <v>0</v>
      </c>
      <c r="IP203" s="394">
        <f t="shared" ca="1" si="3117"/>
        <v>0</v>
      </c>
      <c r="IQ203" s="394">
        <f t="shared" ca="1" si="3117"/>
        <v>0</v>
      </c>
      <c r="IR203" s="394">
        <f t="shared" ca="1" si="3117"/>
        <v>0</v>
      </c>
      <c r="IS203" s="394">
        <f t="shared" ca="1" si="3117"/>
        <v>0</v>
      </c>
      <c r="IT203" s="394">
        <f t="shared" ca="1" si="3117"/>
        <v>0</v>
      </c>
      <c r="IU203" s="394">
        <f t="shared" ca="1" si="3117"/>
        <v>0</v>
      </c>
      <c r="IV203" s="394">
        <f t="shared" ca="1" si="3117"/>
        <v>0</v>
      </c>
      <c r="IW203" s="394">
        <f t="shared" ca="1" si="3117"/>
        <v>0</v>
      </c>
      <c r="IX203" s="394">
        <f t="shared" ca="1" si="3117"/>
        <v>0</v>
      </c>
      <c r="IY203" s="394">
        <f t="shared" ca="1" si="3117"/>
        <v>0</v>
      </c>
      <c r="IZ203" s="394">
        <f t="shared" ca="1" si="3117"/>
        <v>0</v>
      </c>
      <c r="JA203" s="394">
        <f t="shared" ca="1" si="3117"/>
        <v>0</v>
      </c>
      <c r="JB203" s="394">
        <f t="shared" ca="1" si="3117"/>
        <v>0</v>
      </c>
      <c r="JC203" s="394">
        <f t="shared" ca="1" si="3117"/>
        <v>0</v>
      </c>
      <c r="JD203" s="394">
        <f t="shared" ca="1" si="3117"/>
        <v>0</v>
      </c>
      <c r="JE203" s="394">
        <f t="shared" ca="1" si="3117"/>
        <v>0</v>
      </c>
      <c r="JF203" s="394">
        <f t="shared" ca="1" si="3117"/>
        <v>0</v>
      </c>
      <c r="JG203" s="394">
        <f t="shared" ca="1" si="3117"/>
        <v>0</v>
      </c>
      <c r="JH203" s="394">
        <f t="shared" ca="1" si="3117"/>
        <v>0</v>
      </c>
      <c r="JI203" s="394">
        <f t="shared" ca="1" si="3117"/>
        <v>0</v>
      </c>
      <c r="JJ203" s="394">
        <f t="shared" ca="1" si="3117"/>
        <v>0</v>
      </c>
      <c r="JK203" s="394">
        <f t="shared" ca="1" si="3117"/>
        <v>0</v>
      </c>
      <c r="JL203" s="394">
        <f t="shared" ca="1" si="3117"/>
        <v>0</v>
      </c>
      <c r="JM203" s="394">
        <f t="shared" ca="1" si="3117"/>
        <v>0</v>
      </c>
      <c r="JN203" s="394">
        <f t="shared" ca="1" si="3117"/>
        <v>0</v>
      </c>
      <c r="JO203" s="394">
        <f t="shared" ca="1" si="3117"/>
        <v>0</v>
      </c>
      <c r="JP203" s="394">
        <f t="shared" ca="1" si="3117"/>
        <v>0</v>
      </c>
      <c r="JQ203" s="394">
        <f t="shared" ca="1" si="3117"/>
        <v>0</v>
      </c>
      <c r="JR203" s="394">
        <f t="shared" ca="1" si="3117"/>
        <v>0</v>
      </c>
      <c r="JS203" s="394">
        <f t="shared" ca="1" si="3117"/>
        <v>0</v>
      </c>
      <c r="JT203" s="394">
        <f t="shared" ca="1" si="3117"/>
        <v>0</v>
      </c>
      <c r="JU203" s="394">
        <f t="shared" ca="1" si="3117"/>
        <v>0</v>
      </c>
      <c r="JV203" s="394">
        <f t="shared" ca="1" si="3117"/>
        <v>0</v>
      </c>
      <c r="JW203" s="394">
        <f t="shared" ca="1" si="3117"/>
        <v>0</v>
      </c>
      <c r="JX203" s="394">
        <f t="shared" ca="1" si="3117"/>
        <v>0</v>
      </c>
      <c r="JY203" s="394">
        <f t="shared" ca="1" si="3117"/>
        <v>0</v>
      </c>
      <c r="JZ203" s="394">
        <f t="shared" ca="1" si="3117"/>
        <v>0</v>
      </c>
      <c r="KA203" s="394">
        <f t="shared" ca="1" si="3117"/>
        <v>0</v>
      </c>
      <c r="KB203" s="394">
        <f t="shared" ca="1" si="3117"/>
        <v>0</v>
      </c>
      <c r="KC203" s="394">
        <f t="shared" ref="KC203:KE203" ca="1" si="3118">SUM(KC200:KC202)</f>
        <v>0</v>
      </c>
      <c r="KD203" s="394">
        <f t="shared" ca="1" si="3118"/>
        <v>0</v>
      </c>
      <c r="KE203" s="394">
        <f t="shared" ca="1" si="3118"/>
        <v>0</v>
      </c>
      <c r="KF203" s="200" t="s">
        <v>269</v>
      </c>
      <c r="PQ203" s="201"/>
      <c r="PR203" s="201"/>
      <c r="PS203" s="201"/>
      <c r="PT203" s="201"/>
      <c r="PU203" s="201"/>
      <c r="PV203" s="201"/>
      <c r="PW203" s="201"/>
      <c r="PX203" s="201"/>
      <c r="PY203" s="201"/>
      <c r="PZ203" s="201"/>
      <c r="QA203" s="201"/>
      <c r="QB203" s="201"/>
      <c r="QC203" s="201"/>
      <c r="QD203" s="201"/>
      <c r="QE203" s="201"/>
      <c r="QF203" s="201"/>
      <c r="QG203" s="201"/>
      <c r="QH203" s="201"/>
      <c r="QI203" s="201"/>
      <c r="QJ203" s="201"/>
      <c r="QK203" s="201"/>
      <c r="QL203" s="201"/>
      <c r="QM203" s="201"/>
      <c r="QN203" s="201"/>
      <c r="QO203" s="201"/>
      <c r="QP203" s="201"/>
      <c r="QQ203" s="201"/>
      <c r="QR203" s="201"/>
      <c r="QS203" s="201"/>
      <c r="QT203" s="201"/>
      <c r="QU203" s="201"/>
      <c r="QV203" s="201"/>
      <c r="QW203" s="201"/>
      <c r="QX203" s="201"/>
      <c r="QY203" s="201"/>
      <c r="QZ203" s="201"/>
      <c r="RA203" s="201"/>
      <c r="RB203" s="201"/>
      <c r="RC203" s="201"/>
      <c r="RD203" s="201"/>
      <c r="RE203" s="201"/>
      <c r="RF203" s="201"/>
      <c r="RG203" s="201"/>
      <c r="RH203" s="201"/>
      <c r="RI203" s="201"/>
      <c r="RJ203" s="201"/>
      <c r="RK203" s="201"/>
      <c r="RL203" s="201"/>
      <c r="RM203" s="201"/>
      <c r="RN203" s="201"/>
      <c r="RO203" s="201"/>
      <c r="RP203" s="201"/>
      <c r="RQ203" s="201"/>
      <c r="RR203" s="201"/>
      <c r="RS203" s="201"/>
      <c r="RT203" s="201"/>
      <c r="RU203" s="201"/>
      <c r="RV203" s="201"/>
      <c r="RW203" s="201"/>
      <c r="RX203" s="201"/>
      <c r="RY203" s="201"/>
      <c r="RZ203" s="201"/>
      <c r="SA203" s="201"/>
      <c r="SB203" s="201"/>
      <c r="SC203" s="201"/>
      <c r="SD203" s="201"/>
      <c r="SE203" s="201"/>
      <c r="SF203" s="201"/>
      <c r="SG203" s="201"/>
      <c r="SH203" s="201"/>
      <c r="SI203" s="201"/>
      <c r="SJ203" s="201"/>
      <c r="SK203" s="201"/>
      <c r="SL203" s="201"/>
      <c r="SM203" s="201"/>
      <c r="SN203" s="201"/>
      <c r="SO203" s="201"/>
      <c r="SP203" s="201"/>
      <c r="SQ203" s="201"/>
      <c r="SR203" s="201"/>
      <c r="SS203" s="201"/>
      <c r="ST203" s="201"/>
      <c r="SU203" s="201"/>
      <c r="SV203" s="201"/>
      <c r="SW203" s="201"/>
      <c r="SX203" s="201"/>
      <c r="SY203" s="201"/>
      <c r="SZ203" s="201"/>
      <c r="TA203" s="201"/>
      <c r="TB203" s="201"/>
      <c r="TC203" s="201"/>
      <c r="TD203" s="201"/>
      <c r="TE203" s="201"/>
      <c r="TF203" s="201"/>
      <c r="TG203" s="201"/>
      <c r="TH203" s="201"/>
      <c r="TI203" s="201"/>
      <c r="TJ203" s="201"/>
      <c r="TK203" s="201"/>
      <c r="TL203" s="201"/>
      <c r="TM203" s="201"/>
      <c r="TN203" s="201"/>
      <c r="TO203" s="201"/>
      <c r="TP203" s="201"/>
      <c r="TQ203" s="201"/>
      <c r="TR203" s="201"/>
      <c r="TS203" s="201"/>
      <c r="TT203" s="201"/>
      <c r="TU203" s="201"/>
      <c r="TV203" s="201"/>
      <c r="TW203" s="201"/>
      <c r="TX203" s="201"/>
      <c r="TY203" s="201"/>
      <c r="TZ203" s="201"/>
      <c r="UA203" s="201"/>
      <c r="UB203" s="201"/>
      <c r="UC203" s="201"/>
      <c r="UD203" s="201"/>
      <c r="UE203" s="201"/>
      <c r="UF203" s="201"/>
      <c r="UG203" s="201"/>
      <c r="UH203" s="201"/>
      <c r="UI203" s="201"/>
      <c r="UJ203" s="201"/>
      <c r="UK203" s="201"/>
      <c r="UL203" s="201"/>
      <c r="UM203" s="201"/>
      <c r="UN203" s="201"/>
      <c r="UO203" s="201"/>
      <c r="UP203" s="201"/>
      <c r="UQ203" s="201"/>
      <c r="UR203" s="201"/>
      <c r="US203" s="201"/>
      <c r="UT203" s="201"/>
      <c r="UU203" s="201"/>
    </row>
    <row r="204" spans="2:567" x14ac:dyDescent="0.25">
      <c r="B204" s="18" t="s">
        <v>160</v>
      </c>
      <c r="C204" s="161"/>
      <c r="D204" s="161"/>
      <c r="E204" s="162"/>
      <c r="F204" s="162"/>
      <c r="G204" s="162"/>
      <c r="H204" s="162"/>
      <c r="I204" s="164">
        <f>+I199-I203</f>
        <v>3250019.569449231</v>
      </c>
      <c r="J204" s="164">
        <f t="shared" ref="J204:K204" ca="1" si="3119">+J199-J203</f>
        <v>4606031.8377319165</v>
      </c>
      <c r="K204" s="164">
        <f t="shared" ca="1" si="3119"/>
        <v>4719061.9922895804</v>
      </c>
      <c r="L204" s="240"/>
      <c r="R204" s="257"/>
      <c r="S204" s="243"/>
      <c r="T204" s="243"/>
      <c r="U204" s="243"/>
      <c r="V204" s="243"/>
      <c r="W204" s="243"/>
      <c r="X204" s="243"/>
      <c r="Y204" s="243"/>
      <c r="Z204" s="243"/>
      <c r="AA204" s="243"/>
      <c r="AB204" s="243"/>
      <c r="AC204" s="243"/>
      <c r="AD204" s="243"/>
      <c r="AE204" s="243"/>
      <c r="AF204" s="243"/>
      <c r="AG204" s="243"/>
      <c r="AH204" s="243"/>
      <c r="AI204" s="243"/>
      <c r="AJ204" s="243"/>
      <c r="AK204" s="243"/>
      <c r="AL204" s="243"/>
      <c r="AM204" s="243"/>
      <c r="AN204" s="243"/>
      <c r="AO204" s="243"/>
      <c r="AP204" s="243"/>
      <c r="AQ204" s="243"/>
      <c r="AR204" s="243"/>
      <c r="AS204" s="243"/>
      <c r="AT204" s="243"/>
      <c r="AU204" s="243"/>
      <c r="AV204" s="243"/>
      <c r="AW204" s="243"/>
      <c r="AX204" s="243"/>
      <c r="AY204" s="243"/>
      <c r="AZ204" s="243"/>
      <c r="BA204" s="243"/>
      <c r="BB204" s="243"/>
      <c r="BC204" s="243"/>
      <c r="BD204" s="243"/>
      <c r="BE204" s="243"/>
      <c r="BF204" s="243"/>
      <c r="BG204" s="243"/>
      <c r="BH204" s="243"/>
      <c r="BI204" s="243"/>
      <c r="BJ204" s="243"/>
      <c r="BK204" s="243"/>
      <c r="BL204" s="243"/>
      <c r="BM204" s="243"/>
      <c r="BN204" s="243"/>
      <c r="BO204" s="243"/>
      <c r="BP204" s="243"/>
      <c r="BQ204" s="243"/>
      <c r="BR204" s="243"/>
      <c r="BS204" s="243"/>
      <c r="BT204" s="243"/>
      <c r="BU204" s="243"/>
      <c r="BV204" s="243"/>
      <c r="BW204" s="243"/>
      <c r="BX204" s="243"/>
      <c r="BY204" s="243"/>
      <c r="BZ204" s="243"/>
      <c r="CA204" s="243"/>
      <c r="CB204" s="243"/>
      <c r="CC204" s="243"/>
      <c r="CD204" s="243"/>
      <c r="CE204" s="243"/>
      <c r="CF204" s="243"/>
      <c r="CG204" s="243"/>
      <c r="CH204" s="243"/>
      <c r="CI204" s="243"/>
      <c r="CJ204" s="243"/>
      <c r="CK204" s="243"/>
      <c r="CL204" s="243"/>
      <c r="CM204" s="243"/>
      <c r="CN204" s="243"/>
      <c r="CO204" s="243"/>
      <c r="CP204" s="243"/>
      <c r="CQ204" s="243"/>
      <c r="CR204" s="243"/>
      <c r="CS204" s="243"/>
      <c r="CT204" s="243"/>
      <c r="CU204" s="243"/>
      <c r="CV204" s="243"/>
      <c r="CW204" s="243"/>
      <c r="CX204" s="243"/>
      <c r="CY204" s="243"/>
      <c r="CZ204" s="243"/>
      <c r="DA204" s="243"/>
      <c r="DB204" s="243"/>
      <c r="DC204" s="243"/>
      <c r="DD204" s="243"/>
      <c r="DE204" s="243"/>
      <c r="DF204" s="243"/>
      <c r="DG204" s="243"/>
      <c r="DH204" s="243"/>
      <c r="DI204" s="243"/>
      <c r="DJ204" s="243"/>
      <c r="DK204" s="243"/>
      <c r="DL204" s="243"/>
      <c r="DM204" s="243"/>
      <c r="DN204" s="243"/>
      <c r="DO204" s="243"/>
      <c r="DP204" s="243"/>
      <c r="DQ204" s="243"/>
      <c r="DR204" s="243"/>
      <c r="DS204" s="243"/>
      <c r="DT204" s="243"/>
      <c r="DU204" s="243"/>
      <c r="DV204" s="243"/>
      <c r="DW204" s="243"/>
      <c r="DX204" s="243"/>
      <c r="DY204" s="243"/>
      <c r="DZ204" s="243"/>
      <c r="EA204" s="243"/>
      <c r="EB204" s="243"/>
      <c r="EC204" s="243"/>
      <c r="ED204" s="243"/>
      <c r="EE204" s="243"/>
      <c r="EF204" s="243"/>
      <c r="EG204" s="243"/>
      <c r="EH204" s="243"/>
      <c r="EI204" s="243"/>
      <c r="EJ204" s="243"/>
      <c r="EK204" s="243"/>
      <c r="EL204" s="243"/>
      <c r="EM204" s="243"/>
      <c r="EN204" s="243"/>
      <c r="EO204" s="243"/>
      <c r="EP204" s="243"/>
      <c r="EQ204" s="243"/>
      <c r="ER204" s="243"/>
      <c r="ES204" s="243"/>
      <c r="ET204" s="243"/>
      <c r="EU204" s="243"/>
      <c r="FC204" s="199"/>
      <c r="FD204" s="199"/>
      <c r="FE204" s="199"/>
      <c r="FF204" s="199"/>
      <c r="FG204" s="199"/>
      <c r="FH204" s="199"/>
      <c r="FI204" s="199"/>
      <c r="FJ204" s="199"/>
      <c r="FK204" s="199"/>
      <c r="FL204" s="199"/>
      <c r="FM204" s="199"/>
      <c r="FN204" s="199"/>
      <c r="FO204" s="199"/>
      <c r="FP204" s="199"/>
      <c r="FQ204" s="199"/>
      <c r="FR204" s="199"/>
      <c r="FS204" s="199"/>
      <c r="FT204" s="199"/>
      <c r="FU204" s="199"/>
      <c r="FV204" s="199"/>
      <c r="FW204" s="199"/>
      <c r="FX204" s="199"/>
      <c r="FY204" s="199"/>
      <c r="FZ204" s="199"/>
      <c r="GA204" s="199"/>
      <c r="GB204" s="199"/>
      <c r="GC204" s="199"/>
      <c r="GD204" s="199"/>
      <c r="GE204" s="199"/>
      <c r="GF204" s="199"/>
      <c r="GG204" s="199"/>
      <c r="GH204" s="199"/>
      <c r="GI204" s="199"/>
      <c r="GJ204" s="199"/>
      <c r="GK204" s="199"/>
      <c r="GL204" s="199"/>
      <c r="GM204" s="199"/>
      <c r="GN204" s="199"/>
      <c r="GO204" s="199"/>
      <c r="GP204" s="199"/>
      <c r="GQ204" s="199"/>
      <c r="GR204" s="199"/>
      <c r="GS204" s="199"/>
      <c r="GT204" s="199"/>
      <c r="GU204" s="199"/>
      <c r="GV204" s="199"/>
      <c r="GW204" s="199"/>
      <c r="GX204" s="199"/>
      <c r="GY204" s="199"/>
      <c r="GZ204" s="199"/>
      <c r="HA204" s="199"/>
      <c r="HB204" s="199"/>
      <c r="HC204" s="199"/>
      <c r="HD204" s="199"/>
      <c r="HE204" s="199"/>
      <c r="HF204" s="199"/>
      <c r="HG204" s="199"/>
      <c r="HH204" s="199"/>
      <c r="HI204" s="199"/>
      <c r="HJ204" s="199"/>
      <c r="HK204" s="199"/>
      <c r="HL204" s="199"/>
      <c r="HM204" s="199"/>
      <c r="HN204" s="199"/>
      <c r="HO204" s="199"/>
      <c r="HP204" s="199"/>
      <c r="HQ204" s="199"/>
      <c r="HR204" s="199"/>
      <c r="HS204" s="199"/>
      <c r="HT204" s="199"/>
      <c r="HU204" s="199"/>
      <c r="HV204" s="199"/>
      <c r="HW204" s="199"/>
      <c r="HX204" s="199"/>
      <c r="HY204" s="199"/>
      <c r="HZ204" s="199"/>
      <c r="IA204" s="199"/>
      <c r="IB204" s="199"/>
      <c r="IC204" s="199"/>
      <c r="ID204" s="199"/>
      <c r="IE204" s="199"/>
      <c r="IF204" s="199"/>
      <c r="IG204" s="199"/>
      <c r="IH204" s="199"/>
      <c r="II204" s="199"/>
      <c r="IJ204" s="199"/>
      <c r="IK204" s="199"/>
      <c r="IL204" s="199"/>
      <c r="IM204" s="199"/>
      <c r="IN204" s="199"/>
      <c r="IO204" s="199"/>
      <c r="IP204" s="199"/>
      <c r="IQ204" s="199"/>
      <c r="IR204" s="199"/>
      <c r="IS204" s="199"/>
      <c r="IT204" s="199"/>
      <c r="IU204" s="199"/>
      <c r="IV204" s="199"/>
      <c r="IW204" s="199"/>
      <c r="IX204" s="199"/>
      <c r="IY204" s="199"/>
      <c r="IZ204" s="199"/>
      <c r="JA204" s="199"/>
      <c r="JB204" s="199"/>
      <c r="JC204" s="199"/>
      <c r="JD204" s="199"/>
      <c r="JE204" s="199"/>
      <c r="JF204" s="199"/>
      <c r="JG204" s="199"/>
      <c r="JH204" s="199"/>
      <c r="JI204" s="199"/>
      <c r="JJ204" s="199"/>
      <c r="JK204" s="199"/>
      <c r="JL204" s="199"/>
      <c r="JM204" s="199"/>
      <c r="JN204" s="199"/>
      <c r="JO204" s="199"/>
      <c r="JP204" s="199"/>
      <c r="JQ204" s="199"/>
      <c r="JR204" s="199"/>
      <c r="JS204" s="199"/>
      <c r="JT204" s="199"/>
      <c r="JU204" s="199"/>
      <c r="JV204" s="199"/>
      <c r="JW204" s="199"/>
      <c r="JX204" s="199"/>
      <c r="JY204" s="199"/>
      <c r="JZ204" s="199"/>
      <c r="KA204" s="199"/>
      <c r="KB204" s="199"/>
      <c r="KC204" s="199"/>
      <c r="KD204" s="199"/>
      <c r="KE204" s="199"/>
      <c r="PQ204" s="201"/>
      <c r="PR204" s="201"/>
      <c r="PS204" s="201"/>
      <c r="PT204" s="201"/>
      <c r="PU204" s="201"/>
      <c r="PV204" s="201"/>
      <c r="PW204" s="201"/>
      <c r="PX204" s="201"/>
      <c r="PY204" s="201"/>
      <c r="PZ204" s="201"/>
      <c r="QA204" s="201"/>
      <c r="QB204" s="201"/>
      <c r="QC204" s="201"/>
      <c r="QD204" s="201"/>
      <c r="QE204" s="201"/>
      <c r="QF204" s="201"/>
      <c r="QG204" s="201"/>
      <c r="QH204" s="201"/>
      <c r="QI204" s="201"/>
      <c r="QJ204" s="201"/>
      <c r="QK204" s="201"/>
      <c r="QL204" s="201"/>
      <c r="QM204" s="201"/>
      <c r="QN204" s="201"/>
      <c r="QO204" s="201"/>
      <c r="QP204" s="201"/>
      <c r="QQ204" s="201"/>
      <c r="QR204" s="201"/>
      <c r="QS204" s="201"/>
      <c r="QT204" s="201"/>
      <c r="QU204" s="201"/>
      <c r="QV204" s="201"/>
      <c r="QW204" s="201"/>
      <c r="QX204" s="201"/>
      <c r="QY204" s="201"/>
      <c r="QZ204" s="201"/>
      <c r="RA204" s="201"/>
      <c r="RB204" s="201"/>
      <c r="RC204" s="201"/>
      <c r="RD204" s="201"/>
      <c r="RE204" s="201"/>
      <c r="RF204" s="201"/>
      <c r="RG204" s="201"/>
      <c r="RH204" s="201"/>
      <c r="RI204" s="201"/>
      <c r="RJ204" s="201"/>
      <c r="RK204" s="201"/>
      <c r="RL204" s="201"/>
      <c r="RM204" s="201"/>
      <c r="RN204" s="201"/>
      <c r="RO204" s="201"/>
      <c r="RP204" s="201"/>
      <c r="RQ204" s="201"/>
      <c r="RR204" s="201"/>
      <c r="RS204" s="201"/>
      <c r="RT204" s="201"/>
      <c r="RU204" s="201"/>
      <c r="RV204" s="201"/>
      <c r="RW204" s="201"/>
      <c r="RX204" s="201"/>
      <c r="RY204" s="201"/>
      <c r="RZ204" s="201"/>
      <c r="SA204" s="201"/>
      <c r="SB204" s="201"/>
      <c r="SC204" s="201"/>
      <c r="SD204" s="201"/>
      <c r="SE204" s="201"/>
      <c r="SF204" s="201"/>
      <c r="SG204" s="201"/>
      <c r="SH204" s="201"/>
      <c r="SI204" s="201"/>
      <c r="SJ204" s="201"/>
      <c r="SK204" s="201"/>
      <c r="SL204" s="201"/>
      <c r="SM204" s="201"/>
      <c r="SN204" s="201"/>
      <c r="SO204" s="201"/>
      <c r="SP204" s="201"/>
      <c r="SQ204" s="201"/>
      <c r="SR204" s="201"/>
      <c r="SS204" s="201"/>
      <c r="ST204" s="201"/>
      <c r="SU204" s="201"/>
      <c r="SV204" s="201"/>
      <c r="SW204" s="201"/>
      <c r="SX204" s="201"/>
      <c r="SY204" s="201"/>
      <c r="SZ204" s="201"/>
      <c r="TA204" s="201"/>
      <c r="TB204" s="201"/>
      <c r="TC204" s="201"/>
      <c r="TD204" s="201"/>
      <c r="TE204" s="201"/>
      <c r="TF204" s="201"/>
      <c r="TG204" s="201"/>
      <c r="TH204" s="201"/>
      <c r="TI204" s="201"/>
      <c r="TJ204" s="201"/>
      <c r="TK204" s="201"/>
      <c r="TL204" s="201"/>
      <c r="TM204" s="201"/>
      <c r="TN204" s="201"/>
      <c r="TO204" s="201"/>
      <c r="TP204" s="201"/>
      <c r="TQ204" s="201"/>
      <c r="TR204" s="201"/>
      <c r="TS204" s="201"/>
      <c r="TT204" s="201"/>
      <c r="TU204" s="201"/>
      <c r="TV204" s="201"/>
      <c r="TW204" s="201"/>
      <c r="TX204" s="201"/>
      <c r="TY204" s="201"/>
      <c r="TZ204" s="201"/>
      <c r="UA204" s="201"/>
      <c r="UB204" s="201"/>
      <c r="UC204" s="201"/>
      <c r="UD204" s="201"/>
      <c r="UE204" s="201"/>
      <c r="UF204" s="201"/>
      <c r="UG204" s="201"/>
      <c r="UH204" s="201"/>
      <c r="UI204" s="201"/>
      <c r="UJ204" s="201"/>
      <c r="UK204" s="201"/>
      <c r="UL204" s="201"/>
      <c r="UM204" s="201"/>
      <c r="UN204" s="201"/>
      <c r="UO204" s="201"/>
      <c r="UP204" s="201"/>
      <c r="UQ204" s="201"/>
      <c r="UR204" s="201"/>
      <c r="US204" s="201"/>
      <c r="UT204" s="201"/>
      <c r="UU204" s="201"/>
    </row>
    <row r="205" spans="2:567" x14ac:dyDescent="0.25">
      <c r="B205" s="125" t="s">
        <v>204</v>
      </c>
      <c r="C205" s="125"/>
      <c r="D205" s="125"/>
      <c r="E205" s="168"/>
      <c r="F205" s="168"/>
      <c r="G205" s="168"/>
      <c r="H205" s="168" t="s">
        <v>205</v>
      </c>
      <c r="I205" s="168"/>
      <c r="J205" s="126"/>
      <c r="K205" s="126"/>
      <c r="R205" s="267"/>
      <c r="S205" s="87">
        <f t="shared" ref="S205:AX205" si="3120">S19</f>
        <v>0</v>
      </c>
      <c r="T205" s="87">
        <f t="shared" si="3120"/>
        <v>1</v>
      </c>
      <c r="U205" s="87">
        <f t="shared" si="3120"/>
        <v>2</v>
      </c>
      <c r="V205" s="87">
        <f t="shared" si="3120"/>
        <v>3</v>
      </c>
      <c r="W205" s="87">
        <f t="shared" si="3120"/>
        <v>4</v>
      </c>
      <c r="X205" s="87">
        <f t="shared" si="3120"/>
        <v>5</v>
      </c>
      <c r="Y205" s="87">
        <f t="shared" si="3120"/>
        <v>6</v>
      </c>
      <c r="Z205" s="87">
        <f t="shared" si="3120"/>
        <v>7</v>
      </c>
      <c r="AA205" s="87">
        <f t="shared" si="3120"/>
        <v>8</v>
      </c>
      <c r="AB205" s="87">
        <f t="shared" si="3120"/>
        <v>9</v>
      </c>
      <c r="AC205" s="87">
        <f t="shared" si="3120"/>
        <v>10</v>
      </c>
      <c r="AD205" s="87">
        <f t="shared" si="3120"/>
        <v>11</v>
      </c>
      <c r="AE205" s="87">
        <f t="shared" si="3120"/>
        <v>12</v>
      </c>
      <c r="AF205" s="87">
        <f t="shared" si="3120"/>
        <v>13</v>
      </c>
      <c r="AG205" s="87">
        <f t="shared" si="3120"/>
        <v>14</v>
      </c>
      <c r="AH205" s="87">
        <f t="shared" si="3120"/>
        <v>15</v>
      </c>
      <c r="AI205" s="87">
        <f t="shared" si="3120"/>
        <v>16</v>
      </c>
      <c r="AJ205" s="87">
        <f t="shared" si="3120"/>
        <v>17</v>
      </c>
      <c r="AK205" s="87">
        <f t="shared" si="3120"/>
        <v>18</v>
      </c>
      <c r="AL205" s="87">
        <f t="shared" si="3120"/>
        <v>19</v>
      </c>
      <c r="AM205" s="87">
        <f t="shared" si="3120"/>
        <v>20</v>
      </c>
      <c r="AN205" s="87">
        <f t="shared" si="3120"/>
        <v>21</v>
      </c>
      <c r="AO205" s="87">
        <f t="shared" si="3120"/>
        <v>22</v>
      </c>
      <c r="AP205" s="87">
        <f t="shared" si="3120"/>
        <v>23</v>
      </c>
      <c r="AQ205" s="87">
        <f t="shared" si="3120"/>
        <v>24</v>
      </c>
      <c r="AR205" s="87">
        <f t="shared" si="3120"/>
        <v>25</v>
      </c>
      <c r="AS205" s="87">
        <f t="shared" si="3120"/>
        <v>26</v>
      </c>
      <c r="AT205" s="87">
        <f t="shared" si="3120"/>
        <v>27</v>
      </c>
      <c r="AU205" s="87">
        <f t="shared" si="3120"/>
        <v>28</v>
      </c>
      <c r="AV205" s="87">
        <f t="shared" si="3120"/>
        <v>29</v>
      </c>
      <c r="AW205" s="87">
        <f t="shared" si="3120"/>
        <v>30</v>
      </c>
      <c r="AX205" s="87">
        <f t="shared" si="3120"/>
        <v>31</v>
      </c>
      <c r="AY205" s="87">
        <f t="shared" ref="AY205:CD205" si="3121">AY19</f>
        <v>32</v>
      </c>
      <c r="AZ205" s="87">
        <f t="shared" si="3121"/>
        <v>33</v>
      </c>
      <c r="BA205" s="87">
        <f t="shared" si="3121"/>
        <v>34</v>
      </c>
      <c r="BB205" s="87">
        <f t="shared" si="3121"/>
        <v>35</v>
      </c>
      <c r="BC205" s="87">
        <f t="shared" si="3121"/>
        <v>36</v>
      </c>
      <c r="BD205" s="87">
        <f t="shared" si="3121"/>
        <v>37</v>
      </c>
      <c r="BE205" s="87">
        <f t="shared" si="3121"/>
        <v>38</v>
      </c>
      <c r="BF205" s="87">
        <f t="shared" si="3121"/>
        <v>39</v>
      </c>
      <c r="BG205" s="87">
        <f t="shared" si="3121"/>
        <v>40</v>
      </c>
      <c r="BH205" s="87">
        <f t="shared" si="3121"/>
        <v>41</v>
      </c>
      <c r="BI205" s="87">
        <f t="shared" si="3121"/>
        <v>42</v>
      </c>
      <c r="BJ205" s="87">
        <f t="shared" si="3121"/>
        <v>43</v>
      </c>
      <c r="BK205" s="87">
        <f t="shared" si="3121"/>
        <v>44</v>
      </c>
      <c r="BL205" s="87">
        <f t="shared" si="3121"/>
        <v>45</v>
      </c>
      <c r="BM205" s="87">
        <f t="shared" si="3121"/>
        <v>46</v>
      </c>
      <c r="BN205" s="87">
        <f t="shared" si="3121"/>
        <v>47</v>
      </c>
      <c r="BO205" s="87">
        <f t="shared" si="3121"/>
        <v>48</v>
      </c>
      <c r="BP205" s="87">
        <f t="shared" si="3121"/>
        <v>49</v>
      </c>
      <c r="BQ205" s="87">
        <f t="shared" si="3121"/>
        <v>50</v>
      </c>
      <c r="BR205" s="87">
        <f t="shared" si="3121"/>
        <v>51</v>
      </c>
      <c r="BS205" s="87">
        <f t="shared" si="3121"/>
        <v>52</v>
      </c>
      <c r="BT205" s="87">
        <f t="shared" si="3121"/>
        <v>53</v>
      </c>
      <c r="BU205" s="87">
        <f t="shared" si="3121"/>
        <v>54</v>
      </c>
      <c r="BV205" s="87">
        <f t="shared" si="3121"/>
        <v>55</v>
      </c>
      <c r="BW205" s="87">
        <f t="shared" si="3121"/>
        <v>56</v>
      </c>
      <c r="BX205" s="87">
        <f t="shared" si="3121"/>
        <v>57</v>
      </c>
      <c r="BY205" s="87">
        <f t="shared" si="3121"/>
        <v>58</v>
      </c>
      <c r="BZ205" s="87">
        <f t="shared" si="3121"/>
        <v>59</v>
      </c>
      <c r="CA205" s="87">
        <f t="shared" si="3121"/>
        <v>60</v>
      </c>
      <c r="CB205" s="87">
        <f t="shared" si="3121"/>
        <v>61</v>
      </c>
      <c r="CC205" s="87">
        <f t="shared" si="3121"/>
        <v>62</v>
      </c>
      <c r="CD205" s="87">
        <f t="shared" si="3121"/>
        <v>63</v>
      </c>
      <c r="CE205" s="87">
        <f t="shared" ref="CE205:DJ205" si="3122">CE19</f>
        <v>64</v>
      </c>
      <c r="CF205" s="87">
        <f t="shared" si="3122"/>
        <v>65</v>
      </c>
      <c r="CG205" s="87">
        <f t="shared" si="3122"/>
        <v>66</v>
      </c>
      <c r="CH205" s="87">
        <f t="shared" si="3122"/>
        <v>67</v>
      </c>
      <c r="CI205" s="87">
        <f t="shared" si="3122"/>
        <v>68</v>
      </c>
      <c r="CJ205" s="87">
        <f t="shared" si="3122"/>
        <v>69</v>
      </c>
      <c r="CK205" s="87">
        <f t="shared" si="3122"/>
        <v>70</v>
      </c>
      <c r="CL205" s="87">
        <f t="shared" si="3122"/>
        <v>71</v>
      </c>
      <c r="CM205" s="87">
        <f t="shared" si="3122"/>
        <v>72</v>
      </c>
      <c r="CN205" s="87">
        <f t="shared" si="3122"/>
        <v>73</v>
      </c>
      <c r="CO205" s="87">
        <f t="shared" si="3122"/>
        <v>74</v>
      </c>
      <c r="CP205" s="87">
        <f t="shared" si="3122"/>
        <v>75</v>
      </c>
      <c r="CQ205" s="87">
        <f t="shared" si="3122"/>
        <v>76</v>
      </c>
      <c r="CR205" s="87">
        <f t="shared" si="3122"/>
        <v>77</v>
      </c>
      <c r="CS205" s="87">
        <f t="shared" si="3122"/>
        <v>78</v>
      </c>
      <c r="CT205" s="87">
        <f t="shared" si="3122"/>
        <v>79</v>
      </c>
      <c r="CU205" s="87">
        <f t="shared" si="3122"/>
        <v>80</v>
      </c>
      <c r="CV205" s="87">
        <f t="shared" si="3122"/>
        <v>81</v>
      </c>
      <c r="CW205" s="87">
        <f t="shared" si="3122"/>
        <v>82</v>
      </c>
      <c r="CX205" s="87">
        <f t="shared" si="3122"/>
        <v>83</v>
      </c>
      <c r="CY205" s="87">
        <f t="shared" si="3122"/>
        <v>84</v>
      </c>
      <c r="CZ205" s="87">
        <f t="shared" si="3122"/>
        <v>85</v>
      </c>
      <c r="DA205" s="87">
        <f t="shared" si="3122"/>
        <v>86</v>
      </c>
      <c r="DB205" s="87">
        <f t="shared" si="3122"/>
        <v>87</v>
      </c>
      <c r="DC205" s="87">
        <f t="shared" si="3122"/>
        <v>88</v>
      </c>
      <c r="DD205" s="87">
        <f t="shared" si="3122"/>
        <v>89</v>
      </c>
      <c r="DE205" s="87">
        <f t="shared" si="3122"/>
        <v>90</v>
      </c>
      <c r="DF205" s="87">
        <f t="shared" si="3122"/>
        <v>91</v>
      </c>
      <c r="DG205" s="87">
        <f t="shared" si="3122"/>
        <v>92</v>
      </c>
      <c r="DH205" s="87">
        <f t="shared" si="3122"/>
        <v>93</v>
      </c>
      <c r="DI205" s="87">
        <f t="shared" si="3122"/>
        <v>94</v>
      </c>
      <c r="DJ205" s="87">
        <f t="shared" si="3122"/>
        <v>95</v>
      </c>
      <c r="DK205" s="87">
        <f t="shared" ref="DK205:EU205" si="3123">DK19</f>
        <v>96</v>
      </c>
      <c r="DL205" s="87">
        <f t="shared" si="3123"/>
        <v>97</v>
      </c>
      <c r="DM205" s="87">
        <f t="shared" si="3123"/>
        <v>98</v>
      </c>
      <c r="DN205" s="87">
        <f t="shared" si="3123"/>
        <v>99</v>
      </c>
      <c r="DO205" s="87">
        <f t="shared" si="3123"/>
        <v>100</v>
      </c>
      <c r="DP205" s="87">
        <f t="shared" si="3123"/>
        <v>101</v>
      </c>
      <c r="DQ205" s="87">
        <f t="shared" si="3123"/>
        <v>102</v>
      </c>
      <c r="DR205" s="87">
        <f t="shared" si="3123"/>
        <v>103</v>
      </c>
      <c r="DS205" s="87">
        <f t="shared" si="3123"/>
        <v>104</v>
      </c>
      <c r="DT205" s="87">
        <f t="shared" si="3123"/>
        <v>105</v>
      </c>
      <c r="DU205" s="87">
        <f t="shared" si="3123"/>
        <v>106</v>
      </c>
      <c r="DV205" s="87">
        <f t="shared" si="3123"/>
        <v>107</v>
      </c>
      <c r="DW205" s="87">
        <f t="shared" si="3123"/>
        <v>108</v>
      </c>
      <c r="DX205" s="87">
        <f t="shared" si="3123"/>
        <v>109</v>
      </c>
      <c r="DY205" s="87">
        <f t="shared" si="3123"/>
        <v>110</v>
      </c>
      <c r="DZ205" s="87">
        <f t="shared" si="3123"/>
        <v>111</v>
      </c>
      <c r="EA205" s="87">
        <f t="shared" si="3123"/>
        <v>112</v>
      </c>
      <c r="EB205" s="87">
        <f t="shared" si="3123"/>
        <v>113</v>
      </c>
      <c r="EC205" s="87">
        <f t="shared" si="3123"/>
        <v>114</v>
      </c>
      <c r="ED205" s="87">
        <f t="shared" si="3123"/>
        <v>115</v>
      </c>
      <c r="EE205" s="87">
        <f t="shared" si="3123"/>
        <v>116</v>
      </c>
      <c r="EF205" s="87">
        <f t="shared" si="3123"/>
        <v>117</v>
      </c>
      <c r="EG205" s="87">
        <f t="shared" si="3123"/>
        <v>118</v>
      </c>
      <c r="EH205" s="87">
        <f t="shared" si="3123"/>
        <v>119</v>
      </c>
      <c r="EI205" s="87">
        <f t="shared" si="3123"/>
        <v>120</v>
      </c>
      <c r="EJ205" s="87">
        <f t="shared" si="3123"/>
        <v>121</v>
      </c>
      <c r="EK205" s="87">
        <f t="shared" si="3123"/>
        <v>122</v>
      </c>
      <c r="EL205" s="87">
        <f t="shared" si="3123"/>
        <v>123</v>
      </c>
      <c r="EM205" s="87">
        <f t="shared" si="3123"/>
        <v>124</v>
      </c>
      <c r="EN205" s="87">
        <f t="shared" si="3123"/>
        <v>125</v>
      </c>
      <c r="EO205" s="87">
        <f t="shared" si="3123"/>
        <v>126</v>
      </c>
      <c r="EP205" s="87">
        <f t="shared" si="3123"/>
        <v>127</v>
      </c>
      <c r="EQ205" s="87">
        <f t="shared" si="3123"/>
        <v>128</v>
      </c>
      <c r="ER205" s="87">
        <f t="shared" si="3123"/>
        <v>129</v>
      </c>
      <c r="ES205" s="87">
        <f t="shared" si="3123"/>
        <v>130</v>
      </c>
      <c r="ET205" s="87">
        <f t="shared" si="3123"/>
        <v>131</v>
      </c>
      <c r="EU205" s="87">
        <f t="shared" si="3123"/>
        <v>132</v>
      </c>
      <c r="EW205" s="229" t="s">
        <v>260</v>
      </c>
      <c r="EX205" s="229"/>
      <c r="EY205" s="229" t="s">
        <v>262</v>
      </c>
      <c r="EZ205" s="228"/>
      <c r="FA205" s="230"/>
      <c r="FB205" s="230"/>
      <c r="FC205" s="231"/>
      <c r="FD205" s="231"/>
      <c r="FE205" s="231"/>
      <c r="FF205" s="231"/>
      <c r="FG205" s="231"/>
      <c r="FH205" s="231"/>
      <c r="FI205" s="231"/>
      <c r="FJ205" s="231"/>
      <c r="FK205" s="231"/>
      <c r="FL205" s="231"/>
      <c r="FM205" s="231"/>
      <c r="FN205" s="231"/>
      <c r="FO205" s="231"/>
      <c r="FP205" s="231"/>
      <c r="FQ205" s="231"/>
      <c r="FR205" s="231"/>
      <c r="FS205" s="231"/>
      <c r="FT205" s="231"/>
      <c r="FU205" s="231"/>
      <c r="FV205" s="231"/>
      <c r="FW205" s="231"/>
      <c r="FX205" s="231"/>
      <c r="FY205" s="231"/>
      <c r="FZ205" s="231"/>
      <c r="GA205" s="231"/>
      <c r="GB205" s="231"/>
      <c r="GC205" s="231"/>
      <c r="GD205" s="231"/>
      <c r="GE205" s="231"/>
      <c r="GF205" s="231"/>
      <c r="GG205" s="231"/>
      <c r="GH205" s="231"/>
      <c r="GI205" s="231"/>
      <c r="GJ205" s="231"/>
      <c r="GK205" s="231"/>
      <c r="GL205" s="231"/>
      <c r="GM205" s="231"/>
      <c r="GN205" s="231"/>
      <c r="GO205" s="231"/>
      <c r="GP205" s="231"/>
      <c r="GQ205" s="231"/>
      <c r="GR205" s="231"/>
      <c r="GS205" s="231"/>
      <c r="GT205" s="231"/>
      <c r="GU205" s="231"/>
      <c r="GV205" s="231"/>
      <c r="GW205" s="231"/>
      <c r="GX205" s="231"/>
      <c r="GY205" s="231"/>
      <c r="GZ205" s="231"/>
      <c r="HA205" s="231"/>
      <c r="HB205" s="231"/>
      <c r="HC205" s="231"/>
      <c r="HD205" s="231"/>
      <c r="HE205" s="231"/>
      <c r="HF205" s="231"/>
      <c r="HG205" s="231"/>
      <c r="HH205" s="231"/>
      <c r="HI205" s="231"/>
      <c r="HJ205" s="231"/>
      <c r="HK205" s="231"/>
      <c r="HL205" s="231"/>
      <c r="HM205" s="231"/>
      <c r="HN205" s="231"/>
      <c r="HO205" s="231"/>
      <c r="HP205" s="231"/>
      <c r="HQ205" s="231"/>
      <c r="HR205" s="231"/>
      <c r="HS205" s="231"/>
      <c r="HT205" s="231"/>
      <c r="HU205" s="231"/>
      <c r="HV205" s="231"/>
      <c r="HW205" s="231"/>
      <c r="HX205" s="231"/>
      <c r="HY205" s="231"/>
      <c r="HZ205" s="231"/>
      <c r="IA205" s="231"/>
      <c r="IB205" s="231"/>
      <c r="IC205" s="231"/>
      <c r="ID205" s="231"/>
      <c r="IE205" s="231"/>
      <c r="IF205" s="231"/>
      <c r="IG205" s="231"/>
      <c r="IH205" s="231"/>
      <c r="II205" s="231"/>
      <c r="IJ205" s="231"/>
      <c r="IK205" s="231"/>
      <c r="IL205" s="231"/>
      <c r="IM205" s="231"/>
      <c r="IN205" s="231"/>
      <c r="IO205" s="231"/>
      <c r="IP205" s="231"/>
      <c r="IQ205" s="231"/>
      <c r="IR205" s="231"/>
      <c r="IS205" s="231"/>
      <c r="IT205" s="231"/>
      <c r="IU205" s="231"/>
      <c r="IV205" s="231"/>
      <c r="IW205" s="231"/>
      <c r="IX205" s="231"/>
      <c r="IY205" s="231"/>
      <c r="IZ205" s="231"/>
      <c r="JA205" s="231"/>
      <c r="JB205" s="231"/>
      <c r="JC205" s="231"/>
      <c r="JD205" s="231"/>
      <c r="JE205" s="231"/>
      <c r="JF205" s="231"/>
      <c r="JG205" s="231"/>
      <c r="JH205" s="231"/>
      <c r="JI205" s="231"/>
      <c r="JJ205" s="231"/>
      <c r="JK205" s="231"/>
      <c r="JL205" s="231"/>
      <c r="JM205" s="231"/>
      <c r="JN205" s="231"/>
      <c r="JO205" s="231"/>
      <c r="JP205" s="231"/>
      <c r="JQ205" s="231"/>
      <c r="JR205" s="231"/>
      <c r="JS205" s="231"/>
      <c r="JT205" s="231"/>
      <c r="JU205" s="231"/>
      <c r="JV205" s="231"/>
      <c r="JW205" s="231"/>
      <c r="JX205" s="231"/>
      <c r="JY205" s="231"/>
      <c r="JZ205" s="231"/>
      <c r="KA205" s="231"/>
      <c r="KB205" s="231"/>
      <c r="KC205" s="231"/>
      <c r="KD205" s="231"/>
      <c r="KE205" s="231"/>
      <c r="KF205" s="218" t="s">
        <v>269</v>
      </c>
      <c r="PQ205" s="201"/>
      <c r="PR205" s="201"/>
      <c r="PS205" s="201"/>
      <c r="PT205" s="201"/>
      <c r="PU205" s="201"/>
      <c r="PV205" s="201"/>
      <c r="PW205" s="201"/>
      <c r="PX205" s="201"/>
      <c r="PY205" s="201"/>
      <c r="PZ205" s="201"/>
      <c r="QA205" s="201"/>
      <c r="QB205" s="201"/>
      <c r="QC205" s="201"/>
      <c r="QD205" s="201"/>
      <c r="QE205" s="201"/>
      <c r="QF205" s="201"/>
      <c r="QG205" s="201"/>
      <c r="QH205" s="201"/>
      <c r="QI205" s="201"/>
      <c r="QJ205" s="201"/>
      <c r="QK205" s="201"/>
      <c r="QL205" s="201"/>
      <c r="QM205" s="201"/>
      <c r="QN205" s="201"/>
      <c r="QO205" s="201"/>
      <c r="QP205" s="201"/>
      <c r="QQ205" s="201"/>
      <c r="QR205" s="201"/>
      <c r="QS205" s="201"/>
      <c r="QT205" s="201"/>
      <c r="QU205" s="201"/>
      <c r="QV205" s="201"/>
      <c r="QW205" s="201"/>
      <c r="QX205" s="201"/>
      <c r="QY205" s="201"/>
      <c r="QZ205" s="201"/>
      <c r="RA205" s="201"/>
      <c r="RB205" s="201"/>
      <c r="RC205" s="201"/>
      <c r="RD205" s="201"/>
      <c r="RE205" s="201"/>
      <c r="RF205" s="201"/>
      <c r="RG205" s="201"/>
      <c r="RH205" s="201"/>
      <c r="RI205" s="201"/>
      <c r="RJ205" s="201"/>
      <c r="RK205" s="201"/>
      <c r="RL205" s="201"/>
      <c r="RM205" s="201"/>
      <c r="RN205" s="201"/>
      <c r="RO205" s="201"/>
      <c r="RP205" s="201"/>
      <c r="RQ205" s="201"/>
      <c r="RR205" s="201"/>
      <c r="RS205" s="201"/>
      <c r="RT205" s="201"/>
      <c r="RU205" s="201"/>
      <c r="RV205" s="201"/>
      <c r="RW205" s="201"/>
      <c r="RX205" s="201"/>
      <c r="RY205" s="201"/>
      <c r="RZ205" s="201"/>
      <c r="SA205" s="201"/>
      <c r="SB205" s="201"/>
      <c r="SC205" s="201"/>
      <c r="SD205" s="201"/>
      <c r="SE205" s="201"/>
      <c r="SF205" s="201"/>
      <c r="SG205" s="201"/>
      <c r="SH205" s="201"/>
      <c r="SI205" s="201"/>
      <c r="SJ205" s="201"/>
      <c r="SK205" s="201"/>
      <c r="SL205" s="201"/>
      <c r="SM205" s="201"/>
      <c r="SN205" s="201"/>
      <c r="SO205" s="201"/>
      <c r="SP205" s="201"/>
      <c r="SQ205" s="201"/>
      <c r="SR205" s="201"/>
      <c r="SS205" s="201"/>
      <c r="ST205" s="201"/>
      <c r="SU205" s="201"/>
      <c r="SV205" s="201"/>
      <c r="SW205" s="201"/>
      <c r="SX205" s="201"/>
      <c r="SY205" s="201"/>
      <c r="SZ205" s="201"/>
      <c r="TA205" s="201"/>
      <c r="TB205" s="201"/>
      <c r="TC205" s="201"/>
      <c r="TD205" s="201"/>
      <c r="TE205" s="201"/>
      <c r="TF205" s="201"/>
      <c r="TG205" s="201"/>
      <c r="TH205" s="201"/>
      <c r="TI205" s="201"/>
      <c r="TJ205" s="201"/>
      <c r="TK205" s="201"/>
      <c r="TL205" s="201"/>
      <c r="TM205" s="201"/>
      <c r="TN205" s="201"/>
      <c r="TO205" s="201"/>
      <c r="TP205" s="201"/>
      <c r="TQ205" s="201"/>
      <c r="TR205" s="201"/>
      <c r="TS205" s="201"/>
      <c r="TT205" s="201"/>
      <c r="TU205" s="201"/>
      <c r="TV205" s="201"/>
      <c r="TW205" s="201"/>
      <c r="TX205" s="201"/>
      <c r="TY205" s="201"/>
      <c r="TZ205" s="201"/>
      <c r="UA205" s="201"/>
      <c r="UB205" s="201"/>
      <c r="UC205" s="201"/>
      <c r="UD205" s="201"/>
      <c r="UE205" s="201"/>
      <c r="UF205" s="201"/>
      <c r="UG205" s="201"/>
      <c r="UH205" s="201"/>
      <c r="UI205" s="201"/>
      <c r="UJ205" s="201"/>
      <c r="UK205" s="201"/>
      <c r="UL205" s="201"/>
      <c r="UM205" s="201"/>
      <c r="UN205" s="201"/>
      <c r="UO205" s="201"/>
      <c r="UP205" s="201"/>
      <c r="UQ205" s="201"/>
      <c r="UR205" s="201"/>
      <c r="US205" s="201"/>
      <c r="UT205" s="201"/>
      <c r="UU205" s="201"/>
    </row>
    <row r="206" spans="2:567" x14ac:dyDescent="0.25">
      <c r="B206" s="18" t="s">
        <v>206</v>
      </c>
      <c r="C206" s="26"/>
      <c r="D206" s="34">
        <f ca="1">+K210</f>
        <v>79713642.944920063</v>
      </c>
      <c r="E206" s="85"/>
      <c r="F206" s="85"/>
      <c r="G206" s="85"/>
      <c r="H206" s="85" t="s">
        <v>207</v>
      </c>
      <c r="I206" s="34"/>
      <c r="J206" s="34"/>
      <c r="K206" s="34"/>
      <c r="R206" s="159" t="str">
        <f>B206</f>
        <v>Gross Sale Proceeds</v>
      </c>
      <c r="S206" s="92">
        <f t="shared" ref="S206:AB207" ca="1" si="3124">(S$19=$K$19)*$D206</f>
        <v>0</v>
      </c>
      <c r="T206" s="92">
        <f t="shared" ca="1" si="3124"/>
        <v>0</v>
      </c>
      <c r="U206" s="92">
        <f t="shared" ca="1" si="3124"/>
        <v>0</v>
      </c>
      <c r="V206" s="92">
        <f t="shared" ca="1" si="3124"/>
        <v>0</v>
      </c>
      <c r="W206" s="92">
        <f t="shared" ca="1" si="3124"/>
        <v>0</v>
      </c>
      <c r="X206" s="92">
        <f t="shared" ca="1" si="3124"/>
        <v>0</v>
      </c>
      <c r="Y206" s="92">
        <f t="shared" ca="1" si="3124"/>
        <v>0</v>
      </c>
      <c r="Z206" s="92">
        <f t="shared" ca="1" si="3124"/>
        <v>0</v>
      </c>
      <c r="AA206" s="92">
        <f t="shared" ca="1" si="3124"/>
        <v>0</v>
      </c>
      <c r="AB206" s="92">
        <f t="shared" ca="1" si="3124"/>
        <v>0</v>
      </c>
      <c r="AC206" s="92">
        <f t="shared" ref="AC206:AL207" ca="1" si="3125">(AC$19=$K$19)*$D206</f>
        <v>0</v>
      </c>
      <c r="AD206" s="92">
        <f t="shared" ca="1" si="3125"/>
        <v>0</v>
      </c>
      <c r="AE206" s="92">
        <f t="shared" ca="1" si="3125"/>
        <v>0</v>
      </c>
      <c r="AF206" s="92">
        <f t="shared" ca="1" si="3125"/>
        <v>0</v>
      </c>
      <c r="AG206" s="92">
        <f t="shared" ca="1" si="3125"/>
        <v>0</v>
      </c>
      <c r="AH206" s="92">
        <f t="shared" ca="1" si="3125"/>
        <v>0</v>
      </c>
      <c r="AI206" s="92">
        <f t="shared" ca="1" si="3125"/>
        <v>0</v>
      </c>
      <c r="AJ206" s="92">
        <f t="shared" ca="1" si="3125"/>
        <v>0</v>
      </c>
      <c r="AK206" s="92">
        <f t="shared" ca="1" si="3125"/>
        <v>0</v>
      </c>
      <c r="AL206" s="92">
        <f t="shared" ca="1" si="3125"/>
        <v>0</v>
      </c>
      <c r="AM206" s="92">
        <f t="shared" ref="AM206:AV207" ca="1" si="3126">(AM$19=$K$19)*$D206</f>
        <v>0</v>
      </c>
      <c r="AN206" s="92">
        <f t="shared" ca="1" si="3126"/>
        <v>0</v>
      </c>
      <c r="AO206" s="92">
        <f t="shared" ca="1" si="3126"/>
        <v>0</v>
      </c>
      <c r="AP206" s="92">
        <f t="shared" ca="1" si="3126"/>
        <v>0</v>
      </c>
      <c r="AQ206" s="92">
        <f t="shared" ca="1" si="3126"/>
        <v>0</v>
      </c>
      <c r="AR206" s="92">
        <f t="shared" ca="1" si="3126"/>
        <v>0</v>
      </c>
      <c r="AS206" s="92">
        <f t="shared" ca="1" si="3126"/>
        <v>0</v>
      </c>
      <c r="AT206" s="92">
        <f t="shared" ca="1" si="3126"/>
        <v>0</v>
      </c>
      <c r="AU206" s="92">
        <f t="shared" ca="1" si="3126"/>
        <v>0</v>
      </c>
      <c r="AV206" s="92">
        <f t="shared" ca="1" si="3126"/>
        <v>0</v>
      </c>
      <c r="AW206" s="92">
        <f t="shared" ref="AW206:BF207" ca="1" si="3127">(AW$19=$K$19)*$D206</f>
        <v>0</v>
      </c>
      <c r="AX206" s="92">
        <f t="shared" ca="1" si="3127"/>
        <v>0</v>
      </c>
      <c r="AY206" s="92">
        <f t="shared" ca="1" si="3127"/>
        <v>0</v>
      </c>
      <c r="AZ206" s="92">
        <f t="shared" ca="1" si="3127"/>
        <v>0</v>
      </c>
      <c r="BA206" s="92">
        <f t="shared" ca="1" si="3127"/>
        <v>0</v>
      </c>
      <c r="BB206" s="92">
        <f t="shared" ca="1" si="3127"/>
        <v>0</v>
      </c>
      <c r="BC206" s="92">
        <f t="shared" ca="1" si="3127"/>
        <v>79713642.944920063</v>
      </c>
      <c r="BD206" s="92">
        <f t="shared" ca="1" si="3127"/>
        <v>0</v>
      </c>
      <c r="BE206" s="92">
        <f t="shared" ca="1" si="3127"/>
        <v>0</v>
      </c>
      <c r="BF206" s="92">
        <f t="shared" ca="1" si="3127"/>
        <v>0</v>
      </c>
      <c r="BG206" s="92">
        <f t="shared" ref="BG206:BP207" ca="1" si="3128">(BG$19=$K$19)*$D206</f>
        <v>0</v>
      </c>
      <c r="BH206" s="92">
        <f t="shared" ca="1" si="3128"/>
        <v>0</v>
      </c>
      <c r="BI206" s="92">
        <f t="shared" ca="1" si="3128"/>
        <v>0</v>
      </c>
      <c r="BJ206" s="92">
        <f t="shared" ca="1" si="3128"/>
        <v>0</v>
      </c>
      <c r="BK206" s="92">
        <f t="shared" ca="1" si="3128"/>
        <v>0</v>
      </c>
      <c r="BL206" s="92">
        <f t="shared" ca="1" si="3128"/>
        <v>0</v>
      </c>
      <c r="BM206" s="92">
        <f t="shared" ca="1" si="3128"/>
        <v>0</v>
      </c>
      <c r="BN206" s="92">
        <f t="shared" ca="1" si="3128"/>
        <v>0</v>
      </c>
      <c r="BO206" s="92">
        <f t="shared" ca="1" si="3128"/>
        <v>0</v>
      </c>
      <c r="BP206" s="92">
        <f t="shared" ca="1" si="3128"/>
        <v>0</v>
      </c>
      <c r="BQ206" s="92">
        <f t="shared" ref="BQ206:BZ207" ca="1" si="3129">(BQ$19=$K$19)*$D206</f>
        <v>0</v>
      </c>
      <c r="BR206" s="92">
        <f t="shared" ca="1" si="3129"/>
        <v>0</v>
      </c>
      <c r="BS206" s="92">
        <f t="shared" ca="1" si="3129"/>
        <v>0</v>
      </c>
      <c r="BT206" s="92">
        <f t="shared" ca="1" si="3129"/>
        <v>0</v>
      </c>
      <c r="BU206" s="92">
        <f t="shared" ca="1" si="3129"/>
        <v>0</v>
      </c>
      <c r="BV206" s="92">
        <f t="shared" ca="1" si="3129"/>
        <v>0</v>
      </c>
      <c r="BW206" s="92">
        <f t="shared" ca="1" si="3129"/>
        <v>0</v>
      </c>
      <c r="BX206" s="92">
        <f t="shared" ca="1" si="3129"/>
        <v>0</v>
      </c>
      <c r="BY206" s="92">
        <f t="shared" ca="1" si="3129"/>
        <v>0</v>
      </c>
      <c r="BZ206" s="92">
        <f t="shared" ca="1" si="3129"/>
        <v>0</v>
      </c>
      <c r="CA206" s="92">
        <f t="shared" ref="CA206:CJ207" ca="1" si="3130">(CA$19=$K$19)*$D206</f>
        <v>0</v>
      </c>
      <c r="CB206" s="92">
        <f t="shared" ca="1" si="3130"/>
        <v>0</v>
      </c>
      <c r="CC206" s="92">
        <f t="shared" ca="1" si="3130"/>
        <v>0</v>
      </c>
      <c r="CD206" s="92">
        <f t="shared" ca="1" si="3130"/>
        <v>0</v>
      </c>
      <c r="CE206" s="92">
        <f t="shared" ca="1" si="3130"/>
        <v>0</v>
      </c>
      <c r="CF206" s="92">
        <f t="shared" ca="1" si="3130"/>
        <v>0</v>
      </c>
      <c r="CG206" s="92">
        <f t="shared" ca="1" si="3130"/>
        <v>0</v>
      </c>
      <c r="CH206" s="92">
        <f t="shared" ca="1" si="3130"/>
        <v>0</v>
      </c>
      <c r="CI206" s="92">
        <f t="shared" ca="1" si="3130"/>
        <v>0</v>
      </c>
      <c r="CJ206" s="92">
        <f t="shared" ca="1" si="3130"/>
        <v>0</v>
      </c>
      <c r="CK206" s="92">
        <f t="shared" ref="CK206:CT207" ca="1" si="3131">(CK$19=$K$19)*$D206</f>
        <v>0</v>
      </c>
      <c r="CL206" s="92">
        <f t="shared" ca="1" si="3131"/>
        <v>0</v>
      </c>
      <c r="CM206" s="92">
        <f t="shared" ca="1" si="3131"/>
        <v>0</v>
      </c>
      <c r="CN206" s="92">
        <f t="shared" ca="1" si="3131"/>
        <v>0</v>
      </c>
      <c r="CO206" s="92">
        <f t="shared" ca="1" si="3131"/>
        <v>0</v>
      </c>
      <c r="CP206" s="92">
        <f t="shared" ca="1" si="3131"/>
        <v>0</v>
      </c>
      <c r="CQ206" s="92">
        <f t="shared" ca="1" si="3131"/>
        <v>0</v>
      </c>
      <c r="CR206" s="92">
        <f t="shared" ca="1" si="3131"/>
        <v>0</v>
      </c>
      <c r="CS206" s="92">
        <f t="shared" ca="1" si="3131"/>
        <v>0</v>
      </c>
      <c r="CT206" s="92">
        <f t="shared" ca="1" si="3131"/>
        <v>0</v>
      </c>
      <c r="CU206" s="92">
        <f t="shared" ref="CU206:DD207" ca="1" si="3132">(CU$19=$K$19)*$D206</f>
        <v>0</v>
      </c>
      <c r="CV206" s="92">
        <f t="shared" ca="1" si="3132"/>
        <v>0</v>
      </c>
      <c r="CW206" s="92">
        <f t="shared" ca="1" si="3132"/>
        <v>0</v>
      </c>
      <c r="CX206" s="92">
        <f t="shared" ca="1" si="3132"/>
        <v>0</v>
      </c>
      <c r="CY206" s="92">
        <f t="shared" ca="1" si="3132"/>
        <v>0</v>
      </c>
      <c r="CZ206" s="92">
        <f t="shared" ca="1" si="3132"/>
        <v>0</v>
      </c>
      <c r="DA206" s="92">
        <f t="shared" ca="1" si="3132"/>
        <v>0</v>
      </c>
      <c r="DB206" s="92">
        <f t="shared" ca="1" si="3132"/>
        <v>0</v>
      </c>
      <c r="DC206" s="92">
        <f t="shared" ca="1" si="3132"/>
        <v>0</v>
      </c>
      <c r="DD206" s="92">
        <f t="shared" ca="1" si="3132"/>
        <v>0</v>
      </c>
      <c r="DE206" s="92">
        <f t="shared" ref="DE206:DN207" ca="1" si="3133">(DE$19=$K$19)*$D206</f>
        <v>0</v>
      </c>
      <c r="DF206" s="92">
        <f t="shared" ca="1" si="3133"/>
        <v>0</v>
      </c>
      <c r="DG206" s="92">
        <f t="shared" ca="1" si="3133"/>
        <v>0</v>
      </c>
      <c r="DH206" s="92">
        <f t="shared" ca="1" si="3133"/>
        <v>0</v>
      </c>
      <c r="DI206" s="92">
        <f t="shared" ca="1" si="3133"/>
        <v>0</v>
      </c>
      <c r="DJ206" s="92">
        <f t="shared" ca="1" si="3133"/>
        <v>0</v>
      </c>
      <c r="DK206" s="92">
        <f t="shared" ca="1" si="3133"/>
        <v>0</v>
      </c>
      <c r="DL206" s="92">
        <f t="shared" ca="1" si="3133"/>
        <v>0</v>
      </c>
      <c r="DM206" s="92">
        <f t="shared" ca="1" si="3133"/>
        <v>0</v>
      </c>
      <c r="DN206" s="92">
        <f t="shared" ca="1" si="3133"/>
        <v>0</v>
      </c>
      <c r="DO206" s="92">
        <f t="shared" ref="DO206:DX207" ca="1" si="3134">(DO$19=$K$19)*$D206</f>
        <v>0</v>
      </c>
      <c r="DP206" s="92">
        <f t="shared" ca="1" si="3134"/>
        <v>0</v>
      </c>
      <c r="DQ206" s="92">
        <f t="shared" ca="1" si="3134"/>
        <v>0</v>
      </c>
      <c r="DR206" s="92">
        <f t="shared" ca="1" si="3134"/>
        <v>0</v>
      </c>
      <c r="DS206" s="92">
        <f t="shared" ca="1" si="3134"/>
        <v>0</v>
      </c>
      <c r="DT206" s="92">
        <f t="shared" ca="1" si="3134"/>
        <v>0</v>
      </c>
      <c r="DU206" s="92">
        <f t="shared" ca="1" si="3134"/>
        <v>0</v>
      </c>
      <c r="DV206" s="92">
        <f t="shared" ca="1" si="3134"/>
        <v>0</v>
      </c>
      <c r="DW206" s="92">
        <f t="shared" ca="1" si="3134"/>
        <v>0</v>
      </c>
      <c r="DX206" s="92">
        <f t="shared" ca="1" si="3134"/>
        <v>0</v>
      </c>
      <c r="DY206" s="92">
        <f t="shared" ref="DY206:EH207" ca="1" si="3135">(DY$19=$K$19)*$D206</f>
        <v>0</v>
      </c>
      <c r="DZ206" s="92">
        <f t="shared" ca="1" si="3135"/>
        <v>0</v>
      </c>
      <c r="EA206" s="92">
        <f t="shared" ca="1" si="3135"/>
        <v>0</v>
      </c>
      <c r="EB206" s="92">
        <f t="shared" ca="1" si="3135"/>
        <v>0</v>
      </c>
      <c r="EC206" s="92">
        <f t="shared" ca="1" si="3135"/>
        <v>0</v>
      </c>
      <c r="ED206" s="92">
        <f t="shared" ca="1" si="3135"/>
        <v>0</v>
      </c>
      <c r="EE206" s="92">
        <f t="shared" ca="1" si="3135"/>
        <v>0</v>
      </c>
      <c r="EF206" s="92">
        <f t="shared" ca="1" si="3135"/>
        <v>0</v>
      </c>
      <c r="EG206" s="92">
        <f t="shared" ca="1" si="3135"/>
        <v>0</v>
      </c>
      <c r="EH206" s="92">
        <f t="shared" ca="1" si="3135"/>
        <v>0</v>
      </c>
      <c r="EI206" s="92">
        <f t="shared" ref="EI206:EU207" ca="1" si="3136">(EI$19=$K$19)*$D206</f>
        <v>0</v>
      </c>
      <c r="EJ206" s="92">
        <f t="shared" ca="1" si="3136"/>
        <v>0</v>
      </c>
      <c r="EK206" s="92">
        <f t="shared" ca="1" si="3136"/>
        <v>0</v>
      </c>
      <c r="EL206" s="92">
        <f t="shared" ca="1" si="3136"/>
        <v>0</v>
      </c>
      <c r="EM206" s="92">
        <f t="shared" ca="1" si="3136"/>
        <v>0</v>
      </c>
      <c r="EN206" s="92">
        <f t="shared" ca="1" si="3136"/>
        <v>0</v>
      </c>
      <c r="EO206" s="92">
        <f t="shared" ca="1" si="3136"/>
        <v>0</v>
      </c>
      <c r="EP206" s="92">
        <f t="shared" ca="1" si="3136"/>
        <v>0</v>
      </c>
      <c r="EQ206" s="92">
        <f t="shared" ca="1" si="3136"/>
        <v>0</v>
      </c>
      <c r="ER206" s="92">
        <f t="shared" ca="1" si="3136"/>
        <v>0</v>
      </c>
      <c r="ES206" s="92">
        <f t="shared" ca="1" si="3136"/>
        <v>0</v>
      </c>
      <c r="ET206" s="92">
        <f t="shared" ca="1" si="3136"/>
        <v>0</v>
      </c>
      <c r="EU206" s="92">
        <f t="shared" ca="1" si="3136"/>
        <v>0</v>
      </c>
      <c r="EW206" s="229" t="s">
        <v>261</v>
      </c>
      <c r="EX206" s="229"/>
      <c r="EY206" s="232">
        <f>(1+H242)^(1/12)-1</f>
        <v>7.2073233161367156E-3</v>
      </c>
      <c r="EZ206" s="228"/>
      <c r="FA206" s="231"/>
      <c r="FB206" s="231"/>
      <c r="FC206" s="392">
        <v>0</v>
      </c>
      <c r="FD206" s="392">
        <f>+FC206+1</f>
        <v>1</v>
      </c>
      <c r="FE206" s="392">
        <f t="shared" ref="FE206" si="3137">+FD206+1</f>
        <v>2</v>
      </c>
      <c r="FF206" s="392">
        <f t="shared" ref="FF206" si="3138">+FE206+1</f>
        <v>3</v>
      </c>
      <c r="FG206" s="392">
        <f t="shared" ref="FG206" si="3139">+FF206+1</f>
        <v>4</v>
      </c>
      <c r="FH206" s="392">
        <f t="shared" ref="FH206" si="3140">+FG206+1</f>
        <v>5</v>
      </c>
      <c r="FI206" s="392">
        <f t="shared" ref="FI206" si="3141">+FH206+1</f>
        <v>6</v>
      </c>
      <c r="FJ206" s="392">
        <f t="shared" ref="FJ206" si="3142">+FI206+1</f>
        <v>7</v>
      </c>
      <c r="FK206" s="392">
        <f t="shared" ref="FK206" si="3143">+FJ206+1</f>
        <v>8</v>
      </c>
      <c r="FL206" s="392">
        <f t="shared" ref="FL206" si="3144">+FK206+1</f>
        <v>9</v>
      </c>
      <c r="FM206" s="392">
        <f t="shared" ref="FM206" si="3145">+FL206+1</f>
        <v>10</v>
      </c>
      <c r="FN206" s="392">
        <f t="shared" ref="FN206" si="3146">+FM206+1</f>
        <v>11</v>
      </c>
      <c r="FO206" s="392">
        <f t="shared" ref="FO206" si="3147">+FN206+1</f>
        <v>12</v>
      </c>
      <c r="FP206" s="392">
        <f t="shared" ref="FP206" si="3148">+FO206+1</f>
        <v>13</v>
      </c>
      <c r="FQ206" s="392">
        <f t="shared" ref="FQ206" si="3149">+FP206+1</f>
        <v>14</v>
      </c>
      <c r="FR206" s="392">
        <f t="shared" ref="FR206" si="3150">+FQ206+1</f>
        <v>15</v>
      </c>
      <c r="FS206" s="392">
        <f t="shared" ref="FS206" si="3151">+FR206+1</f>
        <v>16</v>
      </c>
      <c r="FT206" s="392">
        <f t="shared" ref="FT206" si="3152">+FS206+1</f>
        <v>17</v>
      </c>
      <c r="FU206" s="392">
        <f t="shared" ref="FU206" si="3153">+FT206+1</f>
        <v>18</v>
      </c>
      <c r="FV206" s="392">
        <f t="shared" ref="FV206" si="3154">+FU206+1</f>
        <v>19</v>
      </c>
      <c r="FW206" s="392">
        <f t="shared" ref="FW206" si="3155">+FV206+1</f>
        <v>20</v>
      </c>
      <c r="FX206" s="392">
        <f t="shared" ref="FX206" si="3156">+FW206+1</f>
        <v>21</v>
      </c>
      <c r="FY206" s="392">
        <f t="shared" ref="FY206" si="3157">+FX206+1</f>
        <v>22</v>
      </c>
      <c r="FZ206" s="392">
        <f t="shared" ref="FZ206" si="3158">+FY206+1</f>
        <v>23</v>
      </c>
      <c r="GA206" s="392">
        <f t="shared" ref="GA206" si="3159">+FZ206+1</f>
        <v>24</v>
      </c>
      <c r="GB206" s="392">
        <f t="shared" ref="GB206" si="3160">+GA206+1</f>
        <v>25</v>
      </c>
      <c r="GC206" s="392">
        <f t="shared" ref="GC206" si="3161">+GB206+1</f>
        <v>26</v>
      </c>
      <c r="GD206" s="392">
        <f t="shared" ref="GD206" si="3162">+GC206+1</f>
        <v>27</v>
      </c>
      <c r="GE206" s="392">
        <f t="shared" ref="GE206" si="3163">+GD206+1</f>
        <v>28</v>
      </c>
      <c r="GF206" s="392">
        <f t="shared" ref="GF206" si="3164">+GE206+1</f>
        <v>29</v>
      </c>
      <c r="GG206" s="392">
        <f t="shared" ref="GG206" si="3165">+GF206+1</f>
        <v>30</v>
      </c>
      <c r="GH206" s="392">
        <f t="shared" ref="GH206" si="3166">+GG206+1</f>
        <v>31</v>
      </c>
      <c r="GI206" s="392">
        <f t="shared" ref="GI206" si="3167">+GH206+1</f>
        <v>32</v>
      </c>
      <c r="GJ206" s="392">
        <f t="shared" ref="GJ206" si="3168">+GI206+1</f>
        <v>33</v>
      </c>
      <c r="GK206" s="392">
        <f t="shared" ref="GK206" si="3169">+GJ206+1</f>
        <v>34</v>
      </c>
      <c r="GL206" s="392">
        <f t="shared" ref="GL206" si="3170">+GK206+1</f>
        <v>35</v>
      </c>
      <c r="GM206" s="392">
        <f t="shared" ref="GM206" si="3171">+GL206+1</f>
        <v>36</v>
      </c>
      <c r="GN206" s="392">
        <f t="shared" ref="GN206" si="3172">+GM206+1</f>
        <v>37</v>
      </c>
      <c r="GO206" s="392">
        <f t="shared" ref="GO206" si="3173">+GN206+1</f>
        <v>38</v>
      </c>
      <c r="GP206" s="392">
        <f t="shared" ref="GP206" si="3174">+GO206+1</f>
        <v>39</v>
      </c>
      <c r="GQ206" s="392">
        <f t="shared" ref="GQ206" si="3175">+GP206+1</f>
        <v>40</v>
      </c>
      <c r="GR206" s="392">
        <f t="shared" ref="GR206" si="3176">+GQ206+1</f>
        <v>41</v>
      </c>
      <c r="GS206" s="392">
        <f t="shared" ref="GS206" si="3177">+GR206+1</f>
        <v>42</v>
      </c>
      <c r="GT206" s="392">
        <f t="shared" ref="GT206" si="3178">+GS206+1</f>
        <v>43</v>
      </c>
      <c r="GU206" s="392">
        <f t="shared" ref="GU206" si="3179">+GT206+1</f>
        <v>44</v>
      </c>
      <c r="GV206" s="392">
        <f t="shared" ref="GV206" si="3180">+GU206+1</f>
        <v>45</v>
      </c>
      <c r="GW206" s="392">
        <f t="shared" ref="GW206" si="3181">+GV206+1</f>
        <v>46</v>
      </c>
      <c r="GX206" s="392">
        <f t="shared" ref="GX206" si="3182">+GW206+1</f>
        <v>47</v>
      </c>
      <c r="GY206" s="392">
        <f t="shared" ref="GY206" si="3183">+GX206+1</f>
        <v>48</v>
      </c>
      <c r="GZ206" s="392">
        <f t="shared" ref="GZ206" si="3184">+GY206+1</f>
        <v>49</v>
      </c>
      <c r="HA206" s="392">
        <f t="shared" ref="HA206" si="3185">+GZ206+1</f>
        <v>50</v>
      </c>
      <c r="HB206" s="392">
        <f t="shared" ref="HB206" si="3186">+HA206+1</f>
        <v>51</v>
      </c>
      <c r="HC206" s="392">
        <f t="shared" ref="HC206" si="3187">+HB206+1</f>
        <v>52</v>
      </c>
      <c r="HD206" s="392">
        <f t="shared" ref="HD206" si="3188">+HC206+1</f>
        <v>53</v>
      </c>
      <c r="HE206" s="392">
        <f t="shared" ref="HE206" si="3189">+HD206+1</f>
        <v>54</v>
      </c>
      <c r="HF206" s="392">
        <f t="shared" ref="HF206" si="3190">+HE206+1</f>
        <v>55</v>
      </c>
      <c r="HG206" s="392">
        <f t="shared" ref="HG206" si="3191">+HF206+1</f>
        <v>56</v>
      </c>
      <c r="HH206" s="392">
        <f t="shared" ref="HH206" si="3192">+HG206+1</f>
        <v>57</v>
      </c>
      <c r="HI206" s="392">
        <f t="shared" ref="HI206" si="3193">+HH206+1</f>
        <v>58</v>
      </c>
      <c r="HJ206" s="392">
        <f t="shared" ref="HJ206" si="3194">+HI206+1</f>
        <v>59</v>
      </c>
      <c r="HK206" s="392">
        <f t="shared" ref="HK206" si="3195">+HJ206+1</f>
        <v>60</v>
      </c>
      <c r="HL206" s="392">
        <f t="shared" ref="HL206" si="3196">+HK206+1</f>
        <v>61</v>
      </c>
      <c r="HM206" s="392">
        <f t="shared" ref="HM206" si="3197">+HL206+1</f>
        <v>62</v>
      </c>
      <c r="HN206" s="392">
        <f t="shared" ref="HN206" si="3198">+HM206+1</f>
        <v>63</v>
      </c>
      <c r="HO206" s="392">
        <f t="shared" ref="HO206" si="3199">+HN206+1</f>
        <v>64</v>
      </c>
      <c r="HP206" s="392">
        <f t="shared" ref="HP206" si="3200">+HO206+1</f>
        <v>65</v>
      </c>
      <c r="HQ206" s="392">
        <f t="shared" ref="HQ206" si="3201">+HP206+1</f>
        <v>66</v>
      </c>
      <c r="HR206" s="392">
        <f t="shared" ref="HR206" si="3202">+HQ206+1</f>
        <v>67</v>
      </c>
      <c r="HS206" s="392">
        <f t="shared" ref="HS206" si="3203">+HR206+1</f>
        <v>68</v>
      </c>
      <c r="HT206" s="392">
        <f t="shared" ref="HT206" si="3204">+HS206+1</f>
        <v>69</v>
      </c>
      <c r="HU206" s="392">
        <f t="shared" ref="HU206" si="3205">+HT206+1</f>
        <v>70</v>
      </c>
      <c r="HV206" s="392">
        <f t="shared" ref="HV206" si="3206">+HU206+1</f>
        <v>71</v>
      </c>
      <c r="HW206" s="392">
        <f t="shared" ref="HW206" si="3207">+HV206+1</f>
        <v>72</v>
      </c>
      <c r="HX206" s="392">
        <f t="shared" ref="HX206" si="3208">+HW206+1</f>
        <v>73</v>
      </c>
      <c r="HY206" s="392">
        <f t="shared" ref="HY206" si="3209">+HX206+1</f>
        <v>74</v>
      </c>
      <c r="HZ206" s="392">
        <f t="shared" ref="HZ206" si="3210">+HY206+1</f>
        <v>75</v>
      </c>
      <c r="IA206" s="392">
        <f t="shared" ref="IA206" si="3211">+HZ206+1</f>
        <v>76</v>
      </c>
      <c r="IB206" s="392">
        <f t="shared" ref="IB206" si="3212">+IA206+1</f>
        <v>77</v>
      </c>
      <c r="IC206" s="392">
        <f t="shared" ref="IC206" si="3213">+IB206+1</f>
        <v>78</v>
      </c>
      <c r="ID206" s="392">
        <f t="shared" ref="ID206" si="3214">+IC206+1</f>
        <v>79</v>
      </c>
      <c r="IE206" s="392">
        <f t="shared" ref="IE206" si="3215">+ID206+1</f>
        <v>80</v>
      </c>
      <c r="IF206" s="392">
        <f t="shared" ref="IF206" si="3216">+IE206+1</f>
        <v>81</v>
      </c>
      <c r="IG206" s="392">
        <f t="shared" ref="IG206" si="3217">+IF206+1</f>
        <v>82</v>
      </c>
      <c r="IH206" s="392">
        <f t="shared" ref="IH206" si="3218">+IG206+1</f>
        <v>83</v>
      </c>
      <c r="II206" s="392">
        <f t="shared" ref="II206" si="3219">+IH206+1</f>
        <v>84</v>
      </c>
      <c r="IJ206" s="392">
        <f t="shared" ref="IJ206" si="3220">+II206+1</f>
        <v>85</v>
      </c>
      <c r="IK206" s="392">
        <f t="shared" ref="IK206" si="3221">+IJ206+1</f>
        <v>86</v>
      </c>
      <c r="IL206" s="392">
        <f t="shared" ref="IL206" si="3222">+IK206+1</f>
        <v>87</v>
      </c>
      <c r="IM206" s="392">
        <f t="shared" ref="IM206" si="3223">+IL206+1</f>
        <v>88</v>
      </c>
      <c r="IN206" s="392">
        <f t="shared" ref="IN206" si="3224">+IM206+1</f>
        <v>89</v>
      </c>
      <c r="IO206" s="392">
        <f t="shared" ref="IO206" si="3225">+IN206+1</f>
        <v>90</v>
      </c>
      <c r="IP206" s="392">
        <f t="shared" ref="IP206" si="3226">+IO206+1</f>
        <v>91</v>
      </c>
      <c r="IQ206" s="392">
        <f t="shared" ref="IQ206" si="3227">+IP206+1</f>
        <v>92</v>
      </c>
      <c r="IR206" s="392">
        <f t="shared" ref="IR206" si="3228">+IQ206+1</f>
        <v>93</v>
      </c>
      <c r="IS206" s="392">
        <f t="shared" ref="IS206" si="3229">+IR206+1</f>
        <v>94</v>
      </c>
      <c r="IT206" s="392">
        <f t="shared" ref="IT206" si="3230">+IS206+1</f>
        <v>95</v>
      </c>
      <c r="IU206" s="392">
        <f t="shared" ref="IU206" si="3231">+IT206+1</f>
        <v>96</v>
      </c>
      <c r="IV206" s="392">
        <f t="shared" ref="IV206" si="3232">+IU206+1</f>
        <v>97</v>
      </c>
      <c r="IW206" s="392">
        <f t="shared" ref="IW206" si="3233">+IV206+1</f>
        <v>98</v>
      </c>
      <c r="IX206" s="392">
        <f t="shared" ref="IX206" si="3234">+IW206+1</f>
        <v>99</v>
      </c>
      <c r="IY206" s="392">
        <f t="shared" ref="IY206" si="3235">+IX206+1</f>
        <v>100</v>
      </c>
      <c r="IZ206" s="392">
        <f t="shared" ref="IZ206" si="3236">+IY206+1</f>
        <v>101</v>
      </c>
      <c r="JA206" s="392">
        <f t="shared" ref="JA206" si="3237">+IZ206+1</f>
        <v>102</v>
      </c>
      <c r="JB206" s="392">
        <f t="shared" ref="JB206" si="3238">+JA206+1</f>
        <v>103</v>
      </c>
      <c r="JC206" s="392">
        <f t="shared" ref="JC206" si="3239">+JB206+1</f>
        <v>104</v>
      </c>
      <c r="JD206" s="392">
        <f t="shared" ref="JD206" si="3240">+JC206+1</f>
        <v>105</v>
      </c>
      <c r="JE206" s="392">
        <f t="shared" ref="JE206" si="3241">+JD206+1</f>
        <v>106</v>
      </c>
      <c r="JF206" s="392">
        <f t="shared" ref="JF206" si="3242">+JE206+1</f>
        <v>107</v>
      </c>
      <c r="JG206" s="392">
        <f t="shared" ref="JG206" si="3243">+JF206+1</f>
        <v>108</v>
      </c>
      <c r="JH206" s="392">
        <f t="shared" ref="JH206" si="3244">+JG206+1</f>
        <v>109</v>
      </c>
      <c r="JI206" s="392">
        <f t="shared" ref="JI206" si="3245">+JH206+1</f>
        <v>110</v>
      </c>
      <c r="JJ206" s="392">
        <f t="shared" ref="JJ206" si="3246">+JI206+1</f>
        <v>111</v>
      </c>
      <c r="JK206" s="392">
        <f t="shared" ref="JK206" si="3247">+JJ206+1</f>
        <v>112</v>
      </c>
      <c r="JL206" s="392">
        <f t="shared" ref="JL206" si="3248">+JK206+1</f>
        <v>113</v>
      </c>
      <c r="JM206" s="392">
        <f t="shared" ref="JM206" si="3249">+JL206+1</f>
        <v>114</v>
      </c>
      <c r="JN206" s="392">
        <f t="shared" ref="JN206" si="3250">+JM206+1</f>
        <v>115</v>
      </c>
      <c r="JO206" s="392">
        <f t="shared" ref="JO206" si="3251">+JN206+1</f>
        <v>116</v>
      </c>
      <c r="JP206" s="392">
        <f t="shared" ref="JP206" si="3252">+JO206+1</f>
        <v>117</v>
      </c>
      <c r="JQ206" s="392">
        <f t="shared" ref="JQ206" si="3253">+JP206+1</f>
        <v>118</v>
      </c>
      <c r="JR206" s="392">
        <f t="shared" ref="JR206" si="3254">+JQ206+1</f>
        <v>119</v>
      </c>
      <c r="JS206" s="392">
        <f t="shared" ref="JS206" si="3255">+JR206+1</f>
        <v>120</v>
      </c>
      <c r="JT206" s="392">
        <f t="shared" ref="JT206" si="3256">+JS206+1</f>
        <v>121</v>
      </c>
      <c r="JU206" s="392">
        <f t="shared" ref="JU206" si="3257">+JT206+1</f>
        <v>122</v>
      </c>
      <c r="JV206" s="392">
        <f t="shared" ref="JV206" si="3258">+JU206+1</f>
        <v>123</v>
      </c>
      <c r="JW206" s="392">
        <f t="shared" ref="JW206" si="3259">+JV206+1</f>
        <v>124</v>
      </c>
      <c r="JX206" s="392">
        <f t="shared" ref="JX206" si="3260">+JW206+1</f>
        <v>125</v>
      </c>
      <c r="JY206" s="392">
        <f t="shared" ref="JY206" si="3261">+JX206+1</f>
        <v>126</v>
      </c>
      <c r="JZ206" s="392">
        <f t="shared" ref="JZ206" si="3262">+JY206+1</f>
        <v>127</v>
      </c>
      <c r="KA206" s="392">
        <f t="shared" ref="KA206" si="3263">+JZ206+1</f>
        <v>128</v>
      </c>
      <c r="KB206" s="392">
        <f t="shared" ref="KB206" si="3264">+KA206+1</f>
        <v>129</v>
      </c>
      <c r="KC206" s="392">
        <f t="shared" ref="KC206" si="3265">+KB206+1</f>
        <v>130</v>
      </c>
      <c r="KD206" s="392">
        <f t="shared" ref="KD206" si="3266">+KC206+1</f>
        <v>131</v>
      </c>
      <c r="KE206" s="392">
        <f t="shared" ref="KE206" si="3267">+KD206+1</f>
        <v>132</v>
      </c>
      <c r="KF206" s="218" t="s">
        <v>269</v>
      </c>
      <c r="PQ206" s="201"/>
      <c r="PR206" s="201"/>
      <c r="PS206" s="201"/>
      <c r="PT206" s="201"/>
      <c r="PU206" s="201"/>
      <c r="PV206" s="201"/>
      <c r="PW206" s="201"/>
      <c r="PX206" s="201"/>
      <c r="PY206" s="201"/>
      <c r="PZ206" s="201"/>
      <c r="QA206" s="201"/>
      <c r="QB206" s="201"/>
      <c r="QC206" s="201"/>
      <c r="QD206" s="201"/>
      <c r="QE206" s="201"/>
      <c r="QF206" s="201"/>
      <c r="QG206" s="201"/>
      <c r="QH206" s="201"/>
      <c r="QI206" s="201"/>
      <c r="QJ206" s="201"/>
      <c r="QK206" s="201"/>
      <c r="QL206" s="201"/>
      <c r="QM206" s="201"/>
      <c r="QN206" s="201"/>
      <c r="QO206" s="201"/>
      <c r="QP206" s="201"/>
      <c r="QQ206" s="201"/>
      <c r="QR206" s="201"/>
      <c r="QS206" s="201"/>
      <c r="QT206" s="201"/>
      <c r="QU206" s="201"/>
      <c r="QV206" s="201"/>
      <c r="QW206" s="201"/>
      <c r="QX206" s="201"/>
      <c r="QY206" s="201"/>
      <c r="QZ206" s="201"/>
      <c r="RA206" s="201"/>
      <c r="RB206" s="201"/>
      <c r="RC206" s="201"/>
      <c r="RD206" s="201"/>
      <c r="RE206" s="201"/>
      <c r="RF206" s="201"/>
      <c r="RG206" s="201"/>
      <c r="RH206" s="201"/>
      <c r="RI206" s="201"/>
      <c r="RJ206" s="201"/>
      <c r="RK206" s="201"/>
      <c r="RL206" s="201"/>
      <c r="RM206" s="201"/>
      <c r="RN206" s="201"/>
      <c r="RO206" s="201"/>
      <c r="RP206" s="201"/>
      <c r="RQ206" s="201"/>
      <c r="RR206" s="201"/>
      <c r="RS206" s="201"/>
      <c r="RT206" s="201"/>
      <c r="RU206" s="201"/>
      <c r="RV206" s="201"/>
      <c r="RW206" s="201"/>
      <c r="RX206" s="201"/>
      <c r="RY206" s="201"/>
      <c r="RZ206" s="201"/>
      <c r="SA206" s="201"/>
      <c r="SB206" s="201"/>
      <c r="SC206" s="201"/>
      <c r="SD206" s="201"/>
      <c r="SE206" s="201"/>
      <c r="SF206" s="201"/>
      <c r="SG206" s="201"/>
      <c r="SH206" s="201"/>
      <c r="SI206" s="201"/>
      <c r="SJ206" s="201"/>
      <c r="SK206" s="201"/>
      <c r="SL206" s="201"/>
      <c r="SM206" s="201"/>
      <c r="SN206" s="201"/>
      <c r="SO206" s="201"/>
      <c r="SP206" s="201"/>
      <c r="SQ206" s="201"/>
      <c r="SR206" s="201"/>
      <c r="SS206" s="201"/>
      <c r="ST206" s="201"/>
      <c r="SU206" s="201"/>
      <c r="SV206" s="201"/>
      <c r="SW206" s="201"/>
      <c r="SX206" s="201"/>
      <c r="SY206" s="201"/>
      <c r="SZ206" s="201"/>
      <c r="TA206" s="201"/>
      <c r="TB206" s="201"/>
      <c r="TC206" s="201"/>
      <c r="TD206" s="201"/>
      <c r="TE206" s="201"/>
      <c r="TF206" s="201"/>
      <c r="TG206" s="201"/>
      <c r="TH206" s="201"/>
      <c r="TI206" s="201"/>
      <c r="TJ206" s="201"/>
      <c r="TK206" s="201"/>
      <c r="TL206" s="201"/>
      <c r="TM206" s="201"/>
      <c r="TN206" s="201"/>
      <c r="TO206" s="201"/>
      <c r="TP206" s="201"/>
      <c r="TQ206" s="201"/>
      <c r="TR206" s="201"/>
      <c r="TS206" s="201"/>
      <c r="TT206" s="201"/>
      <c r="TU206" s="201"/>
      <c r="TV206" s="201"/>
      <c r="TW206" s="201"/>
      <c r="TX206" s="201"/>
      <c r="TY206" s="201"/>
      <c r="TZ206" s="201"/>
      <c r="UA206" s="201"/>
      <c r="UB206" s="201"/>
      <c r="UC206" s="201"/>
      <c r="UD206" s="201"/>
      <c r="UE206" s="201"/>
      <c r="UF206" s="201"/>
      <c r="UG206" s="201"/>
      <c r="UH206" s="201"/>
      <c r="UI206" s="201"/>
      <c r="UJ206" s="201"/>
      <c r="UK206" s="201"/>
      <c r="UL206" s="201"/>
      <c r="UM206" s="201"/>
      <c r="UN206" s="201"/>
      <c r="UO206" s="201"/>
      <c r="UP206" s="201"/>
      <c r="UQ206" s="201"/>
      <c r="UR206" s="201"/>
      <c r="US206" s="201"/>
      <c r="UT206" s="201"/>
      <c r="UU206" s="201"/>
    </row>
    <row r="207" spans="2:567" ht="15.6" x14ac:dyDescent="0.4">
      <c r="B207" s="54" t="str">
        <f>"- Selling Costs @ "&amp;TEXT($K$168,"0.00%")</f>
        <v>- Selling Costs @ 1.50%</v>
      </c>
      <c r="C207" s="26"/>
      <c r="D207" s="80">
        <f ca="1">-D206*K168</f>
        <v>-1195704.6441738009</v>
      </c>
      <c r="E207" s="85"/>
      <c r="F207" s="85"/>
      <c r="G207" s="85"/>
      <c r="H207" s="85"/>
      <c r="I207" s="80" t="str">
        <f>I170</f>
        <v>IN-PLACE</v>
      </c>
      <c r="J207" s="80" t="str">
        <f>J170</f>
        <v>STABILIZED</v>
      </c>
      <c r="K207" s="80" t="str">
        <f>K170</f>
        <v>SALE</v>
      </c>
      <c r="R207" s="552" t="s">
        <v>636</v>
      </c>
      <c r="S207" s="96">
        <f t="shared" ca="1" si="3124"/>
        <v>0</v>
      </c>
      <c r="T207" s="96">
        <f t="shared" ca="1" si="3124"/>
        <v>0</v>
      </c>
      <c r="U207" s="96">
        <f t="shared" ca="1" si="3124"/>
        <v>0</v>
      </c>
      <c r="V207" s="96">
        <f t="shared" ca="1" si="3124"/>
        <v>0</v>
      </c>
      <c r="W207" s="96">
        <f t="shared" ca="1" si="3124"/>
        <v>0</v>
      </c>
      <c r="X207" s="96">
        <f t="shared" ca="1" si="3124"/>
        <v>0</v>
      </c>
      <c r="Y207" s="96">
        <f t="shared" ca="1" si="3124"/>
        <v>0</v>
      </c>
      <c r="Z207" s="96">
        <f t="shared" ca="1" si="3124"/>
        <v>0</v>
      </c>
      <c r="AA207" s="96">
        <f t="shared" ca="1" si="3124"/>
        <v>0</v>
      </c>
      <c r="AB207" s="96">
        <f t="shared" ca="1" si="3124"/>
        <v>0</v>
      </c>
      <c r="AC207" s="96">
        <f t="shared" ca="1" si="3125"/>
        <v>0</v>
      </c>
      <c r="AD207" s="96">
        <f t="shared" ca="1" si="3125"/>
        <v>0</v>
      </c>
      <c r="AE207" s="96">
        <f t="shared" ca="1" si="3125"/>
        <v>0</v>
      </c>
      <c r="AF207" s="96">
        <f t="shared" ca="1" si="3125"/>
        <v>0</v>
      </c>
      <c r="AG207" s="96">
        <f t="shared" ca="1" si="3125"/>
        <v>0</v>
      </c>
      <c r="AH207" s="96">
        <f t="shared" ca="1" si="3125"/>
        <v>0</v>
      </c>
      <c r="AI207" s="96">
        <f t="shared" ca="1" si="3125"/>
        <v>0</v>
      </c>
      <c r="AJ207" s="96">
        <f t="shared" ca="1" si="3125"/>
        <v>0</v>
      </c>
      <c r="AK207" s="96">
        <f t="shared" ca="1" si="3125"/>
        <v>0</v>
      </c>
      <c r="AL207" s="96">
        <f t="shared" ca="1" si="3125"/>
        <v>0</v>
      </c>
      <c r="AM207" s="96">
        <f t="shared" ca="1" si="3126"/>
        <v>0</v>
      </c>
      <c r="AN207" s="96">
        <f t="shared" ca="1" si="3126"/>
        <v>0</v>
      </c>
      <c r="AO207" s="96">
        <f t="shared" ca="1" si="3126"/>
        <v>0</v>
      </c>
      <c r="AP207" s="96">
        <f t="shared" ca="1" si="3126"/>
        <v>0</v>
      </c>
      <c r="AQ207" s="96">
        <f t="shared" ca="1" si="3126"/>
        <v>0</v>
      </c>
      <c r="AR207" s="96">
        <f t="shared" ca="1" si="3126"/>
        <v>0</v>
      </c>
      <c r="AS207" s="96">
        <f t="shared" ca="1" si="3126"/>
        <v>0</v>
      </c>
      <c r="AT207" s="96">
        <f t="shared" ca="1" si="3126"/>
        <v>0</v>
      </c>
      <c r="AU207" s="96">
        <f t="shared" ca="1" si="3126"/>
        <v>0</v>
      </c>
      <c r="AV207" s="96">
        <f t="shared" ca="1" si="3126"/>
        <v>0</v>
      </c>
      <c r="AW207" s="96">
        <f t="shared" ca="1" si="3127"/>
        <v>0</v>
      </c>
      <c r="AX207" s="96">
        <f t="shared" ca="1" si="3127"/>
        <v>0</v>
      </c>
      <c r="AY207" s="96">
        <f t="shared" ca="1" si="3127"/>
        <v>0</v>
      </c>
      <c r="AZ207" s="96">
        <f t="shared" ca="1" si="3127"/>
        <v>0</v>
      </c>
      <c r="BA207" s="96">
        <f t="shared" ca="1" si="3127"/>
        <v>0</v>
      </c>
      <c r="BB207" s="96">
        <f t="shared" ca="1" si="3127"/>
        <v>0</v>
      </c>
      <c r="BC207" s="96">
        <f t="shared" ca="1" si="3127"/>
        <v>-1195704.6441738009</v>
      </c>
      <c r="BD207" s="96">
        <f t="shared" ca="1" si="3127"/>
        <v>0</v>
      </c>
      <c r="BE207" s="96">
        <f t="shared" ca="1" si="3127"/>
        <v>0</v>
      </c>
      <c r="BF207" s="96">
        <f t="shared" ca="1" si="3127"/>
        <v>0</v>
      </c>
      <c r="BG207" s="96">
        <f t="shared" ca="1" si="3128"/>
        <v>0</v>
      </c>
      <c r="BH207" s="96">
        <f t="shared" ca="1" si="3128"/>
        <v>0</v>
      </c>
      <c r="BI207" s="96">
        <f t="shared" ca="1" si="3128"/>
        <v>0</v>
      </c>
      <c r="BJ207" s="96">
        <f t="shared" ca="1" si="3128"/>
        <v>0</v>
      </c>
      <c r="BK207" s="96">
        <f t="shared" ca="1" si="3128"/>
        <v>0</v>
      </c>
      <c r="BL207" s="96">
        <f t="shared" ca="1" si="3128"/>
        <v>0</v>
      </c>
      <c r="BM207" s="96">
        <f t="shared" ca="1" si="3128"/>
        <v>0</v>
      </c>
      <c r="BN207" s="96">
        <f t="shared" ca="1" si="3128"/>
        <v>0</v>
      </c>
      <c r="BO207" s="96">
        <f t="shared" ca="1" si="3128"/>
        <v>0</v>
      </c>
      <c r="BP207" s="96">
        <f t="shared" ca="1" si="3128"/>
        <v>0</v>
      </c>
      <c r="BQ207" s="96">
        <f t="shared" ca="1" si="3129"/>
        <v>0</v>
      </c>
      <c r="BR207" s="96">
        <f t="shared" ca="1" si="3129"/>
        <v>0</v>
      </c>
      <c r="BS207" s="96">
        <f t="shared" ca="1" si="3129"/>
        <v>0</v>
      </c>
      <c r="BT207" s="96">
        <f t="shared" ca="1" si="3129"/>
        <v>0</v>
      </c>
      <c r="BU207" s="96">
        <f t="shared" ca="1" si="3129"/>
        <v>0</v>
      </c>
      <c r="BV207" s="96">
        <f t="shared" ca="1" si="3129"/>
        <v>0</v>
      </c>
      <c r="BW207" s="96">
        <f t="shared" ca="1" si="3129"/>
        <v>0</v>
      </c>
      <c r="BX207" s="96">
        <f t="shared" ca="1" si="3129"/>
        <v>0</v>
      </c>
      <c r="BY207" s="96">
        <f t="shared" ca="1" si="3129"/>
        <v>0</v>
      </c>
      <c r="BZ207" s="96">
        <f t="shared" ca="1" si="3129"/>
        <v>0</v>
      </c>
      <c r="CA207" s="96">
        <f t="shared" ca="1" si="3130"/>
        <v>0</v>
      </c>
      <c r="CB207" s="96">
        <f t="shared" ca="1" si="3130"/>
        <v>0</v>
      </c>
      <c r="CC207" s="96">
        <f t="shared" ca="1" si="3130"/>
        <v>0</v>
      </c>
      <c r="CD207" s="96">
        <f t="shared" ca="1" si="3130"/>
        <v>0</v>
      </c>
      <c r="CE207" s="96">
        <f t="shared" ca="1" si="3130"/>
        <v>0</v>
      </c>
      <c r="CF207" s="96">
        <f t="shared" ca="1" si="3130"/>
        <v>0</v>
      </c>
      <c r="CG207" s="96">
        <f t="shared" ca="1" si="3130"/>
        <v>0</v>
      </c>
      <c r="CH207" s="96">
        <f t="shared" ca="1" si="3130"/>
        <v>0</v>
      </c>
      <c r="CI207" s="96">
        <f t="shared" ca="1" si="3130"/>
        <v>0</v>
      </c>
      <c r="CJ207" s="96">
        <f t="shared" ca="1" si="3130"/>
        <v>0</v>
      </c>
      <c r="CK207" s="96">
        <f t="shared" ca="1" si="3131"/>
        <v>0</v>
      </c>
      <c r="CL207" s="96">
        <f t="shared" ca="1" si="3131"/>
        <v>0</v>
      </c>
      <c r="CM207" s="96">
        <f t="shared" ca="1" si="3131"/>
        <v>0</v>
      </c>
      <c r="CN207" s="96">
        <f t="shared" ca="1" si="3131"/>
        <v>0</v>
      </c>
      <c r="CO207" s="96">
        <f t="shared" ca="1" si="3131"/>
        <v>0</v>
      </c>
      <c r="CP207" s="96">
        <f t="shared" ca="1" si="3131"/>
        <v>0</v>
      </c>
      <c r="CQ207" s="96">
        <f t="shared" ca="1" si="3131"/>
        <v>0</v>
      </c>
      <c r="CR207" s="96">
        <f t="shared" ca="1" si="3131"/>
        <v>0</v>
      </c>
      <c r="CS207" s="96">
        <f t="shared" ca="1" si="3131"/>
        <v>0</v>
      </c>
      <c r="CT207" s="96">
        <f t="shared" ca="1" si="3131"/>
        <v>0</v>
      </c>
      <c r="CU207" s="96">
        <f t="shared" ca="1" si="3132"/>
        <v>0</v>
      </c>
      <c r="CV207" s="96">
        <f t="shared" ca="1" si="3132"/>
        <v>0</v>
      </c>
      <c r="CW207" s="96">
        <f t="shared" ca="1" si="3132"/>
        <v>0</v>
      </c>
      <c r="CX207" s="96">
        <f t="shared" ca="1" si="3132"/>
        <v>0</v>
      </c>
      <c r="CY207" s="96">
        <f t="shared" ca="1" si="3132"/>
        <v>0</v>
      </c>
      <c r="CZ207" s="96">
        <f t="shared" ca="1" si="3132"/>
        <v>0</v>
      </c>
      <c r="DA207" s="96">
        <f t="shared" ca="1" si="3132"/>
        <v>0</v>
      </c>
      <c r="DB207" s="96">
        <f t="shared" ca="1" si="3132"/>
        <v>0</v>
      </c>
      <c r="DC207" s="96">
        <f t="shared" ca="1" si="3132"/>
        <v>0</v>
      </c>
      <c r="DD207" s="96">
        <f t="shared" ca="1" si="3132"/>
        <v>0</v>
      </c>
      <c r="DE207" s="96">
        <f t="shared" ca="1" si="3133"/>
        <v>0</v>
      </c>
      <c r="DF207" s="96">
        <f t="shared" ca="1" si="3133"/>
        <v>0</v>
      </c>
      <c r="DG207" s="96">
        <f t="shared" ca="1" si="3133"/>
        <v>0</v>
      </c>
      <c r="DH207" s="96">
        <f t="shared" ca="1" si="3133"/>
        <v>0</v>
      </c>
      <c r="DI207" s="96">
        <f t="shared" ca="1" si="3133"/>
        <v>0</v>
      </c>
      <c r="DJ207" s="96">
        <f t="shared" ca="1" si="3133"/>
        <v>0</v>
      </c>
      <c r="DK207" s="96">
        <f t="shared" ca="1" si="3133"/>
        <v>0</v>
      </c>
      <c r="DL207" s="96">
        <f t="shared" ca="1" si="3133"/>
        <v>0</v>
      </c>
      <c r="DM207" s="96">
        <f t="shared" ca="1" si="3133"/>
        <v>0</v>
      </c>
      <c r="DN207" s="96">
        <f t="shared" ca="1" si="3133"/>
        <v>0</v>
      </c>
      <c r="DO207" s="96">
        <f t="shared" ca="1" si="3134"/>
        <v>0</v>
      </c>
      <c r="DP207" s="96">
        <f t="shared" ca="1" si="3134"/>
        <v>0</v>
      </c>
      <c r="DQ207" s="96">
        <f t="shared" ca="1" si="3134"/>
        <v>0</v>
      </c>
      <c r="DR207" s="96">
        <f t="shared" ca="1" si="3134"/>
        <v>0</v>
      </c>
      <c r="DS207" s="96">
        <f t="shared" ca="1" si="3134"/>
        <v>0</v>
      </c>
      <c r="DT207" s="96">
        <f t="shared" ca="1" si="3134"/>
        <v>0</v>
      </c>
      <c r="DU207" s="96">
        <f t="shared" ca="1" si="3134"/>
        <v>0</v>
      </c>
      <c r="DV207" s="96">
        <f t="shared" ca="1" si="3134"/>
        <v>0</v>
      </c>
      <c r="DW207" s="96">
        <f t="shared" ca="1" si="3134"/>
        <v>0</v>
      </c>
      <c r="DX207" s="96">
        <f t="shared" ca="1" si="3134"/>
        <v>0</v>
      </c>
      <c r="DY207" s="96">
        <f t="shared" ca="1" si="3135"/>
        <v>0</v>
      </c>
      <c r="DZ207" s="96">
        <f t="shared" ca="1" si="3135"/>
        <v>0</v>
      </c>
      <c r="EA207" s="96">
        <f t="shared" ca="1" si="3135"/>
        <v>0</v>
      </c>
      <c r="EB207" s="96">
        <f t="shared" ca="1" si="3135"/>
        <v>0</v>
      </c>
      <c r="EC207" s="96">
        <f t="shared" ca="1" si="3135"/>
        <v>0</v>
      </c>
      <c r="ED207" s="96">
        <f t="shared" ca="1" si="3135"/>
        <v>0</v>
      </c>
      <c r="EE207" s="96">
        <f t="shared" ca="1" si="3135"/>
        <v>0</v>
      </c>
      <c r="EF207" s="96">
        <f t="shared" ca="1" si="3135"/>
        <v>0</v>
      </c>
      <c r="EG207" s="96">
        <f t="shared" ca="1" si="3135"/>
        <v>0</v>
      </c>
      <c r="EH207" s="96">
        <f t="shared" ca="1" si="3135"/>
        <v>0</v>
      </c>
      <c r="EI207" s="96">
        <f t="shared" ca="1" si="3136"/>
        <v>0</v>
      </c>
      <c r="EJ207" s="96">
        <f t="shared" ca="1" si="3136"/>
        <v>0</v>
      </c>
      <c r="EK207" s="96">
        <f t="shared" ca="1" si="3136"/>
        <v>0</v>
      </c>
      <c r="EL207" s="96">
        <f t="shared" ca="1" si="3136"/>
        <v>0</v>
      </c>
      <c r="EM207" s="96">
        <f t="shared" ca="1" si="3136"/>
        <v>0</v>
      </c>
      <c r="EN207" s="96">
        <f t="shared" ca="1" si="3136"/>
        <v>0</v>
      </c>
      <c r="EO207" s="96">
        <f t="shared" ca="1" si="3136"/>
        <v>0</v>
      </c>
      <c r="EP207" s="96">
        <f t="shared" ca="1" si="3136"/>
        <v>0</v>
      </c>
      <c r="EQ207" s="96">
        <f t="shared" ca="1" si="3136"/>
        <v>0</v>
      </c>
      <c r="ER207" s="96">
        <f t="shared" ca="1" si="3136"/>
        <v>0</v>
      </c>
      <c r="ES207" s="96">
        <f t="shared" ca="1" si="3136"/>
        <v>0</v>
      </c>
      <c r="ET207" s="96">
        <f t="shared" ca="1" si="3136"/>
        <v>0</v>
      </c>
      <c r="EU207" s="96">
        <f t="shared" ca="1" si="3136"/>
        <v>0</v>
      </c>
      <c r="EW207" s="393" t="s">
        <v>360</v>
      </c>
      <c r="EX207" s="393"/>
      <c r="EY207" s="393"/>
      <c r="EZ207" s="393"/>
      <c r="FA207" s="393"/>
      <c r="FB207" s="393"/>
      <c r="FC207" s="394">
        <f t="shared" ref="FC207:GH207" ca="1" si="3268">IF(S229="","",S229+S64)</f>
        <v>0</v>
      </c>
      <c r="FD207" s="394">
        <f t="shared" ca="1" si="3268"/>
        <v>84853.984244358144</v>
      </c>
      <c r="FE207" s="394">
        <f t="shared" ca="1" si="3268"/>
        <v>90134.378114341001</v>
      </c>
      <c r="FF207" s="394">
        <f t="shared" ca="1" si="3268"/>
        <v>92940.258041209541</v>
      </c>
      <c r="FG207" s="394">
        <f t="shared" ca="1" si="3268"/>
        <v>96307.948161248059</v>
      </c>
      <c r="FH207" s="394">
        <f t="shared" ca="1" si="3268"/>
        <v>100517.47508651271</v>
      </c>
      <c r="FI207" s="394">
        <f t="shared" ca="1" si="3268"/>
        <v>103397.89849310924</v>
      </c>
      <c r="FJ207" s="394">
        <f t="shared" ca="1" si="3268"/>
        <v>106417.69750160788</v>
      </c>
      <c r="FK207" s="394">
        <f t="shared" ca="1" si="3268"/>
        <v>109668.54384584576</v>
      </c>
      <c r="FL207" s="394">
        <f t="shared" ca="1" si="3268"/>
        <v>112627.08361356609</v>
      </c>
      <c r="FM207" s="394">
        <f t="shared" ca="1" si="3268"/>
        <v>115562.59759384239</v>
      </c>
      <c r="FN207" s="394">
        <f t="shared" ca="1" si="3268"/>
        <v>118487.23286179252</v>
      </c>
      <c r="FO207" s="394">
        <f t="shared" ca="1" si="3268"/>
        <v>121393.59883056002</v>
      </c>
      <c r="FP207" s="394">
        <f t="shared" ca="1" si="3268"/>
        <v>124914.30293087487</v>
      </c>
      <c r="FQ207" s="394">
        <f t="shared" ca="1" si="3268"/>
        <v>128395.48852891321</v>
      </c>
      <c r="FR207" s="394">
        <f t="shared" ca="1" si="3268"/>
        <v>131927.9876215909</v>
      </c>
      <c r="FS207" s="394">
        <f t="shared" ca="1" si="3268"/>
        <v>135486.62501190428</v>
      </c>
      <c r="FT207" s="394">
        <f t="shared" ca="1" si="3268"/>
        <v>139069.40118646069</v>
      </c>
      <c r="FU207" s="394">
        <f t="shared" ca="1" si="3268"/>
        <v>142683.35416291468</v>
      </c>
      <c r="FV207" s="394">
        <f t="shared" ca="1" si="3268"/>
        <v>146316.06417419281</v>
      </c>
      <c r="FW207" s="394">
        <f t="shared" ca="1" si="3268"/>
        <v>150003.80515910525</v>
      </c>
      <c r="FX207" s="394">
        <f t="shared" ca="1" si="3268"/>
        <v>153718.00083888386</v>
      </c>
      <c r="FY207" s="394">
        <f t="shared" ca="1" si="3268"/>
        <v>157456.60182851288</v>
      </c>
      <c r="FZ207" s="394">
        <f t="shared" ca="1" si="3268"/>
        <v>161225.11929717308</v>
      </c>
      <c r="GA207" s="394">
        <f t="shared" ca="1" si="3268"/>
        <v>166080.45622274841</v>
      </c>
      <c r="GB207" s="394">
        <f t="shared" ca="1" si="3268"/>
        <v>187894.71920647362</v>
      </c>
      <c r="GC207" s="394">
        <f t="shared" ca="1" si="3268"/>
        <v>188315.8180153594</v>
      </c>
      <c r="GD207" s="394">
        <f t="shared" ca="1" si="3268"/>
        <v>188783.11676020076</v>
      </c>
      <c r="GE207" s="394">
        <f t="shared" ca="1" si="3268"/>
        <v>189219.54179575754</v>
      </c>
      <c r="GF207" s="394">
        <f t="shared" ca="1" si="3268"/>
        <v>189697.68014224386</v>
      </c>
      <c r="GG207" s="394">
        <f t="shared" ca="1" si="3268"/>
        <v>190188.15602236622</v>
      </c>
      <c r="GH207" s="394">
        <f t="shared" ca="1" si="3268"/>
        <v>190686.47950269585</v>
      </c>
      <c r="GI207" s="394">
        <f t="shared" ref="GI207:HN207" ca="1" si="3269">IF(AY229="","",AY229+AY64)</f>
        <v>191212.0095838205</v>
      </c>
      <c r="GJ207" s="394">
        <f t="shared" ca="1" si="3269"/>
        <v>191720.50813421857</v>
      </c>
      <c r="GK207" s="394">
        <f t="shared" ca="1" si="3269"/>
        <v>192283.8709352903</v>
      </c>
      <c r="GL207" s="394">
        <f t="shared" ca="1" si="3269"/>
        <v>192853.71222986083</v>
      </c>
      <c r="GM207" s="394">
        <f t="shared" ca="1" si="3269"/>
        <v>37966225.409960918</v>
      </c>
      <c r="GN207" s="394" t="str">
        <f t="shared" si="3269"/>
        <v/>
      </c>
      <c r="GO207" s="394" t="str">
        <f t="shared" si="3269"/>
        <v/>
      </c>
      <c r="GP207" s="394" t="str">
        <f t="shared" si="3269"/>
        <v/>
      </c>
      <c r="GQ207" s="394" t="str">
        <f t="shared" si="3269"/>
        <v/>
      </c>
      <c r="GR207" s="394" t="str">
        <f t="shared" si="3269"/>
        <v/>
      </c>
      <c r="GS207" s="394" t="str">
        <f t="shared" si="3269"/>
        <v/>
      </c>
      <c r="GT207" s="394" t="str">
        <f t="shared" si="3269"/>
        <v/>
      </c>
      <c r="GU207" s="394" t="str">
        <f t="shared" si="3269"/>
        <v/>
      </c>
      <c r="GV207" s="394" t="str">
        <f t="shared" si="3269"/>
        <v/>
      </c>
      <c r="GW207" s="394" t="str">
        <f t="shared" si="3269"/>
        <v/>
      </c>
      <c r="GX207" s="394" t="str">
        <f t="shared" si="3269"/>
        <v/>
      </c>
      <c r="GY207" s="394" t="str">
        <f t="shared" si="3269"/>
        <v/>
      </c>
      <c r="GZ207" s="394" t="str">
        <f t="shared" si="3269"/>
        <v/>
      </c>
      <c r="HA207" s="394" t="str">
        <f t="shared" si="3269"/>
        <v/>
      </c>
      <c r="HB207" s="394" t="str">
        <f t="shared" si="3269"/>
        <v/>
      </c>
      <c r="HC207" s="394" t="str">
        <f t="shared" si="3269"/>
        <v/>
      </c>
      <c r="HD207" s="394" t="str">
        <f t="shared" si="3269"/>
        <v/>
      </c>
      <c r="HE207" s="394" t="str">
        <f t="shared" si="3269"/>
        <v/>
      </c>
      <c r="HF207" s="394" t="str">
        <f t="shared" si="3269"/>
        <v/>
      </c>
      <c r="HG207" s="394" t="str">
        <f t="shared" si="3269"/>
        <v/>
      </c>
      <c r="HH207" s="394" t="str">
        <f t="shared" si="3269"/>
        <v/>
      </c>
      <c r="HI207" s="394" t="str">
        <f t="shared" si="3269"/>
        <v/>
      </c>
      <c r="HJ207" s="394" t="str">
        <f t="shared" si="3269"/>
        <v/>
      </c>
      <c r="HK207" s="394" t="str">
        <f t="shared" si="3269"/>
        <v/>
      </c>
      <c r="HL207" s="394" t="str">
        <f t="shared" si="3269"/>
        <v/>
      </c>
      <c r="HM207" s="394" t="str">
        <f t="shared" si="3269"/>
        <v/>
      </c>
      <c r="HN207" s="394" t="str">
        <f t="shared" si="3269"/>
        <v/>
      </c>
      <c r="HO207" s="394" t="str">
        <f t="shared" ref="HO207:IT207" si="3270">IF(CE229="","",CE229+CE64)</f>
        <v/>
      </c>
      <c r="HP207" s="394" t="str">
        <f t="shared" si="3270"/>
        <v/>
      </c>
      <c r="HQ207" s="394" t="str">
        <f t="shared" si="3270"/>
        <v/>
      </c>
      <c r="HR207" s="394" t="str">
        <f t="shared" si="3270"/>
        <v/>
      </c>
      <c r="HS207" s="394" t="str">
        <f t="shared" si="3270"/>
        <v/>
      </c>
      <c r="HT207" s="394" t="str">
        <f t="shared" si="3270"/>
        <v/>
      </c>
      <c r="HU207" s="394" t="str">
        <f t="shared" si="3270"/>
        <v/>
      </c>
      <c r="HV207" s="394" t="str">
        <f t="shared" si="3270"/>
        <v/>
      </c>
      <c r="HW207" s="394" t="str">
        <f t="shared" si="3270"/>
        <v/>
      </c>
      <c r="HX207" s="394" t="str">
        <f t="shared" si="3270"/>
        <v/>
      </c>
      <c r="HY207" s="394" t="str">
        <f t="shared" si="3270"/>
        <v/>
      </c>
      <c r="HZ207" s="394" t="str">
        <f t="shared" si="3270"/>
        <v/>
      </c>
      <c r="IA207" s="394" t="str">
        <f t="shared" si="3270"/>
        <v/>
      </c>
      <c r="IB207" s="394" t="str">
        <f t="shared" si="3270"/>
        <v/>
      </c>
      <c r="IC207" s="394" t="str">
        <f t="shared" si="3270"/>
        <v/>
      </c>
      <c r="ID207" s="394" t="str">
        <f t="shared" si="3270"/>
        <v/>
      </c>
      <c r="IE207" s="394" t="str">
        <f t="shared" si="3270"/>
        <v/>
      </c>
      <c r="IF207" s="394" t="str">
        <f t="shared" si="3270"/>
        <v/>
      </c>
      <c r="IG207" s="394" t="str">
        <f t="shared" si="3270"/>
        <v/>
      </c>
      <c r="IH207" s="394" t="str">
        <f t="shared" si="3270"/>
        <v/>
      </c>
      <c r="II207" s="394" t="str">
        <f t="shared" si="3270"/>
        <v/>
      </c>
      <c r="IJ207" s="394" t="str">
        <f t="shared" si="3270"/>
        <v/>
      </c>
      <c r="IK207" s="394" t="str">
        <f t="shared" si="3270"/>
        <v/>
      </c>
      <c r="IL207" s="394" t="str">
        <f t="shared" si="3270"/>
        <v/>
      </c>
      <c r="IM207" s="394" t="str">
        <f t="shared" si="3270"/>
        <v/>
      </c>
      <c r="IN207" s="394" t="str">
        <f t="shared" si="3270"/>
        <v/>
      </c>
      <c r="IO207" s="394" t="str">
        <f t="shared" si="3270"/>
        <v/>
      </c>
      <c r="IP207" s="394" t="str">
        <f t="shared" si="3270"/>
        <v/>
      </c>
      <c r="IQ207" s="394" t="str">
        <f t="shared" si="3270"/>
        <v/>
      </c>
      <c r="IR207" s="394" t="str">
        <f t="shared" si="3270"/>
        <v/>
      </c>
      <c r="IS207" s="394" t="str">
        <f t="shared" si="3270"/>
        <v/>
      </c>
      <c r="IT207" s="394" t="str">
        <f t="shared" si="3270"/>
        <v/>
      </c>
      <c r="IU207" s="394" t="str">
        <f t="shared" ref="IU207:JZ207" si="3271">IF(DK229="","",DK229+DK64)</f>
        <v/>
      </c>
      <c r="IV207" s="394" t="str">
        <f t="shared" si="3271"/>
        <v/>
      </c>
      <c r="IW207" s="394" t="str">
        <f t="shared" si="3271"/>
        <v/>
      </c>
      <c r="IX207" s="394" t="str">
        <f t="shared" si="3271"/>
        <v/>
      </c>
      <c r="IY207" s="394" t="str">
        <f t="shared" si="3271"/>
        <v/>
      </c>
      <c r="IZ207" s="394" t="str">
        <f t="shared" si="3271"/>
        <v/>
      </c>
      <c r="JA207" s="394" t="str">
        <f t="shared" si="3271"/>
        <v/>
      </c>
      <c r="JB207" s="394" t="str">
        <f t="shared" si="3271"/>
        <v/>
      </c>
      <c r="JC207" s="394" t="str">
        <f t="shared" si="3271"/>
        <v/>
      </c>
      <c r="JD207" s="394" t="str">
        <f t="shared" si="3271"/>
        <v/>
      </c>
      <c r="JE207" s="394" t="str">
        <f t="shared" si="3271"/>
        <v/>
      </c>
      <c r="JF207" s="394" t="str">
        <f t="shared" si="3271"/>
        <v/>
      </c>
      <c r="JG207" s="394" t="str">
        <f t="shared" si="3271"/>
        <v/>
      </c>
      <c r="JH207" s="394" t="str">
        <f t="shared" si="3271"/>
        <v/>
      </c>
      <c r="JI207" s="394" t="str">
        <f t="shared" si="3271"/>
        <v/>
      </c>
      <c r="JJ207" s="394" t="str">
        <f t="shared" si="3271"/>
        <v/>
      </c>
      <c r="JK207" s="394" t="str">
        <f t="shared" si="3271"/>
        <v/>
      </c>
      <c r="JL207" s="394" t="str">
        <f t="shared" si="3271"/>
        <v/>
      </c>
      <c r="JM207" s="394" t="str">
        <f t="shared" si="3271"/>
        <v/>
      </c>
      <c r="JN207" s="394" t="str">
        <f t="shared" si="3271"/>
        <v/>
      </c>
      <c r="JO207" s="394" t="str">
        <f t="shared" si="3271"/>
        <v/>
      </c>
      <c r="JP207" s="394" t="str">
        <f t="shared" si="3271"/>
        <v/>
      </c>
      <c r="JQ207" s="394" t="str">
        <f t="shared" si="3271"/>
        <v/>
      </c>
      <c r="JR207" s="394" t="str">
        <f t="shared" si="3271"/>
        <v/>
      </c>
      <c r="JS207" s="394" t="str">
        <f t="shared" si="3271"/>
        <v/>
      </c>
      <c r="JT207" s="394" t="str">
        <f t="shared" si="3271"/>
        <v/>
      </c>
      <c r="JU207" s="394" t="str">
        <f t="shared" si="3271"/>
        <v/>
      </c>
      <c r="JV207" s="394" t="str">
        <f t="shared" si="3271"/>
        <v/>
      </c>
      <c r="JW207" s="394" t="str">
        <f t="shared" si="3271"/>
        <v/>
      </c>
      <c r="JX207" s="394" t="str">
        <f t="shared" si="3271"/>
        <v/>
      </c>
      <c r="JY207" s="394" t="str">
        <f t="shared" si="3271"/>
        <v/>
      </c>
      <c r="JZ207" s="394" t="str">
        <f t="shared" si="3271"/>
        <v/>
      </c>
      <c r="KA207" s="394" t="str">
        <f t="shared" ref="KA207:KE207" si="3272">IF(EQ229="","",EQ229+EQ64)</f>
        <v/>
      </c>
      <c r="KB207" s="394" t="str">
        <f t="shared" si="3272"/>
        <v/>
      </c>
      <c r="KC207" s="394" t="str">
        <f t="shared" si="3272"/>
        <v/>
      </c>
      <c r="KD207" s="394" t="str">
        <f t="shared" si="3272"/>
        <v/>
      </c>
      <c r="KE207" s="394" t="str">
        <f t="shared" si="3272"/>
        <v/>
      </c>
      <c r="KF207" s="234" t="s">
        <v>269</v>
      </c>
      <c r="PQ207" s="201"/>
      <c r="PR207" s="201"/>
      <c r="PS207" s="201"/>
      <c r="PT207" s="201"/>
      <c r="PU207" s="201"/>
      <c r="PV207" s="201"/>
      <c r="PW207" s="201"/>
      <c r="PX207" s="201"/>
      <c r="PY207" s="201"/>
      <c r="PZ207" s="201"/>
      <c r="QA207" s="201"/>
      <c r="QB207" s="201"/>
      <c r="QC207" s="201"/>
      <c r="QD207" s="201"/>
      <c r="QE207" s="201"/>
      <c r="QF207" s="201"/>
      <c r="QG207" s="201"/>
      <c r="QH207" s="201"/>
      <c r="QI207" s="201"/>
      <c r="QJ207" s="201"/>
      <c r="QK207" s="201"/>
      <c r="QL207" s="201"/>
      <c r="QM207" s="201"/>
      <c r="QN207" s="201"/>
      <c r="QO207" s="201"/>
      <c r="QP207" s="201"/>
      <c r="QQ207" s="201"/>
      <c r="QR207" s="201"/>
      <c r="QS207" s="201"/>
      <c r="QT207" s="201"/>
      <c r="QU207" s="201"/>
      <c r="QV207" s="201"/>
      <c r="QW207" s="201"/>
      <c r="QX207" s="201"/>
      <c r="QY207" s="201"/>
      <c r="QZ207" s="201"/>
      <c r="RA207" s="201"/>
      <c r="RB207" s="201"/>
      <c r="RC207" s="201"/>
      <c r="RD207" s="201"/>
      <c r="RE207" s="201"/>
      <c r="RF207" s="201"/>
      <c r="RG207" s="201"/>
      <c r="RH207" s="201"/>
      <c r="RI207" s="201"/>
      <c r="RJ207" s="201"/>
      <c r="RK207" s="201"/>
      <c r="RL207" s="201"/>
      <c r="RM207" s="201"/>
      <c r="RN207" s="201"/>
      <c r="RO207" s="201"/>
      <c r="RP207" s="201"/>
      <c r="RQ207" s="201"/>
      <c r="RR207" s="201"/>
      <c r="RS207" s="201"/>
      <c r="RT207" s="201"/>
      <c r="RU207" s="201"/>
      <c r="RV207" s="201"/>
      <c r="RW207" s="201"/>
      <c r="RX207" s="201"/>
      <c r="RY207" s="201"/>
      <c r="RZ207" s="201"/>
      <c r="SA207" s="201"/>
      <c r="SB207" s="201"/>
      <c r="SC207" s="201"/>
      <c r="SD207" s="201"/>
      <c r="SE207" s="201"/>
      <c r="SF207" s="201"/>
      <c r="SG207" s="201"/>
      <c r="SH207" s="201"/>
      <c r="SI207" s="201"/>
      <c r="SJ207" s="201"/>
      <c r="SK207" s="201"/>
      <c r="SL207" s="201"/>
      <c r="SM207" s="201"/>
      <c r="SN207" s="201"/>
      <c r="SO207" s="201"/>
      <c r="SP207" s="201"/>
      <c r="SQ207" s="201"/>
      <c r="SR207" s="201"/>
      <c r="SS207" s="201"/>
      <c r="ST207" s="201"/>
      <c r="SU207" s="201"/>
      <c r="SV207" s="201"/>
      <c r="SW207" s="201"/>
      <c r="SX207" s="201"/>
      <c r="SY207" s="201"/>
      <c r="SZ207" s="201"/>
      <c r="TA207" s="201"/>
      <c r="TB207" s="201"/>
      <c r="TC207" s="201"/>
      <c r="TD207" s="201"/>
      <c r="TE207" s="201"/>
      <c r="TF207" s="201"/>
      <c r="TG207" s="201"/>
      <c r="TH207" s="201"/>
      <c r="TI207" s="201"/>
      <c r="TJ207" s="201"/>
      <c r="TK207" s="201"/>
      <c r="TL207" s="201"/>
      <c r="TM207" s="201"/>
      <c r="TN207" s="201"/>
      <c r="TO207" s="201"/>
      <c r="TP207" s="201"/>
      <c r="TQ207" s="201"/>
      <c r="TR207" s="201"/>
      <c r="TS207" s="201"/>
      <c r="TT207" s="201"/>
      <c r="TU207" s="201"/>
      <c r="TV207" s="201"/>
      <c r="TW207" s="201"/>
      <c r="TX207" s="201"/>
      <c r="TY207" s="201"/>
      <c r="TZ207" s="201"/>
      <c r="UA207" s="201"/>
      <c r="UB207" s="201"/>
      <c r="UC207" s="201"/>
      <c r="UD207" s="201"/>
      <c r="UE207" s="201"/>
      <c r="UF207" s="201"/>
      <c r="UG207" s="201"/>
      <c r="UH207" s="201"/>
      <c r="UI207" s="201"/>
      <c r="UJ207" s="201"/>
      <c r="UK207" s="201"/>
      <c r="UL207" s="201"/>
      <c r="UM207" s="201"/>
      <c r="UN207" s="201"/>
      <c r="UO207" s="201"/>
      <c r="UP207" s="201"/>
      <c r="UQ207" s="201"/>
      <c r="UR207" s="201"/>
      <c r="US207" s="201"/>
      <c r="UT207" s="201"/>
      <c r="UU207" s="201"/>
    </row>
    <row r="208" spans="2:567" ht="15" x14ac:dyDescent="0.35">
      <c r="B208" s="18" t="s">
        <v>208</v>
      </c>
      <c r="C208" s="26"/>
      <c r="D208" s="34">
        <f ca="1">SUM(D206:D207)</f>
        <v>78517938.300746262</v>
      </c>
      <c r="E208" s="26"/>
      <c r="F208" s="26"/>
      <c r="G208" s="26"/>
      <c r="H208" s="26" t="s">
        <v>209</v>
      </c>
      <c r="I208" s="121">
        <f>K166</f>
        <v>5.5E-2</v>
      </c>
      <c r="J208" s="121">
        <f>((D167/D168)*(K167-K166))+K166</f>
        <v>5.8333333333333334E-2</v>
      </c>
      <c r="K208" s="121">
        <f>K167</f>
        <v>0.06</v>
      </c>
      <c r="R208" s="159" t="str">
        <f t="shared" ref="R208:R209" si="3273">B208</f>
        <v>Net Sale Proceeds</v>
      </c>
      <c r="S208" s="92">
        <f ca="1">(S$19=$K$19)*$D208</f>
        <v>0</v>
      </c>
      <c r="T208" s="92">
        <f ca="1">(T$19=$K$19)*$D208</f>
        <v>0</v>
      </c>
      <c r="U208" s="92">
        <f t="shared" ref="U208:AZ208" ca="1" si="3274">(U$19=$K$19)*SUM(U206:U207)</f>
        <v>0</v>
      </c>
      <c r="V208" s="92">
        <f t="shared" ca="1" si="3274"/>
        <v>0</v>
      </c>
      <c r="W208" s="92">
        <f t="shared" ca="1" si="3274"/>
        <v>0</v>
      </c>
      <c r="X208" s="92">
        <f t="shared" ca="1" si="3274"/>
        <v>0</v>
      </c>
      <c r="Y208" s="92">
        <f t="shared" ca="1" si="3274"/>
        <v>0</v>
      </c>
      <c r="Z208" s="92">
        <f t="shared" ca="1" si="3274"/>
        <v>0</v>
      </c>
      <c r="AA208" s="92">
        <f t="shared" ca="1" si="3274"/>
        <v>0</v>
      </c>
      <c r="AB208" s="92">
        <f t="shared" ca="1" si="3274"/>
        <v>0</v>
      </c>
      <c r="AC208" s="92">
        <f t="shared" ca="1" si="3274"/>
        <v>0</v>
      </c>
      <c r="AD208" s="92">
        <f t="shared" ca="1" si="3274"/>
        <v>0</v>
      </c>
      <c r="AE208" s="92">
        <f t="shared" ca="1" si="3274"/>
        <v>0</v>
      </c>
      <c r="AF208" s="92">
        <f t="shared" ca="1" si="3274"/>
        <v>0</v>
      </c>
      <c r="AG208" s="92">
        <f t="shared" ca="1" si="3274"/>
        <v>0</v>
      </c>
      <c r="AH208" s="92">
        <f t="shared" ca="1" si="3274"/>
        <v>0</v>
      </c>
      <c r="AI208" s="92">
        <f t="shared" ca="1" si="3274"/>
        <v>0</v>
      </c>
      <c r="AJ208" s="92">
        <f t="shared" ca="1" si="3274"/>
        <v>0</v>
      </c>
      <c r="AK208" s="92">
        <f t="shared" ca="1" si="3274"/>
        <v>0</v>
      </c>
      <c r="AL208" s="92">
        <f t="shared" ca="1" si="3274"/>
        <v>0</v>
      </c>
      <c r="AM208" s="92">
        <f t="shared" ca="1" si="3274"/>
        <v>0</v>
      </c>
      <c r="AN208" s="92">
        <f t="shared" ca="1" si="3274"/>
        <v>0</v>
      </c>
      <c r="AO208" s="92">
        <f t="shared" ca="1" si="3274"/>
        <v>0</v>
      </c>
      <c r="AP208" s="92">
        <f t="shared" ca="1" si="3274"/>
        <v>0</v>
      </c>
      <c r="AQ208" s="92">
        <f t="shared" ca="1" si="3274"/>
        <v>0</v>
      </c>
      <c r="AR208" s="92">
        <f t="shared" ca="1" si="3274"/>
        <v>0</v>
      </c>
      <c r="AS208" s="92">
        <f t="shared" ca="1" si="3274"/>
        <v>0</v>
      </c>
      <c r="AT208" s="92">
        <f t="shared" ca="1" si="3274"/>
        <v>0</v>
      </c>
      <c r="AU208" s="92">
        <f t="shared" ca="1" si="3274"/>
        <v>0</v>
      </c>
      <c r="AV208" s="92">
        <f t="shared" ca="1" si="3274"/>
        <v>0</v>
      </c>
      <c r="AW208" s="92">
        <f t="shared" ca="1" si="3274"/>
        <v>0</v>
      </c>
      <c r="AX208" s="92">
        <f t="shared" ca="1" si="3274"/>
        <v>0</v>
      </c>
      <c r="AY208" s="92">
        <f t="shared" ca="1" si="3274"/>
        <v>0</v>
      </c>
      <c r="AZ208" s="92">
        <f t="shared" ca="1" si="3274"/>
        <v>0</v>
      </c>
      <c r="BA208" s="92">
        <f t="shared" ref="BA208:CF208" ca="1" si="3275">(BA$19=$K$19)*SUM(BA206:BA207)</f>
        <v>0</v>
      </c>
      <c r="BB208" s="92">
        <f t="shared" ca="1" si="3275"/>
        <v>0</v>
      </c>
      <c r="BC208" s="92">
        <f t="shared" ca="1" si="3275"/>
        <v>78517938.300746262</v>
      </c>
      <c r="BD208" s="92">
        <f t="shared" ca="1" si="3275"/>
        <v>0</v>
      </c>
      <c r="BE208" s="92">
        <f t="shared" ca="1" si="3275"/>
        <v>0</v>
      </c>
      <c r="BF208" s="92">
        <f t="shared" ca="1" si="3275"/>
        <v>0</v>
      </c>
      <c r="BG208" s="92">
        <f t="shared" ca="1" si="3275"/>
        <v>0</v>
      </c>
      <c r="BH208" s="92">
        <f t="shared" ca="1" si="3275"/>
        <v>0</v>
      </c>
      <c r="BI208" s="92">
        <f t="shared" ca="1" si="3275"/>
        <v>0</v>
      </c>
      <c r="BJ208" s="92">
        <f t="shared" ca="1" si="3275"/>
        <v>0</v>
      </c>
      <c r="BK208" s="92">
        <f t="shared" ca="1" si="3275"/>
        <v>0</v>
      </c>
      <c r="BL208" s="92">
        <f t="shared" ca="1" si="3275"/>
        <v>0</v>
      </c>
      <c r="BM208" s="92">
        <f t="shared" ca="1" si="3275"/>
        <v>0</v>
      </c>
      <c r="BN208" s="92">
        <f t="shared" ca="1" si="3275"/>
        <v>0</v>
      </c>
      <c r="BO208" s="92">
        <f t="shared" ca="1" si="3275"/>
        <v>0</v>
      </c>
      <c r="BP208" s="92">
        <f t="shared" ca="1" si="3275"/>
        <v>0</v>
      </c>
      <c r="BQ208" s="92">
        <f t="shared" ca="1" si="3275"/>
        <v>0</v>
      </c>
      <c r="BR208" s="92">
        <f t="shared" ca="1" si="3275"/>
        <v>0</v>
      </c>
      <c r="BS208" s="92">
        <f t="shared" ca="1" si="3275"/>
        <v>0</v>
      </c>
      <c r="BT208" s="92">
        <f t="shared" ca="1" si="3275"/>
        <v>0</v>
      </c>
      <c r="BU208" s="92">
        <f t="shared" ca="1" si="3275"/>
        <v>0</v>
      </c>
      <c r="BV208" s="92">
        <f t="shared" ca="1" si="3275"/>
        <v>0</v>
      </c>
      <c r="BW208" s="92">
        <f t="shared" ca="1" si="3275"/>
        <v>0</v>
      </c>
      <c r="BX208" s="92">
        <f t="shared" ca="1" si="3275"/>
        <v>0</v>
      </c>
      <c r="BY208" s="92">
        <f t="shared" ca="1" si="3275"/>
        <v>0</v>
      </c>
      <c r="BZ208" s="92">
        <f t="shared" ca="1" si="3275"/>
        <v>0</v>
      </c>
      <c r="CA208" s="92">
        <f t="shared" ca="1" si="3275"/>
        <v>0</v>
      </c>
      <c r="CB208" s="92">
        <f t="shared" ca="1" si="3275"/>
        <v>0</v>
      </c>
      <c r="CC208" s="92">
        <f t="shared" ca="1" si="3275"/>
        <v>0</v>
      </c>
      <c r="CD208" s="92">
        <f t="shared" ca="1" si="3275"/>
        <v>0</v>
      </c>
      <c r="CE208" s="92">
        <f t="shared" ca="1" si="3275"/>
        <v>0</v>
      </c>
      <c r="CF208" s="92">
        <f t="shared" ca="1" si="3275"/>
        <v>0</v>
      </c>
      <c r="CG208" s="92">
        <f t="shared" ref="CG208:DL208" ca="1" si="3276">(CG$19=$K$19)*SUM(CG206:CG207)</f>
        <v>0</v>
      </c>
      <c r="CH208" s="92">
        <f t="shared" ca="1" si="3276"/>
        <v>0</v>
      </c>
      <c r="CI208" s="92">
        <f t="shared" ca="1" si="3276"/>
        <v>0</v>
      </c>
      <c r="CJ208" s="92">
        <f t="shared" ca="1" si="3276"/>
        <v>0</v>
      </c>
      <c r="CK208" s="92">
        <f t="shared" ca="1" si="3276"/>
        <v>0</v>
      </c>
      <c r="CL208" s="92">
        <f t="shared" ca="1" si="3276"/>
        <v>0</v>
      </c>
      <c r="CM208" s="92">
        <f t="shared" ca="1" si="3276"/>
        <v>0</v>
      </c>
      <c r="CN208" s="92">
        <f t="shared" ca="1" si="3276"/>
        <v>0</v>
      </c>
      <c r="CO208" s="92">
        <f t="shared" ca="1" si="3276"/>
        <v>0</v>
      </c>
      <c r="CP208" s="92">
        <f t="shared" ca="1" si="3276"/>
        <v>0</v>
      </c>
      <c r="CQ208" s="92">
        <f t="shared" ca="1" si="3276"/>
        <v>0</v>
      </c>
      <c r="CR208" s="92">
        <f t="shared" ca="1" si="3276"/>
        <v>0</v>
      </c>
      <c r="CS208" s="92">
        <f t="shared" ca="1" si="3276"/>
        <v>0</v>
      </c>
      <c r="CT208" s="92">
        <f t="shared" ca="1" si="3276"/>
        <v>0</v>
      </c>
      <c r="CU208" s="92">
        <f t="shared" ca="1" si="3276"/>
        <v>0</v>
      </c>
      <c r="CV208" s="92">
        <f t="shared" ca="1" si="3276"/>
        <v>0</v>
      </c>
      <c r="CW208" s="92">
        <f t="shared" ca="1" si="3276"/>
        <v>0</v>
      </c>
      <c r="CX208" s="92">
        <f t="shared" ca="1" si="3276"/>
        <v>0</v>
      </c>
      <c r="CY208" s="92">
        <f t="shared" ca="1" si="3276"/>
        <v>0</v>
      </c>
      <c r="CZ208" s="92">
        <f t="shared" ca="1" si="3276"/>
        <v>0</v>
      </c>
      <c r="DA208" s="92">
        <f t="shared" ca="1" si="3276"/>
        <v>0</v>
      </c>
      <c r="DB208" s="92">
        <f t="shared" ca="1" si="3276"/>
        <v>0</v>
      </c>
      <c r="DC208" s="92">
        <f t="shared" ca="1" si="3276"/>
        <v>0</v>
      </c>
      <c r="DD208" s="92">
        <f t="shared" ca="1" si="3276"/>
        <v>0</v>
      </c>
      <c r="DE208" s="92">
        <f t="shared" ca="1" si="3276"/>
        <v>0</v>
      </c>
      <c r="DF208" s="92">
        <f t="shared" ca="1" si="3276"/>
        <v>0</v>
      </c>
      <c r="DG208" s="92">
        <f t="shared" ca="1" si="3276"/>
        <v>0</v>
      </c>
      <c r="DH208" s="92">
        <f t="shared" ca="1" si="3276"/>
        <v>0</v>
      </c>
      <c r="DI208" s="92">
        <f t="shared" ca="1" si="3276"/>
        <v>0</v>
      </c>
      <c r="DJ208" s="92">
        <f t="shared" ca="1" si="3276"/>
        <v>0</v>
      </c>
      <c r="DK208" s="92">
        <f t="shared" ca="1" si="3276"/>
        <v>0</v>
      </c>
      <c r="DL208" s="92">
        <f t="shared" ca="1" si="3276"/>
        <v>0</v>
      </c>
      <c r="DM208" s="92">
        <f t="shared" ref="DM208:ER208" ca="1" si="3277">(DM$19=$K$19)*SUM(DM206:DM207)</f>
        <v>0</v>
      </c>
      <c r="DN208" s="92">
        <f t="shared" ca="1" si="3277"/>
        <v>0</v>
      </c>
      <c r="DO208" s="92">
        <f t="shared" ca="1" si="3277"/>
        <v>0</v>
      </c>
      <c r="DP208" s="92">
        <f t="shared" ca="1" si="3277"/>
        <v>0</v>
      </c>
      <c r="DQ208" s="92">
        <f t="shared" ca="1" si="3277"/>
        <v>0</v>
      </c>
      <c r="DR208" s="92">
        <f t="shared" ca="1" si="3277"/>
        <v>0</v>
      </c>
      <c r="DS208" s="92">
        <f t="shared" ca="1" si="3277"/>
        <v>0</v>
      </c>
      <c r="DT208" s="92">
        <f t="shared" ca="1" si="3277"/>
        <v>0</v>
      </c>
      <c r="DU208" s="92">
        <f t="shared" ca="1" si="3277"/>
        <v>0</v>
      </c>
      <c r="DV208" s="92">
        <f t="shared" ca="1" si="3277"/>
        <v>0</v>
      </c>
      <c r="DW208" s="92">
        <f t="shared" ca="1" si="3277"/>
        <v>0</v>
      </c>
      <c r="DX208" s="92">
        <f t="shared" ca="1" si="3277"/>
        <v>0</v>
      </c>
      <c r="DY208" s="92">
        <f t="shared" ca="1" si="3277"/>
        <v>0</v>
      </c>
      <c r="DZ208" s="92">
        <f t="shared" ca="1" si="3277"/>
        <v>0</v>
      </c>
      <c r="EA208" s="92">
        <f t="shared" ca="1" si="3277"/>
        <v>0</v>
      </c>
      <c r="EB208" s="92">
        <f t="shared" ca="1" si="3277"/>
        <v>0</v>
      </c>
      <c r="EC208" s="92">
        <f t="shared" ca="1" si="3277"/>
        <v>0</v>
      </c>
      <c r="ED208" s="92">
        <f t="shared" ca="1" si="3277"/>
        <v>0</v>
      </c>
      <c r="EE208" s="92">
        <f t="shared" ca="1" si="3277"/>
        <v>0</v>
      </c>
      <c r="EF208" s="92">
        <f t="shared" ca="1" si="3277"/>
        <v>0</v>
      </c>
      <c r="EG208" s="92">
        <f t="shared" ca="1" si="3277"/>
        <v>0</v>
      </c>
      <c r="EH208" s="92">
        <f t="shared" ca="1" si="3277"/>
        <v>0</v>
      </c>
      <c r="EI208" s="92">
        <f t="shared" ca="1" si="3277"/>
        <v>0</v>
      </c>
      <c r="EJ208" s="92">
        <f t="shared" ca="1" si="3277"/>
        <v>0</v>
      </c>
      <c r="EK208" s="92">
        <f t="shared" ca="1" si="3277"/>
        <v>0</v>
      </c>
      <c r="EL208" s="92">
        <f t="shared" ca="1" si="3277"/>
        <v>0</v>
      </c>
      <c r="EM208" s="92">
        <f t="shared" ca="1" si="3277"/>
        <v>0</v>
      </c>
      <c r="EN208" s="92">
        <f t="shared" ca="1" si="3277"/>
        <v>0</v>
      </c>
      <c r="EO208" s="92">
        <f t="shared" ca="1" si="3277"/>
        <v>0</v>
      </c>
      <c r="EP208" s="92">
        <f t="shared" ca="1" si="3277"/>
        <v>0</v>
      </c>
      <c r="EQ208" s="92">
        <f t="shared" ca="1" si="3277"/>
        <v>0</v>
      </c>
      <c r="ER208" s="92">
        <f t="shared" ca="1" si="3277"/>
        <v>0</v>
      </c>
      <c r="ES208" s="92">
        <f t="shared" ref="ES208:EU208" ca="1" si="3278">(ES$19=$K$19)*SUM(ES206:ES207)</f>
        <v>0</v>
      </c>
      <c r="ET208" s="92">
        <f t="shared" ca="1" si="3278"/>
        <v>0</v>
      </c>
      <c r="EU208" s="92">
        <f t="shared" ca="1" si="3278"/>
        <v>0</v>
      </c>
      <c r="EW208" s="395" t="s">
        <v>414</v>
      </c>
      <c r="EX208" s="201"/>
      <c r="EY208" s="201"/>
      <c r="EZ208" s="201"/>
      <c r="FA208" s="201"/>
      <c r="FB208" s="201"/>
      <c r="FC208" s="396">
        <f ca="1">IF(FC207="","",($I$235="Yes")*(FC201+FC202+IF($I$238="Yes",FC200,MAX(MIN(FC207,FC200),0))))</f>
        <v>628125</v>
      </c>
      <c r="FD208" s="396">
        <f t="shared" ref="FD208:HO208" ca="1" si="3279">IF(FD207="","",($I$235="Yes")*(FD201+FD202+IF($I$238="Yes",FD200,MAX(MIN(FD207,FD200),0))))</f>
        <v>17281.831249999999</v>
      </c>
      <c r="FE208" s="396">
        <f t="shared" ca="1" si="3279"/>
        <v>17281.831249999999</v>
      </c>
      <c r="FF208" s="396">
        <f t="shared" ca="1" si="3279"/>
        <v>17281.831249999999</v>
      </c>
      <c r="FG208" s="396">
        <f t="shared" ca="1" si="3279"/>
        <v>17281.831249999999</v>
      </c>
      <c r="FH208" s="396">
        <f t="shared" ca="1" si="3279"/>
        <v>17281.831249999999</v>
      </c>
      <c r="FI208" s="396">
        <f t="shared" ca="1" si="3279"/>
        <v>17281.831249999999</v>
      </c>
      <c r="FJ208" s="396">
        <f t="shared" ca="1" si="3279"/>
        <v>17281.831249999999</v>
      </c>
      <c r="FK208" s="396">
        <f t="shared" ca="1" si="3279"/>
        <v>17281.831249999999</v>
      </c>
      <c r="FL208" s="396">
        <f t="shared" ca="1" si="3279"/>
        <v>17281.831249999999</v>
      </c>
      <c r="FM208" s="396">
        <f t="shared" ca="1" si="3279"/>
        <v>17281.831249999999</v>
      </c>
      <c r="FN208" s="396">
        <f t="shared" ca="1" si="3279"/>
        <v>17281.831249999999</v>
      </c>
      <c r="FO208" s="396">
        <f t="shared" ca="1" si="3279"/>
        <v>17281.831249999999</v>
      </c>
      <c r="FP208" s="396">
        <f t="shared" ca="1" si="3279"/>
        <v>17281.831249999999</v>
      </c>
      <c r="FQ208" s="396">
        <f t="shared" ca="1" si="3279"/>
        <v>17281.831249999999</v>
      </c>
      <c r="FR208" s="396">
        <f t="shared" ca="1" si="3279"/>
        <v>17281.831249999999</v>
      </c>
      <c r="FS208" s="396">
        <f t="shared" ca="1" si="3279"/>
        <v>17281.831249999999</v>
      </c>
      <c r="FT208" s="396">
        <f t="shared" ca="1" si="3279"/>
        <v>17281.831249999999</v>
      </c>
      <c r="FU208" s="396">
        <f t="shared" ca="1" si="3279"/>
        <v>17281.831249999999</v>
      </c>
      <c r="FV208" s="396">
        <f t="shared" ca="1" si="3279"/>
        <v>17281.831249999999</v>
      </c>
      <c r="FW208" s="396">
        <f t="shared" ca="1" si="3279"/>
        <v>17281.831249999999</v>
      </c>
      <c r="FX208" s="396">
        <f t="shared" ca="1" si="3279"/>
        <v>17281.831249999999</v>
      </c>
      <c r="FY208" s="396">
        <f t="shared" ca="1" si="3279"/>
        <v>17281.831249999999</v>
      </c>
      <c r="FZ208" s="396">
        <f t="shared" ca="1" si="3279"/>
        <v>17281.831249999999</v>
      </c>
      <c r="GA208" s="396">
        <f t="shared" ca="1" si="3279"/>
        <v>17281.831249999999</v>
      </c>
      <c r="GB208" s="396">
        <f t="shared" ca="1" si="3279"/>
        <v>17281.831249999999</v>
      </c>
      <c r="GC208" s="396">
        <f t="shared" ca="1" si="3279"/>
        <v>17281.831249999999</v>
      </c>
      <c r="GD208" s="396">
        <f t="shared" ca="1" si="3279"/>
        <v>17281.831249999999</v>
      </c>
      <c r="GE208" s="396">
        <f t="shared" ca="1" si="3279"/>
        <v>17281.831249999999</v>
      </c>
      <c r="GF208" s="396">
        <f t="shared" ca="1" si="3279"/>
        <v>17281.831249999999</v>
      </c>
      <c r="GG208" s="396">
        <f t="shared" ca="1" si="3279"/>
        <v>17281.831249999999</v>
      </c>
      <c r="GH208" s="396">
        <f t="shared" ca="1" si="3279"/>
        <v>17281.831249999999</v>
      </c>
      <c r="GI208" s="396">
        <f t="shared" ca="1" si="3279"/>
        <v>17281.831249999999</v>
      </c>
      <c r="GJ208" s="396">
        <f t="shared" ca="1" si="3279"/>
        <v>17281.831249999999</v>
      </c>
      <c r="GK208" s="396">
        <f t="shared" ca="1" si="3279"/>
        <v>17281.831249999999</v>
      </c>
      <c r="GL208" s="396">
        <f t="shared" ca="1" si="3279"/>
        <v>17281.831249999999</v>
      </c>
      <c r="GM208" s="396">
        <f t="shared" ca="1" si="3279"/>
        <v>17281.831249999999</v>
      </c>
      <c r="GN208" s="396" t="str">
        <f t="shared" si="3279"/>
        <v/>
      </c>
      <c r="GO208" s="396" t="str">
        <f t="shared" si="3279"/>
        <v/>
      </c>
      <c r="GP208" s="396" t="str">
        <f t="shared" si="3279"/>
        <v/>
      </c>
      <c r="GQ208" s="396" t="str">
        <f t="shared" si="3279"/>
        <v/>
      </c>
      <c r="GR208" s="396" t="str">
        <f t="shared" si="3279"/>
        <v/>
      </c>
      <c r="GS208" s="396" t="str">
        <f t="shared" si="3279"/>
        <v/>
      </c>
      <c r="GT208" s="396" t="str">
        <f t="shared" si="3279"/>
        <v/>
      </c>
      <c r="GU208" s="396" t="str">
        <f t="shared" si="3279"/>
        <v/>
      </c>
      <c r="GV208" s="396" t="str">
        <f t="shared" si="3279"/>
        <v/>
      </c>
      <c r="GW208" s="396" t="str">
        <f t="shared" si="3279"/>
        <v/>
      </c>
      <c r="GX208" s="396" t="str">
        <f t="shared" si="3279"/>
        <v/>
      </c>
      <c r="GY208" s="396" t="str">
        <f t="shared" si="3279"/>
        <v/>
      </c>
      <c r="GZ208" s="396" t="str">
        <f t="shared" si="3279"/>
        <v/>
      </c>
      <c r="HA208" s="396" t="str">
        <f t="shared" si="3279"/>
        <v/>
      </c>
      <c r="HB208" s="396" t="str">
        <f t="shared" si="3279"/>
        <v/>
      </c>
      <c r="HC208" s="396" t="str">
        <f t="shared" si="3279"/>
        <v/>
      </c>
      <c r="HD208" s="396" t="str">
        <f t="shared" si="3279"/>
        <v/>
      </c>
      <c r="HE208" s="396" t="str">
        <f t="shared" si="3279"/>
        <v/>
      </c>
      <c r="HF208" s="396" t="str">
        <f t="shared" si="3279"/>
        <v/>
      </c>
      <c r="HG208" s="396" t="str">
        <f t="shared" si="3279"/>
        <v/>
      </c>
      <c r="HH208" s="396" t="str">
        <f t="shared" si="3279"/>
        <v/>
      </c>
      <c r="HI208" s="396" t="str">
        <f t="shared" si="3279"/>
        <v/>
      </c>
      <c r="HJ208" s="396" t="str">
        <f t="shared" si="3279"/>
        <v/>
      </c>
      <c r="HK208" s="396" t="str">
        <f t="shared" si="3279"/>
        <v/>
      </c>
      <c r="HL208" s="396" t="str">
        <f t="shared" si="3279"/>
        <v/>
      </c>
      <c r="HM208" s="396" t="str">
        <f t="shared" si="3279"/>
        <v/>
      </c>
      <c r="HN208" s="396" t="str">
        <f t="shared" si="3279"/>
        <v/>
      </c>
      <c r="HO208" s="396" t="str">
        <f t="shared" si="3279"/>
        <v/>
      </c>
      <c r="HP208" s="396" t="str">
        <f t="shared" ref="HP208:KA208" si="3280">IF(HP207="","",($I$235="Yes")*(HP201+HP202+IF($I$238="Yes",HP200,MAX(MIN(HP207,HP200),0))))</f>
        <v/>
      </c>
      <c r="HQ208" s="396" t="str">
        <f t="shared" si="3280"/>
        <v/>
      </c>
      <c r="HR208" s="396" t="str">
        <f t="shared" si="3280"/>
        <v/>
      </c>
      <c r="HS208" s="396" t="str">
        <f t="shared" si="3280"/>
        <v/>
      </c>
      <c r="HT208" s="396" t="str">
        <f t="shared" si="3280"/>
        <v/>
      </c>
      <c r="HU208" s="396" t="str">
        <f t="shared" si="3280"/>
        <v/>
      </c>
      <c r="HV208" s="396" t="str">
        <f t="shared" si="3280"/>
        <v/>
      </c>
      <c r="HW208" s="396" t="str">
        <f t="shared" si="3280"/>
        <v/>
      </c>
      <c r="HX208" s="396" t="str">
        <f t="shared" si="3280"/>
        <v/>
      </c>
      <c r="HY208" s="396" t="str">
        <f t="shared" si="3280"/>
        <v/>
      </c>
      <c r="HZ208" s="396" t="str">
        <f t="shared" si="3280"/>
        <v/>
      </c>
      <c r="IA208" s="396" t="str">
        <f t="shared" si="3280"/>
        <v/>
      </c>
      <c r="IB208" s="396" t="str">
        <f t="shared" si="3280"/>
        <v/>
      </c>
      <c r="IC208" s="396" t="str">
        <f t="shared" si="3280"/>
        <v/>
      </c>
      <c r="ID208" s="396" t="str">
        <f t="shared" si="3280"/>
        <v/>
      </c>
      <c r="IE208" s="396" t="str">
        <f t="shared" si="3280"/>
        <v/>
      </c>
      <c r="IF208" s="396" t="str">
        <f t="shared" si="3280"/>
        <v/>
      </c>
      <c r="IG208" s="396" t="str">
        <f t="shared" si="3280"/>
        <v/>
      </c>
      <c r="IH208" s="396" t="str">
        <f t="shared" si="3280"/>
        <v/>
      </c>
      <c r="II208" s="396" t="str">
        <f t="shared" si="3280"/>
        <v/>
      </c>
      <c r="IJ208" s="396" t="str">
        <f t="shared" si="3280"/>
        <v/>
      </c>
      <c r="IK208" s="396" t="str">
        <f t="shared" si="3280"/>
        <v/>
      </c>
      <c r="IL208" s="396" t="str">
        <f t="shared" si="3280"/>
        <v/>
      </c>
      <c r="IM208" s="396" t="str">
        <f t="shared" si="3280"/>
        <v/>
      </c>
      <c r="IN208" s="396" t="str">
        <f t="shared" si="3280"/>
        <v/>
      </c>
      <c r="IO208" s="396" t="str">
        <f t="shared" si="3280"/>
        <v/>
      </c>
      <c r="IP208" s="396" t="str">
        <f t="shared" si="3280"/>
        <v/>
      </c>
      <c r="IQ208" s="396" t="str">
        <f t="shared" si="3280"/>
        <v/>
      </c>
      <c r="IR208" s="396" t="str">
        <f t="shared" si="3280"/>
        <v/>
      </c>
      <c r="IS208" s="396" t="str">
        <f t="shared" si="3280"/>
        <v/>
      </c>
      <c r="IT208" s="396" t="str">
        <f t="shared" si="3280"/>
        <v/>
      </c>
      <c r="IU208" s="396" t="str">
        <f t="shared" si="3280"/>
        <v/>
      </c>
      <c r="IV208" s="396" t="str">
        <f t="shared" si="3280"/>
        <v/>
      </c>
      <c r="IW208" s="396" t="str">
        <f t="shared" si="3280"/>
        <v/>
      </c>
      <c r="IX208" s="396" t="str">
        <f t="shared" si="3280"/>
        <v/>
      </c>
      <c r="IY208" s="396" t="str">
        <f t="shared" si="3280"/>
        <v/>
      </c>
      <c r="IZ208" s="396" t="str">
        <f t="shared" si="3280"/>
        <v/>
      </c>
      <c r="JA208" s="396" t="str">
        <f t="shared" si="3280"/>
        <v/>
      </c>
      <c r="JB208" s="396" t="str">
        <f t="shared" si="3280"/>
        <v/>
      </c>
      <c r="JC208" s="396" t="str">
        <f t="shared" si="3280"/>
        <v/>
      </c>
      <c r="JD208" s="396" t="str">
        <f t="shared" si="3280"/>
        <v/>
      </c>
      <c r="JE208" s="396" t="str">
        <f t="shared" si="3280"/>
        <v/>
      </c>
      <c r="JF208" s="396" t="str">
        <f t="shared" si="3280"/>
        <v/>
      </c>
      <c r="JG208" s="396" t="str">
        <f t="shared" si="3280"/>
        <v/>
      </c>
      <c r="JH208" s="396" t="str">
        <f t="shared" si="3280"/>
        <v/>
      </c>
      <c r="JI208" s="396" t="str">
        <f t="shared" si="3280"/>
        <v/>
      </c>
      <c r="JJ208" s="396" t="str">
        <f t="shared" si="3280"/>
        <v/>
      </c>
      <c r="JK208" s="396" t="str">
        <f t="shared" si="3280"/>
        <v/>
      </c>
      <c r="JL208" s="396" t="str">
        <f t="shared" si="3280"/>
        <v/>
      </c>
      <c r="JM208" s="396" t="str">
        <f t="shared" si="3280"/>
        <v/>
      </c>
      <c r="JN208" s="396" t="str">
        <f t="shared" si="3280"/>
        <v/>
      </c>
      <c r="JO208" s="396" t="str">
        <f t="shared" si="3280"/>
        <v/>
      </c>
      <c r="JP208" s="396" t="str">
        <f t="shared" si="3280"/>
        <v/>
      </c>
      <c r="JQ208" s="396" t="str">
        <f t="shared" si="3280"/>
        <v/>
      </c>
      <c r="JR208" s="396" t="str">
        <f t="shared" si="3280"/>
        <v/>
      </c>
      <c r="JS208" s="396" t="str">
        <f t="shared" si="3280"/>
        <v/>
      </c>
      <c r="JT208" s="396" t="str">
        <f t="shared" si="3280"/>
        <v/>
      </c>
      <c r="JU208" s="396" t="str">
        <f t="shared" si="3280"/>
        <v/>
      </c>
      <c r="JV208" s="396" t="str">
        <f t="shared" si="3280"/>
        <v/>
      </c>
      <c r="JW208" s="396" t="str">
        <f t="shared" si="3280"/>
        <v/>
      </c>
      <c r="JX208" s="396" t="str">
        <f t="shared" si="3280"/>
        <v/>
      </c>
      <c r="JY208" s="396" t="str">
        <f t="shared" si="3280"/>
        <v/>
      </c>
      <c r="JZ208" s="396" t="str">
        <f t="shared" si="3280"/>
        <v/>
      </c>
      <c r="KA208" s="396" t="str">
        <f t="shared" si="3280"/>
        <v/>
      </c>
      <c r="KB208" s="396" t="str">
        <f t="shared" ref="KB208:KE208" si="3281">IF(KB207="","",($I$235="Yes")*(KB201+KB202+IF($I$238="Yes",KB200,MAX(MIN(KB207,KB200),0))))</f>
        <v/>
      </c>
      <c r="KC208" s="396" t="str">
        <f t="shared" si="3281"/>
        <v/>
      </c>
      <c r="KD208" s="396" t="str">
        <f t="shared" si="3281"/>
        <v/>
      </c>
      <c r="KE208" s="396" t="str">
        <f t="shared" si="3281"/>
        <v/>
      </c>
      <c r="KF208" s="234" t="s">
        <v>269</v>
      </c>
      <c r="PQ208" s="201"/>
      <c r="PR208" s="201"/>
      <c r="PS208" s="201"/>
      <c r="PT208" s="201"/>
      <c r="PU208" s="201"/>
      <c r="PV208" s="201"/>
      <c r="PW208" s="201"/>
      <c r="PX208" s="201"/>
      <c r="PY208" s="201"/>
      <c r="PZ208" s="201"/>
      <c r="QA208" s="201"/>
      <c r="QB208" s="201"/>
      <c r="QC208" s="201"/>
      <c r="QD208" s="201"/>
      <c r="QE208" s="201"/>
      <c r="QF208" s="201"/>
      <c r="QG208" s="201"/>
      <c r="QH208" s="201"/>
      <c r="QI208" s="201"/>
      <c r="QJ208" s="201"/>
      <c r="QK208" s="201"/>
      <c r="QL208" s="201"/>
      <c r="QM208" s="201"/>
      <c r="QN208" s="201"/>
      <c r="QO208" s="201"/>
      <c r="QP208" s="201"/>
      <c r="QQ208" s="201"/>
      <c r="QR208" s="201"/>
      <c r="QS208" s="201"/>
      <c r="QT208" s="201"/>
      <c r="QU208" s="201"/>
      <c r="QV208" s="201"/>
      <c r="QW208" s="201"/>
      <c r="QX208" s="201"/>
      <c r="QY208" s="201"/>
      <c r="QZ208" s="201"/>
      <c r="RA208" s="201"/>
      <c r="RB208" s="201"/>
      <c r="RC208" s="201"/>
      <c r="RD208" s="201"/>
      <c r="RE208" s="201"/>
      <c r="RF208" s="201"/>
      <c r="RG208" s="201"/>
      <c r="RH208" s="201"/>
      <c r="RI208" s="201"/>
      <c r="RJ208" s="201"/>
      <c r="RK208" s="201"/>
      <c r="RL208" s="201"/>
      <c r="RM208" s="201"/>
      <c r="RN208" s="201"/>
      <c r="RO208" s="201"/>
      <c r="RP208" s="201"/>
      <c r="RQ208" s="201"/>
      <c r="RR208" s="201"/>
      <c r="RS208" s="201"/>
      <c r="RT208" s="201"/>
      <c r="RU208" s="201"/>
      <c r="RV208" s="201"/>
      <c r="RW208" s="201"/>
      <c r="RX208" s="201"/>
      <c r="RY208" s="201"/>
      <c r="RZ208" s="201"/>
      <c r="SA208" s="201"/>
      <c r="SB208" s="201"/>
      <c r="SC208" s="201"/>
      <c r="SD208" s="201"/>
      <c r="SE208" s="201"/>
      <c r="SF208" s="201"/>
      <c r="SG208" s="201"/>
      <c r="SH208" s="201"/>
      <c r="SI208" s="201"/>
      <c r="SJ208" s="201"/>
      <c r="SK208" s="201"/>
      <c r="SL208" s="201"/>
      <c r="SM208" s="201"/>
      <c r="SN208" s="201"/>
      <c r="SO208" s="201"/>
      <c r="SP208" s="201"/>
      <c r="SQ208" s="201"/>
      <c r="SR208" s="201"/>
      <c r="SS208" s="201"/>
      <c r="ST208" s="201"/>
      <c r="SU208" s="201"/>
      <c r="SV208" s="201"/>
      <c r="SW208" s="201"/>
      <c r="SX208" s="201"/>
      <c r="SY208" s="201"/>
      <c r="SZ208" s="201"/>
      <c r="TA208" s="201"/>
      <c r="TB208" s="201"/>
      <c r="TC208" s="201"/>
      <c r="TD208" s="201"/>
      <c r="TE208" s="201"/>
      <c r="TF208" s="201"/>
      <c r="TG208" s="201"/>
      <c r="TH208" s="201"/>
      <c r="TI208" s="201"/>
      <c r="TJ208" s="201"/>
      <c r="TK208" s="201"/>
      <c r="TL208" s="201"/>
      <c r="TM208" s="201"/>
      <c r="TN208" s="201"/>
      <c r="TO208" s="201"/>
      <c r="TP208" s="201"/>
      <c r="TQ208" s="201"/>
      <c r="TR208" s="201"/>
      <c r="TS208" s="201"/>
      <c r="TT208" s="201"/>
      <c r="TU208" s="201"/>
      <c r="TV208" s="201"/>
      <c r="TW208" s="201"/>
      <c r="TX208" s="201"/>
      <c r="TY208" s="201"/>
      <c r="TZ208" s="201"/>
      <c r="UA208" s="201"/>
      <c r="UB208" s="201"/>
      <c r="UC208" s="201"/>
      <c r="UD208" s="201"/>
      <c r="UE208" s="201"/>
      <c r="UF208" s="201"/>
      <c r="UG208" s="201"/>
      <c r="UH208" s="201"/>
      <c r="UI208" s="201"/>
      <c r="UJ208" s="201"/>
      <c r="UK208" s="201"/>
      <c r="UL208" s="201"/>
      <c r="UM208" s="201"/>
      <c r="UN208" s="201"/>
      <c r="UO208" s="201"/>
      <c r="UP208" s="201"/>
      <c r="UQ208" s="201"/>
      <c r="UR208" s="201"/>
      <c r="US208" s="201"/>
      <c r="UT208" s="201"/>
      <c r="UU208" s="201"/>
    </row>
    <row r="209" spans="2:567" ht="15.6" x14ac:dyDescent="0.4">
      <c r="B209" s="107" t="s">
        <v>210</v>
      </c>
      <c r="C209" s="26"/>
      <c r="D209" s="80">
        <f>INDEX(S209:EU209,1,Analysis_Period+1)</f>
        <v>-41476395.000000291</v>
      </c>
      <c r="E209" s="26"/>
      <c r="F209" s="26"/>
      <c r="G209" s="26"/>
      <c r="H209" s="26" t="s">
        <v>211</v>
      </c>
      <c r="I209" s="34">
        <f>I199</f>
        <v>3310019.569449231</v>
      </c>
      <c r="J209" s="34">
        <f ca="1">J199</f>
        <v>4668233.3834934998</v>
      </c>
      <c r="K209" s="34">
        <f ca="1">K199</f>
        <v>4782818.5766952038</v>
      </c>
      <c r="R209" s="159" t="str">
        <f t="shared" si="3273"/>
        <v>- Loan Payoff</v>
      </c>
      <c r="S209" s="96">
        <f t="shared" ref="S209:AX209" si="3282">(S$19=$K$19)*(S82+S95)</f>
        <v>0</v>
      </c>
      <c r="T209" s="96">
        <f t="shared" si="3282"/>
        <v>0</v>
      </c>
      <c r="U209" s="96">
        <f t="shared" si="3282"/>
        <v>0</v>
      </c>
      <c r="V209" s="96">
        <f t="shared" si="3282"/>
        <v>0</v>
      </c>
      <c r="W209" s="96">
        <f t="shared" si="3282"/>
        <v>0</v>
      </c>
      <c r="X209" s="96">
        <f t="shared" si="3282"/>
        <v>0</v>
      </c>
      <c r="Y209" s="96">
        <f t="shared" si="3282"/>
        <v>0</v>
      </c>
      <c r="Z209" s="96">
        <f t="shared" si="3282"/>
        <v>0</v>
      </c>
      <c r="AA209" s="96">
        <f t="shared" si="3282"/>
        <v>0</v>
      </c>
      <c r="AB209" s="96">
        <f t="shared" si="3282"/>
        <v>0</v>
      </c>
      <c r="AC209" s="96">
        <f t="shared" si="3282"/>
        <v>0</v>
      </c>
      <c r="AD209" s="96">
        <f t="shared" si="3282"/>
        <v>0</v>
      </c>
      <c r="AE209" s="96">
        <f t="shared" si="3282"/>
        <v>0</v>
      </c>
      <c r="AF209" s="96">
        <f t="shared" si="3282"/>
        <v>0</v>
      </c>
      <c r="AG209" s="96">
        <f t="shared" si="3282"/>
        <v>0</v>
      </c>
      <c r="AH209" s="96">
        <f t="shared" si="3282"/>
        <v>0</v>
      </c>
      <c r="AI209" s="96">
        <f t="shared" si="3282"/>
        <v>0</v>
      </c>
      <c r="AJ209" s="96">
        <f t="shared" si="3282"/>
        <v>0</v>
      </c>
      <c r="AK209" s="96">
        <f t="shared" si="3282"/>
        <v>0</v>
      </c>
      <c r="AL209" s="96">
        <f t="shared" si="3282"/>
        <v>0</v>
      </c>
      <c r="AM209" s="96">
        <f t="shared" si="3282"/>
        <v>0</v>
      </c>
      <c r="AN209" s="96">
        <f t="shared" si="3282"/>
        <v>0</v>
      </c>
      <c r="AO209" s="96">
        <f t="shared" si="3282"/>
        <v>0</v>
      </c>
      <c r="AP209" s="96">
        <f t="shared" si="3282"/>
        <v>0</v>
      </c>
      <c r="AQ209" s="96">
        <f t="shared" si="3282"/>
        <v>0</v>
      </c>
      <c r="AR209" s="96">
        <f t="shared" si="3282"/>
        <v>0</v>
      </c>
      <c r="AS209" s="96">
        <f t="shared" si="3282"/>
        <v>0</v>
      </c>
      <c r="AT209" s="96">
        <f t="shared" si="3282"/>
        <v>0</v>
      </c>
      <c r="AU209" s="96">
        <f t="shared" si="3282"/>
        <v>0</v>
      </c>
      <c r="AV209" s="96">
        <f t="shared" si="3282"/>
        <v>0</v>
      </c>
      <c r="AW209" s="96">
        <f t="shared" si="3282"/>
        <v>0</v>
      </c>
      <c r="AX209" s="96">
        <f t="shared" si="3282"/>
        <v>0</v>
      </c>
      <c r="AY209" s="96">
        <f t="shared" ref="AY209:CD209" si="3283">(AY$19=$K$19)*(AY82+AY95)</f>
        <v>0</v>
      </c>
      <c r="AZ209" s="96">
        <f t="shared" si="3283"/>
        <v>0</v>
      </c>
      <c r="BA209" s="96">
        <f t="shared" si="3283"/>
        <v>0</v>
      </c>
      <c r="BB209" s="96">
        <f t="shared" si="3283"/>
        <v>0</v>
      </c>
      <c r="BC209" s="96">
        <f t="shared" si="3283"/>
        <v>-41476395.000000291</v>
      </c>
      <c r="BD209" s="96">
        <f t="shared" si="3283"/>
        <v>0</v>
      </c>
      <c r="BE209" s="96">
        <f t="shared" si="3283"/>
        <v>0</v>
      </c>
      <c r="BF209" s="96">
        <f t="shared" si="3283"/>
        <v>0</v>
      </c>
      <c r="BG209" s="96">
        <f t="shared" si="3283"/>
        <v>0</v>
      </c>
      <c r="BH209" s="96">
        <f t="shared" si="3283"/>
        <v>0</v>
      </c>
      <c r="BI209" s="96">
        <f t="shared" si="3283"/>
        <v>0</v>
      </c>
      <c r="BJ209" s="96">
        <f t="shared" si="3283"/>
        <v>0</v>
      </c>
      <c r="BK209" s="96">
        <f t="shared" si="3283"/>
        <v>0</v>
      </c>
      <c r="BL209" s="96">
        <f t="shared" si="3283"/>
        <v>0</v>
      </c>
      <c r="BM209" s="96">
        <f t="shared" si="3283"/>
        <v>0</v>
      </c>
      <c r="BN209" s="96">
        <f t="shared" si="3283"/>
        <v>0</v>
      </c>
      <c r="BO209" s="96">
        <f t="shared" si="3283"/>
        <v>0</v>
      </c>
      <c r="BP209" s="96">
        <f t="shared" si="3283"/>
        <v>0</v>
      </c>
      <c r="BQ209" s="96">
        <f t="shared" si="3283"/>
        <v>0</v>
      </c>
      <c r="BR209" s="96">
        <f t="shared" si="3283"/>
        <v>0</v>
      </c>
      <c r="BS209" s="96">
        <f t="shared" si="3283"/>
        <v>0</v>
      </c>
      <c r="BT209" s="96">
        <f t="shared" si="3283"/>
        <v>0</v>
      </c>
      <c r="BU209" s="96">
        <f t="shared" si="3283"/>
        <v>0</v>
      </c>
      <c r="BV209" s="96">
        <f t="shared" si="3283"/>
        <v>0</v>
      </c>
      <c r="BW209" s="96">
        <f t="shared" si="3283"/>
        <v>0</v>
      </c>
      <c r="BX209" s="96">
        <f t="shared" si="3283"/>
        <v>0</v>
      </c>
      <c r="BY209" s="96">
        <f t="shared" si="3283"/>
        <v>0</v>
      </c>
      <c r="BZ209" s="96">
        <f t="shared" si="3283"/>
        <v>0</v>
      </c>
      <c r="CA209" s="96">
        <f t="shared" si="3283"/>
        <v>0</v>
      </c>
      <c r="CB209" s="96">
        <f t="shared" si="3283"/>
        <v>0</v>
      </c>
      <c r="CC209" s="96">
        <f t="shared" si="3283"/>
        <v>0</v>
      </c>
      <c r="CD209" s="96">
        <f t="shared" si="3283"/>
        <v>0</v>
      </c>
      <c r="CE209" s="96">
        <f t="shared" ref="CE209:DJ209" si="3284">(CE$19=$K$19)*(CE82+CE95)</f>
        <v>0</v>
      </c>
      <c r="CF209" s="96">
        <f t="shared" si="3284"/>
        <v>0</v>
      </c>
      <c r="CG209" s="96">
        <f t="shared" si="3284"/>
        <v>0</v>
      </c>
      <c r="CH209" s="96">
        <f t="shared" si="3284"/>
        <v>0</v>
      </c>
      <c r="CI209" s="96">
        <f t="shared" si="3284"/>
        <v>0</v>
      </c>
      <c r="CJ209" s="96">
        <f t="shared" si="3284"/>
        <v>0</v>
      </c>
      <c r="CK209" s="96">
        <f t="shared" si="3284"/>
        <v>0</v>
      </c>
      <c r="CL209" s="96">
        <f t="shared" si="3284"/>
        <v>0</v>
      </c>
      <c r="CM209" s="96">
        <f t="shared" si="3284"/>
        <v>0</v>
      </c>
      <c r="CN209" s="96">
        <f t="shared" si="3284"/>
        <v>0</v>
      </c>
      <c r="CO209" s="96">
        <f t="shared" si="3284"/>
        <v>0</v>
      </c>
      <c r="CP209" s="96">
        <f t="shared" si="3284"/>
        <v>0</v>
      </c>
      <c r="CQ209" s="96">
        <f t="shared" si="3284"/>
        <v>0</v>
      </c>
      <c r="CR209" s="96">
        <f t="shared" si="3284"/>
        <v>0</v>
      </c>
      <c r="CS209" s="96">
        <f t="shared" si="3284"/>
        <v>0</v>
      </c>
      <c r="CT209" s="96">
        <f t="shared" si="3284"/>
        <v>0</v>
      </c>
      <c r="CU209" s="96">
        <f t="shared" si="3284"/>
        <v>0</v>
      </c>
      <c r="CV209" s="96">
        <f t="shared" si="3284"/>
        <v>0</v>
      </c>
      <c r="CW209" s="96">
        <f t="shared" si="3284"/>
        <v>0</v>
      </c>
      <c r="CX209" s="96">
        <f t="shared" si="3284"/>
        <v>0</v>
      </c>
      <c r="CY209" s="96">
        <f t="shared" si="3284"/>
        <v>0</v>
      </c>
      <c r="CZ209" s="96">
        <f t="shared" si="3284"/>
        <v>0</v>
      </c>
      <c r="DA209" s="96">
        <f t="shared" si="3284"/>
        <v>0</v>
      </c>
      <c r="DB209" s="96">
        <f t="shared" si="3284"/>
        <v>0</v>
      </c>
      <c r="DC209" s="96">
        <f t="shared" si="3284"/>
        <v>0</v>
      </c>
      <c r="DD209" s="96">
        <f t="shared" si="3284"/>
        <v>0</v>
      </c>
      <c r="DE209" s="96">
        <f t="shared" si="3284"/>
        <v>0</v>
      </c>
      <c r="DF209" s="96">
        <f t="shared" si="3284"/>
        <v>0</v>
      </c>
      <c r="DG209" s="96">
        <f t="shared" si="3284"/>
        <v>0</v>
      </c>
      <c r="DH209" s="96">
        <f t="shared" si="3284"/>
        <v>0</v>
      </c>
      <c r="DI209" s="96">
        <f t="shared" si="3284"/>
        <v>0</v>
      </c>
      <c r="DJ209" s="96">
        <f t="shared" si="3284"/>
        <v>0</v>
      </c>
      <c r="DK209" s="96">
        <f t="shared" ref="DK209:EU209" si="3285">(DK$19=$K$19)*(DK82+DK95)</f>
        <v>0</v>
      </c>
      <c r="DL209" s="96">
        <f t="shared" si="3285"/>
        <v>0</v>
      </c>
      <c r="DM209" s="96">
        <f t="shared" si="3285"/>
        <v>0</v>
      </c>
      <c r="DN209" s="96">
        <f t="shared" si="3285"/>
        <v>0</v>
      </c>
      <c r="DO209" s="96">
        <f t="shared" si="3285"/>
        <v>0</v>
      </c>
      <c r="DP209" s="96">
        <f t="shared" si="3285"/>
        <v>0</v>
      </c>
      <c r="DQ209" s="96">
        <f t="shared" si="3285"/>
        <v>0</v>
      </c>
      <c r="DR209" s="96">
        <f t="shared" si="3285"/>
        <v>0</v>
      </c>
      <c r="DS209" s="96">
        <f t="shared" si="3285"/>
        <v>0</v>
      </c>
      <c r="DT209" s="96">
        <f t="shared" si="3285"/>
        <v>0</v>
      </c>
      <c r="DU209" s="96">
        <f t="shared" si="3285"/>
        <v>0</v>
      </c>
      <c r="DV209" s="96">
        <f t="shared" si="3285"/>
        <v>0</v>
      </c>
      <c r="DW209" s="96">
        <f t="shared" si="3285"/>
        <v>0</v>
      </c>
      <c r="DX209" s="96">
        <f t="shared" si="3285"/>
        <v>0</v>
      </c>
      <c r="DY209" s="96">
        <f t="shared" si="3285"/>
        <v>0</v>
      </c>
      <c r="DZ209" s="96">
        <f t="shared" si="3285"/>
        <v>0</v>
      </c>
      <c r="EA209" s="96">
        <f t="shared" si="3285"/>
        <v>0</v>
      </c>
      <c r="EB209" s="96">
        <f t="shared" si="3285"/>
        <v>0</v>
      </c>
      <c r="EC209" s="96">
        <f t="shared" si="3285"/>
        <v>0</v>
      </c>
      <c r="ED209" s="96">
        <f t="shared" si="3285"/>
        <v>0</v>
      </c>
      <c r="EE209" s="96">
        <f t="shared" si="3285"/>
        <v>0</v>
      </c>
      <c r="EF209" s="96">
        <f t="shared" si="3285"/>
        <v>0</v>
      </c>
      <c r="EG209" s="96">
        <f t="shared" si="3285"/>
        <v>0</v>
      </c>
      <c r="EH209" s="96">
        <f t="shared" si="3285"/>
        <v>0</v>
      </c>
      <c r="EI209" s="96">
        <f t="shared" si="3285"/>
        <v>0</v>
      </c>
      <c r="EJ209" s="96">
        <f t="shared" si="3285"/>
        <v>0</v>
      </c>
      <c r="EK209" s="96">
        <f t="shared" si="3285"/>
        <v>0</v>
      </c>
      <c r="EL209" s="96">
        <f t="shared" si="3285"/>
        <v>0</v>
      </c>
      <c r="EM209" s="96">
        <f t="shared" si="3285"/>
        <v>0</v>
      </c>
      <c r="EN209" s="96">
        <f t="shared" si="3285"/>
        <v>0</v>
      </c>
      <c r="EO209" s="96">
        <f t="shared" si="3285"/>
        <v>0</v>
      </c>
      <c r="EP209" s="96">
        <f t="shared" si="3285"/>
        <v>0</v>
      </c>
      <c r="EQ209" s="96">
        <f t="shared" si="3285"/>
        <v>0</v>
      </c>
      <c r="ER209" s="96">
        <f t="shared" si="3285"/>
        <v>0</v>
      </c>
      <c r="ES209" s="96">
        <f t="shared" si="3285"/>
        <v>0</v>
      </c>
      <c r="ET209" s="96">
        <f t="shared" si="3285"/>
        <v>0</v>
      </c>
      <c r="EU209" s="96">
        <f t="shared" si="3285"/>
        <v>0</v>
      </c>
      <c r="EW209" s="393" t="s">
        <v>359</v>
      </c>
      <c r="EX209" s="393"/>
      <c r="EY209" s="393"/>
      <c r="EZ209" s="393"/>
      <c r="FA209" s="393"/>
      <c r="FB209" s="393"/>
      <c r="FC209" s="394">
        <f t="shared" ref="FC209:GH209" ca="1" si="3286">IF(S229="","",FC207-FC208)</f>
        <v>-628125</v>
      </c>
      <c r="FD209" s="394">
        <f t="shared" ca="1" si="3286"/>
        <v>67572.152994358141</v>
      </c>
      <c r="FE209" s="394">
        <f t="shared" ca="1" si="3286"/>
        <v>72852.546864340999</v>
      </c>
      <c r="FF209" s="394">
        <f t="shared" ca="1" si="3286"/>
        <v>75658.426791209538</v>
      </c>
      <c r="FG209" s="394">
        <f t="shared" ca="1" si="3286"/>
        <v>79026.116911248057</v>
      </c>
      <c r="FH209" s="394">
        <f t="shared" ca="1" si="3286"/>
        <v>83235.643836512711</v>
      </c>
      <c r="FI209" s="394">
        <f t="shared" ca="1" si="3286"/>
        <v>86116.067243109239</v>
      </c>
      <c r="FJ209" s="394">
        <f t="shared" ca="1" si="3286"/>
        <v>89135.866251607877</v>
      </c>
      <c r="FK209" s="394">
        <f t="shared" ca="1" si="3286"/>
        <v>92386.712595845762</v>
      </c>
      <c r="FL209" s="394">
        <f t="shared" ca="1" si="3286"/>
        <v>95345.252363566091</v>
      </c>
      <c r="FM209" s="394">
        <f t="shared" ca="1" si="3286"/>
        <v>98280.766343842392</v>
      </c>
      <c r="FN209" s="394">
        <f t="shared" ca="1" si="3286"/>
        <v>101205.40161179252</v>
      </c>
      <c r="FO209" s="394">
        <f t="shared" ca="1" si="3286"/>
        <v>104111.76758056002</v>
      </c>
      <c r="FP209" s="394">
        <f t="shared" ca="1" si="3286"/>
        <v>107632.47168087486</v>
      </c>
      <c r="FQ209" s="394">
        <f t="shared" ca="1" si="3286"/>
        <v>111113.6572789132</v>
      </c>
      <c r="FR209" s="394">
        <f t="shared" ca="1" si="3286"/>
        <v>114646.1563715909</v>
      </c>
      <c r="FS209" s="394">
        <f t="shared" ca="1" si="3286"/>
        <v>118204.79376190428</v>
      </c>
      <c r="FT209" s="394">
        <f t="shared" ca="1" si="3286"/>
        <v>121787.56993646068</v>
      </c>
      <c r="FU209" s="394">
        <f t="shared" ca="1" si="3286"/>
        <v>125401.52291291468</v>
      </c>
      <c r="FV209" s="394">
        <f t="shared" ca="1" si="3286"/>
        <v>129034.23292419281</v>
      </c>
      <c r="FW209" s="394">
        <f t="shared" ca="1" si="3286"/>
        <v>132721.97390910526</v>
      </c>
      <c r="FX209" s="394">
        <f t="shared" ca="1" si="3286"/>
        <v>136436.16958888387</v>
      </c>
      <c r="FY209" s="394">
        <f t="shared" ca="1" si="3286"/>
        <v>140174.77057851289</v>
      </c>
      <c r="FZ209" s="394">
        <f t="shared" ca="1" si="3286"/>
        <v>143943.28804717309</v>
      </c>
      <c r="GA209" s="394">
        <f t="shared" ca="1" si="3286"/>
        <v>148798.62497274842</v>
      </c>
      <c r="GB209" s="394">
        <f t="shared" ca="1" si="3286"/>
        <v>170612.88795647363</v>
      </c>
      <c r="GC209" s="394">
        <f t="shared" ca="1" si="3286"/>
        <v>171033.98676535941</v>
      </c>
      <c r="GD209" s="394">
        <f t="shared" ca="1" si="3286"/>
        <v>171501.28551020077</v>
      </c>
      <c r="GE209" s="394">
        <f t="shared" ca="1" si="3286"/>
        <v>171937.71054575755</v>
      </c>
      <c r="GF209" s="394">
        <f t="shared" ca="1" si="3286"/>
        <v>172415.84889224387</v>
      </c>
      <c r="GG209" s="394">
        <f t="shared" ca="1" si="3286"/>
        <v>172906.32477236624</v>
      </c>
      <c r="GH209" s="394">
        <f t="shared" ca="1" si="3286"/>
        <v>173404.64825269586</v>
      </c>
      <c r="GI209" s="394">
        <f t="shared" ref="GI209:HN209" ca="1" si="3287">IF(AY229="","",GI207-GI208)</f>
        <v>173930.17833382051</v>
      </c>
      <c r="GJ209" s="394">
        <f t="shared" ca="1" si="3287"/>
        <v>174438.67688421858</v>
      </c>
      <c r="GK209" s="394">
        <f t="shared" ca="1" si="3287"/>
        <v>175002.03968529031</v>
      </c>
      <c r="GL209" s="394">
        <f t="shared" ca="1" si="3287"/>
        <v>175571.88097986084</v>
      </c>
      <c r="GM209" s="394">
        <f t="shared" ca="1" si="3287"/>
        <v>37948943.578710921</v>
      </c>
      <c r="GN209" s="394" t="str">
        <f t="shared" si="3287"/>
        <v/>
      </c>
      <c r="GO209" s="394" t="str">
        <f t="shared" si="3287"/>
        <v/>
      </c>
      <c r="GP209" s="394" t="str">
        <f t="shared" si="3287"/>
        <v/>
      </c>
      <c r="GQ209" s="394" t="str">
        <f t="shared" si="3287"/>
        <v/>
      </c>
      <c r="GR209" s="394" t="str">
        <f t="shared" si="3287"/>
        <v/>
      </c>
      <c r="GS209" s="394" t="str">
        <f t="shared" si="3287"/>
        <v/>
      </c>
      <c r="GT209" s="394" t="str">
        <f t="shared" si="3287"/>
        <v/>
      </c>
      <c r="GU209" s="394" t="str">
        <f t="shared" si="3287"/>
        <v/>
      </c>
      <c r="GV209" s="394" t="str">
        <f t="shared" si="3287"/>
        <v/>
      </c>
      <c r="GW209" s="394" t="str">
        <f t="shared" si="3287"/>
        <v/>
      </c>
      <c r="GX209" s="394" t="str">
        <f t="shared" si="3287"/>
        <v/>
      </c>
      <c r="GY209" s="394" t="str">
        <f t="shared" si="3287"/>
        <v/>
      </c>
      <c r="GZ209" s="394" t="str">
        <f t="shared" si="3287"/>
        <v/>
      </c>
      <c r="HA209" s="394" t="str">
        <f t="shared" si="3287"/>
        <v/>
      </c>
      <c r="HB209" s="394" t="str">
        <f t="shared" si="3287"/>
        <v/>
      </c>
      <c r="HC209" s="394" t="str">
        <f t="shared" si="3287"/>
        <v/>
      </c>
      <c r="HD209" s="394" t="str">
        <f t="shared" si="3287"/>
        <v/>
      </c>
      <c r="HE209" s="394" t="str">
        <f t="shared" si="3287"/>
        <v/>
      </c>
      <c r="HF209" s="394" t="str">
        <f t="shared" si="3287"/>
        <v/>
      </c>
      <c r="HG209" s="394" t="str">
        <f t="shared" si="3287"/>
        <v/>
      </c>
      <c r="HH209" s="394" t="str">
        <f t="shared" si="3287"/>
        <v/>
      </c>
      <c r="HI209" s="394" t="str">
        <f t="shared" si="3287"/>
        <v/>
      </c>
      <c r="HJ209" s="394" t="str">
        <f t="shared" si="3287"/>
        <v/>
      </c>
      <c r="HK209" s="394" t="str">
        <f t="shared" si="3287"/>
        <v/>
      </c>
      <c r="HL209" s="394" t="str">
        <f t="shared" si="3287"/>
        <v/>
      </c>
      <c r="HM209" s="394" t="str">
        <f t="shared" si="3287"/>
        <v/>
      </c>
      <c r="HN209" s="394" t="str">
        <f t="shared" si="3287"/>
        <v/>
      </c>
      <c r="HO209" s="394" t="str">
        <f t="shared" ref="HO209:IT209" si="3288">IF(CE229="","",HO207-HO208)</f>
        <v/>
      </c>
      <c r="HP209" s="394" t="str">
        <f t="shared" si="3288"/>
        <v/>
      </c>
      <c r="HQ209" s="394" t="str">
        <f t="shared" si="3288"/>
        <v/>
      </c>
      <c r="HR209" s="394" t="str">
        <f t="shared" si="3288"/>
        <v/>
      </c>
      <c r="HS209" s="394" t="str">
        <f t="shared" si="3288"/>
        <v/>
      </c>
      <c r="HT209" s="394" t="str">
        <f t="shared" si="3288"/>
        <v/>
      </c>
      <c r="HU209" s="394" t="str">
        <f t="shared" si="3288"/>
        <v/>
      </c>
      <c r="HV209" s="394" t="str">
        <f t="shared" si="3288"/>
        <v/>
      </c>
      <c r="HW209" s="394" t="str">
        <f t="shared" si="3288"/>
        <v/>
      </c>
      <c r="HX209" s="394" t="str">
        <f t="shared" si="3288"/>
        <v/>
      </c>
      <c r="HY209" s="394" t="str">
        <f t="shared" si="3288"/>
        <v/>
      </c>
      <c r="HZ209" s="394" t="str">
        <f t="shared" si="3288"/>
        <v/>
      </c>
      <c r="IA209" s="394" t="str">
        <f t="shared" si="3288"/>
        <v/>
      </c>
      <c r="IB209" s="394" t="str">
        <f t="shared" si="3288"/>
        <v/>
      </c>
      <c r="IC209" s="394" t="str">
        <f t="shared" si="3288"/>
        <v/>
      </c>
      <c r="ID209" s="394" t="str">
        <f t="shared" si="3288"/>
        <v/>
      </c>
      <c r="IE209" s="394" t="str">
        <f t="shared" si="3288"/>
        <v/>
      </c>
      <c r="IF209" s="394" t="str">
        <f t="shared" si="3288"/>
        <v/>
      </c>
      <c r="IG209" s="394" t="str">
        <f t="shared" si="3288"/>
        <v/>
      </c>
      <c r="IH209" s="394" t="str">
        <f t="shared" si="3288"/>
        <v/>
      </c>
      <c r="II209" s="394" t="str">
        <f t="shared" si="3288"/>
        <v/>
      </c>
      <c r="IJ209" s="394" t="str">
        <f t="shared" si="3288"/>
        <v/>
      </c>
      <c r="IK209" s="394" t="str">
        <f t="shared" si="3288"/>
        <v/>
      </c>
      <c r="IL209" s="394" t="str">
        <f t="shared" si="3288"/>
        <v/>
      </c>
      <c r="IM209" s="394" t="str">
        <f t="shared" si="3288"/>
        <v/>
      </c>
      <c r="IN209" s="394" t="str">
        <f t="shared" si="3288"/>
        <v/>
      </c>
      <c r="IO209" s="394" t="str">
        <f t="shared" si="3288"/>
        <v/>
      </c>
      <c r="IP209" s="394" t="str">
        <f t="shared" si="3288"/>
        <v/>
      </c>
      <c r="IQ209" s="394" t="str">
        <f t="shared" si="3288"/>
        <v/>
      </c>
      <c r="IR209" s="394" t="str">
        <f t="shared" si="3288"/>
        <v/>
      </c>
      <c r="IS209" s="394" t="str">
        <f t="shared" si="3288"/>
        <v/>
      </c>
      <c r="IT209" s="394" t="str">
        <f t="shared" si="3288"/>
        <v/>
      </c>
      <c r="IU209" s="394" t="str">
        <f t="shared" ref="IU209:JZ209" si="3289">IF(DK229="","",IU207-IU208)</f>
        <v/>
      </c>
      <c r="IV209" s="394" t="str">
        <f t="shared" si="3289"/>
        <v/>
      </c>
      <c r="IW209" s="394" t="str">
        <f t="shared" si="3289"/>
        <v/>
      </c>
      <c r="IX209" s="394" t="str">
        <f t="shared" si="3289"/>
        <v/>
      </c>
      <c r="IY209" s="394" t="str">
        <f t="shared" si="3289"/>
        <v/>
      </c>
      <c r="IZ209" s="394" t="str">
        <f t="shared" si="3289"/>
        <v/>
      </c>
      <c r="JA209" s="394" t="str">
        <f t="shared" si="3289"/>
        <v/>
      </c>
      <c r="JB209" s="394" t="str">
        <f t="shared" si="3289"/>
        <v/>
      </c>
      <c r="JC209" s="394" t="str">
        <f t="shared" si="3289"/>
        <v/>
      </c>
      <c r="JD209" s="394" t="str">
        <f t="shared" si="3289"/>
        <v/>
      </c>
      <c r="JE209" s="394" t="str">
        <f t="shared" si="3289"/>
        <v/>
      </c>
      <c r="JF209" s="394" t="str">
        <f t="shared" si="3289"/>
        <v/>
      </c>
      <c r="JG209" s="394" t="str">
        <f t="shared" si="3289"/>
        <v/>
      </c>
      <c r="JH209" s="394" t="str">
        <f t="shared" si="3289"/>
        <v/>
      </c>
      <c r="JI209" s="394" t="str">
        <f t="shared" si="3289"/>
        <v/>
      </c>
      <c r="JJ209" s="394" t="str">
        <f t="shared" si="3289"/>
        <v/>
      </c>
      <c r="JK209" s="394" t="str">
        <f t="shared" si="3289"/>
        <v/>
      </c>
      <c r="JL209" s="394" t="str">
        <f t="shared" si="3289"/>
        <v/>
      </c>
      <c r="JM209" s="394" t="str">
        <f t="shared" si="3289"/>
        <v/>
      </c>
      <c r="JN209" s="394" t="str">
        <f t="shared" si="3289"/>
        <v/>
      </c>
      <c r="JO209" s="394" t="str">
        <f t="shared" si="3289"/>
        <v/>
      </c>
      <c r="JP209" s="394" t="str">
        <f t="shared" si="3289"/>
        <v/>
      </c>
      <c r="JQ209" s="394" t="str">
        <f t="shared" si="3289"/>
        <v/>
      </c>
      <c r="JR209" s="394" t="str">
        <f t="shared" si="3289"/>
        <v/>
      </c>
      <c r="JS209" s="394" t="str">
        <f t="shared" si="3289"/>
        <v/>
      </c>
      <c r="JT209" s="394" t="str">
        <f t="shared" si="3289"/>
        <v/>
      </c>
      <c r="JU209" s="394" t="str">
        <f t="shared" si="3289"/>
        <v/>
      </c>
      <c r="JV209" s="394" t="str">
        <f t="shared" si="3289"/>
        <v/>
      </c>
      <c r="JW209" s="394" t="str">
        <f t="shared" si="3289"/>
        <v/>
      </c>
      <c r="JX209" s="394" t="str">
        <f t="shared" si="3289"/>
        <v/>
      </c>
      <c r="JY209" s="394" t="str">
        <f t="shared" si="3289"/>
        <v/>
      </c>
      <c r="JZ209" s="394" t="str">
        <f t="shared" si="3289"/>
        <v/>
      </c>
      <c r="KA209" s="394" t="str">
        <f t="shared" ref="KA209:KE209" si="3290">IF(EQ229="","",KA207-KA208)</f>
        <v/>
      </c>
      <c r="KB209" s="394" t="str">
        <f t="shared" si="3290"/>
        <v/>
      </c>
      <c r="KC209" s="394" t="str">
        <f t="shared" si="3290"/>
        <v/>
      </c>
      <c r="KD209" s="394" t="str">
        <f t="shared" si="3290"/>
        <v/>
      </c>
      <c r="KE209" s="394" t="str">
        <f t="shared" si="3290"/>
        <v/>
      </c>
      <c r="KF209" s="234" t="s">
        <v>269</v>
      </c>
      <c r="PQ209" s="201"/>
      <c r="PR209" s="201"/>
      <c r="PS209" s="201"/>
      <c r="PT209" s="201"/>
      <c r="PU209" s="201"/>
      <c r="PV209" s="201"/>
      <c r="PW209" s="201"/>
      <c r="PX209" s="201"/>
      <c r="PY209" s="201"/>
      <c r="PZ209" s="201"/>
      <c r="QA209" s="201"/>
      <c r="QB209" s="201"/>
      <c r="QC209" s="201"/>
      <c r="QD209" s="201"/>
      <c r="QE209" s="201"/>
      <c r="QF209" s="201"/>
      <c r="QG209" s="201"/>
      <c r="QH209" s="201"/>
      <c r="QI209" s="201"/>
      <c r="QJ209" s="201"/>
      <c r="QK209" s="201"/>
      <c r="QL209" s="201"/>
      <c r="QM209" s="201"/>
      <c r="QN209" s="201"/>
      <c r="QO209" s="201"/>
      <c r="QP209" s="201"/>
      <c r="QQ209" s="201"/>
      <c r="QR209" s="201"/>
      <c r="QS209" s="201"/>
      <c r="QT209" s="201"/>
      <c r="QU209" s="201"/>
      <c r="QV209" s="201"/>
      <c r="QW209" s="201"/>
      <c r="QX209" s="201"/>
      <c r="QY209" s="201"/>
      <c r="QZ209" s="201"/>
      <c r="RA209" s="201"/>
      <c r="RB209" s="201"/>
      <c r="RC209" s="201"/>
      <c r="RD209" s="201"/>
      <c r="RE209" s="201"/>
      <c r="RF209" s="201"/>
      <c r="RG209" s="201"/>
      <c r="RH209" s="201"/>
      <c r="RI209" s="201"/>
      <c r="RJ209" s="201"/>
      <c r="RK209" s="201"/>
      <c r="RL209" s="201"/>
      <c r="RM209" s="201"/>
      <c r="RN209" s="201"/>
      <c r="RO209" s="201"/>
      <c r="RP209" s="201"/>
      <c r="RQ209" s="201"/>
      <c r="RR209" s="201"/>
      <c r="RS209" s="201"/>
      <c r="RT209" s="201"/>
      <c r="RU209" s="201"/>
      <c r="RV209" s="201"/>
      <c r="RW209" s="201"/>
      <c r="RX209" s="201"/>
      <c r="RY209" s="201"/>
      <c r="RZ209" s="201"/>
      <c r="SA209" s="201"/>
      <c r="SB209" s="201"/>
      <c r="SC209" s="201"/>
      <c r="SD209" s="201"/>
      <c r="SE209" s="201"/>
      <c r="SF209" s="201"/>
      <c r="SG209" s="201"/>
      <c r="SH209" s="201"/>
      <c r="SI209" s="201"/>
      <c r="SJ209" s="201"/>
      <c r="SK209" s="201"/>
      <c r="SL209" s="201"/>
      <c r="SM209" s="201"/>
      <c r="SN209" s="201"/>
      <c r="SO209" s="201"/>
      <c r="SP209" s="201"/>
      <c r="SQ209" s="201"/>
      <c r="SR209" s="201"/>
      <c r="SS209" s="201"/>
      <c r="ST209" s="201"/>
      <c r="SU209" s="201"/>
      <c r="SV209" s="201"/>
      <c r="SW209" s="201"/>
      <c r="SX209" s="201"/>
      <c r="SY209" s="201"/>
      <c r="SZ209" s="201"/>
      <c r="TA209" s="201"/>
      <c r="TB209" s="201"/>
      <c r="TC209" s="201"/>
      <c r="TD209" s="201"/>
      <c r="TE209" s="201"/>
      <c r="TF209" s="201"/>
      <c r="TG209" s="201"/>
      <c r="TH209" s="201"/>
      <c r="TI209" s="201"/>
      <c r="TJ209" s="201"/>
      <c r="TK209" s="201"/>
      <c r="TL209" s="201"/>
      <c r="TM209" s="201"/>
      <c r="TN209" s="201"/>
      <c r="TO209" s="201"/>
      <c r="TP209" s="201"/>
      <c r="TQ209" s="201"/>
      <c r="TR209" s="201"/>
      <c r="TS209" s="201"/>
      <c r="TT209" s="201"/>
      <c r="TU209" s="201"/>
      <c r="TV209" s="201"/>
      <c r="TW209" s="201"/>
      <c r="TX209" s="201"/>
      <c r="TY209" s="201"/>
      <c r="TZ209" s="201"/>
      <c r="UA209" s="201"/>
      <c r="UB209" s="201"/>
      <c r="UC209" s="201"/>
      <c r="UD209" s="201"/>
      <c r="UE209" s="201"/>
      <c r="UF209" s="201"/>
      <c r="UG209" s="201"/>
      <c r="UH209" s="201"/>
      <c r="UI209" s="201"/>
      <c r="UJ209" s="201"/>
      <c r="UK209" s="201"/>
      <c r="UL209" s="201"/>
      <c r="UM209" s="201"/>
      <c r="UN209" s="201"/>
      <c r="UO209" s="201"/>
      <c r="UP209" s="201"/>
      <c r="UQ209" s="201"/>
      <c r="UR209" s="201"/>
      <c r="US209" s="201"/>
      <c r="UT209" s="201"/>
      <c r="UU209" s="201"/>
    </row>
    <row r="210" spans="2:567" x14ac:dyDescent="0.25">
      <c r="B210" s="70" t="s">
        <v>212</v>
      </c>
      <c r="C210" s="71"/>
      <c r="D210" s="74">
        <f ca="1">SUM(D208:D209)</f>
        <v>37041543.300745972</v>
      </c>
      <c r="E210" s="71"/>
      <c r="F210" s="71"/>
      <c r="G210" s="71"/>
      <c r="H210" s="71" t="s">
        <v>213</v>
      </c>
      <c r="I210" s="74">
        <f>I209/I208</f>
        <v>60182173.989986017</v>
      </c>
      <c r="J210" s="74">
        <f ca="1">J209/J208</f>
        <v>80026858.002745703</v>
      </c>
      <c r="K210" s="74">
        <f ca="1">K209/K208</f>
        <v>79713642.944920063</v>
      </c>
      <c r="R210" s="159" t="s">
        <v>637</v>
      </c>
      <c r="S210" s="92">
        <f ca="1">(S$19=$K$19)*$D210</f>
        <v>0</v>
      </c>
      <c r="T210" s="92">
        <f ca="1">(T$19=$K$19)*$D210</f>
        <v>0</v>
      </c>
      <c r="U210" s="92">
        <f t="shared" ref="U210:AZ210" ca="1" si="3291">(U$19=$K$19)*SUM(U208:U209)</f>
        <v>0</v>
      </c>
      <c r="V210" s="92">
        <f t="shared" ca="1" si="3291"/>
        <v>0</v>
      </c>
      <c r="W210" s="92">
        <f t="shared" ca="1" si="3291"/>
        <v>0</v>
      </c>
      <c r="X210" s="92">
        <f t="shared" ca="1" si="3291"/>
        <v>0</v>
      </c>
      <c r="Y210" s="92">
        <f t="shared" ca="1" si="3291"/>
        <v>0</v>
      </c>
      <c r="Z210" s="92">
        <f t="shared" ca="1" si="3291"/>
        <v>0</v>
      </c>
      <c r="AA210" s="92">
        <f t="shared" ca="1" si="3291"/>
        <v>0</v>
      </c>
      <c r="AB210" s="92">
        <f t="shared" ca="1" si="3291"/>
        <v>0</v>
      </c>
      <c r="AC210" s="92">
        <f t="shared" ca="1" si="3291"/>
        <v>0</v>
      </c>
      <c r="AD210" s="92">
        <f t="shared" ca="1" si="3291"/>
        <v>0</v>
      </c>
      <c r="AE210" s="92">
        <f t="shared" ca="1" si="3291"/>
        <v>0</v>
      </c>
      <c r="AF210" s="92">
        <f t="shared" ca="1" si="3291"/>
        <v>0</v>
      </c>
      <c r="AG210" s="92">
        <f t="shared" ca="1" si="3291"/>
        <v>0</v>
      </c>
      <c r="AH210" s="92">
        <f t="shared" ca="1" si="3291"/>
        <v>0</v>
      </c>
      <c r="AI210" s="92">
        <f t="shared" ca="1" si="3291"/>
        <v>0</v>
      </c>
      <c r="AJ210" s="92">
        <f t="shared" ca="1" si="3291"/>
        <v>0</v>
      </c>
      <c r="AK210" s="92">
        <f t="shared" ca="1" si="3291"/>
        <v>0</v>
      </c>
      <c r="AL210" s="92">
        <f t="shared" ca="1" si="3291"/>
        <v>0</v>
      </c>
      <c r="AM210" s="92">
        <f t="shared" ca="1" si="3291"/>
        <v>0</v>
      </c>
      <c r="AN210" s="92">
        <f t="shared" ca="1" si="3291"/>
        <v>0</v>
      </c>
      <c r="AO210" s="92">
        <f t="shared" ca="1" si="3291"/>
        <v>0</v>
      </c>
      <c r="AP210" s="92">
        <f t="shared" ca="1" si="3291"/>
        <v>0</v>
      </c>
      <c r="AQ210" s="92">
        <f t="shared" ca="1" si="3291"/>
        <v>0</v>
      </c>
      <c r="AR210" s="92">
        <f t="shared" ca="1" si="3291"/>
        <v>0</v>
      </c>
      <c r="AS210" s="92">
        <f t="shared" ca="1" si="3291"/>
        <v>0</v>
      </c>
      <c r="AT210" s="92">
        <f t="shared" ca="1" si="3291"/>
        <v>0</v>
      </c>
      <c r="AU210" s="92">
        <f t="shared" ca="1" si="3291"/>
        <v>0</v>
      </c>
      <c r="AV210" s="92">
        <f t="shared" ca="1" si="3291"/>
        <v>0</v>
      </c>
      <c r="AW210" s="92">
        <f t="shared" ca="1" si="3291"/>
        <v>0</v>
      </c>
      <c r="AX210" s="92">
        <f t="shared" ca="1" si="3291"/>
        <v>0</v>
      </c>
      <c r="AY210" s="92">
        <f t="shared" ca="1" si="3291"/>
        <v>0</v>
      </c>
      <c r="AZ210" s="92">
        <f t="shared" ca="1" si="3291"/>
        <v>0</v>
      </c>
      <c r="BA210" s="92">
        <f t="shared" ref="BA210:CF210" ca="1" si="3292">(BA$19=$K$19)*SUM(BA208:BA209)</f>
        <v>0</v>
      </c>
      <c r="BB210" s="92">
        <f t="shared" ca="1" si="3292"/>
        <v>0</v>
      </c>
      <c r="BC210" s="92">
        <f t="shared" ca="1" si="3292"/>
        <v>37041543.300745972</v>
      </c>
      <c r="BD210" s="92">
        <f t="shared" ca="1" si="3292"/>
        <v>0</v>
      </c>
      <c r="BE210" s="92">
        <f t="shared" ca="1" si="3292"/>
        <v>0</v>
      </c>
      <c r="BF210" s="92">
        <f t="shared" ca="1" si="3292"/>
        <v>0</v>
      </c>
      <c r="BG210" s="92">
        <f t="shared" ca="1" si="3292"/>
        <v>0</v>
      </c>
      <c r="BH210" s="92">
        <f t="shared" ca="1" si="3292"/>
        <v>0</v>
      </c>
      <c r="BI210" s="92">
        <f t="shared" ca="1" si="3292"/>
        <v>0</v>
      </c>
      <c r="BJ210" s="92">
        <f t="shared" ca="1" si="3292"/>
        <v>0</v>
      </c>
      <c r="BK210" s="92">
        <f t="shared" ca="1" si="3292"/>
        <v>0</v>
      </c>
      <c r="BL210" s="92">
        <f t="shared" ca="1" si="3292"/>
        <v>0</v>
      </c>
      <c r="BM210" s="92">
        <f t="shared" ca="1" si="3292"/>
        <v>0</v>
      </c>
      <c r="BN210" s="92">
        <f t="shared" ca="1" si="3292"/>
        <v>0</v>
      </c>
      <c r="BO210" s="92">
        <f t="shared" ca="1" si="3292"/>
        <v>0</v>
      </c>
      <c r="BP210" s="92">
        <f t="shared" ca="1" si="3292"/>
        <v>0</v>
      </c>
      <c r="BQ210" s="92">
        <f t="shared" ca="1" si="3292"/>
        <v>0</v>
      </c>
      <c r="BR210" s="92">
        <f t="shared" ca="1" si="3292"/>
        <v>0</v>
      </c>
      <c r="BS210" s="92">
        <f t="shared" ca="1" si="3292"/>
        <v>0</v>
      </c>
      <c r="BT210" s="92">
        <f t="shared" ca="1" si="3292"/>
        <v>0</v>
      </c>
      <c r="BU210" s="92">
        <f t="shared" ca="1" si="3292"/>
        <v>0</v>
      </c>
      <c r="BV210" s="92">
        <f t="shared" ca="1" si="3292"/>
        <v>0</v>
      </c>
      <c r="BW210" s="92">
        <f t="shared" ca="1" si="3292"/>
        <v>0</v>
      </c>
      <c r="BX210" s="92">
        <f t="shared" ca="1" si="3292"/>
        <v>0</v>
      </c>
      <c r="BY210" s="92">
        <f t="shared" ca="1" si="3292"/>
        <v>0</v>
      </c>
      <c r="BZ210" s="92">
        <f t="shared" ca="1" si="3292"/>
        <v>0</v>
      </c>
      <c r="CA210" s="92">
        <f t="shared" ca="1" si="3292"/>
        <v>0</v>
      </c>
      <c r="CB210" s="92">
        <f t="shared" ca="1" si="3292"/>
        <v>0</v>
      </c>
      <c r="CC210" s="92">
        <f t="shared" ca="1" si="3292"/>
        <v>0</v>
      </c>
      <c r="CD210" s="92">
        <f t="shared" ca="1" si="3292"/>
        <v>0</v>
      </c>
      <c r="CE210" s="92">
        <f t="shared" ca="1" si="3292"/>
        <v>0</v>
      </c>
      <c r="CF210" s="92">
        <f t="shared" ca="1" si="3292"/>
        <v>0</v>
      </c>
      <c r="CG210" s="92">
        <f t="shared" ref="CG210:DL210" ca="1" si="3293">(CG$19=$K$19)*SUM(CG208:CG209)</f>
        <v>0</v>
      </c>
      <c r="CH210" s="92">
        <f t="shared" ca="1" si="3293"/>
        <v>0</v>
      </c>
      <c r="CI210" s="92">
        <f t="shared" ca="1" si="3293"/>
        <v>0</v>
      </c>
      <c r="CJ210" s="92">
        <f t="shared" ca="1" si="3293"/>
        <v>0</v>
      </c>
      <c r="CK210" s="92">
        <f t="shared" ca="1" si="3293"/>
        <v>0</v>
      </c>
      <c r="CL210" s="92">
        <f t="shared" ca="1" si="3293"/>
        <v>0</v>
      </c>
      <c r="CM210" s="92">
        <f t="shared" ca="1" si="3293"/>
        <v>0</v>
      </c>
      <c r="CN210" s="92">
        <f t="shared" ca="1" si="3293"/>
        <v>0</v>
      </c>
      <c r="CO210" s="92">
        <f t="shared" ca="1" si="3293"/>
        <v>0</v>
      </c>
      <c r="CP210" s="92">
        <f t="shared" ca="1" si="3293"/>
        <v>0</v>
      </c>
      <c r="CQ210" s="92">
        <f t="shared" ca="1" si="3293"/>
        <v>0</v>
      </c>
      <c r="CR210" s="92">
        <f t="shared" ca="1" si="3293"/>
        <v>0</v>
      </c>
      <c r="CS210" s="92">
        <f t="shared" ca="1" si="3293"/>
        <v>0</v>
      </c>
      <c r="CT210" s="92">
        <f t="shared" ca="1" si="3293"/>
        <v>0</v>
      </c>
      <c r="CU210" s="92">
        <f t="shared" ca="1" si="3293"/>
        <v>0</v>
      </c>
      <c r="CV210" s="92">
        <f t="shared" ca="1" si="3293"/>
        <v>0</v>
      </c>
      <c r="CW210" s="92">
        <f t="shared" ca="1" si="3293"/>
        <v>0</v>
      </c>
      <c r="CX210" s="92">
        <f t="shared" ca="1" si="3293"/>
        <v>0</v>
      </c>
      <c r="CY210" s="92">
        <f t="shared" ca="1" si="3293"/>
        <v>0</v>
      </c>
      <c r="CZ210" s="92">
        <f t="shared" ca="1" si="3293"/>
        <v>0</v>
      </c>
      <c r="DA210" s="92">
        <f t="shared" ca="1" si="3293"/>
        <v>0</v>
      </c>
      <c r="DB210" s="92">
        <f t="shared" ca="1" si="3293"/>
        <v>0</v>
      </c>
      <c r="DC210" s="92">
        <f t="shared" ca="1" si="3293"/>
        <v>0</v>
      </c>
      <c r="DD210" s="92">
        <f t="shared" ca="1" si="3293"/>
        <v>0</v>
      </c>
      <c r="DE210" s="92">
        <f t="shared" ca="1" si="3293"/>
        <v>0</v>
      </c>
      <c r="DF210" s="92">
        <f t="shared" ca="1" si="3293"/>
        <v>0</v>
      </c>
      <c r="DG210" s="92">
        <f t="shared" ca="1" si="3293"/>
        <v>0</v>
      </c>
      <c r="DH210" s="92">
        <f t="shared" ca="1" si="3293"/>
        <v>0</v>
      </c>
      <c r="DI210" s="92">
        <f t="shared" ca="1" si="3293"/>
        <v>0</v>
      </c>
      <c r="DJ210" s="92">
        <f t="shared" ca="1" si="3293"/>
        <v>0</v>
      </c>
      <c r="DK210" s="92">
        <f t="shared" ca="1" si="3293"/>
        <v>0</v>
      </c>
      <c r="DL210" s="92">
        <f t="shared" ca="1" si="3293"/>
        <v>0</v>
      </c>
      <c r="DM210" s="92">
        <f t="shared" ref="DM210:ER210" ca="1" si="3294">(DM$19=$K$19)*SUM(DM208:DM209)</f>
        <v>0</v>
      </c>
      <c r="DN210" s="92">
        <f t="shared" ca="1" si="3294"/>
        <v>0</v>
      </c>
      <c r="DO210" s="92">
        <f t="shared" ca="1" si="3294"/>
        <v>0</v>
      </c>
      <c r="DP210" s="92">
        <f t="shared" ca="1" si="3294"/>
        <v>0</v>
      </c>
      <c r="DQ210" s="92">
        <f t="shared" ca="1" si="3294"/>
        <v>0</v>
      </c>
      <c r="DR210" s="92">
        <f t="shared" ca="1" si="3294"/>
        <v>0</v>
      </c>
      <c r="DS210" s="92">
        <f t="shared" ca="1" si="3294"/>
        <v>0</v>
      </c>
      <c r="DT210" s="92">
        <f t="shared" ca="1" si="3294"/>
        <v>0</v>
      </c>
      <c r="DU210" s="92">
        <f t="shared" ca="1" si="3294"/>
        <v>0</v>
      </c>
      <c r="DV210" s="92">
        <f t="shared" ca="1" si="3294"/>
        <v>0</v>
      </c>
      <c r="DW210" s="92">
        <f t="shared" ca="1" si="3294"/>
        <v>0</v>
      </c>
      <c r="DX210" s="92">
        <f t="shared" ca="1" si="3294"/>
        <v>0</v>
      </c>
      <c r="DY210" s="92">
        <f t="shared" ca="1" si="3294"/>
        <v>0</v>
      </c>
      <c r="DZ210" s="92">
        <f t="shared" ca="1" si="3294"/>
        <v>0</v>
      </c>
      <c r="EA210" s="92">
        <f t="shared" ca="1" si="3294"/>
        <v>0</v>
      </c>
      <c r="EB210" s="92">
        <f t="shared" ca="1" si="3294"/>
        <v>0</v>
      </c>
      <c r="EC210" s="92">
        <f t="shared" ca="1" si="3294"/>
        <v>0</v>
      </c>
      <c r="ED210" s="92">
        <f t="shared" ca="1" si="3294"/>
        <v>0</v>
      </c>
      <c r="EE210" s="92">
        <f t="shared" ca="1" si="3294"/>
        <v>0</v>
      </c>
      <c r="EF210" s="92">
        <f t="shared" ca="1" si="3294"/>
        <v>0</v>
      </c>
      <c r="EG210" s="92">
        <f t="shared" ca="1" si="3294"/>
        <v>0</v>
      </c>
      <c r="EH210" s="92">
        <f t="shared" ca="1" si="3294"/>
        <v>0</v>
      </c>
      <c r="EI210" s="92">
        <f t="shared" ca="1" si="3294"/>
        <v>0</v>
      </c>
      <c r="EJ210" s="92">
        <f t="shared" ca="1" si="3294"/>
        <v>0</v>
      </c>
      <c r="EK210" s="92">
        <f t="shared" ca="1" si="3294"/>
        <v>0</v>
      </c>
      <c r="EL210" s="92">
        <f t="shared" ca="1" si="3294"/>
        <v>0</v>
      </c>
      <c r="EM210" s="92">
        <f t="shared" ca="1" si="3294"/>
        <v>0</v>
      </c>
      <c r="EN210" s="92">
        <f t="shared" ca="1" si="3294"/>
        <v>0</v>
      </c>
      <c r="EO210" s="92">
        <f t="shared" ca="1" si="3294"/>
        <v>0</v>
      </c>
      <c r="EP210" s="92">
        <f t="shared" ca="1" si="3294"/>
        <v>0</v>
      </c>
      <c r="EQ210" s="92">
        <f t="shared" ca="1" si="3294"/>
        <v>0</v>
      </c>
      <c r="ER210" s="92">
        <f t="shared" ca="1" si="3294"/>
        <v>0</v>
      </c>
      <c r="ES210" s="92">
        <f t="shared" ref="ES210:EU210" ca="1" si="3295">(ES$19=$K$19)*SUM(ES208:ES209)</f>
        <v>0</v>
      </c>
      <c r="ET210" s="92">
        <f t="shared" ca="1" si="3295"/>
        <v>0</v>
      </c>
      <c r="EU210" s="92">
        <f t="shared" ca="1" si="3295"/>
        <v>0</v>
      </c>
      <c r="EW210" s="201" t="s">
        <v>263</v>
      </c>
      <c r="EX210" s="229"/>
      <c r="EY210" s="229"/>
      <c r="EZ210" s="235"/>
      <c r="FA210" s="230"/>
      <c r="FB210" s="230"/>
      <c r="FC210" s="231">
        <f t="shared" ref="FC210:GH210" ca="1" si="3296">IF(FC209="","",FB217)</f>
        <v>0</v>
      </c>
      <c r="FD210" s="231">
        <f t="shared" ca="1" si="3296"/>
        <v>26865102.25</v>
      </c>
      <c r="FE210" s="231">
        <f t="shared" ca="1" si="3296"/>
        <v>26994534.182492182</v>
      </c>
      <c r="FF210" s="231">
        <f t="shared" ca="1" si="3296"/>
        <v>27119882.598592784</v>
      </c>
      <c r="FG210" s="231">
        <f t="shared" ca="1" si="3296"/>
        <v>27243468.855324864</v>
      </c>
      <c r="FH210" s="231">
        <f t="shared" ca="1" si="3296"/>
        <v>27364746.532552607</v>
      </c>
      <c r="FI210" s="231">
        <f t="shared" ca="1" si="3296"/>
        <v>27482899.246632159</v>
      </c>
      <c r="FJ210" s="231">
        <f t="shared" ca="1" si="3296"/>
        <v>27599167.123286493</v>
      </c>
      <c r="FK210" s="231">
        <f t="shared" ca="1" si="3296"/>
        <v>27713404.171061084</v>
      </c>
      <c r="FL210" s="231">
        <f t="shared" ca="1" si="3296"/>
        <v>27825376.25814664</v>
      </c>
      <c r="FM210" s="231">
        <f t="shared" ca="1" si="3296"/>
        <v>27935344.751486871</v>
      </c>
      <c r="FN210" s="231">
        <f t="shared" ca="1" si="3296"/>
        <v>28043317.08503193</v>
      </c>
      <c r="FO210" s="231">
        <f t="shared" ca="1" si="3296"/>
        <v>28149289.206589494</v>
      </c>
      <c r="FP210" s="231">
        <f t="shared" ca="1" si="3296"/>
        <v>28253264.055819292</v>
      </c>
      <c r="FQ210" s="231">
        <f t="shared" ca="1" si="3296"/>
        <v>28354643.616508931</v>
      </c>
      <c r="FR210" s="231">
        <f t="shared" ca="1" si="3296"/>
        <v>28453446.726151977</v>
      </c>
      <c r="FS210" s="231">
        <f t="shared" ca="1" si="3296"/>
        <v>28549606.067612812</v>
      </c>
      <c r="FT210" s="231">
        <f t="shared" ca="1" si="3296"/>
        <v>28643077.755016625</v>
      </c>
      <c r="FU210" s="231">
        <f t="shared" ca="1" si="3296"/>
        <v>28733819.485726636</v>
      </c>
      <c r="FV210" s="231">
        <f t="shared" ca="1" si="3296"/>
        <v>28821781.966100506</v>
      </c>
      <c r="FW210" s="231">
        <f t="shared" ca="1" si="3296"/>
        <v>28906927.345999409</v>
      </c>
      <c r="FX210" s="231">
        <f t="shared" ca="1" si="3296"/>
        <v>28989183.042244449</v>
      </c>
      <c r="FY210" s="231">
        <f t="shared" ca="1" si="3296"/>
        <v>29068503.095991135</v>
      </c>
      <c r="FZ210" s="231">
        <f t="shared" ca="1" si="3296"/>
        <v>29144843.164070476</v>
      </c>
      <c r="GA210" s="231">
        <f t="shared" ca="1" si="3296"/>
        <v>29218153.348107215</v>
      </c>
      <c r="GB210" s="231">
        <f t="shared" ca="1" si="3296"/>
        <v>29287379.332263377</v>
      </c>
      <c r="GC210" s="231">
        <f t="shared" ca="1" si="3296"/>
        <v>29336380.700634688</v>
      </c>
      <c r="GD210" s="231">
        <f t="shared" ca="1" si="3296"/>
        <v>29385335.193842344</v>
      </c>
      <c r="GE210" s="231">
        <f t="shared" ca="1" si="3296"/>
        <v>29434198.584102727</v>
      </c>
      <c r="GF210" s="231">
        <f t="shared" ca="1" si="3296"/>
        <v>29482999.544831261</v>
      </c>
      <c r="GG210" s="231">
        <f t="shared" ca="1" si="3296"/>
        <v>29531697.998432741</v>
      </c>
      <c r="GH210" s="231">
        <f t="shared" ca="1" si="3296"/>
        <v>29580281.485448204</v>
      </c>
      <c r="GI210" s="231">
        <f t="shared" ref="GI210:HN210" ca="1" si="3297">IF(GI209="","",GH217)</f>
        <v>29628741.722056102</v>
      </c>
      <c r="GJ210" s="231">
        <f t="shared" ca="1" si="3297"/>
        <v>29677051.973680142</v>
      </c>
      <c r="GK210" s="231">
        <f t="shared" ca="1" si="3297"/>
        <v>29725227.339284241</v>
      </c>
      <c r="GL210" s="231">
        <f t="shared" ca="1" si="3297"/>
        <v>29773214.725663103</v>
      </c>
      <c r="GM210" s="231">
        <f t="shared" ca="1" si="3297"/>
        <v>29821006.623420853</v>
      </c>
      <c r="GN210" s="231" t="str">
        <f t="shared" si="3297"/>
        <v/>
      </c>
      <c r="GO210" s="231" t="str">
        <f t="shared" si="3297"/>
        <v/>
      </c>
      <c r="GP210" s="231" t="str">
        <f t="shared" si="3297"/>
        <v/>
      </c>
      <c r="GQ210" s="231" t="str">
        <f t="shared" si="3297"/>
        <v/>
      </c>
      <c r="GR210" s="231" t="str">
        <f t="shared" si="3297"/>
        <v/>
      </c>
      <c r="GS210" s="231" t="str">
        <f t="shared" si="3297"/>
        <v/>
      </c>
      <c r="GT210" s="231" t="str">
        <f t="shared" si="3297"/>
        <v/>
      </c>
      <c r="GU210" s="231" t="str">
        <f t="shared" si="3297"/>
        <v/>
      </c>
      <c r="GV210" s="231" t="str">
        <f t="shared" si="3297"/>
        <v/>
      </c>
      <c r="GW210" s="231" t="str">
        <f t="shared" si="3297"/>
        <v/>
      </c>
      <c r="GX210" s="231" t="str">
        <f t="shared" si="3297"/>
        <v/>
      </c>
      <c r="GY210" s="231" t="str">
        <f t="shared" si="3297"/>
        <v/>
      </c>
      <c r="GZ210" s="231" t="str">
        <f t="shared" si="3297"/>
        <v/>
      </c>
      <c r="HA210" s="231" t="str">
        <f t="shared" si="3297"/>
        <v/>
      </c>
      <c r="HB210" s="231" t="str">
        <f t="shared" si="3297"/>
        <v/>
      </c>
      <c r="HC210" s="231" t="str">
        <f t="shared" si="3297"/>
        <v/>
      </c>
      <c r="HD210" s="231" t="str">
        <f t="shared" si="3297"/>
        <v/>
      </c>
      <c r="HE210" s="231" t="str">
        <f t="shared" si="3297"/>
        <v/>
      </c>
      <c r="HF210" s="231" t="str">
        <f t="shared" si="3297"/>
        <v/>
      </c>
      <c r="HG210" s="231" t="str">
        <f t="shared" si="3297"/>
        <v/>
      </c>
      <c r="HH210" s="231" t="str">
        <f t="shared" si="3297"/>
        <v/>
      </c>
      <c r="HI210" s="231" t="str">
        <f t="shared" si="3297"/>
        <v/>
      </c>
      <c r="HJ210" s="231" t="str">
        <f t="shared" si="3297"/>
        <v/>
      </c>
      <c r="HK210" s="231" t="str">
        <f t="shared" si="3297"/>
        <v/>
      </c>
      <c r="HL210" s="231" t="str">
        <f t="shared" si="3297"/>
        <v/>
      </c>
      <c r="HM210" s="231" t="str">
        <f t="shared" si="3297"/>
        <v/>
      </c>
      <c r="HN210" s="231" t="str">
        <f t="shared" si="3297"/>
        <v/>
      </c>
      <c r="HO210" s="231" t="str">
        <f t="shared" ref="HO210:IT210" si="3298">IF(HO209="","",HN217)</f>
        <v/>
      </c>
      <c r="HP210" s="231" t="str">
        <f t="shared" si="3298"/>
        <v/>
      </c>
      <c r="HQ210" s="231" t="str">
        <f t="shared" si="3298"/>
        <v/>
      </c>
      <c r="HR210" s="231" t="str">
        <f t="shared" si="3298"/>
        <v/>
      </c>
      <c r="HS210" s="231" t="str">
        <f t="shared" si="3298"/>
        <v/>
      </c>
      <c r="HT210" s="231" t="str">
        <f t="shared" si="3298"/>
        <v/>
      </c>
      <c r="HU210" s="231" t="str">
        <f t="shared" si="3298"/>
        <v/>
      </c>
      <c r="HV210" s="231" t="str">
        <f t="shared" si="3298"/>
        <v/>
      </c>
      <c r="HW210" s="231" t="str">
        <f t="shared" si="3298"/>
        <v/>
      </c>
      <c r="HX210" s="231" t="str">
        <f t="shared" si="3298"/>
        <v/>
      </c>
      <c r="HY210" s="231" t="str">
        <f t="shared" si="3298"/>
        <v/>
      </c>
      <c r="HZ210" s="231" t="str">
        <f t="shared" si="3298"/>
        <v/>
      </c>
      <c r="IA210" s="231" t="str">
        <f t="shared" si="3298"/>
        <v/>
      </c>
      <c r="IB210" s="231" t="str">
        <f t="shared" si="3298"/>
        <v/>
      </c>
      <c r="IC210" s="231" t="str">
        <f t="shared" si="3298"/>
        <v/>
      </c>
      <c r="ID210" s="231" t="str">
        <f t="shared" si="3298"/>
        <v/>
      </c>
      <c r="IE210" s="231" t="str">
        <f t="shared" si="3298"/>
        <v/>
      </c>
      <c r="IF210" s="231" t="str">
        <f t="shared" si="3298"/>
        <v/>
      </c>
      <c r="IG210" s="231" t="str">
        <f t="shared" si="3298"/>
        <v/>
      </c>
      <c r="IH210" s="231" t="str">
        <f t="shared" si="3298"/>
        <v/>
      </c>
      <c r="II210" s="231" t="str">
        <f t="shared" si="3298"/>
        <v/>
      </c>
      <c r="IJ210" s="231" t="str">
        <f t="shared" si="3298"/>
        <v/>
      </c>
      <c r="IK210" s="231" t="str">
        <f t="shared" si="3298"/>
        <v/>
      </c>
      <c r="IL210" s="231" t="str">
        <f t="shared" si="3298"/>
        <v/>
      </c>
      <c r="IM210" s="231" t="str">
        <f t="shared" si="3298"/>
        <v/>
      </c>
      <c r="IN210" s="231" t="str">
        <f t="shared" si="3298"/>
        <v/>
      </c>
      <c r="IO210" s="231" t="str">
        <f t="shared" si="3298"/>
        <v/>
      </c>
      <c r="IP210" s="231" t="str">
        <f t="shared" si="3298"/>
        <v/>
      </c>
      <c r="IQ210" s="231" t="str">
        <f t="shared" si="3298"/>
        <v/>
      </c>
      <c r="IR210" s="231" t="str">
        <f t="shared" si="3298"/>
        <v/>
      </c>
      <c r="IS210" s="231" t="str">
        <f t="shared" si="3298"/>
        <v/>
      </c>
      <c r="IT210" s="231" t="str">
        <f t="shared" si="3298"/>
        <v/>
      </c>
      <c r="IU210" s="231" t="str">
        <f t="shared" ref="IU210:JZ210" si="3299">IF(IU209="","",IT217)</f>
        <v/>
      </c>
      <c r="IV210" s="231" t="str">
        <f t="shared" si="3299"/>
        <v/>
      </c>
      <c r="IW210" s="231" t="str">
        <f t="shared" si="3299"/>
        <v/>
      </c>
      <c r="IX210" s="231" t="str">
        <f t="shared" si="3299"/>
        <v/>
      </c>
      <c r="IY210" s="231" t="str">
        <f t="shared" si="3299"/>
        <v/>
      </c>
      <c r="IZ210" s="231" t="str">
        <f t="shared" si="3299"/>
        <v/>
      </c>
      <c r="JA210" s="231" t="str">
        <f t="shared" si="3299"/>
        <v/>
      </c>
      <c r="JB210" s="231" t="str">
        <f t="shared" si="3299"/>
        <v/>
      </c>
      <c r="JC210" s="231" t="str">
        <f t="shared" si="3299"/>
        <v/>
      </c>
      <c r="JD210" s="231" t="str">
        <f t="shared" si="3299"/>
        <v/>
      </c>
      <c r="JE210" s="231" t="str">
        <f t="shared" si="3299"/>
        <v/>
      </c>
      <c r="JF210" s="231" t="str">
        <f t="shared" si="3299"/>
        <v/>
      </c>
      <c r="JG210" s="231" t="str">
        <f t="shared" si="3299"/>
        <v/>
      </c>
      <c r="JH210" s="231" t="str">
        <f t="shared" si="3299"/>
        <v/>
      </c>
      <c r="JI210" s="231" t="str">
        <f t="shared" si="3299"/>
        <v/>
      </c>
      <c r="JJ210" s="231" t="str">
        <f t="shared" si="3299"/>
        <v/>
      </c>
      <c r="JK210" s="231" t="str">
        <f t="shared" si="3299"/>
        <v/>
      </c>
      <c r="JL210" s="231" t="str">
        <f t="shared" si="3299"/>
        <v/>
      </c>
      <c r="JM210" s="231" t="str">
        <f t="shared" si="3299"/>
        <v/>
      </c>
      <c r="JN210" s="231" t="str">
        <f t="shared" si="3299"/>
        <v/>
      </c>
      <c r="JO210" s="231" t="str">
        <f t="shared" si="3299"/>
        <v/>
      </c>
      <c r="JP210" s="231" t="str">
        <f t="shared" si="3299"/>
        <v/>
      </c>
      <c r="JQ210" s="231" t="str">
        <f t="shared" si="3299"/>
        <v/>
      </c>
      <c r="JR210" s="231" t="str">
        <f t="shared" si="3299"/>
        <v/>
      </c>
      <c r="JS210" s="231" t="str">
        <f t="shared" si="3299"/>
        <v/>
      </c>
      <c r="JT210" s="231" t="str">
        <f t="shared" si="3299"/>
        <v/>
      </c>
      <c r="JU210" s="231" t="str">
        <f t="shared" si="3299"/>
        <v/>
      </c>
      <c r="JV210" s="231" t="str">
        <f t="shared" si="3299"/>
        <v/>
      </c>
      <c r="JW210" s="231" t="str">
        <f t="shared" si="3299"/>
        <v/>
      </c>
      <c r="JX210" s="231" t="str">
        <f t="shared" si="3299"/>
        <v/>
      </c>
      <c r="JY210" s="231" t="str">
        <f t="shared" si="3299"/>
        <v/>
      </c>
      <c r="JZ210" s="231" t="str">
        <f t="shared" si="3299"/>
        <v/>
      </c>
      <c r="KA210" s="231" t="str">
        <f t="shared" ref="KA210:KE210" si="3300">IF(KA209="","",JZ217)</f>
        <v/>
      </c>
      <c r="KB210" s="231" t="str">
        <f t="shared" si="3300"/>
        <v/>
      </c>
      <c r="KC210" s="231" t="str">
        <f t="shared" si="3300"/>
        <v/>
      </c>
      <c r="KD210" s="231" t="str">
        <f t="shared" si="3300"/>
        <v/>
      </c>
      <c r="KE210" s="231" t="str">
        <f t="shared" si="3300"/>
        <v/>
      </c>
      <c r="KF210" s="218" t="s">
        <v>269</v>
      </c>
      <c r="PQ210" s="201"/>
      <c r="PR210" s="201"/>
      <c r="PS210" s="201"/>
      <c r="PT210" s="201"/>
      <c r="PU210" s="201"/>
      <c r="PV210" s="201"/>
      <c r="PW210" s="201"/>
      <c r="PX210" s="201"/>
      <c r="PY210" s="201"/>
      <c r="PZ210" s="201"/>
      <c r="QA210" s="201"/>
      <c r="QB210" s="201"/>
      <c r="QC210" s="201"/>
      <c r="QD210" s="201"/>
      <c r="QE210" s="201"/>
      <c r="QF210" s="201"/>
      <c r="QG210" s="201"/>
      <c r="QH210" s="201"/>
      <c r="QI210" s="201"/>
      <c r="QJ210" s="201"/>
      <c r="QK210" s="201"/>
      <c r="QL210" s="201"/>
      <c r="QM210" s="201"/>
      <c r="QN210" s="201"/>
      <c r="QO210" s="201"/>
      <c r="QP210" s="201"/>
      <c r="QQ210" s="201"/>
      <c r="QR210" s="201"/>
      <c r="QS210" s="201"/>
      <c r="QT210" s="201"/>
      <c r="QU210" s="201"/>
      <c r="QV210" s="201"/>
      <c r="QW210" s="201"/>
      <c r="QX210" s="201"/>
      <c r="QY210" s="201"/>
      <c r="QZ210" s="201"/>
      <c r="RA210" s="201"/>
      <c r="RB210" s="201"/>
      <c r="RC210" s="201"/>
      <c r="RD210" s="201"/>
      <c r="RE210" s="201"/>
      <c r="RF210" s="201"/>
      <c r="RG210" s="201"/>
      <c r="RH210" s="201"/>
      <c r="RI210" s="201"/>
      <c r="RJ210" s="201"/>
      <c r="RK210" s="201"/>
      <c r="RL210" s="201"/>
      <c r="RM210" s="201"/>
      <c r="RN210" s="201"/>
      <c r="RO210" s="201"/>
      <c r="RP210" s="201"/>
      <c r="RQ210" s="201"/>
      <c r="RR210" s="201"/>
      <c r="RS210" s="201"/>
      <c r="RT210" s="201"/>
      <c r="RU210" s="201"/>
      <c r="RV210" s="201"/>
      <c r="RW210" s="201"/>
      <c r="RX210" s="201"/>
      <c r="RY210" s="201"/>
      <c r="RZ210" s="201"/>
      <c r="SA210" s="201"/>
      <c r="SB210" s="201"/>
      <c r="SC210" s="201"/>
      <c r="SD210" s="201"/>
      <c r="SE210" s="201"/>
      <c r="SF210" s="201"/>
      <c r="SG210" s="201"/>
      <c r="SH210" s="201"/>
      <c r="SI210" s="201"/>
      <c r="SJ210" s="201"/>
      <c r="SK210" s="201"/>
      <c r="SL210" s="201"/>
      <c r="SM210" s="201"/>
      <c r="SN210" s="201"/>
      <c r="SO210" s="201"/>
      <c r="SP210" s="201"/>
      <c r="SQ210" s="201"/>
      <c r="SR210" s="201"/>
      <c r="SS210" s="201"/>
      <c r="ST210" s="201"/>
      <c r="SU210" s="201"/>
      <c r="SV210" s="201"/>
      <c r="SW210" s="201"/>
      <c r="SX210" s="201"/>
      <c r="SY210" s="201"/>
      <c r="SZ210" s="201"/>
      <c r="TA210" s="201"/>
      <c r="TB210" s="201"/>
      <c r="TC210" s="201"/>
      <c r="TD210" s="201"/>
      <c r="TE210" s="201"/>
      <c r="TF210" s="201"/>
      <c r="TG210" s="201"/>
      <c r="TH210" s="201"/>
      <c r="TI210" s="201"/>
      <c r="TJ210" s="201"/>
      <c r="TK210" s="201"/>
      <c r="TL210" s="201"/>
      <c r="TM210" s="201"/>
      <c r="TN210" s="201"/>
      <c r="TO210" s="201"/>
      <c r="TP210" s="201"/>
      <c r="TQ210" s="201"/>
      <c r="TR210" s="201"/>
      <c r="TS210" s="201"/>
      <c r="TT210" s="201"/>
      <c r="TU210" s="201"/>
      <c r="TV210" s="201"/>
      <c r="TW210" s="201"/>
      <c r="TX210" s="201"/>
      <c r="TY210" s="201"/>
      <c r="TZ210" s="201"/>
      <c r="UA210" s="201"/>
      <c r="UB210" s="201"/>
      <c r="UC210" s="201"/>
      <c r="UD210" s="201"/>
      <c r="UE210" s="201"/>
      <c r="UF210" s="201"/>
      <c r="UG210" s="201"/>
      <c r="UH210" s="201"/>
      <c r="UI210" s="201"/>
      <c r="UJ210" s="201"/>
      <c r="UK210" s="201"/>
      <c r="UL210" s="201"/>
      <c r="UM210" s="201"/>
      <c r="UN210" s="201"/>
      <c r="UO210" s="201"/>
      <c r="UP210" s="201"/>
      <c r="UQ210" s="201"/>
      <c r="UR210" s="201"/>
      <c r="US210" s="201"/>
      <c r="UT210" s="201"/>
      <c r="UU210" s="201"/>
    </row>
    <row r="211" spans="2:567" x14ac:dyDescent="0.25">
      <c r="B211" s="70"/>
      <c r="C211" s="71"/>
      <c r="D211" s="74"/>
      <c r="E211" s="71"/>
      <c r="F211" s="71"/>
      <c r="G211" s="71"/>
      <c r="H211" s="528" t="s">
        <v>307</v>
      </c>
      <c r="I211" s="34">
        <f>I210/Units</f>
        <v>200607.24663328673</v>
      </c>
      <c r="J211" s="34">
        <f ca="1">J210/Units</f>
        <v>266756.1933424857</v>
      </c>
      <c r="K211" s="34">
        <f ca="1">K210/Units</f>
        <v>265712.14314973354</v>
      </c>
      <c r="EW211" s="201"/>
      <c r="EX211" s="229"/>
      <c r="EY211" s="229"/>
      <c r="EZ211" s="235"/>
      <c r="FA211" s="230"/>
      <c r="FB211" s="230"/>
      <c r="FC211" s="231"/>
      <c r="FD211" s="231"/>
      <c r="FE211" s="231"/>
      <c r="FF211" s="231"/>
      <c r="FG211" s="231"/>
      <c r="FH211" s="231"/>
      <c r="FI211" s="231"/>
      <c r="FJ211" s="231"/>
      <c r="FK211" s="231"/>
      <c r="FL211" s="231"/>
      <c r="FM211" s="231"/>
      <c r="FN211" s="231"/>
      <c r="FO211" s="231"/>
      <c r="FP211" s="231"/>
      <c r="FQ211" s="231"/>
      <c r="FR211" s="231"/>
      <c r="FS211" s="231"/>
      <c r="FT211" s="231"/>
      <c r="FU211" s="231"/>
      <c r="FV211" s="231"/>
      <c r="FW211" s="231"/>
      <c r="FX211" s="231"/>
      <c r="FY211" s="231"/>
      <c r="FZ211" s="231"/>
      <c r="GA211" s="231"/>
      <c r="GB211" s="231"/>
      <c r="GC211" s="231"/>
      <c r="GD211" s="231"/>
      <c r="GE211" s="231"/>
      <c r="GF211" s="231"/>
      <c r="GG211" s="231"/>
      <c r="GH211" s="231"/>
      <c r="GI211" s="231"/>
      <c r="GJ211" s="231"/>
      <c r="GK211" s="231"/>
      <c r="GL211" s="231"/>
      <c r="GM211" s="231"/>
      <c r="GN211" s="231"/>
      <c r="GO211" s="231"/>
      <c r="GP211" s="231"/>
      <c r="GQ211" s="231"/>
      <c r="GR211" s="231"/>
      <c r="GS211" s="231"/>
      <c r="GT211" s="231"/>
      <c r="GU211" s="231"/>
      <c r="GV211" s="231"/>
      <c r="GW211" s="231"/>
      <c r="GX211" s="231"/>
      <c r="GY211" s="231"/>
      <c r="GZ211" s="231"/>
      <c r="HA211" s="231"/>
      <c r="HB211" s="231"/>
      <c r="HC211" s="231"/>
      <c r="HD211" s="231"/>
      <c r="HE211" s="231"/>
      <c r="HF211" s="231"/>
      <c r="HG211" s="231"/>
      <c r="HH211" s="231"/>
      <c r="HI211" s="231"/>
      <c r="HJ211" s="231"/>
      <c r="HK211" s="231"/>
      <c r="HL211" s="231"/>
      <c r="HM211" s="231"/>
      <c r="HN211" s="231"/>
      <c r="HO211" s="231"/>
      <c r="HP211" s="231"/>
      <c r="HQ211" s="231"/>
      <c r="HR211" s="231"/>
      <c r="HS211" s="231"/>
      <c r="HT211" s="231"/>
      <c r="HU211" s="231"/>
      <c r="HV211" s="231"/>
      <c r="HW211" s="231"/>
      <c r="HX211" s="231"/>
      <c r="HY211" s="231"/>
      <c r="HZ211" s="231"/>
      <c r="IA211" s="231"/>
      <c r="IB211" s="231"/>
      <c r="IC211" s="231"/>
      <c r="ID211" s="231"/>
      <c r="IE211" s="231"/>
      <c r="IF211" s="231"/>
      <c r="IG211" s="231"/>
      <c r="IH211" s="231"/>
      <c r="II211" s="231"/>
      <c r="IJ211" s="231"/>
      <c r="IK211" s="231"/>
      <c r="IL211" s="231"/>
      <c r="IM211" s="231"/>
      <c r="IN211" s="231"/>
      <c r="IO211" s="231"/>
      <c r="IP211" s="231"/>
      <c r="IQ211" s="231"/>
      <c r="IR211" s="231"/>
      <c r="IS211" s="231"/>
      <c r="IT211" s="231"/>
      <c r="IU211" s="231"/>
      <c r="IV211" s="231"/>
      <c r="IW211" s="231"/>
      <c r="IX211" s="231"/>
      <c r="IY211" s="231"/>
      <c r="IZ211" s="231"/>
      <c r="JA211" s="231"/>
      <c r="JB211" s="231"/>
      <c r="JC211" s="231"/>
      <c r="JD211" s="231"/>
      <c r="JE211" s="231"/>
      <c r="JF211" s="231"/>
      <c r="JG211" s="231"/>
      <c r="JH211" s="231"/>
      <c r="JI211" s="231"/>
      <c r="JJ211" s="231"/>
      <c r="JK211" s="231"/>
      <c r="JL211" s="231"/>
      <c r="JM211" s="231"/>
      <c r="JN211" s="231"/>
      <c r="JO211" s="231"/>
      <c r="JP211" s="231"/>
      <c r="JQ211" s="231"/>
      <c r="JR211" s="231"/>
      <c r="JS211" s="231"/>
      <c r="JT211" s="231"/>
      <c r="JU211" s="231"/>
      <c r="JV211" s="231"/>
      <c r="JW211" s="231"/>
      <c r="JX211" s="231"/>
      <c r="JY211" s="231"/>
      <c r="JZ211" s="231"/>
      <c r="KA211" s="231"/>
      <c r="KB211" s="231"/>
      <c r="KC211" s="231"/>
      <c r="KD211" s="231"/>
      <c r="KE211" s="231"/>
      <c r="KF211" s="218"/>
      <c r="PQ211" s="201"/>
      <c r="PR211" s="201"/>
      <c r="PS211" s="201"/>
      <c r="PT211" s="201"/>
      <c r="PU211" s="201"/>
      <c r="PV211" s="201"/>
      <c r="PW211" s="201"/>
      <c r="PX211" s="201"/>
      <c r="PY211" s="201"/>
      <c r="PZ211" s="201"/>
      <c r="QA211" s="201"/>
      <c r="QB211" s="201"/>
      <c r="QC211" s="201"/>
      <c r="QD211" s="201"/>
      <c r="QE211" s="201"/>
      <c r="QF211" s="201"/>
      <c r="QG211" s="201"/>
      <c r="QH211" s="201"/>
      <c r="QI211" s="201"/>
      <c r="QJ211" s="201"/>
      <c r="QK211" s="201"/>
      <c r="QL211" s="201"/>
      <c r="QM211" s="201"/>
      <c r="QN211" s="201"/>
      <c r="QO211" s="201"/>
      <c r="QP211" s="201"/>
      <c r="QQ211" s="201"/>
      <c r="QR211" s="201"/>
      <c r="QS211" s="201"/>
      <c r="QT211" s="201"/>
      <c r="QU211" s="201"/>
      <c r="QV211" s="201"/>
      <c r="QW211" s="201"/>
      <c r="QX211" s="201"/>
      <c r="QY211" s="201"/>
      <c r="QZ211" s="201"/>
      <c r="RA211" s="201"/>
      <c r="RB211" s="201"/>
      <c r="RC211" s="201"/>
      <c r="RD211" s="201"/>
      <c r="RE211" s="201"/>
      <c r="RF211" s="201"/>
      <c r="RG211" s="201"/>
      <c r="RH211" s="201"/>
      <c r="RI211" s="201"/>
      <c r="RJ211" s="201"/>
      <c r="RK211" s="201"/>
      <c r="RL211" s="201"/>
      <c r="RM211" s="201"/>
      <c r="RN211" s="201"/>
      <c r="RO211" s="201"/>
      <c r="RP211" s="201"/>
      <c r="RQ211" s="201"/>
      <c r="RR211" s="201"/>
      <c r="RS211" s="201"/>
      <c r="RT211" s="201"/>
      <c r="RU211" s="201"/>
      <c r="RV211" s="201"/>
      <c r="RW211" s="201"/>
      <c r="RX211" s="201"/>
      <c r="RY211" s="201"/>
      <c r="RZ211" s="201"/>
      <c r="SA211" s="201"/>
      <c r="SB211" s="201"/>
      <c r="SC211" s="201"/>
      <c r="SD211" s="201"/>
      <c r="SE211" s="201"/>
      <c r="SF211" s="201"/>
      <c r="SG211" s="201"/>
      <c r="SH211" s="201"/>
      <c r="SI211" s="201"/>
      <c r="SJ211" s="201"/>
      <c r="SK211" s="201"/>
      <c r="SL211" s="201"/>
      <c r="SM211" s="201"/>
      <c r="SN211" s="201"/>
      <c r="SO211" s="201"/>
      <c r="SP211" s="201"/>
      <c r="SQ211" s="201"/>
      <c r="SR211" s="201"/>
      <c r="SS211" s="201"/>
      <c r="ST211" s="201"/>
      <c r="SU211" s="201"/>
      <c r="SV211" s="201"/>
      <c r="SW211" s="201"/>
      <c r="SX211" s="201"/>
      <c r="SY211" s="201"/>
      <c r="SZ211" s="201"/>
      <c r="TA211" s="201"/>
      <c r="TB211" s="201"/>
      <c r="TC211" s="201"/>
      <c r="TD211" s="201"/>
      <c r="TE211" s="201"/>
      <c r="TF211" s="201"/>
      <c r="TG211" s="201"/>
      <c r="TH211" s="201"/>
      <c r="TI211" s="201"/>
      <c r="TJ211" s="201"/>
      <c r="TK211" s="201"/>
      <c r="TL211" s="201"/>
      <c r="TM211" s="201"/>
      <c r="TN211" s="201"/>
      <c r="TO211" s="201"/>
      <c r="TP211" s="201"/>
      <c r="TQ211" s="201"/>
      <c r="TR211" s="201"/>
      <c r="TS211" s="201"/>
      <c r="TT211" s="201"/>
      <c r="TU211" s="201"/>
      <c r="TV211" s="201"/>
      <c r="TW211" s="201"/>
      <c r="TX211" s="201"/>
      <c r="TY211" s="201"/>
      <c r="TZ211" s="201"/>
      <c r="UA211" s="201"/>
      <c r="UB211" s="201"/>
      <c r="UC211" s="201"/>
      <c r="UD211" s="201"/>
      <c r="UE211" s="201"/>
      <c r="UF211" s="201"/>
      <c r="UG211" s="201"/>
      <c r="UH211" s="201"/>
      <c r="UI211" s="201"/>
      <c r="UJ211" s="201"/>
      <c r="UK211" s="201"/>
      <c r="UL211" s="201"/>
      <c r="UM211" s="201"/>
      <c r="UN211" s="201"/>
      <c r="UO211" s="201"/>
      <c r="UP211" s="201"/>
      <c r="UQ211" s="201"/>
      <c r="UR211" s="201"/>
      <c r="US211" s="201"/>
      <c r="UT211" s="201"/>
      <c r="UU211" s="201"/>
    </row>
    <row r="212" spans="2:567" x14ac:dyDescent="0.25">
      <c r="B212" s="70"/>
      <c r="C212" s="71"/>
      <c r="D212" s="74"/>
      <c r="E212" s="71"/>
      <c r="F212" s="71"/>
      <c r="G212" s="71"/>
      <c r="H212" s="528" t="s">
        <v>580</v>
      </c>
      <c r="I212" s="34">
        <f>+I211/$D$120</f>
        <v>238.81815075391279</v>
      </c>
      <c r="J212" s="34">
        <f t="shared" ref="J212:K212" ca="1" si="3301">+J211/$D$120</f>
        <v>317.56689683629247</v>
      </c>
      <c r="K212" s="34">
        <f t="shared" ca="1" si="3301"/>
        <v>316.32397994015901</v>
      </c>
      <c r="EW212" s="201"/>
      <c r="EX212" s="229"/>
      <c r="EY212" s="229"/>
      <c r="EZ212" s="235"/>
      <c r="FA212" s="230"/>
      <c r="FB212" s="230"/>
      <c r="FC212" s="231"/>
      <c r="FD212" s="231"/>
      <c r="FE212" s="231"/>
      <c r="FF212" s="231"/>
      <c r="FG212" s="231"/>
      <c r="FH212" s="231"/>
      <c r="FI212" s="231"/>
      <c r="FJ212" s="231"/>
      <c r="FK212" s="231"/>
      <c r="FL212" s="231"/>
      <c r="FM212" s="231"/>
      <c r="FN212" s="231"/>
      <c r="FO212" s="231"/>
      <c r="FP212" s="231"/>
      <c r="FQ212" s="231"/>
      <c r="FR212" s="231"/>
      <c r="FS212" s="231"/>
      <c r="FT212" s="231"/>
      <c r="FU212" s="231"/>
      <c r="FV212" s="231"/>
      <c r="FW212" s="231"/>
      <c r="FX212" s="231"/>
      <c r="FY212" s="231"/>
      <c r="FZ212" s="231"/>
      <c r="GA212" s="231"/>
      <c r="GB212" s="231"/>
      <c r="GC212" s="231"/>
      <c r="GD212" s="231"/>
      <c r="GE212" s="231"/>
      <c r="GF212" s="231"/>
      <c r="GG212" s="231"/>
      <c r="GH212" s="231"/>
      <c r="GI212" s="231"/>
      <c r="GJ212" s="231"/>
      <c r="GK212" s="231"/>
      <c r="GL212" s="231"/>
      <c r="GM212" s="231"/>
      <c r="GN212" s="231"/>
      <c r="GO212" s="231"/>
      <c r="GP212" s="231"/>
      <c r="GQ212" s="231"/>
      <c r="GR212" s="231"/>
      <c r="GS212" s="231"/>
      <c r="GT212" s="231"/>
      <c r="GU212" s="231"/>
      <c r="GV212" s="231"/>
      <c r="GW212" s="231"/>
      <c r="GX212" s="231"/>
      <c r="GY212" s="231"/>
      <c r="GZ212" s="231"/>
      <c r="HA212" s="231"/>
      <c r="HB212" s="231"/>
      <c r="HC212" s="231"/>
      <c r="HD212" s="231"/>
      <c r="HE212" s="231"/>
      <c r="HF212" s="231"/>
      <c r="HG212" s="231"/>
      <c r="HH212" s="231"/>
      <c r="HI212" s="231"/>
      <c r="HJ212" s="231"/>
      <c r="HK212" s="231"/>
      <c r="HL212" s="231"/>
      <c r="HM212" s="231"/>
      <c r="HN212" s="231"/>
      <c r="HO212" s="231"/>
      <c r="HP212" s="231"/>
      <c r="HQ212" s="231"/>
      <c r="HR212" s="231"/>
      <c r="HS212" s="231"/>
      <c r="HT212" s="231"/>
      <c r="HU212" s="231"/>
      <c r="HV212" s="231"/>
      <c r="HW212" s="231"/>
      <c r="HX212" s="231"/>
      <c r="HY212" s="231"/>
      <c r="HZ212" s="231"/>
      <c r="IA212" s="231"/>
      <c r="IB212" s="231"/>
      <c r="IC212" s="231"/>
      <c r="ID212" s="231"/>
      <c r="IE212" s="231"/>
      <c r="IF212" s="231"/>
      <c r="IG212" s="231"/>
      <c r="IH212" s="231"/>
      <c r="II212" s="231"/>
      <c r="IJ212" s="231"/>
      <c r="IK212" s="231"/>
      <c r="IL212" s="231"/>
      <c r="IM212" s="231"/>
      <c r="IN212" s="231"/>
      <c r="IO212" s="231"/>
      <c r="IP212" s="231"/>
      <c r="IQ212" s="231"/>
      <c r="IR212" s="231"/>
      <c r="IS212" s="231"/>
      <c r="IT212" s="231"/>
      <c r="IU212" s="231"/>
      <c r="IV212" s="231"/>
      <c r="IW212" s="231"/>
      <c r="IX212" s="231"/>
      <c r="IY212" s="231"/>
      <c r="IZ212" s="231"/>
      <c r="JA212" s="231"/>
      <c r="JB212" s="231"/>
      <c r="JC212" s="231"/>
      <c r="JD212" s="231"/>
      <c r="JE212" s="231"/>
      <c r="JF212" s="231"/>
      <c r="JG212" s="231"/>
      <c r="JH212" s="231"/>
      <c r="JI212" s="231"/>
      <c r="JJ212" s="231"/>
      <c r="JK212" s="231"/>
      <c r="JL212" s="231"/>
      <c r="JM212" s="231"/>
      <c r="JN212" s="231"/>
      <c r="JO212" s="231"/>
      <c r="JP212" s="231"/>
      <c r="JQ212" s="231"/>
      <c r="JR212" s="231"/>
      <c r="JS212" s="231"/>
      <c r="JT212" s="231"/>
      <c r="JU212" s="231"/>
      <c r="JV212" s="231"/>
      <c r="JW212" s="231"/>
      <c r="JX212" s="231"/>
      <c r="JY212" s="231"/>
      <c r="JZ212" s="231"/>
      <c r="KA212" s="231"/>
      <c r="KB212" s="231"/>
      <c r="KC212" s="231"/>
      <c r="KD212" s="231"/>
      <c r="KE212" s="231"/>
      <c r="KF212" s="218"/>
      <c r="PQ212" s="201"/>
      <c r="PR212" s="201"/>
      <c r="PS212" s="201"/>
      <c r="PT212" s="201"/>
      <c r="PU212" s="201"/>
      <c r="PV212" s="201"/>
      <c r="PW212" s="201"/>
      <c r="PX212" s="201"/>
      <c r="PY212" s="201"/>
      <c r="PZ212" s="201"/>
      <c r="QA212" s="201"/>
      <c r="QB212" s="201"/>
      <c r="QC212" s="201"/>
      <c r="QD212" s="201"/>
      <c r="QE212" s="201"/>
      <c r="QF212" s="201"/>
      <c r="QG212" s="201"/>
      <c r="QH212" s="201"/>
      <c r="QI212" s="201"/>
      <c r="QJ212" s="201"/>
      <c r="QK212" s="201"/>
      <c r="QL212" s="201"/>
      <c r="QM212" s="201"/>
      <c r="QN212" s="201"/>
      <c r="QO212" s="201"/>
      <c r="QP212" s="201"/>
      <c r="QQ212" s="201"/>
      <c r="QR212" s="201"/>
      <c r="QS212" s="201"/>
      <c r="QT212" s="201"/>
      <c r="QU212" s="201"/>
      <c r="QV212" s="201"/>
      <c r="QW212" s="201"/>
      <c r="QX212" s="201"/>
      <c r="QY212" s="201"/>
      <c r="QZ212" s="201"/>
      <c r="RA212" s="201"/>
      <c r="RB212" s="201"/>
      <c r="RC212" s="201"/>
      <c r="RD212" s="201"/>
      <c r="RE212" s="201"/>
      <c r="RF212" s="201"/>
      <c r="RG212" s="201"/>
      <c r="RH212" s="201"/>
      <c r="RI212" s="201"/>
      <c r="RJ212" s="201"/>
      <c r="RK212" s="201"/>
      <c r="RL212" s="201"/>
      <c r="RM212" s="201"/>
      <c r="RN212" s="201"/>
      <c r="RO212" s="201"/>
      <c r="RP212" s="201"/>
      <c r="RQ212" s="201"/>
      <c r="RR212" s="201"/>
      <c r="RS212" s="201"/>
      <c r="RT212" s="201"/>
      <c r="RU212" s="201"/>
      <c r="RV212" s="201"/>
      <c r="RW212" s="201"/>
      <c r="RX212" s="201"/>
      <c r="RY212" s="201"/>
      <c r="RZ212" s="201"/>
      <c r="SA212" s="201"/>
      <c r="SB212" s="201"/>
      <c r="SC212" s="201"/>
      <c r="SD212" s="201"/>
      <c r="SE212" s="201"/>
      <c r="SF212" s="201"/>
      <c r="SG212" s="201"/>
      <c r="SH212" s="201"/>
      <c r="SI212" s="201"/>
      <c r="SJ212" s="201"/>
      <c r="SK212" s="201"/>
      <c r="SL212" s="201"/>
      <c r="SM212" s="201"/>
      <c r="SN212" s="201"/>
      <c r="SO212" s="201"/>
      <c r="SP212" s="201"/>
      <c r="SQ212" s="201"/>
      <c r="SR212" s="201"/>
      <c r="SS212" s="201"/>
      <c r="ST212" s="201"/>
      <c r="SU212" s="201"/>
      <c r="SV212" s="201"/>
      <c r="SW212" s="201"/>
      <c r="SX212" s="201"/>
      <c r="SY212" s="201"/>
      <c r="SZ212" s="201"/>
      <c r="TA212" s="201"/>
      <c r="TB212" s="201"/>
      <c r="TC212" s="201"/>
      <c r="TD212" s="201"/>
      <c r="TE212" s="201"/>
      <c r="TF212" s="201"/>
      <c r="TG212" s="201"/>
      <c r="TH212" s="201"/>
      <c r="TI212" s="201"/>
      <c r="TJ212" s="201"/>
      <c r="TK212" s="201"/>
      <c r="TL212" s="201"/>
      <c r="TM212" s="201"/>
      <c r="TN212" s="201"/>
      <c r="TO212" s="201"/>
      <c r="TP212" s="201"/>
      <c r="TQ212" s="201"/>
      <c r="TR212" s="201"/>
      <c r="TS212" s="201"/>
      <c r="TT212" s="201"/>
      <c r="TU212" s="201"/>
      <c r="TV212" s="201"/>
      <c r="TW212" s="201"/>
      <c r="TX212" s="201"/>
      <c r="TY212" s="201"/>
      <c r="TZ212" s="201"/>
      <c r="UA212" s="201"/>
      <c r="UB212" s="201"/>
      <c r="UC212" s="201"/>
      <c r="UD212" s="201"/>
      <c r="UE212" s="201"/>
      <c r="UF212" s="201"/>
      <c r="UG212" s="201"/>
      <c r="UH212" s="201"/>
      <c r="UI212" s="201"/>
      <c r="UJ212" s="201"/>
      <c r="UK212" s="201"/>
      <c r="UL212" s="201"/>
      <c r="UM212" s="201"/>
      <c r="UN212" s="201"/>
      <c r="UO212" s="201"/>
      <c r="UP212" s="201"/>
      <c r="UQ212" s="201"/>
      <c r="UR212" s="201"/>
      <c r="US212" s="201"/>
      <c r="UT212" s="201"/>
      <c r="UU212" s="201"/>
    </row>
    <row r="213" spans="2:567" ht="5.0999999999999996" customHeight="1" x14ac:dyDescent="0.25">
      <c r="B213" s="176"/>
      <c r="C213" s="177"/>
      <c r="D213" s="177"/>
      <c r="E213" s="177"/>
      <c r="F213" s="177"/>
      <c r="G213" s="177"/>
      <c r="H213" s="177"/>
      <c r="I213" s="177"/>
      <c r="J213" s="177"/>
      <c r="K213" s="177"/>
      <c r="L213" s="178"/>
      <c r="M213" s="176"/>
      <c r="N213" s="176"/>
      <c r="O213" s="176"/>
      <c r="P213" s="176"/>
      <c r="Q213" s="176"/>
      <c r="R213" s="268"/>
      <c r="S213" s="269"/>
      <c r="T213" s="269"/>
      <c r="U213" s="269"/>
      <c r="V213" s="269"/>
      <c r="W213" s="269"/>
      <c r="X213" s="269"/>
      <c r="Y213" s="269"/>
      <c r="Z213" s="269"/>
      <c r="AA213" s="269"/>
      <c r="AB213" s="269"/>
      <c r="AC213" s="269"/>
      <c r="AD213" s="269"/>
      <c r="AE213" s="269"/>
      <c r="AF213" s="269"/>
      <c r="AG213" s="269"/>
      <c r="AH213" s="269"/>
      <c r="AI213" s="269"/>
      <c r="AJ213" s="269"/>
      <c r="AK213" s="269"/>
      <c r="AL213" s="269"/>
      <c r="AM213" s="269"/>
      <c r="AN213" s="269"/>
      <c r="AO213" s="269"/>
      <c r="AP213" s="269"/>
      <c r="AQ213" s="269"/>
      <c r="AR213" s="269"/>
      <c r="AS213" s="269"/>
      <c r="AT213" s="269"/>
      <c r="AU213" s="269"/>
      <c r="AV213" s="269"/>
      <c r="AW213" s="269"/>
      <c r="AX213" s="269"/>
      <c r="AY213" s="269"/>
      <c r="AZ213" s="269"/>
      <c r="BA213" s="269"/>
      <c r="BB213" s="269"/>
      <c r="BC213" s="269"/>
      <c r="BD213" s="269"/>
      <c r="BE213" s="269"/>
      <c r="BF213" s="269"/>
      <c r="BG213" s="269"/>
      <c r="BH213" s="269"/>
      <c r="BI213" s="269"/>
      <c r="BJ213" s="269"/>
      <c r="BK213" s="269"/>
      <c r="BL213" s="269"/>
      <c r="BM213" s="269"/>
      <c r="BN213" s="269"/>
      <c r="BO213" s="269"/>
      <c r="BP213" s="269"/>
      <c r="BQ213" s="269"/>
      <c r="BR213" s="269"/>
      <c r="BS213" s="269"/>
      <c r="BT213" s="269"/>
      <c r="BU213" s="269"/>
      <c r="BV213" s="269"/>
      <c r="BW213" s="269"/>
      <c r="BX213" s="269"/>
      <c r="BY213" s="269"/>
      <c r="BZ213" s="269"/>
      <c r="CA213" s="269"/>
      <c r="CB213" s="269"/>
      <c r="CC213" s="269"/>
      <c r="CD213" s="269"/>
      <c r="CE213" s="269"/>
      <c r="CF213" s="269"/>
      <c r="CG213" s="269"/>
      <c r="CH213" s="269"/>
      <c r="CI213" s="269"/>
      <c r="CJ213" s="269"/>
      <c r="CK213" s="269"/>
      <c r="CL213" s="269"/>
      <c r="CM213" s="269"/>
      <c r="CN213" s="269"/>
      <c r="CO213" s="269"/>
      <c r="CP213" s="269"/>
      <c r="CQ213" s="269"/>
      <c r="CR213" s="269"/>
      <c r="CS213" s="269"/>
      <c r="CT213" s="269"/>
      <c r="CU213" s="269"/>
      <c r="CV213" s="269"/>
      <c r="CW213" s="269"/>
      <c r="CX213" s="269"/>
      <c r="CY213" s="269"/>
      <c r="CZ213" s="269"/>
      <c r="DA213" s="269"/>
      <c r="DB213" s="269"/>
      <c r="DC213" s="269"/>
      <c r="DD213" s="269"/>
      <c r="DE213" s="269"/>
      <c r="DF213" s="269"/>
      <c r="DG213" s="269"/>
      <c r="DH213" s="269"/>
      <c r="DI213" s="269"/>
      <c r="DJ213" s="269"/>
      <c r="DK213" s="269"/>
      <c r="DL213" s="269"/>
      <c r="DM213" s="269"/>
      <c r="DN213" s="269"/>
      <c r="DO213" s="269"/>
      <c r="DP213" s="269"/>
      <c r="DQ213" s="269"/>
      <c r="DR213" s="269"/>
      <c r="DS213" s="269"/>
      <c r="DT213" s="269"/>
      <c r="DU213" s="269"/>
      <c r="DV213" s="269"/>
      <c r="DW213" s="269"/>
      <c r="DX213" s="269"/>
      <c r="DY213" s="269"/>
      <c r="DZ213" s="269"/>
      <c r="EA213" s="269"/>
      <c r="EB213" s="269"/>
      <c r="EC213" s="269"/>
      <c r="ED213" s="269"/>
      <c r="EE213" s="269"/>
      <c r="EF213" s="269"/>
      <c r="EG213" s="269"/>
      <c r="EH213" s="269"/>
      <c r="EI213" s="269"/>
      <c r="EJ213" s="269"/>
      <c r="EK213" s="269"/>
      <c r="EL213" s="269"/>
      <c r="EM213" s="269"/>
      <c r="EN213" s="269"/>
      <c r="EO213" s="269"/>
      <c r="EP213" s="269"/>
      <c r="EQ213" s="269"/>
      <c r="ER213" s="269"/>
      <c r="ES213" s="269"/>
      <c r="ET213" s="269"/>
      <c r="EU213" s="269"/>
      <c r="EV213" s="2"/>
      <c r="EW213" s="201"/>
      <c r="EX213" s="201"/>
      <c r="EY213" s="201"/>
      <c r="EZ213" s="201"/>
      <c r="FA213" s="201"/>
      <c r="FB213" s="201"/>
      <c r="FC213" s="231"/>
      <c r="FD213" s="231"/>
      <c r="FE213" s="231"/>
      <c r="FF213" s="231"/>
      <c r="FG213" s="231"/>
      <c r="FH213" s="231"/>
      <c r="FI213" s="231"/>
      <c r="FJ213" s="231"/>
      <c r="FK213" s="231"/>
      <c r="FL213" s="231"/>
      <c r="FM213" s="231"/>
      <c r="FN213" s="231"/>
      <c r="FO213" s="231"/>
      <c r="FP213" s="231"/>
      <c r="FQ213" s="231"/>
      <c r="FR213" s="231"/>
      <c r="FS213" s="231"/>
      <c r="FT213" s="231"/>
      <c r="FU213" s="231"/>
      <c r="FV213" s="231"/>
      <c r="FW213" s="231"/>
      <c r="FX213" s="231"/>
      <c r="FY213" s="231"/>
      <c r="FZ213" s="231"/>
      <c r="GA213" s="231"/>
      <c r="GB213" s="231"/>
      <c r="GC213" s="231"/>
      <c r="GD213" s="231"/>
      <c r="GE213" s="231"/>
      <c r="GF213" s="231"/>
      <c r="GG213" s="231"/>
      <c r="GH213" s="231"/>
      <c r="GI213" s="231"/>
      <c r="GJ213" s="231"/>
      <c r="GK213" s="231"/>
      <c r="GL213" s="231"/>
      <c r="GM213" s="231"/>
      <c r="GN213" s="231"/>
      <c r="GO213" s="231"/>
      <c r="GP213" s="231"/>
      <c r="GQ213" s="231"/>
      <c r="GR213" s="231"/>
      <c r="GS213" s="231"/>
      <c r="GT213" s="231"/>
      <c r="GU213" s="231"/>
      <c r="GV213" s="231"/>
      <c r="GW213" s="231"/>
      <c r="GX213" s="231"/>
      <c r="GY213" s="231"/>
      <c r="GZ213" s="231"/>
      <c r="HA213" s="231"/>
      <c r="HB213" s="231"/>
      <c r="HC213" s="231"/>
      <c r="HD213" s="231"/>
      <c r="HE213" s="231"/>
      <c r="HF213" s="231"/>
      <c r="HG213" s="231"/>
      <c r="HH213" s="231"/>
      <c r="HI213" s="231"/>
      <c r="HJ213" s="231"/>
      <c r="HK213" s="231"/>
      <c r="HL213" s="231"/>
      <c r="HM213" s="231"/>
      <c r="HN213" s="231"/>
      <c r="HO213" s="231"/>
      <c r="HP213" s="231"/>
      <c r="HQ213" s="231"/>
      <c r="HR213" s="231"/>
      <c r="HS213" s="231"/>
      <c r="HT213" s="231"/>
      <c r="HU213" s="231"/>
      <c r="HV213" s="231"/>
      <c r="HW213" s="231"/>
      <c r="HX213" s="231"/>
      <c r="HY213" s="231"/>
      <c r="HZ213" s="231"/>
      <c r="IA213" s="231"/>
      <c r="IB213" s="231"/>
      <c r="IC213" s="231"/>
      <c r="ID213" s="231"/>
      <c r="IE213" s="231"/>
      <c r="IF213" s="231"/>
      <c r="IG213" s="231"/>
      <c r="IH213" s="231"/>
      <c r="II213" s="231"/>
      <c r="IJ213" s="231"/>
      <c r="IK213" s="231"/>
      <c r="IL213" s="231"/>
      <c r="IM213" s="231"/>
      <c r="IN213" s="231"/>
      <c r="IO213" s="231"/>
      <c r="IP213" s="231"/>
      <c r="IQ213" s="231"/>
      <c r="IR213" s="231"/>
      <c r="IS213" s="231"/>
      <c r="IT213" s="231"/>
      <c r="IU213" s="231"/>
      <c r="IV213" s="231"/>
      <c r="IW213" s="231"/>
      <c r="IX213" s="231"/>
      <c r="IY213" s="231"/>
      <c r="IZ213" s="231"/>
      <c r="JA213" s="231"/>
      <c r="JB213" s="231"/>
      <c r="JC213" s="231"/>
      <c r="JD213" s="231"/>
      <c r="JE213" s="231"/>
      <c r="JF213" s="231"/>
      <c r="JG213" s="231"/>
      <c r="JH213" s="231"/>
      <c r="JI213" s="231"/>
      <c r="JJ213" s="231"/>
      <c r="JK213" s="231"/>
      <c r="JL213" s="231"/>
      <c r="JM213" s="231"/>
      <c r="JN213" s="231"/>
      <c r="JO213" s="231"/>
      <c r="JP213" s="231"/>
      <c r="JQ213" s="231"/>
      <c r="JR213" s="231"/>
      <c r="JS213" s="231"/>
      <c r="JT213" s="231"/>
      <c r="JU213" s="231"/>
      <c r="JV213" s="231"/>
      <c r="JW213" s="231"/>
      <c r="JX213" s="231"/>
      <c r="JY213" s="231"/>
      <c r="JZ213" s="231"/>
      <c r="KA213" s="231"/>
      <c r="KB213" s="231"/>
      <c r="KC213" s="231"/>
      <c r="KD213" s="231"/>
      <c r="KE213" s="231"/>
      <c r="KF213" s="218"/>
      <c r="KG213" s="201"/>
      <c r="KH213" s="201"/>
      <c r="KI213" s="201"/>
      <c r="KJ213" s="201"/>
      <c r="KK213" s="201"/>
      <c r="KL213" s="201"/>
      <c r="KM213" s="201"/>
      <c r="KN213" s="201"/>
      <c r="KO213" s="201"/>
      <c r="KP213" s="201"/>
      <c r="KQ213" s="201"/>
      <c r="KR213" s="201"/>
      <c r="KS213" s="201"/>
      <c r="KT213" s="201"/>
      <c r="KU213" s="201"/>
      <c r="KV213" s="201"/>
      <c r="KW213" s="201"/>
      <c r="KX213" s="201"/>
      <c r="KY213" s="201"/>
      <c r="KZ213" s="201"/>
      <c r="LA213" s="201"/>
      <c r="LB213" s="201"/>
      <c r="LC213" s="201"/>
      <c r="LD213" s="201"/>
      <c r="LE213" s="201"/>
      <c r="LF213" s="201"/>
      <c r="LG213" s="201"/>
      <c r="LH213" s="201"/>
      <c r="LI213" s="201"/>
      <c r="LJ213" s="201"/>
      <c r="LK213" s="201"/>
      <c r="LL213" s="201"/>
      <c r="LM213" s="201"/>
      <c r="LN213" s="201"/>
      <c r="LO213" s="201"/>
      <c r="LP213" s="201"/>
      <c r="LQ213" s="201"/>
      <c r="LR213" s="201"/>
      <c r="LS213" s="201"/>
      <c r="LT213" s="201"/>
      <c r="LU213" s="201"/>
      <c r="LV213" s="201"/>
      <c r="LW213" s="201"/>
      <c r="LX213" s="201"/>
      <c r="LY213" s="201"/>
      <c r="LZ213" s="201"/>
      <c r="MA213" s="201"/>
      <c r="MB213" s="201"/>
      <c r="MC213" s="201"/>
      <c r="MD213" s="201"/>
      <c r="ME213" s="201"/>
      <c r="MF213" s="201"/>
      <c r="MG213" s="201"/>
      <c r="MH213" s="201"/>
      <c r="MI213" s="201"/>
      <c r="MJ213" s="201"/>
      <c r="MK213" s="201"/>
      <c r="ML213" s="201"/>
      <c r="MM213" s="201"/>
      <c r="MN213" s="201"/>
      <c r="MO213" s="201"/>
      <c r="MP213" s="201"/>
      <c r="MQ213" s="201"/>
      <c r="MR213" s="201"/>
      <c r="MS213" s="201"/>
      <c r="MT213" s="201"/>
      <c r="MU213" s="201"/>
      <c r="MV213" s="201"/>
      <c r="MW213" s="201"/>
      <c r="MX213" s="201"/>
      <c r="MY213" s="201"/>
      <c r="MZ213" s="201"/>
      <c r="NA213" s="201"/>
      <c r="NB213" s="201"/>
      <c r="NC213" s="201"/>
      <c r="ND213" s="201"/>
      <c r="NE213" s="201"/>
      <c r="NF213" s="201"/>
      <c r="NG213" s="201"/>
      <c r="NH213" s="201"/>
      <c r="NI213" s="201"/>
      <c r="NJ213" s="201"/>
      <c r="NK213" s="201"/>
      <c r="NL213" s="201"/>
      <c r="NM213" s="201"/>
      <c r="NN213" s="201"/>
      <c r="NO213" s="201"/>
      <c r="NP213" s="201"/>
      <c r="NQ213" s="201"/>
      <c r="NR213" s="201"/>
      <c r="NS213" s="201"/>
      <c r="NT213" s="201"/>
      <c r="NU213" s="201"/>
      <c r="NV213" s="201"/>
      <c r="NW213" s="201"/>
      <c r="NX213" s="201"/>
      <c r="NY213" s="201"/>
      <c r="NZ213" s="201"/>
      <c r="OA213" s="201"/>
      <c r="OB213" s="201"/>
      <c r="OC213" s="201"/>
      <c r="OD213" s="201"/>
      <c r="OE213" s="201"/>
      <c r="OF213" s="201"/>
      <c r="OG213" s="201"/>
      <c r="OH213" s="201"/>
      <c r="OI213" s="201"/>
      <c r="OJ213" s="201"/>
      <c r="OK213" s="201"/>
      <c r="OL213" s="201"/>
      <c r="OM213" s="201"/>
      <c r="ON213" s="201"/>
      <c r="OO213" s="201"/>
      <c r="OP213" s="201"/>
      <c r="OQ213" s="201"/>
      <c r="OR213" s="201"/>
      <c r="OS213" s="201"/>
      <c r="OT213" s="201"/>
      <c r="OU213" s="201"/>
      <c r="OV213" s="201"/>
      <c r="OW213" s="201"/>
      <c r="OX213" s="201"/>
      <c r="OY213" s="201"/>
      <c r="OZ213" s="201"/>
      <c r="PA213" s="201"/>
      <c r="PB213" s="201"/>
      <c r="PC213" s="201"/>
      <c r="PD213" s="201"/>
      <c r="PE213" s="201"/>
      <c r="PF213" s="201"/>
      <c r="PG213" s="201"/>
      <c r="PH213" s="201"/>
      <c r="PI213" s="201"/>
      <c r="PJ213" s="201"/>
      <c r="PK213" s="201"/>
      <c r="PL213" s="201"/>
      <c r="PM213" s="201"/>
      <c r="PN213" s="201"/>
      <c r="PO213" s="201"/>
      <c r="PQ213" s="201"/>
      <c r="PR213" s="201"/>
      <c r="PS213" s="201"/>
      <c r="PT213" s="201"/>
      <c r="PU213" s="201"/>
      <c r="PV213" s="201"/>
      <c r="PW213" s="201"/>
      <c r="PX213" s="201"/>
      <c r="PY213" s="201"/>
      <c r="PZ213" s="201"/>
      <c r="QA213" s="201"/>
      <c r="QB213" s="201"/>
      <c r="QC213" s="201"/>
      <c r="QD213" s="201"/>
      <c r="QE213" s="201"/>
      <c r="QF213" s="201"/>
      <c r="QG213" s="201"/>
      <c r="QH213" s="201"/>
      <c r="QI213" s="201"/>
      <c r="QJ213" s="201"/>
      <c r="QK213" s="201"/>
      <c r="QL213" s="201"/>
      <c r="QM213" s="201"/>
      <c r="QN213" s="201"/>
      <c r="QO213" s="201"/>
      <c r="QP213" s="201"/>
      <c r="QQ213" s="201"/>
      <c r="QR213" s="201"/>
      <c r="QS213" s="201"/>
      <c r="QT213" s="201"/>
      <c r="QU213" s="201"/>
      <c r="QV213" s="201"/>
      <c r="QW213" s="201"/>
      <c r="QX213" s="201"/>
      <c r="QY213" s="201"/>
      <c r="QZ213" s="201"/>
      <c r="RA213" s="201"/>
      <c r="RB213" s="201"/>
      <c r="RC213" s="201"/>
      <c r="RD213" s="201"/>
      <c r="RE213" s="201"/>
      <c r="RF213" s="201"/>
      <c r="RG213" s="201"/>
      <c r="RH213" s="201"/>
      <c r="RI213" s="201"/>
      <c r="RJ213" s="201"/>
      <c r="RK213" s="201"/>
      <c r="RL213" s="201"/>
      <c r="RM213" s="201"/>
      <c r="RN213" s="201"/>
      <c r="RO213" s="201"/>
      <c r="RP213" s="201"/>
      <c r="RQ213" s="201"/>
      <c r="RR213" s="201"/>
      <c r="RS213" s="201"/>
      <c r="RT213" s="201"/>
      <c r="RU213" s="201"/>
      <c r="RV213" s="201"/>
      <c r="RW213" s="201"/>
      <c r="RX213" s="201"/>
      <c r="RY213" s="201"/>
      <c r="RZ213" s="201"/>
      <c r="SA213" s="201"/>
      <c r="SB213" s="201"/>
      <c r="SC213" s="201"/>
      <c r="SD213" s="201"/>
      <c r="SE213" s="201"/>
      <c r="SF213" s="201"/>
      <c r="SG213" s="201"/>
      <c r="SH213" s="201"/>
      <c r="SI213" s="201"/>
      <c r="SJ213" s="201"/>
      <c r="SK213" s="201"/>
      <c r="SL213" s="201"/>
      <c r="SM213" s="201"/>
      <c r="SN213" s="201"/>
      <c r="SO213" s="201"/>
      <c r="SP213" s="201"/>
      <c r="SQ213" s="201"/>
      <c r="SR213" s="201"/>
      <c r="SS213" s="201"/>
      <c r="ST213" s="201"/>
      <c r="SU213" s="201"/>
      <c r="SV213" s="201"/>
      <c r="SW213" s="201"/>
      <c r="SX213" s="201"/>
      <c r="SY213" s="201"/>
      <c r="SZ213" s="201"/>
      <c r="TA213" s="201"/>
      <c r="TB213" s="201"/>
      <c r="TC213" s="201"/>
      <c r="TD213" s="201"/>
      <c r="TE213" s="201"/>
      <c r="TF213" s="201"/>
      <c r="TG213" s="201"/>
      <c r="TH213" s="201"/>
      <c r="TI213" s="201"/>
      <c r="TJ213" s="201"/>
      <c r="TK213" s="201"/>
      <c r="TL213" s="201"/>
      <c r="TM213" s="201"/>
      <c r="TN213" s="201"/>
      <c r="TO213" s="201"/>
      <c r="TP213" s="201"/>
      <c r="TQ213" s="201"/>
      <c r="TR213" s="201"/>
      <c r="TS213" s="201"/>
      <c r="TT213" s="201"/>
      <c r="TU213" s="201"/>
      <c r="TV213" s="201"/>
      <c r="TW213" s="201"/>
      <c r="TX213" s="201"/>
      <c r="TY213" s="201"/>
      <c r="TZ213" s="201"/>
      <c r="UA213" s="201"/>
      <c r="UB213" s="201"/>
      <c r="UC213" s="201"/>
      <c r="UD213" s="201"/>
      <c r="UE213" s="201"/>
      <c r="UF213" s="201"/>
      <c r="UG213" s="201"/>
      <c r="UH213" s="201"/>
      <c r="UI213" s="201"/>
      <c r="UJ213" s="201"/>
      <c r="UK213" s="201"/>
      <c r="UL213" s="201"/>
      <c r="UM213" s="201"/>
      <c r="UN213" s="201"/>
      <c r="UO213" s="201"/>
      <c r="UP213" s="201"/>
      <c r="UQ213" s="201"/>
      <c r="UR213" s="201"/>
      <c r="US213" s="201"/>
      <c r="UT213" s="201"/>
      <c r="UU213" s="201"/>
    </row>
    <row r="214" spans="2:567" x14ac:dyDescent="0.25">
      <c r="B214" s="179" t="s">
        <v>219</v>
      </c>
      <c r="C214" s="177"/>
      <c r="D214" s="177"/>
      <c r="E214" s="177"/>
      <c r="F214" s="177"/>
      <c r="G214" s="177"/>
      <c r="H214" s="177"/>
      <c r="I214" s="177"/>
      <c r="J214" s="177"/>
      <c r="K214" s="177"/>
      <c r="L214" s="178"/>
      <c r="M214" s="176"/>
      <c r="N214" s="176"/>
      <c r="O214" s="176"/>
      <c r="P214" s="176"/>
      <c r="Q214" s="176"/>
      <c r="R214" s="268"/>
      <c r="S214" s="269"/>
      <c r="T214" s="269"/>
      <c r="U214" s="269"/>
      <c r="V214" s="269"/>
      <c r="W214" s="269"/>
      <c r="X214" s="269"/>
      <c r="Y214" s="269"/>
      <c r="Z214" s="269"/>
      <c r="AA214" s="269"/>
      <c r="AB214" s="269"/>
      <c r="AC214" s="269"/>
      <c r="AD214" s="269"/>
      <c r="AE214" s="269"/>
      <c r="AF214" s="269"/>
      <c r="AG214" s="269"/>
      <c r="AH214" s="269"/>
      <c r="AI214" s="269"/>
      <c r="AJ214" s="269"/>
      <c r="AK214" s="269"/>
      <c r="AL214" s="269"/>
      <c r="AM214" s="269"/>
      <c r="AN214" s="269"/>
      <c r="AO214" s="269"/>
      <c r="AP214" s="269"/>
      <c r="AQ214" s="269"/>
      <c r="AR214" s="269"/>
      <c r="AS214" s="269"/>
      <c r="AT214" s="269"/>
      <c r="AU214" s="269"/>
      <c r="AV214" s="269"/>
      <c r="AW214" s="269"/>
      <c r="AX214" s="269"/>
      <c r="AY214" s="269"/>
      <c r="AZ214" s="269"/>
      <c r="BA214" s="269"/>
      <c r="BB214" s="269"/>
      <c r="BC214" s="269"/>
      <c r="BD214" s="269"/>
      <c r="BE214" s="269"/>
      <c r="BF214" s="269"/>
      <c r="BG214" s="269"/>
      <c r="BH214" s="269"/>
      <c r="BI214" s="269"/>
      <c r="BJ214" s="269"/>
      <c r="BK214" s="269"/>
      <c r="BL214" s="269"/>
      <c r="BM214" s="269"/>
      <c r="BN214" s="269"/>
      <c r="BO214" s="269"/>
      <c r="BP214" s="269"/>
      <c r="BQ214" s="269"/>
      <c r="BR214" s="269"/>
      <c r="BS214" s="269"/>
      <c r="BT214" s="269"/>
      <c r="BU214" s="269"/>
      <c r="BV214" s="269"/>
      <c r="BW214" s="269"/>
      <c r="BX214" s="269"/>
      <c r="BY214" s="269"/>
      <c r="BZ214" s="269"/>
      <c r="CA214" s="269"/>
      <c r="CB214" s="269"/>
      <c r="CC214" s="269"/>
      <c r="CD214" s="269"/>
      <c r="CE214" s="269"/>
      <c r="CF214" s="269"/>
      <c r="CG214" s="269"/>
      <c r="CH214" s="269"/>
      <c r="CI214" s="269"/>
      <c r="CJ214" s="269"/>
      <c r="CK214" s="269"/>
      <c r="CL214" s="269"/>
      <c r="CM214" s="269"/>
      <c r="CN214" s="269"/>
      <c r="CO214" s="269"/>
      <c r="CP214" s="269"/>
      <c r="CQ214" s="269"/>
      <c r="CR214" s="269"/>
      <c r="CS214" s="269"/>
      <c r="CT214" s="269"/>
      <c r="CU214" s="269"/>
      <c r="CV214" s="269"/>
      <c r="CW214" s="269"/>
      <c r="CX214" s="269"/>
      <c r="CY214" s="269"/>
      <c r="CZ214" s="269"/>
      <c r="DA214" s="269"/>
      <c r="DB214" s="269"/>
      <c r="DC214" s="269"/>
      <c r="DD214" s="269"/>
      <c r="DE214" s="269"/>
      <c r="DF214" s="269"/>
      <c r="DG214" s="269"/>
      <c r="DH214" s="269"/>
      <c r="DI214" s="269"/>
      <c r="DJ214" s="269"/>
      <c r="DK214" s="269"/>
      <c r="DL214" s="269"/>
      <c r="DM214" s="269"/>
      <c r="DN214" s="269"/>
      <c r="DO214" s="269"/>
      <c r="DP214" s="269"/>
      <c r="DQ214" s="269"/>
      <c r="DR214" s="269"/>
      <c r="DS214" s="269"/>
      <c r="DT214" s="269"/>
      <c r="DU214" s="269"/>
      <c r="DV214" s="269"/>
      <c r="DW214" s="269"/>
      <c r="DX214" s="269"/>
      <c r="DY214" s="269"/>
      <c r="DZ214" s="269"/>
      <c r="EA214" s="269"/>
      <c r="EB214" s="269"/>
      <c r="EC214" s="269"/>
      <c r="ED214" s="269"/>
      <c r="EE214" s="269"/>
      <c r="EF214" s="269"/>
      <c r="EG214" s="269"/>
      <c r="EH214" s="269"/>
      <c r="EI214" s="269"/>
      <c r="EJ214" s="269"/>
      <c r="EK214" s="269"/>
      <c r="EL214" s="269"/>
      <c r="EM214" s="269"/>
      <c r="EN214" s="269"/>
      <c r="EO214" s="269"/>
      <c r="EP214" s="269"/>
      <c r="EQ214" s="269"/>
      <c r="ER214" s="269"/>
      <c r="ES214" s="269"/>
      <c r="ET214" s="269"/>
      <c r="EU214" s="269"/>
      <c r="EV214" s="183"/>
      <c r="EW214" s="201" t="s">
        <v>264</v>
      </c>
      <c r="EX214" s="201"/>
      <c r="EY214" s="228"/>
      <c r="EZ214" s="228"/>
      <c r="FA214" s="236"/>
      <c r="FB214" s="236"/>
      <c r="FC214" s="236">
        <f t="shared" ref="FC214:GH214" ca="1" si="3302">IF(FC209="","",FC210*$EY$206)</f>
        <v>0</v>
      </c>
      <c r="FD214" s="236">
        <f t="shared" ca="1" si="3302"/>
        <v>193625.47783682193</v>
      </c>
      <c r="FE214" s="236">
        <f t="shared" ca="1" si="3302"/>
        <v>194558.33562172548</v>
      </c>
      <c r="FF214" s="236">
        <f t="shared" ca="1" si="3302"/>
        <v>195461.76218372816</v>
      </c>
      <c r="FG214" s="236">
        <f t="shared" ca="1" si="3302"/>
        <v>196352.48829342733</v>
      </c>
      <c r="FH214" s="236">
        <f t="shared" ca="1" si="3302"/>
        <v>197226.57572423774</v>
      </c>
      <c r="FI214" s="236">
        <f t="shared" ca="1" si="3302"/>
        <v>198078.14053528814</v>
      </c>
      <c r="FJ214" s="236">
        <f t="shared" ca="1" si="3302"/>
        <v>198916.12071361663</v>
      </c>
      <c r="FK214" s="236">
        <f t="shared" ca="1" si="3302"/>
        <v>199739.46405160904</v>
      </c>
      <c r="FL214" s="236">
        <f t="shared" ca="1" si="3302"/>
        <v>200546.48308561728</v>
      </c>
      <c r="FM214" s="236">
        <f t="shared" ca="1" si="3302"/>
        <v>201339.06157170876</v>
      </c>
      <c r="FN214" s="236">
        <f t="shared" ca="1" si="3302"/>
        <v>202117.25308876575</v>
      </c>
      <c r="FO214" s="236">
        <f t="shared" ca="1" si="3302"/>
        <v>202881.02843132804</v>
      </c>
      <c r="FP214" s="236">
        <f t="shared" ca="1" si="3302"/>
        <v>203630.40878647377</v>
      </c>
      <c r="FQ214" s="236">
        <f t="shared" ca="1" si="3302"/>
        <v>204361.08405801191</v>
      </c>
      <c r="FR214" s="236">
        <f t="shared" ca="1" si="3302"/>
        <v>205073.19001384903</v>
      </c>
      <c r="FS214" s="236">
        <f t="shared" ca="1" si="3302"/>
        <v>205766.24147762408</v>
      </c>
      <c r="FT214" s="236">
        <f t="shared" ca="1" si="3302"/>
        <v>206439.92214964822</v>
      </c>
      <c r="FU214" s="236">
        <f t="shared" ca="1" si="3302"/>
        <v>207093.92714114109</v>
      </c>
      <c r="FV214" s="236">
        <f t="shared" ca="1" si="3302"/>
        <v>207727.90117688489</v>
      </c>
      <c r="FW214" s="236">
        <f t="shared" ca="1" si="3302"/>
        <v>208341.57145869156</v>
      </c>
      <c r="FX214" s="236">
        <f t="shared" ca="1" si="3302"/>
        <v>208934.41485612351</v>
      </c>
      <c r="FY214" s="236">
        <f t="shared" ca="1" si="3302"/>
        <v>209506.10012892922</v>
      </c>
      <c r="FZ214" s="236">
        <f t="shared" ca="1" si="3302"/>
        <v>210056.30768155292</v>
      </c>
      <c r="GA214" s="236">
        <f t="shared" ca="1" si="3302"/>
        <v>210584.67788027116</v>
      </c>
      <c r="GB214" s="236">
        <f t="shared" ca="1" si="3302"/>
        <v>211083.61192996238</v>
      </c>
      <c r="GC214" s="236">
        <f t="shared" ca="1" si="3302"/>
        <v>211436.78063474756</v>
      </c>
      <c r="GD214" s="236">
        <f t="shared" ca="1" si="3302"/>
        <v>211789.61149507275</v>
      </c>
      <c r="GE214" s="236">
        <f t="shared" ca="1" si="3302"/>
        <v>212141.78574700188</v>
      </c>
      <c r="GF214" s="236">
        <f t="shared" ca="1" si="3302"/>
        <v>212493.51004911051</v>
      </c>
      <c r="GG214" s="236">
        <f t="shared" ca="1" si="3302"/>
        <v>212844.49554921227</v>
      </c>
      <c r="GH214" s="236">
        <f t="shared" ca="1" si="3302"/>
        <v>213194.65244795804</v>
      </c>
      <c r="GI214" s="236">
        <f t="shared" ref="GI214:HN214" ca="1" si="3303">IF(GI209="","",GI210*$EY$206)</f>
        <v>213543.92104116766</v>
      </c>
      <c r="GJ214" s="236">
        <f t="shared" ca="1" si="3303"/>
        <v>213892.10864410602</v>
      </c>
      <c r="GK214" s="236">
        <f t="shared" ca="1" si="3303"/>
        <v>214239.32407988785</v>
      </c>
      <c r="GL214" s="236">
        <f t="shared" ca="1" si="3303"/>
        <v>214585.18468861669</v>
      </c>
      <c r="GM214" s="236">
        <f t="shared" ca="1" si="3303"/>
        <v>214929.63634764854</v>
      </c>
      <c r="GN214" s="236" t="str">
        <f t="shared" si="3303"/>
        <v/>
      </c>
      <c r="GO214" s="236" t="str">
        <f t="shared" si="3303"/>
        <v/>
      </c>
      <c r="GP214" s="236" t="str">
        <f t="shared" si="3303"/>
        <v/>
      </c>
      <c r="GQ214" s="236" t="str">
        <f t="shared" si="3303"/>
        <v/>
      </c>
      <c r="GR214" s="236" t="str">
        <f t="shared" si="3303"/>
        <v/>
      </c>
      <c r="GS214" s="236" t="str">
        <f t="shared" si="3303"/>
        <v/>
      </c>
      <c r="GT214" s="236" t="str">
        <f t="shared" si="3303"/>
        <v/>
      </c>
      <c r="GU214" s="236" t="str">
        <f t="shared" si="3303"/>
        <v/>
      </c>
      <c r="GV214" s="236" t="str">
        <f t="shared" si="3303"/>
        <v/>
      </c>
      <c r="GW214" s="236" t="str">
        <f t="shared" si="3303"/>
        <v/>
      </c>
      <c r="GX214" s="236" t="str">
        <f t="shared" si="3303"/>
        <v/>
      </c>
      <c r="GY214" s="236" t="str">
        <f t="shared" si="3303"/>
        <v/>
      </c>
      <c r="GZ214" s="236" t="str">
        <f t="shared" si="3303"/>
        <v/>
      </c>
      <c r="HA214" s="236" t="str">
        <f t="shared" si="3303"/>
        <v/>
      </c>
      <c r="HB214" s="236" t="str">
        <f t="shared" si="3303"/>
        <v/>
      </c>
      <c r="HC214" s="236" t="str">
        <f t="shared" si="3303"/>
        <v/>
      </c>
      <c r="HD214" s="236" t="str">
        <f t="shared" si="3303"/>
        <v/>
      </c>
      <c r="HE214" s="236" t="str">
        <f t="shared" si="3303"/>
        <v/>
      </c>
      <c r="HF214" s="236" t="str">
        <f t="shared" si="3303"/>
        <v/>
      </c>
      <c r="HG214" s="236" t="str">
        <f t="shared" si="3303"/>
        <v/>
      </c>
      <c r="HH214" s="236" t="str">
        <f t="shared" si="3303"/>
        <v/>
      </c>
      <c r="HI214" s="236" t="str">
        <f t="shared" si="3303"/>
        <v/>
      </c>
      <c r="HJ214" s="236" t="str">
        <f t="shared" si="3303"/>
        <v/>
      </c>
      <c r="HK214" s="236" t="str">
        <f t="shared" si="3303"/>
        <v/>
      </c>
      <c r="HL214" s="236" t="str">
        <f t="shared" si="3303"/>
        <v/>
      </c>
      <c r="HM214" s="236" t="str">
        <f t="shared" si="3303"/>
        <v/>
      </c>
      <c r="HN214" s="236" t="str">
        <f t="shared" si="3303"/>
        <v/>
      </c>
      <c r="HO214" s="236" t="str">
        <f t="shared" ref="HO214:IT214" si="3304">IF(HO209="","",HO210*$EY$206)</f>
        <v/>
      </c>
      <c r="HP214" s="236" t="str">
        <f t="shared" si="3304"/>
        <v/>
      </c>
      <c r="HQ214" s="236" t="str">
        <f t="shared" si="3304"/>
        <v/>
      </c>
      <c r="HR214" s="236" t="str">
        <f t="shared" si="3304"/>
        <v/>
      </c>
      <c r="HS214" s="236" t="str">
        <f t="shared" si="3304"/>
        <v/>
      </c>
      <c r="HT214" s="236" t="str">
        <f t="shared" si="3304"/>
        <v/>
      </c>
      <c r="HU214" s="236" t="str">
        <f t="shared" si="3304"/>
        <v/>
      </c>
      <c r="HV214" s="236" t="str">
        <f t="shared" si="3304"/>
        <v/>
      </c>
      <c r="HW214" s="236" t="str">
        <f t="shared" si="3304"/>
        <v/>
      </c>
      <c r="HX214" s="236" t="str">
        <f t="shared" si="3304"/>
        <v/>
      </c>
      <c r="HY214" s="236" t="str">
        <f t="shared" si="3304"/>
        <v/>
      </c>
      <c r="HZ214" s="236" t="str">
        <f t="shared" si="3304"/>
        <v/>
      </c>
      <c r="IA214" s="236" t="str">
        <f t="shared" si="3304"/>
        <v/>
      </c>
      <c r="IB214" s="236" t="str">
        <f t="shared" si="3304"/>
        <v/>
      </c>
      <c r="IC214" s="236" t="str">
        <f t="shared" si="3304"/>
        <v/>
      </c>
      <c r="ID214" s="236" t="str">
        <f t="shared" si="3304"/>
        <v/>
      </c>
      <c r="IE214" s="236" t="str">
        <f t="shared" si="3304"/>
        <v/>
      </c>
      <c r="IF214" s="236" t="str">
        <f t="shared" si="3304"/>
        <v/>
      </c>
      <c r="IG214" s="236" t="str">
        <f t="shared" si="3304"/>
        <v/>
      </c>
      <c r="IH214" s="236" t="str">
        <f t="shared" si="3304"/>
        <v/>
      </c>
      <c r="II214" s="236" t="str">
        <f t="shared" si="3304"/>
        <v/>
      </c>
      <c r="IJ214" s="236" t="str">
        <f t="shared" si="3304"/>
        <v/>
      </c>
      <c r="IK214" s="236" t="str">
        <f t="shared" si="3304"/>
        <v/>
      </c>
      <c r="IL214" s="236" t="str">
        <f t="shared" si="3304"/>
        <v/>
      </c>
      <c r="IM214" s="236" t="str">
        <f t="shared" si="3304"/>
        <v/>
      </c>
      <c r="IN214" s="236" t="str">
        <f t="shared" si="3304"/>
        <v/>
      </c>
      <c r="IO214" s="236" t="str">
        <f t="shared" si="3304"/>
        <v/>
      </c>
      <c r="IP214" s="236" t="str">
        <f t="shared" si="3304"/>
        <v/>
      </c>
      <c r="IQ214" s="236" t="str">
        <f t="shared" si="3304"/>
        <v/>
      </c>
      <c r="IR214" s="236" t="str">
        <f t="shared" si="3304"/>
        <v/>
      </c>
      <c r="IS214" s="236" t="str">
        <f t="shared" si="3304"/>
        <v/>
      </c>
      <c r="IT214" s="236" t="str">
        <f t="shared" si="3304"/>
        <v/>
      </c>
      <c r="IU214" s="236" t="str">
        <f t="shared" ref="IU214:KE214" si="3305">IF(IU209="","",IU210*$EY$206)</f>
        <v/>
      </c>
      <c r="IV214" s="236" t="str">
        <f t="shared" si="3305"/>
        <v/>
      </c>
      <c r="IW214" s="236" t="str">
        <f t="shared" si="3305"/>
        <v/>
      </c>
      <c r="IX214" s="236" t="str">
        <f t="shared" si="3305"/>
        <v/>
      </c>
      <c r="IY214" s="236" t="str">
        <f t="shared" si="3305"/>
        <v/>
      </c>
      <c r="IZ214" s="236" t="str">
        <f t="shared" si="3305"/>
        <v/>
      </c>
      <c r="JA214" s="236" t="str">
        <f t="shared" si="3305"/>
        <v/>
      </c>
      <c r="JB214" s="236" t="str">
        <f t="shared" si="3305"/>
        <v/>
      </c>
      <c r="JC214" s="236" t="str">
        <f t="shared" si="3305"/>
        <v/>
      </c>
      <c r="JD214" s="236" t="str">
        <f t="shared" si="3305"/>
        <v/>
      </c>
      <c r="JE214" s="236" t="str">
        <f t="shared" si="3305"/>
        <v/>
      </c>
      <c r="JF214" s="236" t="str">
        <f t="shared" si="3305"/>
        <v/>
      </c>
      <c r="JG214" s="236" t="str">
        <f t="shared" si="3305"/>
        <v/>
      </c>
      <c r="JH214" s="236" t="str">
        <f t="shared" si="3305"/>
        <v/>
      </c>
      <c r="JI214" s="236" t="str">
        <f t="shared" si="3305"/>
        <v/>
      </c>
      <c r="JJ214" s="236" t="str">
        <f t="shared" si="3305"/>
        <v/>
      </c>
      <c r="JK214" s="236" t="str">
        <f t="shared" si="3305"/>
        <v/>
      </c>
      <c r="JL214" s="236" t="str">
        <f t="shared" si="3305"/>
        <v/>
      </c>
      <c r="JM214" s="236" t="str">
        <f t="shared" si="3305"/>
        <v/>
      </c>
      <c r="JN214" s="236" t="str">
        <f t="shared" si="3305"/>
        <v/>
      </c>
      <c r="JO214" s="236" t="str">
        <f t="shared" si="3305"/>
        <v/>
      </c>
      <c r="JP214" s="236" t="str">
        <f t="shared" si="3305"/>
        <v/>
      </c>
      <c r="JQ214" s="236" t="str">
        <f t="shared" si="3305"/>
        <v/>
      </c>
      <c r="JR214" s="236" t="str">
        <f t="shared" si="3305"/>
        <v/>
      </c>
      <c r="JS214" s="236" t="str">
        <f t="shared" si="3305"/>
        <v/>
      </c>
      <c r="JT214" s="236" t="str">
        <f t="shared" si="3305"/>
        <v/>
      </c>
      <c r="JU214" s="236" t="str">
        <f t="shared" si="3305"/>
        <v/>
      </c>
      <c r="JV214" s="236" t="str">
        <f t="shared" si="3305"/>
        <v/>
      </c>
      <c r="JW214" s="236" t="str">
        <f t="shared" si="3305"/>
        <v/>
      </c>
      <c r="JX214" s="236" t="str">
        <f t="shared" si="3305"/>
        <v/>
      </c>
      <c r="JY214" s="236" t="str">
        <f t="shared" si="3305"/>
        <v/>
      </c>
      <c r="JZ214" s="236" t="str">
        <f t="shared" si="3305"/>
        <v/>
      </c>
      <c r="KA214" s="236" t="str">
        <f t="shared" si="3305"/>
        <v/>
      </c>
      <c r="KB214" s="236" t="str">
        <f t="shared" si="3305"/>
        <v/>
      </c>
      <c r="KC214" s="236" t="str">
        <f t="shared" si="3305"/>
        <v/>
      </c>
      <c r="KD214" s="236" t="str">
        <f t="shared" si="3305"/>
        <v/>
      </c>
      <c r="KE214" s="236" t="str">
        <f t="shared" si="3305"/>
        <v/>
      </c>
      <c r="KF214" s="218" t="s">
        <v>269</v>
      </c>
      <c r="KG214" s="201"/>
      <c r="KH214" s="201"/>
      <c r="KI214" s="201"/>
      <c r="KJ214" s="201"/>
      <c r="KK214" s="201"/>
      <c r="KL214" s="201"/>
      <c r="KM214" s="201"/>
      <c r="KN214" s="201"/>
      <c r="KO214" s="201"/>
      <c r="KP214" s="201"/>
      <c r="KQ214" s="201"/>
      <c r="KR214" s="201"/>
      <c r="KS214" s="201"/>
      <c r="KT214" s="201"/>
      <c r="KU214" s="201"/>
      <c r="KV214" s="201"/>
      <c r="KW214" s="201"/>
      <c r="KX214" s="201"/>
      <c r="KY214" s="201"/>
      <c r="KZ214" s="201"/>
      <c r="LA214" s="201"/>
      <c r="LB214" s="201"/>
      <c r="LC214" s="201"/>
      <c r="LD214" s="201"/>
      <c r="LE214" s="201"/>
      <c r="LF214" s="201"/>
      <c r="LG214" s="201"/>
      <c r="LH214" s="201"/>
      <c r="LI214" s="201"/>
      <c r="LJ214" s="201"/>
      <c r="LK214" s="201"/>
      <c r="LL214" s="201"/>
      <c r="LM214" s="201"/>
      <c r="LN214" s="201"/>
      <c r="LO214" s="201"/>
      <c r="LP214" s="201"/>
      <c r="LQ214" s="201"/>
      <c r="LR214" s="201"/>
      <c r="LS214" s="201"/>
      <c r="LT214" s="201"/>
      <c r="LU214" s="201"/>
      <c r="LV214" s="201"/>
      <c r="LW214" s="201"/>
      <c r="LX214" s="201"/>
      <c r="LY214" s="201"/>
      <c r="LZ214" s="201"/>
      <c r="MA214" s="201"/>
      <c r="MB214" s="201"/>
      <c r="MC214" s="201"/>
      <c r="MD214" s="201"/>
      <c r="ME214" s="201"/>
      <c r="MF214" s="201"/>
      <c r="MG214" s="201"/>
      <c r="MH214" s="201"/>
      <c r="MI214" s="201"/>
      <c r="MJ214" s="201"/>
      <c r="MK214" s="201"/>
      <c r="ML214" s="201"/>
      <c r="MM214" s="201"/>
      <c r="MN214" s="201"/>
      <c r="MO214" s="201"/>
      <c r="MP214" s="201"/>
      <c r="MQ214" s="201"/>
      <c r="MR214" s="201"/>
      <c r="MS214" s="201"/>
      <c r="MT214" s="201"/>
      <c r="MU214" s="201"/>
      <c r="MV214" s="201"/>
      <c r="MW214" s="201"/>
      <c r="MX214" s="201"/>
      <c r="MY214" s="201"/>
      <c r="MZ214" s="201"/>
      <c r="NA214" s="201"/>
      <c r="NB214" s="201"/>
      <c r="NC214" s="201"/>
      <c r="ND214" s="201"/>
      <c r="NE214" s="201"/>
      <c r="NF214" s="201"/>
      <c r="NG214" s="201"/>
      <c r="NH214" s="201"/>
      <c r="NI214" s="201"/>
      <c r="NJ214" s="201"/>
      <c r="NK214" s="201"/>
      <c r="NL214" s="201"/>
      <c r="NM214" s="201"/>
      <c r="NN214" s="201"/>
      <c r="NO214" s="201"/>
      <c r="NP214" s="201"/>
      <c r="NQ214" s="201"/>
      <c r="NR214" s="201"/>
      <c r="NS214" s="201"/>
      <c r="NT214" s="201"/>
      <c r="NU214" s="201"/>
      <c r="NV214" s="201"/>
      <c r="NW214" s="201"/>
      <c r="NX214" s="201"/>
      <c r="NY214" s="201"/>
      <c r="NZ214" s="201"/>
      <c r="OA214" s="201"/>
      <c r="OB214" s="201"/>
      <c r="OC214" s="201"/>
      <c r="OD214" s="201"/>
      <c r="OE214" s="201"/>
      <c r="OF214" s="201"/>
      <c r="OG214" s="201"/>
      <c r="OH214" s="201"/>
      <c r="OI214" s="201"/>
      <c r="OJ214" s="201"/>
      <c r="OK214" s="201"/>
      <c r="OL214" s="201"/>
      <c r="OM214" s="201"/>
      <c r="ON214" s="201"/>
      <c r="OO214" s="201"/>
      <c r="OP214" s="201"/>
      <c r="OQ214" s="201"/>
      <c r="OR214" s="201"/>
      <c r="OS214" s="201"/>
      <c r="OT214" s="201"/>
      <c r="OU214" s="201"/>
      <c r="OV214" s="201"/>
      <c r="OW214" s="201"/>
      <c r="OX214" s="201"/>
      <c r="OY214" s="201"/>
      <c r="OZ214" s="201"/>
      <c r="PA214" s="201"/>
      <c r="PB214" s="201"/>
      <c r="PC214" s="201"/>
      <c r="PD214" s="201"/>
      <c r="PE214" s="201"/>
      <c r="PF214" s="201"/>
      <c r="PG214" s="201"/>
      <c r="PH214" s="201"/>
      <c r="PI214" s="201"/>
      <c r="PJ214" s="201"/>
      <c r="PK214" s="201"/>
      <c r="PL214" s="201"/>
      <c r="PM214" s="201"/>
      <c r="PN214" s="201"/>
      <c r="PO214" s="201"/>
      <c r="PQ214" s="201"/>
      <c r="PR214" s="201"/>
      <c r="PS214" s="201"/>
      <c r="PT214" s="201"/>
      <c r="PU214" s="201"/>
      <c r="PV214" s="201"/>
      <c r="PW214" s="201"/>
      <c r="PX214" s="201"/>
      <c r="PY214" s="201"/>
      <c r="PZ214" s="201"/>
      <c r="QA214" s="201"/>
      <c r="QB214" s="201"/>
      <c r="QC214" s="201"/>
      <c r="QD214" s="201"/>
      <c r="QE214" s="201"/>
      <c r="QF214" s="201"/>
      <c r="QG214" s="201"/>
      <c r="QH214" s="201"/>
      <c r="QI214" s="201"/>
      <c r="QJ214" s="201"/>
      <c r="QK214" s="201"/>
      <c r="QL214" s="201"/>
      <c r="QM214" s="201"/>
      <c r="QN214" s="201"/>
      <c r="QO214" s="201"/>
      <c r="QP214" s="201"/>
      <c r="QQ214" s="201"/>
      <c r="QR214" s="201"/>
      <c r="QS214" s="201"/>
      <c r="QT214" s="201"/>
      <c r="QU214" s="201"/>
      <c r="QV214" s="201"/>
      <c r="QW214" s="201"/>
      <c r="QX214" s="201"/>
      <c r="QY214" s="201"/>
      <c r="QZ214" s="201"/>
      <c r="RA214" s="201"/>
      <c r="RB214" s="201"/>
      <c r="RC214" s="201"/>
      <c r="RD214" s="201"/>
      <c r="RE214" s="201"/>
      <c r="RF214" s="201"/>
      <c r="RG214" s="201"/>
      <c r="RH214" s="201"/>
      <c r="RI214" s="201"/>
      <c r="RJ214" s="201"/>
      <c r="RK214" s="201"/>
      <c r="RL214" s="201"/>
      <c r="RM214" s="201"/>
      <c r="RN214" s="201"/>
      <c r="RO214" s="201"/>
      <c r="RP214" s="201"/>
      <c r="RQ214" s="201"/>
      <c r="RR214" s="201"/>
      <c r="RS214" s="201"/>
      <c r="RT214" s="201"/>
      <c r="RU214" s="201"/>
      <c r="RV214" s="201"/>
      <c r="RW214" s="201"/>
      <c r="RX214" s="201"/>
      <c r="RY214" s="201"/>
      <c r="RZ214" s="201"/>
      <c r="SA214" s="201"/>
      <c r="SB214" s="201"/>
      <c r="SC214" s="201"/>
      <c r="SD214" s="201"/>
      <c r="SE214" s="201"/>
      <c r="SF214" s="201"/>
      <c r="SG214" s="201"/>
      <c r="SH214" s="201"/>
      <c r="SI214" s="201"/>
      <c r="SJ214" s="201"/>
      <c r="SK214" s="201"/>
      <c r="SL214" s="201"/>
      <c r="SM214" s="201"/>
      <c r="SN214" s="201"/>
      <c r="SO214" s="201"/>
      <c r="SP214" s="201"/>
      <c r="SQ214" s="201"/>
      <c r="SR214" s="201"/>
      <c r="SS214" s="201"/>
      <c r="ST214" s="201"/>
      <c r="SU214" s="201"/>
      <c r="SV214" s="201"/>
      <c r="SW214" s="201"/>
      <c r="SX214" s="201"/>
      <c r="SY214" s="201"/>
      <c r="SZ214" s="201"/>
      <c r="TA214" s="201"/>
      <c r="TB214" s="201"/>
      <c r="TC214" s="201"/>
      <c r="TD214" s="201"/>
      <c r="TE214" s="201"/>
      <c r="TF214" s="201"/>
      <c r="TG214" s="201"/>
      <c r="TH214" s="201"/>
      <c r="TI214" s="201"/>
      <c r="TJ214" s="201"/>
      <c r="TK214" s="201"/>
      <c r="TL214" s="201"/>
      <c r="TM214" s="201"/>
      <c r="TN214" s="201"/>
      <c r="TO214" s="201"/>
      <c r="TP214" s="201"/>
      <c r="TQ214" s="201"/>
      <c r="TR214" s="201"/>
      <c r="TS214" s="201"/>
      <c r="TT214" s="201"/>
      <c r="TU214" s="201"/>
      <c r="TV214" s="201"/>
      <c r="TW214" s="201"/>
      <c r="TX214" s="201"/>
      <c r="TY214" s="201"/>
      <c r="TZ214" s="201"/>
      <c r="UA214" s="201"/>
      <c r="UB214" s="201"/>
      <c r="UC214" s="201"/>
      <c r="UD214" s="201"/>
      <c r="UE214" s="201"/>
      <c r="UF214" s="201"/>
      <c r="UG214" s="201"/>
      <c r="UH214" s="201"/>
      <c r="UI214" s="201"/>
      <c r="UJ214" s="201"/>
      <c r="UK214" s="201"/>
      <c r="UL214" s="201"/>
      <c r="UM214" s="201"/>
      <c r="UN214" s="201"/>
      <c r="UO214" s="201"/>
      <c r="UP214" s="201"/>
      <c r="UQ214" s="201"/>
      <c r="UR214" s="201"/>
      <c r="US214" s="201"/>
      <c r="UT214" s="201"/>
      <c r="UU214" s="201"/>
    </row>
    <row r="215" spans="2:567" x14ac:dyDescent="0.25">
      <c r="B215" s="180" t="s">
        <v>220</v>
      </c>
      <c r="C215" s="245"/>
      <c r="D215" s="245"/>
      <c r="E215" s="245"/>
      <c r="F215" s="245"/>
      <c r="G215" s="245"/>
      <c r="H215" s="245"/>
      <c r="I215" s="245"/>
      <c r="J215" s="245"/>
      <c r="K215" s="245"/>
      <c r="L215" s="181"/>
      <c r="M215" s="195"/>
      <c r="N215" s="195"/>
      <c r="O215" s="195"/>
      <c r="P215" s="195"/>
      <c r="Q215" s="195"/>
      <c r="R215" s="270"/>
      <c r="S215" s="97">
        <f t="shared" ref="S215:AX215" si="3306">IF(S19&gt;Analysis_Period,"",S19)</f>
        <v>0</v>
      </c>
      <c r="T215" s="97">
        <f t="shared" si="3306"/>
        <v>1</v>
      </c>
      <c r="U215" s="97">
        <f t="shared" si="3306"/>
        <v>2</v>
      </c>
      <c r="V215" s="97">
        <f t="shared" si="3306"/>
        <v>3</v>
      </c>
      <c r="W215" s="97">
        <f t="shared" si="3306"/>
        <v>4</v>
      </c>
      <c r="X215" s="97">
        <f t="shared" si="3306"/>
        <v>5</v>
      </c>
      <c r="Y215" s="97">
        <f t="shared" si="3306"/>
        <v>6</v>
      </c>
      <c r="Z215" s="97">
        <f t="shared" si="3306"/>
        <v>7</v>
      </c>
      <c r="AA215" s="97">
        <f t="shared" si="3306"/>
        <v>8</v>
      </c>
      <c r="AB215" s="97">
        <f t="shared" si="3306"/>
        <v>9</v>
      </c>
      <c r="AC215" s="97">
        <f t="shared" si="3306"/>
        <v>10</v>
      </c>
      <c r="AD215" s="97">
        <f t="shared" si="3306"/>
        <v>11</v>
      </c>
      <c r="AE215" s="97">
        <f t="shared" si="3306"/>
        <v>12</v>
      </c>
      <c r="AF215" s="97">
        <f t="shared" si="3306"/>
        <v>13</v>
      </c>
      <c r="AG215" s="97">
        <f t="shared" si="3306"/>
        <v>14</v>
      </c>
      <c r="AH215" s="97">
        <f t="shared" si="3306"/>
        <v>15</v>
      </c>
      <c r="AI215" s="97">
        <f t="shared" si="3306"/>
        <v>16</v>
      </c>
      <c r="AJ215" s="97">
        <f t="shared" si="3306"/>
        <v>17</v>
      </c>
      <c r="AK215" s="97">
        <f t="shared" si="3306"/>
        <v>18</v>
      </c>
      <c r="AL215" s="97">
        <f t="shared" si="3306"/>
        <v>19</v>
      </c>
      <c r="AM215" s="97">
        <f t="shared" si="3306"/>
        <v>20</v>
      </c>
      <c r="AN215" s="97">
        <f t="shared" si="3306"/>
        <v>21</v>
      </c>
      <c r="AO215" s="97">
        <f t="shared" si="3306"/>
        <v>22</v>
      </c>
      <c r="AP215" s="97">
        <f t="shared" si="3306"/>
        <v>23</v>
      </c>
      <c r="AQ215" s="97">
        <f t="shared" si="3306"/>
        <v>24</v>
      </c>
      <c r="AR215" s="97">
        <f t="shared" si="3306"/>
        <v>25</v>
      </c>
      <c r="AS215" s="97">
        <f t="shared" si="3306"/>
        <v>26</v>
      </c>
      <c r="AT215" s="97">
        <f t="shared" si="3306"/>
        <v>27</v>
      </c>
      <c r="AU215" s="97">
        <f t="shared" si="3306"/>
        <v>28</v>
      </c>
      <c r="AV215" s="97">
        <f t="shared" si="3306"/>
        <v>29</v>
      </c>
      <c r="AW215" s="97">
        <f t="shared" si="3306"/>
        <v>30</v>
      </c>
      <c r="AX215" s="97">
        <f t="shared" si="3306"/>
        <v>31</v>
      </c>
      <c r="AY215" s="97">
        <f t="shared" ref="AY215:CD215" si="3307">IF(AY19&gt;Analysis_Period,"",AY19)</f>
        <v>32</v>
      </c>
      <c r="AZ215" s="97">
        <f t="shared" si="3307"/>
        <v>33</v>
      </c>
      <c r="BA215" s="97">
        <f t="shared" si="3307"/>
        <v>34</v>
      </c>
      <c r="BB215" s="97">
        <f t="shared" si="3307"/>
        <v>35</v>
      </c>
      <c r="BC215" s="97">
        <f t="shared" si="3307"/>
        <v>36</v>
      </c>
      <c r="BD215" s="97" t="str">
        <f t="shared" si="3307"/>
        <v/>
      </c>
      <c r="BE215" s="97" t="str">
        <f t="shared" si="3307"/>
        <v/>
      </c>
      <c r="BF215" s="97" t="str">
        <f t="shared" si="3307"/>
        <v/>
      </c>
      <c r="BG215" s="97" t="str">
        <f t="shared" si="3307"/>
        <v/>
      </c>
      <c r="BH215" s="97" t="str">
        <f t="shared" si="3307"/>
        <v/>
      </c>
      <c r="BI215" s="97" t="str">
        <f t="shared" si="3307"/>
        <v/>
      </c>
      <c r="BJ215" s="97" t="str">
        <f t="shared" si="3307"/>
        <v/>
      </c>
      <c r="BK215" s="97" t="str">
        <f t="shared" si="3307"/>
        <v/>
      </c>
      <c r="BL215" s="97" t="str">
        <f t="shared" si="3307"/>
        <v/>
      </c>
      <c r="BM215" s="97" t="str">
        <f t="shared" si="3307"/>
        <v/>
      </c>
      <c r="BN215" s="97" t="str">
        <f t="shared" si="3307"/>
        <v/>
      </c>
      <c r="BO215" s="97" t="str">
        <f t="shared" si="3307"/>
        <v/>
      </c>
      <c r="BP215" s="97" t="str">
        <f t="shared" si="3307"/>
        <v/>
      </c>
      <c r="BQ215" s="97" t="str">
        <f t="shared" si="3307"/>
        <v/>
      </c>
      <c r="BR215" s="97" t="str">
        <f t="shared" si="3307"/>
        <v/>
      </c>
      <c r="BS215" s="97" t="str">
        <f t="shared" si="3307"/>
        <v/>
      </c>
      <c r="BT215" s="97" t="str">
        <f t="shared" si="3307"/>
        <v/>
      </c>
      <c r="BU215" s="97" t="str">
        <f t="shared" si="3307"/>
        <v/>
      </c>
      <c r="BV215" s="97" t="str">
        <f t="shared" si="3307"/>
        <v/>
      </c>
      <c r="BW215" s="97" t="str">
        <f t="shared" si="3307"/>
        <v/>
      </c>
      <c r="BX215" s="97" t="str">
        <f t="shared" si="3307"/>
        <v/>
      </c>
      <c r="BY215" s="97" t="str">
        <f t="shared" si="3307"/>
        <v/>
      </c>
      <c r="BZ215" s="97" t="str">
        <f t="shared" si="3307"/>
        <v/>
      </c>
      <c r="CA215" s="97" t="str">
        <f t="shared" si="3307"/>
        <v/>
      </c>
      <c r="CB215" s="97" t="str">
        <f t="shared" si="3307"/>
        <v/>
      </c>
      <c r="CC215" s="97" t="str">
        <f t="shared" si="3307"/>
        <v/>
      </c>
      <c r="CD215" s="97" t="str">
        <f t="shared" si="3307"/>
        <v/>
      </c>
      <c r="CE215" s="97" t="str">
        <f t="shared" ref="CE215:DJ215" si="3308">IF(CE19&gt;Analysis_Period,"",CE19)</f>
        <v/>
      </c>
      <c r="CF215" s="97" t="str">
        <f t="shared" si="3308"/>
        <v/>
      </c>
      <c r="CG215" s="97" t="str">
        <f t="shared" si="3308"/>
        <v/>
      </c>
      <c r="CH215" s="97" t="str">
        <f t="shared" si="3308"/>
        <v/>
      </c>
      <c r="CI215" s="97" t="str">
        <f t="shared" si="3308"/>
        <v/>
      </c>
      <c r="CJ215" s="97" t="str">
        <f t="shared" si="3308"/>
        <v/>
      </c>
      <c r="CK215" s="97" t="str">
        <f t="shared" si="3308"/>
        <v/>
      </c>
      <c r="CL215" s="97" t="str">
        <f t="shared" si="3308"/>
        <v/>
      </c>
      <c r="CM215" s="97" t="str">
        <f t="shared" si="3308"/>
        <v/>
      </c>
      <c r="CN215" s="97" t="str">
        <f t="shared" si="3308"/>
        <v/>
      </c>
      <c r="CO215" s="97" t="str">
        <f t="shared" si="3308"/>
        <v/>
      </c>
      <c r="CP215" s="97" t="str">
        <f t="shared" si="3308"/>
        <v/>
      </c>
      <c r="CQ215" s="97" t="str">
        <f t="shared" si="3308"/>
        <v/>
      </c>
      <c r="CR215" s="97" t="str">
        <f t="shared" si="3308"/>
        <v/>
      </c>
      <c r="CS215" s="97" t="str">
        <f t="shared" si="3308"/>
        <v/>
      </c>
      <c r="CT215" s="97" t="str">
        <f t="shared" si="3308"/>
        <v/>
      </c>
      <c r="CU215" s="97" t="str">
        <f t="shared" si="3308"/>
        <v/>
      </c>
      <c r="CV215" s="97" t="str">
        <f t="shared" si="3308"/>
        <v/>
      </c>
      <c r="CW215" s="97" t="str">
        <f t="shared" si="3308"/>
        <v/>
      </c>
      <c r="CX215" s="97" t="str">
        <f t="shared" si="3308"/>
        <v/>
      </c>
      <c r="CY215" s="97" t="str">
        <f t="shared" si="3308"/>
        <v/>
      </c>
      <c r="CZ215" s="97" t="str">
        <f t="shared" si="3308"/>
        <v/>
      </c>
      <c r="DA215" s="97" t="str">
        <f t="shared" si="3308"/>
        <v/>
      </c>
      <c r="DB215" s="97" t="str">
        <f t="shared" si="3308"/>
        <v/>
      </c>
      <c r="DC215" s="97" t="str">
        <f t="shared" si="3308"/>
        <v/>
      </c>
      <c r="DD215" s="97" t="str">
        <f t="shared" si="3308"/>
        <v/>
      </c>
      <c r="DE215" s="97" t="str">
        <f t="shared" si="3308"/>
        <v/>
      </c>
      <c r="DF215" s="97" t="str">
        <f t="shared" si="3308"/>
        <v/>
      </c>
      <c r="DG215" s="97" t="str">
        <f t="shared" si="3308"/>
        <v/>
      </c>
      <c r="DH215" s="97" t="str">
        <f t="shared" si="3308"/>
        <v/>
      </c>
      <c r="DI215" s="97" t="str">
        <f t="shared" si="3308"/>
        <v/>
      </c>
      <c r="DJ215" s="97" t="str">
        <f t="shared" si="3308"/>
        <v/>
      </c>
      <c r="DK215" s="97" t="str">
        <f t="shared" ref="DK215:EU215" si="3309">IF(DK19&gt;Analysis_Period,"",DK19)</f>
        <v/>
      </c>
      <c r="DL215" s="97" t="str">
        <f t="shared" si="3309"/>
        <v/>
      </c>
      <c r="DM215" s="97" t="str">
        <f t="shared" si="3309"/>
        <v/>
      </c>
      <c r="DN215" s="97" t="str">
        <f t="shared" si="3309"/>
        <v/>
      </c>
      <c r="DO215" s="97" t="str">
        <f t="shared" si="3309"/>
        <v/>
      </c>
      <c r="DP215" s="97" t="str">
        <f t="shared" si="3309"/>
        <v/>
      </c>
      <c r="DQ215" s="97" t="str">
        <f t="shared" si="3309"/>
        <v/>
      </c>
      <c r="DR215" s="97" t="str">
        <f t="shared" si="3309"/>
        <v/>
      </c>
      <c r="DS215" s="97" t="str">
        <f t="shared" si="3309"/>
        <v/>
      </c>
      <c r="DT215" s="97" t="str">
        <f t="shared" si="3309"/>
        <v/>
      </c>
      <c r="DU215" s="97" t="str">
        <f t="shared" si="3309"/>
        <v/>
      </c>
      <c r="DV215" s="97" t="str">
        <f t="shared" si="3309"/>
        <v/>
      </c>
      <c r="DW215" s="97" t="str">
        <f t="shared" si="3309"/>
        <v/>
      </c>
      <c r="DX215" s="97" t="str">
        <f t="shared" si="3309"/>
        <v/>
      </c>
      <c r="DY215" s="97" t="str">
        <f t="shared" si="3309"/>
        <v/>
      </c>
      <c r="DZ215" s="97" t="str">
        <f t="shared" si="3309"/>
        <v/>
      </c>
      <c r="EA215" s="97" t="str">
        <f t="shared" si="3309"/>
        <v/>
      </c>
      <c r="EB215" s="97" t="str">
        <f t="shared" si="3309"/>
        <v/>
      </c>
      <c r="EC215" s="97" t="str">
        <f t="shared" si="3309"/>
        <v/>
      </c>
      <c r="ED215" s="97" t="str">
        <f t="shared" si="3309"/>
        <v/>
      </c>
      <c r="EE215" s="97" t="str">
        <f t="shared" si="3309"/>
        <v/>
      </c>
      <c r="EF215" s="97" t="str">
        <f t="shared" si="3309"/>
        <v/>
      </c>
      <c r="EG215" s="97" t="str">
        <f t="shared" si="3309"/>
        <v/>
      </c>
      <c r="EH215" s="97" t="str">
        <f t="shared" si="3309"/>
        <v/>
      </c>
      <c r="EI215" s="97" t="str">
        <f t="shared" si="3309"/>
        <v/>
      </c>
      <c r="EJ215" s="97" t="str">
        <f t="shared" si="3309"/>
        <v/>
      </c>
      <c r="EK215" s="97" t="str">
        <f t="shared" si="3309"/>
        <v/>
      </c>
      <c r="EL215" s="97" t="str">
        <f t="shared" si="3309"/>
        <v/>
      </c>
      <c r="EM215" s="97" t="str">
        <f t="shared" si="3309"/>
        <v/>
      </c>
      <c r="EN215" s="97" t="str">
        <f t="shared" si="3309"/>
        <v/>
      </c>
      <c r="EO215" s="97" t="str">
        <f t="shared" si="3309"/>
        <v/>
      </c>
      <c r="EP215" s="97" t="str">
        <f t="shared" si="3309"/>
        <v/>
      </c>
      <c r="EQ215" s="97" t="str">
        <f t="shared" si="3309"/>
        <v/>
      </c>
      <c r="ER215" s="97" t="str">
        <f t="shared" si="3309"/>
        <v/>
      </c>
      <c r="ES215" s="97" t="str">
        <f t="shared" si="3309"/>
        <v/>
      </c>
      <c r="ET215" s="97" t="str">
        <f t="shared" si="3309"/>
        <v/>
      </c>
      <c r="EU215" s="97" t="str">
        <f t="shared" si="3309"/>
        <v/>
      </c>
      <c r="EV215" s="183"/>
      <c r="EW215" s="201" t="s">
        <v>265</v>
      </c>
      <c r="EX215" s="201"/>
      <c r="EY215" s="228"/>
      <c r="EZ215" s="228"/>
      <c r="FA215" s="236"/>
      <c r="FB215" s="236"/>
      <c r="FC215" s="236">
        <f t="shared" ref="FC215:GH215" ca="1" si="3310">IF(FC209="","",S63+-MIN(FC209,0)*$J$238)</f>
        <v>26865102.25</v>
      </c>
      <c r="FD215" s="236">
        <f t="shared" ca="1" si="3310"/>
        <v>0</v>
      </c>
      <c r="FE215" s="236">
        <f t="shared" ca="1" si="3310"/>
        <v>0</v>
      </c>
      <c r="FF215" s="236">
        <f t="shared" ca="1" si="3310"/>
        <v>0</v>
      </c>
      <c r="FG215" s="236">
        <f t="shared" ca="1" si="3310"/>
        <v>0</v>
      </c>
      <c r="FH215" s="236">
        <f t="shared" ca="1" si="3310"/>
        <v>0</v>
      </c>
      <c r="FI215" s="236">
        <f t="shared" ca="1" si="3310"/>
        <v>0</v>
      </c>
      <c r="FJ215" s="236">
        <f t="shared" ca="1" si="3310"/>
        <v>0</v>
      </c>
      <c r="FK215" s="236">
        <f t="shared" ca="1" si="3310"/>
        <v>0</v>
      </c>
      <c r="FL215" s="236">
        <f t="shared" ca="1" si="3310"/>
        <v>0</v>
      </c>
      <c r="FM215" s="236">
        <f t="shared" ca="1" si="3310"/>
        <v>0</v>
      </c>
      <c r="FN215" s="236">
        <f t="shared" ca="1" si="3310"/>
        <v>0</v>
      </c>
      <c r="FO215" s="236">
        <f t="shared" ca="1" si="3310"/>
        <v>0</v>
      </c>
      <c r="FP215" s="236">
        <f t="shared" ca="1" si="3310"/>
        <v>0</v>
      </c>
      <c r="FQ215" s="236">
        <f t="shared" ca="1" si="3310"/>
        <v>0</v>
      </c>
      <c r="FR215" s="236">
        <f t="shared" ca="1" si="3310"/>
        <v>0</v>
      </c>
      <c r="FS215" s="236">
        <f t="shared" ca="1" si="3310"/>
        <v>0</v>
      </c>
      <c r="FT215" s="236">
        <f t="shared" ca="1" si="3310"/>
        <v>0</v>
      </c>
      <c r="FU215" s="236">
        <f t="shared" ca="1" si="3310"/>
        <v>0</v>
      </c>
      <c r="FV215" s="236">
        <f t="shared" ca="1" si="3310"/>
        <v>0</v>
      </c>
      <c r="FW215" s="236">
        <f t="shared" ca="1" si="3310"/>
        <v>0</v>
      </c>
      <c r="FX215" s="236">
        <f t="shared" ca="1" si="3310"/>
        <v>0</v>
      </c>
      <c r="FY215" s="236">
        <f t="shared" ca="1" si="3310"/>
        <v>0</v>
      </c>
      <c r="FZ215" s="236">
        <f t="shared" ca="1" si="3310"/>
        <v>0</v>
      </c>
      <c r="GA215" s="236">
        <f t="shared" ca="1" si="3310"/>
        <v>0</v>
      </c>
      <c r="GB215" s="236">
        <f t="shared" ca="1" si="3310"/>
        <v>0</v>
      </c>
      <c r="GC215" s="236">
        <f t="shared" ca="1" si="3310"/>
        <v>0</v>
      </c>
      <c r="GD215" s="236">
        <f t="shared" ca="1" si="3310"/>
        <v>0</v>
      </c>
      <c r="GE215" s="236">
        <f t="shared" ca="1" si="3310"/>
        <v>0</v>
      </c>
      <c r="GF215" s="236">
        <f t="shared" ca="1" si="3310"/>
        <v>0</v>
      </c>
      <c r="GG215" s="236">
        <f t="shared" ca="1" si="3310"/>
        <v>0</v>
      </c>
      <c r="GH215" s="236">
        <f t="shared" ca="1" si="3310"/>
        <v>0</v>
      </c>
      <c r="GI215" s="236">
        <f t="shared" ref="GI215:HN215" ca="1" si="3311">IF(GI209="","",AY63+-MIN(GI209,0)*$J$238)</f>
        <v>0</v>
      </c>
      <c r="GJ215" s="236">
        <f t="shared" ca="1" si="3311"/>
        <v>0</v>
      </c>
      <c r="GK215" s="236">
        <f t="shared" ca="1" si="3311"/>
        <v>0</v>
      </c>
      <c r="GL215" s="236">
        <f t="shared" ca="1" si="3311"/>
        <v>0</v>
      </c>
      <c r="GM215" s="236">
        <f t="shared" ca="1" si="3311"/>
        <v>0</v>
      </c>
      <c r="GN215" s="236" t="str">
        <f t="shared" si="3311"/>
        <v/>
      </c>
      <c r="GO215" s="236" t="str">
        <f t="shared" si="3311"/>
        <v/>
      </c>
      <c r="GP215" s="236" t="str">
        <f t="shared" si="3311"/>
        <v/>
      </c>
      <c r="GQ215" s="236" t="str">
        <f t="shared" si="3311"/>
        <v/>
      </c>
      <c r="GR215" s="236" t="str">
        <f t="shared" si="3311"/>
        <v/>
      </c>
      <c r="GS215" s="236" t="str">
        <f t="shared" si="3311"/>
        <v/>
      </c>
      <c r="GT215" s="236" t="str">
        <f t="shared" si="3311"/>
        <v/>
      </c>
      <c r="GU215" s="236" t="str">
        <f t="shared" si="3311"/>
        <v/>
      </c>
      <c r="GV215" s="236" t="str">
        <f t="shared" si="3311"/>
        <v/>
      </c>
      <c r="GW215" s="236" t="str">
        <f t="shared" si="3311"/>
        <v/>
      </c>
      <c r="GX215" s="236" t="str">
        <f t="shared" si="3311"/>
        <v/>
      </c>
      <c r="GY215" s="236" t="str">
        <f t="shared" si="3311"/>
        <v/>
      </c>
      <c r="GZ215" s="236" t="str">
        <f t="shared" si="3311"/>
        <v/>
      </c>
      <c r="HA215" s="236" t="str">
        <f t="shared" si="3311"/>
        <v/>
      </c>
      <c r="HB215" s="236" t="str">
        <f t="shared" si="3311"/>
        <v/>
      </c>
      <c r="HC215" s="236" t="str">
        <f t="shared" si="3311"/>
        <v/>
      </c>
      <c r="HD215" s="236" t="str">
        <f t="shared" si="3311"/>
        <v/>
      </c>
      <c r="HE215" s="236" t="str">
        <f t="shared" si="3311"/>
        <v/>
      </c>
      <c r="HF215" s="236" t="str">
        <f t="shared" si="3311"/>
        <v/>
      </c>
      <c r="HG215" s="236" t="str">
        <f t="shared" si="3311"/>
        <v/>
      </c>
      <c r="HH215" s="236" t="str">
        <f t="shared" si="3311"/>
        <v/>
      </c>
      <c r="HI215" s="236" t="str">
        <f t="shared" si="3311"/>
        <v/>
      </c>
      <c r="HJ215" s="236" t="str">
        <f t="shared" si="3311"/>
        <v/>
      </c>
      <c r="HK215" s="236" t="str">
        <f t="shared" si="3311"/>
        <v/>
      </c>
      <c r="HL215" s="236" t="str">
        <f t="shared" si="3311"/>
        <v/>
      </c>
      <c r="HM215" s="236" t="str">
        <f t="shared" si="3311"/>
        <v/>
      </c>
      <c r="HN215" s="236" t="str">
        <f t="shared" si="3311"/>
        <v/>
      </c>
      <c r="HO215" s="236" t="str">
        <f t="shared" ref="HO215:IT215" si="3312">IF(HO209="","",CE63+-MIN(HO209,0)*$J$238)</f>
        <v/>
      </c>
      <c r="HP215" s="236" t="str">
        <f t="shared" si="3312"/>
        <v/>
      </c>
      <c r="HQ215" s="236" t="str">
        <f t="shared" si="3312"/>
        <v/>
      </c>
      <c r="HR215" s="236" t="str">
        <f t="shared" si="3312"/>
        <v/>
      </c>
      <c r="HS215" s="236" t="str">
        <f t="shared" si="3312"/>
        <v/>
      </c>
      <c r="HT215" s="236" t="str">
        <f t="shared" si="3312"/>
        <v/>
      </c>
      <c r="HU215" s="236" t="str">
        <f t="shared" si="3312"/>
        <v/>
      </c>
      <c r="HV215" s="236" t="str">
        <f t="shared" si="3312"/>
        <v/>
      </c>
      <c r="HW215" s="236" t="str">
        <f t="shared" si="3312"/>
        <v/>
      </c>
      <c r="HX215" s="236" t="str">
        <f t="shared" si="3312"/>
        <v/>
      </c>
      <c r="HY215" s="236" t="str">
        <f t="shared" si="3312"/>
        <v/>
      </c>
      <c r="HZ215" s="236" t="str">
        <f t="shared" si="3312"/>
        <v/>
      </c>
      <c r="IA215" s="236" t="str">
        <f t="shared" si="3312"/>
        <v/>
      </c>
      <c r="IB215" s="236" t="str">
        <f t="shared" si="3312"/>
        <v/>
      </c>
      <c r="IC215" s="236" t="str">
        <f t="shared" si="3312"/>
        <v/>
      </c>
      <c r="ID215" s="236" t="str">
        <f t="shared" si="3312"/>
        <v/>
      </c>
      <c r="IE215" s="236" t="str">
        <f t="shared" si="3312"/>
        <v/>
      </c>
      <c r="IF215" s="236" t="str">
        <f t="shared" si="3312"/>
        <v/>
      </c>
      <c r="IG215" s="236" t="str">
        <f t="shared" si="3312"/>
        <v/>
      </c>
      <c r="IH215" s="236" t="str">
        <f t="shared" si="3312"/>
        <v/>
      </c>
      <c r="II215" s="236" t="str">
        <f t="shared" si="3312"/>
        <v/>
      </c>
      <c r="IJ215" s="236" t="str">
        <f t="shared" si="3312"/>
        <v/>
      </c>
      <c r="IK215" s="236" t="str">
        <f t="shared" si="3312"/>
        <v/>
      </c>
      <c r="IL215" s="236" t="str">
        <f t="shared" si="3312"/>
        <v/>
      </c>
      <c r="IM215" s="236" t="str">
        <f t="shared" si="3312"/>
        <v/>
      </c>
      <c r="IN215" s="236" t="str">
        <f t="shared" si="3312"/>
        <v/>
      </c>
      <c r="IO215" s="236" t="str">
        <f t="shared" si="3312"/>
        <v/>
      </c>
      <c r="IP215" s="236" t="str">
        <f t="shared" si="3312"/>
        <v/>
      </c>
      <c r="IQ215" s="236" t="str">
        <f t="shared" si="3312"/>
        <v/>
      </c>
      <c r="IR215" s="236" t="str">
        <f t="shared" si="3312"/>
        <v/>
      </c>
      <c r="IS215" s="236" t="str">
        <f t="shared" si="3312"/>
        <v/>
      </c>
      <c r="IT215" s="236" t="str">
        <f t="shared" si="3312"/>
        <v/>
      </c>
      <c r="IU215" s="236" t="str">
        <f t="shared" ref="IU215:JZ215" si="3313">IF(IU209="","",DK63+-MIN(IU209,0)*$J$238)</f>
        <v/>
      </c>
      <c r="IV215" s="236" t="str">
        <f t="shared" si="3313"/>
        <v/>
      </c>
      <c r="IW215" s="236" t="str">
        <f t="shared" si="3313"/>
        <v/>
      </c>
      <c r="IX215" s="236" t="str">
        <f t="shared" si="3313"/>
        <v/>
      </c>
      <c r="IY215" s="236" t="str">
        <f t="shared" si="3313"/>
        <v/>
      </c>
      <c r="IZ215" s="236" t="str">
        <f t="shared" si="3313"/>
        <v/>
      </c>
      <c r="JA215" s="236" t="str">
        <f t="shared" si="3313"/>
        <v/>
      </c>
      <c r="JB215" s="236" t="str">
        <f t="shared" si="3313"/>
        <v/>
      </c>
      <c r="JC215" s="236" t="str">
        <f t="shared" si="3313"/>
        <v/>
      </c>
      <c r="JD215" s="236" t="str">
        <f t="shared" si="3313"/>
        <v/>
      </c>
      <c r="JE215" s="236" t="str">
        <f t="shared" si="3313"/>
        <v/>
      </c>
      <c r="JF215" s="236" t="str">
        <f t="shared" si="3313"/>
        <v/>
      </c>
      <c r="JG215" s="236" t="str">
        <f t="shared" si="3313"/>
        <v/>
      </c>
      <c r="JH215" s="236" t="str">
        <f t="shared" si="3313"/>
        <v/>
      </c>
      <c r="JI215" s="236" t="str">
        <f t="shared" si="3313"/>
        <v/>
      </c>
      <c r="JJ215" s="236" t="str">
        <f t="shared" si="3313"/>
        <v/>
      </c>
      <c r="JK215" s="236" t="str">
        <f t="shared" si="3313"/>
        <v/>
      </c>
      <c r="JL215" s="236" t="str">
        <f t="shared" si="3313"/>
        <v/>
      </c>
      <c r="JM215" s="236" t="str">
        <f t="shared" si="3313"/>
        <v/>
      </c>
      <c r="JN215" s="236" t="str">
        <f t="shared" si="3313"/>
        <v/>
      </c>
      <c r="JO215" s="236" t="str">
        <f t="shared" si="3313"/>
        <v/>
      </c>
      <c r="JP215" s="236" t="str">
        <f t="shared" si="3313"/>
        <v/>
      </c>
      <c r="JQ215" s="236" t="str">
        <f t="shared" si="3313"/>
        <v/>
      </c>
      <c r="JR215" s="236" t="str">
        <f t="shared" si="3313"/>
        <v/>
      </c>
      <c r="JS215" s="236" t="str">
        <f t="shared" si="3313"/>
        <v/>
      </c>
      <c r="JT215" s="236" t="str">
        <f t="shared" si="3313"/>
        <v/>
      </c>
      <c r="JU215" s="236" t="str">
        <f t="shared" si="3313"/>
        <v/>
      </c>
      <c r="JV215" s="236" t="str">
        <f t="shared" si="3313"/>
        <v/>
      </c>
      <c r="JW215" s="236" t="str">
        <f t="shared" si="3313"/>
        <v/>
      </c>
      <c r="JX215" s="236" t="str">
        <f t="shared" si="3313"/>
        <v/>
      </c>
      <c r="JY215" s="236" t="str">
        <f t="shared" si="3313"/>
        <v/>
      </c>
      <c r="JZ215" s="236" t="str">
        <f t="shared" si="3313"/>
        <v/>
      </c>
      <c r="KA215" s="236" t="str">
        <f t="shared" ref="KA215:KE215" si="3314">IF(KA209="","",EQ63+-MIN(KA209,0)*$J$238)</f>
        <v/>
      </c>
      <c r="KB215" s="236" t="str">
        <f t="shared" si="3314"/>
        <v/>
      </c>
      <c r="KC215" s="236" t="str">
        <f t="shared" si="3314"/>
        <v/>
      </c>
      <c r="KD215" s="236" t="str">
        <f t="shared" si="3314"/>
        <v/>
      </c>
      <c r="KE215" s="236" t="str">
        <f t="shared" si="3314"/>
        <v/>
      </c>
      <c r="KF215" s="218" t="s">
        <v>269</v>
      </c>
      <c r="KG215" s="201"/>
      <c r="KH215" s="201"/>
      <c r="KI215" s="201"/>
      <c r="KJ215" s="201"/>
      <c r="KK215" s="201"/>
      <c r="KL215" s="201"/>
      <c r="KM215" s="201"/>
      <c r="KN215" s="201"/>
      <c r="KO215" s="201"/>
      <c r="KP215" s="201"/>
      <c r="KQ215" s="201"/>
      <c r="KR215" s="201"/>
      <c r="KS215" s="201"/>
      <c r="KT215" s="201"/>
      <c r="KU215" s="201"/>
      <c r="KV215" s="201"/>
      <c r="KW215" s="201"/>
      <c r="KX215" s="201"/>
      <c r="KY215" s="201"/>
      <c r="KZ215" s="201"/>
      <c r="LA215" s="201"/>
      <c r="LB215" s="201"/>
      <c r="LC215" s="201"/>
      <c r="LD215" s="201"/>
      <c r="LE215" s="201"/>
      <c r="LF215" s="201"/>
      <c r="LG215" s="201"/>
      <c r="LH215" s="201"/>
      <c r="LI215" s="201"/>
      <c r="LJ215" s="201"/>
      <c r="LK215" s="201"/>
      <c r="LL215" s="201"/>
      <c r="LM215" s="201"/>
      <c r="LN215" s="201"/>
      <c r="LO215" s="201"/>
      <c r="LP215" s="201"/>
      <c r="LQ215" s="201"/>
      <c r="LR215" s="201"/>
      <c r="LS215" s="201"/>
      <c r="LT215" s="201"/>
      <c r="LU215" s="201"/>
      <c r="LV215" s="201"/>
      <c r="LW215" s="201"/>
      <c r="LX215" s="201"/>
      <c r="LY215" s="201"/>
      <c r="LZ215" s="201"/>
      <c r="MA215" s="201"/>
      <c r="MB215" s="201"/>
      <c r="MC215" s="201"/>
      <c r="MD215" s="201"/>
      <c r="ME215" s="201"/>
      <c r="MF215" s="201"/>
      <c r="MG215" s="201"/>
      <c r="MH215" s="201"/>
      <c r="MI215" s="201"/>
      <c r="MJ215" s="201"/>
      <c r="MK215" s="201"/>
      <c r="ML215" s="201"/>
      <c r="MM215" s="201"/>
      <c r="MN215" s="201"/>
      <c r="MO215" s="201"/>
      <c r="MP215" s="201"/>
      <c r="MQ215" s="201"/>
      <c r="MR215" s="201"/>
      <c r="MS215" s="201"/>
      <c r="MT215" s="201"/>
      <c r="MU215" s="201"/>
      <c r="MV215" s="201"/>
      <c r="MW215" s="201"/>
      <c r="MX215" s="201"/>
      <c r="MY215" s="201"/>
      <c r="MZ215" s="201"/>
      <c r="NA215" s="201"/>
      <c r="NB215" s="201"/>
      <c r="NC215" s="201"/>
      <c r="ND215" s="201"/>
      <c r="NE215" s="201"/>
      <c r="NF215" s="201"/>
      <c r="NG215" s="201"/>
      <c r="NH215" s="201"/>
      <c r="NI215" s="201"/>
      <c r="NJ215" s="201"/>
      <c r="NK215" s="201"/>
      <c r="NL215" s="201"/>
      <c r="NM215" s="201"/>
      <c r="NN215" s="201"/>
      <c r="NO215" s="201"/>
      <c r="NP215" s="201"/>
      <c r="NQ215" s="201"/>
      <c r="NR215" s="201"/>
      <c r="NS215" s="201"/>
      <c r="NT215" s="201"/>
      <c r="NU215" s="201"/>
      <c r="NV215" s="201"/>
      <c r="NW215" s="201"/>
      <c r="NX215" s="201"/>
      <c r="NY215" s="201"/>
      <c r="NZ215" s="201"/>
      <c r="OA215" s="201"/>
      <c r="OB215" s="201"/>
      <c r="OC215" s="201"/>
      <c r="OD215" s="201"/>
      <c r="OE215" s="201"/>
      <c r="OF215" s="201"/>
      <c r="OG215" s="201"/>
      <c r="OH215" s="201"/>
      <c r="OI215" s="201"/>
      <c r="OJ215" s="201"/>
      <c r="OK215" s="201"/>
      <c r="OL215" s="201"/>
      <c r="OM215" s="201"/>
      <c r="ON215" s="201"/>
      <c r="OO215" s="201"/>
      <c r="OP215" s="201"/>
      <c r="OQ215" s="201"/>
      <c r="OR215" s="201"/>
      <c r="OS215" s="201"/>
      <c r="OT215" s="201"/>
      <c r="OU215" s="201"/>
      <c r="OV215" s="201"/>
      <c r="OW215" s="201"/>
      <c r="OX215" s="201"/>
      <c r="OY215" s="201"/>
      <c r="OZ215" s="201"/>
      <c r="PA215" s="201"/>
      <c r="PB215" s="201"/>
      <c r="PC215" s="201"/>
      <c r="PD215" s="201"/>
      <c r="PE215" s="201"/>
      <c r="PF215" s="201"/>
      <c r="PG215" s="201"/>
      <c r="PH215" s="201"/>
      <c r="PI215" s="201"/>
      <c r="PJ215" s="201"/>
      <c r="PK215" s="201"/>
      <c r="PL215" s="201"/>
      <c r="PM215" s="201"/>
      <c r="PN215" s="201"/>
      <c r="PO215" s="201"/>
      <c r="PQ215" s="201"/>
      <c r="PR215" s="201"/>
      <c r="PS215" s="201"/>
      <c r="PT215" s="201"/>
      <c r="PU215" s="201"/>
      <c r="PV215" s="201"/>
      <c r="PW215" s="201"/>
      <c r="PX215" s="201"/>
      <c r="PY215" s="201"/>
      <c r="PZ215" s="201"/>
      <c r="QA215" s="201"/>
      <c r="QB215" s="201"/>
      <c r="QC215" s="201"/>
      <c r="QD215" s="201"/>
      <c r="QE215" s="201"/>
      <c r="QF215" s="201"/>
      <c r="QG215" s="201"/>
      <c r="QH215" s="201"/>
      <c r="QI215" s="201"/>
      <c r="QJ215" s="201"/>
      <c r="QK215" s="201"/>
      <c r="QL215" s="201"/>
      <c r="QM215" s="201"/>
      <c r="QN215" s="201"/>
      <c r="QO215" s="201"/>
      <c r="QP215" s="201"/>
      <c r="QQ215" s="201"/>
      <c r="QR215" s="201"/>
      <c r="QS215" s="201"/>
      <c r="QT215" s="201"/>
      <c r="QU215" s="201"/>
      <c r="QV215" s="201"/>
      <c r="QW215" s="201"/>
      <c r="QX215" s="201"/>
      <c r="QY215" s="201"/>
      <c r="QZ215" s="201"/>
      <c r="RA215" s="201"/>
      <c r="RB215" s="201"/>
      <c r="RC215" s="201"/>
      <c r="RD215" s="201"/>
      <c r="RE215" s="201"/>
      <c r="RF215" s="201"/>
      <c r="RG215" s="201"/>
      <c r="RH215" s="201"/>
      <c r="RI215" s="201"/>
      <c r="RJ215" s="201"/>
      <c r="RK215" s="201"/>
      <c r="RL215" s="201"/>
      <c r="RM215" s="201"/>
      <c r="RN215" s="201"/>
      <c r="RO215" s="201"/>
      <c r="RP215" s="201"/>
      <c r="RQ215" s="201"/>
      <c r="RR215" s="201"/>
      <c r="RS215" s="201"/>
      <c r="RT215" s="201"/>
      <c r="RU215" s="201"/>
      <c r="RV215" s="201"/>
      <c r="RW215" s="201"/>
      <c r="RX215" s="201"/>
      <c r="RY215" s="201"/>
      <c r="RZ215" s="201"/>
      <c r="SA215" s="201"/>
      <c r="SB215" s="201"/>
      <c r="SC215" s="201"/>
      <c r="SD215" s="201"/>
      <c r="SE215" s="201"/>
      <c r="SF215" s="201"/>
      <c r="SG215" s="201"/>
      <c r="SH215" s="201"/>
      <c r="SI215" s="201"/>
      <c r="SJ215" s="201"/>
      <c r="SK215" s="201"/>
      <c r="SL215" s="201"/>
      <c r="SM215" s="201"/>
      <c r="SN215" s="201"/>
      <c r="SO215" s="201"/>
      <c r="SP215" s="201"/>
      <c r="SQ215" s="201"/>
      <c r="SR215" s="201"/>
      <c r="SS215" s="201"/>
      <c r="ST215" s="201"/>
      <c r="SU215" s="201"/>
      <c r="SV215" s="201"/>
      <c r="SW215" s="201"/>
      <c r="SX215" s="201"/>
      <c r="SY215" s="201"/>
      <c r="SZ215" s="201"/>
      <c r="TA215" s="201"/>
      <c r="TB215" s="201"/>
      <c r="TC215" s="201"/>
      <c r="TD215" s="201"/>
      <c r="TE215" s="201"/>
      <c r="TF215" s="201"/>
      <c r="TG215" s="201"/>
      <c r="TH215" s="201"/>
      <c r="TI215" s="201"/>
      <c r="TJ215" s="201"/>
      <c r="TK215" s="201"/>
      <c r="TL215" s="201"/>
      <c r="TM215" s="201"/>
      <c r="TN215" s="201"/>
      <c r="TO215" s="201"/>
      <c r="TP215" s="201"/>
      <c r="TQ215" s="201"/>
      <c r="TR215" s="201"/>
      <c r="TS215" s="201"/>
      <c r="TT215" s="201"/>
      <c r="TU215" s="201"/>
      <c r="TV215" s="201"/>
      <c r="TW215" s="201"/>
      <c r="TX215" s="201"/>
      <c r="TY215" s="201"/>
      <c r="TZ215" s="201"/>
      <c r="UA215" s="201"/>
      <c r="UB215" s="201"/>
      <c r="UC215" s="201"/>
      <c r="UD215" s="201"/>
      <c r="UE215" s="201"/>
      <c r="UF215" s="201"/>
      <c r="UG215" s="201"/>
      <c r="UH215" s="201"/>
      <c r="UI215" s="201"/>
      <c r="UJ215" s="201"/>
      <c r="UK215" s="201"/>
      <c r="UL215" s="201"/>
      <c r="UM215" s="201"/>
      <c r="UN215" s="201"/>
      <c r="UO215" s="201"/>
      <c r="UP215" s="201"/>
      <c r="UQ215" s="201"/>
      <c r="UR215" s="201"/>
      <c r="US215" s="201"/>
      <c r="UT215" s="201"/>
      <c r="UU215" s="201"/>
    </row>
    <row r="216" spans="2:567" x14ac:dyDescent="0.25">
      <c r="B216" s="28" t="s">
        <v>26</v>
      </c>
      <c r="C216" s="26"/>
      <c r="D216" s="26"/>
      <c r="E216" s="26"/>
      <c r="F216" s="26"/>
      <c r="G216" s="26"/>
      <c r="H216" s="26"/>
      <c r="I216" s="26"/>
      <c r="J216" s="26"/>
      <c r="K216" s="34"/>
      <c r="L216" s="2"/>
      <c r="R216" s="89" t="s">
        <v>80</v>
      </c>
      <c r="S216" s="88">
        <f t="shared" ref="S216:AX216" si="3315">IF(S215="","",S23)</f>
        <v>46053</v>
      </c>
      <c r="T216" s="88">
        <f t="shared" si="3315"/>
        <v>46081</v>
      </c>
      <c r="U216" s="88">
        <f t="shared" si="3315"/>
        <v>46112</v>
      </c>
      <c r="V216" s="88">
        <f t="shared" si="3315"/>
        <v>46142</v>
      </c>
      <c r="W216" s="88">
        <f t="shared" si="3315"/>
        <v>46173</v>
      </c>
      <c r="X216" s="88">
        <f t="shared" si="3315"/>
        <v>46203</v>
      </c>
      <c r="Y216" s="88">
        <f t="shared" si="3315"/>
        <v>46234</v>
      </c>
      <c r="Z216" s="88">
        <f t="shared" si="3315"/>
        <v>46265</v>
      </c>
      <c r="AA216" s="88">
        <f t="shared" si="3315"/>
        <v>46295</v>
      </c>
      <c r="AB216" s="88">
        <f t="shared" si="3315"/>
        <v>46326</v>
      </c>
      <c r="AC216" s="88">
        <f t="shared" si="3315"/>
        <v>46356</v>
      </c>
      <c r="AD216" s="88">
        <f t="shared" si="3315"/>
        <v>46387</v>
      </c>
      <c r="AE216" s="88">
        <f t="shared" si="3315"/>
        <v>46418</v>
      </c>
      <c r="AF216" s="88">
        <f t="shared" si="3315"/>
        <v>46446</v>
      </c>
      <c r="AG216" s="88">
        <f t="shared" si="3315"/>
        <v>46477</v>
      </c>
      <c r="AH216" s="88">
        <f t="shared" si="3315"/>
        <v>46507</v>
      </c>
      <c r="AI216" s="88">
        <f t="shared" si="3315"/>
        <v>46538</v>
      </c>
      <c r="AJ216" s="88">
        <f t="shared" si="3315"/>
        <v>46568</v>
      </c>
      <c r="AK216" s="88">
        <f t="shared" si="3315"/>
        <v>46599</v>
      </c>
      <c r="AL216" s="88">
        <f t="shared" si="3315"/>
        <v>46630</v>
      </c>
      <c r="AM216" s="88">
        <f t="shared" si="3315"/>
        <v>46660</v>
      </c>
      <c r="AN216" s="88">
        <f t="shared" si="3315"/>
        <v>46691</v>
      </c>
      <c r="AO216" s="88">
        <f t="shared" si="3315"/>
        <v>46721</v>
      </c>
      <c r="AP216" s="88">
        <f t="shared" si="3315"/>
        <v>46752</v>
      </c>
      <c r="AQ216" s="88">
        <f t="shared" si="3315"/>
        <v>46783</v>
      </c>
      <c r="AR216" s="88">
        <f t="shared" si="3315"/>
        <v>46812</v>
      </c>
      <c r="AS216" s="88">
        <f t="shared" si="3315"/>
        <v>46843</v>
      </c>
      <c r="AT216" s="88">
        <f t="shared" si="3315"/>
        <v>46873</v>
      </c>
      <c r="AU216" s="88">
        <f t="shared" si="3315"/>
        <v>46904</v>
      </c>
      <c r="AV216" s="88">
        <f t="shared" si="3315"/>
        <v>46934</v>
      </c>
      <c r="AW216" s="88">
        <f t="shared" si="3315"/>
        <v>46965</v>
      </c>
      <c r="AX216" s="88">
        <f t="shared" si="3315"/>
        <v>46996</v>
      </c>
      <c r="AY216" s="88">
        <f t="shared" ref="AY216:CD216" si="3316">IF(AY215="","",AY23)</f>
        <v>47026</v>
      </c>
      <c r="AZ216" s="88">
        <f t="shared" si="3316"/>
        <v>47057</v>
      </c>
      <c r="BA216" s="88">
        <f t="shared" si="3316"/>
        <v>47087</v>
      </c>
      <c r="BB216" s="88">
        <f t="shared" si="3316"/>
        <v>47118</v>
      </c>
      <c r="BC216" s="88">
        <f t="shared" si="3316"/>
        <v>47149</v>
      </c>
      <c r="BD216" s="88" t="str">
        <f t="shared" si="3316"/>
        <v/>
      </c>
      <c r="BE216" s="88" t="str">
        <f t="shared" si="3316"/>
        <v/>
      </c>
      <c r="BF216" s="88" t="str">
        <f t="shared" si="3316"/>
        <v/>
      </c>
      <c r="BG216" s="88" t="str">
        <f t="shared" si="3316"/>
        <v/>
      </c>
      <c r="BH216" s="88" t="str">
        <f t="shared" si="3316"/>
        <v/>
      </c>
      <c r="BI216" s="88" t="str">
        <f t="shared" si="3316"/>
        <v/>
      </c>
      <c r="BJ216" s="88" t="str">
        <f t="shared" si="3316"/>
        <v/>
      </c>
      <c r="BK216" s="88" t="str">
        <f t="shared" si="3316"/>
        <v/>
      </c>
      <c r="BL216" s="88" t="str">
        <f t="shared" si="3316"/>
        <v/>
      </c>
      <c r="BM216" s="88" t="str">
        <f t="shared" si="3316"/>
        <v/>
      </c>
      <c r="BN216" s="88" t="str">
        <f t="shared" si="3316"/>
        <v/>
      </c>
      <c r="BO216" s="88" t="str">
        <f t="shared" si="3316"/>
        <v/>
      </c>
      <c r="BP216" s="88" t="str">
        <f t="shared" si="3316"/>
        <v/>
      </c>
      <c r="BQ216" s="88" t="str">
        <f t="shared" si="3316"/>
        <v/>
      </c>
      <c r="BR216" s="88" t="str">
        <f t="shared" si="3316"/>
        <v/>
      </c>
      <c r="BS216" s="88" t="str">
        <f t="shared" si="3316"/>
        <v/>
      </c>
      <c r="BT216" s="88" t="str">
        <f t="shared" si="3316"/>
        <v/>
      </c>
      <c r="BU216" s="88" t="str">
        <f t="shared" si="3316"/>
        <v/>
      </c>
      <c r="BV216" s="88" t="str">
        <f t="shared" si="3316"/>
        <v/>
      </c>
      <c r="BW216" s="88" t="str">
        <f t="shared" si="3316"/>
        <v/>
      </c>
      <c r="BX216" s="88" t="str">
        <f t="shared" si="3316"/>
        <v/>
      </c>
      <c r="BY216" s="88" t="str">
        <f t="shared" si="3316"/>
        <v/>
      </c>
      <c r="BZ216" s="88" t="str">
        <f t="shared" si="3316"/>
        <v/>
      </c>
      <c r="CA216" s="88" t="str">
        <f t="shared" si="3316"/>
        <v/>
      </c>
      <c r="CB216" s="88" t="str">
        <f t="shared" si="3316"/>
        <v/>
      </c>
      <c r="CC216" s="88" t="str">
        <f t="shared" si="3316"/>
        <v/>
      </c>
      <c r="CD216" s="88" t="str">
        <f t="shared" si="3316"/>
        <v/>
      </c>
      <c r="CE216" s="88" t="str">
        <f t="shared" ref="CE216:DJ216" si="3317">IF(CE215="","",CE23)</f>
        <v/>
      </c>
      <c r="CF216" s="88" t="str">
        <f t="shared" si="3317"/>
        <v/>
      </c>
      <c r="CG216" s="88" t="str">
        <f t="shared" si="3317"/>
        <v/>
      </c>
      <c r="CH216" s="88" t="str">
        <f t="shared" si="3317"/>
        <v/>
      </c>
      <c r="CI216" s="88" t="str">
        <f t="shared" si="3317"/>
        <v/>
      </c>
      <c r="CJ216" s="88" t="str">
        <f t="shared" si="3317"/>
        <v/>
      </c>
      <c r="CK216" s="88" t="str">
        <f t="shared" si="3317"/>
        <v/>
      </c>
      <c r="CL216" s="88" t="str">
        <f t="shared" si="3317"/>
        <v/>
      </c>
      <c r="CM216" s="88" t="str">
        <f t="shared" si="3317"/>
        <v/>
      </c>
      <c r="CN216" s="88" t="str">
        <f t="shared" si="3317"/>
        <v/>
      </c>
      <c r="CO216" s="88" t="str">
        <f t="shared" si="3317"/>
        <v/>
      </c>
      <c r="CP216" s="88" t="str">
        <f t="shared" si="3317"/>
        <v/>
      </c>
      <c r="CQ216" s="88" t="str">
        <f t="shared" si="3317"/>
        <v/>
      </c>
      <c r="CR216" s="88" t="str">
        <f t="shared" si="3317"/>
        <v/>
      </c>
      <c r="CS216" s="88" t="str">
        <f t="shared" si="3317"/>
        <v/>
      </c>
      <c r="CT216" s="88" t="str">
        <f t="shared" si="3317"/>
        <v/>
      </c>
      <c r="CU216" s="88" t="str">
        <f t="shared" si="3317"/>
        <v/>
      </c>
      <c r="CV216" s="88" t="str">
        <f t="shared" si="3317"/>
        <v/>
      </c>
      <c r="CW216" s="88" t="str">
        <f t="shared" si="3317"/>
        <v/>
      </c>
      <c r="CX216" s="88" t="str">
        <f t="shared" si="3317"/>
        <v/>
      </c>
      <c r="CY216" s="88" t="str">
        <f t="shared" si="3317"/>
        <v/>
      </c>
      <c r="CZ216" s="88" t="str">
        <f t="shared" si="3317"/>
        <v/>
      </c>
      <c r="DA216" s="88" t="str">
        <f t="shared" si="3317"/>
        <v/>
      </c>
      <c r="DB216" s="88" t="str">
        <f t="shared" si="3317"/>
        <v/>
      </c>
      <c r="DC216" s="88" t="str">
        <f t="shared" si="3317"/>
        <v/>
      </c>
      <c r="DD216" s="88" t="str">
        <f t="shared" si="3317"/>
        <v/>
      </c>
      <c r="DE216" s="88" t="str">
        <f t="shared" si="3317"/>
        <v/>
      </c>
      <c r="DF216" s="88" t="str">
        <f t="shared" si="3317"/>
        <v/>
      </c>
      <c r="DG216" s="88" t="str">
        <f t="shared" si="3317"/>
        <v/>
      </c>
      <c r="DH216" s="88" t="str">
        <f t="shared" si="3317"/>
        <v/>
      </c>
      <c r="DI216" s="88" t="str">
        <f t="shared" si="3317"/>
        <v/>
      </c>
      <c r="DJ216" s="88" t="str">
        <f t="shared" si="3317"/>
        <v/>
      </c>
      <c r="DK216" s="88" t="str">
        <f t="shared" ref="DK216:EP216" si="3318">IF(DK215="","",DK23)</f>
        <v/>
      </c>
      <c r="DL216" s="88" t="str">
        <f t="shared" si="3318"/>
        <v/>
      </c>
      <c r="DM216" s="88" t="str">
        <f t="shared" si="3318"/>
        <v/>
      </c>
      <c r="DN216" s="88" t="str">
        <f t="shared" si="3318"/>
        <v/>
      </c>
      <c r="DO216" s="88" t="str">
        <f t="shared" si="3318"/>
        <v/>
      </c>
      <c r="DP216" s="88" t="str">
        <f t="shared" si="3318"/>
        <v/>
      </c>
      <c r="DQ216" s="88" t="str">
        <f t="shared" si="3318"/>
        <v/>
      </c>
      <c r="DR216" s="88" t="str">
        <f t="shared" si="3318"/>
        <v/>
      </c>
      <c r="DS216" s="88" t="str">
        <f t="shared" si="3318"/>
        <v/>
      </c>
      <c r="DT216" s="88" t="str">
        <f t="shared" si="3318"/>
        <v/>
      </c>
      <c r="DU216" s="88" t="str">
        <f t="shared" si="3318"/>
        <v/>
      </c>
      <c r="DV216" s="88" t="str">
        <f t="shared" si="3318"/>
        <v/>
      </c>
      <c r="DW216" s="88" t="str">
        <f t="shared" si="3318"/>
        <v/>
      </c>
      <c r="DX216" s="88" t="str">
        <f t="shared" si="3318"/>
        <v/>
      </c>
      <c r="DY216" s="88" t="str">
        <f t="shared" si="3318"/>
        <v/>
      </c>
      <c r="DZ216" s="88" t="str">
        <f t="shared" si="3318"/>
        <v/>
      </c>
      <c r="EA216" s="88" t="str">
        <f t="shared" si="3318"/>
        <v/>
      </c>
      <c r="EB216" s="88" t="str">
        <f t="shared" si="3318"/>
        <v/>
      </c>
      <c r="EC216" s="88" t="str">
        <f t="shared" si="3318"/>
        <v/>
      </c>
      <c r="ED216" s="88" t="str">
        <f t="shared" si="3318"/>
        <v/>
      </c>
      <c r="EE216" s="88" t="str">
        <f t="shared" si="3318"/>
        <v/>
      </c>
      <c r="EF216" s="88" t="str">
        <f t="shared" si="3318"/>
        <v/>
      </c>
      <c r="EG216" s="88" t="str">
        <f t="shared" si="3318"/>
        <v/>
      </c>
      <c r="EH216" s="88" t="str">
        <f t="shared" si="3318"/>
        <v/>
      </c>
      <c r="EI216" s="88" t="str">
        <f t="shared" si="3318"/>
        <v/>
      </c>
      <c r="EJ216" s="88" t="str">
        <f t="shared" si="3318"/>
        <v/>
      </c>
      <c r="EK216" s="88" t="str">
        <f t="shared" si="3318"/>
        <v/>
      </c>
      <c r="EL216" s="88" t="str">
        <f t="shared" si="3318"/>
        <v/>
      </c>
      <c r="EM216" s="88" t="str">
        <f t="shared" si="3318"/>
        <v/>
      </c>
      <c r="EN216" s="88" t="str">
        <f t="shared" si="3318"/>
        <v/>
      </c>
      <c r="EO216" s="88" t="str">
        <f t="shared" si="3318"/>
        <v/>
      </c>
      <c r="EP216" s="88" t="str">
        <f t="shared" si="3318"/>
        <v/>
      </c>
      <c r="EQ216" s="88" t="str">
        <f t="shared" ref="EQ216:EU216" si="3319">IF(EQ215="","",EQ23)</f>
        <v/>
      </c>
      <c r="ER216" s="88" t="str">
        <f t="shared" si="3319"/>
        <v/>
      </c>
      <c r="ES216" s="88" t="str">
        <f t="shared" si="3319"/>
        <v/>
      </c>
      <c r="ET216" s="88" t="str">
        <f t="shared" si="3319"/>
        <v/>
      </c>
      <c r="EU216" s="88" t="str">
        <f t="shared" si="3319"/>
        <v/>
      </c>
      <c r="EV216" s="183"/>
      <c r="EW216" s="201" t="s">
        <v>266</v>
      </c>
      <c r="EX216" s="201"/>
      <c r="EY216" s="228"/>
      <c r="EZ216" s="228"/>
      <c r="FA216" s="236"/>
      <c r="FB216" s="236"/>
      <c r="FC216" s="236">
        <f t="shared" ref="FC216:GH216" ca="1" si="3320">IF(FC209="","",MIN(MAX(FC209,0)*$K$242,FC210+FC214+FC215))</f>
        <v>0</v>
      </c>
      <c r="FD216" s="236">
        <f t="shared" ca="1" si="3320"/>
        <v>64193.545344640232</v>
      </c>
      <c r="FE216" s="236">
        <f t="shared" ca="1" si="3320"/>
        <v>69209.919521123942</v>
      </c>
      <c r="FF216" s="236">
        <f t="shared" ca="1" si="3320"/>
        <v>71875.505451649064</v>
      </c>
      <c r="FG216" s="236">
        <f t="shared" ca="1" si="3320"/>
        <v>75074.811065685644</v>
      </c>
      <c r="FH216" s="236">
        <f t="shared" ca="1" si="3320"/>
        <v>79073.861644687073</v>
      </c>
      <c r="FI216" s="236">
        <f t="shared" ca="1" si="3320"/>
        <v>81810.263880953775</v>
      </c>
      <c r="FJ216" s="236">
        <f t="shared" ca="1" si="3320"/>
        <v>84679.072939027479</v>
      </c>
      <c r="FK216" s="236">
        <f t="shared" ca="1" si="3320"/>
        <v>87767.376966053474</v>
      </c>
      <c r="FL216" s="236">
        <f t="shared" ca="1" si="3320"/>
        <v>90577.989745387778</v>
      </c>
      <c r="FM216" s="236">
        <f t="shared" ca="1" si="3320"/>
        <v>93366.728026650264</v>
      </c>
      <c r="FN216" s="236">
        <f t="shared" ca="1" si="3320"/>
        <v>96145.131531202889</v>
      </c>
      <c r="FO216" s="236">
        <f t="shared" ca="1" si="3320"/>
        <v>98906.17920153201</v>
      </c>
      <c r="FP216" s="236">
        <f t="shared" ca="1" si="3320"/>
        <v>102250.84809683112</v>
      </c>
      <c r="FQ216" s="236">
        <f t="shared" ca="1" si="3320"/>
        <v>105557.97441496754</v>
      </c>
      <c r="FR216" s="236">
        <f t="shared" ca="1" si="3320"/>
        <v>108913.84855301135</v>
      </c>
      <c r="FS216" s="236">
        <f t="shared" ca="1" si="3320"/>
        <v>112294.55407380906</v>
      </c>
      <c r="FT216" s="236">
        <f t="shared" ca="1" si="3320"/>
        <v>115698.19143963764</v>
      </c>
      <c r="FU216" s="236">
        <f t="shared" ca="1" si="3320"/>
        <v>119131.44676726894</v>
      </c>
      <c r="FV216" s="236">
        <f t="shared" ca="1" si="3320"/>
        <v>122582.52127798316</v>
      </c>
      <c r="FW216" s="236">
        <f t="shared" ca="1" si="3320"/>
        <v>126085.87521365</v>
      </c>
      <c r="FX216" s="236">
        <f t="shared" ca="1" si="3320"/>
        <v>129614.36110943968</v>
      </c>
      <c r="FY216" s="236">
        <f t="shared" ca="1" si="3320"/>
        <v>133166.03204958723</v>
      </c>
      <c r="FZ216" s="236">
        <f t="shared" ca="1" si="3320"/>
        <v>136746.12364481442</v>
      </c>
      <c r="GA216" s="236">
        <f t="shared" ca="1" si="3320"/>
        <v>141358.69372411098</v>
      </c>
      <c r="GB216" s="236">
        <f t="shared" ca="1" si="3320"/>
        <v>162082.24355864993</v>
      </c>
      <c r="GC216" s="236">
        <f t="shared" ca="1" si="3320"/>
        <v>162482.28742709145</v>
      </c>
      <c r="GD216" s="236">
        <f t="shared" ca="1" si="3320"/>
        <v>162926.22123469072</v>
      </c>
      <c r="GE216" s="236">
        <f t="shared" ca="1" si="3320"/>
        <v>163340.82501846968</v>
      </c>
      <c r="GF216" s="236">
        <f t="shared" ca="1" si="3320"/>
        <v>163795.05644763168</v>
      </c>
      <c r="GG216" s="236">
        <f t="shared" ca="1" si="3320"/>
        <v>164261.00853374792</v>
      </c>
      <c r="GH216" s="236">
        <f t="shared" ca="1" si="3320"/>
        <v>164734.41584006106</v>
      </c>
      <c r="GI216" s="236">
        <f t="shared" ref="GI216:HN216" ca="1" si="3321">IF(GI209="","",MIN(MAX(GI209,0)*$K$242,GI210+GI214+GI215))</f>
        <v>165233.66941712948</v>
      </c>
      <c r="GJ216" s="236">
        <f t="shared" ca="1" si="3321"/>
        <v>165716.74304000766</v>
      </c>
      <c r="GK216" s="236">
        <f t="shared" ca="1" si="3321"/>
        <v>166251.93770102577</v>
      </c>
      <c r="GL216" s="236">
        <f t="shared" ca="1" si="3321"/>
        <v>166793.28693086779</v>
      </c>
      <c r="GM216" s="236">
        <f t="shared" ca="1" si="3321"/>
        <v>30035936.259768501</v>
      </c>
      <c r="GN216" s="236" t="str">
        <f t="shared" si="3321"/>
        <v/>
      </c>
      <c r="GO216" s="236" t="str">
        <f t="shared" si="3321"/>
        <v/>
      </c>
      <c r="GP216" s="236" t="str">
        <f t="shared" si="3321"/>
        <v/>
      </c>
      <c r="GQ216" s="236" t="str">
        <f t="shared" si="3321"/>
        <v/>
      </c>
      <c r="GR216" s="236" t="str">
        <f t="shared" si="3321"/>
        <v/>
      </c>
      <c r="GS216" s="236" t="str">
        <f t="shared" si="3321"/>
        <v/>
      </c>
      <c r="GT216" s="236" t="str">
        <f t="shared" si="3321"/>
        <v/>
      </c>
      <c r="GU216" s="236" t="str">
        <f t="shared" si="3321"/>
        <v/>
      </c>
      <c r="GV216" s="236" t="str">
        <f t="shared" si="3321"/>
        <v/>
      </c>
      <c r="GW216" s="236" t="str">
        <f t="shared" si="3321"/>
        <v/>
      </c>
      <c r="GX216" s="236" t="str">
        <f t="shared" si="3321"/>
        <v/>
      </c>
      <c r="GY216" s="236" t="str">
        <f t="shared" si="3321"/>
        <v/>
      </c>
      <c r="GZ216" s="236" t="str">
        <f t="shared" si="3321"/>
        <v/>
      </c>
      <c r="HA216" s="236" t="str">
        <f t="shared" si="3321"/>
        <v/>
      </c>
      <c r="HB216" s="236" t="str">
        <f t="shared" si="3321"/>
        <v/>
      </c>
      <c r="HC216" s="236" t="str">
        <f t="shared" si="3321"/>
        <v/>
      </c>
      <c r="HD216" s="236" t="str">
        <f t="shared" si="3321"/>
        <v/>
      </c>
      <c r="HE216" s="236" t="str">
        <f t="shared" si="3321"/>
        <v/>
      </c>
      <c r="HF216" s="236" t="str">
        <f t="shared" si="3321"/>
        <v/>
      </c>
      <c r="HG216" s="236" t="str">
        <f t="shared" si="3321"/>
        <v/>
      </c>
      <c r="HH216" s="236" t="str">
        <f t="shared" si="3321"/>
        <v/>
      </c>
      <c r="HI216" s="236" t="str">
        <f t="shared" si="3321"/>
        <v/>
      </c>
      <c r="HJ216" s="236" t="str">
        <f t="shared" si="3321"/>
        <v/>
      </c>
      <c r="HK216" s="236" t="str">
        <f t="shared" si="3321"/>
        <v/>
      </c>
      <c r="HL216" s="236" t="str">
        <f t="shared" si="3321"/>
        <v/>
      </c>
      <c r="HM216" s="236" t="str">
        <f t="shared" si="3321"/>
        <v/>
      </c>
      <c r="HN216" s="236" t="str">
        <f t="shared" si="3321"/>
        <v/>
      </c>
      <c r="HO216" s="236" t="str">
        <f t="shared" ref="HO216:IT216" si="3322">IF(HO209="","",MIN(MAX(HO209,0)*$K$242,HO210+HO214+HO215))</f>
        <v/>
      </c>
      <c r="HP216" s="236" t="str">
        <f t="shared" si="3322"/>
        <v/>
      </c>
      <c r="HQ216" s="236" t="str">
        <f t="shared" si="3322"/>
        <v/>
      </c>
      <c r="HR216" s="236" t="str">
        <f t="shared" si="3322"/>
        <v/>
      </c>
      <c r="HS216" s="236" t="str">
        <f t="shared" si="3322"/>
        <v/>
      </c>
      <c r="HT216" s="236" t="str">
        <f t="shared" si="3322"/>
        <v/>
      </c>
      <c r="HU216" s="236" t="str">
        <f t="shared" si="3322"/>
        <v/>
      </c>
      <c r="HV216" s="236" t="str">
        <f t="shared" si="3322"/>
        <v/>
      </c>
      <c r="HW216" s="236" t="str">
        <f t="shared" si="3322"/>
        <v/>
      </c>
      <c r="HX216" s="236" t="str">
        <f t="shared" si="3322"/>
        <v/>
      </c>
      <c r="HY216" s="236" t="str">
        <f t="shared" si="3322"/>
        <v/>
      </c>
      <c r="HZ216" s="236" t="str">
        <f t="shared" si="3322"/>
        <v/>
      </c>
      <c r="IA216" s="236" t="str">
        <f t="shared" si="3322"/>
        <v/>
      </c>
      <c r="IB216" s="236" t="str">
        <f t="shared" si="3322"/>
        <v/>
      </c>
      <c r="IC216" s="236" t="str">
        <f t="shared" si="3322"/>
        <v/>
      </c>
      <c r="ID216" s="236" t="str">
        <f t="shared" si="3322"/>
        <v/>
      </c>
      <c r="IE216" s="236" t="str">
        <f t="shared" si="3322"/>
        <v/>
      </c>
      <c r="IF216" s="236" t="str">
        <f t="shared" si="3322"/>
        <v/>
      </c>
      <c r="IG216" s="236" t="str">
        <f t="shared" si="3322"/>
        <v/>
      </c>
      <c r="IH216" s="236" t="str">
        <f t="shared" si="3322"/>
        <v/>
      </c>
      <c r="II216" s="236" t="str">
        <f t="shared" si="3322"/>
        <v/>
      </c>
      <c r="IJ216" s="236" t="str">
        <f t="shared" si="3322"/>
        <v/>
      </c>
      <c r="IK216" s="236" t="str">
        <f t="shared" si="3322"/>
        <v/>
      </c>
      <c r="IL216" s="236" t="str">
        <f t="shared" si="3322"/>
        <v/>
      </c>
      <c r="IM216" s="236" t="str">
        <f t="shared" si="3322"/>
        <v/>
      </c>
      <c r="IN216" s="236" t="str">
        <f t="shared" si="3322"/>
        <v/>
      </c>
      <c r="IO216" s="236" t="str">
        <f t="shared" si="3322"/>
        <v/>
      </c>
      <c r="IP216" s="236" t="str">
        <f t="shared" si="3322"/>
        <v/>
      </c>
      <c r="IQ216" s="236" t="str">
        <f t="shared" si="3322"/>
        <v/>
      </c>
      <c r="IR216" s="236" t="str">
        <f t="shared" si="3322"/>
        <v/>
      </c>
      <c r="IS216" s="236" t="str">
        <f t="shared" si="3322"/>
        <v/>
      </c>
      <c r="IT216" s="236" t="str">
        <f t="shared" si="3322"/>
        <v/>
      </c>
      <c r="IU216" s="236" t="str">
        <f t="shared" ref="IU216:JZ216" si="3323">IF(IU209="","",MIN(MAX(IU209,0)*$K$242,IU210+IU214+IU215))</f>
        <v/>
      </c>
      <c r="IV216" s="236" t="str">
        <f t="shared" si="3323"/>
        <v/>
      </c>
      <c r="IW216" s="236" t="str">
        <f t="shared" si="3323"/>
        <v/>
      </c>
      <c r="IX216" s="236" t="str">
        <f t="shared" si="3323"/>
        <v/>
      </c>
      <c r="IY216" s="236" t="str">
        <f t="shared" si="3323"/>
        <v/>
      </c>
      <c r="IZ216" s="236" t="str">
        <f t="shared" si="3323"/>
        <v/>
      </c>
      <c r="JA216" s="236" t="str">
        <f t="shared" si="3323"/>
        <v/>
      </c>
      <c r="JB216" s="236" t="str">
        <f t="shared" si="3323"/>
        <v/>
      </c>
      <c r="JC216" s="236" t="str">
        <f t="shared" si="3323"/>
        <v/>
      </c>
      <c r="JD216" s="236" t="str">
        <f t="shared" si="3323"/>
        <v/>
      </c>
      <c r="JE216" s="236" t="str">
        <f t="shared" si="3323"/>
        <v/>
      </c>
      <c r="JF216" s="236" t="str">
        <f t="shared" si="3323"/>
        <v/>
      </c>
      <c r="JG216" s="236" t="str">
        <f t="shared" si="3323"/>
        <v/>
      </c>
      <c r="JH216" s="236" t="str">
        <f t="shared" si="3323"/>
        <v/>
      </c>
      <c r="JI216" s="236" t="str">
        <f t="shared" si="3323"/>
        <v/>
      </c>
      <c r="JJ216" s="236" t="str">
        <f t="shared" si="3323"/>
        <v/>
      </c>
      <c r="JK216" s="236" t="str">
        <f t="shared" si="3323"/>
        <v/>
      </c>
      <c r="JL216" s="236" t="str">
        <f t="shared" si="3323"/>
        <v/>
      </c>
      <c r="JM216" s="236" t="str">
        <f t="shared" si="3323"/>
        <v/>
      </c>
      <c r="JN216" s="236" t="str">
        <f t="shared" si="3323"/>
        <v/>
      </c>
      <c r="JO216" s="236" t="str">
        <f t="shared" si="3323"/>
        <v/>
      </c>
      <c r="JP216" s="236" t="str">
        <f t="shared" si="3323"/>
        <v/>
      </c>
      <c r="JQ216" s="236" t="str">
        <f t="shared" si="3323"/>
        <v/>
      </c>
      <c r="JR216" s="236" t="str">
        <f t="shared" si="3323"/>
        <v/>
      </c>
      <c r="JS216" s="236" t="str">
        <f t="shared" si="3323"/>
        <v/>
      </c>
      <c r="JT216" s="236" t="str">
        <f t="shared" si="3323"/>
        <v/>
      </c>
      <c r="JU216" s="236" t="str">
        <f t="shared" si="3323"/>
        <v/>
      </c>
      <c r="JV216" s="236" t="str">
        <f t="shared" si="3323"/>
        <v/>
      </c>
      <c r="JW216" s="236" t="str">
        <f t="shared" si="3323"/>
        <v/>
      </c>
      <c r="JX216" s="236" t="str">
        <f t="shared" si="3323"/>
        <v/>
      </c>
      <c r="JY216" s="236" t="str">
        <f t="shared" si="3323"/>
        <v/>
      </c>
      <c r="JZ216" s="236" t="str">
        <f t="shared" si="3323"/>
        <v/>
      </c>
      <c r="KA216" s="236" t="str">
        <f t="shared" ref="KA216:KE216" si="3324">IF(KA209="","",MIN(MAX(KA209,0)*$K$242,KA210+KA214+KA215))</f>
        <v/>
      </c>
      <c r="KB216" s="236" t="str">
        <f t="shared" si="3324"/>
        <v/>
      </c>
      <c r="KC216" s="236" t="str">
        <f t="shared" si="3324"/>
        <v/>
      </c>
      <c r="KD216" s="236" t="str">
        <f t="shared" si="3324"/>
        <v/>
      </c>
      <c r="KE216" s="236" t="str">
        <f t="shared" si="3324"/>
        <v/>
      </c>
      <c r="KF216" s="218" t="s">
        <v>269</v>
      </c>
      <c r="KG216" s="201"/>
      <c r="KH216" s="201"/>
      <c r="KI216" s="201"/>
      <c r="KJ216" s="201"/>
      <c r="KK216" s="201"/>
      <c r="KL216" s="201"/>
      <c r="KM216" s="201"/>
      <c r="KN216" s="201"/>
      <c r="KO216" s="201"/>
      <c r="KP216" s="201"/>
      <c r="KQ216" s="201"/>
      <c r="KR216" s="201"/>
      <c r="KS216" s="201"/>
      <c r="KT216" s="201"/>
      <c r="KU216" s="201"/>
      <c r="KV216" s="201"/>
      <c r="KW216" s="201"/>
      <c r="KX216" s="201"/>
      <c r="KY216" s="201"/>
      <c r="KZ216" s="201"/>
      <c r="LA216" s="201"/>
      <c r="LB216" s="201"/>
      <c r="LC216" s="201"/>
      <c r="LD216" s="201"/>
      <c r="LE216" s="201"/>
      <c r="LF216" s="201"/>
      <c r="LG216" s="201"/>
      <c r="LH216" s="201"/>
      <c r="LI216" s="201"/>
      <c r="LJ216" s="201"/>
      <c r="LK216" s="201"/>
      <c r="LL216" s="201"/>
      <c r="LM216" s="201"/>
      <c r="LN216" s="201"/>
      <c r="LO216" s="201"/>
      <c r="LP216" s="201"/>
      <c r="LQ216" s="201"/>
      <c r="LR216" s="201"/>
      <c r="LS216" s="201"/>
      <c r="LT216" s="201"/>
      <c r="LU216" s="201"/>
      <c r="LV216" s="201"/>
      <c r="LW216" s="201"/>
      <c r="LX216" s="201"/>
      <c r="LY216" s="201"/>
      <c r="LZ216" s="201"/>
      <c r="MA216" s="201"/>
      <c r="MB216" s="201"/>
      <c r="MC216" s="201"/>
      <c r="MD216" s="201"/>
      <c r="ME216" s="201"/>
      <c r="MF216" s="201"/>
      <c r="MG216" s="201"/>
      <c r="MH216" s="201"/>
      <c r="MI216" s="201"/>
      <c r="MJ216" s="201"/>
      <c r="MK216" s="201"/>
      <c r="ML216" s="201"/>
      <c r="MM216" s="201"/>
      <c r="MN216" s="201"/>
      <c r="MO216" s="201"/>
      <c r="MP216" s="201"/>
      <c r="MQ216" s="201"/>
      <c r="MR216" s="201"/>
      <c r="MS216" s="201"/>
      <c r="MT216" s="201"/>
      <c r="MU216" s="201"/>
      <c r="MV216" s="201"/>
      <c r="MW216" s="201"/>
      <c r="MX216" s="201"/>
      <c r="MY216" s="201"/>
      <c r="MZ216" s="201"/>
      <c r="NA216" s="201"/>
      <c r="NB216" s="201"/>
      <c r="NC216" s="201"/>
      <c r="ND216" s="201"/>
      <c r="NE216" s="201"/>
      <c r="NF216" s="201"/>
      <c r="NG216" s="201"/>
      <c r="NH216" s="201"/>
      <c r="NI216" s="201"/>
      <c r="NJ216" s="201"/>
      <c r="NK216" s="201"/>
      <c r="NL216" s="201"/>
      <c r="NM216" s="201"/>
      <c r="NN216" s="201"/>
      <c r="NO216" s="201"/>
      <c r="NP216" s="201"/>
      <c r="NQ216" s="201"/>
      <c r="NR216" s="201"/>
      <c r="NS216" s="201"/>
      <c r="NT216" s="201"/>
      <c r="NU216" s="201"/>
      <c r="NV216" s="201"/>
      <c r="NW216" s="201"/>
      <c r="NX216" s="201"/>
      <c r="NY216" s="201"/>
      <c r="NZ216" s="201"/>
      <c r="OA216" s="201"/>
      <c r="OB216" s="201"/>
      <c r="OC216" s="201"/>
      <c r="OD216" s="201"/>
      <c r="OE216" s="201"/>
      <c r="OF216" s="201"/>
      <c r="OG216" s="201"/>
      <c r="OH216" s="201"/>
      <c r="OI216" s="201"/>
      <c r="OJ216" s="201"/>
      <c r="OK216" s="201"/>
      <c r="OL216" s="201"/>
      <c r="OM216" s="201"/>
      <c r="ON216" s="201"/>
      <c r="OO216" s="201"/>
      <c r="OP216" s="201"/>
      <c r="OQ216" s="201"/>
      <c r="OR216" s="201"/>
      <c r="OS216" s="201"/>
      <c r="OT216" s="201"/>
      <c r="OU216" s="201"/>
      <c r="OV216" s="201"/>
      <c r="OW216" s="201"/>
      <c r="OX216" s="201"/>
      <c r="OY216" s="201"/>
      <c r="OZ216" s="201"/>
      <c r="PA216" s="201"/>
      <c r="PB216" s="201"/>
      <c r="PC216" s="201"/>
      <c r="PD216" s="201"/>
      <c r="PE216" s="201"/>
      <c r="PF216" s="201"/>
      <c r="PG216" s="201"/>
      <c r="PH216" s="201"/>
      <c r="PI216" s="201"/>
      <c r="PJ216" s="201"/>
      <c r="PK216" s="201"/>
      <c r="PL216" s="201"/>
      <c r="PM216" s="201"/>
      <c r="PN216" s="201"/>
      <c r="PO216" s="201"/>
      <c r="PQ216" s="201"/>
      <c r="PR216" s="201"/>
      <c r="PS216" s="201"/>
      <c r="PT216" s="201"/>
      <c r="PU216" s="201"/>
      <c r="PV216" s="201"/>
      <c r="PW216" s="201"/>
      <c r="PX216" s="201"/>
      <c r="PY216" s="201"/>
      <c r="PZ216" s="201"/>
      <c r="QA216" s="201"/>
      <c r="QB216" s="201"/>
      <c r="QC216" s="201"/>
      <c r="QD216" s="201"/>
      <c r="QE216" s="201"/>
      <c r="QF216" s="201"/>
      <c r="QG216" s="201"/>
      <c r="QH216" s="201"/>
      <c r="QI216" s="201"/>
      <c r="QJ216" s="201"/>
      <c r="QK216" s="201"/>
      <c r="QL216" s="201"/>
      <c r="QM216" s="201"/>
      <c r="QN216" s="201"/>
      <c r="QO216" s="201"/>
      <c r="QP216" s="201"/>
      <c r="QQ216" s="201"/>
      <c r="QR216" s="201"/>
      <c r="QS216" s="201"/>
      <c r="QT216" s="201"/>
      <c r="QU216" s="201"/>
      <c r="QV216" s="201"/>
      <c r="QW216" s="201"/>
      <c r="QX216" s="201"/>
      <c r="QY216" s="201"/>
      <c r="QZ216" s="201"/>
      <c r="RA216" s="201"/>
      <c r="RB216" s="201"/>
      <c r="RC216" s="201"/>
      <c r="RD216" s="201"/>
      <c r="RE216" s="201"/>
      <c r="RF216" s="201"/>
      <c r="RG216" s="201"/>
      <c r="RH216" s="201"/>
      <c r="RI216" s="201"/>
      <c r="RJ216" s="201"/>
      <c r="RK216" s="201"/>
      <c r="RL216" s="201"/>
      <c r="RM216" s="201"/>
      <c r="RN216" s="201"/>
      <c r="RO216" s="201"/>
      <c r="RP216" s="201"/>
      <c r="RQ216" s="201"/>
      <c r="RR216" s="201"/>
      <c r="RS216" s="201"/>
      <c r="RT216" s="201"/>
      <c r="RU216" s="201"/>
      <c r="RV216" s="201"/>
      <c r="RW216" s="201"/>
      <c r="RX216" s="201"/>
      <c r="RY216" s="201"/>
      <c r="RZ216" s="201"/>
      <c r="SA216" s="201"/>
      <c r="SB216" s="201"/>
      <c r="SC216" s="201"/>
      <c r="SD216" s="201"/>
      <c r="SE216" s="201"/>
      <c r="SF216" s="201"/>
      <c r="SG216" s="201"/>
      <c r="SH216" s="201"/>
      <c r="SI216" s="201"/>
      <c r="SJ216" s="201"/>
      <c r="SK216" s="201"/>
      <c r="SL216" s="201"/>
      <c r="SM216" s="201"/>
      <c r="SN216" s="201"/>
      <c r="SO216" s="201"/>
      <c r="SP216" s="201"/>
      <c r="SQ216" s="201"/>
      <c r="SR216" s="201"/>
      <c r="SS216" s="201"/>
      <c r="ST216" s="201"/>
      <c r="SU216" s="201"/>
      <c r="SV216" s="201"/>
      <c r="SW216" s="201"/>
      <c r="SX216" s="201"/>
      <c r="SY216" s="201"/>
      <c r="SZ216" s="201"/>
      <c r="TA216" s="201"/>
      <c r="TB216" s="201"/>
      <c r="TC216" s="201"/>
      <c r="TD216" s="201"/>
      <c r="TE216" s="201"/>
      <c r="TF216" s="201"/>
      <c r="TG216" s="201"/>
      <c r="TH216" s="201"/>
      <c r="TI216" s="201"/>
      <c r="TJ216" s="201"/>
      <c r="TK216" s="201"/>
      <c r="TL216" s="201"/>
      <c r="TM216" s="201"/>
      <c r="TN216" s="201"/>
      <c r="TO216" s="201"/>
      <c r="TP216" s="201"/>
      <c r="TQ216" s="201"/>
      <c r="TR216" s="201"/>
      <c r="TS216" s="201"/>
      <c r="TT216" s="201"/>
      <c r="TU216" s="201"/>
      <c r="TV216" s="201"/>
      <c r="TW216" s="201"/>
      <c r="TX216" s="201"/>
      <c r="TY216" s="201"/>
      <c r="TZ216" s="201"/>
      <c r="UA216" s="201"/>
      <c r="UB216" s="201"/>
      <c r="UC216" s="201"/>
      <c r="UD216" s="201"/>
      <c r="UE216" s="201"/>
      <c r="UF216" s="201"/>
      <c r="UG216" s="201"/>
      <c r="UH216" s="201"/>
      <c r="UI216" s="201"/>
      <c r="UJ216" s="201"/>
      <c r="UK216" s="201"/>
      <c r="UL216" s="201"/>
      <c r="UM216" s="201"/>
      <c r="UN216" s="201"/>
      <c r="UO216" s="201"/>
      <c r="UP216" s="201"/>
      <c r="UQ216" s="201"/>
      <c r="UR216" s="201"/>
      <c r="US216" s="201"/>
      <c r="UT216" s="201"/>
      <c r="UU216" s="201"/>
    </row>
    <row r="217" spans="2:567" x14ac:dyDescent="0.25">
      <c r="B217" s="54" t="str">
        <f>B46</f>
        <v>Total Project Cost (Without Financing)</v>
      </c>
      <c r="C217" s="26"/>
      <c r="D217" s="26"/>
      <c r="E217" s="26"/>
      <c r="F217" s="26"/>
      <c r="G217" s="26"/>
      <c r="H217" s="26"/>
      <c r="I217" s="26"/>
      <c r="J217" s="26"/>
      <c r="K217" s="34">
        <f>-SUM(S217:EU217)</f>
        <v>68171075.00000003</v>
      </c>
      <c r="L217" s="2"/>
      <c r="R217" s="159" t="str">
        <f>IF(ROUND(K217,0)=ROUND(K46,0),"OK","ERROR")</f>
        <v>OK</v>
      </c>
      <c r="S217" s="92">
        <f t="shared" ref="S217:AX217" si="3325">IF(S$19&gt;$K$19,"",-S46)</f>
        <v>-63035773.958333336</v>
      </c>
      <c r="T217" s="92">
        <f t="shared" si="3325"/>
        <v>-223273.95833333331</v>
      </c>
      <c r="U217" s="92">
        <f t="shared" si="3325"/>
        <v>-223273.95833333331</v>
      </c>
      <c r="V217" s="92">
        <f t="shared" si="3325"/>
        <v>-223273.9583333332</v>
      </c>
      <c r="W217" s="92">
        <f t="shared" si="3325"/>
        <v>-223273.9583333334</v>
      </c>
      <c r="X217" s="92">
        <f t="shared" si="3325"/>
        <v>-223273.9583333332</v>
      </c>
      <c r="Y217" s="92">
        <f t="shared" si="3325"/>
        <v>-223273.9583333334</v>
      </c>
      <c r="Z217" s="92">
        <f t="shared" si="3325"/>
        <v>-223273.95833333308</v>
      </c>
      <c r="AA217" s="92">
        <f t="shared" si="3325"/>
        <v>-223273.9583333334</v>
      </c>
      <c r="AB217" s="92">
        <f t="shared" si="3325"/>
        <v>-223273.9583333334</v>
      </c>
      <c r="AC217" s="92">
        <f t="shared" si="3325"/>
        <v>-223273.95833333308</v>
      </c>
      <c r="AD217" s="92">
        <f t="shared" si="3325"/>
        <v>-223273.9583333334</v>
      </c>
      <c r="AE217" s="92">
        <f t="shared" si="3325"/>
        <v>-223273.95833333308</v>
      </c>
      <c r="AF217" s="92">
        <f t="shared" si="3325"/>
        <v>-223273.95833333363</v>
      </c>
      <c r="AG217" s="92">
        <f t="shared" si="3325"/>
        <v>-223273.95833333308</v>
      </c>
      <c r="AH217" s="92">
        <f t="shared" si="3325"/>
        <v>-223273.95833333308</v>
      </c>
      <c r="AI217" s="92">
        <f t="shared" si="3325"/>
        <v>-223273.95833333363</v>
      </c>
      <c r="AJ217" s="92">
        <f t="shared" si="3325"/>
        <v>-223273.95833333308</v>
      </c>
      <c r="AK217" s="92">
        <f t="shared" si="3325"/>
        <v>-223273.95833333308</v>
      </c>
      <c r="AL217" s="92">
        <f t="shared" si="3325"/>
        <v>-223273.95833333363</v>
      </c>
      <c r="AM217" s="92">
        <f t="shared" si="3325"/>
        <v>-223273.95833333308</v>
      </c>
      <c r="AN217" s="92">
        <f t="shared" si="3325"/>
        <v>-223273.95833333308</v>
      </c>
      <c r="AO217" s="92">
        <f t="shared" si="3325"/>
        <v>-223273.95833333363</v>
      </c>
      <c r="AP217" s="92">
        <f t="shared" si="3325"/>
        <v>-223273.95833333308</v>
      </c>
      <c r="AQ217" s="92">
        <f t="shared" si="3325"/>
        <v>0</v>
      </c>
      <c r="AR217" s="92">
        <f t="shared" si="3325"/>
        <v>0</v>
      </c>
      <c r="AS217" s="92">
        <f t="shared" si="3325"/>
        <v>0</v>
      </c>
      <c r="AT217" s="92">
        <f t="shared" si="3325"/>
        <v>0</v>
      </c>
      <c r="AU217" s="92">
        <f t="shared" si="3325"/>
        <v>0</v>
      </c>
      <c r="AV217" s="92">
        <f t="shared" si="3325"/>
        <v>0</v>
      </c>
      <c r="AW217" s="92">
        <f t="shared" si="3325"/>
        <v>0</v>
      </c>
      <c r="AX217" s="92">
        <f t="shared" si="3325"/>
        <v>0</v>
      </c>
      <c r="AY217" s="92">
        <f t="shared" ref="AY217:CD217" si="3326">IF(AY$19&gt;$K$19,"",-AY46)</f>
        <v>0</v>
      </c>
      <c r="AZ217" s="92">
        <f t="shared" si="3326"/>
        <v>0</v>
      </c>
      <c r="BA217" s="92">
        <f t="shared" si="3326"/>
        <v>0</v>
      </c>
      <c r="BB217" s="92">
        <f t="shared" si="3326"/>
        <v>0</v>
      </c>
      <c r="BC217" s="92">
        <f t="shared" si="3326"/>
        <v>0</v>
      </c>
      <c r="BD217" s="92" t="str">
        <f t="shared" si="3326"/>
        <v/>
      </c>
      <c r="BE217" s="92" t="str">
        <f t="shared" si="3326"/>
        <v/>
      </c>
      <c r="BF217" s="92" t="str">
        <f t="shared" si="3326"/>
        <v/>
      </c>
      <c r="BG217" s="92" t="str">
        <f t="shared" si="3326"/>
        <v/>
      </c>
      <c r="BH217" s="92" t="str">
        <f t="shared" si="3326"/>
        <v/>
      </c>
      <c r="BI217" s="92" t="str">
        <f t="shared" si="3326"/>
        <v/>
      </c>
      <c r="BJ217" s="92" t="str">
        <f t="shared" si="3326"/>
        <v/>
      </c>
      <c r="BK217" s="92" t="str">
        <f t="shared" si="3326"/>
        <v/>
      </c>
      <c r="BL217" s="92" t="str">
        <f t="shared" si="3326"/>
        <v/>
      </c>
      <c r="BM217" s="92" t="str">
        <f t="shared" si="3326"/>
        <v/>
      </c>
      <c r="BN217" s="92" t="str">
        <f t="shared" si="3326"/>
        <v/>
      </c>
      <c r="BO217" s="92" t="str">
        <f t="shared" si="3326"/>
        <v/>
      </c>
      <c r="BP217" s="92" t="str">
        <f t="shared" si="3326"/>
        <v/>
      </c>
      <c r="BQ217" s="92" t="str">
        <f t="shared" si="3326"/>
        <v/>
      </c>
      <c r="BR217" s="92" t="str">
        <f t="shared" si="3326"/>
        <v/>
      </c>
      <c r="BS217" s="92" t="str">
        <f t="shared" si="3326"/>
        <v/>
      </c>
      <c r="BT217" s="92" t="str">
        <f t="shared" si="3326"/>
        <v/>
      </c>
      <c r="BU217" s="92" t="str">
        <f t="shared" si="3326"/>
        <v/>
      </c>
      <c r="BV217" s="92" t="str">
        <f t="shared" si="3326"/>
        <v/>
      </c>
      <c r="BW217" s="92" t="str">
        <f t="shared" si="3326"/>
        <v/>
      </c>
      <c r="BX217" s="92" t="str">
        <f t="shared" si="3326"/>
        <v/>
      </c>
      <c r="BY217" s="92" t="str">
        <f t="shared" si="3326"/>
        <v/>
      </c>
      <c r="BZ217" s="92" t="str">
        <f t="shared" si="3326"/>
        <v/>
      </c>
      <c r="CA217" s="92" t="str">
        <f t="shared" si="3326"/>
        <v/>
      </c>
      <c r="CB217" s="92" t="str">
        <f t="shared" si="3326"/>
        <v/>
      </c>
      <c r="CC217" s="92" t="str">
        <f t="shared" si="3326"/>
        <v/>
      </c>
      <c r="CD217" s="92" t="str">
        <f t="shared" si="3326"/>
        <v/>
      </c>
      <c r="CE217" s="92" t="str">
        <f t="shared" ref="CE217:DJ217" si="3327">IF(CE$19&gt;$K$19,"",-CE46)</f>
        <v/>
      </c>
      <c r="CF217" s="92" t="str">
        <f t="shared" si="3327"/>
        <v/>
      </c>
      <c r="CG217" s="92" t="str">
        <f t="shared" si="3327"/>
        <v/>
      </c>
      <c r="CH217" s="92" t="str">
        <f t="shared" si="3327"/>
        <v/>
      </c>
      <c r="CI217" s="92" t="str">
        <f t="shared" si="3327"/>
        <v/>
      </c>
      <c r="CJ217" s="92" t="str">
        <f t="shared" si="3327"/>
        <v/>
      </c>
      <c r="CK217" s="92" t="str">
        <f t="shared" si="3327"/>
        <v/>
      </c>
      <c r="CL217" s="92" t="str">
        <f t="shared" si="3327"/>
        <v/>
      </c>
      <c r="CM217" s="92" t="str">
        <f t="shared" si="3327"/>
        <v/>
      </c>
      <c r="CN217" s="92" t="str">
        <f t="shared" si="3327"/>
        <v/>
      </c>
      <c r="CO217" s="92" t="str">
        <f t="shared" si="3327"/>
        <v/>
      </c>
      <c r="CP217" s="92" t="str">
        <f t="shared" si="3327"/>
        <v/>
      </c>
      <c r="CQ217" s="92" t="str">
        <f t="shared" si="3327"/>
        <v/>
      </c>
      <c r="CR217" s="92" t="str">
        <f t="shared" si="3327"/>
        <v/>
      </c>
      <c r="CS217" s="92" t="str">
        <f t="shared" si="3327"/>
        <v/>
      </c>
      <c r="CT217" s="92" t="str">
        <f t="shared" si="3327"/>
        <v/>
      </c>
      <c r="CU217" s="92" t="str">
        <f t="shared" si="3327"/>
        <v/>
      </c>
      <c r="CV217" s="92" t="str">
        <f t="shared" si="3327"/>
        <v/>
      </c>
      <c r="CW217" s="92" t="str">
        <f t="shared" si="3327"/>
        <v/>
      </c>
      <c r="CX217" s="92" t="str">
        <f t="shared" si="3327"/>
        <v/>
      </c>
      <c r="CY217" s="92" t="str">
        <f t="shared" si="3327"/>
        <v/>
      </c>
      <c r="CZ217" s="92" t="str">
        <f t="shared" si="3327"/>
        <v/>
      </c>
      <c r="DA217" s="92" t="str">
        <f t="shared" si="3327"/>
        <v/>
      </c>
      <c r="DB217" s="92" t="str">
        <f t="shared" si="3327"/>
        <v/>
      </c>
      <c r="DC217" s="92" t="str">
        <f t="shared" si="3327"/>
        <v/>
      </c>
      <c r="DD217" s="92" t="str">
        <f t="shared" si="3327"/>
        <v/>
      </c>
      <c r="DE217" s="92" t="str">
        <f t="shared" si="3327"/>
        <v/>
      </c>
      <c r="DF217" s="92" t="str">
        <f t="shared" si="3327"/>
        <v/>
      </c>
      <c r="DG217" s="92" t="str">
        <f t="shared" si="3327"/>
        <v/>
      </c>
      <c r="DH217" s="92" t="str">
        <f t="shared" si="3327"/>
        <v/>
      </c>
      <c r="DI217" s="92" t="str">
        <f t="shared" si="3327"/>
        <v/>
      </c>
      <c r="DJ217" s="92" t="str">
        <f t="shared" si="3327"/>
        <v/>
      </c>
      <c r="DK217" s="92" t="str">
        <f t="shared" ref="DK217:EU217" si="3328">IF(DK$19&gt;$K$19,"",-DK46)</f>
        <v/>
      </c>
      <c r="DL217" s="92" t="str">
        <f t="shared" si="3328"/>
        <v/>
      </c>
      <c r="DM217" s="92" t="str">
        <f t="shared" si="3328"/>
        <v/>
      </c>
      <c r="DN217" s="92" t="str">
        <f t="shared" si="3328"/>
        <v/>
      </c>
      <c r="DO217" s="92" t="str">
        <f t="shared" si="3328"/>
        <v/>
      </c>
      <c r="DP217" s="92" t="str">
        <f t="shared" si="3328"/>
        <v/>
      </c>
      <c r="DQ217" s="92" t="str">
        <f t="shared" si="3328"/>
        <v/>
      </c>
      <c r="DR217" s="92" t="str">
        <f t="shared" si="3328"/>
        <v/>
      </c>
      <c r="DS217" s="92" t="str">
        <f t="shared" si="3328"/>
        <v/>
      </c>
      <c r="DT217" s="92" t="str">
        <f t="shared" si="3328"/>
        <v/>
      </c>
      <c r="DU217" s="92" t="str">
        <f t="shared" si="3328"/>
        <v/>
      </c>
      <c r="DV217" s="92" t="str">
        <f t="shared" si="3328"/>
        <v/>
      </c>
      <c r="DW217" s="92" t="str">
        <f t="shared" si="3328"/>
        <v/>
      </c>
      <c r="DX217" s="92" t="str">
        <f t="shared" si="3328"/>
        <v/>
      </c>
      <c r="DY217" s="92" t="str">
        <f t="shared" si="3328"/>
        <v/>
      </c>
      <c r="DZ217" s="92" t="str">
        <f t="shared" si="3328"/>
        <v/>
      </c>
      <c r="EA217" s="92" t="str">
        <f t="shared" si="3328"/>
        <v/>
      </c>
      <c r="EB217" s="92" t="str">
        <f t="shared" si="3328"/>
        <v/>
      </c>
      <c r="EC217" s="92" t="str">
        <f t="shared" si="3328"/>
        <v/>
      </c>
      <c r="ED217" s="92" t="str">
        <f t="shared" si="3328"/>
        <v/>
      </c>
      <c r="EE217" s="92" t="str">
        <f t="shared" si="3328"/>
        <v/>
      </c>
      <c r="EF217" s="92" t="str">
        <f t="shared" si="3328"/>
        <v/>
      </c>
      <c r="EG217" s="92" t="str">
        <f t="shared" si="3328"/>
        <v/>
      </c>
      <c r="EH217" s="92" t="str">
        <f t="shared" si="3328"/>
        <v/>
      </c>
      <c r="EI217" s="92" t="str">
        <f t="shared" si="3328"/>
        <v/>
      </c>
      <c r="EJ217" s="92" t="str">
        <f t="shared" si="3328"/>
        <v/>
      </c>
      <c r="EK217" s="92" t="str">
        <f t="shared" si="3328"/>
        <v/>
      </c>
      <c r="EL217" s="92" t="str">
        <f t="shared" si="3328"/>
        <v/>
      </c>
      <c r="EM217" s="92" t="str">
        <f t="shared" si="3328"/>
        <v/>
      </c>
      <c r="EN217" s="92" t="str">
        <f t="shared" si="3328"/>
        <v/>
      </c>
      <c r="EO217" s="92" t="str">
        <f t="shared" si="3328"/>
        <v/>
      </c>
      <c r="EP217" s="92" t="str">
        <f t="shared" si="3328"/>
        <v/>
      </c>
      <c r="EQ217" s="92" t="str">
        <f t="shared" si="3328"/>
        <v/>
      </c>
      <c r="ER217" s="92" t="str">
        <f t="shared" si="3328"/>
        <v/>
      </c>
      <c r="ES217" s="92" t="str">
        <f t="shared" si="3328"/>
        <v/>
      </c>
      <c r="ET217" s="92" t="str">
        <f t="shared" si="3328"/>
        <v/>
      </c>
      <c r="EU217" s="92" t="str">
        <f t="shared" si="3328"/>
        <v/>
      </c>
      <c r="EV217" s="2"/>
      <c r="EW217" s="201" t="s">
        <v>267</v>
      </c>
      <c r="EX217" s="201"/>
      <c r="EY217" s="228"/>
      <c r="EZ217" s="228"/>
      <c r="FA217" s="236"/>
      <c r="FB217" s="236"/>
      <c r="FC217" s="236">
        <f ca="1">IF(FC$209="","",FC210+FC214+FC215-FC216)</f>
        <v>26865102.25</v>
      </c>
      <c r="FD217" s="236">
        <f t="shared" ref="FD217:GI217" ca="1" si="3329">IF(FD209="","",FD210+FD214+FD215-FD216)</f>
        <v>26994534.182492182</v>
      </c>
      <c r="FE217" s="236">
        <f t="shared" ca="1" si="3329"/>
        <v>27119882.598592784</v>
      </c>
      <c r="FF217" s="236">
        <f t="shared" ca="1" si="3329"/>
        <v>27243468.855324864</v>
      </c>
      <c r="FG217" s="236">
        <f t="shared" ca="1" si="3329"/>
        <v>27364746.532552607</v>
      </c>
      <c r="FH217" s="236">
        <f t="shared" ca="1" si="3329"/>
        <v>27482899.246632159</v>
      </c>
      <c r="FI217" s="236">
        <f t="shared" ca="1" si="3329"/>
        <v>27599167.123286493</v>
      </c>
      <c r="FJ217" s="236">
        <f t="shared" ca="1" si="3329"/>
        <v>27713404.171061084</v>
      </c>
      <c r="FK217" s="236">
        <f t="shared" ca="1" si="3329"/>
        <v>27825376.25814664</v>
      </c>
      <c r="FL217" s="236">
        <f t="shared" ca="1" si="3329"/>
        <v>27935344.751486871</v>
      </c>
      <c r="FM217" s="236">
        <f t="shared" ca="1" si="3329"/>
        <v>28043317.08503193</v>
      </c>
      <c r="FN217" s="236">
        <f t="shared" ca="1" si="3329"/>
        <v>28149289.206589494</v>
      </c>
      <c r="FO217" s="236">
        <f t="shared" ca="1" si="3329"/>
        <v>28253264.055819292</v>
      </c>
      <c r="FP217" s="236">
        <f t="shared" ca="1" si="3329"/>
        <v>28354643.616508931</v>
      </c>
      <c r="FQ217" s="236">
        <f t="shared" ca="1" si="3329"/>
        <v>28453446.726151977</v>
      </c>
      <c r="FR217" s="236">
        <f t="shared" ca="1" si="3329"/>
        <v>28549606.067612812</v>
      </c>
      <c r="FS217" s="236">
        <f t="shared" ca="1" si="3329"/>
        <v>28643077.755016625</v>
      </c>
      <c r="FT217" s="236">
        <f t="shared" ca="1" si="3329"/>
        <v>28733819.485726636</v>
      </c>
      <c r="FU217" s="236">
        <f t="shared" ca="1" si="3329"/>
        <v>28821781.966100506</v>
      </c>
      <c r="FV217" s="236">
        <f t="shared" ca="1" si="3329"/>
        <v>28906927.345999409</v>
      </c>
      <c r="FW217" s="236">
        <f t="shared" ca="1" si="3329"/>
        <v>28989183.042244449</v>
      </c>
      <c r="FX217" s="236">
        <f t="shared" ca="1" si="3329"/>
        <v>29068503.095991135</v>
      </c>
      <c r="FY217" s="236">
        <f t="shared" ca="1" si="3329"/>
        <v>29144843.164070476</v>
      </c>
      <c r="FZ217" s="236">
        <f t="shared" ca="1" si="3329"/>
        <v>29218153.348107215</v>
      </c>
      <c r="GA217" s="236">
        <f t="shared" ca="1" si="3329"/>
        <v>29287379.332263377</v>
      </c>
      <c r="GB217" s="236">
        <f t="shared" ca="1" si="3329"/>
        <v>29336380.700634688</v>
      </c>
      <c r="GC217" s="236">
        <f t="shared" ca="1" si="3329"/>
        <v>29385335.193842344</v>
      </c>
      <c r="GD217" s="236">
        <f t="shared" ca="1" si="3329"/>
        <v>29434198.584102727</v>
      </c>
      <c r="GE217" s="236">
        <f t="shared" ca="1" si="3329"/>
        <v>29482999.544831261</v>
      </c>
      <c r="GF217" s="236">
        <f t="shared" ca="1" si="3329"/>
        <v>29531697.998432741</v>
      </c>
      <c r="GG217" s="236">
        <f t="shared" ca="1" si="3329"/>
        <v>29580281.485448204</v>
      </c>
      <c r="GH217" s="236">
        <f t="shared" ca="1" si="3329"/>
        <v>29628741.722056102</v>
      </c>
      <c r="GI217" s="236">
        <f t="shared" ca="1" si="3329"/>
        <v>29677051.973680142</v>
      </c>
      <c r="GJ217" s="236">
        <f t="shared" ref="GJ217:HO217" ca="1" si="3330">IF(GJ209="","",GJ210+GJ214+GJ215-GJ216)</f>
        <v>29725227.339284241</v>
      </c>
      <c r="GK217" s="236">
        <f t="shared" ca="1" si="3330"/>
        <v>29773214.725663103</v>
      </c>
      <c r="GL217" s="236">
        <f t="shared" ca="1" si="3330"/>
        <v>29821006.623420853</v>
      </c>
      <c r="GM217" s="236">
        <f t="shared" ca="1" si="3330"/>
        <v>0</v>
      </c>
      <c r="GN217" s="236" t="str">
        <f t="shared" si="3330"/>
        <v/>
      </c>
      <c r="GO217" s="236" t="str">
        <f t="shared" si="3330"/>
        <v/>
      </c>
      <c r="GP217" s="236" t="str">
        <f t="shared" si="3330"/>
        <v/>
      </c>
      <c r="GQ217" s="236" t="str">
        <f t="shared" si="3330"/>
        <v/>
      </c>
      <c r="GR217" s="236" t="str">
        <f t="shared" si="3330"/>
        <v/>
      </c>
      <c r="GS217" s="236" t="str">
        <f t="shared" si="3330"/>
        <v/>
      </c>
      <c r="GT217" s="236" t="str">
        <f t="shared" si="3330"/>
        <v/>
      </c>
      <c r="GU217" s="236" t="str">
        <f t="shared" si="3330"/>
        <v/>
      </c>
      <c r="GV217" s="236" t="str">
        <f t="shared" si="3330"/>
        <v/>
      </c>
      <c r="GW217" s="236" t="str">
        <f t="shared" si="3330"/>
        <v/>
      </c>
      <c r="GX217" s="236" t="str">
        <f t="shared" si="3330"/>
        <v/>
      </c>
      <c r="GY217" s="236" t="str">
        <f t="shared" si="3330"/>
        <v/>
      </c>
      <c r="GZ217" s="236" t="str">
        <f t="shared" si="3330"/>
        <v/>
      </c>
      <c r="HA217" s="236" t="str">
        <f t="shared" si="3330"/>
        <v/>
      </c>
      <c r="HB217" s="236" t="str">
        <f t="shared" si="3330"/>
        <v/>
      </c>
      <c r="HC217" s="236" t="str">
        <f t="shared" si="3330"/>
        <v/>
      </c>
      <c r="HD217" s="236" t="str">
        <f t="shared" si="3330"/>
        <v/>
      </c>
      <c r="HE217" s="236" t="str">
        <f t="shared" si="3330"/>
        <v/>
      </c>
      <c r="HF217" s="236" t="str">
        <f t="shared" si="3330"/>
        <v/>
      </c>
      <c r="HG217" s="236" t="str">
        <f t="shared" si="3330"/>
        <v/>
      </c>
      <c r="HH217" s="236" t="str">
        <f t="shared" si="3330"/>
        <v/>
      </c>
      <c r="HI217" s="236" t="str">
        <f t="shared" si="3330"/>
        <v/>
      </c>
      <c r="HJ217" s="236" t="str">
        <f t="shared" si="3330"/>
        <v/>
      </c>
      <c r="HK217" s="236" t="str">
        <f t="shared" si="3330"/>
        <v/>
      </c>
      <c r="HL217" s="236" t="str">
        <f t="shared" si="3330"/>
        <v/>
      </c>
      <c r="HM217" s="236" t="str">
        <f t="shared" si="3330"/>
        <v/>
      </c>
      <c r="HN217" s="236" t="str">
        <f t="shared" si="3330"/>
        <v/>
      </c>
      <c r="HO217" s="236" t="str">
        <f t="shared" si="3330"/>
        <v/>
      </c>
      <c r="HP217" s="236" t="str">
        <f t="shared" ref="HP217:IU217" si="3331">IF(HP209="","",HP210+HP214+HP215-HP216)</f>
        <v/>
      </c>
      <c r="HQ217" s="236" t="str">
        <f t="shared" si="3331"/>
        <v/>
      </c>
      <c r="HR217" s="236" t="str">
        <f t="shared" si="3331"/>
        <v/>
      </c>
      <c r="HS217" s="236" t="str">
        <f t="shared" si="3331"/>
        <v/>
      </c>
      <c r="HT217" s="236" t="str">
        <f t="shared" si="3331"/>
        <v/>
      </c>
      <c r="HU217" s="236" t="str">
        <f t="shared" si="3331"/>
        <v/>
      </c>
      <c r="HV217" s="236" t="str">
        <f t="shared" si="3331"/>
        <v/>
      </c>
      <c r="HW217" s="236" t="str">
        <f t="shared" si="3331"/>
        <v/>
      </c>
      <c r="HX217" s="236" t="str">
        <f t="shared" si="3331"/>
        <v/>
      </c>
      <c r="HY217" s="236" t="str">
        <f t="shared" si="3331"/>
        <v/>
      </c>
      <c r="HZ217" s="236" t="str">
        <f t="shared" si="3331"/>
        <v/>
      </c>
      <c r="IA217" s="236" t="str">
        <f t="shared" si="3331"/>
        <v/>
      </c>
      <c r="IB217" s="236" t="str">
        <f t="shared" si="3331"/>
        <v/>
      </c>
      <c r="IC217" s="236" t="str">
        <f t="shared" si="3331"/>
        <v/>
      </c>
      <c r="ID217" s="236" t="str">
        <f t="shared" si="3331"/>
        <v/>
      </c>
      <c r="IE217" s="236" t="str">
        <f t="shared" si="3331"/>
        <v/>
      </c>
      <c r="IF217" s="236" t="str">
        <f t="shared" si="3331"/>
        <v/>
      </c>
      <c r="IG217" s="236" t="str">
        <f t="shared" si="3331"/>
        <v/>
      </c>
      <c r="IH217" s="236" t="str">
        <f t="shared" si="3331"/>
        <v/>
      </c>
      <c r="II217" s="236" t="str">
        <f t="shared" si="3331"/>
        <v/>
      </c>
      <c r="IJ217" s="236" t="str">
        <f t="shared" si="3331"/>
        <v/>
      </c>
      <c r="IK217" s="236" t="str">
        <f t="shared" si="3331"/>
        <v/>
      </c>
      <c r="IL217" s="236" t="str">
        <f t="shared" si="3331"/>
        <v/>
      </c>
      <c r="IM217" s="236" t="str">
        <f t="shared" si="3331"/>
        <v/>
      </c>
      <c r="IN217" s="236" t="str">
        <f t="shared" si="3331"/>
        <v/>
      </c>
      <c r="IO217" s="236" t="str">
        <f t="shared" si="3331"/>
        <v/>
      </c>
      <c r="IP217" s="236" t="str">
        <f t="shared" si="3331"/>
        <v/>
      </c>
      <c r="IQ217" s="236" t="str">
        <f t="shared" si="3331"/>
        <v/>
      </c>
      <c r="IR217" s="236" t="str">
        <f t="shared" si="3331"/>
        <v/>
      </c>
      <c r="IS217" s="236" t="str">
        <f t="shared" si="3331"/>
        <v/>
      </c>
      <c r="IT217" s="236" t="str">
        <f t="shared" si="3331"/>
        <v/>
      </c>
      <c r="IU217" s="236" t="str">
        <f t="shared" si="3331"/>
        <v/>
      </c>
      <c r="IV217" s="236" t="str">
        <f t="shared" ref="IV217:KA217" si="3332">IF(IV209="","",IV210+IV214+IV215-IV216)</f>
        <v/>
      </c>
      <c r="IW217" s="236" t="str">
        <f t="shared" si="3332"/>
        <v/>
      </c>
      <c r="IX217" s="236" t="str">
        <f t="shared" si="3332"/>
        <v/>
      </c>
      <c r="IY217" s="236" t="str">
        <f t="shared" si="3332"/>
        <v/>
      </c>
      <c r="IZ217" s="236" t="str">
        <f t="shared" si="3332"/>
        <v/>
      </c>
      <c r="JA217" s="236" t="str">
        <f t="shared" si="3332"/>
        <v/>
      </c>
      <c r="JB217" s="236" t="str">
        <f t="shared" si="3332"/>
        <v/>
      </c>
      <c r="JC217" s="236" t="str">
        <f t="shared" si="3332"/>
        <v/>
      </c>
      <c r="JD217" s="236" t="str">
        <f t="shared" si="3332"/>
        <v/>
      </c>
      <c r="JE217" s="236" t="str">
        <f t="shared" si="3332"/>
        <v/>
      </c>
      <c r="JF217" s="236" t="str">
        <f t="shared" si="3332"/>
        <v/>
      </c>
      <c r="JG217" s="236" t="str">
        <f t="shared" si="3332"/>
        <v/>
      </c>
      <c r="JH217" s="236" t="str">
        <f t="shared" si="3332"/>
        <v/>
      </c>
      <c r="JI217" s="236" t="str">
        <f t="shared" si="3332"/>
        <v/>
      </c>
      <c r="JJ217" s="236" t="str">
        <f t="shared" si="3332"/>
        <v/>
      </c>
      <c r="JK217" s="236" t="str">
        <f t="shared" si="3332"/>
        <v/>
      </c>
      <c r="JL217" s="236" t="str">
        <f t="shared" si="3332"/>
        <v/>
      </c>
      <c r="JM217" s="236" t="str">
        <f t="shared" si="3332"/>
        <v/>
      </c>
      <c r="JN217" s="236" t="str">
        <f t="shared" si="3332"/>
        <v/>
      </c>
      <c r="JO217" s="236" t="str">
        <f t="shared" si="3332"/>
        <v/>
      </c>
      <c r="JP217" s="236" t="str">
        <f t="shared" si="3332"/>
        <v/>
      </c>
      <c r="JQ217" s="236" t="str">
        <f t="shared" si="3332"/>
        <v/>
      </c>
      <c r="JR217" s="236" t="str">
        <f t="shared" si="3332"/>
        <v/>
      </c>
      <c r="JS217" s="236" t="str">
        <f t="shared" si="3332"/>
        <v/>
      </c>
      <c r="JT217" s="236" t="str">
        <f t="shared" si="3332"/>
        <v/>
      </c>
      <c r="JU217" s="236" t="str">
        <f t="shared" si="3332"/>
        <v/>
      </c>
      <c r="JV217" s="236" t="str">
        <f t="shared" si="3332"/>
        <v/>
      </c>
      <c r="JW217" s="236" t="str">
        <f t="shared" si="3332"/>
        <v/>
      </c>
      <c r="JX217" s="236" t="str">
        <f t="shared" si="3332"/>
        <v/>
      </c>
      <c r="JY217" s="236" t="str">
        <f t="shared" si="3332"/>
        <v/>
      </c>
      <c r="JZ217" s="236" t="str">
        <f t="shared" si="3332"/>
        <v/>
      </c>
      <c r="KA217" s="236" t="str">
        <f t="shared" si="3332"/>
        <v/>
      </c>
      <c r="KB217" s="236" t="str">
        <f t="shared" ref="KB217:KE217" si="3333">IF(KB209="","",KB210+KB214+KB215-KB216)</f>
        <v/>
      </c>
      <c r="KC217" s="236" t="str">
        <f t="shared" si="3333"/>
        <v/>
      </c>
      <c r="KD217" s="236" t="str">
        <f t="shared" si="3333"/>
        <v/>
      </c>
      <c r="KE217" s="236" t="str">
        <f t="shared" si="3333"/>
        <v/>
      </c>
      <c r="KF217" s="218" t="s">
        <v>269</v>
      </c>
      <c r="KG217" s="201"/>
      <c r="KH217" s="201"/>
      <c r="KI217" s="201"/>
      <c r="KJ217" s="201"/>
      <c r="KK217" s="201"/>
      <c r="KL217" s="201"/>
      <c r="KM217" s="201"/>
      <c r="KN217" s="201"/>
      <c r="KO217" s="201"/>
      <c r="KP217" s="201"/>
      <c r="KQ217" s="201"/>
      <c r="KR217" s="201"/>
      <c r="KS217" s="201"/>
      <c r="KT217" s="201"/>
      <c r="KU217" s="201"/>
      <c r="KV217" s="201"/>
      <c r="KW217" s="201"/>
      <c r="KX217" s="201"/>
      <c r="KY217" s="201"/>
      <c r="KZ217" s="201"/>
      <c r="LA217" s="201"/>
      <c r="LB217" s="201"/>
      <c r="LC217" s="201"/>
      <c r="LD217" s="201"/>
      <c r="LE217" s="201"/>
      <c r="LF217" s="201"/>
      <c r="LG217" s="201"/>
      <c r="LH217" s="201"/>
      <c r="LI217" s="201"/>
      <c r="LJ217" s="201"/>
      <c r="LK217" s="201"/>
      <c r="LL217" s="201"/>
      <c r="LM217" s="201"/>
      <c r="LN217" s="201"/>
      <c r="LO217" s="201"/>
      <c r="LP217" s="201"/>
      <c r="LQ217" s="201"/>
      <c r="LR217" s="201"/>
      <c r="LS217" s="201"/>
      <c r="LT217" s="201"/>
      <c r="LU217" s="201"/>
      <c r="LV217" s="201"/>
      <c r="LW217" s="201"/>
      <c r="LX217" s="201"/>
      <c r="LY217" s="201"/>
      <c r="LZ217" s="201"/>
      <c r="MA217" s="201"/>
      <c r="MB217" s="201"/>
      <c r="MC217" s="201"/>
      <c r="MD217" s="201"/>
      <c r="ME217" s="201"/>
      <c r="MF217" s="201"/>
      <c r="MG217" s="201"/>
      <c r="MH217" s="201"/>
      <c r="MI217" s="201"/>
      <c r="MJ217" s="201"/>
      <c r="MK217" s="201"/>
      <c r="ML217" s="201"/>
      <c r="MM217" s="201"/>
      <c r="MN217" s="201"/>
      <c r="MO217" s="201"/>
      <c r="MP217" s="201"/>
      <c r="MQ217" s="201"/>
      <c r="MR217" s="201"/>
      <c r="MS217" s="201"/>
      <c r="MT217" s="201"/>
      <c r="MU217" s="201"/>
      <c r="MV217" s="201"/>
      <c r="MW217" s="201"/>
      <c r="MX217" s="201"/>
      <c r="MY217" s="201"/>
      <c r="MZ217" s="201"/>
      <c r="NA217" s="201"/>
      <c r="NB217" s="201"/>
      <c r="NC217" s="201"/>
      <c r="ND217" s="201"/>
      <c r="NE217" s="201"/>
      <c r="NF217" s="201"/>
      <c r="NG217" s="201"/>
      <c r="NH217" s="201"/>
      <c r="NI217" s="201"/>
      <c r="NJ217" s="201"/>
      <c r="NK217" s="201"/>
      <c r="NL217" s="201"/>
      <c r="NM217" s="201"/>
      <c r="NN217" s="201"/>
      <c r="NO217" s="201"/>
      <c r="NP217" s="201"/>
      <c r="NQ217" s="201"/>
      <c r="NR217" s="201"/>
      <c r="NS217" s="201"/>
      <c r="NT217" s="201"/>
      <c r="NU217" s="201"/>
      <c r="NV217" s="201"/>
      <c r="NW217" s="201"/>
      <c r="NX217" s="201"/>
      <c r="NY217" s="201"/>
      <c r="NZ217" s="201"/>
      <c r="OA217" s="201"/>
      <c r="OB217" s="201"/>
      <c r="OC217" s="201"/>
      <c r="OD217" s="201"/>
      <c r="OE217" s="201"/>
      <c r="OF217" s="201"/>
      <c r="OG217" s="201"/>
      <c r="OH217" s="201"/>
      <c r="OI217" s="201"/>
      <c r="OJ217" s="201"/>
      <c r="OK217" s="201"/>
      <c r="OL217" s="201"/>
      <c r="OM217" s="201"/>
      <c r="ON217" s="201"/>
      <c r="OO217" s="201"/>
      <c r="OP217" s="201"/>
      <c r="OQ217" s="201"/>
      <c r="OR217" s="201"/>
      <c r="OS217" s="201"/>
      <c r="OT217" s="201"/>
      <c r="OU217" s="201"/>
      <c r="OV217" s="201"/>
      <c r="OW217" s="201"/>
      <c r="OX217" s="201"/>
      <c r="OY217" s="201"/>
      <c r="OZ217" s="201"/>
      <c r="PA217" s="201"/>
      <c r="PB217" s="201"/>
      <c r="PC217" s="201"/>
      <c r="PD217" s="201"/>
      <c r="PE217" s="201"/>
      <c r="PF217" s="201"/>
      <c r="PG217" s="201"/>
      <c r="PH217" s="201"/>
      <c r="PI217" s="201"/>
      <c r="PJ217" s="201"/>
      <c r="PK217" s="201"/>
      <c r="PL217" s="201"/>
      <c r="PM217" s="201"/>
      <c r="PN217" s="201"/>
      <c r="PO217" s="201"/>
      <c r="PQ217" s="201"/>
      <c r="PR217" s="201"/>
      <c r="PS217" s="201"/>
      <c r="PT217" s="201"/>
      <c r="PU217" s="201"/>
      <c r="PV217" s="201"/>
      <c r="PW217" s="201"/>
      <c r="PX217" s="201"/>
      <c r="PY217" s="201"/>
      <c r="PZ217" s="201"/>
      <c r="QA217" s="201"/>
      <c r="QB217" s="201"/>
      <c r="QC217" s="201"/>
      <c r="QD217" s="201"/>
      <c r="QE217" s="201"/>
      <c r="QF217" s="201"/>
      <c r="QG217" s="201"/>
      <c r="QH217" s="201"/>
      <c r="QI217" s="201"/>
      <c r="QJ217" s="201"/>
      <c r="QK217" s="201"/>
      <c r="QL217" s="201"/>
      <c r="QM217" s="201"/>
      <c r="QN217" s="201"/>
      <c r="QO217" s="201"/>
      <c r="QP217" s="201"/>
      <c r="QQ217" s="201"/>
      <c r="QR217" s="201"/>
      <c r="QS217" s="201"/>
      <c r="QT217" s="201"/>
      <c r="QU217" s="201"/>
      <c r="QV217" s="201"/>
      <c r="QW217" s="201"/>
      <c r="QX217" s="201"/>
      <c r="QY217" s="201"/>
      <c r="QZ217" s="201"/>
      <c r="RA217" s="201"/>
      <c r="RB217" s="201"/>
      <c r="RC217" s="201"/>
      <c r="RD217" s="201"/>
      <c r="RE217" s="201"/>
      <c r="RF217" s="201"/>
      <c r="RG217" s="201"/>
      <c r="RH217" s="201"/>
      <c r="RI217" s="201"/>
      <c r="RJ217" s="201"/>
      <c r="RK217" s="201"/>
      <c r="RL217" s="201"/>
      <c r="RM217" s="201"/>
      <c r="RN217" s="201"/>
      <c r="RO217" s="201"/>
      <c r="RP217" s="201"/>
      <c r="RQ217" s="201"/>
      <c r="RR217" s="201"/>
      <c r="RS217" s="201"/>
      <c r="RT217" s="201"/>
      <c r="RU217" s="201"/>
      <c r="RV217" s="201"/>
      <c r="RW217" s="201"/>
      <c r="RX217" s="201"/>
      <c r="RY217" s="201"/>
      <c r="RZ217" s="201"/>
      <c r="SA217" s="201"/>
      <c r="SB217" s="201"/>
      <c r="SC217" s="201"/>
      <c r="SD217" s="201"/>
      <c r="SE217" s="201"/>
      <c r="SF217" s="201"/>
      <c r="SG217" s="201"/>
      <c r="SH217" s="201"/>
      <c r="SI217" s="201"/>
      <c r="SJ217" s="201"/>
      <c r="SK217" s="201"/>
      <c r="SL217" s="201"/>
      <c r="SM217" s="201"/>
      <c r="SN217" s="201"/>
      <c r="SO217" s="201"/>
      <c r="SP217" s="201"/>
      <c r="SQ217" s="201"/>
      <c r="SR217" s="201"/>
      <c r="SS217" s="201"/>
      <c r="ST217" s="201"/>
      <c r="SU217" s="201"/>
      <c r="SV217" s="201"/>
      <c r="SW217" s="201"/>
      <c r="SX217" s="201"/>
      <c r="SY217" s="201"/>
      <c r="SZ217" s="201"/>
      <c r="TA217" s="201"/>
      <c r="TB217" s="201"/>
      <c r="TC217" s="201"/>
      <c r="TD217" s="201"/>
      <c r="TE217" s="201"/>
      <c r="TF217" s="201"/>
      <c r="TG217" s="201"/>
      <c r="TH217" s="201"/>
      <c r="TI217" s="201"/>
      <c r="TJ217" s="201"/>
      <c r="TK217" s="201"/>
      <c r="TL217" s="201"/>
      <c r="TM217" s="201"/>
      <c r="TN217" s="201"/>
      <c r="TO217" s="201"/>
      <c r="TP217" s="201"/>
      <c r="TQ217" s="201"/>
      <c r="TR217" s="201"/>
      <c r="TS217" s="201"/>
      <c r="TT217" s="201"/>
      <c r="TU217" s="201"/>
      <c r="TV217" s="201"/>
      <c r="TW217" s="201"/>
      <c r="TX217" s="201"/>
      <c r="TY217" s="201"/>
      <c r="TZ217" s="201"/>
      <c r="UA217" s="201"/>
      <c r="UB217" s="201"/>
      <c r="UC217" s="201"/>
      <c r="UD217" s="201"/>
      <c r="UE217" s="201"/>
      <c r="UF217" s="201"/>
      <c r="UG217" s="201"/>
      <c r="UH217" s="201"/>
      <c r="UI217" s="201"/>
      <c r="UJ217" s="201"/>
      <c r="UK217" s="201"/>
      <c r="UL217" s="201"/>
      <c r="UM217" s="201"/>
      <c r="UN217" s="201"/>
      <c r="UO217" s="201"/>
      <c r="UP217" s="201"/>
      <c r="UQ217" s="201"/>
      <c r="UR217" s="201"/>
      <c r="US217" s="201"/>
      <c r="UT217" s="201"/>
      <c r="UU217" s="201"/>
    </row>
    <row r="218" spans="2:567" x14ac:dyDescent="0.25">
      <c r="B218" s="54" t="s">
        <v>664</v>
      </c>
      <c r="C218" s="26"/>
      <c r="D218" s="26"/>
      <c r="E218" s="26"/>
      <c r="F218" s="26"/>
      <c r="G218" s="26"/>
      <c r="H218" s="26"/>
      <c r="I218" s="26"/>
      <c r="J218" s="34"/>
      <c r="K218" s="34">
        <f>-SUM(S218:EU218)</f>
        <v>69127324.999999985</v>
      </c>
      <c r="L218" s="2"/>
      <c r="R218" s="159" t="str">
        <f>IF(ROUND(K218,0)=ROUND(K49,0),"OK","ERROR")</f>
        <v>OK</v>
      </c>
      <c r="S218" s="92">
        <f t="shared" ref="S218:AX218" si="3334">IF(S$19&gt;$K$19,"",-S49)</f>
        <v>-63992023.958333336</v>
      </c>
      <c r="T218" s="92">
        <f t="shared" si="3334"/>
        <v>-223273.95833333331</v>
      </c>
      <c r="U218" s="92">
        <f t="shared" si="3334"/>
        <v>-223273.95833333331</v>
      </c>
      <c r="V218" s="92">
        <f t="shared" si="3334"/>
        <v>-223273.9583333332</v>
      </c>
      <c r="W218" s="92">
        <f t="shared" si="3334"/>
        <v>-223273.9583333334</v>
      </c>
      <c r="X218" s="92">
        <f t="shared" si="3334"/>
        <v>-223273.9583333332</v>
      </c>
      <c r="Y218" s="92">
        <f t="shared" si="3334"/>
        <v>-223273.9583333334</v>
      </c>
      <c r="Z218" s="92">
        <f t="shared" si="3334"/>
        <v>-223273.95833333308</v>
      </c>
      <c r="AA218" s="92">
        <f t="shared" si="3334"/>
        <v>-223273.9583333334</v>
      </c>
      <c r="AB218" s="92">
        <f t="shared" si="3334"/>
        <v>-223273.9583333334</v>
      </c>
      <c r="AC218" s="92">
        <f t="shared" si="3334"/>
        <v>-223273.95833333308</v>
      </c>
      <c r="AD218" s="92">
        <f t="shared" si="3334"/>
        <v>-223273.9583333334</v>
      </c>
      <c r="AE218" s="92">
        <f t="shared" si="3334"/>
        <v>-223273.95833333308</v>
      </c>
      <c r="AF218" s="92">
        <f t="shared" si="3334"/>
        <v>-223273.95833333363</v>
      </c>
      <c r="AG218" s="92">
        <f t="shared" si="3334"/>
        <v>-223273.95833333308</v>
      </c>
      <c r="AH218" s="92">
        <f t="shared" si="3334"/>
        <v>-223273.95833333308</v>
      </c>
      <c r="AI218" s="92">
        <f t="shared" si="3334"/>
        <v>-223273.95833333363</v>
      </c>
      <c r="AJ218" s="92">
        <f t="shared" si="3334"/>
        <v>-223273.95833333308</v>
      </c>
      <c r="AK218" s="92">
        <f t="shared" si="3334"/>
        <v>-223273.95833333308</v>
      </c>
      <c r="AL218" s="92">
        <f t="shared" si="3334"/>
        <v>-223273.95833333363</v>
      </c>
      <c r="AM218" s="92">
        <f t="shared" si="3334"/>
        <v>-223273.95833333308</v>
      </c>
      <c r="AN218" s="92">
        <f t="shared" si="3334"/>
        <v>-223273.95833333308</v>
      </c>
      <c r="AO218" s="92">
        <f t="shared" si="3334"/>
        <v>-223273.95833333363</v>
      </c>
      <c r="AP218" s="92">
        <f t="shared" si="3334"/>
        <v>-223273.95833333308</v>
      </c>
      <c r="AQ218" s="92">
        <f t="shared" si="3334"/>
        <v>0</v>
      </c>
      <c r="AR218" s="92">
        <f t="shared" si="3334"/>
        <v>0</v>
      </c>
      <c r="AS218" s="92">
        <f t="shared" si="3334"/>
        <v>0</v>
      </c>
      <c r="AT218" s="92">
        <f t="shared" si="3334"/>
        <v>0</v>
      </c>
      <c r="AU218" s="92">
        <f t="shared" si="3334"/>
        <v>0</v>
      </c>
      <c r="AV218" s="92">
        <f t="shared" si="3334"/>
        <v>0</v>
      </c>
      <c r="AW218" s="92">
        <f t="shared" si="3334"/>
        <v>0</v>
      </c>
      <c r="AX218" s="92">
        <f t="shared" si="3334"/>
        <v>0</v>
      </c>
      <c r="AY218" s="92">
        <f t="shared" ref="AY218:CD218" si="3335">IF(AY$19&gt;$K$19,"",-AY49)</f>
        <v>0</v>
      </c>
      <c r="AZ218" s="92">
        <f t="shared" si="3335"/>
        <v>0</v>
      </c>
      <c r="BA218" s="92">
        <f t="shared" si="3335"/>
        <v>0</v>
      </c>
      <c r="BB218" s="92">
        <f t="shared" si="3335"/>
        <v>0</v>
      </c>
      <c r="BC218" s="92">
        <f t="shared" si="3335"/>
        <v>0</v>
      </c>
      <c r="BD218" s="92" t="str">
        <f t="shared" si="3335"/>
        <v/>
      </c>
      <c r="BE218" s="92" t="str">
        <f t="shared" si="3335"/>
        <v/>
      </c>
      <c r="BF218" s="92" t="str">
        <f t="shared" si="3335"/>
        <v/>
      </c>
      <c r="BG218" s="92" t="str">
        <f t="shared" si="3335"/>
        <v/>
      </c>
      <c r="BH218" s="92" t="str">
        <f t="shared" si="3335"/>
        <v/>
      </c>
      <c r="BI218" s="92" t="str">
        <f t="shared" si="3335"/>
        <v/>
      </c>
      <c r="BJ218" s="92" t="str">
        <f t="shared" si="3335"/>
        <v/>
      </c>
      <c r="BK218" s="92" t="str">
        <f t="shared" si="3335"/>
        <v/>
      </c>
      <c r="BL218" s="92" t="str">
        <f t="shared" si="3335"/>
        <v/>
      </c>
      <c r="BM218" s="92" t="str">
        <f t="shared" si="3335"/>
        <v/>
      </c>
      <c r="BN218" s="92" t="str">
        <f t="shared" si="3335"/>
        <v/>
      </c>
      <c r="BO218" s="92" t="str">
        <f t="shared" si="3335"/>
        <v/>
      </c>
      <c r="BP218" s="92" t="str">
        <f t="shared" si="3335"/>
        <v/>
      </c>
      <c r="BQ218" s="92" t="str">
        <f t="shared" si="3335"/>
        <v/>
      </c>
      <c r="BR218" s="92" t="str">
        <f t="shared" si="3335"/>
        <v/>
      </c>
      <c r="BS218" s="92" t="str">
        <f t="shared" si="3335"/>
        <v/>
      </c>
      <c r="BT218" s="92" t="str">
        <f t="shared" si="3335"/>
        <v/>
      </c>
      <c r="BU218" s="92" t="str">
        <f t="shared" si="3335"/>
        <v/>
      </c>
      <c r="BV218" s="92" t="str">
        <f t="shared" si="3335"/>
        <v/>
      </c>
      <c r="BW218" s="92" t="str">
        <f t="shared" si="3335"/>
        <v/>
      </c>
      <c r="BX218" s="92" t="str">
        <f t="shared" si="3335"/>
        <v/>
      </c>
      <c r="BY218" s="92" t="str">
        <f t="shared" si="3335"/>
        <v/>
      </c>
      <c r="BZ218" s="92" t="str">
        <f t="shared" si="3335"/>
        <v/>
      </c>
      <c r="CA218" s="92" t="str">
        <f t="shared" si="3335"/>
        <v/>
      </c>
      <c r="CB218" s="92" t="str">
        <f t="shared" si="3335"/>
        <v/>
      </c>
      <c r="CC218" s="92" t="str">
        <f t="shared" si="3335"/>
        <v/>
      </c>
      <c r="CD218" s="92" t="str">
        <f t="shared" si="3335"/>
        <v/>
      </c>
      <c r="CE218" s="92" t="str">
        <f t="shared" ref="CE218:DJ218" si="3336">IF(CE$19&gt;$K$19,"",-CE49)</f>
        <v/>
      </c>
      <c r="CF218" s="92" t="str">
        <f t="shared" si="3336"/>
        <v/>
      </c>
      <c r="CG218" s="92" t="str">
        <f t="shared" si="3336"/>
        <v/>
      </c>
      <c r="CH218" s="92" t="str">
        <f t="shared" si="3336"/>
        <v/>
      </c>
      <c r="CI218" s="92" t="str">
        <f t="shared" si="3336"/>
        <v/>
      </c>
      <c r="CJ218" s="92" t="str">
        <f t="shared" si="3336"/>
        <v/>
      </c>
      <c r="CK218" s="92" t="str">
        <f t="shared" si="3336"/>
        <v/>
      </c>
      <c r="CL218" s="92" t="str">
        <f t="shared" si="3336"/>
        <v/>
      </c>
      <c r="CM218" s="92" t="str">
        <f t="shared" si="3336"/>
        <v/>
      </c>
      <c r="CN218" s="92" t="str">
        <f t="shared" si="3336"/>
        <v/>
      </c>
      <c r="CO218" s="92" t="str">
        <f t="shared" si="3336"/>
        <v/>
      </c>
      <c r="CP218" s="92" t="str">
        <f t="shared" si="3336"/>
        <v/>
      </c>
      <c r="CQ218" s="92" t="str">
        <f t="shared" si="3336"/>
        <v/>
      </c>
      <c r="CR218" s="92" t="str">
        <f t="shared" si="3336"/>
        <v/>
      </c>
      <c r="CS218" s="92" t="str">
        <f t="shared" si="3336"/>
        <v/>
      </c>
      <c r="CT218" s="92" t="str">
        <f t="shared" si="3336"/>
        <v/>
      </c>
      <c r="CU218" s="92" t="str">
        <f t="shared" si="3336"/>
        <v/>
      </c>
      <c r="CV218" s="92" t="str">
        <f t="shared" si="3336"/>
        <v/>
      </c>
      <c r="CW218" s="92" t="str">
        <f t="shared" si="3336"/>
        <v/>
      </c>
      <c r="CX218" s="92" t="str">
        <f t="shared" si="3336"/>
        <v/>
      </c>
      <c r="CY218" s="92" t="str">
        <f t="shared" si="3336"/>
        <v/>
      </c>
      <c r="CZ218" s="92" t="str">
        <f t="shared" si="3336"/>
        <v/>
      </c>
      <c r="DA218" s="92" t="str">
        <f t="shared" si="3336"/>
        <v/>
      </c>
      <c r="DB218" s="92" t="str">
        <f t="shared" si="3336"/>
        <v/>
      </c>
      <c r="DC218" s="92" t="str">
        <f t="shared" si="3336"/>
        <v/>
      </c>
      <c r="DD218" s="92" t="str">
        <f t="shared" si="3336"/>
        <v/>
      </c>
      <c r="DE218" s="92" t="str">
        <f t="shared" si="3336"/>
        <v/>
      </c>
      <c r="DF218" s="92" t="str">
        <f t="shared" si="3336"/>
        <v/>
      </c>
      <c r="DG218" s="92" t="str">
        <f t="shared" si="3336"/>
        <v/>
      </c>
      <c r="DH218" s="92" t="str">
        <f t="shared" si="3336"/>
        <v/>
      </c>
      <c r="DI218" s="92" t="str">
        <f t="shared" si="3336"/>
        <v/>
      </c>
      <c r="DJ218" s="92" t="str">
        <f t="shared" si="3336"/>
        <v/>
      </c>
      <c r="DK218" s="92" t="str">
        <f t="shared" ref="DK218:EU218" si="3337">IF(DK$19&gt;$K$19,"",-DK49)</f>
        <v/>
      </c>
      <c r="DL218" s="92" t="str">
        <f t="shared" si="3337"/>
        <v/>
      </c>
      <c r="DM218" s="92" t="str">
        <f t="shared" si="3337"/>
        <v/>
      </c>
      <c r="DN218" s="92" t="str">
        <f t="shared" si="3337"/>
        <v/>
      </c>
      <c r="DO218" s="92" t="str">
        <f t="shared" si="3337"/>
        <v/>
      </c>
      <c r="DP218" s="92" t="str">
        <f t="shared" si="3337"/>
        <v/>
      </c>
      <c r="DQ218" s="92" t="str">
        <f t="shared" si="3337"/>
        <v/>
      </c>
      <c r="DR218" s="92" t="str">
        <f t="shared" si="3337"/>
        <v/>
      </c>
      <c r="DS218" s="92" t="str">
        <f t="shared" si="3337"/>
        <v/>
      </c>
      <c r="DT218" s="92" t="str">
        <f t="shared" si="3337"/>
        <v/>
      </c>
      <c r="DU218" s="92" t="str">
        <f t="shared" si="3337"/>
        <v/>
      </c>
      <c r="DV218" s="92" t="str">
        <f t="shared" si="3337"/>
        <v/>
      </c>
      <c r="DW218" s="92" t="str">
        <f t="shared" si="3337"/>
        <v/>
      </c>
      <c r="DX218" s="92" t="str">
        <f t="shared" si="3337"/>
        <v/>
      </c>
      <c r="DY218" s="92" t="str">
        <f t="shared" si="3337"/>
        <v/>
      </c>
      <c r="DZ218" s="92" t="str">
        <f t="shared" si="3337"/>
        <v/>
      </c>
      <c r="EA218" s="92" t="str">
        <f t="shared" si="3337"/>
        <v/>
      </c>
      <c r="EB218" s="92" t="str">
        <f t="shared" si="3337"/>
        <v/>
      </c>
      <c r="EC218" s="92" t="str">
        <f t="shared" si="3337"/>
        <v/>
      </c>
      <c r="ED218" s="92" t="str">
        <f t="shared" si="3337"/>
        <v/>
      </c>
      <c r="EE218" s="92" t="str">
        <f t="shared" si="3337"/>
        <v/>
      </c>
      <c r="EF218" s="92" t="str">
        <f t="shared" si="3337"/>
        <v/>
      </c>
      <c r="EG218" s="92" t="str">
        <f t="shared" si="3337"/>
        <v/>
      </c>
      <c r="EH218" s="92" t="str">
        <f t="shared" si="3337"/>
        <v/>
      </c>
      <c r="EI218" s="92" t="str">
        <f t="shared" si="3337"/>
        <v/>
      </c>
      <c r="EJ218" s="92" t="str">
        <f t="shared" si="3337"/>
        <v/>
      </c>
      <c r="EK218" s="92" t="str">
        <f t="shared" si="3337"/>
        <v/>
      </c>
      <c r="EL218" s="92" t="str">
        <f t="shared" si="3337"/>
        <v/>
      </c>
      <c r="EM218" s="92" t="str">
        <f t="shared" si="3337"/>
        <v/>
      </c>
      <c r="EN218" s="92" t="str">
        <f t="shared" si="3337"/>
        <v/>
      </c>
      <c r="EO218" s="92" t="str">
        <f t="shared" si="3337"/>
        <v/>
      </c>
      <c r="EP218" s="92" t="str">
        <f t="shared" si="3337"/>
        <v/>
      </c>
      <c r="EQ218" s="92" t="str">
        <f t="shared" si="3337"/>
        <v/>
      </c>
      <c r="ER218" s="92" t="str">
        <f t="shared" si="3337"/>
        <v/>
      </c>
      <c r="ES218" s="92" t="str">
        <f t="shared" si="3337"/>
        <v/>
      </c>
      <c r="ET218" s="92" t="str">
        <f t="shared" si="3337"/>
        <v/>
      </c>
      <c r="EU218" s="92" t="str">
        <f t="shared" si="3337"/>
        <v/>
      </c>
      <c r="EV218" s="2"/>
      <c r="EW218" s="201" t="s">
        <v>268</v>
      </c>
      <c r="EX218" s="201"/>
      <c r="EY218" s="228"/>
      <c r="EZ218" s="228"/>
      <c r="FA218" s="236"/>
      <c r="FB218" s="237">
        <f ca="1">XIRR(OFFSET(FC218,,,1,Analysis_Period+1),OFFSET($FC$4,,,1,Analysis_Period+1))</f>
        <v>8.9933684468269368E-2</v>
      </c>
      <c r="FC218" s="236">
        <f ca="1">IF(FC$209="","",-FC215+FC216)</f>
        <v>-26865102.25</v>
      </c>
      <c r="FD218" s="236">
        <f t="shared" ref="FD218:GI218" ca="1" si="3338">IF(FD209="","",-FD215+FD216)</f>
        <v>64193.545344640232</v>
      </c>
      <c r="FE218" s="236">
        <f t="shared" ca="1" si="3338"/>
        <v>69209.919521123942</v>
      </c>
      <c r="FF218" s="236">
        <f t="shared" ca="1" si="3338"/>
        <v>71875.505451649064</v>
      </c>
      <c r="FG218" s="236">
        <f t="shared" ca="1" si="3338"/>
        <v>75074.811065685644</v>
      </c>
      <c r="FH218" s="236">
        <f t="shared" ca="1" si="3338"/>
        <v>79073.861644687073</v>
      </c>
      <c r="FI218" s="236">
        <f t="shared" ca="1" si="3338"/>
        <v>81810.263880953775</v>
      </c>
      <c r="FJ218" s="236">
        <f t="shared" ca="1" si="3338"/>
        <v>84679.072939027479</v>
      </c>
      <c r="FK218" s="236">
        <f t="shared" ca="1" si="3338"/>
        <v>87767.376966053474</v>
      </c>
      <c r="FL218" s="236">
        <f t="shared" ca="1" si="3338"/>
        <v>90577.989745387778</v>
      </c>
      <c r="FM218" s="236">
        <f t="shared" ca="1" si="3338"/>
        <v>93366.728026650264</v>
      </c>
      <c r="FN218" s="236">
        <f t="shared" ca="1" si="3338"/>
        <v>96145.131531202889</v>
      </c>
      <c r="FO218" s="236">
        <f t="shared" ca="1" si="3338"/>
        <v>98906.17920153201</v>
      </c>
      <c r="FP218" s="236">
        <f t="shared" ca="1" si="3338"/>
        <v>102250.84809683112</v>
      </c>
      <c r="FQ218" s="236">
        <f t="shared" ca="1" si="3338"/>
        <v>105557.97441496754</v>
      </c>
      <c r="FR218" s="236">
        <f t="shared" ca="1" si="3338"/>
        <v>108913.84855301135</v>
      </c>
      <c r="FS218" s="236">
        <f t="shared" ca="1" si="3338"/>
        <v>112294.55407380906</v>
      </c>
      <c r="FT218" s="236">
        <f t="shared" ca="1" si="3338"/>
        <v>115698.19143963764</v>
      </c>
      <c r="FU218" s="236">
        <f t="shared" ca="1" si="3338"/>
        <v>119131.44676726894</v>
      </c>
      <c r="FV218" s="236">
        <f t="shared" ca="1" si="3338"/>
        <v>122582.52127798316</v>
      </c>
      <c r="FW218" s="236">
        <f t="shared" ca="1" si="3338"/>
        <v>126085.87521365</v>
      </c>
      <c r="FX218" s="236">
        <f t="shared" ca="1" si="3338"/>
        <v>129614.36110943968</v>
      </c>
      <c r="FY218" s="236">
        <f t="shared" ca="1" si="3338"/>
        <v>133166.03204958723</v>
      </c>
      <c r="FZ218" s="236">
        <f t="shared" ca="1" si="3338"/>
        <v>136746.12364481442</v>
      </c>
      <c r="GA218" s="236">
        <f t="shared" ca="1" si="3338"/>
        <v>141358.69372411098</v>
      </c>
      <c r="GB218" s="236">
        <f t="shared" ca="1" si="3338"/>
        <v>162082.24355864993</v>
      </c>
      <c r="GC218" s="236">
        <f t="shared" ca="1" si="3338"/>
        <v>162482.28742709145</v>
      </c>
      <c r="GD218" s="236">
        <f t="shared" ca="1" si="3338"/>
        <v>162926.22123469072</v>
      </c>
      <c r="GE218" s="236">
        <f t="shared" ca="1" si="3338"/>
        <v>163340.82501846968</v>
      </c>
      <c r="GF218" s="236">
        <f t="shared" ca="1" si="3338"/>
        <v>163795.05644763168</v>
      </c>
      <c r="GG218" s="236">
        <f t="shared" ca="1" si="3338"/>
        <v>164261.00853374792</v>
      </c>
      <c r="GH218" s="236">
        <f t="shared" ca="1" si="3338"/>
        <v>164734.41584006106</v>
      </c>
      <c r="GI218" s="236">
        <f t="shared" ca="1" si="3338"/>
        <v>165233.66941712948</v>
      </c>
      <c r="GJ218" s="236">
        <f t="shared" ref="GJ218:HO218" ca="1" si="3339">IF(GJ209="","",-GJ215+GJ216)</f>
        <v>165716.74304000766</v>
      </c>
      <c r="GK218" s="236">
        <f t="shared" ca="1" si="3339"/>
        <v>166251.93770102577</v>
      </c>
      <c r="GL218" s="236">
        <f t="shared" ca="1" si="3339"/>
        <v>166793.28693086779</v>
      </c>
      <c r="GM218" s="236">
        <f t="shared" ca="1" si="3339"/>
        <v>30035936.259768501</v>
      </c>
      <c r="GN218" s="236" t="str">
        <f t="shared" si="3339"/>
        <v/>
      </c>
      <c r="GO218" s="236" t="str">
        <f t="shared" si="3339"/>
        <v/>
      </c>
      <c r="GP218" s="236" t="str">
        <f t="shared" si="3339"/>
        <v/>
      </c>
      <c r="GQ218" s="236" t="str">
        <f t="shared" si="3339"/>
        <v/>
      </c>
      <c r="GR218" s="236" t="str">
        <f t="shared" si="3339"/>
        <v/>
      </c>
      <c r="GS218" s="236" t="str">
        <f t="shared" si="3339"/>
        <v/>
      </c>
      <c r="GT218" s="236" t="str">
        <f t="shared" si="3339"/>
        <v/>
      </c>
      <c r="GU218" s="236" t="str">
        <f t="shared" si="3339"/>
        <v/>
      </c>
      <c r="GV218" s="236" t="str">
        <f t="shared" si="3339"/>
        <v/>
      </c>
      <c r="GW218" s="236" t="str">
        <f t="shared" si="3339"/>
        <v/>
      </c>
      <c r="GX218" s="236" t="str">
        <f t="shared" si="3339"/>
        <v/>
      </c>
      <c r="GY218" s="236" t="str">
        <f t="shared" si="3339"/>
        <v/>
      </c>
      <c r="GZ218" s="236" t="str">
        <f t="shared" si="3339"/>
        <v/>
      </c>
      <c r="HA218" s="236" t="str">
        <f t="shared" si="3339"/>
        <v/>
      </c>
      <c r="HB218" s="236" t="str">
        <f t="shared" si="3339"/>
        <v/>
      </c>
      <c r="HC218" s="236" t="str">
        <f t="shared" si="3339"/>
        <v/>
      </c>
      <c r="HD218" s="236" t="str">
        <f t="shared" si="3339"/>
        <v/>
      </c>
      <c r="HE218" s="236" t="str">
        <f t="shared" si="3339"/>
        <v/>
      </c>
      <c r="HF218" s="236" t="str">
        <f t="shared" si="3339"/>
        <v/>
      </c>
      <c r="HG218" s="236" t="str">
        <f t="shared" si="3339"/>
        <v/>
      </c>
      <c r="HH218" s="236" t="str">
        <f t="shared" si="3339"/>
        <v/>
      </c>
      <c r="HI218" s="236" t="str">
        <f t="shared" si="3339"/>
        <v/>
      </c>
      <c r="HJ218" s="236" t="str">
        <f t="shared" si="3339"/>
        <v/>
      </c>
      <c r="HK218" s="236" t="str">
        <f t="shared" si="3339"/>
        <v/>
      </c>
      <c r="HL218" s="236" t="str">
        <f t="shared" si="3339"/>
        <v/>
      </c>
      <c r="HM218" s="236" t="str">
        <f t="shared" si="3339"/>
        <v/>
      </c>
      <c r="HN218" s="236" t="str">
        <f t="shared" si="3339"/>
        <v/>
      </c>
      <c r="HO218" s="236" t="str">
        <f t="shared" si="3339"/>
        <v/>
      </c>
      <c r="HP218" s="236" t="str">
        <f t="shared" ref="HP218:IU218" si="3340">IF(HP209="","",-HP215+HP216)</f>
        <v/>
      </c>
      <c r="HQ218" s="236" t="str">
        <f t="shared" si="3340"/>
        <v/>
      </c>
      <c r="HR218" s="236" t="str">
        <f t="shared" si="3340"/>
        <v/>
      </c>
      <c r="HS218" s="236" t="str">
        <f t="shared" si="3340"/>
        <v/>
      </c>
      <c r="HT218" s="236" t="str">
        <f t="shared" si="3340"/>
        <v/>
      </c>
      <c r="HU218" s="236" t="str">
        <f t="shared" si="3340"/>
        <v/>
      </c>
      <c r="HV218" s="236" t="str">
        <f t="shared" si="3340"/>
        <v/>
      </c>
      <c r="HW218" s="236" t="str">
        <f t="shared" si="3340"/>
        <v/>
      </c>
      <c r="HX218" s="236" t="str">
        <f t="shared" si="3340"/>
        <v/>
      </c>
      <c r="HY218" s="236" t="str">
        <f t="shared" si="3340"/>
        <v/>
      </c>
      <c r="HZ218" s="236" t="str">
        <f t="shared" si="3340"/>
        <v/>
      </c>
      <c r="IA218" s="236" t="str">
        <f t="shared" si="3340"/>
        <v/>
      </c>
      <c r="IB218" s="236" t="str">
        <f t="shared" si="3340"/>
        <v/>
      </c>
      <c r="IC218" s="236" t="str">
        <f t="shared" si="3340"/>
        <v/>
      </c>
      <c r="ID218" s="236" t="str">
        <f t="shared" si="3340"/>
        <v/>
      </c>
      <c r="IE218" s="236" t="str">
        <f t="shared" si="3340"/>
        <v/>
      </c>
      <c r="IF218" s="236" t="str">
        <f t="shared" si="3340"/>
        <v/>
      </c>
      <c r="IG218" s="236" t="str">
        <f t="shared" si="3340"/>
        <v/>
      </c>
      <c r="IH218" s="236" t="str">
        <f t="shared" si="3340"/>
        <v/>
      </c>
      <c r="II218" s="236" t="str">
        <f t="shared" si="3340"/>
        <v/>
      </c>
      <c r="IJ218" s="236" t="str">
        <f t="shared" si="3340"/>
        <v/>
      </c>
      <c r="IK218" s="236" t="str">
        <f t="shared" si="3340"/>
        <v/>
      </c>
      <c r="IL218" s="236" t="str">
        <f t="shared" si="3340"/>
        <v/>
      </c>
      <c r="IM218" s="236" t="str">
        <f t="shared" si="3340"/>
        <v/>
      </c>
      <c r="IN218" s="236" t="str">
        <f t="shared" si="3340"/>
        <v/>
      </c>
      <c r="IO218" s="236" t="str">
        <f t="shared" si="3340"/>
        <v/>
      </c>
      <c r="IP218" s="236" t="str">
        <f t="shared" si="3340"/>
        <v/>
      </c>
      <c r="IQ218" s="236" t="str">
        <f t="shared" si="3340"/>
        <v/>
      </c>
      <c r="IR218" s="236" t="str">
        <f t="shared" si="3340"/>
        <v/>
      </c>
      <c r="IS218" s="236" t="str">
        <f t="shared" si="3340"/>
        <v/>
      </c>
      <c r="IT218" s="236" t="str">
        <f t="shared" si="3340"/>
        <v/>
      </c>
      <c r="IU218" s="236" t="str">
        <f t="shared" si="3340"/>
        <v/>
      </c>
      <c r="IV218" s="236" t="str">
        <f t="shared" ref="IV218:KE218" si="3341">IF(IV209="","",-IV215+IV216)</f>
        <v/>
      </c>
      <c r="IW218" s="236" t="str">
        <f t="shared" si="3341"/>
        <v/>
      </c>
      <c r="IX218" s="236" t="str">
        <f t="shared" si="3341"/>
        <v/>
      </c>
      <c r="IY218" s="236" t="str">
        <f t="shared" si="3341"/>
        <v/>
      </c>
      <c r="IZ218" s="236" t="str">
        <f t="shared" si="3341"/>
        <v/>
      </c>
      <c r="JA218" s="236" t="str">
        <f t="shared" si="3341"/>
        <v/>
      </c>
      <c r="JB218" s="236" t="str">
        <f t="shared" si="3341"/>
        <v/>
      </c>
      <c r="JC218" s="236" t="str">
        <f t="shared" si="3341"/>
        <v/>
      </c>
      <c r="JD218" s="236" t="str">
        <f t="shared" si="3341"/>
        <v/>
      </c>
      <c r="JE218" s="236" t="str">
        <f t="shared" si="3341"/>
        <v/>
      </c>
      <c r="JF218" s="236" t="str">
        <f t="shared" si="3341"/>
        <v/>
      </c>
      <c r="JG218" s="236" t="str">
        <f t="shared" si="3341"/>
        <v/>
      </c>
      <c r="JH218" s="236" t="str">
        <f t="shared" si="3341"/>
        <v/>
      </c>
      <c r="JI218" s="236" t="str">
        <f t="shared" si="3341"/>
        <v/>
      </c>
      <c r="JJ218" s="236" t="str">
        <f t="shared" si="3341"/>
        <v/>
      </c>
      <c r="JK218" s="236" t="str">
        <f t="shared" si="3341"/>
        <v/>
      </c>
      <c r="JL218" s="236" t="str">
        <f t="shared" si="3341"/>
        <v/>
      </c>
      <c r="JM218" s="236" t="str">
        <f t="shared" si="3341"/>
        <v/>
      </c>
      <c r="JN218" s="236" t="str">
        <f t="shared" si="3341"/>
        <v/>
      </c>
      <c r="JO218" s="236" t="str">
        <f t="shared" si="3341"/>
        <v/>
      </c>
      <c r="JP218" s="236" t="str">
        <f t="shared" si="3341"/>
        <v/>
      </c>
      <c r="JQ218" s="236" t="str">
        <f t="shared" si="3341"/>
        <v/>
      </c>
      <c r="JR218" s="236" t="str">
        <f t="shared" si="3341"/>
        <v/>
      </c>
      <c r="JS218" s="236" t="str">
        <f t="shared" si="3341"/>
        <v/>
      </c>
      <c r="JT218" s="236" t="str">
        <f t="shared" si="3341"/>
        <v/>
      </c>
      <c r="JU218" s="236" t="str">
        <f t="shared" si="3341"/>
        <v/>
      </c>
      <c r="JV218" s="236" t="str">
        <f t="shared" si="3341"/>
        <v/>
      </c>
      <c r="JW218" s="236" t="str">
        <f t="shared" si="3341"/>
        <v/>
      </c>
      <c r="JX218" s="236" t="str">
        <f t="shared" si="3341"/>
        <v/>
      </c>
      <c r="JY218" s="236" t="str">
        <f t="shared" si="3341"/>
        <v/>
      </c>
      <c r="JZ218" s="236" t="str">
        <f t="shared" si="3341"/>
        <v/>
      </c>
      <c r="KA218" s="236" t="str">
        <f t="shared" si="3341"/>
        <v/>
      </c>
      <c r="KB218" s="236" t="str">
        <f t="shared" si="3341"/>
        <v/>
      </c>
      <c r="KC218" s="236" t="str">
        <f t="shared" si="3341"/>
        <v/>
      </c>
      <c r="KD218" s="236" t="str">
        <f t="shared" si="3341"/>
        <v/>
      </c>
      <c r="KE218" s="236" t="str">
        <f t="shared" si="3341"/>
        <v/>
      </c>
      <c r="KF218" s="218" t="s">
        <v>269</v>
      </c>
      <c r="KG218" s="201"/>
      <c r="KH218" s="201"/>
      <c r="KI218" s="201"/>
      <c r="KJ218" s="201"/>
      <c r="KK218" s="201"/>
      <c r="KL218" s="201"/>
      <c r="KM218" s="201"/>
      <c r="KN218" s="201"/>
      <c r="KO218" s="201"/>
      <c r="KP218" s="201"/>
      <c r="KQ218" s="201"/>
      <c r="KR218" s="201"/>
      <c r="KS218" s="201"/>
      <c r="KT218" s="201"/>
      <c r="KU218" s="201"/>
      <c r="KV218" s="201"/>
      <c r="KW218" s="201"/>
      <c r="KX218" s="201"/>
      <c r="KY218" s="201"/>
      <c r="KZ218" s="201"/>
      <c r="LA218" s="201"/>
      <c r="LB218" s="201"/>
      <c r="LC218" s="201"/>
      <c r="LD218" s="201"/>
      <c r="LE218" s="201"/>
      <c r="LF218" s="201"/>
      <c r="LG218" s="201"/>
      <c r="LH218" s="201"/>
      <c r="LI218" s="201"/>
      <c r="LJ218" s="201"/>
      <c r="LK218" s="201"/>
      <c r="LL218" s="201"/>
      <c r="LM218" s="201"/>
      <c r="LN218" s="201"/>
      <c r="LO218" s="201"/>
      <c r="LP218" s="201"/>
      <c r="LQ218" s="201"/>
      <c r="LR218" s="201"/>
      <c r="LS218" s="201"/>
      <c r="LT218" s="201"/>
      <c r="LU218" s="201"/>
      <c r="LV218" s="201"/>
      <c r="LW218" s="201"/>
      <c r="LX218" s="201"/>
      <c r="LY218" s="201"/>
      <c r="LZ218" s="201"/>
      <c r="MA218" s="201"/>
      <c r="MB218" s="201"/>
      <c r="MC218" s="201"/>
      <c r="MD218" s="201"/>
      <c r="ME218" s="201"/>
      <c r="MF218" s="201"/>
      <c r="MG218" s="201"/>
      <c r="MH218" s="201"/>
      <c r="MI218" s="201"/>
      <c r="MJ218" s="201"/>
      <c r="MK218" s="201"/>
      <c r="ML218" s="201"/>
      <c r="MM218" s="201"/>
      <c r="MN218" s="201"/>
      <c r="MO218" s="201"/>
      <c r="MP218" s="201"/>
      <c r="MQ218" s="201"/>
      <c r="MR218" s="201"/>
      <c r="MS218" s="201"/>
      <c r="MT218" s="201"/>
      <c r="MU218" s="201"/>
      <c r="MV218" s="201"/>
      <c r="MW218" s="201"/>
      <c r="MX218" s="201"/>
      <c r="MY218" s="201"/>
      <c r="MZ218" s="201"/>
      <c r="NA218" s="201"/>
      <c r="NB218" s="201"/>
      <c r="NC218" s="201"/>
      <c r="ND218" s="201"/>
      <c r="NE218" s="201"/>
      <c r="NF218" s="201"/>
      <c r="NG218" s="201"/>
      <c r="NH218" s="201"/>
      <c r="NI218" s="201"/>
      <c r="NJ218" s="201"/>
      <c r="NK218" s="201"/>
      <c r="NL218" s="201"/>
      <c r="NM218" s="201"/>
      <c r="NN218" s="201"/>
      <c r="NO218" s="201"/>
      <c r="NP218" s="201"/>
      <c r="NQ218" s="201"/>
      <c r="NR218" s="201"/>
      <c r="NS218" s="201"/>
      <c r="NT218" s="201"/>
      <c r="NU218" s="201"/>
      <c r="NV218" s="201"/>
      <c r="NW218" s="201"/>
      <c r="NX218" s="201"/>
      <c r="NY218" s="201"/>
      <c r="NZ218" s="201"/>
      <c r="OA218" s="201"/>
      <c r="OB218" s="201"/>
      <c r="OC218" s="201"/>
      <c r="OD218" s="201"/>
      <c r="OE218" s="201"/>
      <c r="OF218" s="201"/>
      <c r="OG218" s="201"/>
      <c r="OH218" s="201"/>
      <c r="OI218" s="201"/>
      <c r="OJ218" s="201"/>
      <c r="OK218" s="201"/>
      <c r="OL218" s="201"/>
      <c r="OM218" s="201"/>
      <c r="ON218" s="201"/>
      <c r="OO218" s="201"/>
      <c r="OP218" s="201"/>
      <c r="OQ218" s="201"/>
      <c r="OR218" s="201"/>
      <c r="OS218" s="201"/>
      <c r="OT218" s="201"/>
      <c r="OU218" s="201"/>
      <c r="OV218" s="201"/>
      <c r="OW218" s="201"/>
      <c r="OX218" s="201"/>
      <c r="OY218" s="201"/>
      <c r="OZ218" s="201"/>
      <c r="PA218" s="201"/>
      <c r="PB218" s="201"/>
      <c r="PC218" s="201"/>
      <c r="PD218" s="201"/>
      <c r="PE218" s="201"/>
      <c r="PF218" s="201"/>
      <c r="PG218" s="201"/>
      <c r="PH218" s="201"/>
      <c r="PI218" s="201"/>
      <c r="PJ218" s="201"/>
      <c r="PK218" s="201"/>
      <c r="PL218" s="201"/>
      <c r="PM218" s="201"/>
      <c r="PN218" s="201"/>
      <c r="PO218" s="201"/>
      <c r="PQ218" s="201"/>
      <c r="PR218" s="201"/>
      <c r="PS218" s="201"/>
      <c r="PT218" s="201"/>
      <c r="PU218" s="201"/>
      <c r="PV218" s="201"/>
      <c r="PW218" s="201"/>
      <c r="PX218" s="201"/>
      <c r="PY218" s="201"/>
      <c r="PZ218" s="201"/>
      <c r="QA218" s="201"/>
      <c r="QB218" s="201"/>
      <c r="QC218" s="201"/>
      <c r="QD218" s="201"/>
      <c r="QE218" s="201"/>
      <c r="QF218" s="201"/>
      <c r="QG218" s="201"/>
      <c r="QH218" s="201"/>
      <c r="QI218" s="201"/>
      <c r="QJ218" s="201"/>
      <c r="QK218" s="201"/>
      <c r="QL218" s="201"/>
      <c r="QM218" s="201"/>
      <c r="QN218" s="201"/>
      <c r="QO218" s="201"/>
      <c r="QP218" s="201"/>
      <c r="QQ218" s="201"/>
      <c r="QR218" s="201"/>
      <c r="QS218" s="201"/>
      <c r="QT218" s="201"/>
      <c r="QU218" s="201"/>
      <c r="QV218" s="201"/>
      <c r="QW218" s="201"/>
      <c r="QX218" s="201"/>
      <c r="QY218" s="201"/>
      <c r="QZ218" s="201"/>
      <c r="RA218" s="201"/>
      <c r="RB218" s="201"/>
      <c r="RC218" s="201"/>
      <c r="RD218" s="201"/>
      <c r="RE218" s="201"/>
      <c r="RF218" s="201"/>
      <c r="RG218" s="201"/>
      <c r="RH218" s="201"/>
      <c r="RI218" s="201"/>
      <c r="RJ218" s="201"/>
      <c r="RK218" s="201"/>
      <c r="RL218" s="201"/>
      <c r="RM218" s="201"/>
      <c r="RN218" s="201"/>
      <c r="RO218" s="201"/>
      <c r="RP218" s="201"/>
      <c r="RQ218" s="201"/>
      <c r="RR218" s="201"/>
      <c r="RS218" s="201"/>
      <c r="RT218" s="201"/>
      <c r="RU218" s="201"/>
      <c r="RV218" s="201"/>
      <c r="RW218" s="201"/>
      <c r="RX218" s="201"/>
      <c r="RY218" s="201"/>
      <c r="RZ218" s="201"/>
      <c r="SA218" s="201"/>
      <c r="SB218" s="201"/>
      <c r="SC218" s="201"/>
      <c r="SD218" s="201"/>
      <c r="SE218" s="201"/>
      <c r="SF218" s="201"/>
      <c r="SG218" s="201"/>
      <c r="SH218" s="201"/>
      <c r="SI218" s="201"/>
      <c r="SJ218" s="201"/>
      <c r="SK218" s="201"/>
      <c r="SL218" s="201"/>
      <c r="SM218" s="201"/>
      <c r="SN218" s="201"/>
      <c r="SO218" s="201"/>
      <c r="SP218" s="201"/>
      <c r="SQ218" s="201"/>
      <c r="SR218" s="201"/>
      <c r="SS218" s="201"/>
      <c r="ST218" s="201"/>
      <c r="SU218" s="201"/>
      <c r="SV218" s="201"/>
      <c r="SW218" s="201"/>
      <c r="SX218" s="201"/>
      <c r="SY218" s="201"/>
      <c r="SZ218" s="201"/>
      <c r="TA218" s="201"/>
      <c r="TB218" s="201"/>
      <c r="TC218" s="201"/>
      <c r="TD218" s="201"/>
      <c r="TE218" s="201"/>
      <c r="TF218" s="201"/>
      <c r="TG218" s="201"/>
      <c r="TH218" s="201"/>
      <c r="TI218" s="201"/>
      <c r="TJ218" s="201"/>
      <c r="TK218" s="201"/>
      <c r="TL218" s="201"/>
      <c r="TM218" s="201"/>
      <c r="TN218" s="201"/>
      <c r="TO218" s="201"/>
      <c r="TP218" s="201"/>
      <c r="TQ218" s="201"/>
      <c r="TR218" s="201"/>
      <c r="TS218" s="201"/>
      <c r="TT218" s="201"/>
      <c r="TU218" s="201"/>
      <c r="TV218" s="201"/>
      <c r="TW218" s="201"/>
      <c r="TX218" s="201"/>
      <c r="TY218" s="201"/>
      <c r="TZ218" s="201"/>
      <c r="UA218" s="201"/>
      <c r="UB218" s="201"/>
      <c r="UC218" s="201"/>
      <c r="UD218" s="201"/>
      <c r="UE218" s="201"/>
      <c r="UF218" s="201"/>
      <c r="UG218" s="201"/>
      <c r="UH218" s="201"/>
      <c r="UI218" s="201"/>
      <c r="UJ218" s="201"/>
      <c r="UK218" s="201"/>
      <c r="UL218" s="201"/>
      <c r="UM218" s="201"/>
      <c r="UN218" s="201"/>
      <c r="UO218" s="201"/>
      <c r="UP218" s="201"/>
      <c r="UQ218" s="201"/>
      <c r="UR218" s="201"/>
      <c r="US218" s="201"/>
      <c r="UT218" s="201"/>
      <c r="UU218" s="201"/>
    </row>
    <row r="219" spans="2:567" x14ac:dyDescent="0.25">
      <c r="B219" s="54" t="s">
        <v>234</v>
      </c>
      <c r="C219" s="26"/>
      <c r="D219" s="26"/>
      <c r="E219" s="26"/>
      <c r="F219" s="26"/>
      <c r="G219" s="26"/>
      <c r="H219" s="26"/>
      <c r="I219" s="26"/>
      <c r="J219" s="26"/>
      <c r="K219" s="34">
        <f>SUM(S219:EU219)</f>
        <v>41476395.00000006</v>
      </c>
      <c r="L219" s="2"/>
      <c r="R219" s="159" t="str">
        <f>IF(ROUND(K219,0)=ROUND(H82+H95-G95,0),"OK","ERROR")</f>
        <v>OK</v>
      </c>
      <c r="S219" s="92">
        <f t="shared" ref="S219:AX219" si="3342">IF(S$19&gt;$K$19,"",S69+($J$93=S215)*S93+($J$94=S215)*S94)</f>
        <v>36341093.958333336</v>
      </c>
      <c r="T219" s="92">
        <f t="shared" si="3342"/>
        <v>223273.95833333331</v>
      </c>
      <c r="U219" s="92">
        <f t="shared" si="3342"/>
        <v>223273.95833333331</v>
      </c>
      <c r="V219" s="92">
        <f t="shared" si="3342"/>
        <v>223273.9583333332</v>
      </c>
      <c r="W219" s="92">
        <f t="shared" si="3342"/>
        <v>223273.9583333334</v>
      </c>
      <c r="X219" s="92">
        <f t="shared" si="3342"/>
        <v>223273.9583333332</v>
      </c>
      <c r="Y219" s="92">
        <f t="shared" si="3342"/>
        <v>223273.9583333334</v>
      </c>
      <c r="Z219" s="92">
        <f t="shared" si="3342"/>
        <v>223273.95833333308</v>
      </c>
      <c r="AA219" s="92">
        <f t="shared" si="3342"/>
        <v>223273.9583333334</v>
      </c>
      <c r="AB219" s="92">
        <f t="shared" si="3342"/>
        <v>223273.9583333334</v>
      </c>
      <c r="AC219" s="92">
        <f t="shared" si="3342"/>
        <v>223273.95833333308</v>
      </c>
      <c r="AD219" s="92">
        <f t="shared" si="3342"/>
        <v>223273.9583333334</v>
      </c>
      <c r="AE219" s="92">
        <f t="shared" si="3342"/>
        <v>223273.95833333308</v>
      </c>
      <c r="AF219" s="92">
        <f t="shared" si="3342"/>
        <v>223273.95833333363</v>
      </c>
      <c r="AG219" s="92">
        <f t="shared" si="3342"/>
        <v>223273.95833333308</v>
      </c>
      <c r="AH219" s="92">
        <f t="shared" si="3342"/>
        <v>223273.95833333308</v>
      </c>
      <c r="AI219" s="92">
        <f t="shared" si="3342"/>
        <v>223273.95833333363</v>
      </c>
      <c r="AJ219" s="92">
        <f t="shared" si="3342"/>
        <v>223273.95833333308</v>
      </c>
      <c r="AK219" s="92">
        <f t="shared" si="3342"/>
        <v>223273.95833333308</v>
      </c>
      <c r="AL219" s="92">
        <f t="shared" si="3342"/>
        <v>223273.95833333363</v>
      </c>
      <c r="AM219" s="92">
        <f t="shared" si="3342"/>
        <v>223273.95833333308</v>
      </c>
      <c r="AN219" s="92">
        <f t="shared" si="3342"/>
        <v>223273.95833333308</v>
      </c>
      <c r="AO219" s="92">
        <f t="shared" si="3342"/>
        <v>223273.95833333363</v>
      </c>
      <c r="AP219" s="92">
        <f t="shared" si="3342"/>
        <v>223273.95833333308</v>
      </c>
      <c r="AQ219" s="92">
        <f t="shared" si="3342"/>
        <v>0</v>
      </c>
      <c r="AR219" s="92">
        <f t="shared" si="3342"/>
        <v>0</v>
      </c>
      <c r="AS219" s="92">
        <f t="shared" si="3342"/>
        <v>0</v>
      </c>
      <c r="AT219" s="92">
        <f t="shared" si="3342"/>
        <v>0</v>
      </c>
      <c r="AU219" s="92">
        <f t="shared" si="3342"/>
        <v>0</v>
      </c>
      <c r="AV219" s="92">
        <f t="shared" si="3342"/>
        <v>0</v>
      </c>
      <c r="AW219" s="92">
        <f t="shared" si="3342"/>
        <v>0</v>
      </c>
      <c r="AX219" s="92">
        <f t="shared" si="3342"/>
        <v>0</v>
      </c>
      <c r="AY219" s="92">
        <f t="shared" ref="AY219:CD219" si="3343">IF(AY$19&gt;$K$19,"",AY69+($J$93=AY215)*AY93+($J$94=AY215)*AY94)</f>
        <v>0</v>
      </c>
      <c r="AZ219" s="92">
        <f t="shared" si="3343"/>
        <v>0</v>
      </c>
      <c r="BA219" s="92">
        <f t="shared" si="3343"/>
        <v>0</v>
      </c>
      <c r="BB219" s="92">
        <f t="shared" si="3343"/>
        <v>0</v>
      </c>
      <c r="BC219" s="92">
        <f t="shared" si="3343"/>
        <v>0</v>
      </c>
      <c r="BD219" s="92" t="str">
        <f t="shared" si="3343"/>
        <v/>
      </c>
      <c r="BE219" s="92" t="str">
        <f t="shared" si="3343"/>
        <v/>
      </c>
      <c r="BF219" s="92" t="str">
        <f t="shared" si="3343"/>
        <v/>
      </c>
      <c r="BG219" s="92" t="str">
        <f t="shared" si="3343"/>
        <v/>
      </c>
      <c r="BH219" s="92" t="str">
        <f t="shared" si="3343"/>
        <v/>
      </c>
      <c r="BI219" s="92" t="str">
        <f t="shared" si="3343"/>
        <v/>
      </c>
      <c r="BJ219" s="92" t="str">
        <f t="shared" si="3343"/>
        <v/>
      </c>
      <c r="BK219" s="92" t="str">
        <f t="shared" si="3343"/>
        <v/>
      </c>
      <c r="BL219" s="92" t="str">
        <f t="shared" si="3343"/>
        <v/>
      </c>
      <c r="BM219" s="92" t="str">
        <f t="shared" si="3343"/>
        <v/>
      </c>
      <c r="BN219" s="92" t="str">
        <f t="shared" si="3343"/>
        <v/>
      </c>
      <c r="BO219" s="92" t="str">
        <f t="shared" si="3343"/>
        <v/>
      </c>
      <c r="BP219" s="92" t="str">
        <f t="shared" si="3343"/>
        <v/>
      </c>
      <c r="BQ219" s="92" t="str">
        <f t="shared" si="3343"/>
        <v/>
      </c>
      <c r="BR219" s="92" t="str">
        <f t="shared" si="3343"/>
        <v/>
      </c>
      <c r="BS219" s="92" t="str">
        <f t="shared" si="3343"/>
        <v/>
      </c>
      <c r="BT219" s="92" t="str">
        <f t="shared" si="3343"/>
        <v/>
      </c>
      <c r="BU219" s="92" t="str">
        <f t="shared" si="3343"/>
        <v/>
      </c>
      <c r="BV219" s="92" t="str">
        <f t="shared" si="3343"/>
        <v/>
      </c>
      <c r="BW219" s="92" t="str">
        <f t="shared" si="3343"/>
        <v/>
      </c>
      <c r="BX219" s="92" t="str">
        <f t="shared" si="3343"/>
        <v/>
      </c>
      <c r="BY219" s="92" t="str">
        <f t="shared" si="3343"/>
        <v/>
      </c>
      <c r="BZ219" s="92" t="str">
        <f t="shared" si="3343"/>
        <v/>
      </c>
      <c r="CA219" s="92" t="str">
        <f t="shared" si="3343"/>
        <v/>
      </c>
      <c r="CB219" s="92" t="str">
        <f t="shared" si="3343"/>
        <v/>
      </c>
      <c r="CC219" s="92" t="str">
        <f t="shared" si="3343"/>
        <v/>
      </c>
      <c r="CD219" s="92" t="str">
        <f t="shared" si="3343"/>
        <v/>
      </c>
      <c r="CE219" s="92" t="str">
        <f t="shared" ref="CE219:DJ219" si="3344">IF(CE$19&gt;$K$19,"",CE69+($J$93=CE215)*CE93+($J$94=CE215)*CE94)</f>
        <v/>
      </c>
      <c r="CF219" s="92" t="str">
        <f t="shared" si="3344"/>
        <v/>
      </c>
      <c r="CG219" s="92" t="str">
        <f t="shared" si="3344"/>
        <v/>
      </c>
      <c r="CH219" s="92" t="str">
        <f t="shared" si="3344"/>
        <v/>
      </c>
      <c r="CI219" s="92" t="str">
        <f t="shared" si="3344"/>
        <v/>
      </c>
      <c r="CJ219" s="92" t="str">
        <f t="shared" si="3344"/>
        <v/>
      </c>
      <c r="CK219" s="92" t="str">
        <f t="shared" si="3344"/>
        <v/>
      </c>
      <c r="CL219" s="92" t="str">
        <f t="shared" si="3344"/>
        <v/>
      </c>
      <c r="CM219" s="92" t="str">
        <f t="shared" si="3344"/>
        <v/>
      </c>
      <c r="CN219" s="92" t="str">
        <f t="shared" si="3344"/>
        <v/>
      </c>
      <c r="CO219" s="92" t="str">
        <f t="shared" si="3344"/>
        <v/>
      </c>
      <c r="CP219" s="92" t="str">
        <f t="shared" si="3344"/>
        <v/>
      </c>
      <c r="CQ219" s="92" t="str">
        <f t="shared" si="3344"/>
        <v/>
      </c>
      <c r="CR219" s="92" t="str">
        <f t="shared" si="3344"/>
        <v/>
      </c>
      <c r="CS219" s="92" t="str">
        <f t="shared" si="3344"/>
        <v/>
      </c>
      <c r="CT219" s="92" t="str">
        <f t="shared" si="3344"/>
        <v/>
      </c>
      <c r="CU219" s="92" t="str">
        <f t="shared" si="3344"/>
        <v/>
      </c>
      <c r="CV219" s="92" t="str">
        <f t="shared" si="3344"/>
        <v/>
      </c>
      <c r="CW219" s="92" t="str">
        <f t="shared" si="3344"/>
        <v/>
      </c>
      <c r="CX219" s="92" t="str">
        <f t="shared" si="3344"/>
        <v/>
      </c>
      <c r="CY219" s="92" t="str">
        <f t="shared" si="3344"/>
        <v/>
      </c>
      <c r="CZ219" s="92" t="str">
        <f t="shared" si="3344"/>
        <v/>
      </c>
      <c r="DA219" s="92" t="str">
        <f t="shared" si="3344"/>
        <v/>
      </c>
      <c r="DB219" s="92" t="str">
        <f t="shared" si="3344"/>
        <v/>
      </c>
      <c r="DC219" s="92" t="str">
        <f t="shared" si="3344"/>
        <v/>
      </c>
      <c r="DD219" s="92" t="str">
        <f t="shared" si="3344"/>
        <v/>
      </c>
      <c r="DE219" s="92" t="str">
        <f t="shared" si="3344"/>
        <v/>
      </c>
      <c r="DF219" s="92" t="str">
        <f t="shared" si="3344"/>
        <v/>
      </c>
      <c r="DG219" s="92" t="str">
        <f t="shared" si="3344"/>
        <v/>
      </c>
      <c r="DH219" s="92" t="str">
        <f t="shared" si="3344"/>
        <v/>
      </c>
      <c r="DI219" s="92" t="str">
        <f t="shared" si="3344"/>
        <v/>
      </c>
      <c r="DJ219" s="92" t="str">
        <f t="shared" si="3344"/>
        <v/>
      </c>
      <c r="DK219" s="92" t="str">
        <f t="shared" ref="DK219:EU219" si="3345">IF(DK$19&gt;$K$19,"",DK69+($J$93=DK215)*DK93+($J$94=DK215)*DK94)</f>
        <v/>
      </c>
      <c r="DL219" s="92" t="str">
        <f t="shared" si="3345"/>
        <v/>
      </c>
      <c r="DM219" s="92" t="str">
        <f t="shared" si="3345"/>
        <v/>
      </c>
      <c r="DN219" s="92" t="str">
        <f t="shared" si="3345"/>
        <v/>
      </c>
      <c r="DO219" s="92" t="str">
        <f t="shared" si="3345"/>
        <v/>
      </c>
      <c r="DP219" s="92" t="str">
        <f t="shared" si="3345"/>
        <v/>
      </c>
      <c r="DQ219" s="92" t="str">
        <f t="shared" si="3345"/>
        <v/>
      </c>
      <c r="DR219" s="92" t="str">
        <f t="shared" si="3345"/>
        <v/>
      </c>
      <c r="DS219" s="92" t="str">
        <f t="shared" si="3345"/>
        <v/>
      </c>
      <c r="DT219" s="92" t="str">
        <f t="shared" si="3345"/>
        <v/>
      </c>
      <c r="DU219" s="92" t="str">
        <f t="shared" si="3345"/>
        <v/>
      </c>
      <c r="DV219" s="92" t="str">
        <f t="shared" si="3345"/>
        <v/>
      </c>
      <c r="DW219" s="92" t="str">
        <f t="shared" si="3345"/>
        <v/>
      </c>
      <c r="DX219" s="92" t="str">
        <f t="shared" si="3345"/>
        <v/>
      </c>
      <c r="DY219" s="92" t="str">
        <f t="shared" si="3345"/>
        <v/>
      </c>
      <c r="DZ219" s="92" t="str">
        <f t="shared" si="3345"/>
        <v/>
      </c>
      <c r="EA219" s="92" t="str">
        <f t="shared" si="3345"/>
        <v/>
      </c>
      <c r="EB219" s="92" t="str">
        <f t="shared" si="3345"/>
        <v/>
      </c>
      <c r="EC219" s="92" t="str">
        <f t="shared" si="3345"/>
        <v/>
      </c>
      <c r="ED219" s="92" t="str">
        <f t="shared" si="3345"/>
        <v/>
      </c>
      <c r="EE219" s="92" t="str">
        <f t="shared" si="3345"/>
        <v/>
      </c>
      <c r="EF219" s="92" t="str">
        <f t="shared" si="3345"/>
        <v/>
      </c>
      <c r="EG219" s="92" t="str">
        <f t="shared" si="3345"/>
        <v/>
      </c>
      <c r="EH219" s="92" t="str">
        <f t="shared" si="3345"/>
        <v/>
      </c>
      <c r="EI219" s="92" t="str">
        <f t="shared" si="3345"/>
        <v/>
      </c>
      <c r="EJ219" s="92" t="str">
        <f t="shared" si="3345"/>
        <v/>
      </c>
      <c r="EK219" s="92" t="str">
        <f t="shared" si="3345"/>
        <v/>
      </c>
      <c r="EL219" s="92" t="str">
        <f t="shared" si="3345"/>
        <v/>
      </c>
      <c r="EM219" s="92" t="str">
        <f t="shared" si="3345"/>
        <v/>
      </c>
      <c r="EN219" s="92" t="str">
        <f t="shared" si="3345"/>
        <v/>
      </c>
      <c r="EO219" s="92" t="str">
        <f t="shared" si="3345"/>
        <v/>
      </c>
      <c r="EP219" s="92" t="str">
        <f t="shared" si="3345"/>
        <v/>
      </c>
      <c r="EQ219" s="92" t="str">
        <f t="shared" si="3345"/>
        <v/>
      </c>
      <c r="ER219" s="92" t="str">
        <f t="shared" si="3345"/>
        <v/>
      </c>
      <c r="ES219" s="92" t="str">
        <f t="shared" si="3345"/>
        <v/>
      </c>
      <c r="ET219" s="92" t="str">
        <f t="shared" si="3345"/>
        <v/>
      </c>
      <c r="EU219" s="92" t="str">
        <f t="shared" si="3345"/>
        <v/>
      </c>
      <c r="EV219" s="2"/>
      <c r="EW219" s="201"/>
      <c r="EX219" s="201"/>
      <c r="EY219" s="201"/>
      <c r="EZ219" s="201"/>
      <c r="FA219" s="201"/>
      <c r="FB219" s="201"/>
      <c r="FC219" s="231"/>
      <c r="FD219" s="231"/>
      <c r="FE219" s="231"/>
      <c r="FF219" s="231"/>
      <c r="FG219" s="231"/>
      <c r="FH219" s="231"/>
      <c r="FI219" s="231"/>
      <c r="FJ219" s="231"/>
      <c r="FK219" s="231"/>
      <c r="FL219" s="231"/>
      <c r="FM219" s="231"/>
      <c r="FN219" s="231"/>
      <c r="FO219" s="231"/>
      <c r="FP219" s="231"/>
      <c r="FQ219" s="231"/>
      <c r="FR219" s="231"/>
      <c r="FS219" s="231"/>
      <c r="FT219" s="231"/>
      <c r="FU219" s="231"/>
      <c r="FV219" s="231"/>
      <c r="FW219" s="231"/>
      <c r="FX219" s="231"/>
      <c r="FY219" s="231"/>
      <c r="FZ219" s="231"/>
      <c r="GA219" s="231"/>
      <c r="GB219" s="231"/>
      <c r="GC219" s="231"/>
      <c r="GD219" s="231"/>
      <c r="GE219" s="231"/>
      <c r="GF219" s="231"/>
      <c r="GG219" s="231"/>
      <c r="GH219" s="231"/>
      <c r="GI219" s="231"/>
      <c r="GJ219" s="231"/>
      <c r="GK219" s="231"/>
      <c r="GL219" s="231"/>
      <c r="GM219" s="231"/>
      <c r="GN219" s="231"/>
      <c r="GO219" s="231"/>
      <c r="GP219" s="231"/>
      <c r="GQ219" s="231"/>
      <c r="GR219" s="231"/>
      <c r="GS219" s="231"/>
      <c r="GT219" s="231"/>
      <c r="GU219" s="231"/>
      <c r="GV219" s="231"/>
      <c r="GW219" s="231"/>
      <c r="GX219" s="231"/>
      <c r="GY219" s="231"/>
      <c r="GZ219" s="231"/>
      <c r="HA219" s="231"/>
      <c r="HB219" s="231"/>
      <c r="HC219" s="231"/>
      <c r="HD219" s="231"/>
      <c r="HE219" s="231"/>
      <c r="HF219" s="231"/>
      <c r="HG219" s="231"/>
      <c r="HH219" s="231"/>
      <c r="HI219" s="231"/>
      <c r="HJ219" s="231"/>
      <c r="HK219" s="231"/>
      <c r="HL219" s="231"/>
      <c r="HM219" s="231"/>
      <c r="HN219" s="231"/>
      <c r="HO219" s="231"/>
      <c r="HP219" s="231"/>
      <c r="HQ219" s="231"/>
      <c r="HR219" s="231"/>
      <c r="HS219" s="231"/>
      <c r="HT219" s="231"/>
      <c r="HU219" s="231"/>
      <c r="HV219" s="231"/>
      <c r="HW219" s="231"/>
      <c r="HX219" s="231"/>
      <c r="HY219" s="231"/>
      <c r="HZ219" s="231"/>
      <c r="IA219" s="231"/>
      <c r="IB219" s="231"/>
      <c r="IC219" s="231"/>
      <c r="ID219" s="231"/>
      <c r="IE219" s="231"/>
      <c r="IF219" s="231"/>
      <c r="IG219" s="231"/>
      <c r="IH219" s="231"/>
      <c r="II219" s="231"/>
      <c r="IJ219" s="231"/>
      <c r="IK219" s="231"/>
      <c r="IL219" s="231"/>
      <c r="IM219" s="231"/>
      <c r="IN219" s="231"/>
      <c r="IO219" s="231"/>
      <c r="IP219" s="231"/>
      <c r="IQ219" s="231"/>
      <c r="IR219" s="231"/>
      <c r="IS219" s="231"/>
      <c r="IT219" s="231"/>
      <c r="IU219" s="231"/>
      <c r="IV219" s="231"/>
      <c r="IW219" s="231"/>
      <c r="IX219" s="231"/>
      <c r="IY219" s="231"/>
      <c r="IZ219" s="231"/>
      <c r="JA219" s="231"/>
      <c r="JB219" s="231"/>
      <c r="JC219" s="231"/>
      <c r="JD219" s="231"/>
      <c r="JE219" s="231"/>
      <c r="JF219" s="231"/>
      <c r="JG219" s="231"/>
      <c r="JH219" s="231"/>
      <c r="JI219" s="231"/>
      <c r="JJ219" s="231"/>
      <c r="JK219" s="231"/>
      <c r="JL219" s="231"/>
      <c r="JM219" s="231"/>
      <c r="JN219" s="231"/>
      <c r="JO219" s="231"/>
      <c r="JP219" s="231"/>
      <c r="JQ219" s="231"/>
      <c r="JR219" s="231"/>
      <c r="JS219" s="231"/>
      <c r="JT219" s="231"/>
      <c r="JU219" s="231"/>
      <c r="JV219" s="231"/>
      <c r="JW219" s="231"/>
      <c r="JX219" s="231"/>
      <c r="JY219" s="231"/>
      <c r="JZ219" s="231"/>
      <c r="KA219" s="231"/>
      <c r="KB219" s="231"/>
      <c r="KC219" s="231"/>
      <c r="KD219" s="231"/>
      <c r="KE219" s="231"/>
      <c r="KF219" s="218" t="s">
        <v>269</v>
      </c>
      <c r="KG219" s="201"/>
      <c r="KH219" s="201"/>
      <c r="KI219" s="201"/>
      <c r="KJ219" s="201"/>
      <c r="KK219" s="201"/>
      <c r="KL219" s="201"/>
      <c r="KM219" s="201"/>
      <c r="KN219" s="201"/>
      <c r="KO219" s="201"/>
      <c r="KP219" s="201"/>
      <c r="KQ219" s="201"/>
      <c r="KR219" s="201"/>
      <c r="KS219" s="201"/>
      <c r="KT219" s="201"/>
      <c r="KU219" s="201"/>
      <c r="KV219" s="201"/>
      <c r="KW219" s="201"/>
      <c r="KX219" s="201"/>
      <c r="KY219" s="201"/>
      <c r="KZ219" s="201"/>
      <c r="LA219" s="201"/>
      <c r="LB219" s="201"/>
      <c r="LC219" s="201"/>
      <c r="LD219" s="201"/>
      <c r="LE219" s="201"/>
      <c r="LF219" s="201"/>
      <c r="LG219" s="201"/>
      <c r="LH219" s="201"/>
      <c r="LI219" s="201"/>
      <c r="LJ219" s="201"/>
      <c r="LK219" s="201"/>
      <c r="LL219" s="201"/>
      <c r="LM219" s="201"/>
      <c r="LN219" s="201"/>
      <c r="LO219" s="201"/>
      <c r="LP219" s="201"/>
      <c r="LQ219" s="201"/>
      <c r="LR219" s="201"/>
      <c r="LS219" s="201"/>
      <c r="LT219" s="201"/>
      <c r="LU219" s="201"/>
      <c r="LV219" s="201"/>
      <c r="LW219" s="201"/>
      <c r="LX219" s="201"/>
      <c r="LY219" s="201"/>
      <c r="LZ219" s="201"/>
      <c r="MA219" s="201"/>
      <c r="MB219" s="201"/>
      <c r="MC219" s="201"/>
      <c r="MD219" s="201"/>
      <c r="ME219" s="201"/>
      <c r="MF219" s="201"/>
      <c r="MG219" s="201"/>
      <c r="MH219" s="201"/>
      <c r="MI219" s="201"/>
      <c r="MJ219" s="201"/>
      <c r="MK219" s="201"/>
      <c r="ML219" s="201"/>
      <c r="MM219" s="201"/>
      <c r="MN219" s="201"/>
      <c r="MO219" s="201"/>
      <c r="MP219" s="201"/>
      <c r="MQ219" s="201"/>
      <c r="MR219" s="201"/>
      <c r="MS219" s="201"/>
      <c r="MT219" s="201"/>
      <c r="MU219" s="201"/>
      <c r="MV219" s="201"/>
      <c r="MW219" s="201"/>
      <c r="MX219" s="201"/>
      <c r="MY219" s="201"/>
      <c r="MZ219" s="201"/>
      <c r="NA219" s="201"/>
      <c r="NB219" s="201"/>
      <c r="NC219" s="201"/>
      <c r="ND219" s="201"/>
      <c r="NE219" s="201"/>
      <c r="NF219" s="201"/>
      <c r="NG219" s="201"/>
      <c r="NH219" s="201"/>
      <c r="NI219" s="201"/>
      <c r="NJ219" s="201"/>
      <c r="NK219" s="201"/>
      <c r="NL219" s="201"/>
      <c r="NM219" s="201"/>
      <c r="NN219" s="201"/>
      <c r="NO219" s="201"/>
      <c r="NP219" s="201"/>
      <c r="NQ219" s="201"/>
      <c r="NR219" s="201"/>
      <c r="NS219" s="201"/>
      <c r="NT219" s="201"/>
      <c r="NU219" s="201"/>
      <c r="NV219" s="201"/>
      <c r="NW219" s="201"/>
      <c r="NX219" s="201"/>
      <c r="NY219" s="201"/>
      <c r="NZ219" s="201"/>
      <c r="OA219" s="201"/>
      <c r="OB219" s="201"/>
      <c r="OC219" s="201"/>
      <c r="OD219" s="201"/>
      <c r="OE219" s="201"/>
      <c r="OF219" s="201"/>
      <c r="OG219" s="201"/>
      <c r="OH219" s="201"/>
      <c r="OI219" s="201"/>
      <c r="OJ219" s="201"/>
      <c r="OK219" s="201"/>
      <c r="OL219" s="201"/>
      <c r="OM219" s="201"/>
      <c r="ON219" s="201"/>
      <c r="OO219" s="201"/>
      <c r="OP219" s="201"/>
      <c r="OQ219" s="201"/>
      <c r="OR219" s="201"/>
      <c r="OS219" s="201"/>
      <c r="OT219" s="201"/>
      <c r="OU219" s="201"/>
      <c r="OV219" s="201"/>
      <c r="OW219" s="201"/>
      <c r="OX219" s="201"/>
      <c r="OY219" s="201"/>
      <c r="OZ219" s="201"/>
      <c r="PA219" s="201"/>
      <c r="PB219" s="201"/>
      <c r="PC219" s="201"/>
      <c r="PD219" s="201"/>
      <c r="PE219" s="201"/>
      <c r="PF219" s="201"/>
      <c r="PG219" s="201"/>
      <c r="PH219" s="201"/>
      <c r="PI219" s="201"/>
      <c r="PJ219" s="201"/>
      <c r="PK219" s="201"/>
      <c r="PL219" s="201"/>
      <c r="PM219" s="201"/>
      <c r="PN219" s="201"/>
      <c r="PO219" s="201"/>
      <c r="PQ219" s="201"/>
      <c r="PR219" s="201"/>
      <c r="PS219" s="201"/>
      <c r="PT219" s="201"/>
      <c r="PU219" s="201"/>
      <c r="PV219" s="201"/>
      <c r="PW219" s="201"/>
      <c r="PX219" s="201"/>
      <c r="PY219" s="201"/>
      <c r="PZ219" s="201"/>
      <c r="QA219" s="201"/>
      <c r="QB219" s="201"/>
      <c r="QC219" s="201"/>
      <c r="QD219" s="201"/>
      <c r="QE219" s="201"/>
      <c r="QF219" s="201"/>
      <c r="QG219" s="201"/>
      <c r="QH219" s="201"/>
      <c r="QI219" s="201"/>
      <c r="QJ219" s="201"/>
      <c r="QK219" s="201"/>
      <c r="QL219" s="201"/>
      <c r="QM219" s="201"/>
      <c r="QN219" s="201"/>
      <c r="QO219" s="201"/>
      <c r="QP219" s="201"/>
      <c r="QQ219" s="201"/>
      <c r="QR219" s="201"/>
      <c r="QS219" s="201"/>
      <c r="QT219" s="201"/>
      <c r="QU219" s="201"/>
      <c r="QV219" s="201"/>
      <c r="QW219" s="201"/>
      <c r="QX219" s="201"/>
      <c r="QY219" s="201"/>
      <c r="QZ219" s="201"/>
      <c r="RA219" s="201"/>
      <c r="RB219" s="201"/>
      <c r="RC219" s="201"/>
      <c r="RD219" s="201"/>
      <c r="RE219" s="201"/>
      <c r="RF219" s="201"/>
      <c r="RG219" s="201"/>
      <c r="RH219" s="201"/>
      <c r="RI219" s="201"/>
      <c r="RJ219" s="201"/>
      <c r="RK219" s="201"/>
      <c r="RL219" s="201"/>
      <c r="RM219" s="201"/>
      <c r="RN219" s="201"/>
      <c r="RO219" s="201"/>
      <c r="RP219" s="201"/>
      <c r="RQ219" s="201"/>
      <c r="RR219" s="201"/>
      <c r="RS219" s="201"/>
      <c r="RT219" s="201"/>
      <c r="RU219" s="201"/>
      <c r="RV219" s="201"/>
      <c r="RW219" s="201"/>
      <c r="RX219" s="201"/>
      <c r="RY219" s="201"/>
      <c r="RZ219" s="201"/>
      <c r="SA219" s="201"/>
      <c r="SB219" s="201"/>
      <c r="SC219" s="201"/>
      <c r="SD219" s="201"/>
      <c r="SE219" s="201"/>
      <c r="SF219" s="201"/>
      <c r="SG219" s="201"/>
      <c r="SH219" s="201"/>
      <c r="SI219" s="201"/>
      <c r="SJ219" s="201"/>
      <c r="SK219" s="201"/>
      <c r="SL219" s="201"/>
      <c r="SM219" s="201"/>
      <c r="SN219" s="201"/>
      <c r="SO219" s="201"/>
      <c r="SP219" s="201"/>
      <c r="SQ219" s="201"/>
      <c r="SR219" s="201"/>
      <c r="SS219" s="201"/>
      <c r="ST219" s="201"/>
      <c r="SU219" s="201"/>
      <c r="SV219" s="201"/>
      <c r="SW219" s="201"/>
      <c r="SX219" s="201"/>
      <c r="SY219" s="201"/>
      <c r="SZ219" s="201"/>
      <c r="TA219" s="201"/>
      <c r="TB219" s="201"/>
      <c r="TC219" s="201"/>
      <c r="TD219" s="201"/>
      <c r="TE219" s="201"/>
      <c r="TF219" s="201"/>
      <c r="TG219" s="201"/>
      <c r="TH219" s="201"/>
      <c r="TI219" s="201"/>
      <c r="TJ219" s="201"/>
      <c r="TK219" s="201"/>
      <c r="TL219" s="201"/>
      <c r="TM219" s="201"/>
      <c r="TN219" s="201"/>
      <c r="TO219" s="201"/>
      <c r="TP219" s="201"/>
      <c r="TQ219" s="201"/>
      <c r="TR219" s="201"/>
      <c r="TS219" s="201"/>
      <c r="TT219" s="201"/>
      <c r="TU219" s="201"/>
      <c r="TV219" s="201"/>
      <c r="TW219" s="201"/>
      <c r="TX219" s="201"/>
      <c r="TY219" s="201"/>
      <c r="TZ219" s="201"/>
      <c r="UA219" s="201"/>
      <c r="UB219" s="201"/>
      <c r="UC219" s="201"/>
      <c r="UD219" s="201"/>
      <c r="UE219" s="201"/>
      <c r="UF219" s="201"/>
      <c r="UG219" s="201"/>
      <c r="UH219" s="201"/>
      <c r="UI219" s="201"/>
      <c r="UJ219" s="201"/>
      <c r="UK219" s="201"/>
      <c r="UL219" s="201"/>
      <c r="UM219" s="201"/>
      <c r="UN219" s="201"/>
      <c r="UO219" s="201"/>
      <c r="UP219" s="201"/>
      <c r="UQ219" s="201"/>
      <c r="UR219" s="201"/>
      <c r="US219" s="201"/>
      <c r="UT219" s="201"/>
      <c r="UU219" s="201"/>
    </row>
    <row r="220" spans="2:567" x14ac:dyDescent="0.25">
      <c r="B220" s="28" t="s">
        <v>113</v>
      </c>
      <c r="C220" s="26"/>
      <c r="D220" s="26"/>
      <c r="E220" s="26"/>
      <c r="F220" s="26"/>
      <c r="G220" s="26"/>
      <c r="H220" s="26"/>
      <c r="I220" s="26"/>
      <c r="J220" s="26"/>
      <c r="K220" s="34"/>
      <c r="L220" s="2"/>
      <c r="EV220" s="2"/>
      <c r="EW220" s="201" t="s">
        <v>361</v>
      </c>
      <c r="EX220" s="201"/>
      <c r="EY220" s="201"/>
      <c r="EZ220" s="201"/>
      <c r="FA220" s="201"/>
      <c r="FB220" s="201"/>
      <c r="FC220" s="231">
        <f ca="1">IF(FC209="","",FB224)</f>
        <v>0</v>
      </c>
      <c r="FD220" s="231">
        <f t="shared" ref="FD220:HO220" ca="1" si="3346">IF(FD209="","",FC224)</f>
        <v>1413952.75</v>
      </c>
      <c r="FE220" s="231">
        <f t="shared" ca="1" si="3346"/>
        <v>1420764.9569732726</v>
      </c>
      <c r="FF220" s="231">
        <f t="shared" ca="1" si="3346"/>
        <v>1427362.2420311989</v>
      </c>
      <c r="FG220" s="231">
        <f t="shared" ca="1" si="3346"/>
        <v>1433866.781859203</v>
      </c>
      <c r="FH220" s="231">
        <f t="shared" ca="1" si="3346"/>
        <v>1440249.8175027685</v>
      </c>
      <c r="FI220" s="231">
        <f t="shared" ca="1" si="3346"/>
        <v>1446468.3814016923</v>
      </c>
      <c r="FJ220" s="231">
        <f t="shared" ca="1" si="3346"/>
        <v>1452587.7433308677</v>
      </c>
      <c r="FK220" s="231">
        <f t="shared" ca="1" si="3346"/>
        <v>1458600.2195295303</v>
      </c>
      <c r="FL220" s="231">
        <f t="shared" ca="1" si="3346"/>
        <v>1464493.4872708754</v>
      </c>
      <c r="FM220" s="231">
        <f t="shared" ca="1" si="3346"/>
        <v>1470281.3027098349</v>
      </c>
      <c r="FN220" s="231">
        <f t="shared" ca="1" si="3346"/>
        <v>1475964.0571069433</v>
      </c>
      <c r="FO220" s="231">
        <f t="shared" ca="1" si="3346"/>
        <v>1481541.5371889202</v>
      </c>
      <c r="FP220" s="231">
        <f t="shared" ca="1" si="3346"/>
        <v>1487013.8976746988</v>
      </c>
      <c r="FQ220" s="231">
        <f t="shared" ca="1" si="3346"/>
        <v>1492349.6640267854</v>
      </c>
      <c r="FR220" s="231">
        <f t="shared" ca="1" si="3346"/>
        <v>1497549.8276922088</v>
      </c>
      <c r="FS220" s="231">
        <f t="shared" ca="1" si="3346"/>
        <v>1502610.8456638318</v>
      </c>
      <c r="FT220" s="231">
        <f t="shared" ca="1" si="3346"/>
        <v>1507530.4081587694</v>
      </c>
      <c r="FU220" s="231">
        <f t="shared" ca="1" si="3346"/>
        <v>1512306.2887224541</v>
      </c>
      <c r="FV220" s="231">
        <f t="shared" ca="1" si="3346"/>
        <v>1516935.892952658</v>
      </c>
      <c r="FW220" s="231">
        <f t="shared" ca="1" si="3346"/>
        <v>1521417.2287368106</v>
      </c>
      <c r="FX220" s="231">
        <f t="shared" ca="1" si="3346"/>
        <v>1525746.4759076021</v>
      </c>
      <c r="FY220" s="231">
        <f t="shared" ca="1" si="3346"/>
        <v>1529921.2155784804</v>
      </c>
      <c r="FZ220" s="231">
        <f t="shared" ca="1" si="3346"/>
        <v>1533939.1138984456</v>
      </c>
      <c r="GA220" s="231">
        <f t="shared" ca="1" si="3346"/>
        <v>1537797.5446372214</v>
      </c>
      <c r="GB220" s="231">
        <f t="shared" ca="1" si="3346"/>
        <v>1541441.0174875457</v>
      </c>
      <c r="GC220" s="231">
        <f t="shared" ca="1" si="3346"/>
        <v>1544020.0368755097</v>
      </c>
      <c r="GD220" s="231">
        <f t="shared" ca="1" si="3346"/>
        <v>1546596.5891495969</v>
      </c>
      <c r="GE220" s="231">
        <f t="shared" ca="1" si="3346"/>
        <v>1549168.3465317222</v>
      </c>
      <c r="GF220" s="231">
        <f t="shared" ca="1" si="3346"/>
        <v>1551736.8181490134</v>
      </c>
      <c r="GG220" s="231">
        <f t="shared" ca="1" si="3346"/>
        <v>1554299.8946543545</v>
      </c>
      <c r="GH220" s="231">
        <f t="shared" ca="1" si="3346"/>
        <v>1556856.9202867474</v>
      </c>
      <c r="GI220" s="231">
        <f t="shared" ca="1" si="3346"/>
        <v>1559407.4590555839</v>
      </c>
      <c r="GJ220" s="231">
        <f t="shared" ca="1" si="3346"/>
        <v>1561950.1038779018</v>
      </c>
      <c r="GK220" s="231">
        <f t="shared" ca="1" si="3346"/>
        <v>1564485.6494360124</v>
      </c>
      <c r="GL220" s="231">
        <f t="shared" ca="1" si="3346"/>
        <v>1567011.3013506893</v>
      </c>
      <c r="GM220" s="231">
        <f t="shared" ca="1" si="3346"/>
        <v>1569526.6643905709</v>
      </c>
      <c r="GN220" s="231" t="str">
        <f t="shared" si="3346"/>
        <v/>
      </c>
      <c r="GO220" s="231" t="str">
        <f t="shared" si="3346"/>
        <v/>
      </c>
      <c r="GP220" s="231" t="str">
        <f t="shared" si="3346"/>
        <v/>
      </c>
      <c r="GQ220" s="231" t="str">
        <f t="shared" si="3346"/>
        <v/>
      </c>
      <c r="GR220" s="231" t="str">
        <f t="shared" si="3346"/>
        <v/>
      </c>
      <c r="GS220" s="231" t="str">
        <f t="shared" si="3346"/>
        <v/>
      </c>
      <c r="GT220" s="231" t="str">
        <f t="shared" si="3346"/>
        <v/>
      </c>
      <c r="GU220" s="231" t="str">
        <f t="shared" si="3346"/>
        <v/>
      </c>
      <c r="GV220" s="231" t="str">
        <f t="shared" si="3346"/>
        <v/>
      </c>
      <c r="GW220" s="231" t="str">
        <f t="shared" si="3346"/>
        <v/>
      </c>
      <c r="GX220" s="231" t="str">
        <f t="shared" si="3346"/>
        <v/>
      </c>
      <c r="GY220" s="231" t="str">
        <f t="shared" si="3346"/>
        <v/>
      </c>
      <c r="GZ220" s="231" t="str">
        <f t="shared" si="3346"/>
        <v/>
      </c>
      <c r="HA220" s="231" t="str">
        <f t="shared" si="3346"/>
        <v/>
      </c>
      <c r="HB220" s="231" t="str">
        <f t="shared" si="3346"/>
        <v/>
      </c>
      <c r="HC220" s="231" t="str">
        <f t="shared" si="3346"/>
        <v/>
      </c>
      <c r="HD220" s="231" t="str">
        <f t="shared" si="3346"/>
        <v/>
      </c>
      <c r="HE220" s="231" t="str">
        <f t="shared" si="3346"/>
        <v/>
      </c>
      <c r="HF220" s="231" t="str">
        <f t="shared" si="3346"/>
        <v/>
      </c>
      <c r="HG220" s="231" t="str">
        <f t="shared" si="3346"/>
        <v/>
      </c>
      <c r="HH220" s="231" t="str">
        <f t="shared" si="3346"/>
        <v/>
      </c>
      <c r="HI220" s="231" t="str">
        <f t="shared" si="3346"/>
        <v/>
      </c>
      <c r="HJ220" s="231" t="str">
        <f t="shared" si="3346"/>
        <v/>
      </c>
      <c r="HK220" s="231" t="str">
        <f t="shared" si="3346"/>
        <v/>
      </c>
      <c r="HL220" s="231" t="str">
        <f t="shared" si="3346"/>
        <v/>
      </c>
      <c r="HM220" s="231" t="str">
        <f t="shared" si="3346"/>
        <v/>
      </c>
      <c r="HN220" s="231" t="str">
        <f t="shared" si="3346"/>
        <v/>
      </c>
      <c r="HO220" s="231" t="str">
        <f t="shared" si="3346"/>
        <v/>
      </c>
      <c r="HP220" s="231" t="str">
        <f t="shared" ref="HP220:KA220" si="3347">IF(HP209="","",HO224)</f>
        <v/>
      </c>
      <c r="HQ220" s="231" t="str">
        <f t="shared" si="3347"/>
        <v/>
      </c>
      <c r="HR220" s="231" t="str">
        <f t="shared" si="3347"/>
        <v/>
      </c>
      <c r="HS220" s="231" t="str">
        <f t="shared" si="3347"/>
        <v/>
      </c>
      <c r="HT220" s="231" t="str">
        <f t="shared" si="3347"/>
        <v/>
      </c>
      <c r="HU220" s="231" t="str">
        <f t="shared" si="3347"/>
        <v/>
      </c>
      <c r="HV220" s="231" t="str">
        <f t="shared" si="3347"/>
        <v/>
      </c>
      <c r="HW220" s="231" t="str">
        <f t="shared" si="3347"/>
        <v/>
      </c>
      <c r="HX220" s="231" t="str">
        <f t="shared" si="3347"/>
        <v/>
      </c>
      <c r="HY220" s="231" t="str">
        <f t="shared" si="3347"/>
        <v/>
      </c>
      <c r="HZ220" s="231" t="str">
        <f t="shared" si="3347"/>
        <v/>
      </c>
      <c r="IA220" s="231" t="str">
        <f t="shared" si="3347"/>
        <v/>
      </c>
      <c r="IB220" s="231" t="str">
        <f t="shared" si="3347"/>
        <v/>
      </c>
      <c r="IC220" s="231" t="str">
        <f t="shared" si="3347"/>
        <v/>
      </c>
      <c r="ID220" s="231" t="str">
        <f t="shared" si="3347"/>
        <v/>
      </c>
      <c r="IE220" s="231" t="str">
        <f t="shared" si="3347"/>
        <v/>
      </c>
      <c r="IF220" s="231" t="str">
        <f t="shared" si="3347"/>
        <v/>
      </c>
      <c r="IG220" s="231" t="str">
        <f t="shared" si="3347"/>
        <v/>
      </c>
      <c r="IH220" s="231" t="str">
        <f t="shared" si="3347"/>
        <v/>
      </c>
      <c r="II220" s="231" t="str">
        <f t="shared" si="3347"/>
        <v/>
      </c>
      <c r="IJ220" s="231" t="str">
        <f t="shared" si="3347"/>
        <v/>
      </c>
      <c r="IK220" s="231" t="str">
        <f t="shared" si="3347"/>
        <v/>
      </c>
      <c r="IL220" s="231" t="str">
        <f t="shared" si="3347"/>
        <v/>
      </c>
      <c r="IM220" s="231" t="str">
        <f t="shared" si="3347"/>
        <v/>
      </c>
      <c r="IN220" s="231" t="str">
        <f t="shared" si="3347"/>
        <v/>
      </c>
      <c r="IO220" s="231" t="str">
        <f t="shared" si="3347"/>
        <v/>
      </c>
      <c r="IP220" s="231" t="str">
        <f t="shared" si="3347"/>
        <v/>
      </c>
      <c r="IQ220" s="231" t="str">
        <f t="shared" si="3347"/>
        <v/>
      </c>
      <c r="IR220" s="231" t="str">
        <f t="shared" si="3347"/>
        <v/>
      </c>
      <c r="IS220" s="231" t="str">
        <f t="shared" si="3347"/>
        <v/>
      </c>
      <c r="IT220" s="231" t="str">
        <f t="shared" si="3347"/>
        <v/>
      </c>
      <c r="IU220" s="231" t="str">
        <f t="shared" si="3347"/>
        <v/>
      </c>
      <c r="IV220" s="231" t="str">
        <f t="shared" si="3347"/>
        <v/>
      </c>
      <c r="IW220" s="231" t="str">
        <f t="shared" si="3347"/>
        <v/>
      </c>
      <c r="IX220" s="231" t="str">
        <f t="shared" si="3347"/>
        <v/>
      </c>
      <c r="IY220" s="231" t="str">
        <f t="shared" si="3347"/>
        <v/>
      </c>
      <c r="IZ220" s="231" t="str">
        <f t="shared" si="3347"/>
        <v/>
      </c>
      <c r="JA220" s="231" t="str">
        <f t="shared" si="3347"/>
        <v/>
      </c>
      <c r="JB220" s="231" t="str">
        <f t="shared" si="3347"/>
        <v/>
      </c>
      <c r="JC220" s="231" t="str">
        <f t="shared" si="3347"/>
        <v/>
      </c>
      <c r="JD220" s="231" t="str">
        <f t="shared" si="3347"/>
        <v/>
      </c>
      <c r="JE220" s="231" t="str">
        <f t="shared" si="3347"/>
        <v/>
      </c>
      <c r="JF220" s="231" t="str">
        <f t="shared" si="3347"/>
        <v/>
      </c>
      <c r="JG220" s="231" t="str">
        <f t="shared" si="3347"/>
        <v/>
      </c>
      <c r="JH220" s="231" t="str">
        <f t="shared" si="3347"/>
        <v/>
      </c>
      <c r="JI220" s="231" t="str">
        <f t="shared" si="3347"/>
        <v/>
      </c>
      <c r="JJ220" s="231" t="str">
        <f t="shared" si="3347"/>
        <v/>
      </c>
      <c r="JK220" s="231" t="str">
        <f t="shared" si="3347"/>
        <v/>
      </c>
      <c r="JL220" s="231" t="str">
        <f t="shared" si="3347"/>
        <v/>
      </c>
      <c r="JM220" s="231" t="str">
        <f t="shared" si="3347"/>
        <v/>
      </c>
      <c r="JN220" s="231" t="str">
        <f t="shared" si="3347"/>
        <v/>
      </c>
      <c r="JO220" s="231" t="str">
        <f t="shared" si="3347"/>
        <v/>
      </c>
      <c r="JP220" s="231" t="str">
        <f t="shared" si="3347"/>
        <v/>
      </c>
      <c r="JQ220" s="231" t="str">
        <f t="shared" si="3347"/>
        <v/>
      </c>
      <c r="JR220" s="231" t="str">
        <f t="shared" si="3347"/>
        <v/>
      </c>
      <c r="JS220" s="231" t="str">
        <f t="shared" si="3347"/>
        <v/>
      </c>
      <c r="JT220" s="231" t="str">
        <f t="shared" si="3347"/>
        <v/>
      </c>
      <c r="JU220" s="231" t="str">
        <f t="shared" si="3347"/>
        <v/>
      </c>
      <c r="JV220" s="231" t="str">
        <f t="shared" si="3347"/>
        <v/>
      </c>
      <c r="JW220" s="231" t="str">
        <f t="shared" si="3347"/>
        <v/>
      </c>
      <c r="JX220" s="231" t="str">
        <f t="shared" si="3347"/>
        <v/>
      </c>
      <c r="JY220" s="231" t="str">
        <f t="shared" si="3347"/>
        <v/>
      </c>
      <c r="JZ220" s="231" t="str">
        <f t="shared" si="3347"/>
        <v/>
      </c>
      <c r="KA220" s="231" t="str">
        <f t="shared" si="3347"/>
        <v/>
      </c>
      <c r="KB220" s="231" t="str">
        <f t="shared" ref="KB220:KE220" si="3348">IF(KB209="","",KA224)</f>
        <v/>
      </c>
      <c r="KC220" s="231" t="str">
        <f t="shared" si="3348"/>
        <v/>
      </c>
      <c r="KD220" s="231" t="str">
        <f t="shared" si="3348"/>
        <v/>
      </c>
      <c r="KE220" s="231" t="str">
        <f t="shared" si="3348"/>
        <v/>
      </c>
      <c r="KF220" s="218" t="s">
        <v>269</v>
      </c>
      <c r="KG220" s="201"/>
      <c r="KH220" s="201"/>
      <c r="KI220" s="201"/>
      <c r="KJ220" s="201"/>
      <c r="KK220" s="201"/>
      <c r="KL220" s="201"/>
      <c r="KM220" s="201"/>
      <c r="KN220" s="201"/>
      <c r="KO220" s="201"/>
      <c r="KP220" s="201"/>
      <c r="KQ220" s="201"/>
      <c r="KR220" s="201"/>
      <c r="KS220" s="201"/>
      <c r="KT220" s="201"/>
      <c r="KU220" s="201"/>
      <c r="KV220" s="201"/>
      <c r="KW220" s="201"/>
      <c r="KX220" s="201"/>
      <c r="KY220" s="201"/>
      <c r="KZ220" s="201"/>
      <c r="LA220" s="201"/>
      <c r="LB220" s="201"/>
      <c r="LC220" s="201"/>
      <c r="LD220" s="201"/>
      <c r="LE220" s="201"/>
      <c r="LF220" s="201"/>
      <c r="LG220" s="201"/>
      <c r="LH220" s="201"/>
      <c r="LI220" s="201"/>
      <c r="LJ220" s="201"/>
      <c r="LK220" s="201"/>
      <c r="LL220" s="201"/>
      <c r="LM220" s="201"/>
      <c r="LN220" s="201"/>
      <c r="LO220" s="201"/>
      <c r="LP220" s="201"/>
      <c r="LQ220" s="201"/>
      <c r="LR220" s="201"/>
      <c r="LS220" s="201"/>
      <c r="LT220" s="201"/>
      <c r="LU220" s="201"/>
      <c r="LV220" s="201"/>
      <c r="LW220" s="201"/>
      <c r="LX220" s="201"/>
      <c r="LY220" s="201"/>
      <c r="LZ220" s="201"/>
      <c r="MA220" s="201"/>
      <c r="MB220" s="201"/>
      <c r="MC220" s="201"/>
      <c r="MD220" s="201"/>
      <c r="ME220" s="201"/>
      <c r="MF220" s="201"/>
      <c r="MG220" s="201"/>
      <c r="MH220" s="201"/>
      <c r="MI220" s="201"/>
      <c r="MJ220" s="201"/>
      <c r="MK220" s="201"/>
      <c r="ML220" s="201"/>
      <c r="MM220" s="201"/>
      <c r="MN220" s="201"/>
      <c r="MO220" s="201"/>
      <c r="MP220" s="201"/>
      <c r="MQ220" s="201"/>
      <c r="MR220" s="201"/>
      <c r="MS220" s="201"/>
      <c r="MT220" s="201"/>
      <c r="MU220" s="201"/>
      <c r="MV220" s="201"/>
      <c r="MW220" s="201"/>
      <c r="MX220" s="201"/>
      <c r="MY220" s="201"/>
      <c r="MZ220" s="201"/>
      <c r="NA220" s="201"/>
      <c r="NB220" s="201"/>
      <c r="NC220" s="201"/>
      <c r="ND220" s="201"/>
      <c r="NE220" s="201"/>
      <c r="NF220" s="201"/>
      <c r="NG220" s="201"/>
      <c r="NH220" s="201"/>
      <c r="NI220" s="201"/>
      <c r="NJ220" s="201"/>
      <c r="NK220" s="201"/>
      <c r="NL220" s="201"/>
      <c r="NM220" s="201"/>
      <c r="NN220" s="201"/>
      <c r="NO220" s="201"/>
      <c r="NP220" s="201"/>
      <c r="NQ220" s="201"/>
      <c r="NR220" s="201"/>
      <c r="NS220" s="201"/>
      <c r="NT220" s="201"/>
      <c r="NU220" s="201"/>
      <c r="NV220" s="201"/>
      <c r="NW220" s="201"/>
      <c r="NX220" s="201"/>
      <c r="NY220" s="201"/>
      <c r="NZ220" s="201"/>
      <c r="OA220" s="201"/>
      <c r="OB220" s="201"/>
      <c r="OC220" s="201"/>
      <c r="OD220" s="201"/>
      <c r="OE220" s="201"/>
      <c r="OF220" s="201"/>
      <c r="OG220" s="201"/>
      <c r="OH220" s="201"/>
      <c r="OI220" s="201"/>
      <c r="OJ220" s="201"/>
      <c r="OK220" s="201"/>
      <c r="OL220" s="201"/>
      <c r="OM220" s="201"/>
      <c r="ON220" s="201"/>
      <c r="OO220" s="201"/>
      <c r="OP220" s="201"/>
      <c r="OQ220" s="201"/>
      <c r="OR220" s="201"/>
      <c r="OS220" s="201"/>
      <c r="OT220" s="201"/>
      <c r="OU220" s="201"/>
      <c r="OV220" s="201"/>
      <c r="OW220" s="201"/>
      <c r="OX220" s="201"/>
      <c r="OY220" s="201"/>
      <c r="OZ220" s="201"/>
      <c r="PA220" s="201"/>
      <c r="PB220" s="201"/>
      <c r="PC220" s="201"/>
      <c r="PD220" s="201"/>
      <c r="PE220" s="201"/>
      <c r="PF220" s="201"/>
      <c r="PG220" s="201"/>
      <c r="PH220" s="201"/>
      <c r="PI220" s="201"/>
      <c r="PJ220" s="201"/>
      <c r="PK220" s="201"/>
      <c r="PL220" s="201"/>
      <c r="PM220" s="201"/>
      <c r="PN220" s="201"/>
      <c r="PO220" s="201"/>
      <c r="PQ220" s="201"/>
      <c r="PR220" s="201"/>
      <c r="PS220" s="201"/>
      <c r="PT220" s="201"/>
      <c r="PU220" s="201"/>
      <c r="PV220" s="201"/>
      <c r="PW220" s="201"/>
      <c r="PX220" s="201"/>
      <c r="PY220" s="201"/>
      <c r="PZ220" s="201"/>
      <c r="QA220" s="201"/>
      <c r="QB220" s="201"/>
      <c r="QC220" s="201"/>
      <c r="QD220" s="201"/>
      <c r="QE220" s="201"/>
      <c r="QF220" s="201"/>
      <c r="QG220" s="201"/>
      <c r="QH220" s="201"/>
      <c r="QI220" s="201"/>
      <c r="QJ220" s="201"/>
      <c r="QK220" s="201"/>
      <c r="QL220" s="201"/>
      <c r="QM220" s="201"/>
      <c r="QN220" s="201"/>
      <c r="QO220" s="201"/>
      <c r="QP220" s="201"/>
      <c r="QQ220" s="201"/>
      <c r="QR220" s="201"/>
      <c r="QS220" s="201"/>
      <c r="QT220" s="201"/>
      <c r="QU220" s="201"/>
      <c r="QV220" s="201"/>
      <c r="QW220" s="201"/>
      <c r="QX220" s="201"/>
      <c r="QY220" s="201"/>
      <c r="QZ220" s="201"/>
      <c r="RA220" s="201"/>
      <c r="RB220" s="201"/>
      <c r="RC220" s="201"/>
      <c r="RD220" s="201"/>
      <c r="RE220" s="201"/>
      <c r="RF220" s="201"/>
      <c r="RG220" s="201"/>
      <c r="RH220" s="201"/>
      <c r="RI220" s="201"/>
      <c r="RJ220" s="201"/>
      <c r="RK220" s="201"/>
      <c r="RL220" s="201"/>
      <c r="RM220" s="201"/>
      <c r="RN220" s="201"/>
      <c r="RO220" s="201"/>
      <c r="RP220" s="201"/>
      <c r="RQ220" s="201"/>
      <c r="RR220" s="201"/>
      <c r="RS220" s="201"/>
      <c r="RT220" s="201"/>
      <c r="RU220" s="201"/>
      <c r="RV220" s="201"/>
      <c r="RW220" s="201"/>
      <c r="RX220" s="201"/>
      <c r="RY220" s="201"/>
      <c r="RZ220" s="201"/>
      <c r="SA220" s="201"/>
      <c r="SB220" s="201"/>
      <c r="SC220" s="201"/>
      <c r="SD220" s="201"/>
      <c r="SE220" s="201"/>
      <c r="SF220" s="201"/>
      <c r="SG220" s="201"/>
      <c r="SH220" s="201"/>
      <c r="SI220" s="201"/>
      <c r="SJ220" s="201"/>
      <c r="SK220" s="201"/>
      <c r="SL220" s="201"/>
      <c r="SM220" s="201"/>
      <c r="SN220" s="201"/>
      <c r="SO220" s="201"/>
      <c r="SP220" s="201"/>
      <c r="SQ220" s="201"/>
      <c r="SR220" s="201"/>
      <c r="SS220" s="201"/>
      <c r="ST220" s="201"/>
      <c r="SU220" s="201"/>
      <c r="SV220" s="201"/>
      <c r="SW220" s="201"/>
      <c r="SX220" s="201"/>
      <c r="SY220" s="201"/>
      <c r="SZ220" s="201"/>
      <c r="TA220" s="201"/>
      <c r="TB220" s="201"/>
      <c r="TC220" s="201"/>
      <c r="TD220" s="201"/>
      <c r="TE220" s="201"/>
      <c r="TF220" s="201"/>
      <c r="TG220" s="201"/>
      <c r="TH220" s="201"/>
      <c r="TI220" s="201"/>
      <c r="TJ220" s="201"/>
      <c r="TK220" s="201"/>
      <c r="TL220" s="201"/>
      <c r="TM220" s="201"/>
      <c r="TN220" s="201"/>
      <c r="TO220" s="201"/>
      <c r="TP220" s="201"/>
      <c r="TQ220" s="201"/>
      <c r="TR220" s="201"/>
      <c r="TS220" s="201"/>
      <c r="TT220" s="201"/>
      <c r="TU220" s="201"/>
      <c r="TV220" s="201"/>
      <c r="TW220" s="201"/>
      <c r="TX220" s="201"/>
      <c r="TY220" s="201"/>
      <c r="TZ220" s="201"/>
      <c r="UA220" s="201"/>
      <c r="UB220" s="201"/>
      <c r="UC220" s="201"/>
      <c r="UD220" s="201"/>
      <c r="UE220" s="201"/>
      <c r="UF220" s="201"/>
      <c r="UG220" s="201"/>
      <c r="UH220" s="201"/>
      <c r="UI220" s="201"/>
      <c r="UJ220" s="201"/>
      <c r="UK220" s="201"/>
      <c r="UL220" s="201"/>
      <c r="UM220" s="201"/>
      <c r="UN220" s="201"/>
      <c r="UO220" s="201"/>
      <c r="UP220" s="201"/>
      <c r="UQ220" s="201"/>
      <c r="UR220" s="201"/>
      <c r="US220" s="201"/>
      <c r="UT220" s="201"/>
      <c r="UU220" s="201"/>
    </row>
    <row r="221" spans="2:567" x14ac:dyDescent="0.25">
      <c r="B221" s="54" t="s">
        <v>222</v>
      </c>
      <c r="C221" s="26"/>
      <c r="D221" s="26"/>
      <c r="E221" s="26"/>
      <c r="F221" s="26"/>
      <c r="G221" s="26"/>
      <c r="H221" s="26"/>
      <c r="I221" s="26"/>
      <c r="J221" s="26"/>
      <c r="K221" s="34">
        <f>SUM(S221:EU221)</f>
        <v>11901122.00022069</v>
      </c>
      <c r="L221" s="2"/>
      <c r="R221" s="159" t="s">
        <v>385</v>
      </c>
      <c r="S221" s="145">
        <f t="shared" ref="S221:AX221" si="3349">IF(S$19&gt;$K$19,"",S153)</f>
        <v>0</v>
      </c>
      <c r="T221" s="92">
        <f t="shared" si="3349"/>
        <v>255693.37575833331</v>
      </c>
      <c r="U221" s="92">
        <f t="shared" si="3349"/>
        <v>259486.90061326924</v>
      </c>
      <c r="V221" s="92">
        <f t="shared" si="3349"/>
        <v>263304.89628932695</v>
      </c>
      <c r="W221" s="92">
        <f t="shared" si="3349"/>
        <v>267147.40918794868</v>
      </c>
      <c r="X221" s="92">
        <f t="shared" si="3349"/>
        <v>271014.48571057688</v>
      </c>
      <c r="Y221" s="92">
        <f t="shared" si="3349"/>
        <v>274906.17225865385</v>
      </c>
      <c r="Z221" s="92">
        <f t="shared" si="3349"/>
        <v>278822.51523362182</v>
      </c>
      <c r="AA221" s="92">
        <f t="shared" si="3349"/>
        <v>282763.56103692303</v>
      </c>
      <c r="AB221" s="92">
        <f t="shared" si="3349"/>
        <v>286729.35606999998</v>
      </c>
      <c r="AC221" s="92">
        <f t="shared" si="3349"/>
        <v>290719.94673429488</v>
      </c>
      <c r="AD221" s="92">
        <f t="shared" si="3349"/>
        <v>294735.37943124998</v>
      </c>
      <c r="AE221" s="92">
        <f t="shared" si="3349"/>
        <v>298775.70056230773</v>
      </c>
      <c r="AF221" s="92">
        <f t="shared" si="3349"/>
        <v>303464.75931516243</v>
      </c>
      <c r="AG221" s="92">
        <f t="shared" si="3349"/>
        <v>308196.95202906855</v>
      </c>
      <c r="AH221" s="92">
        <f t="shared" si="3349"/>
        <v>312972.53486472915</v>
      </c>
      <c r="AI221" s="92">
        <f t="shared" si="3349"/>
        <v>317791.76515390462</v>
      </c>
      <c r="AJ221" s="92">
        <f t="shared" si="3349"/>
        <v>322654.90140396269</v>
      </c>
      <c r="AK221" s="92">
        <f t="shared" si="3349"/>
        <v>327562.20330244687</v>
      </c>
      <c r="AL221" s="92">
        <f t="shared" si="3349"/>
        <v>332513.93172165821</v>
      </c>
      <c r="AM221" s="92">
        <f t="shared" si="3349"/>
        <v>337510.34872325434</v>
      </c>
      <c r="AN221" s="92">
        <f t="shared" si="3349"/>
        <v>342551.71756286442</v>
      </c>
      <c r="AO221" s="92">
        <f t="shared" si="3349"/>
        <v>347638.30269471952</v>
      </c>
      <c r="AP221" s="92">
        <f t="shared" si="3349"/>
        <v>352770.36977630015</v>
      </c>
      <c r="AQ221" s="92">
        <f t="shared" si="3349"/>
        <v>357948.18567299953</v>
      </c>
      <c r="AR221" s="92">
        <f t="shared" si="3349"/>
        <v>380117.76310722309</v>
      </c>
      <c r="AS221" s="92">
        <f t="shared" si="3349"/>
        <v>380900.74346248293</v>
      </c>
      <c r="AT221" s="92">
        <f t="shared" si="3349"/>
        <v>381685.33662907692</v>
      </c>
      <c r="AU221" s="92">
        <f t="shared" si="3349"/>
        <v>382471.54592913273</v>
      </c>
      <c r="AV221" s="92">
        <f t="shared" si="3349"/>
        <v>383259.37469162041</v>
      </c>
      <c r="AW221" s="92">
        <f t="shared" si="3349"/>
        <v>384048.82625236746</v>
      </c>
      <c r="AX221" s="92">
        <f t="shared" si="3349"/>
        <v>384839.90395407256</v>
      </c>
      <c r="AY221" s="92">
        <f t="shared" ref="AY221:CD221" si="3350">IF(AY$19&gt;$K$19,"",AY153)</f>
        <v>385632.61114631995</v>
      </c>
      <c r="AZ221" s="92">
        <f t="shared" si="3350"/>
        <v>386426.95118559327</v>
      </c>
      <c r="BA221" s="92">
        <f t="shared" si="3350"/>
        <v>387222.92743529024</v>
      </c>
      <c r="BB221" s="92">
        <f t="shared" si="3350"/>
        <v>388020.54326573602</v>
      </c>
      <c r="BC221" s="92">
        <f t="shared" si="3350"/>
        <v>388819.80205419892</v>
      </c>
      <c r="BD221" s="92" t="str">
        <f t="shared" si="3350"/>
        <v/>
      </c>
      <c r="BE221" s="92" t="str">
        <f t="shared" si="3350"/>
        <v/>
      </c>
      <c r="BF221" s="92" t="str">
        <f t="shared" si="3350"/>
        <v/>
      </c>
      <c r="BG221" s="92" t="str">
        <f t="shared" si="3350"/>
        <v/>
      </c>
      <c r="BH221" s="92" t="str">
        <f t="shared" si="3350"/>
        <v/>
      </c>
      <c r="BI221" s="92" t="str">
        <f t="shared" si="3350"/>
        <v/>
      </c>
      <c r="BJ221" s="92" t="str">
        <f t="shared" si="3350"/>
        <v/>
      </c>
      <c r="BK221" s="92" t="str">
        <f t="shared" si="3350"/>
        <v/>
      </c>
      <c r="BL221" s="92" t="str">
        <f t="shared" si="3350"/>
        <v/>
      </c>
      <c r="BM221" s="92" t="str">
        <f t="shared" si="3350"/>
        <v/>
      </c>
      <c r="BN221" s="92" t="str">
        <f t="shared" si="3350"/>
        <v/>
      </c>
      <c r="BO221" s="92" t="str">
        <f t="shared" si="3350"/>
        <v/>
      </c>
      <c r="BP221" s="92" t="str">
        <f t="shared" si="3350"/>
        <v/>
      </c>
      <c r="BQ221" s="92" t="str">
        <f t="shared" si="3350"/>
        <v/>
      </c>
      <c r="BR221" s="92" t="str">
        <f t="shared" si="3350"/>
        <v/>
      </c>
      <c r="BS221" s="92" t="str">
        <f t="shared" si="3350"/>
        <v/>
      </c>
      <c r="BT221" s="92" t="str">
        <f t="shared" si="3350"/>
        <v/>
      </c>
      <c r="BU221" s="92" t="str">
        <f t="shared" si="3350"/>
        <v/>
      </c>
      <c r="BV221" s="92" t="str">
        <f t="shared" si="3350"/>
        <v/>
      </c>
      <c r="BW221" s="92" t="str">
        <f t="shared" si="3350"/>
        <v/>
      </c>
      <c r="BX221" s="92" t="str">
        <f t="shared" si="3350"/>
        <v/>
      </c>
      <c r="BY221" s="92" t="str">
        <f t="shared" si="3350"/>
        <v/>
      </c>
      <c r="BZ221" s="92" t="str">
        <f t="shared" si="3350"/>
        <v/>
      </c>
      <c r="CA221" s="92" t="str">
        <f t="shared" si="3350"/>
        <v/>
      </c>
      <c r="CB221" s="92" t="str">
        <f t="shared" si="3350"/>
        <v/>
      </c>
      <c r="CC221" s="92" t="str">
        <f t="shared" si="3350"/>
        <v/>
      </c>
      <c r="CD221" s="92" t="str">
        <f t="shared" si="3350"/>
        <v/>
      </c>
      <c r="CE221" s="92" t="str">
        <f t="shared" ref="CE221:DJ221" si="3351">IF(CE$19&gt;$K$19,"",CE153)</f>
        <v/>
      </c>
      <c r="CF221" s="92" t="str">
        <f t="shared" si="3351"/>
        <v/>
      </c>
      <c r="CG221" s="92" t="str">
        <f t="shared" si="3351"/>
        <v/>
      </c>
      <c r="CH221" s="92" t="str">
        <f t="shared" si="3351"/>
        <v/>
      </c>
      <c r="CI221" s="92" t="str">
        <f t="shared" si="3351"/>
        <v/>
      </c>
      <c r="CJ221" s="92" t="str">
        <f t="shared" si="3351"/>
        <v/>
      </c>
      <c r="CK221" s="92" t="str">
        <f t="shared" si="3351"/>
        <v/>
      </c>
      <c r="CL221" s="92" t="str">
        <f t="shared" si="3351"/>
        <v/>
      </c>
      <c r="CM221" s="92" t="str">
        <f t="shared" si="3351"/>
        <v/>
      </c>
      <c r="CN221" s="92" t="str">
        <f t="shared" si="3351"/>
        <v/>
      </c>
      <c r="CO221" s="92" t="str">
        <f t="shared" si="3351"/>
        <v/>
      </c>
      <c r="CP221" s="92" t="str">
        <f t="shared" si="3351"/>
        <v/>
      </c>
      <c r="CQ221" s="92" t="str">
        <f t="shared" si="3351"/>
        <v/>
      </c>
      <c r="CR221" s="92" t="str">
        <f t="shared" si="3351"/>
        <v/>
      </c>
      <c r="CS221" s="92" t="str">
        <f t="shared" si="3351"/>
        <v/>
      </c>
      <c r="CT221" s="92" t="str">
        <f t="shared" si="3351"/>
        <v/>
      </c>
      <c r="CU221" s="92" t="str">
        <f t="shared" si="3351"/>
        <v/>
      </c>
      <c r="CV221" s="92" t="str">
        <f t="shared" si="3351"/>
        <v/>
      </c>
      <c r="CW221" s="92" t="str">
        <f t="shared" si="3351"/>
        <v/>
      </c>
      <c r="CX221" s="92" t="str">
        <f t="shared" si="3351"/>
        <v/>
      </c>
      <c r="CY221" s="92" t="str">
        <f t="shared" si="3351"/>
        <v/>
      </c>
      <c r="CZ221" s="92" t="str">
        <f t="shared" si="3351"/>
        <v/>
      </c>
      <c r="DA221" s="92" t="str">
        <f t="shared" si="3351"/>
        <v/>
      </c>
      <c r="DB221" s="92" t="str">
        <f t="shared" si="3351"/>
        <v/>
      </c>
      <c r="DC221" s="92" t="str">
        <f t="shared" si="3351"/>
        <v/>
      </c>
      <c r="DD221" s="92" t="str">
        <f t="shared" si="3351"/>
        <v/>
      </c>
      <c r="DE221" s="92" t="str">
        <f t="shared" si="3351"/>
        <v/>
      </c>
      <c r="DF221" s="92" t="str">
        <f t="shared" si="3351"/>
        <v/>
      </c>
      <c r="DG221" s="92" t="str">
        <f t="shared" si="3351"/>
        <v/>
      </c>
      <c r="DH221" s="92" t="str">
        <f t="shared" si="3351"/>
        <v/>
      </c>
      <c r="DI221" s="92" t="str">
        <f t="shared" si="3351"/>
        <v/>
      </c>
      <c r="DJ221" s="92" t="str">
        <f t="shared" si="3351"/>
        <v/>
      </c>
      <c r="DK221" s="92" t="str">
        <f t="shared" ref="DK221:EU221" si="3352">IF(DK$19&gt;$K$19,"",DK153)</f>
        <v/>
      </c>
      <c r="DL221" s="92" t="str">
        <f t="shared" si="3352"/>
        <v/>
      </c>
      <c r="DM221" s="92" t="str">
        <f t="shared" si="3352"/>
        <v/>
      </c>
      <c r="DN221" s="92" t="str">
        <f t="shared" si="3352"/>
        <v/>
      </c>
      <c r="DO221" s="92" t="str">
        <f t="shared" si="3352"/>
        <v/>
      </c>
      <c r="DP221" s="92" t="str">
        <f t="shared" si="3352"/>
        <v/>
      </c>
      <c r="DQ221" s="92" t="str">
        <f t="shared" si="3352"/>
        <v/>
      </c>
      <c r="DR221" s="92" t="str">
        <f t="shared" si="3352"/>
        <v/>
      </c>
      <c r="DS221" s="92" t="str">
        <f t="shared" si="3352"/>
        <v/>
      </c>
      <c r="DT221" s="92" t="str">
        <f t="shared" si="3352"/>
        <v/>
      </c>
      <c r="DU221" s="92" t="str">
        <f t="shared" si="3352"/>
        <v/>
      </c>
      <c r="DV221" s="92" t="str">
        <f t="shared" si="3352"/>
        <v/>
      </c>
      <c r="DW221" s="92" t="str">
        <f t="shared" si="3352"/>
        <v/>
      </c>
      <c r="DX221" s="92" t="str">
        <f t="shared" si="3352"/>
        <v/>
      </c>
      <c r="DY221" s="92" t="str">
        <f t="shared" si="3352"/>
        <v/>
      </c>
      <c r="DZ221" s="92" t="str">
        <f t="shared" si="3352"/>
        <v/>
      </c>
      <c r="EA221" s="92" t="str">
        <f t="shared" si="3352"/>
        <v/>
      </c>
      <c r="EB221" s="92" t="str">
        <f t="shared" si="3352"/>
        <v/>
      </c>
      <c r="EC221" s="92" t="str">
        <f t="shared" si="3352"/>
        <v/>
      </c>
      <c r="ED221" s="92" t="str">
        <f t="shared" si="3352"/>
        <v/>
      </c>
      <c r="EE221" s="92" t="str">
        <f t="shared" si="3352"/>
        <v/>
      </c>
      <c r="EF221" s="92" t="str">
        <f t="shared" si="3352"/>
        <v/>
      </c>
      <c r="EG221" s="92" t="str">
        <f t="shared" si="3352"/>
        <v/>
      </c>
      <c r="EH221" s="92" t="str">
        <f t="shared" si="3352"/>
        <v/>
      </c>
      <c r="EI221" s="92" t="str">
        <f t="shared" si="3352"/>
        <v/>
      </c>
      <c r="EJ221" s="92" t="str">
        <f t="shared" si="3352"/>
        <v/>
      </c>
      <c r="EK221" s="92" t="str">
        <f t="shared" si="3352"/>
        <v/>
      </c>
      <c r="EL221" s="92" t="str">
        <f t="shared" si="3352"/>
        <v/>
      </c>
      <c r="EM221" s="92" t="str">
        <f t="shared" si="3352"/>
        <v/>
      </c>
      <c r="EN221" s="92" t="str">
        <f t="shared" si="3352"/>
        <v/>
      </c>
      <c r="EO221" s="92" t="str">
        <f t="shared" si="3352"/>
        <v/>
      </c>
      <c r="EP221" s="92" t="str">
        <f t="shared" si="3352"/>
        <v/>
      </c>
      <c r="EQ221" s="92" t="str">
        <f t="shared" si="3352"/>
        <v/>
      </c>
      <c r="ER221" s="92" t="str">
        <f t="shared" si="3352"/>
        <v/>
      </c>
      <c r="ES221" s="92" t="str">
        <f t="shared" si="3352"/>
        <v/>
      </c>
      <c r="ET221" s="92" t="str">
        <f t="shared" si="3352"/>
        <v/>
      </c>
      <c r="EU221" s="92" t="str">
        <f t="shared" si="3352"/>
        <v/>
      </c>
      <c r="EV221" s="2"/>
      <c r="EW221" s="201" t="s">
        <v>362</v>
      </c>
      <c r="EX221" s="201"/>
      <c r="EY221" s="201"/>
      <c r="EZ221" s="201"/>
      <c r="FA221" s="201"/>
      <c r="FB221" s="201"/>
      <c r="FC221" s="231">
        <f ca="1">IF(FC209="","",FC220*$EY$206)</f>
        <v>0</v>
      </c>
      <c r="FD221" s="231">
        <f t="shared" ref="FD221:HO221" ca="1" si="3353">IF(FD209="","",FD220*$EY$206)</f>
        <v>10190.814622990629</v>
      </c>
      <c r="FE221" s="231">
        <f t="shared" ca="1" si="3353"/>
        <v>10239.912401143445</v>
      </c>
      <c r="FF221" s="231">
        <f t="shared" ca="1" si="3353"/>
        <v>10287.461167564637</v>
      </c>
      <c r="FG221" s="231">
        <f t="shared" ca="1" si="3353"/>
        <v>10334.341489127752</v>
      </c>
      <c r="FH221" s="231">
        <f t="shared" ca="1" si="3353"/>
        <v>10380.346090749354</v>
      </c>
      <c r="FI221" s="231">
        <f t="shared" ca="1" si="3353"/>
        <v>10425.165291330952</v>
      </c>
      <c r="FJ221" s="231">
        <f t="shared" ca="1" si="3353"/>
        <v>10469.269511242977</v>
      </c>
      <c r="FK221" s="231">
        <f t="shared" ca="1" si="3353"/>
        <v>10512.603371137315</v>
      </c>
      <c r="FL221" s="231">
        <f t="shared" ca="1" si="3353"/>
        <v>10555.078057137749</v>
      </c>
      <c r="FM221" s="231">
        <f t="shared" ca="1" si="3353"/>
        <v>10596.792714300458</v>
      </c>
      <c r="FN221" s="231">
        <f t="shared" ca="1" si="3353"/>
        <v>10637.750162566615</v>
      </c>
      <c r="FO221" s="231">
        <f t="shared" ca="1" si="3353"/>
        <v>10677.948864806736</v>
      </c>
      <c r="FP221" s="231">
        <f t="shared" ca="1" si="3353"/>
        <v>10717.389936130194</v>
      </c>
      <c r="FQ221" s="231">
        <f t="shared" ca="1" si="3353"/>
        <v>10755.846529369044</v>
      </c>
      <c r="FR221" s="231">
        <f t="shared" ca="1" si="3353"/>
        <v>10793.325790202578</v>
      </c>
      <c r="FS221" s="231">
        <f t="shared" ca="1" si="3353"/>
        <v>10829.802183032843</v>
      </c>
      <c r="FT221" s="231">
        <f t="shared" ca="1" si="3353"/>
        <v>10865.259060507798</v>
      </c>
      <c r="FU221" s="231">
        <f t="shared" ca="1" si="3353"/>
        <v>10899.680375849528</v>
      </c>
      <c r="FV221" s="231">
        <f t="shared" ca="1" si="3353"/>
        <v>10933.047430362361</v>
      </c>
      <c r="FW221" s="231">
        <f t="shared" ca="1" si="3353"/>
        <v>10965.345866246922</v>
      </c>
      <c r="FX221" s="231">
        <f t="shared" ca="1" si="3353"/>
        <v>10996.548150322287</v>
      </c>
      <c r="FY221" s="231">
        <f t="shared" ca="1" si="3353"/>
        <v>11026.636848891008</v>
      </c>
      <c r="FZ221" s="231">
        <f t="shared" ca="1" si="3353"/>
        <v>11055.595141134359</v>
      </c>
      <c r="GA221" s="231">
        <f t="shared" ca="1" si="3353"/>
        <v>11083.404098961637</v>
      </c>
      <c r="GB221" s="231">
        <f t="shared" ca="1" si="3353"/>
        <v>11109.66378578749</v>
      </c>
      <c r="GC221" s="231">
        <f t="shared" ca="1" si="3353"/>
        <v>11128.251612355132</v>
      </c>
      <c r="GD221" s="231">
        <f t="shared" ca="1" si="3353"/>
        <v>11146.821657635406</v>
      </c>
      <c r="GE221" s="231">
        <f t="shared" ca="1" si="3353"/>
        <v>11165.357144579044</v>
      </c>
      <c r="GF221" s="231">
        <f t="shared" ca="1" si="3353"/>
        <v>11183.868949953183</v>
      </c>
      <c r="GG221" s="231">
        <f t="shared" ca="1" si="3353"/>
        <v>11202.341871011171</v>
      </c>
      <c r="GH221" s="231">
        <f t="shared" ca="1" si="3353"/>
        <v>11220.771181471475</v>
      </c>
      <c r="GI221" s="231">
        <f t="shared" ca="1" si="3353"/>
        <v>11239.153739008822</v>
      </c>
      <c r="GJ221" s="231">
        <f t="shared" ca="1" si="3353"/>
        <v>11257.479402321367</v>
      </c>
      <c r="GK221" s="231">
        <f t="shared" ca="1" si="3353"/>
        <v>11275.753898941464</v>
      </c>
      <c r="GL221" s="231">
        <f t="shared" ca="1" si="3353"/>
        <v>11293.95708887456</v>
      </c>
      <c r="GM221" s="231">
        <f t="shared" ca="1" si="3353"/>
        <v>11312.086123560448</v>
      </c>
      <c r="GN221" s="231" t="str">
        <f t="shared" si="3353"/>
        <v/>
      </c>
      <c r="GO221" s="231" t="str">
        <f t="shared" si="3353"/>
        <v/>
      </c>
      <c r="GP221" s="231" t="str">
        <f t="shared" si="3353"/>
        <v/>
      </c>
      <c r="GQ221" s="231" t="str">
        <f t="shared" si="3353"/>
        <v/>
      </c>
      <c r="GR221" s="231" t="str">
        <f t="shared" si="3353"/>
        <v/>
      </c>
      <c r="GS221" s="231" t="str">
        <f t="shared" si="3353"/>
        <v/>
      </c>
      <c r="GT221" s="231" t="str">
        <f t="shared" si="3353"/>
        <v/>
      </c>
      <c r="GU221" s="231" t="str">
        <f t="shared" si="3353"/>
        <v/>
      </c>
      <c r="GV221" s="231" t="str">
        <f t="shared" si="3353"/>
        <v/>
      </c>
      <c r="GW221" s="231" t="str">
        <f t="shared" si="3353"/>
        <v/>
      </c>
      <c r="GX221" s="231" t="str">
        <f t="shared" si="3353"/>
        <v/>
      </c>
      <c r="GY221" s="231" t="str">
        <f t="shared" si="3353"/>
        <v/>
      </c>
      <c r="GZ221" s="231" t="str">
        <f t="shared" si="3353"/>
        <v/>
      </c>
      <c r="HA221" s="231" t="str">
        <f t="shared" si="3353"/>
        <v/>
      </c>
      <c r="HB221" s="231" t="str">
        <f t="shared" si="3353"/>
        <v/>
      </c>
      <c r="HC221" s="231" t="str">
        <f t="shared" si="3353"/>
        <v/>
      </c>
      <c r="HD221" s="231" t="str">
        <f t="shared" si="3353"/>
        <v/>
      </c>
      <c r="HE221" s="231" t="str">
        <f t="shared" si="3353"/>
        <v/>
      </c>
      <c r="HF221" s="231" t="str">
        <f t="shared" si="3353"/>
        <v/>
      </c>
      <c r="HG221" s="231" t="str">
        <f t="shared" si="3353"/>
        <v/>
      </c>
      <c r="HH221" s="231" t="str">
        <f t="shared" si="3353"/>
        <v/>
      </c>
      <c r="HI221" s="231" t="str">
        <f t="shared" si="3353"/>
        <v/>
      </c>
      <c r="HJ221" s="231" t="str">
        <f t="shared" si="3353"/>
        <v/>
      </c>
      <c r="HK221" s="231" t="str">
        <f t="shared" si="3353"/>
        <v/>
      </c>
      <c r="HL221" s="231" t="str">
        <f t="shared" si="3353"/>
        <v/>
      </c>
      <c r="HM221" s="231" t="str">
        <f t="shared" si="3353"/>
        <v/>
      </c>
      <c r="HN221" s="231" t="str">
        <f t="shared" si="3353"/>
        <v/>
      </c>
      <c r="HO221" s="231" t="str">
        <f t="shared" si="3353"/>
        <v/>
      </c>
      <c r="HP221" s="231" t="str">
        <f t="shared" ref="HP221:KA221" si="3354">IF(HP209="","",HP220*$EY$206)</f>
        <v/>
      </c>
      <c r="HQ221" s="231" t="str">
        <f t="shared" si="3354"/>
        <v/>
      </c>
      <c r="HR221" s="231" t="str">
        <f t="shared" si="3354"/>
        <v/>
      </c>
      <c r="HS221" s="231" t="str">
        <f t="shared" si="3354"/>
        <v/>
      </c>
      <c r="HT221" s="231" t="str">
        <f t="shared" si="3354"/>
        <v/>
      </c>
      <c r="HU221" s="231" t="str">
        <f t="shared" si="3354"/>
        <v/>
      </c>
      <c r="HV221" s="231" t="str">
        <f t="shared" si="3354"/>
        <v/>
      </c>
      <c r="HW221" s="231" t="str">
        <f t="shared" si="3354"/>
        <v/>
      </c>
      <c r="HX221" s="231" t="str">
        <f t="shared" si="3354"/>
        <v/>
      </c>
      <c r="HY221" s="231" t="str">
        <f t="shared" si="3354"/>
        <v/>
      </c>
      <c r="HZ221" s="231" t="str">
        <f t="shared" si="3354"/>
        <v/>
      </c>
      <c r="IA221" s="231" t="str">
        <f t="shared" si="3354"/>
        <v/>
      </c>
      <c r="IB221" s="231" t="str">
        <f t="shared" si="3354"/>
        <v/>
      </c>
      <c r="IC221" s="231" t="str">
        <f t="shared" si="3354"/>
        <v/>
      </c>
      <c r="ID221" s="231" t="str">
        <f t="shared" si="3354"/>
        <v/>
      </c>
      <c r="IE221" s="231" t="str">
        <f t="shared" si="3354"/>
        <v/>
      </c>
      <c r="IF221" s="231" t="str">
        <f t="shared" si="3354"/>
        <v/>
      </c>
      <c r="IG221" s="231" t="str">
        <f t="shared" si="3354"/>
        <v/>
      </c>
      <c r="IH221" s="231" t="str">
        <f t="shared" si="3354"/>
        <v/>
      </c>
      <c r="II221" s="231" t="str">
        <f t="shared" si="3354"/>
        <v/>
      </c>
      <c r="IJ221" s="231" t="str">
        <f t="shared" si="3354"/>
        <v/>
      </c>
      <c r="IK221" s="231" t="str">
        <f t="shared" si="3354"/>
        <v/>
      </c>
      <c r="IL221" s="231" t="str">
        <f t="shared" si="3354"/>
        <v/>
      </c>
      <c r="IM221" s="231" t="str">
        <f t="shared" si="3354"/>
        <v/>
      </c>
      <c r="IN221" s="231" t="str">
        <f t="shared" si="3354"/>
        <v/>
      </c>
      <c r="IO221" s="231" t="str">
        <f t="shared" si="3354"/>
        <v/>
      </c>
      <c r="IP221" s="231" t="str">
        <f t="shared" si="3354"/>
        <v/>
      </c>
      <c r="IQ221" s="231" t="str">
        <f t="shared" si="3354"/>
        <v/>
      </c>
      <c r="IR221" s="231" t="str">
        <f t="shared" si="3354"/>
        <v/>
      </c>
      <c r="IS221" s="231" t="str">
        <f t="shared" si="3354"/>
        <v/>
      </c>
      <c r="IT221" s="231" t="str">
        <f t="shared" si="3354"/>
        <v/>
      </c>
      <c r="IU221" s="231" t="str">
        <f t="shared" si="3354"/>
        <v/>
      </c>
      <c r="IV221" s="231" t="str">
        <f t="shared" si="3354"/>
        <v/>
      </c>
      <c r="IW221" s="231" t="str">
        <f t="shared" si="3354"/>
        <v/>
      </c>
      <c r="IX221" s="231" t="str">
        <f t="shared" si="3354"/>
        <v/>
      </c>
      <c r="IY221" s="231" t="str">
        <f t="shared" si="3354"/>
        <v/>
      </c>
      <c r="IZ221" s="231" t="str">
        <f t="shared" si="3354"/>
        <v/>
      </c>
      <c r="JA221" s="231" t="str">
        <f t="shared" si="3354"/>
        <v/>
      </c>
      <c r="JB221" s="231" t="str">
        <f t="shared" si="3354"/>
        <v/>
      </c>
      <c r="JC221" s="231" t="str">
        <f t="shared" si="3354"/>
        <v/>
      </c>
      <c r="JD221" s="231" t="str">
        <f t="shared" si="3354"/>
        <v/>
      </c>
      <c r="JE221" s="231" t="str">
        <f t="shared" si="3354"/>
        <v/>
      </c>
      <c r="JF221" s="231" t="str">
        <f t="shared" si="3354"/>
        <v/>
      </c>
      <c r="JG221" s="231" t="str">
        <f t="shared" si="3354"/>
        <v/>
      </c>
      <c r="JH221" s="231" t="str">
        <f t="shared" si="3354"/>
        <v/>
      </c>
      <c r="JI221" s="231" t="str">
        <f t="shared" si="3354"/>
        <v/>
      </c>
      <c r="JJ221" s="231" t="str">
        <f t="shared" si="3354"/>
        <v/>
      </c>
      <c r="JK221" s="231" t="str">
        <f t="shared" si="3354"/>
        <v/>
      </c>
      <c r="JL221" s="231" t="str">
        <f t="shared" si="3354"/>
        <v/>
      </c>
      <c r="JM221" s="231" t="str">
        <f t="shared" si="3354"/>
        <v/>
      </c>
      <c r="JN221" s="231" t="str">
        <f t="shared" si="3354"/>
        <v/>
      </c>
      <c r="JO221" s="231" t="str">
        <f t="shared" si="3354"/>
        <v/>
      </c>
      <c r="JP221" s="231" t="str">
        <f t="shared" si="3354"/>
        <v/>
      </c>
      <c r="JQ221" s="231" t="str">
        <f t="shared" si="3354"/>
        <v/>
      </c>
      <c r="JR221" s="231" t="str">
        <f t="shared" si="3354"/>
        <v/>
      </c>
      <c r="JS221" s="231" t="str">
        <f t="shared" si="3354"/>
        <v/>
      </c>
      <c r="JT221" s="231" t="str">
        <f t="shared" si="3354"/>
        <v/>
      </c>
      <c r="JU221" s="231" t="str">
        <f t="shared" si="3354"/>
        <v/>
      </c>
      <c r="JV221" s="231" t="str">
        <f t="shared" si="3354"/>
        <v/>
      </c>
      <c r="JW221" s="231" t="str">
        <f t="shared" si="3354"/>
        <v/>
      </c>
      <c r="JX221" s="231" t="str">
        <f t="shared" si="3354"/>
        <v/>
      </c>
      <c r="JY221" s="231" t="str">
        <f t="shared" si="3354"/>
        <v/>
      </c>
      <c r="JZ221" s="231" t="str">
        <f t="shared" si="3354"/>
        <v/>
      </c>
      <c r="KA221" s="231" t="str">
        <f t="shared" si="3354"/>
        <v/>
      </c>
      <c r="KB221" s="231" t="str">
        <f t="shared" ref="KB221:KE221" si="3355">IF(KB209="","",KB220*$EY$206)</f>
        <v/>
      </c>
      <c r="KC221" s="231" t="str">
        <f t="shared" si="3355"/>
        <v/>
      </c>
      <c r="KD221" s="231" t="str">
        <f t="shared" si="3355"/>
        <v/>
      </c>
      <c r="KE221" s="231" t="str">
        <f t="shared" si="3355"/>
        <v/>
      </c>
      <c r="KF221" s="218" t="s">
        <v>269</v>
      </c>
      <c r="KG221" s="201"/>
      <c r="KH221" s="201"/>
      <c r="KI221" s="201"/>
      <c r="KJ221" s="201"/>
      <c r="KK221" s="201"/>
      <c r="KL221" s="201"/>
      <c r="KM221" s="201"/>
      <c r="KN221" s="201"/>
      <c r="KO221" s="201"/>
      <c r="KP221" s="201"/>
      <c r="KQ221" s="201"/>
      <c r="KR221" s="201"/>
      <c r="KS221" s="201"/>
      <c r="KT221" s="201"/>
      <c r="KU221" s="201"/>
      <c r="KV221" s="201"/>
      <c r="KW221" s="201"/>
      <c r="KX221" s="201"/>
      <c r="KY221" s="201"/>
      <c r="KZ221" s="201"/>
      <c r="LA221" s="201"/>
      <c r="LB221" s="201"/>
      <c r="LC221" s="201"/>
      <c r="LD221" s="201"/>
      <c r="LE221" s="201"/>
      <c r="LF221" s="201"/>
      <c r="LG221" s="201"/>
      <c r="LH221" s="201"/>
      <c r="LI221" s="201"/>
      <c r="LJ221" s="201"/>
      <c r="LK221" s="201"/>
      <c r="LL221" s="201"/>
      <c r="LM221" s="201"/>
      <c r="LN221" s="201"/>
      <c r="LO221" s="201"/>
      <c r="LP221" s="201"/>
      <c r="LQ221" s="201"/>
      <c r="LR221" s="201"/>
      <c r="LS221" s="201"/>
      <c r="LT221" s="201"/>
      <c r="LU221" s="201"/>
      <c r="LV221" s="201"/>
      <c r="LW221" s="201"/>
      <c r="LX221" s="201"/>
      <c r="LY221" s="201"/>
      <c r="LZ221" s="201"/>
      <c r="MA221" s="201"/>
      <c r="MB221" s="201"/>
      <c r="MC221" s="201"/>
      <c r="MD221" s="201"/>
      <c r="ME221" s="201"/>
      <c r="MF221" s="201"/>
      <c r="MG221" s="201"/>
      <c r="MH221" s="201"/>
      <c r="MI221" s="201"/>
      <c r="MJ221" s="201"/>
      <c r="MK221" s="201"/>
      <c r="ML221" s="201"/>
      <c r="MM221" s="201"/>
      <c r="MN221" s="201"/>
      <c r="MO221" s="201"/>
      <c r="MP221" s="201"/>
      <c r="MQ221" s="201"/>
      <c r="MR221" s="201"/>
      <c r="MS221" s="201"/>
      <c r="MT221" s="201"/>
      <c r="MU221" s="201"/>
      <c r="MV221" s="201"/>
      <c r="MW221" s="201"/>
      <c r="MX221" s="201"/>
      <c r="MY221" s="201"/>
      <c r="MZ221" s="201"/>
      <c r="NA221" s="201"/>
      <c r="NB221" s="201"/>
      <c r="NC221" s="201"/>
      <c r="ND221" s="201"/>
      <c r="NE221" s="201"/>
      <c r="NF221" s="201"/>
      <c r="NG221" s="201"/>
      <c r="NH221" s="201"/>
      <c r="NI221" s="201"/>
      <c r="NJ221" s="201"/>
      <c r="NK221" s="201"/>
      <c r="NL221" s="201"/>
      <c r="NM221" s="201"/>
      <c r="NN221" s="201"/>
      <c r="NO221" s="201"/>
      <c r="NP221" s="201"/>
      <c r="NQ221" s="201"/>
      <c r="NR221" s="201"/>
      <c r="NS221" s="201"/>
      <c r="NT221" s="201"/>
      <c r="NU221" s="201"/>
      <c r="NV221" s="201"/>
      <c r="NW221" s="201"/>
      <c r="NX221" s="201"/>
      <c r="NY221" s="201"/>
      <c r="NZ221" s="201"/>
      <c r="OA221" s="201"/>
      <c r="OB221" s="201"/>
      <c r="OC221" s="201"/>
      <c r="OD221" s="201"/>
      <c r="OE221" s="201"/>
      <c r="OF221" s="201"/>
      <c r="OG221" s="201"/>
      <c r="OH221" s="201"/>
      <c r="OI221" s="201"/>
      <c r="OJ221" s="201"/>
      <c r="OK221" s="201"/>
      <c r="OL221" s="201"/>
      <c r="OM221" s="201"/>
      <c r="ON221" s="201"/>
      <c r="OO221" s="201"/>
      <c r="OP221" s="201"/>
      <c r="OQ221" s="201"/>
      <c r="OR221" s="201"/>
      <c r="OS221" s="201"/>
      <c r="OT221" s="201"/>
      <c r="OU221" s="201"/>
      <c r="OV221" s="201"/>
      <c r="OW221" s="201"/>
      <c r="OX221" s="201"/>
      <c r="OY221" s="201"/>
      <c r="OZ221" s="201"/>
      <c r="PA221" s="201"/>
      <c r="PB221" s="201"/>
      <c r="PC221" s="201"/>
      <c r="PD221" s="201"/>
      <c r="PE221" s="201"/>
      <c r="PF221" s="201"/>
      <c r="PG221" s="201"/>
      <c r="PH221" s="201"/>
      <c r="PI221" s="201"/>
      <c r="PJ221" s="201"/>
      <c r="PK221" s="201"/>
      <c r="PL221" s="201"/>
      <c r="PM221" s="201"/>
      <c r="PN221" s="201"/>
      <c r="PO221" s="201"/>
      <c r="PQ221" s="201"/>
      <c r="PR221" s="201"/>
      <c r="PS221" s="201"/>
      <c r="PT221" s="201"/>
      <c r="PU221" s="201"/>
      <c r="PV221" s="201"/>
      <c r="PW221" s="201"/>
      <c r="PX221" s="201"/>
      <c r="PY221" s="201"/>
      <c r="PZ221" s="201"/>
      <c r="QA221" s="201"/>
      <c r="QB221" s="201"/>
      <c r="QC221" s="201"/>
      <c r="QD221" s="201"/>
      <c r="QE221" s="201"/>
      <c r="QF221" s="201"/>
      <c r="QG221" s="201"/>
      <c r="QH221" s="201"/>
      <c r="QI221" s="201"/>
      <c r="QJ221" s="201"/>
      <c r="QK221" s="201"/>
      <c r="QL221" s="201"/>
      <c r="QM221" s="201"/>
      <c r="QN221" s="201"/>
      <c r="QO221" s="201"/>
      <c r="QP221" s="201"/>
      <c r="QQ221" s="201"/>
      <c r="QR221" s="201"/>
      <c r="QS221" s="201"/>
      <c r="QT221" s="201"/>
      <c r="QU221" s="201"/>
      <c r="QV221" s="201"/>
      <c r="QW221" s="201"/>
      <c r="QX221" s="201"/>
      <c r="QY221" s="201"/>
      <c r="QZ221" s="201"/>
      <c r="RA221" s="201"/>
      <c r="RB221" s="201"/>
      <c r="RC221" s="201"/>
      <c r="RD221" s="201"/>
      <c r="RE221" s="201"/>
      <c r="RF221" s="201"/>
      <c r="RG221" s="201"/>
      <c r="RH221" s="201"/>
      <c r="RI221" s="201"/>
      <c r="RJ221" s="201"/>
      <c r="RK221" s="201"/>
      <c r="RL221" s="201"/>
      <c r="RM221" s="201"/>
      <c r="RN221" s="201"/>
      <c r="RO221" s="201"/>
      <c r="RP221" s="201"/>
      <c r="RQ221" s="201"/>
      <c r="RR221" s="201"/>
      <c r="RS221" s="201"/>
      <c r="RT221" s="201"/>
      <c r="RU221" s="201"/>
      <c r="RV221" s="201"/>
      <c r="RW221" s="201"/>
      <c r="RX221" s="201"/>
      <c r="RY221" s="201"/>
      <c r="RZ221" s="201"/>
      <c r="SA221" s="201"/>
      <c r="SB221" s="201"/>
      <c r="SC221" s="201"/>
      <c r="SD221" s="201"/>
      <c r="SE221" s="201"/>
      <c r="SF221" s="201"/>
      <c r="SG221" s="201"/>
      <c r="SH221" s="201"/>
      <c r="SI221" s="201"/>
      <c r="SJ221" s="201"/>
      <c r="SK221" s="201"/>
      <c r="SL221" s="201"/>
      <c r="SM221" s="201"/>
      <c r="SN221" s="201"/>
      <c r="SO221" s="201"/>
      <c r="SP221" s="201"/>
      <c r="SQ221" s="201"/>
      <c r="SR221" s="201"/>
      <c r="SS221" s="201"/>
      <c r="ST221" s="201"/>
      <c r="SU221" s="201"/>
      <c r="SV221" s="201"/>
      <c r="SW221" s="201"/>
      <c r="SX221" s="201"/>
      <c r="SY221" s="201"/>
      <c r="SZ221" s="201"/>
      <c r="TA221" s="201"/>
      <c r="TB221" s="201"/>
      <c r="TC221" s="201"/>
      <c r="TD221" s="201"/>
      <c r="TE221" s="201"/>
      <c r="TF221" s="201"/>
      <c r="TG221" s="201"/>
      <c r="TH221" s="201"/>
      <c r="TI221" s="201"/>
      <c r="TJ221" s="201"/>
      <c r="TK221" s="201"/>
      <c r="TL221" s="201"/>
      <c r="TM221" s="201"/>
      <c r="TN221" s="201"/>
      <c r="TO221" s="201"/>
      <c r="TP221" s="201"/>
      <c r="TQ221" s="201"/>
      <c r="TR221" s="201"/>
      <c r="TS221" s="201"/>
      <c r="TT221" s="201"/>
      <c r="TU221" s="201"/>
      <c r="TV221" s="201"/>
      <c r="TW221" s="201"/>
      <c r="TX221" s="201"/>
      <c r="TY221" s="201"/>
      <c r="TZ221" s="201"/>
      <c r="UA221" s="201"/>
      <c r="UB221" s="201"/>
      <c r="UC221" s="201"/>
      <c r="UD221" s="201"/>
      <c r="UE221" s="201"/>
      <c r="UF221" s="201"/>
      <c r="UG221" s="201"/>
      <c r="UH221" s="201"/>
      <c r="UI221" s="201"/>
      <c r="UJ221" s="201"/>
      <c r="UK221" s="201"/>
      <c r="UL221" s="201"/>
      <c r="UM221" s="201"/>
      <c r="UN221" s="201"/>
      <c r="UO221" s="201"/>
      <c r="UP221" s="201"/>
      <c r="UQ221" s="201"/>
      <c r="UR221" s="201"/>
      <c r="US221" s="201"/>
      <c r="UT221" s="201"/>
      <c r="UU221" s="201"/>
    </row>
    <row r="222" spans="2:567" x14ac:dyDescent="0.25">
      <c r="B222" s="54" t="s">
        <v>233</v>
      </c>
      <c r="C222" s="26"/>
      <c r="D222" s="26"/>
      <c r="E222" s="26"/>
      <c r="F222" s="26"/>
      <c r="G222" s="26"/>
      <c r="H222" s="26"/>
      <c r="I222" s="26"/>
      <c r="J222" s="26"/>
      <c r="K222" s="34">
        <f>SUM(S222:EU222)</f>
        <v>5275873.6248945035</v>
      </c>
      <c r="L222" s="2"/>
      <c r="R222" s="159" t="s">
        <v>386</v>
      </c>
      <c r="S222" s="145">
        <f t="shared" ref="S222:AX222" si="3356">IF(S$19&gt;$K$19,"",S162)</f>
        <v>0</v>
      </c>
      <c r="T222" s="92">
        <f t="shared" si="3356"/>
        <v>84853.984244358144</v>
      </c>
      <c r="U222" s="92">
        <f t="shared" si="3356"/>
        <v>90134.378114341001</v>
      </c>
      <c r="V222" s="92">
        <f t="shared" si="3356"/>
        <v>92940.258041209541</v>
      </c>
      <c r="W222" s="92">
        <f t="shared" si="3356"/>
        <v>96307.948161248059</v>
      </c>
      <c r="X222" s="92">
        <f t="shared" si="3356"/>
        <v>100517.47508651271</v>
      </c>
      <c r="Y222" s="92">
        <f t="shared" si="3356"/>
        <v>103397.89849310924</v>
      </c>
      <c r="Z222" s="92">
        <f t="shared" si="3356"/>
        <v>106417.69750160788</v>
      </c>
      <c r="AA222" s="92">
        <f t="shared" si="3356"/>
        <v>109668.54384584576</v>
      </c>
      <c r="AB222" s="92">
        <f t="shared" si="3356"/>
        <v>112627.08361356609</v>
      </c>
      <c r="AC222" s="92">
        <f t="shared" si="3356"/>
        <v>115562.59759384239</v>
      </c>
      <c r="AD222" s="92">
        <f t="shared" si="3356"/>
        <v>118487.23286179252</v>
      </c>
      <c r="AE222" s="92">
        <f t="shared" si="3356"/>
        <v>121393.59883056002</v>
      </c>
      <c r="AF222" s="92">
        <f t="shared" si="3356"/>
        <v>124914.30293087487</v>
      </c>
      <c r="AG222" s="92">
        <f t="shared" si="3356"/>
        <v>128395.48852891321</v>
      </c>
      <c r="AH222" s="92">
        <f t="shared" si="3356"/>
        <v>131927.9876215909</v>
      </c>
      <c r="AI222" s="92">
        <f t="shared" si="3356"/>
        <v>135486.62501190428</v>
      </c>
      <c r="AJ222" s="92">
        <f t="shared" si="3356"/>
        <v>139069.40118646069</v>
      </c>
      <c r="AK222" s="92">
        <f t="shared" si="3356"/>
        <v>142683.35416291468</v>
      </c>
      <c r="AL222" s="92">
        <f t="shared" si="3356"/>
        <v>146316.06417419281</v>
      </c>
      <c r="AM222" s="92">
        <f t="shared" si="3356"/>
        <v>150003.80515910525</v>
      </c>
      <c r="AN222" s="92">
        <f t="shared" si="3356"/>
        <v>153718.00083888386</v>
      </c>
      <c r="AO222" s="92">
        <f t="shared" si="3356"/>
        <v>157456.60182851288</v>
      </c>
      <c r="AP222" s="92">
        <f t="shared" si="3356"/>
        <v>161225.11929717308</v>
      </c>
      <c r="AQ222" s="92">
        <f t="shared" si="3356"/>
        <v>166080.45622274841</v>
      </c>
      <c r="AR222" s="92">
        <f t="shared" si="3356"/>
        <v>187894.71920647362</v>
      </c>
      <c r="AS222" s="92">
        <f t="shared" si="3356"/>
        <v>188315.8180153594</v>
      </c>
      <c r="AT222" s="92">
        <f t="shared" si="3356"/>
        <v>188783.11676020076</v>
      </c>
      <c r="AU222" s="92">
        <f t="shared" si="3356"/>
        <v>189219.54179575754</v>
      </c>
      <c r="AV222" s="92">
        <f t="shared" si="3356"/>
        <v>189697.68014224386</v>
      </c>
      <c r="AW222" s="92">
        <f t="shared" si="3356"/>
        <v>190188.15602236622</v>
      </c>
      <c r="AX222" s="92">
        <f t="shared" si="3356"/>
        <v>190686.47950269585</v>
      </c>
      <c r="AY222" s="92">
        <f t="shared" ref="AY222:CD222" si="3357">IF(AY$19&gt;$K$19,"",AY162)</f>
        <v>191212.0095838205</v>
      </c>
      <c r="AZ222" s="92">
        <f t="shared" si="3357"/>
        <v>191720.50813421857</v>
      </c>
      <c r="BA222" s="92">
        <f t="shared" si="3357"/>
        <v>192283.8709352903</v>
      </c>
      <c r="BB222" s="92">
        <f t="shared" si="3357"/>
        <v>192853.71222986083</v>
      </c>
      <c r="BC222" s="92">
        <f t="shared" si="3357"/>
        <v>193432.10921494756</v>
      </c>
      <c r="BD222" s="92" t="str">
        <f t="shared" si="3357"/>
        <v/>
      </c>
      <c r="BE222" s="92" t="str">
        <f t="shared" si="3357"/>
        <v/>
      </c>
      <c r="BF222" s="92" t="str">
        <f t="shared" si="3357"/>
        <v/>
      </c>
      <c r="BG222" s="92" t="str">
        <f t="shared" si="3357"/>
        <v/>
      </c>
      <c r="BH222" s="92" t="str">
        <f t="shared" si="3357"/>
        <v/>
      </c>
      <c r="BI222" s="92" t="str">
        <f t="shared" si="3357"/>
        <v/>
      </c>
      <c r="BJ222" s="92" t="str">
        <f t="shared" si="3357"/>
        <v/>
      </c>
      <c r="BK222" s="92" t="str">
        <f t="shared" si="3357"/>
        <v/>
      </c>
      <c r="BL222" s="92" t="str">
        <f t="shared" si="3357"/>
        <v/>
      </c>
      <c r="BM222" s="92" t="str">
        <f t="shared" si="3357"/>
        <v/>
      </c>
      <c r="BN222" s="92" t="str">
        <f t="shared" si="3357"/>
        <v/>
      </c>
      <c r="BO222" s="92" t="str">
        <f t="shared" si="3357"/>
        <v/>
      </c>
      <c r="BP222" s="92" t="str">
        <f t="shared" si="3357"/>
        <v/>
      </c>
      <c r="BQ222" s="92" t="str">
        <f t="shared" si="3357"/>
        <v/>
      </c>
      <c r="BR222" s="92" t="str">
        <f t="shared" si="3357"/>
        <v/>
      </c>
      <c r="BS222" s="92" t="str">
        <f t="shared" si="3357"/>
        <v/>
      </c>
      <c r="BT222" s="92" t="str">
        <f t="shared" si="3357"/>
        <v/>
      </c>
      <c r="BU222" s="92" t="str">
        <f t="shared" si="3357"/>
        <v/>
      </c>
      <c r="BV222" s="92" t="str">
        <f t="shared" si="3357"/>
        <v/>
      </c>
      <c r="BW222" s="92" t="str">
        <f t="shared" si="3357"/>
        <v/>
      </c>
      <c r="BX222" s="92" t="str">
        <f t="shared" si="3357"/>
        <v/>
      </c>
      <c r="BY222" s="92" t="str">
        <f t="shared" si="3357"/>
        <v/>
      </c>
      <c r="BZ222" s="92" t="str">
        <f t="shared" si="3357"/>
        <v/>
      </c>
      <c r="CA222" s="92" t="str">
        <f t="shared" si="3357"/>
        <v/>
      </c>
      <c r="CB222" s="92" t="str">
        <f t="shared" si="3357"/>
        <v/>
      </c>
      <c r="CC222" s="92" t="str">
        <f t="shared" si="3357"/>
        <v/>
      </c>
      <c r="CD222" s="92" t="str">
        <f t="shared" si="3357"/>
        <v/>
      </c>
      <c r="CE222" s="92" t="str">
        <f t="shared" ref="CE222:DJ222" si="3358">IF(CE$19&gt;$K$19,"",CE162)</f>
        <v/>
      </c>
      <c r="CF222" s="92" t="str">
        <f t="shared" si="3358"/>
        <v/>
      </c>
      <c r="CG222" s="92" t="str">
        <f t="shared" si="3358"/>
        <v/>
      </c>
      <c r="CH222" s="92" t="str">
        <f t="shared" si="3358"/>
        <v/>
      </c>
      <c r="CI222" s="92" t="str">
        <f t="shared" si="3358"/>
        <v/>
      </c>
      <c r="CJ222" s="92" t="str">
        <f t="shared" si="3358"/>
        <v/>
      </c>
      <c r="CK222" s="92" t="str">
        <f t="shared" si="3358"/>
        <v/>
      </c>
      <c r="CL222" s="92" t="str">
        <f t="shared" si="3358"/>
        <v/>
      </c>
      <c r="CM222" s="92" t="str">
        <f t="shared" si="3358"/>
        <v/>
      </c>
      <c r="CN222" s="92" t="str">
        <f t="shared" si="3358"/>
        <v/>
      </c>
      <c r="CO222" s="92" t="str">
        <f t="shared" si="3358"/>
        <v/>
      </c>
      <c r="CP222" s="92" t="str">
        <f t="shared" si="3358"/>
        <v/>
      </c>
      <c r="CQ222" s="92" t="str">
        <f t="shared" si="3358"/>
        <v/>
      </c>
      <c r="CR222" s="92" t="str">
        <f t="shared" si="3358"/>
        <v/>
      </c>
      <c r="CS222" s="92" t="str">
        <f t="shared" si="3358"/>
        <v/>
      </c>
      <c r="CT222" s="92" t="str">
        <f t="shared" si="3358"/>
        <v/>
      </c>
      <c r="CU222" s="92" t="str">
        <f t="shared" si="3358"/>
        <v/>
      </c>
      <c r="CV222" s="92" t="str">
        <f t="shared" si="3358"/>
        <v/>
      </c>
      <c r="CW222" s="92" t="str">
        <f t="shared" si="3358"/>
        <v/>
      </c>
      <c r="CX222" s="92" t="str">
        <f t="shared" si="3358"/>
        <v/>
      </c>
      <c r="CY222" s="92" t="str">
        <f t="shared" si="3358"/>
        <v/>
      </c>
      <c r="CZ222" s="92" t="str">
        <f t="shared" si="3358"/>
        <v/>
      </c>
      <c r="DA222" s="92" t="str">
        <f t="shared" si="3358"/>
        <v/>
      </c>
      <c r="DB222" s="92" t="str">
        <f t="shared" si="3358"/>
        <v/>
      </c>
      <c r="DC222" s="92" t="str">
        <f t="shared" si="3358"/>
        <v/>
      </c>
      <c r="DD222" s="92" t="str">
        <f t="shared" si="3358"/>
        <v/>
      </c>
      <c r="DE222" s="92" t="str">
        <f t="shared" si="3358"/>
        <v/>
      </c>
      <c r="DF222" s="92" t="str">
        <f t="shared" si="3358"/>
        <v/>
      </c>
      <c r="DG222" s="92" t="str">
        <f t="shared" si="3358"/>
        <v/>
      </c>
      <c r="DH222" s="92" t="str">
        <f t="shared" si="3358"/>
        <v/>
      </c>
      <c r="DI222" s="92" t="str">
        <f t="shared" si="3358"/>
        <v/>
      </c>
      <c r="DJ222" s="92" t="str">
        <f t="shared" si="3358"/>
        <v/>
      </c>
      <c r="DK222" s="92" t="str">
        <f t="shared" ref="DK222:EU222" si="3359">IF(DK$19&gt;$K$19,"",DK162)</f>
        <v/>
      </c>
      <c r="DL222" s="92" t="str">
        <f t="shared" si="3359"/>
        <v/>
      </c>
      <c r="DM222" s="92" t="str">
        <f t="shared" si="3359"/>
        <v/>
      </c>
      <c r="DN222" s="92" t="str">
        <f t="shared" si="3359"/>
        <v/>
      </c>
      <c r="DO222" s="92" t="str">
        <f t="shared" si="3359"/>
        <v/>
      </c>
      <c r="DP222" s="92" t="str">
        <f t="shared" si="3359"/>
        <v/>
      </c>
      <c r="DQ222" s="92" t="str">
        <f t="shared" si="3359"/>
        <v/>
      </c>
      <c r="DR222" s="92" t="str">
        <f t="shared" si="3359"/>
        <v/>
      </c>
      <c r="DS222" s="92" t="str">
        <f t="shared" si="3359"/>
        <v/>
      </c>
      <c r="DT222" s="92" t="str">
        <f t="shared" si="3359"/>
        <v/>
      </c>
      <c r="DU222" s="92" t="str">
        <f t="shared" si="3359"/>
        <v/>
      </c>
      <c r="DV222" s="92" t="str">
        <f t="shared" si="3359"/>
        <v/>
      </c>
      <c r="DW222" s="92" t="str">
        <f t="shared" si="3359"/>
        <v/>
      </c>
      <c r="DX222" s="92" t="str">
        <f t="shared" si="3359"/>
        <v/>
      </c>
      <c r="DY222" s="92" t="str">
        <f t="shared" si="3359"/>
        <v/>
      </c>
      <c r="DZ222" s="92" t="str">
        <f t="shared" si="3359"/>
        <v/>
      </c>
      <c r="EA222" s="92" t="str">
        <f t="shared" si="3359"/>
        <v/>
      </c>
      <c r="EB222" s="92" t="str">
        <f t="shared" si="3359"/>
        <v/>
      </c>
      <c r="EC222" s="92" t="str">
        <f t="shared" si="3359"/>
        <v/>
      </c>
      <c r="ED222" s="92" t="str">
        <f t="shared" si="3359"/>
        <v/>
      </c>
      <c r="EE222" s="92" t="str">
        <f t="shared" si="3359"/>
        <v/>
      </c>
      <c r="EF222" s="92" t="str">
        <f t="shared" si="3359"/>
        <v/>
      </c>
      <c r="EG222" s="92" t="str">
        <f t="shared" si="3359"/>
        <v/>
      </c>
      <c r="EH222" s="92" t="str">
        <f t="shared" si="3359"/>
        <v/>
      </c>
      <c r="EI222" s="92" t="str">
        <f t="shared" si="3359"/>
        <v/>
      </c>
      <c r="EJ222" s="92" t="str">
        <f t="shared" si="3359"/>
        <v/>
      </c>
      <c r="EK222" s="92" t="str">
        <f t="shared" si="3359"/>
        <v/>
      </c>
      <c r="EL222" s="92" t="str">
        <f t="shared" si="3359"/>
        <v/>
      </c>
      <c r="EM222" s="92" t="str">
        <f t="shared" si="3359"/>
        <v/>
      </c>
      <c r="EN222" s="92" t="str">
        <f t="shared" si="3359"/>
        <v/>
      </c>
      <c r="EO222" s="92" t="str">
        <f t="shared" si="3359"/>
        <v/>
      </c>
      <c r="EP222" s="92" t="str">
        <f t="shared" si="3359"/>
        <v/>
      </c>
      <c r="EQ222" s="92" t="str">
        <f t="shared" si="3359"/>
        <v/>
      </c>
      <c r="ER222" s="92" t="str">
        <f t="shared" si="3359"/>
        <v/>
      </c>
      <c r="ES222" s="92" t="str">
        <f t="shared" si="3359"/>
        <v/>
      </c>
      <c r="ET222" s="92" t="str">
        <f t="shared" si="3359"/>
        <v/>
      </c>
      <c r="EU222" s="92" t="str">
        <f t="shared" si="3359"/>
        <v/>
      </c>
      <c r="EV222" s="2"/>
      <c r="EW222" s="201" t="s">
        <v>271</v>
      </c>
      <c r="EX222" s="201"/>
      <c r="EY222" s="228"/>
      <c r="EZ222" s="228"/>
      <c r="FA222" s="236"/>
      <c r="FB222" s="236"/>
      <c r="FC222" s="236">
        <f t="shared" ref="FC222:GH222" ca="1" si="3360">IF(FC209="","",S62+-MIN(FC209,0)*$J$237)</f>
        <v>1413952.75</v>
      </c>
      <c r="FD222" s="236">
        <f t="shared" ca="1" si="3360"/>
        <v>0</v>
      </c>
      <c r="FE222" s="236">
        <f t="shared" ca="1" si="3360"/>
        <v>0</v>
      </c>
      <c r="FF222" s="236">
        <f t="shared" ca="1" si="3360"/>
        <v>0</v>
      </c>
      <c r="FG222" s="236">
        <f t="shared" ca="1" si="3360"/>
        <v>0</v>
      </c>
      <c r="FH222" s="236">
        <f t="shared" ca="1" si="3360"/>
        <v>0</v>
      </c>
      <c r="FI222" s="236">
        <f t="shared" ca="1" si="3360"/>
        <v>0</v>
      </c>
      <c r="FJ222" s="236">
        <f t="shared" ca="1" si="3360"/>
        <v>0</v>
      </c>
      <c r="FK222" s="236">
        <f t="shared" ca="1" si="3360"/>
        <v>0</v>
      </c>
      <c r="FL222" s="236">
        <f t="shared" ca="1" si="3360"/>
        <v>0</v>
      </c>
      <c r="FM222" s="236">
        <f t="shared" ca="1" si="3360"/>
        <v>0</v>
      </c>
      <c r="FN222" s="236">
        <f t="shared" ca="1" si="3360"/>
        <v>0</v>
      </c>
      <c r="FO222" s="236">
        <f t="shared" ca="1" si="3360"/>
        <v>0</v>
      </c>
      <c r="FP222" s="236">
        <f t="shared" ca="1" si="3360"/>
        <v>0</v>
      </c>
      <c r="FQ222" s="236">
        <f t="shared" ca="1" si="3360"/>
        <v>0</v>
      </c>
      <c r="FR222" s="236">
        <f t="shared" ca="1" si="3360"/>
        <v>0</v>
      </c>
      <c r="FS222" s="236">
        <f t="shared" ca="1" si="3360"/>
        <v>0</v>
      </c>
      <c r="FT222" s="236">
        <f t="shared" ca="1" si="3360"/>
        <v>0</v>
      </c>
      <c r="FU222" s="236">
        <f t="shared" ca="1" si="3360"/>
        <v>0</v>
      </c>
      <c r="FV222" s="236">
        <f t="shared" ca="1" si="3360"/>
        <v>0</v>
      </c>
      <c r="FW222" s="236">
        <f t="shared" ca="1" si="3360"/>
        <v>0</v>
      </c>
      <c r="FX222" s="236">
        <f t="shared" ca="1" si="3360"/>
        <v>0</v>
      </c>
      <c r="FY222" s="236">
        <f t="shared" ca="1" si="3360"/>
        <v>0</v>
      </c>
      <c r="FZ222" s="236">
        <f t="shared" ca="1" si="3360"/>
        <v>0</v>
      </c>
      <c r="GA222" s="236">
        <f t="shared" ca="1" si="3360"/>
        <v>0</v>
      </c>
      <c r="GB222" s="236">
        <f t="shared" ca="1" si="3360"/>
        <v>0</v>
      </c>
      <c r="GC222" s="236">
        <f t="shared" ca="1" si="3360"/>
        <v>0</v>
      </c>
      <c r="GD222" s="236">
        <f t="shared" ca="1" si="3360"/>
        <v>0</v>
      </c>
      <c r="GE222" s="236">
        <f t="shared" ca="1" si="3360"/>
        <v>0</v>
      </c>
      <c r="GF222" s="236">
        <f t="shared" ca="1" si="3360"/>
        <v>0</v>
      </c>
      <c r="GG222" s="236">
        <f t="shared" ca="1" si="3360"/>
        <v>0</v>
      </c>
      <c r="GH222" s="236">
        <f t="shared" ca="1" si="3360"/>
        <v>0</v>
      </c>
      <c r="GI222" s="236">
        <f t="shared" ref="GI222:HN222" ca="1" si="3361">IF(GI209="","",AY62+-MIN(GI209,0)*$J$237)</f>
        <v>0</v>
      </c>
      <c r="GJ222" s="236">
        <f t="shared" ca="1" si="3361"/>
        <v>0</v>
      </c>
      <c r="GK222" s="236">
        <f t="shared" ca="1" si="3361"/>
        <v>0</v>
      </c>
      <c r="GL222" s="236">
        <f t="shared" ca="1" si="3361"/>
        <v>0</v>
      </c>
      <c r="GM222" s="236">
        <f t="shared" ca="1" si="3361"/>
        <v>0</v>
      </c>
      <c r="GN222" s="236" t="str">
        <f t="shared" si="3361"/>
        <v/>
      </c>
      <c r="GO222" s="236" t="str">
        <f t="shared" si="3361"/>
        <v/>
      </c>
      <c r="GP222" s="236" t="str">
        <f t="shared" si="3361"/>
        <v/>
      </c>
      <c r="GQ222" s="236" t="str">
        <f t="shared" si="3361"/>
        <v/>
      </c>
      <c r="GR222" s="236" t="str">
        <f t="shared" si="3361"/>
        <v/>
      </c>
      <c r="GS222" s="236" t="str">
        <f t="shared" si="3361"/>
        <v/>
      </c>
      <c r="GT222" s="236" t="str">
        <f t="shared" si="3361"/>
        <v/>
      </c>
      <c r="GU222" s="236" t="str">
        <f t="shared" si="3361"/>
        <v/>
      </c>
      <c r="GV222" s="236" t="str">
        <f t="shared" si="3361"/>
        <v/>
      </c>
      <c r="GW222" s="236" t="str">
        <f t="shared" si="3361"/>
        <v/>
      </c>
      <c r="GX222" s="236" t="str">
        <f t="shared" si="3361"/>
        <v/>
      </c>
      <c r="GY222" s="236" t="str">
        <f t="shared" si="3361"/>
        <v/>
      </c>
      <c r="GZ222" s="236" t="str">
        <f t="shared" si="3361"/>
        <v/>
      </c>
      <c r="HA222" s="236" t="str">
        <f t="shared" si="3361"/>
        <v/>
      </c>
      <c r="HB222" s="236" t="str">
        <f t="shared" si="3361"/>
        <v/>
      </c>
      <c r="HC222" s="236" t="str">
        <f t="shared" si="3361"/>
        <v/>
      </c>
      <c r="HD222" s="236" t="str">
        <f t="shared" si="3361"/>
        <v/>
      </c>
      <c r="HE222" s="236" t="str">
        <f t="shared" si="3361"/>
        <v/>
      </c>
      <c r="HF222" s="236" t="str">
        <f t="shared" si="3361"/>
        <v/>
      </c>
      <c r="HG222" s="236" t="str">
        <f t="shared" si="3361"/>
        <v/>
      </c>
      <c r="HH222" s="236" t="str">
        <f t="shared" si="3361"/>
        <v/>
      </c>
      <c r="HI222" s="236" t="str">
        <f t="shared" si="3361"/>
        <v/>
      </c>
      <c r="HJ222" s="236" t="str">
        <f t="shared" si="3361"/>
        <v/>
      </c>
      <c r="HK222" s="236" t="str">
        <f t="shared" si="3361"/>
        <v/>
      </c>
      <c r="HL222" s="236" t="str">
        <f t="shared" si="3361"/>
        <v/>
      </c>
      <c r="HM222" s="236" t="str">
        <f t="shared" si="3361"/>
        <v/>
      </c>
      <c r="HN222" s="236" t="str">
        <f t="shared" si="3361"/>
        <v/>
      </c>
      <c r="HO222" s="236" t="str">
        <f t="shared" ref="HO222:IT222" si="3362">IF(HO209="","",CE62+-MIN(HO209,0)*$J$237)</f>
        <v/>
      </c>
      <c r="HP222" s="236" t="str">
        <f t="shared" si="3362"/>
        <v/>
      </c>
      <c r="HQ222" s="236" t="str">
        <f t="shared" si="3362"/>
        <v/>
      </c>
      <c r="HR222" s="236" t="str">
        <f t="shared" si="3362"/>
        <v/>
      </c>
      <c r="HS222" s="236" t="str">
        <f t="shared" si="3362"/>
        <v/>
      </c>
      <c r="HT222" s="236" t="str">
        <f t="shared" si="3362"/>
        <v/>
      </c>
      <c r="HU222" s="236" t="str">
        <f t="shared" si="3362"/>
        <v/>
      </c>
      <c r="HV222" s="236" t="str">
        <f t="shared" si="3362"/>
        <v/>
      </c>
      <c r="HW222" s="236" t="str">
        <f t="shared" si="3362"/>
        <v/>
      </c>
      <c r="HX222" s="236" t="str">
        <f t="shared" si="3362"/>
        <v/>
      </c>
      <c r="HY222" s="236" t="str">
        <f t="shared" si="3362"/>
        <v/>
      </c>
      <c r="HZ222" s="236" t="str">
        <f t="shared" si="3362"/>
        <v/>
      </c>
      <c r="IA222" s="236" t="str">
        <f t="shared" si="3362"/>
        <v/>
      </c>
      <c r="IB222" s="236" t="str">
        <f t="shared" si="3362"/>
        <v/>
      </c>
      <c r="IC222" s="236" t="str">
        <f t="shared" si="3362"/>
        <v/>
      </c>
      <c r="ID222" s="236" t="str">
        <f t="shared" si="3362"/>
        <v/>
      </c>
      <c r="IE222" s="236" t="str">
        <f t="shared" si="3362"/>
        <v/>
      </c>
      <c r="IF222" s="236" t="str">
        <f t="shared" si="3362"/>
        <v/>
      </c>
      <c r="IG222" s="236" t="str">
        <f t="shared" si="3362"/>
        <v/>
      </c>
      <c r="IH222" s="236" t="str">
        <f t="shared" si="3362"/>
        <v/>
      </c>
      <c r="II222" s="236" t="str">
        <f t="shared" si="3362"/>
        <v/>
      </c>
      <c r="IJ222" s="236" t="str">
        <f t="shared" si="3362"/>
        <v/>
      </c>
      <c r="IK222" s="236" t="str">
        <f t="shared" si="3362"/>
        <v/>
      </c>
      <c r="IL222" s="236" t="str">
        <f t="shared" si="3362"/>
        <v/>
      </c>
      <c r="IM222" s="236" t="str">
        <f t="shared" si="3362"/>
        <v/>
      </c>
      <c r="IN222" s="236" t="str">
        <f t="shared" si="3362"/>
        <v/>
      </c>
      <c r="IO222" s="236" t="str">
        <f t="shared" si="3362"/>
        <v/>
      </c>
      <c r="IP222" s="236" t="str">
        <f t="shared" si="3362"/>
        <v/>
      </c>
      <c r="IQ222" s="236" t="str">
        <f t="shared" si="3362"/>
        <v/>
      </c>
      <c r="IR222" s="236" t="str">
        <f t="shared" si="3362"/>
        <v/>
      </c>
      <c r="IS222" s="236" t="str">
        <f t="shared" si="3362"/>
        <v/>
      </c>
      <c r="IT222" s="236" t="str">
        <f t="shared" si="3362"/>
        <v/>
      </c>
      <c r="IU222" s="236" t="str">
        <f t="shared" ref="IU222:JZ222" si="3363">IF(IU209="","",DK62+-MIN(IU209,0)*$J$237)</f>
        <v/>
      </c>
      <c r="IV222" s="236" t="str">
        <f t="shared" si="3363"/>
        <v/>
      </c>
      <c r="IW222" s="236" t="str">
        <f t="shared" si="3363"/>
        <v/>
      </c>
      <c r="IX222" s="236" t="str">
        <f t="shared" si="3363"/>
        <v/>
      </c>
      <c r="IY222" s="236" t="str">
        <f t="shared" si="3363"/>
        <v/>
      </c>
      <c r="IZ222" s="236" t="str">
        <f t="shared" si="3363"/>
        <v/>
      </c>
      <c r="JA222" s="236" t="str">
        <f t="shared" si="3363"/>
        <v/>
      </c>
      <c r="JB222" s="236" t="str">
        <f t="shared" si="3363"/>
        <v/>
      </c>
      <c r="JC222" s="236" t="str">
        <f t="shared" si="3363"/>
        <v/>
      </c>
      <c r="JD222" s="236" t="str">
        <f t="shared" si="3363"/>
        <v/>
      </c>
      <c r="JE222" s="236" t="str">
        <f t="shared" si="3363"/>
        <v/>
      </c>
      <c r="JF222" s="236" t="str">
        <f t="shared" si="3363"/>
        <v/>
      </c>
      <c r="JG222" s="236" t="str">
        <f t="shared" si="3363"/>
        <v/>
      </c>
      <c r="JH222" s="236" t="str">
        <f t="shared" si="3363"/>
        <v/>
      </c>
      <c r="JI222" s="236" t="str">
        <f t="shared" si="3363"/>
        <v/>
      </c>
      <c r="JJ222" s="236" t="str">
        <f t="shared" si="3363"/>
        <v/>
      </c>
      <c r="JK222" s="236" t="str">
        <f t="shared" si="3363"/>
        <v/>
      </c>
      <c r="JL222" s="236" t="str">
        <f t="shared" si="3363"/>
        <v/>
      </c>
      <c r="JM222" s="236" t="str">
        <f t="shared" si="3363"/>
        <v/>
      </c>
      <c r="JN222" s="236" t="str">
        <f t="shared" si="3363"/>
        <v/>
      </c>
      <c r="JO222" s="236" t="str">
        <f t="shared" si="3363"/>
        <v/>
      </c>
      <c r="JP222" s="236" t="str">
        <f t="shared" si="3363"/>
        <v/>
      </c>
      <c r="JQ222" s="236" t="str">
        <f t="shared" si="3363"/>
        <v/>
      </c>
      <c r="JR222" s="236" t="str">
        <f t="shared" si="3363"/>
        <v/>
      </c>
      <c r="JS222" s="236" t="str">
        <f t="shared" si="3363"/>
        <v/>
      </c>
      <c r="JT222" s="236" t="str">
        <f t="shared" si="3363"/>
        <v/>
      </c>
      <c r="JU222" s="236" t="str">
        <f t="shared" si="3363"/>
        <v/>
      </c>
      <c r="JV222" s="236" t="str">
        <f t="shared" si="3363"/>
        <v/>
      </c>
      <c r="JW222" s="236" t="str">
        <f t="shared" si="3363"/>
        <v/>
      </c>
      <c r="JX222" s="236" t="str">
        <f t="shared" si="3363"/>
        <v/>
      </c>
      <c r="JY222" s="236" t="str">
        <f t="shared" si="3363"/>
        <v/>
      </c>
      <c r="JZ222" s="236" t="str">
        <f t="shared" si="3363"/>
        <v/>
      </c>
      <c r="KA222" s="236" t="str">
        <f t="shared" ref="KA222:KE222" si="3364">IF(KA209="","",EQ62+-MIN(KA209,0)*$J$237)</f>
        <v/>
      </c>
      <c r="KB222" s="236" t="str">
        <f t="shared" si="3364"/>
        <v/>
      </c>
      <c r="KC222" s="236" t="str">
        <f t="shared" si="3364"/>
        <v/>
      </c>
      <c r="KD222" s="236" t="str">
        <f t="shared" si="3364"/>
        <v/>
      </c>
      <c r="KE222" s="236" t="str">
        <f t="shared" si="3364"/>
        <v/>
      </c>
      <c r="KF222" s="218" t="s">
        <v>269</v>
      </c>
      <c r="KG222" s="201"/>
      <c r="KH222" s="201"/>
      <c r="KI222" s="201"/>
      <c r="KJ222" s="201"/>
      <c r="KK222" s="201"/>
      <c r="KL222" s="201"/>
      <c r="KM222" s="201"/>
      <c r="KN222" s="201"/>
      <c r="KO222" s="201"/>
      <c r="KP222" s="201"/>
      <c r="KQ222" s="201"/>
      <c r="KR222" s="201"/>
      <c r="KS222" s="201"/>
      <c r="KT222" s="201"/>
      <c r="KU222" s="201"/>
      <c r="KV222" s="201"/>
      <c r="KW222" s="201"/>
      <c r="KX222" s="201"/>
      <c r="KY222" s="201"/>
      <c r="KZ222" s="201"/>
      <c r="LA222" s="201"/>
      <c r="LB222" s="201"/>
      <c r="LC222" s="201"/>
      <c r="LD222" s="201"/>
      <c r="LE222" s="201"/>
      <c r="LF222" s="201"/>
      <c r="LG222" s="201"/>
      <c r="LH222" s="201"/>
      <c r="LI222" s="201"/>
      <c r="LJ222" s="201"/>
      <c r="LK222" s="201"/>
      <c r="LL222" s="201"/>
      <c r="LM222" s="201"/>
      <c r="LN222" s="201"/>
      <c r="LO222" s="201"/>
      <c r="LP222" s="201"/>
      <c r="LQ222" s="201"/>
      <c r="LR222" s="201"/>
      <c r="LS222" s="201"/>
      <c r="LT222" s="201"/>
      <c r="LU222" s="201"/>
      <c r="LV222" s="201"/>
      <c r="LW222" s="201"/>
      <c r="LX222" s="201"/>
      <c r="LY222" s="201"/>
      <c r="LZ222" s="201"/>
      <c r="MA222" s="201"/>
      <c r="MB222" s="201"/>
      <c r="MC222" s="201"/>
      <c r="MD222" s="201"/>
      <c r="ME222" s="201"/>
      <c r="MF222" s="201"/>
      <c r="MG222" s="201"/>
      <c r="MH222" s="201"/>
      <c r="MI222" s="201"/>
      <c r="MJ222" s="201"/>
      <c r="MK222" s="201"/>
      <c r="ML222" s="201"/>
      <c r="MM222" s="201"/>
      <c r="MN222" s="201"/>
      <c r="MO222" s="201"/>
      <c r="MP222" s="201"/>
      <c r="MQ222" s="201"/>
      <c r="MR222" s="201"/>
      <c r="MS222" s="201"/>
      <c r="MT222" s="201"/>
      <c r="MU222" s="201"/>
      <c r="MV222" s="201"/>
      <c r="MW222" s="201"/>
      <c r="MX222" s="201"/>
      <c r="MY222" s="201"/>
      <c r="MZ222" s="201"/>
      <c r="NA222" s="201"/>
      <c r="NB222" s="201"/>
      <c r="NC222" s="201"/>
      <c r="ND222" s="201"/>
      <c r="NE222" s="201"/>
      <c r="NF222" s="201"/>
      <c r="NG222" s="201"/>
      <c r="NH222" s="201"/>
      <c r="NI222" s="201"/>
      <c r="NJ222" s="201"/>
      <c r="NK222" s="201"/>
      <c r="NL222" s="201"/>
      <c r="NM222" s="201"/>
      <c r="NN222" s="201"/>
      <c r="NO222" s="201"/>
      <c r="NP222" s="201"/>
      <c r="NQ222" s="201"/>
      <c r="NR222" s="201"/>
      <c r="NS222" s="201"/>
      <c r="NT222" s="201"/>
      <c r="NU222" s="201"/>
      <c r="NV222" s="201"/>
      <c r="NW222" s="201"/>
      <c r="NX222" s="201"/>
      <c r="NY222" s="201"/>
      <c r="NZ222" s="201"/>
      <c r="OA222" s="201"/>
      <c r="OB222" s="201"/>
      <c r="OC222" s="201"/>
      <c r="OD222" s="201"/>
      <c r="OE222" s="201"/>
      <c r="OF222" s="201"/>
      <c r="OG222" s="201"/>
      <c r="OH222" s="201"/>
      <c r="OI222" s="201"/>
      <c r="OJ222" s="201"/>
      <c r="OK222" s="201"/>
      <c r="OL222" s="201"/>
      <c r="OM222" s="201"/>
      <c r="ON222" s="201"/>
      <c r="OO222" s="201"/>
      <c r="OP222" s="201"/>
      <c r="OQ222" s="201"/>
      <c r="OR222" s="201"/>
      <c r="OS222" s="201"/>
      <c r="OT222" s="201"/>
      <c r="OU222" s="201"/>
      <c r="OV222" s="201"/>
      <c r="OW222" s="201"/>
      <c r="OX222" s="201"/>
      <c r="OY222" s="201"/>
      <c r="OZ222" s="201"/>
      <c r="PA222" s="201"/>
      <c r="PB222" s="201"/>
      <c r="PC222" s="201"/>
      <c r="PD222" s="201"/>
      <c r="PE222" s="201"/>
      <c r="PF222" s="201"/>
      <c r="PG222" s="201"/>
      <c r="PH222" s="201"/>
      <c r="PI222" s="201"/>
      <c r="PJ222" s="201"/>
      <c r="PK222" s="201"/>
      <c r="PL222" s="201"/>
      <c r="PM222" s="201"/>
      <c r="PN222" s="201"/>
      <c r="PO222" s="201"/>
      <c r="PQ222" s="201"/>
      <c r="PR222" s="201"/>
      <c r="PS222" s="201"/>
      <c r="PT222" s="201"/>
      <c r="PU222" s="201"/>
      <c r="PV222" s="201"/>
      <c r="PW222" s="201"/>
      <c r="PX222" s="201"/>
      <c r="PY222" s="201"/>
      <c r="PZ222" s="201"/>
      <c r="QA222" s="201"/>
      <c r="QB222" s="201"/>
      <c r="QC222" s="201"/>
      <c r="QD222" s="201"/>
      <c r="QE222" s="201"/>
      <c r="QF222" s="201"/>
      <c r="QG222" s="201"/>
      <c r="QH222" s="201"/>
      <c r="QI222" s="201"/>
      <c r="QJ222" s="201"/>
      <c r="QK222" s="201"/>
      <c r="QL222" s="201"/>
      <c r="QM222" s="201"/>
      <c r="QN222" s="201"/>
      <c r="QO222" s="201"/>
      <c r="QP222" s="201"/>
      <c r="QQ222" s="201"/>
      <c r="QR222" s="201"/>
      <c r="QS222" s="201"/>
      <c r="QT222" s="201"/>
      <c r="QU222" s="201"/>
      <c r="QV222" s="201"/>
      <c r="QW222" s="201"/>
      <c r="QX222" s="201"/>
      <c r="QY222" s="201"/>
      <c r="QZ222" s="201"/>
      <c r="RA222" s="201"/>
      <c r="RB222" s="201"/>
      <c r="RC222" s="201"/>
      <c r="RD222" s="201"/>
      <c r="RE222" s="201"/>
      <c r="RF222" s="201"/>
      <c r="RG222" s="201"/>
      <c r="RH222" s="201"/>
      <c r="RI222" s="201"/>
      <c r="RJ222" s="201"/>
      <c r="RK222" s="201"/>
      <c r="RL222" s="201"/>
      <c r="RM222" s="201"/>
      <c r="RN222" s="201"/>
      <c r="RO222" s="201"/>
      <c r="RP222" s="201"/>
      <c r="RQ222" s="201"/>
      <c r="RR222" s="201"/>
      <c r="RS222" s="201"/>
      <c r="RT222" s="201"/>
      <c r="RU222" s="201"/>
      <c r="RV222" s="201"/>
      <c r="RW222" s="201"/>
      <c r="RX222" s="201"/>
      <c r="RY222" s="201"/>
      <c r="RZ222" s="201"/>
      <c r="SA222" s="201"/>
      <c r="SB222" s="201"/>
      <c r="SC222" s="201"/>
      <c r="SD222" s="201"/>
      <c r="SE222" s="201"/>
      <c r="SF222" s="201"/>
      <c r="SG222" s="201"/>
      <c r="SH222" s="201"/>
      <c r="SI222" s="201"/>
      <c r="SJ222" s="201"/>
      <c r="SK222" s="201"/>
      <c r="SL222" s="201"/>
      <c r="SM222" s="201"/>
      <c r="SN222" s="201"/>
      <c r="SO222" s="201"/>
      <c r="SP222" s="201"/>
      <c r="SQ222" s="201"/>
      <c r="SR222" s="201"/>
      <c r="SS222" s="201"/>
      <c r="ST222" s="201"/>
      <c r="SU222" s="201"/>
      <c r="SV222" s="201"/>
      <c r="SW222" s="201"/>
      <c r="SX222" s="201"/>
      <c r="SY222" s="201"/>
      <c r="SZ222" s="201"/>
      <c r="TA222" s="201"/>
      <c r="TB222" s="201"/>
      <c r="TC222" s="201"/>
      <c r="TD222" s="201"/>
      <c r="TE222" s="201"/>
      <c r="TF222" s="201"/>
      <c r="TG222" s="201"/>
      <c r="TH222" s="201"/>
      <c r="TI222" s="201"/>
      <c r="TJ222" s="201"/>
      <c r="TK222" s="201"/>
      <c r="TL222" s="201"/>
      <c r="TM222" s="201"/>
      <c r="TN222" s="201"/>
      <c r="TO222" s="201"/>
      <c r="TP222" s="201"/>
      <c r="TQ222" s="201"/>
      <c r="TR222" s="201"/>
      <c r="TS222" s="201"/>
      <c r="TT222" s="201"/>
      <c r="TU222" s="201"/>
      <c r="TV222" s="201"/>
      <c r="TW222" s="201"/>
      <c r="TX222" s="201"/>
      <c r="TY222" s="201"/>
      <c r="TZ222" s="201"/>
      <c r="UA222" s="201"/>
      <c r="UB222" s="201"/>
      <c r="UC222" s="201"/>
      <c r="UD222" s="201"/>
      <c r="UE222" s="201"/>
      <c r="UF222" s="201"/>
      <c r="UG222" s="201"/>
      <c r="UH222" s="201"/>
      <c r="UI222" s="201"/>
      <c r="UJ222" s="201"/>
      <c r="UK222" s="201"/>
      <c r="UL222" s="201"/>
      <c r="UM222" s="201"/>
      <c r="UN222" s="201"/>
      <c r="UO222" s="201"/>
      <c r="UP222" s="201"/>
      <c r="UQ222" s="201"/>
      <c r="UR222" s="201"/>
      <c r="US222" s="201"/>
      <c r="UT222" s="201"/>
      <c r="UU222" s="201"/>
    </row>
    <row r="223" spans="2:567" x14ac:dyDescent="0.25">
      <c r="B223" s="28" t="s">
        <v>339</v>
      </c>
      <c r="C223" s="26"/>
      <c r="D223" s="26"/>
      <c r="E223" s="26"/>
      <c r="F223" s="26"/>
      <c r="G223" s="26"/>
      <c r="H223" s="26"/>
      <c r="I223" s="26"/>
      <c r="J223" s="26"/>
      <c r="K223" s="26"/>
      <c r="L223" s="2"/>
      <c r="EV223" s="2"/>
      <c r="EW223" s="201" t="s">
        <v>272</v>
      </c>
      <c r="EX223" s="201"/>
      <c r="EY223" s="228"/>
      <c r="EZ223" s="228"/>
      <c r="FA223" s="236"/>
      <c r="FB223" s="236"/>
      <c r="FC223" s="236">
        <f ca="1">IF(FC209="","",IF(GP_Only?,FC209,IF(GP_CatchUp?,MAX(MIN(FC209-FC216,FC220+FC221+FC222),0),FC216/$K$242*$J$242)))</f>
        <v>0</v>
      </c>
      <c r="FD223" s="236">
        <f t="shared" ref="FD223:GH223" ca="1" si="3365">IF(FD209="","",IF(GP_Only?,FD209,IF(GP_CatchUp?,MAX(MIN(FD209-FD216,FD220+FD221+FD222),0),FD216/$K$242*$J$242)))</f>
        <v>3378.6076497179074</v>
      </c>
      <c r="FE223" s="236">
        <f t="shared" ca="1" si="3365"/>
        <v>3642.6273432170501</v>
      </c>
      <c r="FF223" s="236">
        <f t="shared" ca="1" si="3365"/>
        <v>3782.921339560477</v>
      </c>
      <c r="FG223" s="236">
        <f t="shared" ca="1" si="3365"/>
        <v>3951.3058455624032</v>
      </c>
      <c r="FH223" s="236">
        <f t="shared" ca="1" si="3365"/>
        <v>4161.7821918256359</v>
      </c>
      <c r="FI223" s="236">
        <f t="shared" ca="1" si="3365"/>
        <v>4305.8033621554623</v>
      </c>
      <c r="FJ223" s="236">
        <f t="shared" ca="1" si="3365"/>
        <v>4456.7933125803938</v>
      </c>
      <c r="FK223" s="236">
        <f t="shared" ca="1" si="3365"/>
        <v>4619.3356297922883</v>
      </c>
      <c r="FL223" s="236">
        <f t="shared" ca="1" si="3365"/>
        <v>4767.2626181783044</v>
      </c>
      <c r="FM223" s="236">
        <f t="shared" ca="1" si="3365"/>
        <v>4914.0383171921203</v>
      </c>
      <c r="FN223" s="236">
        <f t="shared" ca="1" si="3365"/>
        <v>5060.2700805896266</v>
      </c>
      <c r="FO223" s="236">
        <f t="shared" ca="1" si="3365"/>
        <v>5205.5883790280013</v>
      </c>
      <c r="FP223" s="236">
        <f t="shared" ca="1" si="3365"/>
        <v>5381.6235840437439</v>
      </c>
      <c r="FQ223" s="236">
        <f t="shared" ca="1" si="3365"/>
        <v>5555.6828639456608</v>
      </c>
      <c r="FR223" s="236">
        <f t="shared" ca="1" si="3365"/>
        <v>5732.3078185795457</v>
      </c>
      <c r="FS223" s="236">
        <f t="shared" ca="1" si="3365"/>
        <v>5910.2396880952147</v>
      </c>
      <c r="FT223" s="236">
        <f t="shared" ca="1" si="3365"/>
        <v>6089.3784968230339</v>
      </c>
      <c r="FU223" s="236">
        <f t="shared" ca="1" si="3365"/>
        <v>6270.076145645734</v>
      </c>
      <c r="FV223" s="236">
        <f t="shared" ca="1" si="3365"/>
        <v>6451.711646209641</v>
      </c>
      <c r="FW223" s="236">
        <f t="shared" ca="1" si="3365"/>
        <v>6636.0986954552636</v>
      </c>
      <c r="FX223" s="236">
        <f t="shared" ca="1" si="3365"/>
        <v>6821.8084794441938</v>
      </c>
      <c r="FY223" s="236">
        <f t="shared" ca="1" si="3365"/>
        <v>7008.7385289256454</v>
      </c>
      <c r="FZ223" s="236">
        <f t="shared" ca="1" si="3365"/>
        <v>7197.164402358655</v>
      </c>
      <c r="GA223" s="236">
        <f t="shared" ca="1" si="3365"/>
        <v>7439.931248637422</v>
      </c>
      <c r="GB223" s="236">
        <f t="shared" ca="1" si="3365"/>
        <v>8530.6443978236821</v>
      </c>
      <c r="GC223" s="236">
        <f t="shared" ca="1" si="3365"/>
        <v>8551.6993382679702</v>
      </c>
      <c r="GD223" s="236">
        <f t="shared" ca="1" si="3365"/>
        <v>8575.0642755100398</v>
      </c>
      <c r="GE223" s="236">
        <f t="shared" ca="1" si="3365"/>
        <v>8596.8855272878773</v>
      </c>
      <c r="GF223" s="236">
        <f t="shared" ca="1" si="3365"/>
        <v>8620.7924446121942</v>
      </c>
      <c r="GG223" s="236">
        <f t="shared" ca="1" si="3365"/>
        <v>8645.3162386183121</v>
      </c>
      <c r="GH223" s="236">
        <f t="shared" ca="1" si="3365"/>
        <v>8670.2324126347939</v>
      </c>
      <c r="GI223" s="236">
        <f t="shared" ref="GI223:HN223" ca="1" si="3366">IF(GI209="","",IF(GP_Only?,GI209,IF(GP_CatchUp?,MAX(MIN(GI209-GI216,GI220+GI221+GI222),0),GI216/$K$242*$J$242)))</f>
        <v>8696.5089166910257</v>
      </c>
      <c r="GJ223" s="236">
        <f t="shared" ca="1" si="3366"/>
        <v>8721.9338442109292</v>
      </c>
      <c r="GK223" s="236">
        <f t="shared" ca="1" si="3366"/>
        <v>8750.1019842645164</v>
      </c>
      <c r="GL223" s="236">
        <f t="shared" ca="1" si="3366"/>
        <v>8778.5940489930417</v>
      </c>
      <c r="GM223" s="236">
        <f t="shared" ca="1" si="3366"/>
        <v>1580838.750514132</v>
      </c>
      <c r="GN223" s="236" t="str">
        <f t="shared" si="3366"/>
        <v/>
      </c>
      <c r="GO223" s="236" t="str">
        <f t="shared" si="3366"/>
        <v/>
      </c>
      <c r="GP223" s="236" t="str">
        <f t="shared" si="3366"/>
        <v/>
      </c>
      <c r="GQ223" s="236" t="str">
        <f t="shared" si="3366"/>
        <v/>
      </c>
      <c r="GR223" s="236" t="str">
        <f t="shared" si="3366"/>
        <v/>
      </c>
      <c r="GS223" s="236" t="str">
        <f t="shared" si="3366"/>
        <v/>
      </c>
      <c r="GT223" s="236" t="str">
        <f t="shared" si="3366"/>
        <v/>
      </c>
      <c r="GU223" s="236" t="str">
        <f t="shared" si="3366"/>
        <v/>
      </c>
      <c r="GV223" s="236" t="str">
        <f t="shared" si="3366"/>
        <v/>
      </c>
      <c r="GW223" s="236" t="str">
        <f t="shared" si="3366"/>
        <v/>
      </c>
      <c r="GX223" s="236" t="str">
        <f t="shared" si="3366"/>
        <v/>
      </c>
      <c r="GY223" s="236" t="str">
        <f t="shared" si="3366"/>
        <v/>
      </c>
      <c r="GZ223" s="236" t="str">
        <f t="shared" si="3366"/>
        <v/>
      </c>
      <c r="HA223" s="236" t="str">
        <f t="shared" si="3366"/>
        <v/>
      </c>
      <c r="HB223" s="236" t="str">
        <f t="shared" si="3366"/>
        <v/>
      </c>
      <c r="HC223" s="236" t="str">
        <f t="shared" si="3366"/>
        <v/>
      </c>
      <c r="HD223" s="236" t="str">
        <f t="shared" si="3366"/>
        <v/>
      </c>
      <c r="HE223" s="236" t="str">
        <f t="shared" si="3366"/>
        <v/>
      </c>
      <c r="HF223" s="236" t="str">
        <f t="shared" si="3366"/>
        <v/>
      </c>
      <c r="HG223" s="236" t="str">
        <f t="shared" si="3366"/>
        <v/>
      </c>
      <c r="HH223" s="236" t="str">
        <f t="shared" si="3366"/>
        <v/>
      </c>
      <c r="HI223" s="236" t="str">
        <f t="shared" si="3366"/>
        <v/>
      </c>
      <c r="HJ223" s="236" t="str">
        <f t="shared" si="3366"/>
        <v/>
      </c>
      <c r="HK223" s="236" t="str">
        <f t="shared" si="3366"/>
        <v/>
      </c>
      <c r="HL223" s="236" t="str">
        <f t="shared" si="3366"/>
        <v/>
      </c>
      <c r="HM223" s="236" t="str">
        <f t="shared" si="3366"/>
        <v/>
      </c>
      <c r="HN223" s="236" t="str">
        <f t="shared" si="3366"/>
        <v/>
      </c>
      <c r="HO223" s="236" t="str">
        <f t="shared" ref="HO223:IT223" si="3367">IF(HO209="","",IF(GP_Only?,HO209,IF(GP_CatchUp?,MAX(MIN(HO209-HO216,HO220+HO221+HO222),0),HO216/$K$242*$J$242)))</f>
        <v/>
      </c>
      <c r="HP223" s="236" t="str">
        <f t="shared" si="3367"/>
        <v/>
      </c>
      <c r="HQ223" s="236" t="str">
        <f t="shared" si="3367"/>
        <v/>
      </c>
      <c r="HR223" s="236" t="str">
        <f t="shared" si="3367"/>
        <v/>
      </c>
      <c r="HS223" s="236" t="str">
        <f t="shared" si="3367"/>
        <v/>
      </c>
      <c r="HT223" s="236" t="str">
        <f t="shared" si="3367"/>
        <v/>
      </c>
      <c r="HU223" s="236" t="str">
        <f t="shared" si="3367"/>
        <v/>
      </c>
      <c r="HV223" s="236" t="str">
        <f t="shared" si="3367"/>
        <v/>
      </c>
      <c r="HW223" s="236" t="str">
        <f t="shared" si="3367"/>
        <v/>
      </c>
      <c r="HX223" s="236" t="str">
        <f t="shared" si="3367"/>
        <v/>
      </c>
      <c r="HY223" s="236" t="str">
        <f t="shared" si="3367"/>
        <v/>
      </c>
      <c r="HZ223" s="236" t="str">
        <f t="shared" si="3367"/>
        <v/>
      </c>
      <c r="IA223" s="236" t="str">
        <f t="shared" si="3367"/>
        <v/>
      </c>
      <c r="IB223" s="236" t="str">
        <f t="shared" si="3367"/>
        <v/>
      </c>
      <c r="IC223" s="236" t="str">
        <f t="shared" si="3367"/>
        <v/>
      </c>
      <c r="ID223" s="236" t="str">
        <f t="shared" si="3367"/>
        <v/>
      </c>
      <c r="IE223" s="236" t="str">
        <f t="shared" si="3367"/>
        <v/>
      </c>
      <c r="IF223" s="236" t="str">
        <f t="shared" si="3367"/>
        <v/>
      </c>
      <c r="IG223" s="236" t="str">
        <f t="shared" si="3367"/>
        <v/>
      </c>
      <c r="IH223" s="236" t="str">
        <f t="shared" si="3367"/>
        <v/>
      </c>
      <c r="II223" s="236" t="str">
        <f t="shared" si="3367"/>
        <v/>
      </c>
      <c r="IJ223" s="236" t="str">
        <f t="shared" si="3367"/>
        <v/>
      </c>
      <c r="IK223" s="236" t="str">
        <f t="shared" si="3367"/>
        <v/>
      </c>
      <c r="IL223" s="236" t="str">
        <f t="shared" si="3367"/>
        <v/>
      </c>
      <c r="IM223" s="236" t="str">
        <f t="shared" si="3367"/>
        <v/>
      </c>
      <c r="IN223" s="236" t="str">
        <f t="shared" si="3367"/>
        <v/>
      </c>
      <c r="IO223" s="236" t="str">
        <f t="shared" si="3367"/>
        <v/>
      </c>
      <c r="IP223" s="236" t="str">
        <f t="shared" si="3367"/>
        <v/>
      </c>
      <c r="IQ223" s="236" t="str">
        <f t="shared" si="3367"/>
        <v/>
      </c>
      <c r="IR223" s="236" t="str">
        <f t="shared" si="3367"/>
        <v/>
      </c>
      <c r="IS223" s="236" t="str">
        <f t="shared" si="3367"/>
        <v/>
      </c>
      <c r="IT223" s="236" t="str">
        <f t="shared" si="3367"/>
        <v/>
      </c>
      <c r="IU223" s="236" t="str">
        <f t="shared" ref="IU223:JZ223" si="3368">IF(IU209="","",IF(GP_Only?,IU209,IF(GP_CatchUp?,MAX(MIN(IU209-IU216,IU220+IU221+IU222),0),IU216/$K$242*$J$242)))</f>
        <v/>
      </c>
      <c r="IV223" s="236" t="str">
        <f t="shared" si="3368"/>
        <v/>
      </c>
      <c r="IW223" s="236" t="str">
        <f t="shared" si="3368"/>
        <v/>
      </c>
      <c r="IX223" s="236" t="str">
        <f t="shared" si="3368"/>
        <v/>
      </c>
      <c r="IY223" s="236" t="str">
        <f t="shared" si="3368"/>
        <v/>
      </c>
      <c r="IZ223" s="236" t="str">
        <f t="shared" si="3368"/>
        <v/>
      </c>
      <c r="JA223" s="236" t="str">
        <f t="shared" si="3368"/>
        <v/>
      </c>
      <c r="JB223" s="236" t="str">
        <f t="shared" si="3368"/>
        <v/>
      </c>
      <c r="JC223" s="236" t="str">
        <f t="shared" si="3368"/>
        <v/>
      </c>
      <c r="JD223" s="236" t="str">
        <f t="shared" si="3368"/>
        <v/>
      </c>
      <c r="JE223" s="236" t="str">
        <f t="shared" si="3368"/>
        <v/>
      </c>
      <c r="JF223" s="236" t="str">
        <f t="shared" si="3368"/>
        <v/>
      </c>
      <c r="JG223" s="236" t="str">
        <f t="shared" si="3368"/>
        <v/>
      </c>
      <c r="JH223" s="236" t="str">
        <f t="shared" si="3368"/>
        <v/>
      </c>
      <c r="JI223" s="236" t="str">
        <f t="shared" si="3368"/>
        <v/>
      </c>
      <c r="JJ223" s="236" t="str">
        <f t="shared" si="3368"/>
        <v/>
      </c>
      <c r="JK223" s="236" t="str">
        <f t="shared" si="3368"/>
        <v/>
      </c>
      <c r="JL223" s="236" t="str">
        <f t="shared" si="3368"/>
        <v/>
      </c>
      <c r="JM223" s="236" t="str">
        <f t="shared" si="3368"/>
        <v/>
      </c>
      <c r="JN223" s="236" t="str">
        <f t="shared" si="3368"/>
        <v/>
      </c>
      <c r="JO223" s="236" t="str">
        <f t="shared" si="3368"/>
        <v/>
      </c>
      <c r="JP223" s="236" t="str">
        <f t="shared" si="3368"/>
        <v/>
      </c>
      <c r="JQ223" s="236" t="str">
        <f t="shared" si="3368"/>
        <v/>
      </c>
      <c r="JR223" s="236" t="str">
        <f t="shared" si="3368"/>
        <v/>
      </c>
      <c r="JS223" s="236" t="str">
        <f t="shared" si="3368"/>
        <v/>
      </c>
      <c r="JT223" s="236" t="str">
        <f t="shared" si="3368"/>
        <v/>
      </c>
      <c r="JU223" s="236" t="str">
        <f t="shared" si="3368"/>
        <v/>
      </c>
      <c r="JV223" s="236" t="str">
        <f t="shared" si="3368"/>
        <v/>
      </c>
      <c r="JW223" s="236" t="str">
        <f t="shared" si="3368"/>
        <v/>
      </c>
      <c r="JX223" s="236" t="str">
        <f t="shared" si="3368"/>
        <v/>
      </c>
      <c r="JY223" s="236" t="str">
        <f t="shared" si="3368"/>
        <v/>
      </c>
      <c r="JZ223" s="236" t="str">
        <f t="shared" si="3368"/>
        <v/>
      </c>
      <c r="KA223" s="236" t="str">
        <f t="shared" ref="KA223:KE223" si="3369">IF(KA209="","",IF(GP_Only?,KA209,IF(GP_CatchUp?,MAX(MIN(KA209-KA216,KA220+KA221+KA222),0),KA216/$K$242*$J$242)))</f>
        <v/>
      </c>
      <c r="KB223" s="236" t="str">
        <f t="shared" si="3369"/>
        <v/>
      </c>
      <c r="KC223" s="236" t="str">
        <f t="shared" si="3369"/>
        <v/>
      </c>
      <c r="KD223" s="236" t="str">
        <f t="shared" si="3369"/>
        <v/>
      </c>
      <c r="KE223" s="236" t="str">
        <f t="shared" si="3369"/>
        <v/>
      </c>
      <c r="KF223" s="218" t="s">
        <v>269</v>
      </c>
      <c r="KG223" s="201"/>
      <c r="KH223" s="201"/>
      <c r="KI223" s="201"/>
      <c r="KJ223" s="201"/>
      <c r="KK223" s="201"/>
      <c r="KL223" s="201"/>
      <c r="KM223" s="201"/>
      <c r="KN223" s="201"/>
      <c r="KO223" s="201"/>
      <c r="KP223" s="201"/>
      <c r="KQ223" s="201"/>
      <c r="KR223" s="201"/>
      <c r="KS223" s="201"/>
      <c r="KT223" s="201"/>
      <c r="KU223" s="201"/>
      <c r="KV223" s="201"/>
      <c r="KW223" s="201"/>
      <c r="KX223" s="201"/>
      <c r="KY223" s="201"/>
      <c r="KZ223" s="201"/>
      <c r="LA223" s="201"/>
      <c r="LB223" s="201"/>
      <c r="LC223" s="201"/>
      <c r="LD223" s="201"/>
      <c r="LE223" s="201"/>
      <c r="LF223" s="201"/>
      <c r="LG223" s="201"/>
      <c r="LH223" s="201"/>
      <c r="LI223" s="201"/>
      <c r="LJ223" s="201"/>
      <c r="LK223" s="201"/>
      <c r="LL223" s="201"/>
      <c r="LM223" s="201"/>
      <c r="LN223" s="201"/>
      <c r="LO223" s="201"/>
      <c r="LP223" s="201"/>
      <c r="LQ223" s="201"/>
      <c r="LR223" s="201"/>
      <c r="LS223" s="201"/>
      <c r="LT223" s="201"/>
      <c r="LU223" s="201"/>
      <c r="LV223" s="201"/>
      <c r="LW223" s="201"/>
      <c r="LX223" s="201"/>
      <c r="LY223" s="201"/>
      <c r="LZ223" s="201"/>
      <c r="MA223" s="201"/>
      <c r="MB223" s="201"/>
      <c r="MC223" s="201"/>
      <c r="MD223" s="201"/>
      <c r="ME223" s="201"/>
      <c r="MF223" s="201"/>
      <c r="MG223" s="201"/>
      <c r="MH223" s="201"/>
      <c r="MI223" s="201"/>
      <c r="MJ223" s="201"/>
      <c r="MK223" s="201"/>
      <c r="ML223" s="201"/>
      <c r="MM223" s="201"/>
      <c r="MN223" s="201"/>
      <c r="MO223" s="201"/>
      <c r="MP223" s="201"/>
      <c r="MQ223" s="201"/>
      <c r="MR223" s="201"/>
      <c r="MS223" s="201"/>
      <c r="MT223" s="201"/>
      <c r="MU223" s="201"/>
      <c r="MV223" s="201"/>
      <c r="MW223" s="201"/>
      <c r="MX223" s="201"/>
      <c r="MY223" s="201"/>
      <c r="MZ223" s="201"/>
      <c r="NA223" s="201"/>
      <c r="NB223" s="201"/>
      <c r="NC223" s="201"/>
      <c r="ND223" s="201"/>
      <c r="NE223" s="201"/>
      <c r="NF223" s="201"/>
      <c r="NG223" s="201"/>
      <c r="NH223" s="201"/>
      <c r="NI223" s="201"/>
      <c r="NJ223" s="201"/>
      <c r="NK223" s="201"/>
      <c r="NL223" s="201"/>
      <c r="NM223" s="201"/>
      <c r="NN223" s="201"/>
      <c r="NO223" s="201"/>
      <c r="NP223" s="201"/>
      <c r="NQ223" s="201"/>
      <c r="NR223" s="201"/>
      <c r="NS223" s="201"/>
      <c r="NT223" s="201"/>
      <c r="NU223" s="201"/>
      <c r="NV223" s="201"/>
      <c r="NW223" s="201"/>
      <c r="NX223" s="201"/>
      <c r="NY223" s="201"/>
      <c r="NZ223" s="201"/>
      <c r="OA223" s="201"/>
      <c r="OB223" s="201"/>
      <c r="OC223" s="201"/>
      <c r="OD223" s="201"/>
      <c r="OE223" s="201"/>
      <c r="OF223" s="201"/>
      <c r="OG223" s="201"/>
      <c r="OH223" s="201"/>
      <c r="OI223" s="201"/>
      <c r="OJ223" s="201"/>
      <c r="OK223" s="201"/>
      <c r="OL223" s="201"/>
      <c r="OM223" s="201"/>
      <c r="ON223" s="201"/>
      <c r="OO223" s="201"/>
      <c r="OP223" s="201"/>
      <c r="OQ223" s="201"/>
      <c r="OR223" s="201"/>
      <c r="OS223" s="201"/>
      <c r="OT223" s="201"/>
      <c r="OU223" s="201"/>
      <c r="OV223" s="201"/>
      <c r="OW223" s="201"/>
      <c r="OX223" s="201"/>
      <c r="OY223" s="201"/>
      <c r="OZ223" s="201"/>
      <c r="PA223" s="201"/>
      <c r="PB223" s="201"/>
      <c r="PC223" s="201"/>
      <c r="PD223" s="201"/>
      <c r="PE223" s="201"/>
      <c r="PF223" s="201"/>
      <c r="PG223" s="201"/>
      <c r="PH223" s="201"/>
      <c r="PI223" s="201"/>
      <c r="PJ223" s="201"/>
      <c r="PK223" s="201"/>
      <c r="PL223" s="201"/>
      <c r="PM223" s="201"/>
      <c r="PN223" s="201"/>
      <c r="PO223" s="201"/>
      <c r="PQ223" s="201"/>
      <c r="PR223" s="201"/>
      <c r="PS223" s="201"/>
      <c r="PT223" s="201"/>
      <c r="PU223" s="201"/>
      <c r="PV223" s="201"/>
      <c r="PW223" s="201"/>
      <c r="PX223" s="201"/>
      <c r="PY223" s="201"/>
      <c r="PZ223" s="201"/>
      <c r="QA223" s="201"/>
      <c r="QB223" s="201"/>
      <c r="QC223" s="201"/>
      <c r="QD223" s="201"/>
      <c r="QE223" s="201"/>
      <c r="QF223" s="201"/>
      <c r="QG223" s="201"/>
      <c r="QH223" s="201"/>
      <c r="QI223" s="201"/>
      <c r="QJ223" s="201"/>
      <c r="QK223" s="201"/>
      <c r="QL223" s="201"/>
      <c r="QM223" s="201"/>
      <c r="QN223" s="201"/>
      <c r="QO223" s="201"/>
      <c r="QP223" s="201"/>
      <c r="QQ223" s="201"/>
      <c r="QR223" s="201"/>
      <c r="QS223" s="201"/>
      <c r="QT223" s="201"/>
      <c r="QU223" s="201"/>
      <c r="QV223" s="201"/>
      <c r="QW223" s="201"/>
      <c r="QX223" s="201"/>
      <c r="QY223" s="201"/>
      <c r="QZ223" s="201"/>
      <c r="RA223" s="201"/>
      <c r="RB223" s="201"/>
      <c r="RC223" s="201"/>
      <c r="RD223" s="201"/>
      <c r="RE223" s="201"/>
      <c r="RF223" s="201"/>
      <c r="RG223" s="201"/>
      <c r="RH223" s="201"/>
      <c r="RI223" s="201"/>
      <c r="RJ223" s="201"/>
      <c r="RK223" s="201"/>
      <c r="RL223" s="201"/>
      <c r="RM223" s="201"/>
      <c r="RN223" s="201"/>
      <c r="RO223" s="201"/>
      <c r="RP223" s="201"/>
      <c r="RQ223" s="201"/>
      <c r="RR223" s="201"/>
      <c r="RS223" s="201"/>
      <c r="RT223" s="201"/>
      <c r="RU223" s="201"/>
      <c r="RV223" s="201"/>
      <c r="RW223" s="201"/>
      <c r="RX223" s="201"/>
      <c r="RY223" s="201"/>
      <c r="RZ223" s="201"/>
      <c r="SA223" s="201"/>
      <c r="SB223" s="201"/>
      <c r="SC223" s="201"/>
      <c r="SD223" s="201"/>
      <c r="SE223" s="201"/>
      <c r="SF223" s="201"/>
      <c r="SG223" s="201"/>
      <c r="SH223" s="201"/>
      <c r="SI223" s="201"/>
      <c r="SJ223" s="201"/>
      <c r="SK223" s="201"/>
      <c r="SL223" s="201"/>
      <c r="SM223" s="201"/>
      <c r="SN223" s="201"/>
      <c r="SO223" s="201"/>
      <c r="SP223" s="201"/>
      <c r="SQ223" s="201"/>
      <c r="SR223" s="201"/>
      <c r="SS223" s="201"/>
      <c r="ST223" s="201"/>
      <c r="SU223" s="201"/>
      <c r="SV223" s="201"/>
      <c r="SW223" s="201"/>
      <c r="SX223" s="201"/>
      <c r="SY223" s="201"/>
      <c r="SZ223" s="201"/>
      <c r="TA223" s="201"/>
      <c r="TB223" s="201"/>
      <c r="TC223" s="201"/>
      <c r="TD223" s="201"/>
      <c r="TE223" s="201"/>
      <c r="TF223" s="201"/>
      <c r="TG223" s="201"/>
      <c r="TH223" s="201"/>
      <c r="TI223" s="201"/>
      <c r="TJ223" s="201"/>
      <c r="TK223" s="201"/>
      <c r="TL223" s="201"/>
      <c r="TM223" s="201"/>
      <c r="TN223" s="201"/>
      <c r="TO223" s="201"/>
      <c r="TP223" s="201"/>
      <c r="TQ223" s="201"/>
      <c r="TR223" s="201"/>
      <c r="TS223" s="201"/>
      <c r="TT223" s="201"/>
      <c r="TU223" s="201"/>
      <c r="TV223" s="201"/>
      <c r="TW223" s="201"/>
      <c r="TX223" s="201"/>
      <c r="TY223" s="201"/>
      <c r="TZ223" s="201"/>
      <c r="UA223" s="201"/>
      <c r="UB223" s="201"/>
      <c r="UC223" s="201"/>
      <c r="UD223" s="201"/>
      <c r="UE223" s="201"/>
      <c r="UF223" s="201"/>
      <c r="UG223" s="201"/>
      <c r="UH223" s="201"/>
      <c r="UI223" s="201"/>
      <c r="UJ223" s="201"/>
      <c r="UK223" s="201"/>
      <c r="UL223" s="201"/>
      <c r="UM223" s="201"/>
      <c r="UN223" s="201"/>
      <c r="UO223" s="201"/>
      <c r="UP223" s="201"/>
      <c r="UQ223" s="201"/>
      <c r="UR223" s="201"/>
      <c r="US223" s="201"/>
      <c r="UT223" s="201"/>
      <c r="UU223" s="201"/>
    </row>
    <row r="224" spans="2:567" x14ac:dyDescent="0.25">
      <c r="B224" s="54" t="s">
        <v>208</v>
      </c>
      <c r="C224" s="26"/>
      <c r="D224" s="26"/>
      <c r="E224" s="26"/>
      <c r="F224" s="26"/>
      <c r="G224" s="26"/>
      <c r="H224" s="26"/>
      <c r="I224" s="26"/>
      <c r="J224" s="26"/>
      <c r="K224" s="34">
        <f ca="1">SUM(S224:EU224)</f>
        <v>78517938.300746262</v>
      </c>
      <c r="L224" s="2"/>
      <c r="R224" s="159" t="str">
        <f ca="1">IF(ROUND(K224,0)=ROUND(D208,0),"OK","ERROR")</f>
        <v>OK</v>
      </c>
      <c r="S224" s="92">
        <f t="shared" ref="S224:AX224" ca="1" si="3370">IF(S$19&gt;$K$19,"",S208)</f>
        <v>0</v>
      </c>
      <c r="T224" s="92">
        <f t="shared" ca="1" si="3370"/>
        <v>0</v>
      </c>
      <c r="U224" s="92">
        <f t="shared" ca="1" si="3370"/>
        <v>0</v>
      </c>
      <c r="V224" s="92">
        <f t="shared" ca="1" si="3370"/>
        <v>0</v>
      </c>
      <c r="W224" s="92">
        <f t="shared" ca="1" si="3370"/>
        <v>0</v>
      </c>
      <c r="X224" s="92">
        <f t="shared" ca="1" si="3370"/>
        <v>0</v>
      </c>
      <c r="Y224" s="92">
        <f t="shared" ca="1" si="3370"/>
        <v>0</v>
      </c>
      <c r="Z224" s="92">
        <f t="shared" ca="1" si="3370"/>
        <v>0</v>
      </c>
      <c r="AA224" s="92">
        <f t="shared" ca="1" si="3370"/>
        <v>0</v>
      </c>
      <c r="AB224" s="92">
        <f t="shared" ca="1" si="3370"/>
        <v>0</v>
      </c>
      <c r="AC224" s="92">
        <f t="shared" ca="1" si="3370"/>
        <v>0</v>
      </c>
      <c r="AD224" s="92">
        <f t="shared" ca="1" si="3370"/>
        <v>0</v>
      </c>
      <c r="AE224" s="92">
        <f t="shared" ca="1" si="3370"/>
        <v>0</v>
      </c>
      <c r="AF224" s="92">
        <f t="shared" ca="1" si="3370"/>
        <v>0</v>
      </c>
      <c r="AG224" s="92">
        <f t="shared" ca="1" si="3370"/>
        <v>0</v>
      </c>
      <c r="AH224" s="92">
        <f t="shared" ca="1" si="3370"/>
        <v>0</v>
      </c>
      <c r="AI224" s="92">
        <f t="shared" ca="1" si="3370"/>
        <v>0</v>
      </c>
      <c r="AJ224" s="92">
        <f t="shared" ca="1" si="3370"/>
        <v>0</v>
      </c>
      <c r="AK224" s="92">
        <f t="shared" ca="1" si="3370"/>
        <v>0</v>
      </c>
      <c r="AL224" s="92">
        <f t="shared" ca="1" si="3370"/>
        <v>0</v>
      </c>
      <c r="AM224" s="92">
        <f t="shared" ca="1" si="3370"/>
        <v>0</v>
      </c>
      <c r="AN224" s="92">
        <f t="shared" ca="1" si="3370"/>
        <v>0</v>
      </c>
      <c r="AO224" s="92">
        <f t="shared" ca="1" si="3370"/>
        <v>0</v>
      </c>
      <c r="AP224" s="92">
        <f t="shared" ca="1" si="3370"/>
        <v>0</v>
      </c>
      <c r="AQ224" s="92">
        <f t="shared" ca="1" si="3370"/>
        <v>0</v>
      </c>
      <c r="AR224" s="92">
        <f t="shared" ca="1" si="3370"/>
        <v>0</v>
      </c>
      <c r="AS224" s="92">
        <f t="shared" ca="1" si="3370"/>
        <v>0</v>
      </c>
      <c r="AT224" s="92">
        <f t="shared" ca="1" si="3370"/>
        <v>0</v>
      </c>
      <c r="AU224" s="92">
        <f t="shared" ca="1" si="3370"/>
        <v>0</v>
      </c>
      <c r="AV224" s="92">
        <f t="shared" ca="1" si="3370"/>
        <v>0</v>
      </c>
      <c r="AW224" s="92">
        <f t="shared" ca="1" si="3370"/>
        <v>0</v>
      </c>
      <c r="AX224" s="92">
        <f t="shared" ca="1" si="3370"/>
        <v>0</v>
      </c>
      <c r="AY224" s="92">
        <f t="shared" ref="AY224:CD224" ca="1" si="3371">IF(AY$19&gt;$K$19,"",AY208)</f>
        <v>0</v>
      </c>
      <c r="AZ224" s="92">
        <f t="shared" ca="1" si="3371"/>
        <v>0</v>
      </c>
      <c r="BA224" s="92">
        <f t="shared" ca="1" si="3371"/>
        <v>0</v>
      </c>
      <c r="BB224" s="92">
        <f t="shared" ca="1" si="3371"/>
        <v>0</v>
      </c>
      <c r="BC224" s="92">
        <f t="shared" ca="1" si="3371"/>
        <v>78517938.300746262</v>
      </c>
      <c r="BD224" s="92" t="str">
        <f t="shared" si="3371"/>
        <v/>
      </c>
      <c r="BE224" s="92" t="str">
        <f t="shared" si="3371"/>
        <v/>
      </c>
      <c r="BF224" s="92" t="str">
        <f t="shared" si="3371"/>
        <v/>
      </c>
      <c r="BG224" s="92" t="str">
        <f t="shared" si="3371"/>
        <v/>
      </c>
      <c r="BH224" s="92" t="str">
        <f t="shared" si="3371"/>
        <v/>
      </c>
      <c r="BI224" s="92" t="str">
        <f t="shared" si="3371"/>
        <v/>
      </c>
      <c r="BJ224" s="92" t="str">
        <f t="shared" si="3371"/>
        <v/>
      </c>
      <c r="BK224" s="92" t="str">
        <f t="shared" si="3371"/>
        <v/>
      </c>
      <c r="BL224" s="92" t="str">
        <f t="shared" si="3371"/>
        <v/>
      </c>
      <c r="BM224" s="92" t="str">
        <f t="shared" si="3371"/>
        <v/>
      </c>
      <c r="BN224" s="92" t="str">
        <f t="shared" si="3371"/>
        <v/>
      </c>
      <c r="BO224" s="92" t="str">
        <f t="shared" si="3371"/>
        <v/>
      </c>
      <c r="BP224" s="92" t="str">
        <f t="shared" si="3371"/>
        <v/>
      </c>
      <c r="BQ224" s="92" t="str">
        <f t="shared" si="3371"/>
        <v/>
      </c>
      <c r="BR224" s="92" t="str">
        <f t="shared" si="3371"/>
        <v/>
      </c>
      <c r="BS224" s="92" t="str">
        <f t="shared" si="3371"/>
        <v/>
      </c>
      <c r="BT224" s="92" t="str">
        <f t="shared" si="3371"/>
        <v/>
      </c>
      <c r="BU224" s="92" t="str">
        <f t="shared" si="3371"/>
        <v/>
      </c>
      <c r="BV224" s="92" t="str">
        <f t="shared" si="3371"/>
        <v/>
      </c>
      <c r="BW224" s="92" t="str">
        <f t="shared" si="3371"/>
        <v/>
      </c>
      <c r="BX224" s="92" t="str">
        <f t="shared" si="3371"/>
        <v/>
      </c>
      <c r="BY224" s="92" t="str">
        <f t="shared" si="3371"/>
        <v/>
      </c>
      <c r="BZ224" s="92" t="str">
        <f t="shared" si="3371"/>
        <v/>
      </c>
      <c r="CA224" s="92" t="str">
        <f t="shared" si="3371"/>
        <v/>
      </c>
      <c r="CB224" s="92" t="str">
        <f t="shared" si="3371"/>
        <v/>
      </c>
      <c r="CC224" s="92" t="str">
        <f t="shared" si="3371"/>
        <v/>
      </c>
      <c r="CD224" s="92" t="str">
        <f t="shared" si="3371"/>
        <v/>
      </c>
      <c r="CE224" s="92" t="str">
        <f t="shared" ref="CE224:DJ224" si="3372">IF(CE$19&gt;$K$19,"",CE208)</f>
        <v/>
      </c>
      <c r="CF224" s="92" t="str">
        <f t="shared" si="3372"/>
        <v/>
      </c>
      <c r="CG224" s="92" t="str">
        <f t="shared" si="3372"/>
        <v/>
      </c>
      <c r="CH224" s="92" t="str">
        <f t="shared" si="3372"/>
        <v/>
      </c>
      <c r="CI224" s="92" t="str">
        <f t="shared" si="3372"/>
        <v/>
      </c>
      <c r="CJ224" s="92" t="str">
        <f t="shared" si="3372"/>
        <v/>
      </c>
      <c r="CK224" s="92" t="str">
        <f t="shared" si="3372"/>
        <v/>
      </c>
      <c r="CL224" s="92" t="str">
        <f t="shared" si="3372"/>
        <v/>
      </c>
      <c r="CM224" s="92" t="str">
        <f t="shared" si="3372"/>
        <v/>
      </c>
      <c r="CN224" s="92" t="str">
        <f t="shared" si="3372"/>
        <v/>
      </c>
      <c r="CO224" s="92" t="str">
        <f t="shared" si="3372"/>
        <v/>
      </c>
      <c r="CP224" s="92" t="str">
        <f t="shared" si="3372"/>
        <v/>
      </c>
      <c r="CQ224" s="92" t="str">
        <f t="shared" si="3372"/>
        <v/>
      </c>
      <c r="CR224" s="92" t="str">
        <f t="shared" si="3372"/>
        <v/>
      </c>
      <c r="CS224" s="92" t="str">
        <f t="shared" si="3372"/>
        <v/>
      </c>
      <c r="CT224" s="92" t="str">
        <f t="shared" si="3372"/>
        <v/>
      </c>
      <c r="CU224" s="92" t="str">
        <f t="shared" si="3372"/>
        <v/>
      </c>
      <c r="CV224" s="92" t="str">
        <f t="shared" si="3372"/>
        <v/>
      </c>
      <c r="CW224" s="92" t="str">
        <f t="shared" si="3372"/>
        <v/>
      </c>
      <c r="CX224" s="92" t="str">
        <f t="shared" si="3372"/>
        <v/>
      </c>
      <c r="CY224" s="92" t="str">
        <f t="shared" si="3372"/>
        <v/>
      </c>
      <c r="CZ224" s="92" t="str">
        <f t="shared" si="3372"/>
        <v/>
      </c>
      <c r="DA224" s="92" t="str">
        <f t="shared" si="3372"/>
        <v/>
      </c>
      <c r="DB224" s="92" t="str">
        <f t="shared" si="3372"/>
        <v/>
      </c>
      <c r="DC224" s="92" t="str">
        <f t="shared" si="3372"/>
        <v/>
      </c>
      <c r="DD224" s="92" t="str">
        <f t="shared" si="3372"/>
        <v/>
      </c>
      <c r="DE224" s="92" t="str">
        <f t="shared" si="3372"/>
        <v/>
      </c>
      <c r="DF224" s="92" t="str">
        <f t="shared" si="3372"/>
        <v/>
      </c>
      <c r="DG224" s="92" t="str">
        <f t="shared" si="3372"/>
        <v/>
      </c>
      <c r="DH224" s="92" t="str">
        <f t="shared" si="3372"/>
        <v/>
      </c>
      <c r="DI224" s="92" t="str">
        <f t="shared" si="3372"/>
        <v/>
      </c>
      <c r="DJ224" s="92" t="str">
        <f t="shared" si="3372"/>
        <v/>
      </c>
      <c r="DK224" s="92" t="str">
        <f t="shared" ref="DK224:EU224" si="3373">IF(DK$19&gt;$K$19,"",DK208)</f>
        <v/>
      </c>
      <c r="DL224" s="92" t="str">
        <f t="shared" si="3373"/>
        <v/>
      </c>
      <c r="DM224" s="92" t="str">
        <f t="shared" si="3373"/>
        <v/>
      </c>
      <c r="DN224" s="92" t="str">
        <f t="shared" si="3373"/>
        <v/>
      </c>
      <c r="DO224" s="92" t="str">
        <f t="shared" si="3373"/>
        <v/>
      </c>
      <c r="DP224" s="92" t="str">
        <f t="shared" si="3373"/>
        <v/>
      </c>
      <c r="DQ224" s="92" t="str">
        <f t="shared" si="3373"/>
        <v/>
      </c>
      <c r="DR224" s="92" t="str">
        <f t="shared" si="3373"/>
        <v/>
      </c>
      <c r="DS224" s="92" t="str">
        <f t="shared" si="3373"/>
        <v/>
      </c>
      <c r="DT224" s="92" t="str">
        <f t="shared" si="3373"/>
        <v/>
      </c>
      <c r="DU224" s="92" t="str">
        <f t="shared" si="3373"/>
        <v/>
      </c>
      <c r="DV224" s="92" t="str">
        <f t="shared" si="3373"/>
        <v/>
      </c>
      <c r="DW224" s="92" t="str">
        <f t="shared" si="3373"/>
        <v/>
      </c>
      <c r="DX224" s="92" t="str">
        <f t="shared" si="3373"/>
        <v/>
      </c>
      <c r="DY224" s="92" t="str">
        <f t="shared" si="3373"/>
        <v/>
      </c>
      <c r="DZ224" s="92" t="str">
        <f t="shared" si="3373"/>
        <v/>
      </c>
      <c r="EA224" s="92" t="str">
        <f t="shared" si="3373"/>
        <v/>
      </c>
      <c r="EB224" s="92" t="str">
        <f t="shared" si="3373"/>
        <v/>
      </c>
      <c r="EC224" s="92" t="str">
        <f t="shared" si="3373"/>
        <v/>
      </c>
      <c r="ED224" s="92" t="str">
        <f t="shared" si="3373"/>
        <v/>
      </c>
      <c r="EE224" s="92" t="str">
        <f t="shared" si="3373"/>
        <v/>
      </c>
      <c r="EF224" s="92" t="str">
        <f t="shared" si="3373"/>
        <v/>
      </c>
      <c r="EG224" s="92" t="str">
        <f t="shared" si="3373"/>
        <v/>
      </c>
      <c r="EH224" s="92" t="str">
        <f t="shared" si="3373"/>
        <v/>
      </c>
      <c r="EI224" s="92" t="str">
        <f t="shared" si="3373"/>
        <v/>
      </c>
      <c r="EJ224" s="92" t="str">
        <f t="shared" si="3373"/>
        <v/>
      </c>
      <c r="EK224" s="92" t="str">
        <f t="shared" si="3373"/>
        <v/>
      </c>
      <c r="EL224" s="92" t="str">
        <f t="shared" si="3373"/>
        <v/>
      </c>
      <c r="EM224" s="92" t="str">
        <f t="shared" si="3373"/>
        <v/>
      </c>
      <c r="EN224" s="92" t="str">
        <f t="shared" si="3373"/>
        <v/>
      </c>
      <c r="EO224" s="92" t="str">
        <f t="shared" si="3373"/>
        <v/>
      </c>
      <c r="EP224" s="92" t="str">
        <f t="shared" si="3373"/>
        <v/>
      </c>
      <c r="EQ224" s="92" t="str">
        <f t="shared" si="3373"/>
        <v/>
      </c>
      <c r="ER224" s="92" t="str">
        <f t="shared" si="3373"/>
        <v/>
      </c>
      <c r="ES224" s="92" t="str">
        <f t="shared" si="3373"/>
        <v/>
      </c>
      <c r="ET224" s="92" t="str">
        <f t="shared" si="3373"/>
        <v/>
      </c>
      <c r="EU224" s="92" t="str">
        <f t="shared" si="3373"/>
        <v/>
      </c>
      <c r="EV224" s="2"/>
      <c r="EW224" s="199" t="s">
        <v>363</v>
      </c>
      <c r="FC224" s="236">
        <f ca="1">IF(FC$209="","",FC220+FC221+FC222-FC223)</f>
        <v>1413952.75</v>
      </c>
      <c r="FD224" s="236">
        <f t="shared" ref="FD224:HO224" ca="1" si="3374">IF(FD$209="","",FD220+FD221+FD222-FD223)</f>
        <v>1420764.9569732726</v>
      </c>
      <c r="FE224" s="236">
        <f t="shared" ca="1" si="3374"/>
        <v>1427362.2420311989</v>
      </c>
      <c r="FF224" s="236">
        <f t="shared" ca="1" si="3374"/>
        <v>1433866.781859203</v>
      </c>
      <c r="FG224" s="236">
        <f t="shared" ca="1" si="3374"/>
        <v>1440249.8175027685</v>
      </c>
      <c r="FH224" s="236">
        <f t="shared" ca="1" si="3374"/>
        <v>1446468.3814016923</v>
      </c>
      <c r="FI224" s="236">
        <f t="shared" ca="1" si="3374"/>
        <v>1452587.7433308677</v>
      </c>
      <c r="FJ224" s="236">
        <f t="shared" ca="1" si="3374"/>
        <v>1458600.2195295303</v>
      </c>
      <c r="FK224" s="236">
        <f t="shared" ca="1" si="3374"/>
        <v>1464493.4872708754</v>
      </c>
      <c r="FL224" s="236">
        <f t="shared" ca="1" si="3374"/>
        <v>1470281.3027098349</v>
      </c>
      <c r="FM224" s="236">
        <f t="shared" ca="1" si="3374"/>
        <v>1475964.0571069433</v>
      </c>
      <c r="FN224" s="236">
        <f t="shared" ca="1" si="3374"/>
        <v>1481541.5371889202</v>
      </c>
      <c r="FO224" s="236">
        <f t="shared" ca="1" si="3374"/>
        <v>1487013.8976746988</v>
      </c>
      <c r="FP224" s="236">
        <f t="shared" ca="1" si="3374"/>
        <v>1492349.6640267854</v>
      </c>
      <c r="FQ224" s="236">
        <f t="shared" ca="1" si="3374"/>
        <v>1497549.8276922088</v>
      </c>
      <c r="FR224" s="236">
        <f t="shared" ca="1" si="3374"/>
        <v>1502610.8456638318</v>
      </c>
      <c r="FS224" s="236">
        <f t="shared" ca="1" si="3374"/>
        <v>1507530.4081587694</v>
      </c>
      <c r="FT224" s="236">
        <f t="shared" ca="1" si="3374"/>
        <v>1512306.2887224541</v>
      </c>
      <c r="FU224" s="236">
        <f t="shared" ca="1" si="3374"/>
        <v>1516935.892952658</v>
      </c>
      <c r="FV224" s="236">
        <f t="shared" ca="1" si="3374"/>
        <v>1521417.2287368106</v>
      </c>
      <c r="FW224" s="236">
        <f t="shared" ca="1" si="3374"/>
        <v>1525746.4759076021</v>
      </c>
      <c r="FX224" s="236">
        <f t="shared" ca="1" si="3374"/>
        <v>1529921.2155784804</v>
      </c>
      <c r="FY224" s="236">
        <f t="shared" ca="1" si="3374"/>
        <v>1533939.1138984456</v>
      </c>
      <c r="FZ224" s="236">
        <f t="shared" ca="1" si="3374"/>
        <v>1537797.5446372214</v>
      </c>
      <c r="GA224" s="236">
        <f t="shared" ca="1" si="3374"/>
        <v>1541441.0174875457</v>
      </c>
      <c r="GB224" s="236">
        <f t="shared" ca="1" si="3374"/>
        <v>1544020.0368755097</v>
      </c>
      <c r="GC224" s="236">
        <f t="shared" ca="1" si="3374"/>
        <v>1546596.5891495969</v>
      </c>
      <c r="GD224" s="236">
        <f t="shared" ca="1" si="3374"/>
        <v>1549168.3465317222</v>
      </c>
      <c r="GE224" s="236">
        <f t="shared" ca="1" si="3374"/>
        <v>1551736.8181490134</v>
      </c>
      <c r="GF224" s="236">
        <f t="shared" ca="1" si="3374"/>
        <v>1554299.8946543545</v>
      </c>
      <c r="GG224" s="236">
        <f t="shared" ca="1" si="3374"/>
        <v>1556856.9202867474</v>
      </c>
      <c r="GH224" s="236">
        <f t="shared" ca="1" si="3374"/>
        <v>1559407.4590555839</v>
      </c>
      <c r="GI224" s="236">
        <f t="shared" ca="1" si="3374"/>
        <v>1561950.1038779018</v>
      </c>
      <c r="GJ224" s="236">
        <f t="shared" ca="1" si="3374"/>
        <v>1564485.6494360124</v>
      </c>
      <c r="GK224" s="236">
        <f t="shared" ca="1" si="3374"/>
        <v>1567011.3013506893</v>
      </c>
      <c r="GL224" s="236">
        <f t="shared" ca="1" si="3374"/>
        <v>1569526.6643905709</v>
      </c>
      <c r="GM224" s="236">
        <f t="shared" ca="1" si="3374"/>
        <v>-4.6566128730773926E-10</v>
      </c>
      <c r="GN224" s="236" t="str">
        <f t="shared" si="3374"/>
        <v/>
      </c>
      <c r="GO224" s="236" t="str">
        <f t="shared" si="3374"/>
        <v/>
      </c>
      <c r="GP224" s="236" t="str">
        <f t="shared" si="3374"/>
        <v/>
      </c>
      <c r="GQ224" s="236" t="str">
        <f t="shared" si="3374"/>
        <v/>
      </c>
      <c r="GR224" s="236" t="str">
        <f t="shared" si="3374"/>
        <v/>
      </c>
      <c r="GS224" s="236" t="str">
        <f t="shared" si="3374"/>
        <v/>
      </c>
      <c r="GT224" s="236" t="str">
        <f t="shared" si="3374"/>
        <v/>
      </c>
      <c r="GU224" s="236" t="str">
        <f t="shared" si="3374"/>
        <v/>
      </c>
      <c r="GV224" s="236" t="str">
        <f t="shared" si="3374"/>
        <v/>
      </c>
      <c r="GW224" s="236" t="str">
        <f t="shared" si="3374"/>
        <v/>
      </c>
      <c r="GX224" s="236" t="str">
        <f t="shared" si="3374"/>
        <v/>
      </c>
      <c r="GY224" s="236" t="str">
        <f t="shared" si="3374"/>
        <v/>
      </c>
      <c r="GZ224" s="236" t="str">
        <f t="shared" si="3374"/>
        <v/>
      </c>
      <c r="HA224" s="236" t="str">
        <f t="shared" si="3374"/>
        <v/>
      </c>
      <c r="HB224" s="236" t="str">
        <f t="shared" si="3374"/>
        <v/>
      </c>
      <c r="HC224" s="236" t="str">
        <f t="shared" si="3374"/>
        <v/>
      </c>
      <c r="HD224" s="236" t="str">
        <f t="shared" si="3374"/>
        <v/>
      </c>
      <c r="HE224" s="236" t="str">
        <f t="shared" si="3374"/>
        <v/>
      </c>
      <c r="HF224" s="236" t="str">
        <f t="shared" si="3374"/>
        <v/>
      </c>
      <c r="HG224" s="236" t="str">
        <f t="shared" si="3374"/>
        <v/>
      </c>
      <c r="HH224" s="236" t="str">
        <f t="shared" si="3374"/>
        <v/>
      </c>
      <c r="HI224" s="236" t="str">
        <f t="shared" si="3374"/>
        <v/>
      </c>
      <c r="HJ224" s="236" t="str">
        <f t="shared" si="3374"/>
        <v/>
      </c>
      <c r="HK224" s="236" t="str">
        <f t="shared" si="3374"/>
        <v/>
      </c>
      <c r="HL224" s="236" t="str">
        <f t="shared" si="3374"/>
        <v/>
      </c>
      <c r="HM224" s="236" t="str">
        <f t="shared" si="3374"/>
        <v/>
      </c>
      <c r="HN224" s="236" t="str">
        <f t="shared" si="3374"/>
        <v/>
      </c>
      <c r="HO224" s="236" t="str">
        <f t="shared" si="3374"/>
        <v/>
      </c>
      <c r="HP224" s="236" t="str">
        <f t="shared" ref="HP224:KA224" si="3375">IF(HP$209="","",HP220+HP221+HP222-HP223)</f>
        <v/>
      </c>
      <c r="HQ224" s="236" t="str">
        <f t="shared" si="3375"/>
        <v/>
      </c>
      <c r="HR224" s="236" t="str">
        <f t="shared" si="3375"/>
        <v/>
      </c>
      <c r="HS224" s="236" t="str">
        <f t="shared" si="3375"/>
        <v/>
      </c>
      <c r="HT224" s="236" t="str">
        <f t="shared" si="3375"/>
        <v/>
      </c>
      <c r="HU224" s="236" t="str">
        <f t="shared" si="3375"/>
        <v/>
      </c>
      <c r="HV224" s="236" t="str">
        <f t="shared" si="3375"/>
        <v/>
      </c>
      <c r="HW224" s="236" t="str">
        <f t="shared" si="3375"/>
        <v/>
      </c>
      <c r="HX224" s="236" t="str">
        <f t="shared" si="3375"/>
        <v/>
      </c>
      <c r="HY224" s="236" t="str">
        <f t="shared" si="3375"/>
        <v/>
      </c>
      <c r="HZ224" s="236" t="str">
        <f t="shared" si="3375"/>
        <v/>
      </c>
      <c r="IA224" s="236" t="str">
        <f t="shared" si="3375"/>
        <v/>
      </c>
      <c r="IB224" s="236" t="str">
        <f t="shared" si="3375"/>
        <v/>
      </c>
      <c r="IC224" s="236" t="str">
        <f t="shared" si="3375"/>
        <v/>
      </c>
      <c r="ID224" s="236" t="str">
        <f t="shared" si="3375"/>
        <v/>
      </c>
      <c r="IE224" s="236" t="str">
        <f t="shared" si="3375"/>
        <v/>
      </c>
      <c r="IF224" s="236" t="str">
        <f t="shared" si="3375"/>
        <v/>
      </c>
      <c r="IG224" s="236" t="str">
        <f t="shared" si="3375"/>
        <v/>
      </c>
      <c r="IH224" s="236" t="str">
        <f t="shared" si="3375"/>
        <v/>
      </c>
      <c r="II224" s="236" t="str">
        <f t="shared" si="3375"/>
        <v/>
      </c>
      <c r="IJ224" s="236" t="str">
        <f t="shared" si="3375"/>
        <v/>
      </c>
      <c r="IK224" s="236" t="str">
        <f t="shared" si="3375"/>
        <v/>
      </c>
      <c r="IL224" s="236" t="str">
        <f t="shared" si="3375"/>
        <v/>
      </c>
      <c r="IM224" s="236" t="str">
        <f t="shared" si="3375"/>
        <v/>
      </c>
      <c r="IN224" s="236" t="str">
        <f t="shared" si="3375"/>
        <v/>
      </c>
      <c r="IO224" s="236" t="str">
        <f t="shared" si="3375"/>
        <v/>
      </c>
      <c r="IP224" s="236" t="str">
        <f t="shared" si="3375"/>
        <v/>
      </c>
      <c r="IQ224" s="236" t="str">
        <f t="shared" si="3375"/>
        <v/>
      </c>
      <c r="IR224" s="236" t="str">
        <f t="shared" si="3375"/>
        <v/>
      </c>
      <c r="IS224" s="236" t="str">
        <f t="shared" si="3375"/>
        <v/>
      </c>
      <c r="IT224" s="236" t="str">
        <f t="shared" si="3375"/>
        <v/>
      </c>
      <c r="IU224" s="236" t="str">
        <f t="shared" si="3375"/>
        <v/>
      </c>
      <c r="IV224" s="236" t="str">
        <f t="shared" si="3375"/>
        <v/>
      </c>
      <c r="IW224" s="236" t="str">
        <f t="shared" si="3375"/>
        <v/>
      </c>
      <c r="IX224" s="236" t="str">
        <f t="shared" si="3375"/>
        <v/>
      </c>
      <c r="IY224" s="236" t="str">
        <f t="shared" si="3375"/>
        <v/>
      </c>
      <c r="IZ224" s="236" t="str">
        <f t="shared" si="3375"/>
        <v/>
      </c>
      <c r="JA224" s="236" t="str">
        <f t="shared" si="3375"/>
        <v/>
      </c>
      <c r="JB224" s="236" t="str">
        <f t="shared" si="3375"/>
        <v/>
      </c>
      <c r="JC224" s="236" t="str">
        <f t="shared" si="3375"/>
        <v/>
      </c>
      <c r="JD224" s="236" t="str">
        <f t="shared" si="3375"/>
        <v/>
      </c>
      <c r="JE224" s="236" t="str">
        <f t="shared" si="3375"/>
        <v/>
      </c>
      <c r="JF224" s="236" t="str">
        <f t="shared" si="3375"/>
        <v/>
      </c>
      <c r="JG224" s="236" t="str">
        <f t="shared" si="3375"/>
        <v/>
      </c>
      <c r="JH224" s="236" t="str">
        <f t="shared" si="3375"/>
        <v/>
      </c>
      <c r="JI224" s="236" t="str">
        <f t="shared" si="3375"/>
        <v/>
      </c>
      <c r="JJ224" s="236" t="str">
        <f t="shared" si="3375"/>
        <v/>
      </c>
      <c r="JK224" s="236" t="str">
        <f t="shared" si="3375"/>
        <v/>
      </c>
      <c r="JL224" s="236" t="str">
        <f t="shared" si="3375"/>
        <v/>
      </c>
      <c r="JM224" s="236" t="str">
        <f t="shared" si="3375"/>
        <v/>
      </c>
      <c r="JN224" s="236" t="str">
        <f t="shared" si="3375"/>
        <v/>
      </c>
      <c r="JO224" s="236" t="str">
        <f t="shared" si="3375"/>
        <v/>
      </c>
      <c r="JP224" s="236" t="str">
        <f t="shared" si="3375"/>
        <v/>
      </c>
      <c r="JQ224" s="236" t="str">
        <f t="shared" si="3375"/>
        <v/>
      </c>
      <c r="JR224" s="236" t="str">
        <f t="shared" si="3375"/>
        <v/>
      </c>
      <c r="JS224" s="236" t="str">
        <f t="shared" si="3375"/>
        <v/>
      </c>
      <c r="JT224" s="236" t="str">
        <f t="shared" si="3375"/>
        <v/>
      </c>
      <c r="JU224" s="236" t="str">
        <f t="shared" si="3375"/>
        <v/>
      </c>
      <c r="JV224" s="236" t="str">
        <f t="shared" si="3375"/>
        <v/>
      </c>
      <c r="JW224" s="236" t="str">
        <f t="shared" si="3375"/>
        <v/>
      </c>
      <c r="JX224" s="236" t="str">
        <f t="shared" si="3375"/>
        <v/>
      </c>
      <c r="JY224" s="236" t="str">
        <f t="shared" si="3375"/>
        <v/>
      </c>
      <c r="JZ224" s="236" t="str">
        <f t="shared" si="3375"/>
        <v/>
      </c>
      <c r="KA224" s="236" t="str">
        <f t="shared" si="3375"/>
        <v/>
      </c>
      <c r="KB224" s="236" t="str">
        <f t="shared" ref="KB224:KE224" si="3376">IF(KB$209="","",KB220+KB221+KB222-KB223)</f>
        <v/>
      </c>
      <c r="KC224" s="236" t="str">
        <f t="shared" si="3376"/>
        <v/>
      </c>
      <c r="KD224" s="236" t="str">
        <f t="shared" si="3376"/>
        <v/>
      </c>
      <c r="KE224" s="236" t="str">
        <f t="shared" si="3376"/>
        <v/>
      </c>
      <c r="KF224" s="200" t="s">
        <v>269</v>
      </c>
      <c r="KG224" s="201"/>
      <c r="KH224" s="201"/>
      <c r="KI224" s="201"/>
      <c r="KJ224" s="201"/>
      <c r="KK224" s="201"/>
      <c r="KL224" s="201"/>
      <c r="KM224" s="201"/>
      <c r="KN224" s="201"/>
      <c r="KO224" s="201"/>
      <c r="KP224" s="201"/>
      <c r="KQ224" s="201"/>
      <c r="KR224" s="201"/>
      <c r="KS224" s="201"/>
      <c r="KT224" s="201"/>
      <c r="KU224" s="201"/>
      <c r="KV224" s="201"/>
      <c r="KW224" s="201"/>
      <c r="KX224" s="201"/>
      <c r="KY224" s="201"/>
      <c r="KZ224" s="201"/>
      <c r="LA224" s="201"/>
      <c r="LB224" s="201"/>
      <c r="LC224" s="201"/>
      <c r="LD224" s="201"/>
      <c r="LE224" s="201"/>
      <c r="LF224" s="201"/>
      <c r="LG224" s="201"/>
      <c r="LH224" s="201"/>
      <c r="LI224" s="201"/>
      <c r="LJ224" s="201"/>
      <c r="LK224" s="201"/>
      <c r="LL224" s="201"/>
      <c r="LM224" s="201"/>
      <c r="LN224" s="201"/>
      <c r="LO224" s="201"/>
      <c r="LP224" s="201"/>
      <c r="LQ224" s="201"/>
      <c r="LR224" s="201"/>
      <c r="LS224" s="201"/>
      <c r="LT224" s="201"/>
      <c r="LU224" s="201"/>
      <c r="LV224" s="201"/>
      <c r="LW224" s="201"/>
      <c r="LX224" s="201"/>
      <c r="LY224" s="201"/>
      <c r="LZ224" s="201"/>
      <c r="MA224" s="201"/>
      <c r="MB224" s="201"/>
      <c r="MC224" s="201"/>
      <c r="MD224" s="201"/>
      <c r="ME224" s="201"/>
      <c r="MF224" s="201"/>
      <c r="MG224" s="201"/>
      <c r="MH224" s="201"/>
      <c r="MI224" s="201"/>
      <c r="MJ224" s="201"/>
      <c r="MK224" s="201"/>
      <c r="ML224" s="201"/>
      <c r="MM224" s="201"/>
      <c r="MN224" s="201"/>
      <c r="MO224" s="201"/>
      <c r="MP224" s="201"/>
      <c r="MQ224" s="201"/>
      <c r="MR224" s="201"/>
      <c r="MS224" s="201"/>
      <c r="MT224" s="201"/>
      <c r="MU224" s="201"/>
      <c r="MV224" s="201"/>
      <c r="MW224" s="201"/>
      <c r="MX224" s="201"/>
      <c r="MY224" s="201"/>
      <c r="MZ224" s="201"/>
      <c r="NA224" s="201"/>
      <c r="NB224" s="201"/>
      <c r="NC224" s="201"/>
      <c r="ND224" s="201"/>
      <c r="NE224" s="201"/>
      <c r="NF224" s="201"/>
      <c r="NG224" s="201"/>
      <c r="NH224" s="201"/>
      <c r="NI224" s="201"/>
      <c r="NJ224" s="201"/>
      <c r="NK224" s="201"/>
      <c r="NL224" s="201"/>
      <c r="NM224" s="201"/>
      <c r="NN224" s="201"/>
      <c r="NO224" s="201"/>
      <c r="NP224" s="201"/>
      <c r="NQ224" s="201"/>
      <c r="NR224" s="201"/>
      <c r="NS224" s="201"/>
      <c r="NT224" s="201"/>
      <c r="NU224" s="201"/>
      <c r="NV224" s="201"/>
      <c r="NW224" s="201"/>
      <c r="NX224" s="201"/>
      <c r="NY224" s="201"/>
      <c r="NZ224" s="201"/>
      <c r="OA224" s="201"/>
      <c r="OB224" s="201"/>
      <c r="OC224" s="201"/>
      <c r="OD224" s="201"/>
      <c r="OE224" s="201"/>
      <c r="OF224" s="201"/>
      <c r="OG224" s="201"/>
      <c r="OH224" s="201"/>
      <c r="OI224" s="201"/>
      <c r="OJ224" s="201"/>
      <c r="OK224" s="201"/>
      <c r="OL224" s="201"/>
      <c r="OM224" s="201"/>
      <c r="ON224" s="201"/>
      <c r="OO224" s="201"/>
      <c r="OP224" s="201"/>
      <c r="OQ224" s="201"/>
      <c r="OR224" s="201"/>
      <c r="OS224" s="201"/>
      <c r="OT224" s="201"/>
      <c r="OU224" s="201"/>
      <c r="OV224" s="201"/>
      <c r="OW224" s="201"/>
      <c r="OX224" s="201"/>
      <c r="OY224" s="201"/>
      <c r="OZ224" s="201"/>
      <c r="PA224" s="201"/>
      <c r="PB224" s="201"/>
      <c r="PC224" s="201"/>
      <c r="PD224" s="201"/>
      <c r="PE224" s="201"/>
      <c r="PF224" s="201"/>
      <c r="PG224" s="201"/>
      <c r="PH224" s="201"/>
      <c r="PI224" s="201"/>
      <c r="PJ224" s="201"/>
      <c r="PK224" s="201"/>
      <c r="PL224" s="201"/>
      <c r="PM224" s="201"/>
      <c r="PN224" s="201"/>
      <c r="PO224" s="201"/>
      <c r="PQ224" s="201"/>
      <c r="PR224" s="201"/>
      <c r="PS224" s="201"/>
      <c r="PT224" s="201"/>
      <c r="PU224" s="201"/>
      <c r="PV224" s="201"/>
      <c r="PW224" s="201"/>
      <c r="PX224" s="201"/>
      <c r="PY224" s="201"/>
      <c r="PZ224" s="201"/>
      <c r="QA224" s="201"/>
      <c r="QB224" s="201"/>
      <c r="QC224" s="201"/>
      <c r="QD224" s="201"/>
      <c r="QE224" s="201"/>
      <c r="QF224" s="201"/>
      <c r="QG224" s="201"/>
      <c r="QH224" s="201"/>
      <c r="QI224" s="201"/>
      <c r="QJ224" s="201"/>
      <c r="QK224" s="201"/>
      <c r="QL224" s="201"/>
      <c r="QM224" s="201"/>
      <c r="QN224" s="201"/>
      <c r="QO224" s="201"/>
      <c r="QP224" s="201"/>
      <c r="QQ224" s="201"/>
      <c r="QR224" s="201"/>
      <c r="QS224" s="201"/>
      <c r="QT224" s="201"/>
      <c r="QU224" s="201"/>
      <c r="QV224" s="201"/>
      <c r="QW224" s="201"/>
      <c r="QX224" s="201"/>
      <c r="QY224" s="201"/>
      <c r="QZ224" s="201"/>
      <c r="RA224" s="201"/>
      <c r="RB224" s="201"/>
      <c r="RC224" s="201"/>
      <c r="RD224" s="201"/>
      <c r="RE224" s="201"/>
      <c r="RF224" s="201"/>
      <c r="RG224" s="201"/>
      <c r="RH224" s="201"/>
      <c r="RI224" s="201"/>
      <c r="RJ224" s="201"/>
      <c r="RK224" s="201"/>
      <c r="RL224" s="201"/>
      <c r="RM224" s="201"/>
      <c r="RN224" s="201"/>
      <c r="RO224" s="201"/>
      <c r="RP224" s="201"/>
      <c r="RQ224" s="201"/>
      <c r="RR224" s="201"/>
      <c r="RS224" s="201"/>
      <c r="RT224" s="201"/>
      <c r="RU224" s="201"/>
      <c r="RV224" s="201"/>
      <c r="RW224" s="201"/>
      <c r="RX224" s="201"/>
      <c r="RY224" s="201"/>
      <c r="RZ224" s="201"/>
      <c r="SA224" s="201"/>
      <c r="SB224" s="201"/>
      <c r="SC224" s="201"/>
      <c r="SD224" s="201"/>
      <c r="SE224" s="201"/>
      <c r="SF224" s="201"/>
      <c r="SG224" s="201"/>
      <c r="SH224" s="201"/>
      <c r="SI224" s="201"/>
      <c r="SJ224" s="201"/>
      <c r="SK224" s="201"/>
      <c r="SL224" s="201"/>
      <c r="SM224" s="201"/>
      <c r="SN224" s="201"/>
      <c r="SO224" s="201"/>
      <c r="SP224" s="201"/>
      <c r="SQ224" s="201"/>
      <c r="SR224" s="201"/>
      <c r="SS224" s="201"/>
      <c r="ST224" s="201"/>
      <c r="SU224" s="201"/>
      <c r="SV224" s="201"/>
      <c r="SW224" s="201"/>
      <c r="SX224" s="201"/>
      <c r="SY224" s="201"/>
      <c r="SZ224" s="201"/>
      <c r="TA224" s="201"/>
      <c r="TB224" s="201"/>
      <c r="TC224" s="201"/>
      <c r="TD224" s="201"/>
      <c r="TE224" s="201"/>
      <c r="TF224" s="201"/>
      <c r="TG224" s="201"/>
      <c r="TH224" s="201"/>
      <c r="TI224" s="201"/>
      <c r="TJ224" s="201"/>
      <c r="TK224" s="201"/>
      <c r="TL224" s="201"/>
      <c r="TM224" s="201"/>
      <c r="TN224" s="201"/>
      <c r="TO224" s="201"/>
      <c r="TP224" s="201"/>
      <c r="TQ224" s="201"/>
      <c r="TR224" s="201"/>
      <c r="TS224" s="201"/>
      <c r="TT224" s="201"/>
      <c r="TU224" s="201"/>
      <c r="TV224" s="201"/>
      <c r="TW224" s="201"/>
      <c r="TX224" s="201"/>
      <c r="TY224" s="201"/>
      <c r="TZ224" s="201"/>
      <c r="UA224" s="201"/>
      <c r="UB224" s="201"/>
      <c r="UC224" s="201"/>
      <c r="UD224" s="201"/>
      <c r="UE224" s="201"/>
      <c r="UF224" s="201"/>
      <c r="UG224" s="201"/>
      <c r="UH224" s="201"/>
      <c r="UI224" s="201"/>
      <c r="UJ224" s="201"/>
      <c r="UK224" s="201"/>
      <c r="UL224" s="201"/>
      <c r="UM224" s="201"/>
      <c r="UN224" s="201"/>
      <c r="UO224" s="201"/>
      <c r="UP224" s="201"/>
      <c r="UQ224" s="201"/>
      <c r="UR224" s="201"/>
      <c r="US224" s="201"/>
      <c r="UT224" s="201"/>
      <c r="UU224" s="201"/>
    </row>
    <row r="225" spans="1:567" x14ac:dyDescent="0.25">
      <c r="B225" s="54" t="s">
        <v>690</v>
      </c>
      <c r="C225" s="26"/>
      <c r="D225" s="26"/>
      <c r="E225" s="26"/>
      <c r="F225" s="26"/>
      <c r="G225" s="26"/>
      <c r="H225" s="26"/>
      <c r="I225" s="26"/>
      <c r="J225" s="26"/>
      <c r="K225" s="34">
        <f>SUM(S225:EU225)</f>
        <v>731250</v>
      </c>
      <c r="L225" s="2"/>
      <c r="R225" s="159" t="str">
        <f>IF(ROUND(K225,0)=ROUND(K47*H47,0),"OK","ERROR")</f>
        <v>OK</v>
      </c>
      <c r="S225" s="92">
        <f>IF(S$19&gt;$K$19,"",(S215=$G$47)*$K$47*$H$47)</f>
        <v>0</v>
      </c>
      <c r="T225" s="92">
        <f t="shared" ref="T225:CE225" si="3377">IF(T$19&gt;$K$19,"",(T215=$G$47)*$K$47*$H$47)</f>
        <v>0</v>
      </c>
      <c r="U225" s="92">
        <f t="shared" si="3377"/>
        <v>0</v>
      </c>
      <c r="V225" s="92">
        <f t="shared" si="3377"/>
        <v>0</v>
      </c>
      <c r="W225" s="92">
        <f t="shared" si="3377"/>
        <v>0</v>
      </c>
      <c r="X225" s="92">
        <f t="shared" si="3377"/>
        <v>0</v>
      </c>
      <c r="Y225" s="92">
        <f t="shared" si="3377"/>
        <v>0</v>
      </c>
      <c r="Z225" s="92">
        <f t="shared" si="3377"/>
        <v>0</v>
      </c>
      <c r="AA225" s="92">
        <f t="shared" si="3377"/>
        <v>0</v>
      </c>
      <c r="AB225" s="92">
        <f t="shared" si="3377"/>
        <v>0</v>
      </c>
      <c r="AC225" s="92">
        <f t="shared" si="3377"/>
        <v>0</v>
      </c>
      <c r="AD225" s="92">
        <f t="shared" si="3377"/>
        <v>0</v>
      </c>
      <c r="AE225" s="92">
        <f t="shared" si="3377"/>
        <v>0</v>
      </c>
      <c r="AF225" s="92">
        <f t="shared" si="3377"/>
        <v>0</v>
      </c>
      <c r="AG225" s="92">
        <f t="shared" si="3377"/>
        <v>0</v>
      </c>
      <c r="AH225" s="92">
        <f t="shared" si="3377"/>
        <v>0</v>
      </c>
      <c r="AI225" s="92">
        <f t="shared" si="3377"/>
        <v>0</v>
      </c>
      <c r="AJ225" s="92">
        <f t="shared" si="3377"/>
        <v>0</v>
      </c>
      <c r="AK225" s="92">
        <f t="shared" si="3377"/>
        <v>0</v>
      </c>
      <c r="AL225" s="92">
        <f t="shared" si="3377"/>
        <v>0</v>
      </c>
      <c r="AM225" s="92">
        <f t="shared" si="3377"/>
        <v>0</v>
      </c>
      <c r="AN225" s="92">
        <f t="shared" si="3377"/>
        <v>0</v>
      </c>
      <c r="AO225" s="92">
        <f t="shared" si="3377"/>
        <v>0</v>
      </c>
      <c r="AP225" s="92">
        <f t="shared" si="3377"/>
        <v>0</v>
      </c>
      <c r="AQ225" s="92">
        <f t="shared" si="3377"/>
        <v>0</v>
      </c>
      <c r="AR225" s="92">
        <f t="shared" si="3377"/>
        <v>0</v>
      </c>
      <c r="AS225" s="92">
        <f t="shared" si="3377"/>
        <v>0</v>
      </c>
      <c r="AT225" s="92">
        <f t="shared" si="3377"/>
        <v>0</v>
      </c>
      <c r="AU225" s="92">
        <f t="shared" si="3377"/>
        <v>0</v>
      </c>
      <c r="AV225" s="92">
        <f t="shared" si="3377"/>
        <v>0</v>
      </c>
      <c r="AW225" s="92">
        <f t="shared" si="3377"/>
        <v>0</v>
      </c>
      <c r="AX225" s="92">
        <f t="shared" si="3377"/>
        <v>0</v>
      </c>
      <c r="AY225" s="92">
        <f t="shared" si="3377"/>
        <v>0</v>
      </c>
      <c r="AZ225" s="92">
        <f t="shared" si="3377"/>
        <v>0</v>
      </c>
      <c r="BA225" s="92">
        <f t="shared" si="3377"/>
        <v>0</v>
      </c>
      <c r="BB225" s="92">
        <f t="shared" si="3377"/>
        <v>0</v>
      </c>
      <c r="BC225" s="92">
        <f t="shared" si="3377"/>
        <v>731250</v>
      </c>
      <c r="BD225" s="92" t="str">
        <f t="shared" si="3377"/>
        <v/>
      </c>
      <c r="BE225" s="92" t="str">
        <f t="shared" si="3377"/>
        <v/>
      </c>
      <c r="BF225" s="92" t="str">
        <f t="shared" si="3377"/>
        <v/>
      </c>
      <c r="BG225" s="92" t="str">
        <f t="shared" si="3377"/>
        <v/>
      </c>
      <c r="BH225" s="92" t="str">
        <f t="shared" si="3377"/>
        <v/>
      </c>
      <c r="BI225" s="92" t="str">
        <f t="shared" si="3377"/>
        <v/>
      </c>
      <c r="BJ225" s="92" t="str">
        <f t="shared" si="3377"/>
        <v/>
      </c>
      <c r="BK225" s="92" t="str">
        <f t="shared" si="3377"/>
        <v/>
      </c>
      <c r="BL225" s="92" t="str">
        <f t="shared" si="3377"/>
        <v/>
      </c>
      <c r="BM225" s="92" t="str">
        <f t="shared" si="3377"/>
        <v/>
      </c>
      <c r="BN225" s="92" t="str">
        <f t="shared" si="3377"/>
        <v/>
      </c>
      <c r="BO225" s="92" t="str">
        <f t="shared" si="3377"/>
        <v/>
      </c>
      <c r="BP225" s="92" t="str">
        <f t="shared" si="3377"/>
        <v/>
      </c>
      <c r="BQ225" s="92" t="str">
        <f t="shared" si="3377"/>
        <v/>
      </c>
      <c r="BR225" s="92" t="str">
        <f t="shared" si="3377"/>
        <v/>
      </c>
      <c r="BS225" s="92" t="str">
        <f t="shared" si="3377"/>
        <v/>
      </c>
      <c r="BT225" s="92" t="str">
        <f t="shared" si="3377"/>
        <v/>
      </c>
      <c r="BU225" s="92" t="str">
        <f t="shared" si="3377"/>
        <v/>
      </c>
      <c r="BV225" s="92" t="str">
        <f t="shared" si="3377"/>
        <v/>
      </c>
      <c r="BW225" s="92" t="str">
        <f t="shared" si="3377"/>
        <v/>
      </c>
      <c r="BX225" s="92" t="str">
        <f t="shared" si="3377"/>
        <v/>
      </c>
      <c r="BY225" s="92" t="str">
        <f t="shared" si="3377"/>
        <v/>
      </c>
      <c r="BZ225" s="92" t="str">
        <f t="shared" si="3377"/>
        <v/>
      </c>
      <c r="CA225" s="92" t="str">
        <f t="shared" si="3377"/>
        <v/>
      </c>
      <c r="CB225" s="92" t="str">
        <f t="shared" si="3377"/>
        <v/>
      </c>
      <c r="CC225" s="92" t="str">
        <f t="shared" si="3377"/>
        <v/>
      </c>
      <c r="CD225" s="92" t="str">
        <f t="shared" si="3377"/>
        <v/>
      </c>
      <c r="CE225" s="92" t="str">
        <f t="shared" si="3377"/>
        <v/>
      </c>
      <c r="CF225" s="92" t="str">
        <f t="shared" ref="CF225:EQ225" si="3378">IF(CF$19&gt;$K$19,"",(CF215=$G$47)*$K$47*$H$47)</f>
        <v/>
      </c>
      <c r="CG225" s="92" t="str">
        <f t="shared" si="3378"/>
        <v/>
      </c>
      <c r="CH225" s="92" t="str">
        <f t="shared" si="3378"/>
        <v/>
      </c>
      <c r="CI225" s="92" t="str">
        <f t="shared" si="3378"/>
        <v/>
      </c>
      <c r="CJ225" s="92" t="str">
        <f t="shared" si="3378"/>
        <v/>
      </c>
      <c r="CK225" s="92" t="str">
        <f t="shared" si="3378"/>
        <v/>
      </c>
      <c r="CL225" s="92" t="str">
        <f t="shared" si="3378"/>
        <v/>
      </c>
      <c r="CM225" s="92" t="str">
        <f t="shared" si="3378"/>
        <v/>
      </c>
      <c r="CN225" s="92" t="str">
        <f t="shared" si="3378"/>
        <v/>
      </c>
      <c r="CO225" s="92" t="str">
        <f t="shared" si="3378"/>
        <v/>
      </c>
      <c r="CP225" s="92" t="str">
        <f t="shared" si="3378"/>
        <v/>
      </c>
      <c r="CQ225" s="92" t="str">
        <f t="shared" si="3378"/>
        <v/>
      </c>
      <c r="CR225" s="92" t="str">
        <f t="shared" si="3378"/>
        <v/>
      </c>
      <c r="CS225" s="92" t="str">
        <f t="shared" si="3378"/>
        <v/>
      </c>
      <c r="CT225" s="92" t="str">
        <f t="shared" si="3378"/>
        <v/>
      </c>
      <c r="CU225" s="92" t="str">
        <f t="shared" si="3378"/>
        <v/>
      </c>
      <c r="CV225" s="92" t="str">
        <f t="shared" si="3378"/>
        <v/>
      </c>
      <c r="CW225" s="92" t="str">
        <f t="shared" si="3378"/>
        <v/>
      </c>
      <c r="CX225" s="92" t="str">
        <f t="shared" si="3378"/>
        <v/>
      </c>
      <c r="CY225" s="92" t="str">
        <f t="shared" si="3378"/>
        <v/>
      </c>
      <c r="CZ225" s="92" t="str">
        <f t="shared" si="3378"/>
        <v/>
      </c>
      <c r="DA225" s="92" t="str">
        <f t="shared" si="3378"/>
        <v/>
      </c>
      <c r="DB225" s="92" t="str">
        <f t="shared" si="3378"/>
        <v/>
      </c>
      <c r="DC225" s="92" t="str">
        <f t="shared" si="3378"/>
        <v/>
      </c>
      <c r="DD225" s="92" t="str">
        <f t="shared" si="3378"/>
        <v/>
      </c>
      <c r="DE225" s="92" t="str">
        <f t="shared" si="3378"/>
        <v/>
      </c>
      <c r="DF225" s="92" t="str">
        <f t="shared" si="3378"/>
        <v/>
      </c>
      <c r="DG225" s="92" t="str">
        <f t="shared" si="3378"/>
        <v/>
      </c>
      <c r="DH225" s="92" t="str">
        <f t="shared" si="3378"/>
        <v/>
      </c>
      <c r="DI225" s="92" t="str">
        <f t="shared" si="3378"/>
        <v/>
      </c>
      <c r="DJ225" s="92" t="str">
        <f t="shared" si="3378"/>
        <v/>
      </c>
      <c r="DK225" s="92" t="str">
        <f t="shared" si="3378"/>
        <v/>
      </c>
      <c r="DL225" s="92" t="str">
        <f t="shared" si="3378"/>
        <v/>
      </c>
      <c r="DM225" s="92" t="str">
        <f t="shared" si="3378"/>
        <v/>
      </c>
      <c r="DN225" s="92" t="str">
        <f t="shared" si="3378"/>
        <v/>
      </c>
      <c r="DO225" s="92" t="str">
        <f t="shared" si="3378"/>
        <v/>
      </c>
      <c r="DP225" s="92" t="str">
        <f t="shared" si="3378"/>
        <v/>
      </c>
      <c r="DQ225" s="92" t="str">
        <f t="shared" si="3378"/>
        <v/>
      </c>
      <c r="DR225" s="92" t="str">
        <f t="shared" si="3378"/>
        <v/>
      </c>
      <c r="DS225" s="92" t="str">
        <f t="shared" si="3378"/>
        <v/>
      </c>
      <c r="DT225" s="92" t="str">
        <f t="shared" si="3378"/>
        <v/>
      </c>
      <c r="DU225" s="92" t="str">
        <f t="shared" si="3378"/>
        <v/>
      </c>
      <c r="DV225" s="92" t="str">
        <f t="shared" si="3378"/>
        <v/>
      </c>
      <c r="DW225" s="92" t="str">
        <f t="shared" si="3378"/>
        <v/>
      </c>
      <c r="DX225" s="92" t="str">
        <f t="shared" si="3378"/>
        <v/>
      </c>
      <c r="DY225" s="92" t="str">
        <f t="shared" si="3378"/>
        <v/>
      </c>
      <c r="DZ225" s="92" t="str">
        <f t="shared" si="3378"/>
        <v/>
      </c>
      <c r="EA225" s="92" t="str">
        <f t="shared" si="3378"/>
        <v/>
      </c>
      <c r="EB225" s="92" t="str">
        <f t="shared" si="3378"/>
        <v/>
      </c>
      <c r="EC225" s="92" t="str">
        <f t="shared" si="3378"/>
        <v/>
      </c>
      <c r="ED225" s="92" t="str">
        <f t="shared" si="3378"/>
        <v/>
      </c>
      <c r="EE225" s="92" t="str">
        <f t="shared" si="3378"/>
        <v/>
      </c>
      <c r="EF225" s="92" t="str">
        <f t="shared" si="3378"/>
        <v/>
      </c>
      <c r="EG225" s="92" t="str">
        <f t="shared" si="3378"/>
        <v/>
      </c>
      <c r="EH225" s="92" t="str">
        <f t="shared" si="3378"/>
        <v/>
      </c>
      <c r="EI225" s="92" t="str">
        <f t="shared" si="3378"/>
        <v/>
      </c>
      <c r="EJ225" s="92" t="str">
        <f t="shared" si="3378"/>
        <v/>
      </c>
      <c r="EK225" s="92" t="str">
        <f t="shared" si="3378"/>
        <v/>
      </c>
      <c r="EL225" s="92" t="str">
        <f t="shared" si="3378"/>
        <v/>
      </c>
      <c r="EM225" s="92" t="str">
        <f t="shared" si="3378"/>
        <v/>
      </c>
      <c r="EN225" s="92" t="str">
        <f t="shared" si="3378"/>
        <v/>
      </c>
      <c r="EO225" s="92" t="str">
        <f t="shared" si="3378"/>
        <v/>
      </c>
      <c r="EP225" s="92" t="str">
        <f t="shared" si="3378"/>
        <v/>
      </c>
      <c r="EQ225" s="92" t="str">
        <f t="shared" si="3378"/>
        <v/>
      </c>
      <c r="ER225" s="92" t="str">
        <f t="shared" ref="ER225:EU225" si="3379">IF(ER$19&gt;$K$19,"",(ER215=$G$47)*$K$47*$H$47)</f>
        <v/>
      </c>
      <c r="ES225" s="92" t="str">
        <f t="shared" si="3379"/>
        <v/>
      </c>
      <c r="ET225" s="92" t="str">
        <f t="shared" si="3379"/>
        <v/>
      </c>
      <c r="EU225" s="92" t="str">
        <f t="shared" si="3379"/>
        <v/>
      </c>
      <c r="EV225" s="2"/>
      <c r="FC225" s="236"/>
      <c r="FD225" s="236"/>
      <c r="FE225" s="236"/>
      <c r="FF225" s="236"/>
      <c r="FG225" s="236"/>
      <c r="FH225" s="236"/>
      <c r="FI225" s="236"/>
      <c r="FJ225" s="236"/>
      <c r="FK225" s="236"/>
      <c r="FL225" s="236"/>
      <c r="FM225" s="236"/>
      <c r="FN225" s="236"/>
      <c r="FO225" s="236"/>
      <c r="FP225" s="236"/>
      <c r="FQ225" s="236"/>
      <c r="FR225" s="236"/>
      <c r="FS225" s="236"/>
      <c r="FT225" s="236"/>
      <c r="FU225" s="236"/>
      <c r="FV225" s="236"/>
      <c r="FW225" s="236"/>
      <c r="FX225" s="236"/>
      <c r="FY225" s="236"/>
      <c r="FZ225" s="236"/>
      <c r="GA225" s="236"/>
      <c r="GB225" s="236"/>
      <c r="GC225" s="236"/>
      <c r="GD225" s="236"/>
      <c r="GE225" s="236"/>
      <c r="GF225" s="236"/>
      <c r="GG225" s="236"/>
      <c r="GH225" s="236"/>
      <c r="GI225" s="236"/>
      <c r="GJ225" s="236"/>
      <c r="GK225" s="236"/>
      <c r="GL225" s="236"/>
      <c r="GM225" s="236"/>
      <c r="GN225" s="236"/>
      <c r="GO225" s="236"/>
      <c r="GP225" s="236"/>
      <c r="GQ225" s="236"/>
      <c r="GR225" s="236"/>
      <c r="GS225" s="236"/>
      <c r="GT225" s="236"/>
      <c r="GU225" s="236"/>
      <c r="GV225" s="236"/>
      <c r="GW225" s="236"/>
      <c r="GX225" s="236"/>
      <c r="GY225" s="236"/>
      <c r="GZ225" s="236"/>
      <c r="HA225" s="236"/>
      <c r="HB225" s="236"/>
      <c r="HC225" s="236"/>
      <c r="HD225" s="236"/>
      <c r="HE225" s="236"/>
      <c r="HF225" s="236"/>
      <c r="HG225" s="236"/>
      <c r="HH225" s="236"/>
      <c r="HI225" s="236"/>
      <c r="HJ225" s="236"/>
      <c r="HK225" s="236"/>
      <c r="HL225" s="236"/>
      <c r="HM225" s="236"/>
      <c r="HN225" s="236"/>
      <c r="HO225" s="236"/>
      <c r="HP225" s="236"/>
      <c r="HQ225" s="236"/>
      <c r="HR225" s="236"/>
      <c r="HS225" s="236"/>
      <c r="HT225" s="236"/>
      <c r="HU225" s="236"/>
      <c r="HV225" s="236"/>
      <c r="HW225" s="236"/>
      <c r="HX225" s="236"/>
      <c r="HY225" s="236"/>
      <c r="HZ225" s="236"/>
      <c r="IA225" s="236"/>
      <c r="IB225" s="236"/>
      <c r="IC225" s="236"/>
      <c r="ID225" s="236"/>
      <c r="IE225" s="236"/>
      <c r="IF225" s="236"/>
      <c r="IG225" s="236"/>
      <c r="IH225" s="236"/>
      <c r="II225" s="236"/>
      <c r="IJ225" s="236"/>
      <c r="IK225" s="236"/>
      <c r="IL225" s="236"/>
      <c r="IM225" s="236"/>
      <c r="IN225" s="236"/>
      <c r="IO225" s="236"/>
      <c r="IP225" s="236"/>
      <c r="IQ225" s="236"/>
      <c r="IR225" s="236"/>
      <c r="IS225" s="236"/>
      <c r="IT225" s="236"/>
      <c r="IU225" s="236"/>
      <c r="IV225" s="236"/>
      <c r="IW225" s="236"/>
      <c r="IX225" s="236"/>
      <c r="IY225" s="236"/>
      <c r="IZ225" s="236"/>
      <c r="JA225" s="236"/>
      <c r="JB225" s="236"/>
      <c r="JC225" s="236"/>
      <c r="JD225" s="236"/>
      <c r="JE225" s="236"/>
      <c r="JF225" s="236"/>
      <c r="JG225" s="236"/>
      <c r="JH225" s="236"/>
      <c r="JI225" s="236"/>
      <c r="JJ225" s="236"/>
      <c r="JK225" s="236"/>
      <c r="JL225" s="236"/>
      <c r="JM225" s="236"/>
      <c r="JN225" s="236"/>
      <c r="JO225" s="236"/>
      <c r="JP225" s="236"/>
      <c r="JQ225" s="236"/>
      <c r="JR225" s="236"/>
      <c r="JS225" s="236"/>
      <c r="JT225" s="236"/>
      <c r="JU225" s="236"/>
      <c r="JV225" s="236"/>
      <c r="JW225" s="236"/>
      <c r="JX225" s="236"/>
      <c r="JY225" s="236"/>
      <c r="JZ225" s="236"/>
      <c r="KA225" s="236"/>
      <c r="KB225" s="236"/>
      <c r="KC225" s="236"/>
      <c r="KD225" s="236"/>
      <c r="KE225" s="236"/>
      <c r="KG225" s="201"/>
      <c r="KH225" s="201"/>
      <c r="KI225" s="201"/>
      <c r="KJ225" s="201"/>
      <c r="KK225" s="201"/>
      <c r="KL225" s="201"/>
      <c r="KM225" s="201"/>
      <c r="KN225" s="201"/>
      <c r="KO225" s="201"/>
      <c r="KP225" s="201"/>
      <c r="KQ225" s="201"/>
      <c r="KR225" s="201"/>
      <c r="KS225" s="201"/>
      <c r="KT225" s="201"/>
      <c r="KU225" s="201"/>
      <c r="KV225" s="201"/>
      <c r="KW225" s="201"/>
      <c r="KX225" s="201"/>
      <c r="KY225" s="201"/>
      <c r="KZ225" s="201"/>
      <c r="LA225" s="201"/>
      <c r="LB225" s="201"/>
      <c r="LC225" s="201"/>
      <c r="LD225" s="201"/>
      <c r="LE225" s="201"/>
      <c r="LF225" s="201"/>
      <c r="LG225" s="201"/>
      <c r="LH225" s="201"/>
      <c r="LI225" s="201"/>
      <c r="LJ225" s="201"/>
      <c r="LK225" s="201"/>
      <c r="LL225" s="201"/>
      <c r="LM225" s="201"/>
      <c r="LN225" s="201"/>
      <c r="LO225" s="201"/>
      <c r="LP225" s="201"/>
      <c r="LQ225" s="201"/>
      <c r="LR225" s="201"/>
      <c r="LS225" s="201"/>
      <c r="LT225" s="201"/>
      <c r="LU225" s="201"/>
      <c r="LV225" s="201"/>
      <c r="LW225" s="201"/>
      <c r="LX225" s="201"/>
      <c r="LY225" s="201"/>
      <c r="LZ225" s="201"/>
      <c r="MA225" s="201"/>
      <c r="MB225" s="201"/>
      <c r="MC225" s="201"/>
      <c r="MD225" s="201"/>
      <c r="ME225" s="201"/>
      <c r="MF225" s="201"/>
      <c r="MG225" s="201"/>
      <c r="MH225" s="201"/>
      <c r="MI225" s="201"/>
      <c r="MJ225" s="201"/>
      <c r="MK225" s="201"/>
      <c r="ML225" s="201"/>
      <c r="MM225" s="201"/>
      <c r="MN225" s="201"/>
      <c r="MO225" s="201"/>
      <c r="MP225" s="201"/>
      <c r="MQ225" s="201"/>
      <c r="MR225" s="201"/>
      <c r="MS225" s="201"/>
      <c r="MT225" s="201"/>
      <c r="MU225" s="201"/>
      <c r="MV225" s="201"/>
      <c r="MW225" s="201"/>
      <c r="MX225" s="201"/>
      <c r="MY225" s="201"/>
      <c r="MZ225" s="201"/>
      <c r="NA225" s="201"/>
      <c r="NB225" s="201"/>
      <c r="NC225" s="201"/>
      <c r="ND225" s="201"/>
      <c r="NE225" s="201"/>
      <c r="NF225" s="201"/>
      <c r="NG225" s="201"/>
      <c r="NH225" s="201"/>
      <c r="NI225" s="201"/>
      <c r="NJ225" s="201"/>
      <c r="NK225" s="201"/>
      <c r="NL225" s="201"/>
      <c r="NM225" s="201"/>
      <c r="NN225" s="201"/>
      <c r="NO225" s="201"/>
      <c r="NP225" s="201"/>
      <c r="NQ225" s="201"/>
      <c r="NR225" s="201"/>
      <c r="NS225" s="201"/>
      <c r="NT225" s="201"/>
      <c r="NU225" s="201"/>
      <c r="NV225" s="201"/>
      <c r="NW225" s="201"/>
      <c r="NX225" s="201"/>
      <c r="NY225" s="201"/>
      <c r="NZ225" s="201"/>
      <c r="OA225" s="201"/>
      <c r="OB225" s="201"/>
      <c r="OC225" s="201"/>
      <c r="OD225" s="201"/>
      <c r="OE225" s="201"/>
      <c r="OF225" s="201"/>
      <c r="OG225" s="201"/>
      <c r="OH225" s="201"/>
      <c r="OI225" s="201"/>
      <c r="OJ225" s="201"/>
      <c r="OK225" s="201"/>
      <c r="OL225" s="201"/>
      <c r="OM225" s="201"/>
      <c r="ON225" s="201"/>
      <c r="OO225" s="201"/>
      <c r="OP225" s="201"/>
      <c r="OQ225" s="201"/>
      <c r="OR225" s="201"/>
      <c r="OS225" s="201"/>
      <c r="OT225" s="201"/>
      <c r="OU225" s="201"/>
      <c r="OV225" s="201"/>
      <c r="OW225" s="201"/>
      <c r="OX225" s="201"/>
      <c r="OY225" s="201"/>
      <c r="OZ225" s="201"/>
      <c r="PA225" s="201"/>
      <c r="PB225" s="201"/>
      <c r="PC225" s="201"/>
      <c r="PD225" s="201"/>
      <c r="PE225" s="201"/>
      <c r="PF225" s="201"/>
      <c r="PG225" s="201"/>
      <c r="PH225" s="201"/>
      <c r="PI225" s="201"/>
      <c r="PJ225" s="201"/>
      <c r="PK225" s="201"/>
      <c r="PL225" s="201"/>
      <c r="PM225" s="201"/>
      <c r="PN225" s="201"/>
      <c r="PO225" s="201"/>
      <c r="PQ225" s="201"/>
      <c r="PR225" s="201"/>
      <c r="PS225" s="201"/>
      <c r="PT225" s="201"/>
      <c r="PU225" s="201"/>
      <c r="PV225" s="201"/>
      <c r="PW225" s="201"/>
      <c r="PX225" s="201"/>
      <c r="PY225" s="201"/>
      <c r="PZ225" s="201"/>
      <c r="QA225" s="201"/>
      <c r="QB225" s="201"/>
      <c r="QC225" s="201"/>
      <c r="QD225" s="201"/>
      <c r="QE225" s="201"/>
      <c r="QF225" s="201"/>
      <c r="QG225" s="201"/>
      <c r="QH225" s="201"/>
      <c r="QI225" s="201"/>
      <c r="QJ225" s="201"/>
      <c r="QK225" s="201"/>
      <c r="QL225" s="201"/>
      <c r="QM225" s="201"/>
      <c r="QN225" s="201"/>
      <c r="QO225" s="201"/>
      <c r="QP225" s="201"/>
      <c r="QQ225" s="201"/>
      <c r="QR225" s="201"/>
      <c r="QS225" s="201"/>
      <c r="QT225" s="201"/>
      <c r="QU225" s="201"/>
      <c r="QV225" s="201"/>
      <c r="QW225" s="201"/>
      <c r="QX225" s="201"/>
      <c r="QY225" s="201"/>
      <c r="QZ225" s="201"/>
      <c r="RA225" s="201"/>
      <c r="RB225" s="201"/>
      <c r="RC225" s="201"/>
      <c r="RD225" s="201"/>
      <c r="RE225" s="201"/>
      <c r="RF225" s="201"/>
      <c r="RG225" s="201"/>
      <c r="RH225" s="201"/>
      <c r="RI225" s="201"/>
      <c r="RJ225" s="201"/>
      <c r="RK225" s="201"/>
      <c r="RL225" s="201"/>
      <c r="RM225" s="201"/>
      <c r="RN225" s="201"/>
      <c r="RO225" s="201"/>
      <c r="RP225" s="201"/>
      <c r="RQ225" s="201"/>
      <c r="RR225" s="201"/>
      <c r="RS225" s="201"/>
      <c r="RT225" s="201"/>
      <c r="RU225" s="201"/>
      <c r="RV225" s="201"/>
      <c r="RW225" s="201"/>
      <c r="RX225" s="201"/>
      <c r="RY225" s="201"/>
      <c r="RZ225" s="201"/>
      <c r="SA225" s="201"/>
      <c r="SB225" s="201"/>
      <c r="SC225" s="201"/>
      <c r="SD225" s="201"/>
      <c r="SE225" s="201"/>
      <c r="SF225" s="201"/>
      <c r="SG225" s="201"/>
      <c r="SH225" s="201"/>
      <c r="SI225" s="201"/>
      <c r="SJ225" s="201"/>
      <c r="SK225" s="201"/>
      <c r="SL225" s="201"/>
      <c r="SM225" s="201"/>
      <c r="SN225" s="201"/>
      <c r="SO225" s="201"/>
      <c r="SP225" s="201"/>
      <c r="SQ225" s="201"/>
      <c r="SR225" s="201"/>
      <c r="SS225" s="201"/>
      <c r="ST225" s="201"/>
      <c r="SU225" s="201"/>
      <c r="SV225" s="201"/>
      <c r="SW225" s="201"/>
      <c r="SX225" s="201"/>
      <c r="SY225" s="201"/>
      <c r="SZ225" s="201"/>
      <c r="TA225" s="201"/>
      <c r="TB225" s="201"/>
      <c r="TC225" s="201"/>
      <c r="TD225" s="201"/>
      <c r="TE225" s="201"/>
      <c r="TF225" s="201"/>
      <c r="TG225" s="201"/>
      <c r="TH225" s="201"/>
      <c r="TI225" s="201"/>
      <c r="TJ225" s="201"/>
      <c r="TK225" s="201"/>
      <c r="TL225" s="201"/>
      <c r="TM225" s="201"/>
      <c r="TN225" s="201"/>
      <c r="TO225" s="201"/>
      <c r="TP225" s="201"/>
      <c r="TQ225" s="201"/>
      <c r="TR225" s="201"/>
      <c r="TS225" s="201"/>
      <c r="TT225" s="201"/>
      <c r="TU225" s="201"/>
      <c r="TV225" s="201"/>
      <c r="TW225" s="201"/>
      <c r="TX225" s="201"/>
      <c r="TY225" s="201"/>
      <c r="TZ225" s="201"/>
      <c r="UA225" s="201"/>
      <c r="UB225" s="201"/>
      <c r="UC225" s="201"/>
      <c r="UD225" s="201"/>
      <c r="UE225" s="201"/>
      <c r="UF225" s="201"/>
      <c r="UG225" s="201"/>
      <c r="UH225" s="201"/>
      <c r="UI225" s="201"/>
      <c r="UJ225" s="201"/>
      <c r="UK225" s="201"/>
      <c r="UL225" s="201"/>
      <c r="UM225" s="201"/>
      <c r="UN225" s="201"/>
      <c r="UO225" s="201"/>
      <c r="UP225" s="201"/>
      <c r="UQ225" s="201"/>
      <c r="UR225" s="201"/>
      <c r="US225" s="201"/>
      <c r="UT225" s="201"/>
      <c r="UU225" s="201"/>
    </row>
    <row r="226" spans="1:567" x14ac:dyDescent="0.25">
      <c r="B226" s="54" t="s">
        <v>236</v>
      </c>
      <c r="C226" s="26"/>
      <c r="D226" s="26"/>
      <c r="E226" s="26"/>
      <c r="F226" s="26"/>
      <c r="G226" s="26"/>
      <c r="H226" s="26"/>
      <c r="I226" s="26"/>
      <c r="J226" s="26"/>
      <c r="K226" s="34">
        <f>SUM(S226:EU226)</f>
        <v>-41476395.000000291</v>
      </c>
      <c r="L226" s="2"/>
      <c r="R226" s="159" t="str">
        <f>IF(ROUND(K226,0)=ROUND(SUM(S226:EU226),0),"OK","ERROR")</f>
        <v>OK</v>
      </c>
      <c r="S226" s="92">
        <f t="shared" ref="S226:AX226" si="3380">IF(S$19&gt;$K$19,"",($K$80=S215)*S80+($K$81=S215)*S81+($K$93=S215)*S93+($K$94=S215)*S94)</f>
        <v>0</v>
      </c>
      <c r="T226" s="92">
        <f t="shared" si="3380"/>
        <v>0</v>
      </c>
      <c r="U226" s="92">
        <f t="shared" si="3380"/>
        <v>0</v>
      </c>
      <c r="V226" s="92">
        <f t="shared" si="3380"/>
        <v>0</v>
      </c>
      <c r="W226" s="92">
        <f t="shared" si="3380"/>
        <v>0</v>
      </c>
      <c r="X226" s="92">
        <f t="shared" si="3380"/>
        <v>0</v>
      </c>
      <c r="Y226" s="92">
        <f t="shared" si="3380"/>
        <v>0</v>
      </c>
      <c r="Z226" s="92">
        <f t="shared" si="3380"/>
        <v>0</v>
      </c>
      <c r="AA226" s="92">
        <f t="shared" si="3380"/>
        <v>0</v>
      </c>
      <c r="AB226" s="92">
        <f t="shared" si="3380"/>
        <v>0</v>
      </c>
      <c r="AC226" s="92">
        <f t="shared" si="3380"/>
        <v>0</v>
      </c>
      <c r="AD226" s="92">
        <f t="shared" si="3380"/>
        <v>0</v>
      </c>
      <c r="AE226" s="92">
        <f t="shared" si="3380"/>
        <v>0</v>
      </c>
      <c r="AF226" s="92">
        <f t="shared" si="3380"/>
        <v>0</v>
      </c>
      <c r="AG226" s="92">
        <f t="shared" si="3380"/>
        <v>0</v>
      </c>
      <c r="AH226" s="92">
        <f t="shared" si="3380"/>
        <v>0</v>
      </c>
      <c r="AI226" s="92">
        <f t="shared" si="3380"/>
        <v>0</v>
      </c>
      <c r="AJ226" s="92">
        <f t="shared" si="3380"/>
        <v>0</v>
      </c>
      <c r="AK226" s="92">
        <f t="shared" si="3380"/>
        <v>0</v>
      </c>
      <c r="AL226" s="92">
        <f t="shared" si="3380"/>
        <v>0</v>
      </c>
      <c r="AM226" s="92">
        <f t="shared" si="3380"/>
        <v>0</v>
      </c>
      <c r="AN226" s="92">
        <f t="shared" si="3380"/>
        <v>0</v>
      </c>
      <c r="AO226" s="92">
        <f t="shared" si="3380"/>
        <v>0</v>
      </c>
      <c r="AP226" s="92">
        <f t="shared" si="3380"/>
        <v>0</v>
      </c>
      <c r="AQ226" s="92">
        <f t="shared" si="3380"/>
        <v>0</v>
      </c>
      <c r="AR226" s="92">
        <f t="shared" si="3380"/>
        <v>0</v>
      </c>
      <c r="AS226" s="92">
        <f t="shared" si="3380"/>
        <v>0</v>
      </c>
      <c r="AT226" s="92">
        <f t="shared" si="3380"/>
        <v>0</v>
      </c>
      <c r="AU226" s="92">
        <f t="shared" si="3380"/>
        <v>0</v>
      </c>
      <c r="AV226" s="92">
        <f t="shared" si="3380"/>
        <v>0</v>
      </c>
      <c r="AW226" s="92">
        <f t="shared" si="3380"/>
        <v>0</v>
      </c>
      <c r="AX226" s="92">
        <f t="shared" si="3380"/>
        <v>0</v>
      </c>
      <c r="AY226" s="92">
        <f t="shared" ref="AY226:CD226" si="3381">IF(AY$19&gt;$K$19,"",($K$80=AY215)*AY80+($K$81=AY215)*AY81+($K$93=AY215)*AY93+($K$94=AY215)*AY94)</f>
        <v>0</v>
      </c>
      <c r="AZ226" s="92">
        <f t="shared" si="3381"/>
        <v>0</v>
      </c>
      <c r="BA226" s="92">
        <f t="shared" si="3381"/>
        <v>0</v>
      </c>
      <c r="BB226" s="92">
        <f t="shared" si="3381"/>
        <v>0</v>
      </c>
      <c r="BC226" s="92">
        <f t="shared" si="3381"/>
        <v>-41476395.000000291</v>
      </c>
      <c r="BD226" s="92" t="str">
        <f t="shared" si="3381"/>
        <v/>
      </c>
      <c r="BE226" s="92" t="str">
        <f t="shared" si="3381"/>
        <v/>
      </c>
      <c r="BF226" s="92" t="str">
        <f t="shared" si="3381"/>
        <v/>
      </c>
      <c r="BG226" s="92" t="str">
        <f t="shared" si="3381"/>
        <v/>
      </c>
      <c r="BH226" s="92" t="str">
        <f t="shared" si="3381"/>
        <v/>
      </c>
      <c r="BI226" s="92" t="str">
        <f t="shared" si="3381"/>
        <v/>
      </c>
      <c r="BJ226" s="92" t="str">
        <f t="shared" si="3381"/>
        <v/>
      </c>
      <c r="BK226" s="92" t="str">
        <f t="shared" si="3381"/>
        <v/>
      </c>
      <c r="BL226" s="92" t="str">
        <f t="shared" si="3381"/>
        <v/>
      </c>
      <c r="BM226" s="92" t="str">
        <f t="shared" si="3381"/>
        <v/>
      </c>
      <c r="BN226" s="92" t="str">
        <f t="shared" si="3381"/>
        <v/>
      </c>
      <c r="BO226" s="92" t="str">
        <f t="shared" si="3381"/>
        <v/>
      </c>
      <c r="BP226" s="92" t="str">
        <f t="shared" si="3381"/>
        <v/>
      </c>
      <c r="BQ226" s="92" t="str">
        <f t="shared" si="3381"/>
        <v/>
      </c>
      <c r="BR226" s="92" t="str">
        <f t="shared" si="3381"/>
        <v/>
      </c>
      <c r="BS226" s="92" t="str">
        <f t="shared" si="3381"/>
        <v/>
      </c>
      <c r="BT226" s="92" t="str">
        <f t="shared" si="3381"/>
        <v/>
      </c>
      <c r="BU226" s="92" t="str">
        <f t="shared" si="3381"/>
        <v/>
      </c>
      <c r="BV226" s="92" t="str">
        <f t="shared" si="3381"/>
        <v/>
      </c>
      <c r="BW226" s="92" t="str">
        <f t="shared" si="3381"/>
        <v/>
      </c>
      <c r="BX226" s="92" t="str">
        <f t="shared" si="3381"/>
        <v/>
      </c>
      <c r="BY226" s="92" t="str">
        <f t="shared" si="3381"/>
        <v/>
      </c>
      <c r="BZ226" s="92" t="str">
        <f t="shared" si="3381"/>
        <v/>
      </c>
      <c r="CA226" s="92" t="str">
        <f t="shared" si="3381"/>
        <v/>
      </c>
      <c r="CB226" s="92" t="str">
        <f t="shared" si="3381"/>
        <v/>
      </c>
      <c r="CC226" s="92" t="str">
        <f t="shared" si="3381"/>
        <v/>
      </c>
      <c r="CD226" s="92" t="str">
        <f t="shared" si="3381"/>
        <v/>
      </c>
      <c r="CE226" s="92" t="str">
        <f t="shared" ref="CE226:DJ226" si="3382">IF(CE$19&gt;$K$19,"",($K$80=CE215)*CE80+($K$81=CE215)*CE81+($K$93=CE215)*CE93+($K$94=CE215)*CE94)</f>
        <v/>
      </c>
      <c r="CF226" s="92" t="str">
        <f t="shared" si="3382"/>
        <v/>
      </c>
      <c r="CG226" s="92" t="str">
        <f t="shared" si="3382"/>
        <v/>
      </c>
      <c r="CH226" s="92" t="str">
        <f t="shared" si="3382"/>
        <v/>
      </c>
      <c r="CI226" s="92" t="str">
        <f t="shared" si="3382"/>
        <v/>
      </c>
      <c r="CJ226" s="92" t="str">
        <f t="shared" si="3382"/>
        <v/>
      </c>
      <c r="CK226" s="92" t="str">
        <f t="shared" si="3382"/>
        <v/>
      </c>
      <c r="CL226" s="92" t="str">
        <f t="shared" si="3382"/>
        <v/>
      </c>
      <c r="CM226" s="92" t="str">
        <f t="shared" si="3382"/>
        <v/>
      </c>
      <c r="CN226" s="92" t="str">
        <f t="shared" si="3382"/>
        <v/>
      </c>
      <c r="CO226" s="92" t="str">
        <f t="shared" si="3382"/>
        <v/>
      </c>
      <c r="CP226" s="92" t="str">
        <f t="shared" si="3382"/>
        <v/>
      </c>
      <c r="CQ226" s="92" t="str">
        <f t="shared" si="3382"/>
        <v/>
      </c>
      <c r="CR226" s="92" t="str">
        <f t="shared" si="3382"/>
        <v/>
      </c>
      <c r="CS226" s="92" t="str">
        <f t="shared" si="3382"/>
        <v/>
      </c>
      <c r="CT226" s="92" t="str">
        <f t="shared" si="3382"/>
        <v/>
      </c>
      <c r="CU226" s="92" t="str">
        <f t="shared" si="3382"/>
        <v/>
      </c>
      <c r="CV226" s="92" t="str">
        <f t="shared" si="3382"/>
        <v/>
      </c>
      <c r="CW226" s="92" t="str">
        <f t="shared" si="3382"/>
        <v/>
      </c>
      <c r="CX226" s="92" t="str">
        <f t="shared" si="3382"/>
        <v/>
      </c>
      <c r="CY226" s="92" t="str">
        <f t="shared" si="3382"/>
        <v/>
      </c>
      <c r="CZ226" s="92" t="str">
        <f t="shared" si="3382"/>
        <v/>
      </c>
      <c r="DA226" s="92" t="str">
        <f t="shared" si="3382"/>
        <v/>
      </c>
      <c r="DB226" s="92" t="str">
        <f t="shared" si="3382"/>
        <v/>
      </c>
      <c r="DC226" s="92" t="str">
        <f t="shared" si="3382"/>
        <v/>
      </c>
      <c r="DD226" s="92" t="str">
        <f t="shared" si="3382"/>
        <v/>
      </c>
      <c r="DE226" s="92" t="str">
        <f t="shared" si="3382"/>
        <v/>
      </c>
      <c r="DF226" s="92" t="str">
        <f t="shared" si="3382"/>
        <v/>
      </c>
      <c r="DG226" s="92" t="str">
        <f t="shared" si="3382"/>
        <v/>
      </c>
      <c r="DH226" s="92" t="str">
        <f t="shared" si="3382"/>
        <v/>
      </c>
      <c r="DI226" s="92" t="str">
        <f t="shared" si="3382"/>
        <v/>
      </c>
      <c r="DJ226" s="92" t="str">
        <f t="shared" si="3382"/>
        <v/>
      </c>
      <c r="DK226" s="92" t="str">
        <f t="shared" ref="DK226:EU226" si="3383">IF(DK$19&gt;$K$19,"",($K$80=DK215)*DK80+($K$81=DK215)*DK81+($K$93=DK215)*DK93+($K$94=DK215)*DK94)</f>
        <v/>
      </c>
      <c r="DL226" s="92" t="str">
        <f t="shared" si="3383"/>
        <v/>
      </c>
      <c r="DM226" s="92" t="str">
        <f t="shared" si="3383"/>
        <v/>
      </c>
      <c r="DN226" s="92" t="str">
        <f t="shared" si="3383"/>
        <v/>
      </c>
      <c r="DO226" s="92" t="str">
        <f t="shared" si="3383"/>
        <v/>
      </c>
      <c r="DP226" s="92" t="str">
        <f t="shared" si="3383"/>
        <v/>
      </c>
      <c r="DQ226" s="92" t="str">
        <f t="shared" si="3383"/>
        <v/>
      </c>
      <c r="DR226" s="92" t="str">
        <f t="shared" si="3383"/>
        <v/>
      </c>
      <c r="DS226" s="92" t="str">
        <f t="shared" si="3383"/>
        <v/>
      </c>
      <c r="DT226" s="92" t="str">
        <f t="shared" si="3383"/>
        <v/>
      </c>
      <c r="DU226" s="92" t="str">
        <f t="shared" si="3383"/>
        <v/>
      </c>
      <c r="DV226" s="92" t="str">
        <f t="shared" si="3383"/>
        <v/>
      </c>
      <c r="DW226" s="92" t="str">
        <f t="shared" si="3383"/>
        <v/>
      </c>
      <c r="DX226" s="92" t="str">
        <f t="shared" si="3383"/>
        <v/>
      </c>
      <c r="DY226" s="92" t="str">
        <f t="shared" si="3383"/>
        <v/>
      </c>
      <c r="DZ226" s="92" t="str">
        <f t="shared" si="3383"/>
        <v/>
      </c>
      <c r="EA226" s="92" t="str">
        <f t="shared" si="3383"/>
        <v/>
      </c>
      <c r="EB226" s="92" t="str">
        <f t="shared" si="3383"/>
        <v/>
      </c>
      <c r="EC226" s="92" t="str">
        <f t="shared" si="3383"/>
        <v/>
      </c>
      <c r="ED226" s="92" t="str">
        <f t="shared" si="3383"/>
        <v/>
      </c>
      <c r="EE226" s="92" t="str">
        <f t="shared" si="3383"/>
        <v/>
      </c>
      <c r="EF226" s="92" t="str">
        <f t="shared" si="3383"/>
        <v/>
      </c>
      <c r="EG226" s="92" t="str">
        <f t="shared" si="3383"/>
        <v/>
      </c>
      <c r="EH226" s="92" t="str">
        <f t="shared" si="3383"/>
        <v/>
      </c>
      <c r="EI226" s="92" t="str">
        <f t="shared" si="3383"/>
        <v/>
      </c>
      <c r="EJ226" s="92" t="str">
        <f t="shared" si="3383"/>
        <v/>
      </c>
      <c r="EK226" s="92" t="str">
        <f t="shared" si="3383"/>
        <v/>
      </c>
      <c r="EL226" s="92" t="str">
        <f t="shared" si="3383"/>
        <v/>
      </c>
      <c r="EM226" s="92" t="str">
        <f t="shared" si="3383"/>
        <v/>
      </c>
      <c r="EN226" s="92" t="str">
        <f t="shared" si="3383"/>
        <v/>
      </c>
      <c r="EO226" s="92" t="str">
        <f t="shared" si="3383"/>
        <v/>
      </c>
      <c r="EP226" s="92" t="str">
        <f t="shared" si="3383"/>
        <v/>
      </c>
      <c r="EQ226" s="92" t="str">
        <f t="shared" si="3383"/>
        <v/>
      </c>
      <c r="ER226" s="92" t="str">
        <f t="shared" si="3383"/>
        <v/>
      </c>
      <c r="ES226" s="92" t="str">
        <f t="shared" si="3383"/>
        <v/>
      </c>
      <c r="ET226" s="92" t="str">
        <f t="shared" si="3383"/>
        <v/>
      </c>
      <c r="EU226" s="92" t="str">
        <f t="shared" si="3383"/>
        <v/>
      </c>
      <c r="EV226" s="2"/>
      <c r="EW226" s="199" t="s">
        <v>364</v>
      </c>
      <c r="FB226" s="237">
        <f ca="1">XIRR(OFFSET(FC226,,,1,Analysis_Period+1),OFFSET($FC$4,,,1,Analysis_Period+1))</f>
        <v>8.9933684468269368E-2</v>
      </c>
      <c r="FC226" s="236">
        <f ca="1">IF(FC$209="","",-FC222+FC223)</f>
        <v>-1413952.75</v>
      </c>
      <c r="FD226" s="236">
        <f t="shared" ref="FD226:HO226" ca="1" si="3384">IF(FD$209="","",-FD222+FD223)</f>
        <v>3378.6076497179074</v>
      </c>
      <c r="FE226" s="236">
        <f t="shared" ca="1" si="3384"/>
        <v>3642.6273432170501</v>
      </c>
      <c r="FF226" s="236">
        <f t="shared" ca="1" si="3384"/>
        <v>3782.921339560477</v>
      </c>
      <c r="FG226" s="236">
        <f t="shared" ca="1" si="3384"/>
        <v>3951.3058455624032</v>
      </c>
      <c r="FH226" s="236">
        <f t="shared" ca="1" si="3384"/>
        <v>4161.7821918256359</v>
      </c>
      <c r="FI226" s="236">
        <f t="shared" ca="1" si="3384"/>
        <v>4305.8033621554623</v>
      </c>
      <c r="FJ226" s="236">
        <f t="shared" ca="1" si="3384"/>
        <v>4456.7933125803938</v>
      </c>
      <c r="FK226" s="236">
        <f t="shared" ca="1" si="3384"/>
        <v>4619.3356297922883</v>
      </c>
      <c r="FL226" s="236">
        <f t="shared" ca="1" si="3384"/>
        <v>4767.2626181783044</v>
      </c>
      <c r="FM226" s="236">
        <f t="shared" ca="1" si="3384"/>
        <v>4914.0383171921203</v>
      </c>
      <c r="FN226" s="236">
        <f t="shared" ca="1" si="3384"/>
        <v>5060.2700805896266</v>
      </c>
      <c r="FO226" s="236">
        <f t="shared" ca="1" si="3384"/>
        <v>5205.5883790280013</v>
      </c>
      <c r="FP226" s="236">
        <f t="shared" ca="1" si="3384"/>
        <v>5381.6235840437439</v>
      </c>
      <c r="FQ226" s="236">
        <f t="shared" ca="1" si="3384"/>
        <v>5555.6828639456608</v>
      </c>
      <c r="FR226" s="236">
        <f t="shared" ca="1" si="3384"/>
        <v>5732.3078185795457</v>
      </c>
      <c r="FS226" s="236">
        <f t="shared" ca="1" si="3384"/>
        <v>5910.2396880952147</v>
      </c>
      <c r="FT226" s="236">
        <f t="shared" ca="1" si="3384"/>
        <v>6089.3784968230339</v>
      </c>
      <c r="FU226" s="236">
        <f t="shared" ca="1" si="3384"/>
        <v>6270.076145645734</v>
      </c>
      <c r="FV226" s="236">
        <f t="shared" ca="1" si="3384"/>
        <v>6451.711646209641</v>
      </c>
      <c r="FW226" s="236">
        <f t="shared" ca="1" si="3384"/>
        <v>6636.0986954552636</v>
      </c>
      <c r="FX226" s="236">
        <f t="shared" ca="1" si="3384"/>
        <v>6821.8084794441938</v>
      </c>
      <c r="FY226" s="236">
        <f t="shared" ca="1" si="3384"/>
        <v>7008.7385289256454</v>
      </c>
      <c r="FZ226" s="236">
        <f t="shared" ca="1" si="3384"/>
        <v>7197.164402358655</v>
      </c>
      <c r="GA226" s="236">
        <f t="shared" ca="1" si="3384"/>
        <v>7439.931248637422</v>
      </c>
      <c r="GB226" s="236">
        <f t="shared" ca="1" si="3384"/>
        <v>8530.6443978236821</v>
      </c>
      <c r="GC226" s="236">
        <f t="shared" ca="1" si="3384"/>
        <v>8551.6993382679702</v>
      </c>
      <c r="GD226" s="236">
        <f t="shared" ca="1" si="3384"/>
        <v>8575.0642755100398</v>
      </c>
      <c r="GE226" s="236">
        <f t="shared" ca="1" si="3384"/>
        <v>8596.8855272878773</v>
      </c>
      <c r="GF226" s="236">
        <f t="shared" ca="1" si="3384"/>
        <v>8620.7924446121942</v>
      </c>
      <c r="GG226" s="236">
        <f t="shared" ca="1" si="3384"/>
        <v>8645.3162386183121</v>
      </c>
      <c r="GH226" s="236">
        <f t="shared" ca="1" si="3384"/>
        <v>8670.2324126347939</v>
      </c>
      <c r="GI226" s="236">
        <f t="shared" ca="1" si="3384"/>
        <v>8696.5089166910257</v>
      </c>
      <c r="GJ226" s="236">
        <f t="shared" ca="1" si="3384"/>
        <v>8721.9338442109292</v>
      </c>
      <c r="GK226" s="236">
        <f t="shared" ca="1" si="3384"/>
        <v>8750.1019842645164</v>
      </c>
      <c r="GL226" s="236">
        <f t="shared" ca="1" si="3384"/>
        <v>8778.5940489930417</v>
      </c>
      <c r="GM226" s="236">
        <f t="shared" ca="1" si="3384"/>
        <v>1580838.750514132</v>
      </c>
      <c r="GN226" s="236" t="str">
        <f t="shared" si="3384"/>
        <v/>
      </c>
      <c r="GO226" s="236" t="str">
        <f t="shared" si="3384"/>
        <v/>
      </c>
      <c r="GP226" s="236" t="str">
        <f t="shared" si="3384"/>
        <v/>
      </c>
      <c r="GQ226" s="236" t="str">
        <f t="shared" si="3384"/>
        <v/>
      </c>
      <c r="GR226" s="236" t="str">
        <f t="shared" si="3384"/>
        <v/>
      </c>
      <c r="GS226" s="236" t="str">
        <f t="shared" si="3384"/>
        <v/>
      </c>
      <c r="GT226" s="236" t="str">
        <f t="shared" si="3384"/>
        <v/>
      </c>
      <c r="GU226" s="236" t="str">
        <f t="shared" si="3384"/>
        <v/>
      </c>
      <c r="GV226" s="236" t="str">
        <f t="shared" si="3384"/>
        <v/>
      </c>
      <c r="GW226" s="236" t="str">
        <f t="shared" si="3384"/>
        <v/>
      </c>
      <c r="GX226" s="236" t="str">
        <f t="shared" si="3384"/>
        <v/>
      </c>
      <c r="GY226" s="236" t="str">
        <f t="shared" si="3384"/>
        <v/>
      </c>
      <c r="GZ226" s="236" t="str">
        <f t="shared" si="3384"/>
        <v/>
      </c>
      <c r="HA226" s="236" t="str">
        <f t="shared" si="3384"/>
        <v/>
      </c>
      <c r="HB226" s="236" t="str">
        <f t="shared" si="3384"/>
        <v/>
      </c>
      <c r="HC226" s="236" t="str">
        <f t="shared" si="3384"/>
        <v/>
      </c>
      <c r="HD226" s="236" t="str">
        <f t="shared" si="3384"/>
        <v/>
      </c>
      <c r="HE226" s="236" t="str">
        <f t="shared" si="3384"/>
        <v/>
      </c>
      <c r="HF226" s="236" t="str">
        <f t="shared" si="3384"/>
        <v/>
      </c>
      <c r="HG226" s="236" t="str">
        <f t="shared" si="3384"/>
        <v/>
      </c>
      <c r="HH226" s="236" t="str">
        <f t="shared" si="3384"/>
        <v/>
      </c>
      <c r="HI226" s="236" t="str">
        <f t="shared" si="3384"/>
        <v/>
      </c>
      <c r="HJ226" s="236" t="str">
        <f t="shared" si="3384"/>
        <v/>
      </c>
      <c r="HK226" s="236" t="str">
        <f t="shared" si="3384"/>
        <v/>
      </c>
      <c r="HL226" s="236" t="str">
        <f t="shared" si="3384"/>
        <v/>
      </c>
      <c r="HM226" s="236" t="str">
        <f t="shared" si="3384"/>
        <v/>
      </c>
      <c r="HN226" s="236" t="str">
        <f t="shared" si="3384"/>
        <v/>
      </c>
      <c r="HO226" s="236" t="str">
        <f t="shared" si="3384"/>
        <v/>
      </c>
      <c r="HP226" s="236" t="str">
        <f t="shared" ref="HP226:KA226" si="3385">IF(HP$209="","",-HP222+HP223)</f>
        <v/>
      </c>
      <c r="HQ226" s="236" t="str">
        <f t="shared" si="3385"/>
        <v/>
      </c>
      <c r="HR226" s="236" t="str">
        <f t="shared" si="3385"/>
        <v/>
      </c>
      <c r="HS226" s="236" t="str">
        <f t="shared" si="3385"/>
        <v/>
      </c>
      <c r="HT226" s="236" t="str">
        <f t="shared" si="3385"/>
        <v/>
      </c>
      <c r="HU226" s="236" t="str">
        <f t="shared" si="3385"/>
        <v/>
      </c>
      <c r="HV226" s="236" t="str">
        <f t="shared" si="3385"/>
        <v/>
      </c>
      <c r="HW226" s="236" t="str">
        <f t="shared" si="3385"/>
        <v/>
      </c>
      <c r="HX226" s="236" t="str">
        <f t="shared" si="3385"/>
        <v/>
      </c>
      <c r="HY226" s="236" t="str">
        <f t="shared" si="3385"/>
        <v/>
      </c>
      <c r="HZ226" s="236" t="str">
        <f t="shared" si="3385"/>
        <v/>
      </c>
      <c r="IA226" s="236" t="str">
        <f t="shared" si="3385"/>
        <v/>
      </c>
      <c r="IB226" s="236" t="str">
        <f t="shared" si="3385"/>
        <v/>
      </c>
      <c r="IC226" s="236" t="str">
        <f t="shared" si="3385"/>
        <v/>
      </c>
      <c r="ID226" s="236" t="str">
        <f t="shared" si="3385"/>
        <v/>
      </c>
      <c r="IE226" s="236" t="str">
        <f t="shared" si="3385"/>
        <v/>
      </c>
      <c r="IF226" s="236" t="str">
        <f t="shared" si="3385"/>
        <v/>
      </c>
      <c r="IG226" s="236" t="str">
        <f t="shared" si="3385"/>
        <v/>
      </c>
      <c r="IH226" s="236" t="str">
        <f t="shared" si="3385"/>
        <v/>
      </c>
      <c r="II226" s="236" t="str">
        <f t="shared" si="3385"/>
        <v/>
      </c>
      <c r="IJ226" s="236" t="str">
        <f t="shared" si="3385"/>
        <v/>
      </c>
      <c r="IK226" s="236" t="str">
        <f t="shared" si="3385"/>
        <v/>
      </c>
      <c r="IL226" s="236" t="str">
        <f t="shared" si="3385"/>
        <v/>
      </c>
      <c r="IM226" s="236" t="str">
        <f t="shared" si="3385"/>
        <v/>
      </c>
      <c r="IN226" s="236" t="str">
        <f t="shared" si="3385"/>
        <v/>
      </c>
      <c r="IO226" s="236" t="str">
        <f t="shared" si="3385"/>
        <v/>
      </c>
      <c r="IP226" s="236" t="str">
        <f t="shared" si="3385"/>
        <v/>
      </c>
      <c r="IQ226" s="236" t="str">
        <f t="shared" si="3385"/>
        <v/>
      </c>
      <c r="IR226" s="236" t="str">
        <f t="shared" si="3385"/>
        <v/>
      </c>
      <c r="IS226" s="236" t="str">
        <f t="shared" si="3385"/>
        <v/>
      </c>
      <c r="IT226" s="236" t="str">
        <f t="shared" si="3385"/>
        <v/>
      </c>
      <c r="IU226" s="236" t="str">
        <f t="shared" si="3385"/>
        <v/>
      </c>
      <c r="IV226" s="236" t="str">
        <f t="shared" si="3385"/>
        <v/>
      </c>
      <c r="IW226" s="236" t="str">
        <f t="shared" si="3385"/>
        <v/>
      </c>
      <c r="IX226" s="236" t="str">
        <f t="shared" si="3385"/>
        <v/>
      </c>
      <c r="IY226" s="236" t="str">
        <f t="shared" si="3385"/>
        <v/>
      </c>
      <c r="IZ226" s="236" t="str">
        <f t="shared" si="3385"/>
        <v/>
      </c>
      <c r="JA226" s="236" t="str">
        <f t="shared" si="3385"/>
        <v/>
      </c>
      <c r="JB226" s="236" t="str">
        <f t="shared" si="3385"/>
        <v/>
      </c>
      <c r="JC226" s="236" t="str">
        <f t="shared" si="3385"/>
        <v/>
      </c>
      <c r="JD226" s="236" t="str">
        <f t="shared" si="3385"/>
        <v/>
      </c>
      <c r="JE226" s="236" t="str">
        <f t="shared" si="3385"/>
        <v/>
      </c>
      <c r="JF226" s="236" t="str">
        <f t="shared" si="3385"/>
        <v/>
      </c>
      <c r="JG226" s="236" t="str">
        <f t="shared" si="3385"/>
        <v/>
      </c>
      <c r="JH226" s="236" t="str">
        <f t="shared" si="3385"/>
        <v/>
      </c>
      <c r="JI226" s="236" t="str">
        <f t="shared" si="3385"/>
        <v/>
      </c>
      <c r="JJ226" s="236" t="str">
        <f t="shared" si="3385"/>
        <v/>
      </c>
      <c r="JK226" s="236" t="str">
        <f t="shared" si="3385"/>
        <v/>
      </c>
      <c r="JL226" s="236" t="str">
        <f t="shared" si="3385"/>
        <v/>
      </c>
      <c r="JM226" s="236" t="str">
        <f t="shared" si="3385"/>
        <v/>
      </c>
      <c r="JN226" s="236" t="str">
        <f t="shared" si="3385"/>
        <v/>
      </c>
      <c r="JO226" s="236" t="str">
        <f t="shared" si="3385"/>
        <v/>
      </c>
      <c r="JP226" s="236" t="str">
        <f t="shared" si="3385"/>
        <v/>
      </c>
      <c r="JQ226" s="236" t="str">
        <f t="shared" si="3385"/>
        <v/>
      </c>
      <c r="JR226" s="236" t="str">
        <f t="shared" si="3385"/>
        <v/>
      </c>
      <c r="JS226" s="236" t="str">
        <f t="shared" si="3385"/>
        <v/>
      </c>
      <c r="JT226" s="236" t="str">
        <f t="shared" si="3385"/>
        <v/>
      </c>
      <c r="JU226" s="236" t="str">
        <f t="shared" si="3385"/>
        <v/>
      </c>
      <c r="JV226" s="236" t="str">
        <f t="shared" si="3385"/>
        <v/>
      </c>
      <c r="JW226" s="236" t="str">
        <f t="shared" si="3385"/>
        <v/>
      </c>
      <c r="JX226" s="236" t="str">
        <f t="shared" si="3385"/>
        <v/>
      </c>
      <c r="JY226" s="236" t="str">
        <f t="shared" si="3385"/>
        <v/>
      </c>
      <c r="JZ226" s="236" t="str">
        <f t="shared" si="3385"/>
        <v/>
      </c>
      <c r="KA226" s="236" t="str">
        <f t="shared" si="3385"/>
        <v/>
      </c>
      <c r="KB226" s="236" t="str">
        <f t="shared" ref="KB226:KE226" si="3386">IF(KB$209="","",-KB222+KB223)</f>
        <v/>
      </c>
      <c r="KC226" s="236" t="str">
        <f t="shared" si="3386"/>
        <v/>
      </c>
      <c r="KD226" s="236" t="str">
        <f t="shared" si="3386"/>
        <v/>
      </c>
      <c r="KE226" s="236" t="str">
        <f t="shared" si="3386"/>
        <v/>
      </c>
      <c r="KF226" s="200" t="s">
        <v>269</v>
      </c>
      <c r="KG226" s="201"/>
      <c r="KH226" s="201"/>
      <c r="KI226" s="201"/>
      <c r="KJ226" s="201"/>
      <c r="KK226" s="201"/>
      <c r="KL226" s="201"/>
      <c r="KM226" s="201"/>
      <c r="KN226" s="201"/>
      <c r="KO226" s="201"/>
      <c r="KP226" s="201"/>
      <c r="KQ226" s="201"/>
      <c r="KR226" s="201"/>
      <c r="KS226" s="201"/>
      <c r="KT226" s="201"/>
      <c r="KU226" s="201"/>
      <c r="KV226" s="201"/>
      <c r="KW226" s="201"/>
      <c r="KX226" s="201"/>
      <c r="KY226" s="201"/>
      <c r="KZ226" s="201"/>
      <c r="LA226" s="201"/>
      <c r="LB226" s="201"/>
      <c r="LC226" s="201"/>
      <c r="LD226" s="201"/>
      <c r="LE226" s="201"/>
      <c r="LF226" s="201"/>
      <c r="LG226" s="201"/>
      <c r="LH226" s="201"/>
      <c r="LI226" s="201"/>
      <c r="LJ226" s="201"/>
      <c r="LK226" s="201"/>
      <c r="LL226" s="201"/>
      <c r="LM226" s="201"/>
      <c r="LN226" s="201"/>
      <c r="LO226" s="201"/>
      <c r="LP226" s="201"/>
      <c r="LQ226" s="201"/>
      <c r="LR226" s="201"/>
      <c r="LS226" s="201"/>
      <c r="LT226" s="201"/>
      <c r="LU226" s="201"/>
      <c r="LV226" s="201"/>
      <c r="LW226" s="201"/>
      <c r="LX226" s="201"/>
      <c r="LY226" s="201"/>
      <c r="LZ226" s="201"/>
      <c r="MA226" s="201"/>
      <c r="MB226" s="201"/>
      <c r="MC226" s="201"/>
      <c r="MD226" s="201"/>
      <c r="ME226" s="201"/>
      <c r="MF226" s="201"/>
      <c r="MG226" s="201"/>
      <c r="MH226" s="201"/>
      <c r="MI226" s="201"/>
      <c r="MJ226" s="201"/>
      <c r="MK226" s="201"/>
      <c r="ML226" s="201"/>
      <c r="MM226" s="201"/>
      <c r="MN226" s="201"/>
      <c r="MO226" s="201"/>
      <c r="MP226" s="201"/>
      <c r="MQ226" s="201"/>
      <c r="MR226" s="201"/>
      <c r="MS226" s="201"/>
      <c r="MT226" s="201"/>
      <c r="MU226" s="201"/>
      <c r="MV226" s="201"/>
      <c r="MW226" s="201"/>
      <c r="MX226" s="201"/>
      <c r="MY226" s="201"/>
      <c r="MZ226" s="201"/>
      <c r="NA226" s="201"/>
      <c r="NB226" s="201"/>
      <c r="NC226" s="201"/>
      <c r="ND226" s="201"/>
      <c r="NE226" s="201"/>
      <c r="NF226" s="201"/>
      <c r="NG226" s="201"/>
      <c r="NH226" s="201"/>
      <c r="NI226" s="201"/>
      <c r="NJ226" s="201"/>
      <c r="NK226" s="201"/>
      <c r="NL226" s="201"/>
      <c r="NM226" s="201"/>
      <c r="NN226" s="201"/>
      <c r="NO226" s="201"/>
      <c r="NP226" s="201"/>
      <c r="NQ226" s="201"/>
      <c r="NR226" s="201"/>
      <c r="NS226" s="201"/>
      <c r="NT226" s="201"/>
      <c r="NU226" s="201"/>
      <c r="NV226" s="201"/>
      <c r="NW226" s="201"/>
      <c r="NX226" s="201"/>
      <c r="NY226" s="201"/>
      <c r="NZ226" s="201"/>
      <c r="OA226" s="201"/>
      <c r="OB226" s="201"/>
      <c r="OC226" s="201"/>
      <c r="OD226" s="201"/>
      <c r="OE226" s="201"/>
      <c r="OF226" s="201"/>
      <c r="OG226" s="201"/>
      <c r="OH226" s="201"/>
      <c r="OI226" s="201"/>
      <c r="OJ226" s="201"/>
      <c r="OK226" s="201"/>
      <c r="OL226" s="201"/>
      <c r="OM226" s="201"/>
      <c r="ON226" s="201"/>
      <c r="OO226" s="201"/>
      <c r="OP226" s="201"/>
      <c r="OQ226" s="201"/>
      <c r="OR226" s="201"/>
      <c r="OS226" s="201"/>
      <c r="OT226" s="201"/>
      <c r="OU226" s="201"/>
      <c r="OV226" s="201"/>
      <c r="OW226" s="201"/>
      <c r="OX226" s="201"/>
      <c r="OY226" s="201"/>
      <c r="OZ226" s="201"/>
      <c r="PA226" s="201"/>
      <c r="PB226" s="201"/>
      <c r="PC226" s="201"/>
      <c r="PD226" s="201"/>
      <c r="PE226" s="201"/>
      <c r="PF226" s="201"/>
      <c r="PG226" s="201"/>
      <c r="PH226" s="201"/>
      <c r="PI226" s="201"/>
      <c r="PJ226" s="201"/>
      <c r="PK226" s="201"/>
      <c r="PL226" s="201"/>
      <c r="PM226" s="201"/>
      <c r="PN226" s="201"/>
      <c r="PO226" s="201"/>
      <c r="PQ226" s="201"/>
      <c r="PR226" s="201"/>
      <c r="PS226" s="201"/>
      <c r="PT226" s="201"/>
      <c r="PU226" s="201"/>
      <c r="PV226" s="201"/>
      <c r="PW226" s="201"/>
      <c r="PX226" s="201"/>
      <c r="PY226" s="201"/>
      <c r="PZ226" s="201"/>
      <c r="QA226" s="201"/>
      <c r="QB226" s="201"/>
      <c r="QC226" s="201"/>
      <c r="QD226" s="201"/>
      <c r="QE226" s="201"/>
      <c r="QF226" s="201"/>
      <c r="QG226" s="201"/>
      <c r="QH226" s="201"/>
      <c r="QI226" s="201"/>
      <c r="QJ226" s="201"/>
      <c r="QK226" s="201"/>
      <c r="QL226" s="201"/>
      <c r="QM226" s="201"/>
      <c r="QN226" s="201"/>
      <c r="QO226" s="201"/>
      <c r="QP226" s="201"/>
      <c r="QQ226" s="201"/>
      <c r="QR226" s="201"/>
      <c r="QS226" s="201"/>
      <c r="QT226" s="201"/>
      <c r="QU226" s="201"/>
      <c r="QV226" s="201"/>
      <c r="QW226" s="201"/>
      <c r="QX226" s="201"/>
      <c r="QY226" s="201"/>
      <c r="QZ226" s="201"/>
      <c r="RA226" s="201"/>
      <c r="RB226" s="201"/>
      <c r="RC226" s="201"/>
      <c r="RD226" s="201"/>
      <c r="RE226" s="201"/>
      <c r="RF226" s="201"/>
      <c r="RG226" s="201"/>
      <c r="RH226" s="201"/>
      <c r="RI226" s="201"/>
      <c r="RJ226" s="201"/>
      <c r="RK226" s="201"/>
      <c r="RL226" s="201"/>
      <c r="RM226" s="201"/>
      <c r="RN226" s="201"/>
      <c r="RO226" s="201"/>
      <c r="RP226" s="201"/>
      <c r="RQ226" s="201"/>
      <c r="RR226" s="201"/>
      <c r="RS226" s="201"/>
      <c r="RT226" s="201"/>
      <c r="RU226" s="201"/>
      <c r="RV226" s="201"/>
      <c r="RW226" s="201"/>
      <c r="RX226" s="201"/>
      <c r="RY226" s="201"/>
      <c r="RZ226" s="201"/>
      <c r="SA226" s="201"/>
      <c r="SB226" s="201"/>
      <c r="SC226" s="201"/>
      <c r="SD226" s="201"/>
      <c r="SE226" s="201"/>
      <c r="SF226" s="201"/>
      <c r="SG226" s="201"/>
      <c r="SH226" s="201"/>
      <c r="SI226" s="201"/>
      <c r="SJ226" s="201"/>
      <c r="SK226" s="201"/>
      <c r="SL226" s="201"/>
      <c r="SM226" s="201"/>
      <c r="SN226" s="201"/>
      <c r="SO226" s="201"/>
      <c r="SP226" s="201"/>
      <c r="SQ226" s="201"/>
      <c r="SR226" s="201"/>
      <c r="SS226" s="201"/>
      <c r="ST226" s="201"/>
      <c r="SU226" s="201"/>
      <c r="SV226" s="201"/>
      <c r="SW226" s="201"/>
      <c r="SX226" s="201"/>
      <c r="SY226" s="201"/>
      <c r="SZ226" s="201"/>
      <c r="TA226" s="201"/>
      <c r="TB226" s="201"/>
      <c r="TC226" s="201"/>
      <c r="TD226" s="201"/>
      <c r="TE226" s="201"/>
      <c r="TF226" s="201"/>
      <c r="TG226" s="201"/>
      <c r="TH226" s="201"/>
      <c r="TI226" s="201"/>
      <c r="TJ226" s="201"/>
      <c r="TK226" s="201"/>
      <c r="TL226" s="201"/>
      <c r="TM226" s="201"/>
      <c r="TN226" s="201"/>
      <c r="TO226" s="201"/>
      <c r="TP226" s="201"/>
      <c r="TQ226" s="201"/>
      <c r="TR226" s="201"/>
      <c r="TS226" s="201"/>
      <c r="TT226" s="201"/>
      <c r="TU226" s="201"/>
      <c r="TV226" s="201"/>
      <c r="TW226" s="201"/>
      <c r="TX226" s="201"/>
      <c r="TY226" s="201"/>
      <c r="TZ226" s="201"/>
      <c r="UA226" s="201"/>
      <c r="UB226" s="201"/>
      <c r="UC226" s="201"/>
      <c r="UD226" s="201"/>
      <c r="UE226" s="201"/>
      <c r="UF226" s="201"/>
      <c r="UG226" s="201"/>
      <c r="UH226" s="201"/>
      <c r="UI226" s="201"/>
      <c r="UJ226" s="201"/>
      <c r="UK226" s="201"/>
      <c r="UL226" s="201"/>
      <c r="UM226" s="201"/>
      <c r="UN226" s="201"/>
      <c r="UO226" s="201"/>
      <c r="UP226" s="201"/>
      <c r="UQ226" s="201"/>
      <c r="UR226" s="201"/>
      <c r="US226" s="201"/>
      <c r="UT226" s="201"/>
      <c r="UU226" s="201"/>
    </row>
    <row r="227" spans="1:567" x14ac:dyDescent="0.25">
      <c r="B227" s="28" t="s">
        <v>340</v>
      </c>
      <c r="C227" s="26"/>
      <c r="D227" s="26"/>
      <c r="E227" s="26"/>
      <c r="F227" s="26"/>
      <c r="G227" s="26"/>
      <c r="H227" s="26"/>
      <c r="I227" s="29" t="s">
        <v>776</v>
      </c>
      <c r="J227" s="29" t="s">
        <v>777</v>
      </c>
      <c r="K227" s="29" t="s">
        <v>224</v>
      </c>
      <c r="L227" s="2"/>
      <c r="EV227" s="2"/>
      <c r="EW227" s="201"/>
      <c r="EX227" s="201"/>
      <c r="EY227" s="238"/>
      <c r="EZ227" s="238"/>
      <c r="FA227" s="239"/>
      <c r="FB227" s="239"/>
      <c r="FC227" s="560"/>
      <c r="FD227" s="239"/>
      <c r="FE227" s="239"/>
      <c r="FF227" s="239"/>
      <c r="FG227" s="239"/>
      <c r="FH227" s="239"/>
      <c r="FI227" s="239"/>
      <c r="FJ227" s="239"/>
      <c r="FK227" s="239"/>
      <c r="FL227" s="239"/>
      <c r="FM227" s="239"/>
      <c r="FN227" s="239"/>
      <c r="FO227" s="239"/>
      <c r="FP227" s="239"/>
      <c r="FQ227" s="239"/>
      <c r="FR227" s="239"/>
      <c r="FS227" s="239"/>
      <c r="FT227" s="239"/>
      <c r="FU227" s="239"/>
      <c r="FV227" s="239"/>
      <c r="FW227" s="239"/>
      <c r="FX227" s="239"/>
      <c r="FY227" s="239"/>
      <c r="FZ227" s="239"/>
      <c r="GA227" s="239"/>
      <c r="GB227" s="239"/>
      <c r="GC227" s="239"/>
      <c r="GD227" s="239"/>
      <c r="GE227" s="239"/>
      <c r="GF227" s="239"/>
      <c r="GG227" s="239"/>
      <c r="GH227" s="239"/>
      <c r="GI227" s="239"/>
      <c r="GJ227" s="239"/>
      <c r="GK227" s="239"/>
      <c r="GL227" s="239"/>
      <c r="GM227" s="239"/>
      <c r="GN227" s="239"/>
      <c r="GO227" s="239"/>
      <c r="GP227" s="239"/>
      <c r="GQ227" s="239"/>
      <c r="GR227" s="239"/>
      <c r="GS227" s="239"/>
      <c r="GT227" s="239"/>
      <c r="GU227" s="239"/>
      <c r="GV227" s="239"/>
      <c r="GW227" s="239"/>
      <c r="GX227" s="239"/>
      <c r="GY227" s="239"/>
      <c r="GZ227" s="239"/>
      <c r="HA227" s="239"/>
      <c r="HB227" s="239"/>
      <c r="HC227" s="239"/>
      <c r="HD227" s="239"/>
      <c r="HE227" s="239"/>
      <c r="HF227" s="239"/>
      <c r="HG227" s="239"/>
      <c r="HH227" s="239"/>
      <c r="HI227" s="239"/>
      <c r="HJ227" s="239"/>
      <c r="HK227" s="239"/>
      <c r="HL227" s="239"/>
      <c r="HM227" s="239"/>
      <c r="HN227" s="239"/>
      <c r="HO227" s="239"/>
      <c r="HP227" s="239"/>
      <c r="HQ227" s="239"/>
      <c r="HR227" s="239"/>
      <c r="HS227" s="239"/>
      <c r="HT227" s="239"/>
      <c r="HU227" s="239"/>
      <c r="HV227" s="239"/>
      <c r="HW227" s="239"/>
      <c r="HX227" s="239"/>
      <c r="HY227" s="239"/>
      <c r="HZ227" s="239"/>
      <c r="IA227" s="239"/>
      <c r="IB227" s="239"/>
      <c r="IC227" s="239"/>
      <c r="ID227" s="239"/>
      <c r="IE227" s="239"/>
      <c r="IF227" s="239"/>
      <c r="IG227" s="239"/>
      <c r="IH227" s="239"/>
      <c r="II227" s="239"/>
      <c r="IJ227" s="239"/>
      <c r="IK227" s="239"/>
      <c r="IL227" s="239"/>
      <c r="IM227" s="239"/>
      <c r="IN227" s="239"/>
      <c r="IO227" s="239"/>
      <c r="IP227" s="239"/>
      <c r="IQ227" s="239"/>
      <c r="IR227" s="239"/>
      <c r="IS227" s="239"/>
      <c r="IT227" s="239"/>
      <c r="IU227" s="239"/>
      <c r="IV227" s="239"/>
      <c r="IW227" s="239"/>
      <c r="IX227" s="239"/>
      <c r="IY227" s="239"/>
      <c r="IZ227" s="239"/>
      <c r="JA227" s="239"/>
      <c r="JB227" s="239"/>
      <c r="JC227" s="239"/>
      <c r="JD227" s="239"/>
      <c r="JE227" s="239"/>
      <c r="JF227" s="239"/>
      <c r="JG227" s="239"/>
      <c r="JH227" s="239"/>
      <c r="JI227" s="239"/>
      <c r="JJ227" s="239"/>
      <c r="JK227" s="239"/>
      <c r="JL227" s="239"/>
      <c r="JM227" s="239"/>
      <c r="JN227" s="239"/>
      <c r="JO227" s="239"/>
      <c r="JP227" s="239"/>
      <c r="JQ227" s="239"/>
      <c r="JR227" s="239"/>
      <c r="JS227" s="239"/>
      <c r="JT227" s="239"/>
      <c r="JU227" s="239"/>
      <c r="JV227" s="239"/>
      <c r="JW227" s="239"/>
      <c r="JX227" s="239"/>
      <c r="JY227" s="239"/>
      <c r="JZ227" s="239"/>
      <c r="KA227" s="239"/>
      <c r="KB227" s="239"/>
      <c r="KC227" s="239"/>
      <c r="KD227" s="239"/>
      <c r="KE227" s="239"/>
      <c r="KF227" s="234" t="s">
        <v>269</v>
      </c>
      <c r="KG227" s="201"/>
      <c r="KH227" s="201"/>
      <c r="KI227" s="201"/>
      <c r="KJ227" s="201"/>
      <c r="KK227" s="201"/>
      <c r="KL227" s="201"/>
      <c r="KM227" s="201"/>
      <c r="KN227" s="201"/>
      <c r="KO227" s="201"/>
      <c r="KP227" s="201"/>
      <c r="KQ227" s="201"/>
      <c r="KR227" s="201"/>
      <c r="KS227" s="201"/>
      <c r="KT227" s="201"/>
      <c r="KU227" s="201"/>
      <c r="KV227" s="201"/>
      <c r="KW227" s="201"/>
      <c r="KX227" s="201"/>
      <c r="KY227" s="201"/>
      <c r="KZ227" s="201"/>
      <c r="LA227" s="201"/>
      <c r="LB227" s="201"/>
      <c r="LC227" s="201"/>
      <c r="LD227" s="201"/>
      <c r="LE227" s="201"/>
      <c r="LF227" s="201"/>
      <c r="LG227" s="201"/>
      <c r="LH227" s="201"/>
      <c r="LI227" s="201"/>
      <c r="LJ227" s="201"/>
      <c r="LK227" s="201"/>
      <c r="LL227" s="201"/>
      <c r="LM227" s="201"/>
      <c r="LN227" s="201"/>
      <c r="LO227" s="201"/>
      <c r="LP227" s="201"/>
      <c r="LQ227" s="201"/>
      <c r="LR227" s="201"/>
      <c r="LS227" s="201"/>
      <c r="LT227" s="201"/>
      <c r="LU227" s="201"/>
      <c r="LV227" s="201"/>
      <c r="LW227" s="201"/>
      <c r="LX227" s="201"/>
      <c r="LY227" s="201"/>
      <c r="LZ227" s="201"/>
      <c r="MA227" s="201"/>
      <c r="MB227" s="201"/>
      <c r="MC227" s="201"/>
      <c r="MD227" s="201"/>
      <c r="ME227" s="201"/>
      <c r="MF227" s="201"/>
      <c r="MG227" s="201"/>
      <c r="MH227" s="201"/>
      <c r="MI227" s="201"/>
      <c r="MJ227" s="201"/>
      <c r="MK227" s="201"/>
      <c r="ML227" s="201"/>
      <c r="MM227" s="201"/>
      <c r="MN227" s="201"/>
      <c r="MO227" s="201"/>
      <c r="MP227" s="201"/>
      <c r="MQ227" s="201"/>
      <c r="MR227" s="201"/>
      <c r="MS227" s="201"/>
      <c r="MT227" s="201"/>
      <c r="MU227" s="201"/>
      <c r="MV227" s="201"/>
      <c r="MW227" s="201"/>
      <c r="MX227" s="201"/>
      <c r="MY227" s="201"/>
      <c r="MZ227" s="201"/>
      <c r="NA227" s="201"/>
      <c r="NB227" s="201"/>
      <c r="NC227" s="201"/>
      <c r="ND227" s="201"/>
      <c r="NE227" s="201"/>
      <c r="NF227" s="201"/>
      <c r="NG227" s="201"/>
      <c r="NH227" s="201"/>
      <c r="NI227" s="201"/>
      <c r="NJ227" s="201"/>
      <c r="NK227" s="201"/>
      <c r="NL227" s="201"/>
      <c r="NM227" s="201"/>
      <c r="NN227" s="201"/>
      <c r="NO227" s="201"/>
      <c r="NP227" s="201"/>
      <c r="NQ227" s="201"/>
      <c r="NR227" s="201"/>
      <c r="NS227" s="201"/>
      <c r="NT227" s="201"/>
      <c r="NU227" s="201"/>
      <c r="NV227" s="201"/>
      <c r="NW227" s="201"/>
      <c r="NX227" s="201"/>
      <c r="NY227" s="201"/>
      <c r="NZ227" s="201"/>
      <c r="OA227" s="201"/>
      <c r="OB227" s="201"/>
      <c r="OC227" s="201"/>
      <c r="OD227" s="201"/>
      <c r="OE227" s="201"/>
      <c r="OF227" s="201"/>
      <c r="OG227" s="201"/>
      <c r="OH227" s="201"/>
      <c r="OI227" s="201"/>
      <c r="OJ227" s="201"/>
      <c r="OK227" s="201"/>
      <c r="OL227" s="201"/>
      <c r="OM227" s="201"/>
      <c r="ON227" s="201"/>
      <c r="OO227" s="201"/>
      <c r="OP227" s="201"/>
      <c r="OQ227" s="201"/>
      <c r="OR227" s="201"/>
      <c r="OS227" s="201"/>
      <c r="OT227" s="201"/>
      <c r="OU227" s="201"/>
      <c r="OV227" s="201"/>
      <c r="OW227" s="201"/>
      <c r="OX227" s="201"/>
      <c r="OY227" s="201"/>
      <c r="OZ227" s="201"/>
      <c r="PA227" s="201"/>
      <c r="PB227" s="201"/>
      <c r="PC227" s="201"/>
      <c r="PD227" s="201"/>
      <c r="PE227" s="201"/>
      <c r="PF227" s="201"/>
      <c r="PG227" s="201"/>
      <c r="PH227" s="201"/>
      <c r="PI227" s="201"/>
      <c r="PJ227" s="201"/>
      <c r="PK227" s="201"/>
      <c r="PL227" s="201"/>
      <c r="PM227" s="201"/>
      <c r="PN227" s="201"/>
      <c r="PO227" s="201"/>
      <c r="PQ227" s="201"/>
      <c r="PR227" s="201"/>
      <c r="PS227" s="201"/>
      <c r="PT227" s="201"/>
      <c r="PU227" s="201"/>
      <c r="PV227" s="201"/>
      <c r="PW227" s="201"/>
      <c r="PX227" s="201"/>
      <c r="PY227" s="201"/>
      <c r="PZ227" s="201"/>
      <c r="QA227" s="201"/>
      <c r="QB227" s="201"/>
      <c r="QC227" s="201"/>
      <c r="QD227" s="201"/>
      <c r="QE227" s="201"/>
      <c r="QF227" s="201"/>
      <c r="QG227" s="201"/>
      <c r="QH227" s="201"/>
      <c r="QI227" s="201"/>
      <c r="QJ227" s="201"/>
      <c r="QK227" s="201"/>
      <c r="QL227" s="201"/>
      <c r="QM227" s="201"/>
      <c r="QN227" s="201"/>
      <c r="QO227" s="201"/>
      <c r="QP227" s="201"/>
      <c r="QQ227" s="201"/>
      <c r="QR227" s="201"/>
      <c r="QS227" s="201"/>
      <c r="QT227" s="201"/>
      <c r="QU227" s="201"/>
      <c r="QV227" s="201"/>
      <c r="QW227" s="201"/>
      <c r="QX227" s="201"/>
      <c r="QY227" s="201"/>
      <c r="QZ227" s="201"/>
      <c r="RA227" s="201"/>
      <c r="RB227" s="201"/>
      <c r="RC227" s="201"/>
      <c r="RD227" s="201"/>
      <c r="RE227" s="201"/>
      <c r="RF227" s="201"/>
      <c r="RG227" s="201"/>
      <c r="RH227" s="201"/>
      <c r="RI227" s="201"/>
      <c r="RJ227" s="201"/>
      <c r="RK227" s="201"/>
      <c r="RL227" s="201"/>
      <c r="RM227" s="201"/>
      <c r="RN227" s="201"/>
      <c r="RO227" s="201"/>
      <c r="RP227" s="201"/>
      <c r="RQ227" s="201"/>
      <c r="RR227" s="201"/>
      <c r="RS227" s="201"/>
      <c r="RT227" s="201"/>
      <c r="RU227" s="201"/>
      <c r="RV227" s="201"/>
      <c r="RW227" s="201"/>
      <c r="RX227" s="201"/>
      <c r="RY227" s="201"/>
      <c r="RZ227" s="201"/>
      <c r="SA227" s="201"/>
      <c r="SB227" s="201"/>
      <c r="SC227" s="201"/>
      <c r="SD227" s="201"/>
      <c r="SE227" s="201"/>
      <c r="SF227" s="201"/>
      <c r="SG227" s="201"/>
      <c r="SH227" s="201"/>
      <c r="SI227" s="201"/>
      <c r="SJ227" s="201"/>
      <c r="SK227" s="201"/>
      <c r="SL227" s="201"/>
      <c r="SM227" s="201"/>
      <c r="SN227" s="201"/>
      <c r="SO227" s="201"/>
      <c r="SP227" s="201"/>
      <c r="SQ227" s="201"/>
      <c r="SR227" s="201"/>
      <c r="SS227" s="201"/>
      <c r="ST227" s="201"/>
      <c r="SU227" s="201"/>
      <c r="SV227" s="201"/>
      <c r="SW227" s="201"/>
      <c r="SX227" s="201"/>
      <c r="SY227" s="201"/>
      <c r="SZ227" s="201"/>
      <c r="TA227" s="201"/>
      <c r="TB227" s="201"/>
      <c r="TC227" s="201"/>
      <c r="TD227" s="201"/>
      <c r="TE227" s="201"/>
      <c r="TF227" s="201"/>
      <c r="TG227" s="201"/>
      <c r="TH227" s="201"/>
      <c r="TI227" s="201"/>
      <c r="TJ227" s="201"/>
      <c r="TK227" s="201"/>
      <c r="TL227" s="201"/>
      <c r="TM227" s="201"/>
      <c r="TN227" s="201"/>
      <c r="TO227" s="201"/>
      <c r="TP227" s="201"/>
      <c r="TQ227" s="201"/>
      <c r="TR227" s="201"/>
      <c r="TS227" s="201"/>
      <c r="TT227" s="201"/>
      <c r="TU227" s="201"/>
      <c r="TV227" s="201"/>
      <c r="TW227" s="201"/>
      <c r="TX227" s="201"/>
      <c r="TY227" s="201"/>
      <c r="TZ227" s="201"/>
      <c r="UA227" s="201"/>
      <c r="UB227" s="201"/>
      <c r="UC227" s="201"/>
      <c r="UD227" s="201"/>
      <c r="UE227" s="201"/>
      <c r="UF227" s="201"/>
      <c r="UG227" s="201"/>
      <c r="UH227" s="201"/>
      <c r="UI227" s="201"/>
      <c r="UJ227" s="201"/>
      <c r="UK227" s="201"/>
      <c r="UL227" s="201"/>
      <c r="UM227" s="201"/>
      <c r="UN227" s="201"/>
      <c r="UO227" s="201"/>
      <c r="UP227" s="201"/>
      <c r="UQ227" s="201"/>
      <c r="UR227" s="201"/>
      <c r="US227" s="201"/>
      <c r="UT227" s="201"/>
      <c r="UU227" s="201"/>
    </row>
    <row r="228" spans="1:567" s="183" customFormat="1" x14ac:dyDescent="0.25">
      <c r="A228" s="182"/>
      <c r="B228" s="387" t="s">
        <v>805</v>
      </c>
      <c r="C228" s="71"/>
      <c r="D228" s="71"/>
      <c r="E228" s="71"/>
      <c r="F228" s="71"/>
      <c r="G228" s="71"/>
      <c r="H228" s="71"/>
      <c r="I228" s="246">
        <f ca="1">SUMIF(S228:EU228,"&gt;0")/-SUMIF(S228:EU228,"&lt;0")</f>
        <v>1.3529422089062138</v>
      </c>
      <c r="J228" s="247">
        <f ca="1">IF(S228=0,XIRR(OFFSET(S228,0,0,1,Analysis_Period),OFFSET($S$216,0,0,1,Analysis_Period)),XIRR(OFFSET(S228,0,0,1,Analysis_Period+1),OFFSET($S$216,0,0,1,Analysis_Period+1)))</f>
        <v>0.10864307284355162</v>
      </c>
      <c r="K228" s="74">
        <f ca="1">SUM(S228:EU228)</f>
        <v>22247985.300966941</v>
      </c>
      <c r="M228" s="3"/>
      <c r="N228" s="3"/>
      <c r="O228" s="3"/>
      <c r="P228" s="3"/>
      <c r="Q228" s="3"/>
      <c r="R228" s="159" t="s">
        <v>383</v>
      </c>
      <c r="S228" s="95">
        <f t="shared" ref="S228:AX228" ca="1" si="3387">IF(S$19&gt;$K$19,"",S217+S221+S224)</f>
        <v>-63035773.958333336</v>
      </c>
      <c r="T228" s="95">
        <f t="shared" ca="1" si="3387"/>
        <v>32419.417424999992</v>
      </c>
      <c r="U228" s="95">
        <f t="shared" ca="1" si="3387"/>
        <v>36212.942279935931</v>
      </c>
      <c r="V228" s="95">
        <f t="shared" ca="1" si="3387"/>
        <v>40030.937955993752</v>
      </c>
      <c r="W228" s="95">
        <f t="shared" ca="1" si="3387"/>
        <v>43873.450854615279</v>
      </c>
      <c r="X228" s="95">
        <f t="shared" ca="1" si="3387"/>
        <v>47740.527377243678</v>
      </c>
      <c r="Y228" s="95">
        <f t="shared" ca="1" si="3387"/>
        <v>51632.213925320451</v>
      </c>
      <c r="Z228" s="95">
        <f t="shared" ca="1" si="3387"/>
        <v>55548.556900288735</v>
      </c>
      <c r="AA228" s="95">
        <f t="shared" ca="1" si="3387"/>
        <v>59489.602703589626</v>
      </c>
      <c r="AB228" s="95">
        <f t="shared" ca="1" si="3387"/>
        <v>63455.397736666579</v>
      </c>
      <c r="AC228" s="95">
        <f t="shared" ca="1" si="3387"/>
        <v>67445.988400961796</v>
      </c>
      <c r="AD228" s="95">
        <f t="shared" ca="1" si="3387"/>
        <v>71461.42109791658</v>
      </c>
      <c r="AE228" s="95">
        <f t="shared" ca="1" si="3387"/>
        <v>75501.742228974646</v>
      </c>
      <c r="AF228" s="95">
        <f t="shared" ca="1" si="3387"/>
        <v>80190.800981828797</v>
      </c>
      <c r="AG228" s="95">
        <f t="shared" ca="1" si="3387"/>
        <v>84922.993695735466</v>
      </c>
      <c r="AH228" s="95">
        <f t="shared" ca="1" si="3387"/>
        <v>89698.576531396073</v>
      </c>
      <c r="AI228" s="95">
        <f t="shared" ca="1" si="3387"/>
        <v>94517.806820570986</v>
      </c>
      <c r="AJ228" s="95">
        <f t="shared" ca="1" si="3387"/>
        <v>99380.943070629612</v>
      </c>
      <c r="AK228" s="95">
        <f t="shared" ca="1" si="3387"/>
        <v>104288.24496911379</v>
      </c>
      <c r="AL228" s="95">
        <f t="shared" ca="1" si="3387"/>
        <v>109239.97338832458</v>
      </c>
      <c r="AM228" s="95">
        <f t="shared" ca="1" si="3387"/>
        <v>114236.39038992126</v>
      </c>
      <c r="AN228" s="95">
        <f t="shared" ca="1" si="3387"/>
        <v>119277.75922953134</v>
      </c>
      <c r="AO228" s="95">
        <f t="shared" ca="1" si="3387"/>
        <v>124364.34436138588</v>
      </c>
      <c r="AP228" s="95">
        <f t="shared" ca="1" si="3387"/>
        <v>129496.41144296707</v>
      </c>
      <c r="AQ228" s="95">
        <f t="shared" ca="1" si="3387"/>
        <v>357948.18567299953</v>
      </c>
      <c r="AR228" s="95">
        <f t="shared" ca="1" si="3387"/>
        <v>380117.76310722309</v>
      </c>
      <c r="AS228" s="95">
        <f t="shared" ca="1" si="3387"/>
        <v>380900.74346248293</v>
      </c>
      <c r="AT228" s="95">
        <f t="shared" ca="1" si="3387"/>
        <v>381685.33662907692</v>
      </c>
      <c r="AU228" s="95">
        <f t="shared" ca="1" si="3387"/>
        <v>382471.54592913273</v>
      </c>
      <c r="AV228" s="95">
        <f t="shared" ca="1" si="3387"/>
        <v>383259.37469162041</v>
      </c>
      <c r="AW228" s="95">
        <f t="shared" ca="1" si="3387"/>
        <v>384048.82625236746</v>
      </c>
      <c r="AX228" s="95">
        <f t="shared" ca="1" si="3387"/>
        <v>384839.90395407256</v>
      </c>
      <c r="AY228" s="95">
        <f t="shared" ref="AY228:CD228" ca="1" si="3388">IF(AY$19&gt;$K$19,"",AY217+AY221+AY224)</f>
        <v>385632.61114631995</v>
      </c>
      <c r="AZ228" s="95">
        <f t="shared" ca="1" si="3388"/>
        <v>386426.95118559327</v>
      </c>
      <c r="BA228" s="95">
        <f t="shared" ca="1" si="3388"/>
        <v>387222.92743529024</v>
      </c>
      <c r="BB228" s="95">
        <f t="shared" ca="1" si="3388"/>
        <v>388020.54326573602</v>
      </c>
      <c r="BC228" s="95">
        <f t="shared" ca="1" si="3388"/>
        <v>78906758.102800459</v>
      </c>
      <c r="BD228" s="95" t="str">
        <f t="shared" si="3388"/>
        <v/>
      </c>
      <c r="BE228" s="95" t="str">
        <f t="shared" si="3388"/>
        <v/>
      </c>
      <c r="BF228" s="95" t="str">
        <f t="shared" si="3388"/>
        <v/>
      </c>
      <c r="BG228" s="95" t="str">
        <f t="shared" si="3388"/>
        <v/>
      </c>
      <c r="BH228" s="95" t="str">
        <f t="shared" si="3388"/>
        <v/>
      </c>
      <c r="BI228" s="95" t="str">
        <f t="shared" si="3388"/>
        <v/>
      </c>
      <c r="BJ228" s="95" t="str">
        <f t="shared" si="3388"/>
        <v/>
      </c>
      <c r="BK228" s="95" t="str">
        <f t="shared" si="3388"/>
        <v/>
      </c>
      <c r="BL228" s="95" t="str">
        <f t="shared" si="3388"/>
        <v/>
      </c>
      <c r="BM228" s="95" t="str">
        <f t="shared" si="3388"/>
        <v/>
      </c>
      <c r="BN228" s="95" t="str">
        <f t="shared" si="3388"/>
        <v/>
      </c>
      <c r="BO228" s="95" t="str">
        <f t="shared" si="3388"/>
        <v/>
      </c>
      <c r="BP228" s="95" t="str">
        <f t="shared" si="3388"/>
        <v/>
      </c>
      <c r="BQ228" s="95" t="str">
        <f t="shared" si="3388"/>
        <v/>
      </c>
      <c r="BR228" s="95" t="str">
        <f t="shared" si="3388"/>
        <v/>
      </c>
      <c r="BS228" s="95" t="str">
        <f t="shared" si="3388"/>
        <v/>
      </c>
      <c r="BT228" s="95" t="str">
        <f t="shared" si="3388"/>
        <v/>
      </c>
      <c r="BU228" s="95" t="str">
        <f t="shared" si="3388"/>
        <v/>
      </c>
      <c r="BV228" s="95" t="str">
        <f t="shared" si="3388"/>
        <v/>
      </c>
      <c r="BW228" s="95" t="str">
        <f t="shared" si="3388"/>
        <v/>
      </c>
      <c r="BX228" s="95" t="str">
        <f t="shared" si="3388"/>
        <v/>
      </c>
      <c r="BY228" s="95" t="str">
        <f t="shared" si="3388"/>
        <v/>
      </c>
      <c r="BZ228" s="95" t="str">
        <f t="shared" si="3388"/>
        <v/>
      </c>
      <c r="CA228" s="95" t="str">
        <f t="shared" si="3388"/>
        <v/>
      </c>
      <c r="CB228" s="95" t="str">
        <f t="shared" si="3388"/>
        <v/>
      </c>
      <c r="CC228" s="95" t="str">
        <f t="shared" si="3388"/>
        <v/>
      </c>
      <c r="CD228" s="95" t="str">
        <f t="shared" si="3388"/>
        <v/>
      </c>
      <c r="CE228" s="95" t="str">
        <f t="shared" ref="CE228:DJ228" si="3389">IF(CE$19&gt;$K$19,"",CE217+CE221+CE224)</f>
        <v/>
      </c>
      <c r="CF228" s="95" t="str">
        <f t="shared" si="3389"/>
        <v/>
      </c>
      <c r="CG228" s="95" t="str">
        <f t="shared" si="3389"/>
        <v/>
      </c>
      <c r="CH228" s="95" t="str">
        <f t="shared" si="3389"/>
        <v/>
      </c>
      <c r="CI228" s="95" t="str">
        <f t="shared" si="3389"/>
        <v/>
      </c>
      <c r="CJ228" s="95" t="str">
        <f t="shared" si="3389"/>
        <v/>
      </c>
      <c r="CK228" s="95" t="str">
        <f t="shared" si="3389"/>
        <v/>
      </c>
      <c r="CL228" s="95" t="str">
        <f t="shared" si="3389"/>
        <v/>
      </c>
      <c r="CM228" s="95" t="str">
        <f t="shared" si="3389"/>
        <v/>
      </c>
      <c r="CN228" s="95" t="str">
        <f t="shared" si="3389"/>
        <v/>
      </c>
      <c r="CO228" s="95" t="str">
        <f t="shared" si="3389"/>
        <v/>
      </c>
      <c r="CP228" s="95" t="str">
        <f t="shared" si="3389"/>
        <v/>
      </c>
      <c r="CQ228" s="95" t="str">
        <f t="shared" si="3389"/>
        <v/>
      </c>
      <c r="CR228" s="95" t="str">
        <f t="shared" si="3389"/>
        <v/>
      </c>
      <c r="CS228" s="95" t="str">
        <f t="shared" si="3389"/>
        <v/>
      </c>
      <c r="CT228" s="95" t="str">
        <f t="shared" si="3389"/>
        <v/>
      </c>
      <c r="CU228" s="95" t="str">
        <f t="shared" si="3389"/>
        <v/>
      </c>
      <c r="CV228" s="95" t="str">
        <f t="shared" si="3389"/>
        <v/>
      </c>
      <c r="CW228" s="95" t="str">
        <f t="shared" si="3389"/>
        <v/>
      </c>
      <c r="CX228" s="95" t="str">
        <f t="shared" si="3389"/>
        <v/>
      </c>
      <c r="CY228" s="95" t="str">
        <f t="shared" si="3389"/>
        <v/>
      </c>
      <c r="CZ228" s="95" t="str">
        <f t="shared" si="3389"/>
        <v/>
      </c>
      <c r="DA228" s="95" t="str">
        <f t="shared" si="3389"/>
        <v/>
      </c>
      <c r="DB228" s="95" t="str">
        <f t="shared" si="3389"/>
        <v/>
      </c>
      <c r="DC228" s="95" t="str">
        <f t="shared" si="3389"/>
        <v/>
      </c>
      <c r="DD228" s="95" t="str">
        <f t="shared" si="3389"/>
        <v/>
      </c>
      <c r="DE228" s="95" t="str">
        <f t="shared" si="3389"/>
        <v/>
      </c>
      <c r="DF228" s="95" t="str">
        <f t="shared" si="3389"/>
        <v/>
      </c>
      <c r="DG228" s="95" t="str">
        <f t="shared" si="3389"/>
        <v/>
      </c>
      <c r="DH228" s="95" t="str">
        <f t="shared" si="3389"/>
        <v/>
      </c>
      <c r="DI228" s="95" t="str">
        <f t="shared" si="3389"/>
        <v/>
      </c>
      <c r="DJ228" s="95" t="str">
        <f t="shared" si="3389"/>
        <v/>
      </c>
      <c r="DK228" s="95" t="str">
        <f t="shared" ref="DK228:EU228" si="3390">IF(DK$19&gt;$K$19,"",DK217+DK221+DK224)</f>
        <v/>
      </c>
      <c r="DL228" s="95" t="str">
        <f t="shared" si="3390"/>
        <v/>
      </c>
      <c r="DM228" s="95" t="str">
        <f t="shared" si="3390"/>
        <v/>
      </c>
      <c r="DN228" s="95" t="str">
        <f t="shared" si="3390"/>
        <v/>
      </c>
      <c r="DO228" s="95" t="str">
        <f t="shared" si="3390"/>
        <v/>
      </c>
      <c r="DP228" s="95" t="str">
        <f t="shared" si="3390"/>
        <v/>
      </c>
      <c r="DQ228" s="95" t="str">
        <f t="shared" si="3390"/>
        <v/>
      </c>
      <c r="DR228" s="95" t="str">
        <f t="shared" si="3390"/>
        <v/>
      </c>
      <c r="DS228" s="95" t="str">
        <f t="shared" si="3390"/>
        <v/>
      </c>
      <c r="DT228" s="95" t="str">
        <f t="shared" si="3390"/>
        <v/>
      </c>
      <c r="DU228" s="95" t="str">
        <f t="shared" si="3390"/>
        <v/>
      </c>
      <c r="DV228" s="95" t="str">
        <f t="shared" si="3390"/>
        <v/>
      </c>
      <c r="DW228" s="95" t="str">
        <f t="shared" si="3390"/>
        <v/>
      </c>
      <c r="DX228" s="95" t="str">
        <f t="shared" si="3390"/>
        <v/>
      </c>
      <c r="DY228" s="95" t="str">
        <f t="shared" si="3390"/>
        <v/>
      </c>
      <c r="DZ228" s="95" t="str">
        <f t="shared" si="3390"/>
        <v/>
      </c>
      <c r="EA228" s="95" t="str">
        <f t="shared" si="3390"/>
        <v/>
      </c>
      <c r="EB228" s="95" t="str">
        <f t="shared" si="3390"/>
        <v/>
      </c>
      <c r="EC228" s="95" t="str">
        <f t="shared" si="3390"/>
        <v/>
      </c>
      <c r="ED228" s="95" t="str">
        <f t="shared" si="3390"/>
        <v/>
      </c>
      <c r="EE228" s="95" t="str">
        <f t="shared" si="3390"/>
        <v/>
      </c>
      <c r="EF228" s="95" t="str">
        <f t="shared" si="3390"/>
        <v/>
      </c>
      <c r="EG228" s="95" t="str">
        <f t="shared" si="3390"/>
        <v/>
      </c>
      <c r="EH228" s="95" t="str">
        <f t="shared" si="3390"/>
        <v/>
      </c>
      <c r="EI228" s="95" t="str">
        <f t="shared" si="3390"/>
        <v/>
      </c>
      <c r="EJ228" s="95" t="str">
        <f t="shared" si="3390"/>
        <v/>
      </c>
      <c r="EK228" s="95" t="str">
        <f t="shared" si="3390"/>
        <v/>
      </c>
      <c r="EL228" s="95" t="str">
        <f t="shared" si="3390"/>
        <v/>
      </c>
      <c r="EM228" s="95" t="str">
        <f t="shared" si="3390"/>
        <v/>
      </c>
      <c r="EN228" s="95" t="str">
        <f t="shared" si="3390"/>
        <v/>
      </c>
      <c r="EO228" s="95" t="str">
        <f t="shared" si="3390"/>
        <v/>
      </c>
      <c r="EP228" s="95" t="str">
        <f t="shared" si="3390"/>
        <v/>
      </c>
      <c r="EQ228" s="95" t="str">
        <f t="shared" si="3390"/>
        <v/>
      </c>
      <c r="ER228" s="95" t="str">
        <f t="shared" si="3390"/>
        <v/>
      </c>
      <c r="ES228" s="95" t="str">
        <f t="shared" si="3390"/>
        <v/>
      </c>
      <c r="ET228" s="95" t="str">
        <f t="shared" si="3390"/>
        <v/>
      </c>
      <c r="EU228" s="95" t="str">
        <f t="shared" si="3390"/>
        <v/>
      </c>
      <c r="EV228" s="2"/>
      <c r="EW228" s="229" t="s">
        <v>274</v>
      </c>
      <c r="EX228" s="229"/>
      <c r="EY228" s="232">
        <f>(1+H243)^(1/12)-1</f>
        <v>9.4887929345830457E-3</v>
      </c>
      <c r="EZ228" s="228"/>
      <c r="FA228" s="231"/>
      <c r="FB228" s="231"/>
      <c r="FC228" s="204">
        <v>0</v>
      </c>
      <c r="FD228" s="204">
        <f>+FC228+1</f>
        <v>1</v>
      </c>
      <c r="FE228" s="204">
        <f t="shared" ref="FE228" si="3391">+FD228+1</f>
        <v>2</v>
      </c>
      <c r="FF228" s="204">
        <f t="shared" ref="FF228" si="3392">+FE228+1</f>
        <v>3</v>
      </c>
      <c r="FG228" s="204">
        <f t="shared" ref="FG228" si="3393">+FF228+1</f>
        <v>4</v>
      </c>
      <c r="FH228" s="204">
        <f t="shared" ref="FH228" si="3394">+FG228+1</f>
        <v>5</v>
      </c>
      <c r="FI228" s="204">
        <f t="shared" ref="FI228" si="3395">+FH228+1</f>
        <v>6</v>
      </c>
      <c r="FJ228" s="204">
        <f t="shared" ref="FJ228" si="3396">+FI228+1</f>
        <v>7</v>
      </c>
      <c r="FK228" s="204">
        <f t="shared" ref="FK228" si="3397">+FJ228+1</f>
        <v>8</v>
      </c>
      <c r="FL228" s="204">
        <f t="shared" ref="FL228" si="3398">+FK228+1</f>
        <v>9</v>
      </c>
      <c r="FM228" s="204">
        <f t="shared" ref="FM228" si="3399">+FL228+1</f>
        <v>10</v>
      </c>
      <c r="FN228" s="204">
        <f t="shared" ref="FN228" si="3400">+FM228+1</f>
        <v>11</v>
      </c>
      <c r="FO228" s="204">
        <f t="shared" ref="FO228" si="3401">+FN228+1</f>
        <v>12</v>
      </c>
      <c r="FP228" s="204">
        <f t="shared" ref="FP228" si="3402">+FO228+1</f>
        <v>13</v>
      </c>
      <c r="FQ228" s="204">
        <f t="shared" ref="FQ228" si="3403">+FP228+1</f>
        <v>14</v>
      </c>
      <c r="FR228" s="204">
        <f t="shared" ref="FR228" si="3404">+FQ228+1</f>
        <v>15</v>
      </c>
      <c r="FS228" s="204">
        <f t="shared" ref="FS228" si="3405">+FR228+1</f>
        <v>16</v>
      </c>
      <c r="FT228" s="204">
        <f t="shared" ref="FT228" si="3406">+FS228+1</f>
        <v>17</v>
      </c>
      <c r="FU228" s="204">
        <f t="shared" ref="FU228" si="3407">+FT228+1</f>
        <v>18</v>
      </c>
      <c r="FV228" s="204">
        <f t="shared" ref="FV228" si="3408">+FU228+1</f>
        <v>19</v>
      </c>
      <c r="FW228" s="204">
        <f t="shared" ref="FW228" si="3409">+FV228+1</f>
        <v>20</v>
      </c>
      <c r="FX228" s="204">
        <f t="shared" ref="FX228" si="3410">+FW228+1</f>
        <v>21</v>
      </c>
      <c r="FY228" s="204">
        <f t="shared" ref="FY228" si="3411">+FX228+1</f>
        <v>22</v>
      </c>
      <c r="FZ228" s="204">
        <f t="shared" ref="FZ228" si="3412">+FY228+1</f>
        <v>23</v>
      </c>
      <c r="GA228" s="204">
        <f t="shared" ref="GA228" si="3413">+FZ228+1</f>
        <v>24</v>
      </c>
      <c r="GB228" s="204">
        <f t="shared" ref="GB228" si="3414">+GA228+1</f>
        <v>25</v>
      </c>
      <c r="GC228" s="204">
        <f t="shared" ref="GC228" si="3415">+GB228+1</f>
        <v>26</v>
      </c>
      <c r="GD228" s="204">
        <f t="shared" ref="GD228" si="3416">+GC228+1</f>
        <v>27</v>
      </c>
      <c r="GE228" s="204">
        <f t="shared" ref="GE228" si="3417">+GD228+1</f>
        <v>28</v>
      </c>
      <c r="GF228" s="204">
        <f t="shared" ref="GF228" si="3418">+GE228+1</f>
        <v>29</v>
      </c>
      <c r="GG228" s="204">
        <f t="shared" ref="GG228" si="3419">+GF228+1</f>
        <v>30</v>
      </c>
      <c r="GH228" s="204">
        <f t="shared" ref="GH228" si="3420">+GG228+1</f>
        <v>31</v>
      </c>
      <c r="GI228" s="204">
        <f t="shared" ref="GI228" si="3421">+GH228+1</f>
        <v>32</v>
      </c>
      <c r="GJ228" s="204">
        <f t="shared" ref="GJ228" si="3422">+GI228+1</f>
        <v>33</v>
      </c>
      <c r="GK228" s="204">
        <f t="shared" ref="GK228" si="3423">+GJ228+1</f>
        <v>34</v>
      </c>
      <c r="GL228" s="204">
        <f t="shared" ref="GL228" si="3424">+GK228+1</f>
        <v>35</v>
      </c>
      <c r="GM228" s="204">
        <f t="shared" ref="GM228" si="3425">+GL228+1</f>
        <v>36</v>
      </c>
      <c r="GN228" s="204">
        <f t="shared" ref="GN228" si="3426">+GM228+1</f>
        <v>37</v>
      </c>
      <c r="GO228" s="204">
        <f t="shared" ref="GO228" si="3427">+GN228+1</f>
        <v>38</v>
      </c>
      <c r="GP228" s="204">
        <f t="shared" ref="GP228" si="3428">+GO228+1</f>
        <v>39</v>
      </c>
      <c r="GQ228" s="204">
        <f t="shared" ref="GQ228" si="3429">+GP228+1</f>
        <v>40</v>
      </c>
      <c r="GR228" s="204">
        <f t="shared" ref="GR228" si="3430">+GQ228+1</f>
        <v>41</v>
      </c>
      <c r="GS228" s="204">
        <f t="shared" ref="GS228" si="3431">+GR228+1</f>
        <v>42</v>
      </c>
      <c r="GT228" s="204">
        <f t="shared" ref="GT228" si="3432">+GS228+1</f>
        <v>43</v>
      </c>
      <c r="GU228" s="204">
        <f t="shared" ref="GU228" si="3433">+GT228+1</f>
        <v>44</v>
      </c>
      <c r="GV228" s="204">
        <f t="shared" ref="GV228" si="3434">+GU228+1</f>
        <v>45</v>
      </c>
      <c r="GW228" s="204">
        <f t="shared" ref="GW228" si="3435">+GV228+1</f>
        <v>46</v>
      </c>
      <c r="GX228" s="204">
        <f t="shared" ref="GX228" si="3436">+GW228+1</f>
        <v>47</v>
      </c>
      <c r="GY228" s="204">
        <f t="shared" ref="GY228" si="3437">+GX228+1</f>
        <v>48</v>
      </c>
      <c r="GZ228" s="204">
        <f t="shared" ref="GZ228" si="3438">+GY228+1</f>
        <v>49</v>
      </c>
      <c r="HA228" s="204">
        <f t="shared" ref="HA228" si="3439">+GZ228+1</f>
        <v>50</v>
      </c>
      <c r="HB228" s="204">
        <f t="shared" ref="HB228" si="3440">+HA228+1</f>
        <v>51</v>
      </c>
      <c r="HC228" s="204">
        <f t="shared" ref="HC228" si="3441">+HB228+1</f>
        <v>52</v>
      </c>
      <c r="HD228" s="204">
        <f t="shared" ref="HD228" si="3442">+HC228+1</f>
        <v>53</v>
      </c>
      <c r="HE228" s="204">
        <f t="shared" ref="HE228" si="3443">+HD228+1</f>
        <v>54</v>
      </c>
      <c r="HF228" s="204">
        <f t="shared" ref="HF228" si="3444">+HE228+1</f>
        <v>55</v>
      </c>
      <c r="HG228" s="204">
        <f t="shared" ref="HG228" si="3445">+HF228+1</f>
        <v>56</v>
      </c>
      <c r="HH228" s="204">
        <f t="shared" ref="HH228" si="3446">+HG228+1</f>
        <v>57</v>
      </c>
      <c r="HI228" s="204">
        <f t="shared" ref="HI228" si="3447">+HH228+1</f>
        <v>58</v>
      </c>
      <c r="HJ228" s="204">
        <f t="shared" ref="HJ228" si="3448">+HI228+1</f>
        <v>59</v>
      </c>
      <c r="HK228" s="204">
        <f t="shared" ref="HK228" si="3449">+HJ228+1</f>
        <v>60</v>
      </c>
      <c r="HL228" s="204">
        <f t="shared" ref="HL228" si="3450">+HK228+1</f>
        <v>61</v>
      </c>
      <c r="HM228" s="204">
        <f t="shared" ref="HM228" si="3451">+HL228+1</f>
        <v>62</v>
      </c>
      <c r="HN228" s="204">
        <f t="shared" ref="HN228" si="3452">+HM228+1</f>
        <v>63</v>
      </c>
      <c r="HO228" s="204">
        <f t="shared" ref="HO228" si="3453">+HN228+1</f>
        <v>64</v>
      </c>
      <c r="HP228" s="204">
        <f t="shared" ref="HP228" si="3454">+HO228+1</f>
        <v>65</v>
      </c>
      <c r="HQ228" s="204">
        <f t="shared" ref="HQ228" si="3455">+HP228+1</f>
        <v>66</v>
      </c>
      <c r="HR228" s="204">
        <f t="shared" ref="HR228" si="3456">+HQ228+1</f>
        <v>67</v>
      </c>
      <c r="HS228" s="204">
        <f t="shared" ref="HS228" si="3457">+HR228+1</f>
        <v>68</v>
      </c>
      <c r="HT228" s="204">
        <f t="shared" ref="HT228" si="3458">+HS228+1</f>
        <v>69</v>
      </c>
      <c r="HU228" s="204">
        <f t="shared" ref="HU228" si="3459">+HT228+1</f>
        <v>70</v>
      </c>
      <c r="HV228" s="204">
        <f t="shared" ref="HV228" si="3460">+HU228+1</f>
        <v>71</v>
      </c>
      <c r="HW228" s="204">
        <f t="shared" ref="HW228" si="3461">+HV228+1</f>
        <v>72</v>
      </c>
      <c r="HX228" s="204">
        <f t="shared" ref="HX228" si="3462">+HW228+1</f>
        <v>73</v>
      </c>
      <c r="HY228" s="204">
        <f t="shared" ref="HY228" si="3463">+HX228+1</f>
        <v>74</v>
      </c>
      <c r="HZ228" s="204">
        <f t="shared" ref="HZ228" si="3464">+HY228+1</f>
        <v>75</v>
      </c>
      <c r="IA228" s="204">
        <f t="shared" ref="IA228" si="3465">+HZ228+1</f>
        <v>76</v>
      </c>
      <c r="IB228" s="204">
        <f t="shared" ref="IB228" si="3466">+IA228+1</f>
        <v>77</v>
      </c>
      <c r="IC228" s="204">
        <f t="shared" ref="IC228" si="3467">+IB228+1</f>
        <v>78</v>
      </c>
      <c r="ID228" s="204">
        <f t="shared" ref="ID228" si="3468">+IC228+1</f>
        <v>79</v>
      </c>
      <c r="IE228" s="204">
        <f t="shared" ref="IE228" si="3469">+ID228+1</f>
        <v>80</v>
      </c>
      <c r="IF228" s="204">
        <f t="shared" ref="IF228" si="3470">+IE228+1</f>
        <v>81</v>
      </c>
      <c r="IG228" s="204">
        <f t="shared" ref="IG228" si="3471">+IF228+1</f>
        <v>82</v>
      </c>
      <c r="IH228" s="204">
        <f t="shared" ref="IH228" si="3472">+IG228+1</f>
        <v>83</v>
      </c>
      <c r="II228" s="204">
        <f t="shared" ref="II228" si="3473">+IH228+1</f>
        <v>84</v>
      </c>
      <c r="IJ228" s="204">
        <f t="shared" ref="IJ228" si="3474">+II228+1</f>
        <v>85</v>
      </c>
      <c r="IK228" s="204">
        <f t="shared" ref="IK228" si="3475">+IJ228+1</f>
        <v>86</v>
      </c>
      <c r="IL228" s="204">
        <f t="shared" ref="IL228" si="3476">+IK228+1</f>
        <v>87</v>
      </c>
      <c r="IM228" s="204">
        <f t="shared" ref="IM228" si="3477">+IL228+1</f>
        <v>88</v>
      </c>
      <c r="IN228" s="204">
        <f t="shared" ref="IN228" si="3478">+IM228+1</f>
        <v>89</v>
      </c>
      <c r="IO228" s="204">
        <f t="shared" ref="IO228" si="3479">+IN228+1</f>
        <v>90</v>
      </c>
      <c r="IP228" s="204">
        <f t="shared" ref="IP228" si="3480">+IO228+1</f>
        <v>91</v>
      </c>
      <c r="IQ228" s="204">
        <f t="shared" ref="IQ228" si="3481">+IP228+1</f>
        <v>92</v>
      </c>
      <c r="IR228" s="204">
        <f t="shared" ref="IR228" si="3482">+IQ228+1</f>
        <v>93</v>
      </c>
      <c r="IS228" s="204">
        <f t="shared" ref="IS228" si="3483">+IR228+1</f>
        <v>94</v>
      </c>
      <c r="IT228" s="204">
        <f t="shared" ref="IT228" si="3484">+IS228+1</f>
        <v>95</v>
      </c>
      <c r="IU228" s="204">
        <f t="shared" ref="IU228" si="3485">+IT228+1</f>
        <v>96</v>
      </c>
      <c r="IV228" s="204">
        <f t="shared" ref="IV228" si="3486">+IU228+1</f>
        <v>97</v>
      </c>
      <c r="IW228" s="204">
        <f t="shared" ref="IW228" si="3487">+IV228+1</f>
        <v>98</v>
      </c>
      <c r="IX228" s="204">
        <f t="shared" ref="IX228" si="3488">+IW228+1</f>
        <v>99</v>
      </c>
      <c r="IY228" s="204">
        <f t="shared" ref="IY228" si="3489">+IX228+1</f>
        <v>100</v>
      </c>
      <c r="IZ228" s="204">
        <f t="shared" ref="IZ228" si="3490">+IY228+1</f>
        <v>101</v>
      </c>
      <c r="JA228" s="204">
        <f t="shared" ref="JA228" si="3491">+IZ228+1</f>
        <v>102</v>
      </c>
      <c r="JB228" s="204">
        <f t="shared" ref="JB228" si="3492">+JA228+1</f>
        <v>103</v>
      </c>
      <c r="JC228" s="204">
        <f t="shared" ref="JC228" si="3493">+JB228+1</f>
        <v>104</v>
      </c>
      <c r="JD228" s="204">
        <f t="shared" ref="JD228" si="3494">+JC228+1</f>
        <v>105</v>
      </c>
      <c r="JE228" s="204">
        <f t="shared" ref="JE228" si="3495">+JD228+1</f>
        <v>106</v>
      </c>
      <c r="JF228" s="204">
        <f t="shared" ref="JF228" si="3496">+JE228+1</f>
        <v>107</v>
      </c>
      <c r="JG228" s="204">
        <f t="shared" ref="JG228" si="3497">+JF228+1</f>
        <v>108</v>
      </c>
      <c r="JH228" s="204">
        <f t="shared" ref="JH228" si="3498">+JG228+1</f>
        <v>109</v>
      </c>
      <c r="JI228" s="204">
        <f t="shared" ref="JI228" si="3499">+JH228+1</f>
        <v>110</v>
      </c>
      <c r="JJ228" s="204">
        <f t="shared" ref="JJ228" si="3500">+JI228+1</f>
        <v>111</v>
      </c>
      <c r="JK228" s="204">
        <f t="shared" ref="JK228" si="3501">+JJ228+1</f>
        <v>112</v>
      </c>
      <c r="JL228" s="204">
        <f t="shared" ref="JL228" si="3502">+JK228+1</f>
        <v>113</v>
      </c>
      <c r="JM228" s="204">
        <f t="shared" ref="JM228" si="3503">+JL228+1</f>
        <v>114</v>
      </c>
      <c r="JN228" s="204">
        <f t="shared" ref="JN228" si="3504">+JM228+1</f>
        <v>115</v>
      </c>
      <c r="JO228" s="204">
        <f t="shared" ref="JO228" si="3505">+JN228+1</f>
        <v>116</v>
      </c>
      <c r="JP228" s="204">
        <f t="shared" ref="JP228" si="3506">+JO228+1</f>
        <v>117</v>
      </c>
      <c r="JQ228" s="204">
        <f t="shared" ref="JQ228" si="3507">+JP228+1</f>
        <v>118</v>
      </c>
      <c r="JR228" s="204">
        <f t="shared" ref="JR228" si="3508">+JQ228+1</f>
        <v>119</v>
      </c>
      <c r="JS228" s="204">
        <f t="shared" ref="JS228" si="3509">+JR228+1</f>
        <v>120</v>
      </c>
      <c r="JT228" s="204">
        <f t="shared" ref="JT228" si="3510">+JS228+1</f>
        <v>121</v>
      </c>
      <c r="JU228" s="204">
        <f t="shared" ref="JU228" si="3511">+JT228+1</f>
        <v>122</v>
      </c>
      <c r="JV228" s="204">
        <f t="shared" ref="JV228" si="3512">+JU228+1</f>
        <v>123</v>
      </c>
      <c r="JW228" s="204">
        <f t="shared" ref="JW228" si="3513">+JV228+1</f>
        <v>124</v>
      </c>
      <c r="JX228" s="204">
        <f t="shared" ref="JX228" si="3514">+JW228+1</f>
        <v>125</v>
      </c>
      <c r="JY228" s="204">
        <f t="shared" ref="JY228" si="3515">+JX228+1</f>
        <v>126</v>
      </c>
      <c r="JZ228" s="204">
        <f t="shared" ref="JZ228" si="3516">+JY228+1</f>
        <v>127</v>
      </c>
      <c r="KA228" s="204">
        <f t="shared" ref="KA228" si="3517">+JZ228+1</f>
        <v>128</v>
      </c>
      <c r="KB228" s="204">
        <f t="shared" ref="KB228" si="3518">+KA228+1</f>
        <v>129</v>
      </c>
      <c r="KC228" s="204">
        <f t="shared" ref="KC228" si="3519">+KB228+1</f>
        <v>130</v>
      </c>
      <c r="KD228" s="204">
        <f t="shared" ref="KD228" si="3520">+KC228+1</f>
        <v>131</v>
      </c>
      <c r="KE228" s="204">
        <f t="shared" ref="KE228" si="3521">+KD228+1</f>
        <v>132</v>
      </c>
      <c r="KF228" s="218" t="s">
        <v>269</v>
      </c>
      <c r="KG228" s="229"/>
      <c r="KH228" s="229"/>
      <c r="KI228" s="229"/>
      <c r="KJ228" s="229"/>
      <c r="KK228" s="229"/>
      <c r="KL228" s="229"/>
      <c r="KM228" s="229"/>
      <c r="KN228" s="229"/>
      <c r="KO228" s="229"/>
      <c r="KP228" s="229"/>
      <c r="KQ228" s="229"/>
      <c r="KR228" s="229"/>
      <c r="KS228" s="229"/>
      <c r="KT228" s="229"/>
      <c r="KU228" s="229"/>
      <c r="KV228" s="229"/>
      <c r="KW228" s="229"/>
      <c r="KX228" s="229"/>
      <c r="KY228" s="229"/>
      <c r="KZ228" s="229"/>
      <c r="LA228" s="229"/>
      <c r="LB228" s="229"/>
      <c r="LC228" s="229"/>
      <c r="LD228" s="229"/>
      <c r="LE228" s="229"/>
      <c r="LF228" s="229"/>
      <c r="LG228" s="229"/>
      <c r="LH228" s="229"/>
      <c r="LI228" s="229"/>
      <c r="LJ228" s="229"/>
      <c r="LK228" s="229"/>
      <c r="LL228" s="229"/>
      <c r="LM228" s="229"/>
      <c r="LN228" s="229"/>
      <c r="LO228" s="229"/>
      <c r="LP228" s="229"/>
      <c r="LQ228" s="229"/>
      <c r="LR228" s="229"/>
      <c r="LS228" s="229"/>
      <c r="LT228" s="229"/>
      <c r="LU228" s="229"/>
      <c r="LV228" s="229"/>
      <c r="LW228" s="229"/>
      <c r="LX228" s="229"/>
      <c r="LY228" s="229"/>
      <c r="LZ228" s="229"/>
      <c r="MA228" s="229"/>
      <c r="MB228" s="229"/>
      <c r="MC228" s="229"/>
      <c r="MD228" s="229"/>
      <c r="ME228" s="229"/>
      <c r="MF228" s="229"/>
      <c r="MG228" s="229"/>
      <c r="MH228" s="229"/>
      <c r="MI228" s="229"/>
      <c r="MJ228" s="229"/>
      <c r="MK228" s="229"/>
      <c r="ML228" s="229"/>
      <c r="MM228" s="229"/>
      <c r="MN228" s="229"/>
      <c r="MO228" s="229"/>
      <c r="MP228" s="229"/>
      <c r="MQ228" s="229"/>
      <c r="MR228" s="229"/>
      <c r="MS228" s="229"/>
      <c r="MT228" s="229"/>
      <c r="MU228" s="229"/>
      <c r="MV228" s="229"/>
      <c r="MW228" s="229"/>
      <c r="MX228" s="229"/>
      <c r="MY228" s="229"/>
      <c r="MZ228" s="229"/>
      <c r="NA228" s="229"/>
      <c r="NB228" s="229"/>
      <c r="NC228" s="229"/>
      <c r="ND228" s="229"/>
      <c r="NE228" s="229"/>
      <c r="NF228" s="229"/>
      <c r="NG228" s="229"/>
      <c r="NH228" s="229"/>
      <c r="NI228" s="229"/>
      <c r="NJ228" s="229"/>
      <c r="NK228" s="229"/>
      <c r="NL228" s="229"/>
      <c r="NM228" s="229"/>
      <c r="NN228" s="229"/>
      <c r="NO228" s="229"/>
      <c r="NP228" s="229"/>
      <c r="NQ228" s="229"/>
      <c r="NR228" s="229"/>
      <c r="NS228" s="229"/>
      <c r="NT228" s="229"/>
      <c r="NU228" s="229"/>
      <c r="NV228" s="229"/>
      <c r="NW228" s="229"/>
      <c r="NX228" s="229"/>
      <c r="NY228" s="229"/>
      <c r="NZ228" s="229"/>
      <c r="OA228" s="229"/>
      <c r="OB228" s="229"/>
      <c r="OC228" s="229"/>
      <c r="OD228" s="229"/>
      <c r="OE228" s="229"/>
      <c r="OF228" s="229"/>
      <c r="OG228" s="229"/>
      <c r="OH228" s="229"/>
      <c r="OI228" s="229"/>
      <c r="OJ228" s="229"/>
      <c r="OK228" s="229"/>
      <c r="OL228" s="229"/>
      <c r="OM228" s="229"/>
      <c r="ON228" s="229"/>
      <c r="OO228" s="229"/>
      <c r="OP228" s="229"/>
      <c r="OQ228" s="229"/>
      <c r="OR228" s="229"/>
      <c r="OS228" s="229"/>
      <c r="OT228" s="229"/>
      <c r="OU228" s="229"/>
      <c r="OV228" s="229"/>
      <c r="OW228" s="229"/>
      <c r="OX228" s="229"/>
      <c r="OY228" s="229"/>
      <c r="OZ228" s="229"/>
      <c r="PA228" s="229"/>
      <c r="PB228" s="229"/>
      <c r="PC228" s="229"/>
      <c r="PD228" s="229"/>
      <c r="PE228" s="229"/>
      <c r="PF228" s="229"/>
      <c r="PG228" s="229"/>
      <c r="PH228" s="229"/>
      <c r="PI228" s="229"/>
      <c r="PJ228" s="229"/>
      <c r="PK228" s="229"/>
      <c r="PL228" s="229"/>
      <c r="PM228" s="229"/>
      <c r="PN228" s="229"/>
      <c r="PO228" s="229"/>
      <c r="PP228" s="229"/>
      <c r="PQ228" s="229"/>
      <c r="PR228" s="229"/>
      <c r="PS228" s="229"/>
      <c r="PT228" s="229"/>
      <c r="PU228" s="229"/>
      <c r="PV228" s="229"/>
      <c r="PW228" s="229"/>
      <c r="PX228" s="229"/>
      <c r="PY228" s="229"/>
      <c r="PZ228" s="229"/>
      <c r="QA228" s="229"/>
      <c r="QB228" s="229"/>
      <c r="QC228" s="229"/>
      <c r="QD228" s="229"/>
      <c r="QE228" s="229"/>
      <c r="QF228" s="229"/>
      <c r="QG228" s="229"/>
      <c r="QH228" s="229"/>
      <c r="QI228" s="229"/>
      <c r="QJ228" s="229"/>
      <c r="QK228" s="229"/>
      <c r="QL228" s="229"/>
      <c r="QM228" s="229"/>
      <c r="QN228" s="229"/>
      <c r="QO228" s="229"/>
      <c r="QP228" s="229"/>
      <c r="QQ228" s="229"/>
      <c r="QR228" s="229"/>
      <c r="QS228" s="229"/>
      <c r="QT228" s="229"/>
      <c r="QU228" s="229"/>
      <c r="QV228" s="229"/>
      <c r="QW228" s="229"/>
      <c r="QX228" s="229"/>
      <c r="QY228" s="229"/>
      <c r="QZ228" s="229"/>
      <c r="RA228" s="229"/>
      <c r="RB228" s="229"/>
      <c r="RC228" s="229"/>
      <c r="RD228" s="229"/>
      <c r="RE228" s="229"/>
      <c r="RF228" s="229"/>
      <c r="RG228" s="229"/>
      <c r="RH228" s="229"/>
      <c r="RI228" s="229"/>
      <c r="RJ228" s="229"/>
      <c r="RK228" s="229"/>
      <c r="RL228" s="229"/>
      <c r="RM228" s="229"/>
      <c r="RN228" s="229"/>
      <c r="RO228" s="229"/>
      <c r="RP228" s="229"/>
      <c r="RQ228" s="229"/>
      <c r="RR228" s="229"/>
      <c r="RS228" s="229"/>
      <c r="RT228" s="229"/>
      <c r="RU228" s="229"/>
      <c r="RV228" s="229"/>
      <c r="RW228" s="229"/>
      <c r="RX228" s="229"/>
      <c r="RY228" s="229"/>
      <c r="RZ228" s="229"/>
      <c r="SA228" s="229"/>
      <c r="SB228" s="229"/>
      <c r="SC228" s="229"/>
      <c r="SD228" s="229"/>
      <c r="SE228" s="229"/>
      <c r="SF228" s="229"/>
      <c r="SG228" s="229"/>
      <c r="SH228" s="229"/>
      <c r="SI228" s="229"/>
      <c r="SJ228" s="229"/>
      <c r="SK228" s="229"/>
      <c r="SL228" s="229"/>
      <c r="SM228" s="229"/>
      <c r="SN228" s="229"/>
      <c r="SO228" s="229"/>
      <c r="SP228" s="229"/>
      <c r="SQ228" s="229"/>
      <c r="SR228" s="229"/>
      <c r="SS228" s="229"/>
      <c r="ST228" s="229"/>
      <c r="SU228" s="229"/>
      <c r="SV228" s="229"/>
      <c r="SW228" s="229"/>
      <c r="SX228" s="229"/>
      <c r="SY228" s="229"/>
      <c r="SZ228" s="229"/>
      <c r="TA228" s="229"/>
      <c r="TB228" s="229"/>
      <c r="TC228" s="229"/>
      <c r="TD228" s="229"/>
      <c r="TE228" s="229"/>
      <c r="TF228" s="229"/>
      <c r="TG228" s="229"/>
      <c r="TH228" s="229"/>
      <c r="TI228" s="229"/>
      <c r="TJ228" s="229"/>
      <c r="TK228" s="229"/>
      <c r="TL228" s="229"/>
      <c r="TM228" s="229"/>
      <c r="TN228" s="229"/>
      <c r="TO228" s="229"/>
      <c r="TP228" s="229"/>
      <c r="TQ228" s="229"/>
      <c r="TR228" s="229"/>
      <c r="TS228" s="229"/>
      <c r="TT228" s="229"/>
      <c r="TU228" s="229"/>
      <c r="TV228" s="229"/>
      <c r="TW228" s="229"/>
      <c r="TX228" s="229"/>
      <c r="TY228" s="229"/>
      <c r="TZ228" s="229"/>
      <c r="UA228" s="229"/>
      <c r="UB228" s="229"/>
      <c r="UC228" s="229"/>
      <c r="UD228" s="229"/>
      <c r="UE228" s="229"/>
      <c r="UF228" s="229"/>
      <c r="UG228" s="229"/>
      <c r="UH228" s="229"/>
      <c r="UI228" s="229"/>
      <c r="UJ228" s="229"/>
      <c r="UK228" s="229"/>
      <c r="UL228" s="229"/>
      <c r="UM228" s="229"/>
      <c r="UN228" s="229"/>
      <c r="UO228" s="229"/>
      <c r="UP228" s="229"/>
      <c r="UQ228" s="229"/>
      <c r="UR228" s="229"/>
      <c r="US228" s="229"/>
      <c r="UT228" s="229"/>
      <c r="UU228" s="229"/>
    </row>
    <row r="229" spans="1:567" s="183" customFormat="1" x14ac:dyDescent="0.25">
      <c r="A229" s="182"/>
      <c r="B229" s="387" t="s">
        <v>806</v>
      </c>
      <c r="C229" s="71"/>
      <c r="D229" s="71"/>
      <c r="E229" s="71"/>
      <c r="F229" s="71"/>
      <c r="G229" s="71"/>
      <c r="H229" s="71"/>
      <c r="I229" s="246">
        <f ca="1">SUMIF(S229:EU229,"&gt;0")/-SUMIF(S229:EU229,"&lt;0")</f>
        <v>1.5568614482637826</v>
      </c>
      <c r="J229" s="247">
        <f ca="1">IF(S229=0,XIRR(OFFSET(S229,0,0,1,Analysis_Period),OFFSET($S$216,0,0,1,Analysis_Period)),XIRR(OFFSET(S229,0,0,1,Analysis_Period+1),OFFSET($S$216,0,0,1,Analysis_Period+1)))</f>
        <v>0.169476991891861</v>
      </c>
      <c r="K229" s="74">
        <f ca="1">SUM(S229:EU229)</f>
        <v>15397736.925640486</v>
      </c>
      <c r="M229" s="3"/>
      <c r="N229" s="3"/>
      <c r="O229" s="3"/>
      <c r="P229" s="3"/>
      <c r="Q229" s="3"/>
      <c r="R229" s="159" t="s">
        <v>384</v>
      </c>
      <c r="S229" s="95">
        <f t="shared" ref="S229:AX229" ca="1" si="3522">IF(S$19&gt;$K$19,"",S218+S219+S222+S224+S225+S226)</f>
        <v>-27650930</v>
      </c>
      <c r="T229" s="95">
        <f t="shared" ca="1" si="3522"/>
        <v>84853.984244358144</v>
      </c>
      <c r="U229" s="95">
        <f t="shared" ca="1" si="3522"/>
        <v>90134.378114341001</v>
      </c>
      <c r="V229" s="95">
        <f t="shared" ca="1" si="3522"/>
        <v>92940.258041209541</v>
      </c>
      <c r="W229" s="95">
        <f t="shared" ca="1" si="3522"/>
        <v>96307.948161248059</v>
      </c>
      <c r="X229" s="95">
        <f t="shared" ca="1" si="3522"/>
        <v>100517.47508651271</v>
      </c>
      <c r="Y229" s="95">
        <f t="shared" ca="1" si="3522"/>
        <v>103397.89849310924</v>
      </c>
      <c r="Z229" s="95">
        <f t="shared" ca="1" si="3522"/>
        <v>106417.69750160788</v>
      </c>
      <c r="AA229" s="95">
        <f t="shared" ca="1" si="3522"/>
        <v>109668.54384584576</v>
      </c>
      <c r="AB229" s="95">
        <f t="shared" ca="1" si="3522"/>
        <v>112627.08361356609</v>
      </c>
      <c r="AC229" s="95">
        <f t="shared" ca="1" si="3522"/>
        <v>115562.59759384239</v>
      </c>
      <c r="AD229" s="95">
        <f t="shared" ca="1" si="3522"/>
        <v>118487.23286179252</v>
      </c>
      <c r="AE229" s="95">
        <f t="shared" ca="1" si="3522"/>
        <v>121393.59883056002</v>
      </c>
      <c r="AF229" s="95">
        <f t="shared" ca="1" si="3522"/>
        <v>124914.30293087487</v>
      </c>
      <c r="AG229" s="95">
        <f t="shared" ca="1" si="3522"/>
        <v>128395.48852891321</v>
      </c>
      <c r="AH229" s="95">
        <f t="shared" ca="1" si="3522"/>
        <v>131927.9876215909</v>
      </c>
      <c r="AI229" s="95">
        <f t="shared" ca="1" si="3522"/>
        <v>135486.62501190428</v>
      </c>
      <c r="AJ229" s="95">
        <f t="shared" ca="1" si="3522"/>
        <v>139069.40118646069</v>
      </c>
      <c r="AK229" s="95">
        <f t="shared" ca="1" si="3522"/>
        <v>142683.35416291468</v>
      </c>
      <c r="AL229" s="95">
        <f t="shared" ca="1" si="3522"/>
        <v>146316.06417419281</v>
      </c>
      <c r="AM229" s="95">
        <f t="shared" ca="1" si="3522"/>
        <v>150003.80515910525</v>
      </c>
      <c r="AN229" s="95">
        <f t="shared" ca="1" si="3522"/>
        <v>153718.00083888386</v>
      </c>
      <c r="AO229" s="95">
        <f t="shared" ca="1" si="3522"/>
        <v>157456.60182851288</v>
      </c>
      <c r="AP229" s="95">
        <f t="shared" ca="1" si="3522"/>
        <v>161225.11929717308</v>
      </c>
      <c r="AQ229" s="95">
        <f t="shared" ca="1" si="3522"/>
        <v>166080.45622274841</v>
      </c>
      <c r="AR229" s="95">
        <f t="shared" ca="1" si="3522"/>
        <v>187894.71920647362</v>
      </c>
      <c r="AS229" s="95">
        <f t="shared" ca="1" si="3522"/>
        <v>188315.8180153594</v>
      </c>
      <c r="AT229" s="95">
        <f t="shared" ca="1" si="3522"/>
        <v>188783.11676020076</v>
      </c>
      <c r="AU229" s="95">
        <f t="shared" ca="1" si="3522"/>
        <v>189219.54179575754</v>
      </c>
      <c r="AV229" s="95">
        <f t="shared" ca="1" si="3522"/>
        <v>189697.68014224386</v>
      </c>
      <c r="AW229" s="95">
        <f t="shared" ca="1" si="3522"/>
        <v>190188.15602236622</v>
      </c>
      <c r="AX229" s="95">
        <f t="shared" ca="1" si="3522"/>
        <v>190686.47950269585</v>
      </c>
      <c r="AY229" s="95">
        <f t="shared" ref="AY229:CD229" ca="1" si="3523">IF(AY$19&gt;$K$19,"",AY218+AY219+AY222+AY224+AY225+AY226)</f>
        <v>191212.0095838205</v>
      </c>
      <c r="AZ229" s="95">
        <f t="shared" ca="1" si="3523"/>
        <v>191720.50813421857</v>
      </c>
      <c r="BA229" s="95">
        <f t="shared" ca="1" si="3523"/>
        <v>192283.8709352903</v>
      </c>
      <c r="BB229" s="95">
        <f t="shared" ca="1" si="3523"/>
        <v>192853.71222986083</v>
      </c>
      <c r="BC229" s="95">
        <f t="shared" ca="1" si="3523"/>
        <v>37966225.409960918</v>
      </c>
      <c r="BD229" s="95" t="str">
        <f t="shared" si="3523"/>
        <v/>
      </c>
      <c r="BE229" s="95" t="str">
        <f t="shared" si="3523"/>
        <v/>
      </c>
      <c r="BF229" s="95" t="str">
        <f t="shared" si="3523"/>
        <v/>
      </c>
      <c r="BG229" s="95" t="str">
        <f t="shared" si="3523"/>
        <v/>
      </c>
      <c r="BH229" s="95" t="str">
        <f t="shared" si="3523"/>
        <v/>
      </c>
      <c r="BI229" s="95" t="str">
        <f t="shared" si="3523"/>
        <v/>
      </c>
      <c r="BJ229" s="95" t="str">
        <f t="shared" si="3523"/>
        <v/>
      </c>
      <c r="BK229" s="95" t="str">
        <f t="shared" si="3523"/>
        <v/>
      </c>
      <c r="BL229" s="95" t="str">
        <f t="shared" si="3523"/>
        <v/>
      </c>
      <c r="BM229" s="95" t="str">
        <f t="shared" si="3523"/>
        <v/>
      </c>
      <c r="BN229" s="95" t="str">
        <f t="shared" si="3523"/>
        <v/>
      </c>
      <c r="BO229" s="95" t="str">
        <f t="shared" si="3523"/>
        <v/>
      </c>
      <c r="BP229" s="95" t="str">
        <f t="shared" si="3523"/>
        <v/>
      </c>
      <c r="BQ229" s="95" t="str">
        <f t="shared" si="3523"/>
        <v/>
      </c>
      <c r="BR229" s="95" t="str">
        <f t="shared" si="3523"/>
        <v/>
      </c>
      <c r="BS229" s="95" t="str">
        <f t="shared" si="3523"/>
        <v/>
      </c>
      <c r="BT229" s="95" t="str">
        <f t="shared" si="3523"/>
        <v/>
      </c>
      <c r="BU229" s="95" t="str">
        <f t="shared" si="3523"/>
        <v/>
      </c>
      <c r="BV229" s="95" t="str">
        <f t="shared" si="3523"/>
        <v/>
      </c>
      <c r="BW229" s="95" t="str">
        <f t="shared" si="3523"/>
        <v/>
      </c>
      <c r="BX229" s="95" t="str">
        <f t="shared" si="3523"/>
        <v/>
      </c>
      <c r="BY229" s="95" t="str">
        <f t="shared" si="3523"/>
        <v/>
      </c>
      <c r="BZ229" s="95" t="str">
        <f t="shared" si="3523"/>
        <v/>
      </c>
      <c r="CA229" s="95" t="str">
        <f t="shared" si="3523"/>
        <v/>
      </c>
      <c r="CB229" s="95" t="str">
        <f t="shared" si="3523"/>
        <v/>
      </c>
      <c r="CC229" s="95" t="str">
        <f t="shared" si="3523"/>
        <v/>
      </c>
      <c r="CD229" s="95" t="str">
        <f t="shared" si="3523"/>
        <v/>
      </c>
      <c r="CE229" s="95" t="str">
        <f t="shared" ref="CE229:DJ229" si="3524">IF(CE$19&gt;$K$19,"",CE218+CE219+CE222+CE224+CE225+CE226)</f>
        <v/>
      </c>
      <c r="CF229" s="95" t="str">
        <f t="shared" si="3524"/>
        <v/>
      </c>
      <c r="CG229" s="95" t="str">
        <f t="shared" si="3524"/>
        <v/>
      </c>
      <c r="CH229" s="95" t="str">
        <f t="shared" si="3524"/>
        <v/>
      </c>
      <c r="CI229" s="95" t="str">
        <f t="shared" si="3524"/>
        <v/>
      </c>
      <c r="CJ229" s="95" t="str">
        <f t="shared" si="3524"/>
        <v/>
      </c>
      <c r="CK229" s="95" t="str">
        <f t="shared" si="3524"/>
        <v/>
      </c>
      <c r="CL229" s="95" t="str">
        <f t="shared" si="3524"/>
        <v/>
      </c>
      <c r="CM229" s="95" t="str">
        <f t="shared" si="3524"/>
        <v/>
      </c>
      <c r="CN229" s="95" t="str">
        <f t="shared" si="3524"/>
        <v/>
      </c>
      <c r="CO229" s="95" t="str">
        <f t="shared" si="3524"/>
        <v/>
      </c>
      <c r="CP229" s="95" t="str">
        <f t="shared" si="3524"/>
        <v/>
      </c>
      <c r="CQ229" s="95" t="str">
        <f t="shared" si="3524"/>
        <v/>
      </c>
      <c r="CR229" s="95" t="str">
        <f t="shared" si="3524"/>
        <v/>
      </c>
      <c r="CS229" s="95" t="str">
        <f t="shared" si="3524"/>
        <v/>
      </c>
      <c r="CT229" s="95" t="str">
        <f t="shared" si="3524"/>
        <v/>
      </c>
      <c r="CU229" s="95" t="str">
        <f t="shared" si="3524"/>
        <v/>
      </c>
      <c r="CV229" s="95" t="str">
        <f t="shared" si="3524"/>
        <v/>
      </c>
      <c r="CW229" s="95" t="str">
        <f t="shared" si="3524"/>
        <v/>
      </c>
      <c r="CX229" s="95" t="str">
        <f t="shared" si="3524"/>
        <v/>
      </c>
      <c r="CY229" s="95" t="str">
        <f t="shared" si="3524"/>
        <v/>
      </c>
      <c r="CZ229" s="95" t="str">
        <f t="shared" si="3524"/>
        <v/>
      </c>
      <c r="DA229" s="95" t="str">
        <f t="shared" si="3524"/>
        <v/>
      </c>
      <c r="DB229" s="95" t="str">
        <f t="shared" si="3524"/>
        <v/>
      </c>
      <c r="DC229" s="95" t="str">
        <f t="shared" si="3524"/>
        <v/>
      </c>
      <c r="DD229" s="95" t="str">
        <f t="shared" si="3524"/>
        <v/>
      </c>
      <c r="DE229" s="95" t="str">
        <f t="shared" si="3524"/>
        <v/>
      </c>
      <c r="DF229" s="95" t="str">
        <f t="shared" si="3524"/>
        <v/>
      </c>
      <c r="DG229" s="95" t="str">
        <f t="shared" si="3524"/>
        <v/>
      </c>
      <c r="DH229" s="95" t="str">
        <f t="shared" si="3524"/>
        <v/>
      </c>
      <c r="DI229" s="95" t="str">
        <f t="shared" si="3524"/>
        <v/>
      </c>
      <c r="DJ229" s="95" t="str">
        <f t="shared" si="3524"/>
        <v/>
      </c>
      <c r="DK229" s="95" t="str">
        <f t="shared" ref="DK229:EU229" si="3525">IF(DK$19&gt;$K$19,"",DK218+DK219+DK222+DK224+DK225+DK226)</f>
        <v/>
      </c>
      <c r="DL229" s="95" t="str">
        <f t="shared" si="3525"/>
        <v/>
      </c>
      <c r="DM229" s="95" t="str">
        <f t="shared" si="3525"/>
        <v/>
      </c>
      <c r="DN229" s="95" t="str">
        <f t="shared" si="3525"/>
        <v/>
      </c>
      <c r="DO229" s="95" t="str">
        <f t="shared" si="3525"/>
        <v/>
      </c>
      <c r="DP229" s="95" t="str">
        <f t="shared" si="3525"/>
        <v/>
      </c>
      <c r="DQ229" s="95" t="str">
        <f t="shared" si="3525"/>
        <v/>
      </c>
      <c r="DR229" s="95" t="str">
        <f t="shared" si="3525"/>
        <v/>
      </c>
      <c r="DS229" s="95" t="str">
        <f t="shared" si="3525"/>
        <v/>
      </c>
      <c r="DT229" s="95" t="str">
        <f t="shared" si="3525"/>
        <v/>
      </c>
      <c r="DU229" s="95" t="str">
        <f t="shared" si="3525"/>
        <v/>
      </c>
      <c r="DV229" s="95" t="str">
        <f t="shared" si="3525"/>
        <v/>
      </c>
      <c r="DW229" s="95" t="str">
        <f t="shared" si="3525"/>
        <v/>
      </c>
      <c r="DX229" s="95" t="str">
        <f t="shared" si="3525"/>
        <v/>
      </c>
      <c r="DY229" s="95" t="str">
        <f t="shared" si="3525"/>
        <v/>
      </c>
      <c r="DZ229" s="95" t="str">
        <f t="shared" si="3525"/>
        <v/>
      </c>
      <c r="EA229" s="95" t="str">
        <f t="shared" si="3525"/>
        <v/>
      </c>
      <c r="EB229" s="95" t="str">
        <f t="shared" si="3525"/>
        <v/>
      </c>
      <c r="EC229" s="95" t="str">
        <f t="shared" si="3525"/>
        <v/>
      </c>
      <c r="ED229" s="95" t="str">
        <f t="shared" si="3525"/>
        <v/>
      </c>
      <c r="EE229" s="95" t="str">
        <f t="shared" si="3525"/>
        <v/>
      </c>
      <c r="EF229" s="95" t="str">
        <f t="shared" si="3525"/>
        <v/>
      </c>
      <c r="EG229" s="95" t="str">
        <f t="shared" si="3525"/>
        <v/>
      </c>
      <c r="EH229" s="95" t="str">
        <f t="shared" si="3525"/>
        <v/>
      </c>
      <c r="EI229" s="95" t="str">
        <f t="shared" si="3525"/>
        <v/>
      </c>
      <c r="EJ229" s="95" t="str">
        <f t="shared" si="3525"/>
        <v/>
      </c>
      <c r="EK229" s="95" t="str">
        <f t="shared" si="3525"/>
        <v/>
      </c>
      <c r="EL229" s="95" t="str">
        <f t="shared" si="3525"/>
        <v/>
      </c>
      <c r="EM229" s="95" t="str">
        <f t="shared" si="3525"/>
        <v/>
      </c>
      <c r="EN229" s="95" t="str">
        <f t="shared" si="3525"/>
        <v/>
      </c>
      <c r="EO229" s="95" t="str">
        <f t="shared" si="3525"/>
        <v/>
      </c>
      <c r="EP229" s="95" t="str">
        <f t="shared" si="3525"/>
        <v/>
      </c>
      <c r="EQ229" s="95" t="str">
        <f t="shared" si="3525"/>
        <v/>
      </c>
      <c r="ER229" s="95" t="str">
        <f t="shared" si="3525"/>
        <v/>
      </c>
      <c r="ES229" s="95" t="str">
        <f t="shared" si="3525"/>
        <v/>
      </c>
      <c r="ET229" s="95" t="str">
        <f t="shared" si="3525"/>
        <v/>
      </c>
      <c r="EU229" s="95" t="str">
        <f t="shared" si="3525"/>
        <v/>
      </c>
      <c r="EV229" s="2"/>
      <c r="EW229" s="222" t="s">
        <v>273</v>
      </c>
      <c r="EX229" s="222"/>
      <c r="EY229" s="222"/>
      <c r="EZ229" s="222"/>
      <c r="FA229" s="222"/>
      <c r="FB229" s="222"/>
      <c r="FC229" s="233">
        <f t="shared" ref="FC229:GH229" ca="1" si="3526">IF(FC209="","",MAX(FC209,0)-FC216-FC223)</f>
        <v>0</v>
      </c>
      <c r="FD229" s="233">
        <f t="shared" ca="1" si="3526"/>
        <v>1.8189894035458565E-12</v>
      </c>
      <c r="FE229" s="233">
        <f t="shared" ca="1" si="3526"/>
        <v>6.3664629124104977E-12</v>
      </c>
      <c r="FF229" s="233">
        <f t="shared" ca="1" si="3526"/>
        <v>-2.2737367544323206E-12</v>
      </c>
      <c r="FG229" s="233">
        <f t="shared" ca="1" si="3526"/>
        <v>9.0949470177292824E-12</v>
      </c>
      <c r="FH229" s="233">
        <f t="shared" ca="1" si="3526"/>
        <v>1.8189894035458565E-12</v>
      </c>
      <c r="FI229" s="233">
        <f t="shared" ca="1" si="3526"/>
        <v>1.8189894035458565E-12</v>
      </c>
      <c r="FJ229" s="233">
        <f t="shared" ca="1" si="3526"/>
        <v>3.637978807091713E-12</v>
      </c>
      <c r="FK229" s="233">
        <f t="shared" ca="1" si="3526"/>
        <v>-9.0949470177292824E-13</v>
      </c>
      <c r="FL229" s="233">
        <f t="shared" ca="1" si="3526"/>
        <v>8.1854523159563541E-12</v>
      </c>
      <c r="FM229" s="233">
        <f t="shared" ca="1" si="3526"/>
        <v>7.2759576141834259E-12</v>
      </c>
      <c r="FN229" s="233">
        <f t="shared" ca="1" si="3526"/>
        <v>4.5474735088646412E-12</v>
      </c>
      <c r="FO229" s="233">
        <f t="shared" ca="1" si="3526"/>
        <v>4.5474735088646412E-12</v>
      </c>
      <c r="FP229" s="233">
        <f t="shared" ca="1" si="3526"/>
        <v>0</v>
      </c>
      <c r="FQ229" s="233">
        <f t="shared" ca="1" si="3526"/>
        <v>4.5474735088646412E-12</v>
      </c>
      <c r="FR229" s="233">
        <f t="shared" ca="1" si="3526"/>
        <v>0</v>
      </c>
      <c r="FS229" s="233">
        <f t="shared" ca="1" si="3526"/>
        <v>0</v>
      </c>
      <c r="FT229" s="233">
        <f t="shared" ca="1" si="3526"/>
        <v>1.2732925824820995E-11</v>
      </c>
      <c r="FU229" s="233">
        <f t="shared" ca="1" si="3526"/>
        <v>6.3664629124104977E-12</v>
      </c>
      <c r="FV229" s="233">
        <f t="shared" ca="1" si="3526"/>
        <v>4.5474735088646412E-12</v>
      </c>
      <c r="FW229" s="233">
        <f t="shared" ca="1" si="3526"/>
        <v>9.0949470177292824E-13</v>
      </c>
      <c r="FX229" s="233">
        <f t="shared" ca="1" si="3526"/>
        <v>2.7284841053187847E-12</v>
      </c>
      <c r="FY229" s="233">
        <f t="shared" ca="1" si="3526"/>
        <v>1.8189894035458565E-11</v>
      </c>
      <c r="FZ229" s="233">
        <f t="shared" ca="1" si="3526"/>
        <v>1.546140993013978E-11</v>
      </c>
      <c r="GA229" s="233">
        <f t="shared" ca="1" si="3526"/>
        <v>1.8189894035458565E-11</v>
      </c>
      <c r="GB229" s="233">
        <f t="shared" ca="1" si="3526"/>
        <v>1.0913936421275139E-11</v>
      </c>
      <c r="GC229" s="233">
        <f t="shared" ca="1" si="3526"/>
        <v>-5.4569682106375694E-12</v>
      </c>
      <c r="GD229" s="233">
        <f t="shared" ca="1" si="3526"/>
        <v>1.6370904631912708E-11</v>
      </c>
      <c r="GE229" s="233">
        <f t="shared" ca="1" si="3526"/>
        <v>-5.4569682106375694E-12</v>
      </c>
      <c r="GF229" s="233">
        <f t="shared" ca="1" si="3526"/>
        <v>-3.637978807091713E-12</v>
      </c>
      <c r="GG229" s="233">
        <f t="shared" ca="1" si="3526"/>
        <v>-1.8189894035458565E-12</v>
      </c>
      <c r="GH229" s="233">
        <f t="shared" ca="1" si="3526"/>
        <v>1.8189894035458565E-12</v>
      </c>
      <c r="GI229" s="233">
        <f t="shared" ref="GI229:HN229" ca="1" si="3527">IF(GI209="","",MAX(GI209,0)-GI216-GI223)</f>
        <v>7.2759576141834259E-12</v>
      </c>
      <c r="GJ229" s="233">
        <f t="shared" ca="1" si="3527"/>
        <v>0</v>
      </c>
      <c r="GK229" s="233">
        <f t="shared" ca="1" si="3527"/>
        <v>1.6370904631912708E-11</v>
      </c>
      <c r="GL229" s="233">
        <f t="shared" ca="1" si="3527"/>
        <v>9.0949470177292824E-12</v>
      </c>
      <c r="GM229" s="233">
        <f t="shared" ca="1" si="3527"/>
        <v>6332168.5684282882</v>
      </c>
      <c r="GN229" s="233" t="str">
        <f t="shared" si="3527"/>
        <v/>
      </c>
      <c r="GO229" s="233" t="str">
        <f t="shared" si="3527"/>
        <v/>
      </c>
      <c r="GP229" s="233" t="str">
        <f t="shared" si="3527"/>
        <v/>
      </c>
      <c r="GQ229" s="233" t="str">
        <f t="shared" si="3527"/>
        <v/>
      </c>
      <c r="GR229" s="233" t="str">
        <f t="shared" si="3527"/>
        <v/>
      </c>
      <c r="GS229" s="233" t="str">
        <f t="shared" si="3527"/>
        <v/>
      </c>
      <c r="GT229" s="233" t="str">
        <f t="shared" si="3527"/>
        <v/>
      </c>
      <c r="GU229" s="233" t="str">
        <f t="shared" si="3527"/>
        <v/>
      </c>
      <c r="GV229" s="233" t="str">
        <f t="shared" si="3527"/>
        <v/>
      </c>
      <c r="GW229" s="233" t="str">
        <f t="shared" si="3527"/>
        <v/>
      </c>
      <c r="GX229" s="233" t="str">
        <f t="shared" si="3527"/>
        <v/>
      </c>
      <c r="GY229" s="233" t="str">
        <f t="shared" si="3527"/>
        <v/>
      </c>
      <c r="GZ229" s="233" t="str">
        <f t="shared" si="3527"/>
        <v/>
      </c>
      <c r="HA229" s="233" t="str">
        <f t="shared" si="3527"/>
        <v/>
      </c>
      <c r="HB229" s="233" t="str">
        <f t="shared" si="3527"/>
        <v/>
      </c>
      <c r="HC229" s="233" t="str">
        <f t="shared" si="3527"/>
        <v/>
      </c>
      <c r="HD229" s="233" t="str">
        <f t="shared" si="3527"/>
        <v/>
      </c>
      <c r="HE229" s="233" t="str">
        <f t="shared" si="3527"/>
        <v/>
      </c>
      <c r="HF229" s="233" t="str">
        <f t="shared" si="3527"/>
        <v/>
      </c>
      <c r="HG229" s="233" t="str">
        <f t="shared" si="3527"/>
        <v/>
      </c>
      <c r="HH229" s="233" t="str">
        <f t="shared" si="3527"/>
        <v/>
      </c>
      <c r="HI229" s="233" t="str">
        <f t="shared" si="3527"/>
        <v/>
      </c>
      <c r="HJ229" s="233" t="str">
        <f t="shared" si="3527"/>
        <v/>
      </c>
      <c r="HK229" s="233" t="str">
        <f t="shared" si="3527"/>
        <v/>
      </c>
      <c r="HL229" s="233" t="str">
        <f t="shared" si="3527"/>
        <v/>
      </c>
      <c r="HM229" s="233" t="str">
        <f t="shared" si="3527"/>
        <v/>
      </c>
      <c r="HN229" s="233" t="str">
        <f t="shared" si="3527"/>
        <v/>
      </c>
      <c r="HO229" s="233" t="str">
        <f t="shared" ref="HO229:IT229" si="3528">IF(HO209="","",MAX(HO209,0)-HO216-HO223)</f>
        <v/>
      </c>
      <c r="HP229" s="233" t="str">
        <f t="shared" si="3528"/>
        <v/>
      </c>
      <c r="HQ229" s="233" t="str">
        <f t="shared" si="3528"/>
        <v/>
      </c>
      <c r="HR229" s="233" t="str">
        <f t="shared" si="3528"/>
        <v/>
      </c>
      <c r="HS229" s="233" t="str">
        <f t="shared" si="3528"/>
        <v/>
      </c>
      <c r="HT229" s="233" t="str">
        <f t="shared" si="3528"/>
        <v/>
      </c>
      <c r="HU229" s="233" t="str">
        <f t="shared" si="3528"/>
        <v/>
      </c>
      <c r="HV229" s="233" t="str">
        <f t="shared" si="3528"/>
        <v/>
      </c>
      <c r="HW229" s="233" t="str">
        <f t="shared" si="3528"/>
        <v/>
      </c>
      <c r="HX229" s="233" t="str">
        <f t="shared" si="3528"/>
        <v/>
      </c>
      <c r="HY229" s="233" t="str">
        <f t="shared" si="3528"/>
        <v/>
      </c>
      <c r="HZ229" s="233" t="str">
        <f t="shared" si="3528"/>
        <v/>
      </c>
      <c r="IA229" s="233" t="str">
        <f t="shared" si="3528"/>
        <v/>
      </c>
      <c r="IB229" s="233" t="str">
        <f t="shared" si="3528"/>
        <v/>
      </c>
      <c r="IC229" s="233" t="str">
        <f t="shared" si="3528"/>
        <v/>
      </c>
      <c r="ID229" s="233" t="str">
        <f t="shared" si="3528"/>
        <v/>
      </c>
      <c r="IE229" s="233" t="str">
        <f t="shared" si="3528"/>
        <v/>
      </c>
      <c r="IF229" s="233" t="str">
        <f t="shared" si="3528"/>
        <v/>
      </c>
      <c r="IG229" s="233" t="str">
        <f t="shared" si="3528"/>
        <v/>
      </c>
      <c r="IH229" s="233" t="str">
        <f t="shared" si="3528"/>
        <v/>
      </c>
      <c r="II229" s="233" t="str">
        <f t="shared" si="3528"/>
        <v/>
      </c>
      <c r="IJ229" s="233" t="str">
        <f t="shared" si="3528"/>
        <v/>
      </c>
      <c r="IK229" s="233" t="str">
        <f t="shared" si="3528"/>
        <v/>
      </c>
      <c r="IL229" s="233" t="str">
        <f t="shared" si="3528"/>
        <v/>
      </c>
      <c r="IM229" s="233" t="str">
        <f t="shared" si="3528"/>
        <v/>
      </c>
      <c r="IN229" s="233" t="str">
        <f t="shared" si="3528"/>
        <v/>
      </c>
      <c r="IO229" s="233" t="str">
        <f t="shared" si="3528"/>
        <v/>
      </c>
      <c r="IP229" s="233" t="str">
        <f t="shared" si="3528"/>
        <v/>
      </c>
      <c r="IQ229" s="233" t="str">
        <f t="shared" si="3528"/>
        <v/>
      </c>
      <c r="IR229" s="233" t="str">
        <f t="shared" si="3528"/>
        <v/>
      </c>
      <c r="IS229" s="233" t="str">
        <f t="shared" si="3528"/>
        <v/>
      </c>
      <c r="IT229" s="233" t="str">
        <f t="shared" si="3528"/>
        <v/>
      </c>
      <c r="IU229" s="233" t="str">
        <f t="shared" ref="IU229:KE229" si="3529">IF(IU209="","",MAX(IU209,0)-IU216-IU223)</f>
        <v/>
      </c>
      <c r="IV229" s="233" t="str">
        <f t="shared" si="3529"/>
        <v/>
      </c>
      <c r="IW229" s="233" t="str">
        <f t="shared" si="3529"/>
        <v/>
      </c>
      <c r="IX229" s="233" t="str">
        <f t="shared" si="3529"/>
        <v/>
      </c>
      <c r="IY229" s="233" t="str">
        <f t="shared" si="3529"/>
        <v/>
      </c>
      <c r="IZ229" s="233" t="str">
        <f t="shared" si="3529"/>
        <v/>
      </c>
      <c r="JA229" s="233" t="str">
        <f t="shared" si="3529"/>
        <v/>
      </c>
      <c r="JB229" s="233" t="str">
        <f t="shared" si="3529"/>
        <v/>
      </c>
      <c r="JC229" s="233" t="str">
        <f t="shared" si="3529"/>
        <v/>
      </c>
      <c r="JD229" s="233" t="str">
        <f t="shared" si="3529"/>
        <v/>
      </c>
      <c r="JE229" s="233" t="str">
        <f t="shared" si="3529"/>
        <v/>
      </c>
      <c r="JF229" s="233" t="str">
        <f t="shared" si="3529"/>
        <v/>
      </c>
      <c r="JG229" s="233" t="str">
        <f t="shared" si="3529"/>
        <v/>
      </c>
      <c r="JH229" s="233" t="str">
        <f t="shared" si="3529"/>
        <v/>
      </c>
      <c r="JI229" s="233" t="str">
        <f t="shared" si="3529"/>
        <v/>
      </c>
      <c r="JJ229" s="233" t="str">
        <f t="shared" si="3529"/>
        <v/>
      </c>
      <c r="JK229" s="233" t="str">
        <f t="shared" si="3529"/>
        <v/>
      </c>
      <c r="JL229" s="233" t="str">
        <f t="shared" si="3529"/>
        <v/>
      </c>
      <c r="JM229" s="233" t="str">
        <f t="shared" si="3529"/>
        <v/>
      </c>
      <c r="JN229" s="233" t="str">
        <f t="shared" si="3529"/>
        <v/>
      </c>
      <c r="JO229" s="233" t="str">
        <f t="shared" si="3529"/>
        <v/>
      </c>
      <c r="JP229" s="233" t="str">
        <f t="shared" si="3529"/>
        <v/>
      </c>
      <c r="JQ229" s="233" t="str">
        <f t="shared" si="3529"/>
        <v/>
      </c>
      <c r="JR229" s="233" t="str">
        <f t="shared" si="3529"/>
        <v/>
      </c>
      <c r="JS229" s="233" t="str">
        <f t="shared" si="3529"/>
        <v/>
      </c>
      <c r="JT229" s="233" t="str">
        <f t="shared" si="3529"/>
        <v/>
      </c>
      <c r="JU229" s="233" t="str">
        <f t="shared" si="3529"/>
        <v/>
      </c>
      <c r="JV229" s="233" t="str">
        <f t="shared" si="3529"/>
        <v/>
      </c>
      <c r="JW229" s="233" t="str">
        <f t="shared" si="3529"/>
        <v/>
      </c>
      <c r="JX229" s="233" t="str">
        <f t="shared" si="3529"/>
        <v/>
      </c>
      <c r="JY229" s="233" t="str">
        <f t="shared" si="3529"/>
        <v/>
      </c>
      <c r="JZ229" s="233" t="str">
        <f t="shared" si="3529"/>
        <v/>
      </c>
      <c r="KA229" s="233" t="str">
        <f t="shared" si="3529"/>
        <v/>
      </c>
      <c r="KB229" s="233" t="str">
        <f t="shared" si="3529"/>
        <v/>
      </c>
      <c r="KC229" s="233" t="str">
        <f t="shared" si="3529"/>
        <v/>
      </c>
      <c r="KD229" s="233" t="str">
        <f t="shared" si="3529"/>
        <v/>
      </c>
      <c r="KE229" s="233" t="str">
        <f t="shared" si="3529"/>
        <v/>
      </c>
      <c r="KF229" s="218" t="s">
        <v>269</v>
      </c>
      <c r="KG229" s="229"/>
      <c r="KH229" s="229"/>
      <c r="KI229" s="229"/>
      <c r="KJ229" s="229"/>
      <c r="KK229" s="229"/>
      <c r="KL229" s="229"/>
      <c r="KM229" s="229"/>
      <c r="KN229" s="229"/>
      <c r="KO229" s="229"/>
      <c r="KP229" s="229"/>
      <c r="KQ229" s="229"/>
      <c r="KR229" s="229"/>
      <c r="KS229" s="229"/>
      <c r="KT229" s="229"/>
      <c r="KU229" s="229"/>
      <c r="KV229" s="229"/>
      <c r="KW229" s="229"/>
      <c r="KX229" s="229"/>
      <c r="KY229" s="229"/>
      <c r="KZ229" s="229"/>
      <c r="LA229" s="229"/>
      <c r="LB229" s="229"/>
      <c r="LC229" s="229"/>
      <c r="LD229" s="229"/>
      <c r="LE229" s="229"/>
      <c r="LF229" s="229"/>
      <c r="LG229" s="229"/>
      <c r="LH229" s="229"/>
      <c r="LI229" s="229"/>
      <c r="LJ229" s="229"/>
      <c r="LK229" s="229"/>
      <c r="LL229" s="229"/>
      <c r="LM229" s="229"/>
      <c r="LN229" s="229"/>
      <c r="LO229" s="229"/>
      <c r="LP229" s="229"/>
      <c r="LQ229" s="229"/>
      <c r="LR229" s="229"/>
      <c r="LS229" s="229"/>
      <c r="LT229" s="229"/>
      <c r="LU229" s="229"/>
      <c r="LV229" s="229"/>
      <c r="LW229" s="229"/>
      <c r="LX229" s="229"/>
      <c r="LY229" s="229"/>
      <c r="LZ229" s="229"/>
      <c r="MA229" s="229"/>
      <c r="MB229" s="229"/>
      <c r="MC229" s="229"/>
      <c r="MD229" s="229"/>
      <c r="ME229" s="229"/>
      <c r="MF229" s="229"/>
      <c r="MG229" s="229"/>
      <c r="MH229" s="229"/>
      <c r="MI229" s="229"/>
      <c r="MJ229" s="229"/>
      <c r="MK229" s="229"/>
      <c r="ML229" s="229"/>
      <c r="MM229" s="229"/>
      <c r="MN229" s="229"/>
      <c r="MO229" s="229"/>
      <c r="MP229" s="229"/>
      <c r="MQ229" s="229"/>
      <c r="MR229" s="229"/>
      <c r="MS229" s="229"/>
      <c r="MT229" s="229"/>
      <c r="MU229" s="229"/>
      <c r="MV229" s="229"/>
      <c r="MW229" s="229"/>
      <c r="MX229" s="229"/>
      <c r="MY229" s="229"/>
      <c r="MZ229" s="229"/>
      <c r="NA229" s="229"/>
      <c r="NB229" s="229"/>
      <c r="NC229" s="229"/>
      <c r="ND229" s="229"/>
      <c r="NE229" s="229"/>
      <c r="NF229" s="229"/>
      <c r="NG229" s="229"/>
      <c r="NH229" s="229"/>
      <c r="NI229" s="229"/>
      <c r="NJ229" s="229"/>
      <c r="NK229" s="229"/>
      <c r="NL229" s="229"/>
      <c r="NM229" s="229"/>
      <c r="NN229" s="229"/>
      <c r="NO229" s="229"/>
      <c r="NP229" s="229"/>
      <c r="NQ229" s="229"/>
      <c r="NR229" s="229"/>
      <c r="NS229" s="229"/>
      <c r="NT229" s="229"/>
      <c r="NU229" s="229"/>
      <c r="NV229" s="229"/>
      <c r="NW229" s="229"/>
      <c r="NX229" s="229"/>
      <c r="NY229" s="229"/>
      <c r="NZ229" s="229"/>
      <c r="OA229" s="229"/>
      <c r="OB229" s="229"/>
      <c r="OC229" s="229"/>
      <c r="OD229" s="229"/>
      <c r="OE229" s="229"/>
      <c r="OF229" s="229"/>
      <c r="OG229" s="229"/>
      <c r="OH229" s="229"/>
      <c r="OI229" s="229"/>
      <c r="OJ229" s="229"/>
      <c r="OK229" s="229"/>
      <c r="OL229" s="229"/>
      <c r="OM229" s="229"/>
      <c r="ON229" s="229"/>
      <c r="OO229" s="229"/>
      <c r="OP229" s="229"/>
      <c r="OQ229" s="229"/>
      <c r="OR229" s="229"/>
      <c r="OS229" s="229"/>
      <c r="OT229" s="229"/>
      <c r="OU229" s="229"/>
      <c r="OV229" s="229"/>
      <c r="OW229" s="229"/>
      <c r="OX229" s="229"/>
      <c r="OY229" s="229"/>
      <c r="OZ229" s="229"/>
      <c r="PA229" s="229"/>
      <c r="PB229" s="229"/>
      <c r="PC229" s="229"/>
      <c r="PD229" s="229"/>
      <c r="PE229" s="229"/>
      <c r="PF229" s="229"/>
      <c r="PG229" s="229"/>
      <c r="PH229" s="229"/>
      <c r="PI229" s="229"/>
      <c r="PJ229" s="229"/>
      <c r="PK229" s="229"/>
      <c r="PL229" s="229"/>
      <c r="PM229" s="229"/>
      <c r="PN229" s="229"/>
      <c r="PO229" s="229"/>
      <c r="PP229" s="229"/>
      <c r="PQ229" s="229"/>
      <c r="PR229" s="229"/>
      <c r="PS229" s="229"/>
      <c r="PT229" s="229"/>
      <c r="PU229" s="229"/>
      <c r="PV229" s="229"/>
      <c r="PW229" s="229"/>
      <c r="PX229" s="229"/>
      <c r="PY229" s="229"/>
      <c r="PZ229" s="229"/>
      <c r="QA229" s="229"/>
      <c r="QB229" s="229"/>
      <c r="QC229" s="229"/>
      <c r="QD229" s="229"/>
      <c r="QE229" s="229"/>
      <c r="QF229" s="229"/>
      <c r="QG229" s="229"/>
      <c r="QH229" s="229"/>
      <c r="QI229" s="229"/>
      <c r="QJ229" s="229"/>
      <c r="QK229" s="229"/>
      <c r="QL229" s="229"/>
      <c r="QM229" s="229"/>
      <c r="QN229" s="229"/>
      <c r="QO229" s="229"/>
      <c r="QP229" s="229"/>
      <c r="QQ229" s="229"/>
      <c r="QR229" s="229"/>
      <c r="QS229" s="229"/>
      <c r="QT229" s="229"/>
      <c r="QU229" s="229"/>
      <c r="QV229" s="229"/>
      <c r="QW229" s="229"/>
      <c r="QX229" s="229"/>
      <c r="QY229" s="229"/>
      <c r="QZ229" s="229"/>
      <c r="RA229" s="229"/>
      <c r="RB229" s="229"/>
      <c r="RC229" s="229"/>
      <c r="RD229" s="229"/>
      <c r="RE229" s="229"/>
      <c r="RF229" s="229"/>
      <c r="RG229" s="229"/>
      <c r="RH229" s="229"/>
      <c r="RI229" s="229"/>
      <c r="RJ229" s="229"/>
      <c r="RK229" s="229"/>
      <c r="RL229" s="229"/>
      <c r="RM229" s="229"/>
      <c r="RN229" s="229"/>
      <c r="RO229" s="229"/>
      <c r="RP229" s="229"/>
      <c r="RQ229" s="229"/>
      <c r="RR229" s="229"/>
      <c r="RS229" s="229"/>
      <c r="RT229" s="229"/>
      <c r="RU229" s="229"/>
      <c r="RV229" s="229"/>
      <c r="RW229" s="229"/>
      <c r="RX229" s="229"/>
      <c r="RY229" s="229"/>
      <c r="RZ229" s="229"/>
      <c r="SA229" s="229"/>
      <c r="SB229" s="229"/>
      <c r="SC229" s="229"/>
      <c r="SD229" s="229"/>
      <c r="SE229" s="229"/>
      <c r="SF229" s="229"/>
      <c r="SG229" s="229"/>
      <c r="SH229" s="229"/>
      <c r="SI229" s="229"/>
      <c r="SJ229" s="229"/>
      <c r="SK229" s="229"/>
      <c r="SL229" s="229"/>
      <c r="SM229" s="229"/>
      <c r="SN229" s="229"/>
      <c r="SO229" s="229"/>
      <c r="SP229" s="229"/>
      <c r="SQ229" s="229"/>
      <c r="SR229" s="229"/>
      <c r="SS229" s="229"/>
      <c r="ST229" s="229"/>
      <c r="SU229" s="229"/>
      <c r="SV229" s="229"/>
      <c r="SW229" s="229"/>
      <c r="SX229" s="229"/>
      <c r="SY229" s="229"/>
      <c r="SZ229" s="229"/>
      <c r="TA229" s="229"/>
      <c r="TB229" s="229"/>
      <c r="TC229" s="229"/>
      <c r="TD229" s="229"/>
      <c r="TE229" s="229"/>
      <c r="TF229" s="229"/>
      <c r="TG229" s="229"/>
      <c r="TH229" s="229"/>
      <c r="TI229" s="229"/>
      <c r="TJ229" s="229"/>
      <c r="TK229" s="229"/>
      <c r="TL229" s="229"/>
      <c r="TM229" s="229"/>
      <c r="TN229" s="229"/>
      <c r="TO229" s="229"/>
      <c r="TP229" s="229"/>
      <c r="TQ229" s="229"/>
      <c r="TR229" s="229"/>
      <c r="TS229" s="229"/>
      <c r="TT229" s="229"/>
      <c r="TU229" s="229"/>
      <c r="TV229" s="229"/>
      <c r="TW229" s="229"/>
      <c r="TX229" s="229"/>
      <c r="TY229" s="229"/>
      <c r="TZ229" s="229"/>
      <c r="UA229" s="229"/>
      <c r="UB229" s="229"/>
      <c r="UC229" s="229"/>
      <c r="UD229" s="229"/>
      <c r="UE229" s="229"/>
      <c r="UF229" s="229"/>
      <c r="UG229" s="229"/>
      <c r="UH229" s="229"/>
      <c r="UI229" s="229"/>
      <c r="UJ229" s="229"/>
      <c r="UK229" s="229"/>
      <c r="UL229" s="229"/>
      <c r="UM229" s="229"/>
      <c r="UN229" s="229"/>
      <c r="UO229" s="229"/>
      <c r="UP229" s="229"/>
      <c r="UQ229" s="229"/>
      <c r="UR229" s="229"/>
      <c r="US229" s="229"/>
      <c r="UT229" s="229"/>
      <c r="UU229" s="229"/>
    </row>
    <row r="230" spans="1:567" s="183" customFormat="1" ht="5.0999999999999996" customHeight="1" x14ac:dyDescent="0.25">
      <c r="A230" s="182"/>
      <c r="B230" s="70"/>
      <c r="C230" s="71"/>
      <c r="D230" s="71"/>
      <c r="E230" s="71"/>
      <c r="F230" s="71"/>
      <c r="G230" s="71"/>
      <c r="H230" s="71"/>
      <c r="I230" s="246"/>
      <c r="J230" s="247"/>
      <c r="K230" s="74"/>
      <c r="M230" s="3"/>
      <c r="N230" s="3"/>
      <c r="O230" s="3"/>
      <c r="P230" s="3"/>
      <c r="Q230" s="3"/>
      <c r="R230" s="260"/>
      <c r="S230" s="95"/>
      <c r="T230" s="95"/>
      <c r="U230" s="95"/>
      <c r="V230" s="95"/>
      <c r="W230" s="95"/>
      <c r="X230" s="95"/>
      <c r="Y230" s="95"/>
      <c r="Z230" s="95"/>
      <c r="AA230" s="95"/>
      <c r="AB230" s="95"/>
      <c r="AC230" s="95"/>
      <c r="AD230" s="95"/>
      <c r="AE230" s="95"/>
      <c r="AF230" s="95"/>
      <c r="AG230" s="95"/>
      <c r="AH230" s="95"/>
      <c r="AI230" s="95"/>
      <c r="AJ230" s="95"/>
      <c r="AK230" s="95"/>
      <c r="AL230" s="95"/>
      <c r="AM230" s="95"/>
      <c r="AN230" s="95"/>
      <c r="AO230" s="95"/>
      <c r="AP230" s="95"/>
      <c r="AQ230" s="95"/>
      <c r="AR230" s="95"/>
      <c r="AS230" s="95"/>
      <c r="AT230" s="95"/>
      <c r="AU230" s="95"/>
      <c r="AV230" s="95"/>
      <c r="AW230" s="95"/>
      <c r="AX230" s="95"/>
      <c r="AY230" s="95"/>
      <c r="AZ230" s="95"/>
      <c r="BA230" s="95"/>
      <c r="BB230" s="95"/>
      <c r="BC230" s="95"/>
      <c r="BD230" s="95"/>
      <c r="BE230" s="95"/>
      <c r="BF230" s="95"/>
      <c r="BG230" s="95"/>
      <c r="BH230" s="95"/>
      <c r="BI230" s="95"/>
      <c r="BJ230" s="95"/>
      <c r="BK230" s="95"/>
      <c r="BL230" s="95"/>
      <c r="BM230" s="95"/>
      <c r="BN230" s="95"/>
      <c r="BO230" s="95"/>
      <c r="BP230" s="95"/>
      <c r="BQ230" s="95"/>
      <c r="BR230" s="95"/>
      <c r="BS230" s="95"/>
      <c r="BT230" s="95"/>
      <c r="BU230" s="95"/>
      <c r="BV230" s="95"/>
      <c r="BW230" s="95"/>
      <c r="BX230" s="95"/>
      <c r="BY230" s="95"/>
      <c r="BZ230" s="95"/>
      <c r="CA230" s="95"/>
      <c r="CB230" s="95"/>
      <c r="CC230" s="95"/>
      <c r="CD230" s="95"/>
      <c r="CE230" s="95"/>
      <c r="CF230" s="95"/>
      <c r="CG230" s="95"/>
      <c r="CH230" s="95"/>
      <c r="CI230" s="95"/>
      <c r="CJ230" s="95"/>
      <c r="CK230" s="95"/>
      <c r="CL230" s="95"/>
      <c r="CM230" s="95"/>
      <c r="CN230" s="95"/>
      <c r="CO230" s="95"/>
      <c r="CP230" s="95"/>
      <c r="CQ230" s="95"/>
      <c r="CR230" s="95"/>
      <c r="CS230" s="95"/>
      <c r="CT230" s="95"/>
      <c r="CU230" s="95"/>
      <c r="CV230" s="95"/>
      <c r="CW230" s="95"/>
      <c r="CX230" s="95"/>
      <c r="CY230" s="95"/>
      <c r="CZ230" s="95"/>
      <c r="DA230" s="95"/>
      <c r="DB230" s="95"/>
      <c r="DC230" s="95"/>
      <c r="DD230" s="95"/>
      <c r="DE230" s="95"/>
      <c r="DF230" s="95"/>
      <c r="DG230" s="95"/>
      <c r="DH230" s="95"/>
      <c r="DI230" s="95"/>
      <c r="DJ230" s="95"/>
      <c r="DK230" s="95"/>
      <c r="DL230" s="95"/>
      <c r="DM230" s="95"/>
      <c r="DN230" s="95"/>
      <c r="DO230" s="95"/>
      <c r="DP230" s="95"/>
      <c r="DQ230" s="95"/>
      <c r="DR230" s="95"/>
      <c r="DS230" s="95"/>
      <c r="DT230" s="95"/>
      <c r="DU230" s="95"/>
      <c r="DV230" s="95"/>
      <c r="DW230" s="95"/>
      <c r="DX230" s="95"/>
      <c r="DY230" s="95"/>
      <c r="DZ230" s="95"/>
      <c r="EA230" s="95"/>
      <c r="EB230" s="95"/>
      <c r="EC230" s="95"/>
      <c r="ED230" s="95"/>
      <c r="EE230" s="95"/>
      <c r="EF230" s="95"/>
      <c r="EG230" s="95"/>
      <c r="EH230" s="95"/>
      <c r="EI230" s="95"/>
      <c r="EJ230" s="95"/>
      <c r="EK230" s="95"/>
      <c r="EL230" s="95"/>
      <c r="EM230" s="95"/>
      <c r="EN230" s="95"/>
      <c r="EO230" s="95"/>
      <c r="EP230" s="95"/>
      <c r="EQ230" s="95"/>
      <c r="ER230" s="95"/>
      <c r="ES230" s="95"/>
      <c r="ET230" s="95"/>
      <c r="EU230" s="95"/>
      <c r="EV230" s="2"/>
      <c r="EW230" s="201" t="s">
        <v>263</v>
      </c>
      <c r="EX230" s="229"/>
      <c r="EY230" s="229"/>
      <c r="EZ230" s="235"/>
      <c r="FA230" s="230"/>
      <c r="FB230" s="230"/>
      <c r="FC230" s="231">
        <f t="shared" ref="FC230:GH230" ca="1" si="3530">IF(FC229="","",FB235)</f>
        <v>0</v>
      </c>
      <c r="FD230" s="231">
        <f t="shared" ca="1" si="3530"/>
        <v>26865102.25</v>
      </c>
      <c r="FE230" s="231">
        <f t="shared" ca="1" si="3530"/>
        <v>27055826.097072013</v>
      </c>
      <c r="FF230" s="231">
        <f t="shared" ca="1" si="3530"/>
        <v>27243343.309060093</v>
      </c>
      <c r="FG230" s="231">
        <f t="shared" ca="1" si="3530"/>
        <v>27429974.247113872</v>
      </c>
      <c r="FH230" s="231">
        <f t="shared" ca="1" si="3530"/>
        <v>27615176.781879995</v>
      </c>
      <c r="FI230" s="231">
        <f t="shared" ca="1" si="3530"/>
        <v>27798137.614570476</v>
      </c>
      <c r="FJ230" s="231">
        <f t="shared" ca="1" si="3530"/>
        <v>27980098.122481227</v>
      </c>
      <c r="FK230" s="231">
        <f t="shared" ca="1" si="3530"/>
        <v>28160916.406915739</v>
      </c>
      <c r="FL230" s="231">
        <f t="shared" ca="1" si="3530"/>
        <v>28340362.134583015</v>
      </c>
      <c r="FM230" s="231">
        <f t="shared" ca="1" si="3530"/>
        <v>28518699.972823784</v>
      </c>
      <c r="FN230" s="231">
        <f t="shared" ca="1" si="3530"/>
        <v>28695941.283602756</v>
      </c>
      <c r="FO230" s="231">
        <f t="shared" ca="1" si="3530"/>
        <v>28872085.996974614</v>
      </c>
      <c r="FP230" s="231">
        <f t="shared" ca="1" si="3530"/>
        <v>29047141.063387848</v>
      </c>
      <c r="FQ230" s="231">
        <f t="shared" ca="1" si="3530"/>
        <v>29220512.522183128</v>
      </c>
      <c r="FR230" s="231">
        <f t="shared" ca="1" si="3530"/>
        <v>29392221.940533549</v>
      </c>
      <c r="FS230" s="231">
        <f t="shared" ca="1" si="3530"/>
        <v>29562204.799861565</v>
      </c>
      <c r="FT230" s="231">
        <f t="shared" ca="1" si="3530"/>
        <v>29730419.885823376</v>
      </c>
      <c r="FU230" s="231">
        <f t="shared" ca="1" si="3530"/>
        <v>29896827.49253853</v>
      </c>
      <c r="FV230" s="231">
        <f t="shared" ca="1" si="3530"/>
        <v>30061380.851248909</v>
      </c>
      <c r="FW230" s="231">
        <f t="shared" ca="1" si="3530"/>
        <v>30224044.548196066</v>
      </c>
      <c r="FX230" s="231">
        <f t="shared" ca="1" si="3530"/>
        <v>30384748.373345863</v>
      </c>
      <c r="FY230" s="231">
        <f t="shared" ca="1" si="3530"/>
        <v>30543448.597920511</v>
      </c>
      <c r="FZ230" s="231">
        <f t="shared" ca="1" si="3530"/>
        <v>30700103.025124669</v>
      </c>
      <c r="GA230" s="231">
        <f t="shared" ca="1" si="3530"/>
        <v>30854663.822155628</v>
      </c>
      <c r="GB230" s="231">
        <f t="shared" ca="1" si="3530"/>
        <v>31006078.644506123</v>
      </c>
      <c r="GC230" s="231">
        <f t="shared" ca="1" si="3530"/>
        <v>31138206.66091859</v>
      </c>
      <c r="GD230" s="231">
        <f t="shared" ca="1" si="3530"/>
        <v>31271188.368851211</v>
      </c>
      <c r="GE230" s="231">
        <f t="shared" ca="1" si="3530"/>
        <v>31404987.97886689</v>
      </c>
      <c r="GF230" s="231">
        <f t="shared" ca="1" si="3530"/>
        <v>31539642.58189296</v>
      </c>
      <c r="GG230" s="231">
        <f t="shared" ca="1" si="3530"/>
        <v>31675120.663135666</v>
      </c>
      <c r="GH230" s="231">
        <f t="shared" ca="1" si="3530"/>
        <v>31811418.315752342</v>
      </c>
      <c r="GI230" s="231">
        <f t="shared" ref="GI230:HN230" ca="1" si="3531">IF(GI229="","",GH235)</f>
        <v>31948535.86126586</v>
      </c>
      <c r="GJ230" s="231">
        <f t="shared" ca="1" si="3531"/>
        <v>32086455.233199384</v>
      </c>
      <c r="GK230" s="231">
        <f t="shared" ca="1" si="3531"/>
        <v>32225200.219871975</v>
      </c>
      <c r="GL230" s="231">
        <f t="shared" ca="1" si="3531"/>
        <v>32364726.534332797</v>
      </c>
      <c r="GM230" s="231">
        <f t="shared" ca="1" si="3531"/>
        <v>32505035.435870621</v>
      </c>
      <c r="GN230" s="231" t="str">
        <f t="shared" si="3531"/>
        <v/>
      </c>
      <c r="GO230" s="231" t="str">
        <f t="shared" si="3531"/>
        <v/>
      </c>
      <c r="GP230" s="231" t="str">
        <f t="shared" si="3531"/>
        <v/>
      </c>
      <c r="GQ230" s="231" t="str">
        <f t="shared" si="3531"/>
        <v/>
      </c>
      <c r="GR230" s="231" t="str">
        <f t="shared" si="3531"/>
        <v/>
      </c>
      <c r="GS230" s="231" t="str">
        <f t="shared" si="3531"/>
        <v/>
      </c>
      <c r="GT230" s="231" t="str">
        <f t="shared" si="3531"/>
        <v/>
      </c>
      <c r="GU230" s="231" t="str">
        <f t="shared" si="3531"/>
        <v/>
      </c>
      <c r="GV230" s="231" t="str">
        <f t="shared" si="3531"/>
        <v/>
      </c>
      <c r="GW230" s="231" t="str">
        <f t="shared" si="3531"/>
        <v/>
      </c>
      <c r="GX230" s="231" t="str">
        <f t="shared" si="3531"/>
        <v/>
      </c>
      <c r="GY230" s="231" t="str">
        <f t="shared" si="3531"/>
        <v/>
      </c>
      <c r="GZ230" s="231" t="str">
        <f t="shared" si="3531"/>
        <v/>
      </c>
      <c r="HA230" s="231" t="str">
        <f t="shared" si="3531"/>
        <v/>
      </c>
      <c r="HB230" s="231" t="str">
        <f t="shared" si="3531"/>
        <v/>
      </c>
      <c r="HC230" s="231" t="str">
        <f t="shared" si="3531"/>
        <v/>
      </c>
      <c r="HD230" s="231" t="str">
        <f t="shared" si="3531"/>
        <v/>
      </c>
      <c r="HE230" s="231" t="str">
        <f t="shared" si="3531"/>
        <v/>
      </c>
      <c r="HF230" s="231" t="str">
        <f t="shared" si="3531"/>
        <v/>
      </c>
      <c r="HG230" s="231" t="str">
        <f t="shared" si="3531"/>
        <v/>
      </c>
      <c r="HH230" s="231" t="str">
        <f t="shared" si="3531"/>
        <v/>
      </c>
      <c r="HI230" s="231" t="str">
        <f t="shared" si="3531"/>
        <v/>
      </c>
      <c r="HJ230" s="231" t="str">
        <f t="shared" si="3531"/>
        <v/>
      </c>
      <c r="HK230" s="231" t="str">
        <f t="shared" si="3531"/>
        <v/>
      </c>
      <c r="HL230" s="231" t="str">
        <f t="shared" si="3531"/>
        <v/>
      </c>
      <c r="HM230" s="231" t="str">
        <f t="shared" si="3531"/>
        <v/>
      </c>
      <c r="HN230" s="231" t="str">
        <f t="shared" si="3531"/>
        <v/>
      </c>
      <c r="HO230" s="231" t="str">
        <f t="shared" ref="HO230:IT230" si="3532">IF(HO229="","",HN235)</f>
        <v/>
      </c>
      <c r="HP230" s="231" t="str">
        <f t="shared" si="3532"/>
        <v/>
      </c>
      <c r="HQ230" s="231" t="str">
        <f t="shared" si="3532"/>
        <v/>
      </c>
      <c r="HR230" s="231" t="str">
        <f t="shared" si="3532"/>
        <v/>
      </c>
      <c r="HS230" s="231" t="str">
        <f t="shared" si="3532"/>
        <v/>
      </c>
      <c r="HT230" s="231" t="str">
        <f t="shared" si="3532"/>
        <v/>
      </c>
      <c r="HU230" s="231" t="str">
        <f t="shared" si="3532"/>
        <v/>
      </c>
      <c r="HV230" s="231" t="str">
        <f t="shared" si="3532"/>
        <v/>
      </c>
      <c r="HW230" s="231" t="str">
        <f t="shared" si="3532"/>
        <v/>
      </c>
      <c r="HX230" s="231" t="str">
        <f t="shared" si="3532"/>
        <v/>
      </c>
      <c r="HY230" s="231" t="str">
        <f t="shared" si="3532"/>
        <v/>
      </c>
      <c r="HZ230" s="231" t="str">
        <f t="shared" si="3532"/>
        <v/>
      </c>
      <c r="IA230" s="231" t="str">
        <f t="shared" si="3532"/>
        <v/>
      </c>
      <c r="IB230" s="231" t="str">
        <f t="shared" si="3532"/>
        <v/>
      </c>
      <c r="IC230" s="231" t="str">
        <f t="shared" si="3532"/>
        <v/>
      </c>
      <c r="ID230" s="231" t="str">
        <f t="shared" si="3532"/>
        <v/>
      </c>
      <c r="IE230" s="231" t="str">
        <f t="shared" si="3532"/>
        <v/>
      </c>
      <c r="IF230" s="231" t="str">
        <f t="shared" si="3532"/>
        <v/>
      </c>
      <c r="IG230" s="231" t="str">
        <f t="shared" si="3532"/>
        <v/>
      </c>
      <c r="IH230" s="231" t="str">
        <f t="shared" si="3532"/>
        <v/>
      </c>
      <c r="II230" s="231" t="str">
        <f t="shared" si="3532"/>
        <v/>
      </c>
      <c r="IJ230" s="231" t="str">
        <f t="shared" si="3532"/>
        <v/>
      </c>
      <c r="IK230" s="231" t="str">
        <f t="shared" si="3532"/>
        <v/>
      </c>
      <c r="IL230" s="231" t="str">
        <f t="shared" si="3532"/>
        <v/>
      </c>
      <c r="IM230" s="231" t="str">
        <f t="shared" si="3532"/>
        <v/>
      </c>
      <c r="IN230" s="231" t="str">
        <f t="shared" si="3532"/>
        <v/>
      </c>
      <c r="IO230" s="231" t="str">
        <f t="shared" si="3532"/>
        <v/>
      </c>
      <c r="IP230" s="231" t="str">
        <f t="shared" si="3532"/>
        <v/>
      </c>
      <c r="IQ230" s="231" t="str">
        <f t="shared" si="3532"/>
        <v/>
      </c>
      <c r="IR230" s="231" t="str">
        <f t="shared" si="3532"/>
        <v/>
      </c>
      <c r="IS230" s="231" t="str">
        <f t="shared" si="3532"/>
        <v/>
      </c>
      <c r="IT230" s="231" t="str">
        <f t="shared" si="3532"/>
        <v/>
      </c>
      <c r="IU230" s="231" t="str">
        <f t="shared" ref="IU230:JZ230" si="3533">IF(IU229="","",IT235)</f>
        <v/>
      </c>
      <c r="IV230" s="231" t="str">
        <f t="shared" si="3533"/>
        <v/>
      </c>
      <c r="IW230" s="231" t="str">
        <f t="shared" si="3533"/>
        <v/>
      </c>
      <c r="IX230" s="231" t="str">
        <f t="shared" si="3533"/>
        <v/>
      </c>
      <c r="IY230" s="231" t="str">
        <f t="shared" si="3533"/>
        <v/>
      </c>
      <c r="IZ230" s="231" t="str">
        <f t="shared" si="3533"/>
        <v/>
      </c>
      <c r="JA230" s="231" t="str">
        <f t="shared" si="3533"/>
        <v/>
      </c>
      <c r="JB230" s="231" t="str">
        <f t="shared" si="3533"/>
        <v/>
      </c>
      <c r="JC230" s="231" t="str">
        <f t="shared" si="3533"/>
        <v/>
      </c>
      <c r="JD230" s="231" t="str">
        <f t="shared" si="3533"/>
        <v/>
      </c>
      <c r="JE230" s="231" t="str">
        <f t="shared" si="3533"/>
        <v/>
      </c>
      <c r="JF230" s="231" t="str">
        <f t="shared" si="3533"/>
        <v/>
      </c>
      <c r="JG230" s="231" t="str">
        <f t="shared" si="3533"/>
        <v/>
      </c>
      <c r="JH230" s="231" t="str">
        <f t="shared" si="3533"/>
        <v/>
      </c>
      <c r="JI230" s="231" t="str">
        <f t="shared" si="3533"/>
        <v/>
      </c>
      <c r="JJ230" s="231" t="str">
        <f t="shared" si="3533"/>
        <v/>
      </c>
      <c r="JK230" s="231" t="str">
        <f t="shared" si="3533"/>
        <v/>
      </c>
      <c r="JL230" s="231" t="str">
        <f t="shared" si="3533"/>
        <v/>
      </c>
      <c r="JM230" s="231" t="str">
        <f t="shared" si="3533"/>
        <v/>
      </c>
      <c r="JN230" s="231" t="str">
        <f t="shared" si="3533"/>
        <v/>
      </c>
      <c r="JO230" s="231" t="str">
        <f t="shared" si="3533"/>
        <v/>
      </c>
      <c r="JP230" s="231" t="str">
        <f t="shared" si="3533"/>
        <v/>
      </c>
      <c r="JQ230" s="231" t="str">
        <f t="shared" si="3533"/>
        <v/>
      </c>
      <c r="JR230" s="231" t="str">
        <f t="shared" si="3533"/>
        <v/>
      </c>
      <c r="JS230" s="231" t="str">
        <f t="shared" si="3533"/>
        <v/>
      </c>
      <c r="JT230" s="231" t="str">
        <f t="shared" si="3533"/>
        <v/>
      </c>
      <c r="JU230" s="231" t="str">
        <f t="shared" si="3533"/>
        <v/>
      </c>
      <c r="JV230" s="231" t="str">
        <f t="shared" si="3533"/>
        <v/>
      </c>
      <c r="JW230" s="231" t="str">
        <f t="shared" si="3533"/>
        <v/>
      </c>
      <c r="JX230" s="231" t="str">
        <f t="shared" si="3533"/>
        <v/>
      </c>
      <c r="JY230" s="231" t="str">
        <f t="shared" si="3533"/>
        <v/>
      </c>
      <c r="JZ230" s="231" t="str">
        <f t="shared" si="3533"/>
        <v/>
      </c>
      <c r="KA230" s="231" t="str">
        <f t="shared" ref="KA230:KE230" si="3534">IF(KA229="","",JZ235)</f>
        <v/>
      </c>
      <c r="KB230" s="231" t="str">
        <f t="shared" si="3534"/>
        <v/>
      </c>
      <c r="KC230" s="231" t="str">
        <f t="shared" si="3534"/>
        <v/>
      </c>
      <c r="KD230" s="231" t="str">
        <f t="shared" si="3534"/>
        <v/>
      </c>
      <c r="KE230" s="231" t="str">
        <f t="shared" si="3534"/>
        <v/>
      </c>
      <c r="KF230" s="234" t="s">
        <v>269</v>
      </c>
      <c r="KG230" s="229"/>
      <c r="KH230" s="229"/>
      <c r="KI230" s="229"/>
      <c r="KJ230" s="229"/>
      <c r="KK230" s="229"/>
      <c r="KL230" s="229"/>
      <c r="KM230" s="229"/>
      <c r="KN230" s="229"/>
      <c r="KO230" s="229"/>
      <c r="KP230" s="229"/>
      <c r="KQ230" s="229"/>
      <c r="KR230" s="229"/>
      <c r="KS230" s="229"/>
      <c r="KT230" s="229"/>
      <c r="KU230" s="229"/>
      <c r="KV230" s="229"/>
      <c r="KW230" s="229"/>
      <c r="KX230" s="229"/>
      <c r="KY230" s="229"/>
      <c r="KZ230" s="229"/>
      <c r="LA230" s="229"/>
      <c r="LB230" s="229"/>
      <c r="LC230" s="229"/>
      <c r="LD230" s="229"/>
      <c r="LE230" s="229"/>
      <c r="LF230" s="229"/>
      <c r="LG230" s="229"/>
      <c r="LH230" s="229"/>
      <c r="LI230" s="229"/>
      <c r="LJ230" s="229"/>
      <c r="LK230" s="229"/>
      <c r="LL230" s="229"/>
      <c r="LM230" s="229"/>
      <c r="LN230" s="229"/>
      <c r="LO230" s="229"/>
      <c r="LP230" s="229"/>
      <c r="LQ230" s="229"/>
      <c r="LR230" s="229"/>
      <c r="LS230" s="229"/>
      <c r="LT230" s="229"/>
      <c r="LU230" s="229"/>
      <c r="LV230" s="229"/>
      <c r="LW230" s="229"/>
      <c r="LX230" s="229"/>
      <c r="LY230" s="229"/>
      <c r="LZ230" s="229"/>
      <c r="MA230" s="229"/>
      <c r="MB230" s="229"/>
      <c r="MC230" s="229"/>
      <c r="MD230" s="229"/>
      <c r="ME230" s="229"/>
      <c r="MF230" s="229"/>
      <c r="MG230" s="229"/>
      <c r="MH230" s="229"/>
      <c r="MI230" s="229"/>
      <c r="MJ230" s="229"/>
      <c r="MK230" s="229"/>
      <c r="ML230" s="229"/>
      <c r="MM230" s="229"/>
      <c r="MN230" s="229"/>
      <c r="MO230" s="229"/>
      <c r="MP230" s="229"/>
      <c r="MQ230" s="229"/>
      <c r="MR230" s="229"/>
      <c r="MS230" s="229"/>
      <c r="MT230" s="229"/>
      <c r="MU230" s="229"/>
      <c r="MV230" s="229"/>
      <c r="MW230" s="229"/>
      <c r="MX230" s="229"/>
      <c r="MY230" s="229"/>
      <c r="MZ230" s="229"/>
      <c r="NA230" s="229"/>
      <c r="NB230" s="229"/>
      <c r="NC230" s="229"/>
      <c r="ND230" s="229"/>
      <c r="NE230" s="229"/>
      <c r="NF230" s="229"/>
      <c r="NG230" s="229"/>
      <c r="NH230" s="229"/>
      <c r="NI230" s="229"/>
      <c r="NJ230" s="229"/>
      <c r="NK230" s="229"/>
      <c r="NL230" s="229"/>
      <c r="NM230" s="229"/>
      <c r="NN230" s="229"/>
      <c r="NO230" s="229"/>
      <c r="NP230" s="229"/>
      <c r="NQ230" s="229"/>
      <c r="NR230" s="229"/>
      <c r="NS230" s="229"/>
      <c r="NT230" s="229"/>
      <c r="NU230" s="229"/>
      <c r="NV230" s="229"/>
      <c r="NW230" s="229"/>
      <c r="NX230" s="229"/>
      <c r="NY230" s="229"/>
      <c r="NZ230" s="229"/>
      <c r="OA230" s="229"/>
      <c r="OB230" s="229"/>
      <c r="OC230" s="229"/>
      <c r="OD230" s="229"/>
      <c r="OE230" s="229"/>
      <c r="OF230" s="229"/>
      <c r="OG230" s="229"/>
      <c r="OH230" s="229"/>
      <c r="OI230" s="229"/>
      <c r="OJ230" s="229"/>
      <c r="OK230" s="229"/>
      <c r="OL230" s="229"/>
      <c r="OM230" s="229"/>
      <c r="ON230" s="229"/>
      <c r="OO230" s="229"/>
      <c r="OP230" s="229"/>
      <c r="OQ230" s="229"/>
      <c r="OR230" s="229"/>
      <c r="OS230" s="229"/>
      <c r="OT230" s="229"/>
      <c r="OU230" s="229"/>
      <c r="OV230" s="229"/>
      <c r="OW230" s="229"/>
      <c r="OX230" s="229"/>
      <c r="OY230" s="229"/>
      <c r="OZ230" s="229"/>
      <c r="PA230" s="229"/>
      <c r="PB230" s="229"/>
      <c r="PC230" s="229"/>
      <c r="PD230" s="229"/>
      <c r="PE230" s="229"/>
      <c r="PF230" s="229"/>
      <c r="PG230" s="229"/>
      <c r="PH230" s="229"/>
      <c r="PI230" s="229"/>
      <c r="PJ230" s="229"/>
      <c r="PK230" s="229"/>
      <c r="PL230" s="229"/>
      <c r="PM230" s="229"/>
      <c r="PN230" s="229"/>
      <c r="PO230" s="229"/>
      <c r="PP230" s="229"/>
      <c r="PQ230" s="229"/>
      <c r="PR230" s="229"/>
      <c r="PS230" s="229"/>
      <c r="PT230" s="229"/>
      <c r="PU230" s="229"/>
      <c r="PV230" s="229"/>
      <c r="PW230" s="229"/>
      <c r="PX230" s="229"/>
      <c r="PY230" s="229"/>
      <c r="PZ230" s="229"/>
      <c r="QA230" s="229"/>
      <c r="QB230" s="229"/>
      <c r="QC230" s="229"/>
      <c r="QD230" s="229"/>
      <c r="QE230" s="229"/>
      <c r="QF230" s="229"/>
      <c r="QG230" s="229"/>
      <c r="QH230" s="229"/>
      <c r="QI230" s="229"/>
      <c r="QJ230" s="229"/>
      <c r="QK230" s="229"/>
      <c r="QL230" s="229"/>
      <c r="QM230" s="229"/>
      <c r="QN230" s="229"/>
      <c r="QO230" s="229"/>
      <c r="QP230" s="229"/>
      <c r="QQ230" s="229"/>
      <c r="QR230" s="229"/>
      <c r="QS230" s="229"/>
      <c r="QT230" s="229"/>
      <c r="QU230" s="229"/>
      <c r="QV230" s="229"/>
      <c r="QW230" s="229"/>
      <c r="QX230" s="229"/>
      <c r="QY230" s="229"/>
      <c r="QZ230" s="229"/>
      <c r="RA230" s="229"/>
      <c r="RB230" s="229"/>
      <c r="RC230" s="229"/>
      <c r="RD230" s="229"/>
      <c r="RE230" s="229"/>
      <c r="RF230" s="229"/>
      <c r="RG230" s="229"/>
      <c r="RH230" s="229"/>
      <c r="RI230" s="229"/>
      <c r="RJ230" s="229"/>
      <c r="RK230" s="229"/>
      <c r="RL230" s="229"/>
      <c r="RM230" s="229"/>
      <c r="RN230" s="229"/>
      <c r="RO230" s="229"/>
      <c r="RP230" s="229"/>
      <c r="RQ230" s="229"/>
      <c r="RR230" s="229"/>
      <c r="RS230" s="229"/>
      <c r="RT230" s="229"/>
      <c r="RU230" s="229"/>
      <c r="RV230" s="229"/>
      <c r="RW230" s="229"/>
      <c r="RX230" s="229"/>
      <c r="RY230" s="229"/>
      <c r="RZ230" s="229"/>
      <c r="SA230" s="229"/>
      <c r="SB230" s="229"/>
      <c r="SC230" s="229"/>
      <c r="SD230" s="229"/>
      <c r="SE230" s="229"/>
      <c r="SF230" s="229"/>
      <c r="SG230" s="229"/>
      <c r="SH230" s="229"/>
      <c r="SI230" s="229"/>
      <c r="SJ230" s="229"/>
      <c r="SK230" s="229"/>
      <c r="SL230" s="229"/>
      <c r="SM230" s="229"/>
      <c r="SN230" s="229"/>
      <c r="SO230" s="229"/>
      <c r="SP230" s="229"/>
      <c r="SQ230" s="229"/>
      <c r="SR230" s="229"/>
      <c r="SS230" s="229"/>
      <c r="ST230" s="229"/>
      <c r="SU230" s="229"/>
      <c r="SV230" s="229"/>
      <c r="SW230" s="229"/>
      <c r="SX230" s="229"/>
      <c r="SY230" s="229"/>
      <c r="SZ230" s="229"/>
      <c r="TA230" s="229"/>
      <c r="TB230" s="229"/>
      <c r="TC230" s="229"/>
      <c r="TD230" s="229"/>
      <c r="TE230" s="229"/>
      <c r="TF230" s="229"/>
      <c r="TG230" s="229"/>
      <c r="TH230" s="229"/>
      <c r="TI230" s="229"/>
      <c r="TJ230" s="229"/>
      <c r="TK230" s="229"/>
      <c r="TL230" s="229"/>
      <c r="TM230" s="229"/>
      <c r="TN230" s="229"/>
      <c r="TO230" s="229"/>
      <c r="TP230" s="229"/>
      <c r="TQ230" s="229"/>
      <c r="TR230" s="229"/>
      <c r="TS230" s="229"/>
      <c r="TT230" s="229"/>
      <c r="TU230" s="229"/>
      <c r="TV230" s="229"/>
      <c r="TW230" s="229"/>
      <c r="TX230" s="229"/>
      <c r="TY230" s="229"/>
      <c r="TZ230" s="229"/>
      <c r="UA230" s="229"/>
      <c r="UB230" s="229"/>
      <c r="UC230" s="229"/>
      <c r="UD230" s="229"/>
      <c r="UE230" s="229"/>
      <c r="UF230" s="229"/>
      <c r="UG230" s="229"/>
      <c r="UH230" s="229"/>
      <c r="UI230" s="229"/>
      <c r="UJ230" s="229"/>
      <c r="UK230" s="229"/>
      <c r="UL230" s="229"/>
      <c r="UM230" s="229"/>
      <c r="UN230" s="229"/>
      <c r="UO230" s="229"/>
      <c r="UP230" s="229"/>
      <c r="UQ230" s="229"/>
      <c r="UR230" s="229"/>
      <c r="US230" s="229"/>
      <c r="UT230" s="229"/>
      <c r="UU230" s="229"/>
    </row>
    <row r="231" spans="1:567" s="183" customFormat="1" ht="15.6" x14ac:dyDescent="0.4">
      <c r="A231" s="182"/>
      <c r="B231" s="18" t="s">
        <v>349</v>
      </c>
      <c r="C231" s="26"/>
      <c r="D231" s="121">
        <f ca="1">SUMPRODUCT(T231:EU231,T232:EU232)/SUM(T232:EU232)</f>
        <v>6.3600918364463715E-2</v>
      </c>
      <c r="E231" s="71"/>
      <c r="F231" s="71"/>
      <c r="G231" s="71"/>
      <c r="H231" s="71"/>
      <c r="I231" s="80"/>
      <c r="J231" s="80" t="str">
        <f>J207</f>
        <v>STABILIZED</v>
      </c>
      <c r="K231" s="80" t="str">
        <f>K207</f>
        <v>SALE</v>
      </c>
      <c r="M231" s="3"/>
      <c r="N231" s="3"/>
      <c r="O231" s="3"/>
      <c r="P231" s="3"/>
      <c r="Q231" s="3"/>
      <c r="R231" s="260"/>
      <c r="S231" s="389" t="s">
        <v>350</v>
      </c>
      <c r="T231" s="388">
        <f ca="1">IF(T229="","",T162/T232*12)</f>
        <v>3.6825083674664749E-2</v>
      </c>
      <c r="U231" s="388">
        <f t="shared" ref="U231:CF231" ca="1" si="3535">IF(U229="","",U162/U232*12)</f>
        <v>3.9116678439824339E-2</v>
      </c>
      <c r="V231" s="388">
        <f t="shared" ca="1" si="3535"/>
        <v>4.033437922321291E-2</v>
      </c>
      <c r="W231" s="388">
        <f t="shared" ca="1" si="3535"/>
        <v>4.1795895397911634E-2</v>
      </c>
      <c r="X231" s="388">
        <f t="shared" ca="1" si="3535"/>
        <v>4.3622753413290347E-2</v>
      </c>
      <c r="Y231" s="388">
        <f t="shared" ca="1" si="3535"/>
        <v>4.4872804709183776E-2</v>
      </c>
      <c r="Z231" s="388">
        <f t="shared" ca="1" si="3535"/>
        <v>4.6183342477786264E-2</v>
      </c>
      <c r="AA231" s="388">
        <f t="shared" ca="1" si="3535"/>
        <v>4.7594150581920722E-2</v>
      </c>
      <c r="AB231" s="388">
        <f t="shared" ca="1" si="3535"/>
        <v>4.8878102955770136E-2</v>
      </c>
      <c r="AC231" s="388">
        <f t="shared" ca="1" si="3535"/>
        <v>5.0152062557248842E-2</v>
      </c>
      <c r="AD231" s="388">
        <f t="shared" ca="1" si="3535"/>
        <v>5.1421300995717331E-2</v>
      </c>
      <c r="AE231" s="388">
        <f t="shared" ca="1" si="3535"/>
        <v>5.2682610891088305E-2</v>
      </c>
      <c r="AF231" s="388">
        <f t="shared" ca="1" si="3535"/>
        <v>5.4210532346308002E-2</v>
      </c>
      <c r="AG231" s="388">
        <f t="shared" ca="1" si="3535"/>
        <v>5.5721303491309646E-2</v>
      </c>
      <c r="AH231" s="388">
        <f t="shared" ca="1" si="3535"/>
        <v>5.7254343758386818E-2</v>
      </c>
      <c r="AI231" s="388">
        <f t="shared" ca="1" si="3535"/>
        <v>5.8798727570568199E-2</v>
      </c>
      <c r="AJ231" s="388">
        <f t="shared" ca="1" si="3535"/>
        <v>6.0353587175459501E-2</v>
      </c>
      <c r="AK231" s="388">
        <f t="shared" ca="1" si="3535"/>
        <v>6.1921976944535904E-2</v>
      </c>
      <c r="AL231" s="388">
        <f t="shared" ca="1" si="3535"/>
        <v>6.3498506925094886E-2</v>
      </c>
      <c r="AM231" s="388">
        <f t="shared" ca="1" si="3535"/>
        <v>6.5098919345904921E-2</v>
      </c>
      <c r="AN231" s="388">
        <f t="shared" ca="1" si="3535"/>
        <v>6.6710812622454513E-2</v>
      </c>
      <c r="AO231" s="388">
        <f t="shared" ca="1" si="3535"/>
        <v>6.8333297358973255E-2</v>
      </c>
      <c r="AP231" s="388">
        <f t="shared" ca="1" si="3535"/>
        <v>6.9968765302507979E-2</v>
      </c>
      <c r="AQ231" s="388">
        <f t="shared" ca="1" si="3535"/>
        <v>7.2075893095566085E-2</v>
      </c>
      <c r="AR231" s="388">
        <f t="shared" ca="1" si="3535"/>
        <v>8.1542885916592436E-2</v>
      </c>
      <c r="AS231" s="388">
        <f t="shared" ca="1" si="3535"/>
        <v>8.1725635129968971E-2</v>
      </c>
      <c r="AT231" s="388">
        <f t="shared" ca="1" si="3535"/>
        <v>8.1928434274088038E-2</v>
      </c>
      <c r="AU231" s="388">
        <f t="shared" ca="1" si="3535"/>
        <v>8.2117834790695676E-2</v>
      </c>
      <c r="AV231" s="388">
        <f t="shared" ca="1" si="3535"/>
        <v>8.2325338124501643E-2</v>
      </c>
      <c r="AW231" s="388">
        <f t="shared" ca="1" si="3535"/>
        <v>8.2538195723196095E-2</v>
      </c>
      <c r="AX231" s="388">
        <f t="shared" ca="1" si="3535"/>
        <v>8.2754459037448297E-2</v>
      </c>
      <c r="AY231" s="388">
        <f t="shared" ca="1" si="3535"/>
        <v>8.2982529520918322E-2</v>
      </c>
      <c r="AZ231" s="388">
        <f t="shared" ca="1" si="3535"/>
        <v>8.3203208630256667E-2</v>
      </c>
      <c r="BA231" s="388">
        <f t="shared" ca="1" si="3535"/>
        <v>8.3447697825117767E-2</v>
      </c>
      <c r="BB231" s="388">
        <f t="shared" ca="1" si="3535"/>
        <v>8.3694998568161358E-2</v>
      </c>
      <c r="BC231" s="388">
        <f t="shared" ca="1" si="3535"/>
        <v>8.3946012325059979E-2</v>
      </c>
      <c r="BD231" s="388" t="str">
        <f t="shared" si="3535"/>
        <v/>
      </c>
      <c r="BE231" s="388" t="str">
        <f t="shared" si="3535"/>
        <v/>
      </c>
      <c r="BF231" s="388" t="str">
        <f t="shared" si="3535"/>
        <v/>
      </c>
      <c r="BG231" s="388" t="str">
        <f t="shared" si="3535"/>
        <v/>
      </c>
      <c r="BH231" s="388" t="str">
        <f t="shared" si="3535"/>
        <v/>
      </c>
      <c r="BI231" s="388" t="str">
        <f t="shared" si="3535"/>
        <v/>
      </c>
      <c r="BJ231" s="388" t="str">
        <f t="shared" si="3535"/>
        <v/>
      </c>
      <c r="BK231" s="388" t="str">
        <f t="shared" si="3535"/>
        <v/>
      </c>
      <c r="BL231" s="388" t="str">
        <f t="shared" si="3535"/>
        <v/>
      </c>
      <c r="BM231" s="388" t="str">
        <f t="shared" si="3535"/>
        <v/>
      </c>
      <c r="BN231" s="388" t="str">
        <f t="shared" si="3535"/>
        <v/>
      </c>
      <c r="BO231" s="388" t="str">
        <f t="shared" si="3535"/>
        <v/>
      </c>
      <c r="BP231" s="388" t="str">
        <f t="shared" si="3535"/>
        <v/>
      </c>
      <c r="BQ231" s="388" t="str">
        <f t="shared" si="3535"/>
        <v/>
      </c>
      <c r="BR231" s="388" t="str">
        <f t="shared" si="3535"/>
        <v/>
      </c>
      <c r="BS231" s="388" t="str">
        <f t="shared" si="3535"/>
        <v/>
      </c>
      <c r="BT231" s="388" t="str">
        <f t="shared" si="3535"/>
        <v/>
      </c>
      <c r="BU231" s="388" t="str">
        <f t="shared" si="3535"/>
        <v/>
      </c>
      <c r="BV231" s="388" t="str">
        <f t="shared" si="3535"/>
        <v/>
      </c>
      <c r="BW231" s="388" t="str">
        <f t="shared" si="3535"/>
        <v/>
      </c>
      <c r="BX231" s="388" t="str">
        <f t="shared" si="3535"/>
        <v/>
      </c>
      <c r="BY231" s="388" t="str">
        <f t="shared" si="3535"/>
        <v/>
      </c>
      <c r="BZ231" s="388" t="str">
        <f t="shared" si="3535"/>
        <v/>
      </c>
      <c r="CA231" s="388" t="str">
        <f t="shared" si="3535"/>
        <v/>
      </c>
      <c r="CB231" s="388" t="str">
        <f t="shared" si="3535"/>
        <v/>
      </c>
      <c r="CC231" s="388" t="str">
        <f t="shared" si="3535"/>
        <v/>
      </c>
      <c r="CD231" s="388" t="str">
        <f t="shared" si="3535"/>
        <v/>
      </c>
      <c r="CE231" s="388" t="str">
        <f t="shared" si="3535"/>
        <v/>
      </c>
      <c r="CF231" s="388" t="str">
        <f t="shared" si="3535"/>
        <v/>
      </c>
      <c r="CG231" s="388" t="str">
        <f t="shared" ref="CG231:ER231" si="3536">IF(CG229="","",CG162/CG232*12)</f>
        <v/>
      </c>
      <c r="CH231" s="388" t="str">
        <f t="shared" si="3536"/>
        <v/>
      </c>
      <c r="CI231" s="388" t="str">
        <f t="shared" si="3536"/>
        <v/>
      </c>
      <c r="CJ231" s="388" t="str">
        <f t="shared" si="3536"/>
        <v/>
      </c>
      <c r="CK231" s="388" t="str">
        <f t="shared" si="3536"/>
        <v/>
      </c>
      <c r="CL231" s="388" t="str">
        <f t="shared" si="3536"/>
        <v/>
      </c>
      <c r="CM231" s="388" t="str">
        <f t="shared" si="3536"/>
        <v/>
      </c>
      <c r="CN231" s="388" t="str">
        <f t="shared" si="3536"/>
        <v/>
      </c>
      <c r="CO231" s="388" t="str">
        <f t="shared" si="3536"/>
        <v/>
      </c>
      <c r="CP231" s="388" t="str">
        <f t="shared" si="3536"/>
        <v/>
      </c>
      <c r="CQ231" s="388" t="str">
        <f t="shared" si="3536"/>
        <v/>
      </c>
      <c r="CR231" s="388" t="str">
        <f t="shared" si="3536"/>
        <v/>
      </c>
      <c r="CS231" s="388" t="str">
        <f t="shared" si="3536"/>
        <v/>
      </c>
      <c r="CT231" s="388" t="str">
        <f t="shared" si="3536"/>
        <v/>
      </c>
      <c r="CU231" s="388" t="str">
        <f t="shared" si="3536"/>
        <v/>
      </c>
      <c r="CV231" s="388" t="str">
        <f t="shared" si="3536"/>
        <v/>
      </c>
      <c r="CW231" s="388" t="str">
        <f t="shared" si="3536"/>
        <v/>
      </c>
      <c r="CX231" s="388" t="str">
        <f t="shared" si="3536"/>
        <v/>
      </c>
      <c r="CY231" s="388" t="str">
        <f t="shared" si="3536"/>
        <v/>
      </c>
      <c r="CZ231" s="388" t="str">
        <f t="shared" si="3536"/>
        <v/>
      </c>
      <c r="DA231" s="388" t="str">
        <f t="shared" si="3536"/>
        <v/>
      </c>
      <c r="DB231" s="388" t="str">
        <f t="shared" si="3536"/>
        <v/>
      </c>
      <c r="DC231" s="388" t="str">
        <f t="shared" si="3536"/>
        <v/>
      </c>
      <c r="DD231" s="388" t="str">
        <f t="shared" si="3536"/>
        <v/>
      </c>
      <c r="DE231" s="388" t="str">
        <f t="shared" si="3536"/>
        <v/>
      </c>
      <c r="DF231" s="388" t="str">
        <f t="shared" si="3536"/>
        <v/>
      </c>
      <c r="DG231" s="388" t="str">
        <f t="shared" si="3536"/>
        <v/>
      </c>
      <c r="DH231" s="388" t="str">
        <f t="shared" si="3536"/>
        <v/>
      </c>
      <c r="DI231" s="388" t="str">
        <f t="shared" si="3536"/>
        <v/>
      </c>
      <c r="DJ231" s="388" t="str">
        <f t="shared" si="3536"/>
        <v/>
      </c>
      <c r="DK231" s="388" t="str">
        <f t="shared" si="3536"/>
        <v/>
      </c>
      <c r="DL231" s="388" t="str">
        <f t="shared" si="3536"/>
        <v/>
      </c>
      <c r="DM231" s="388" t="str">
        <f t="shared" si="3536"/>
        <v/>
      </c>
      <c r="DN231" s="388" t="str">
        <f t="shared" si="3536"/>
        <v/>
      </c>
      <c r="DO231" s="388" t="str">
        <f t="shared" si="3536"/>
        <v/>
      </c>
      <c r="DP231" s="388" t="str">
        <f t="shared" si="3536"/>
        <v/>
      </c>
      <c r="DQ231" s="388" t="str">
        <f t="shared" si="3536"/>
        <v/>
      </c>
      <c r="DR231" s="388" t="str">
        <f t="shared" si="3536"/>
        <v/>
      </c>
      <c r="DS231" s="388" t="str">
        <f t="shared" si="3536"/>
        <v/>
      </c>
      <c r="DT231" s="388" t="str">
        <f t="shared" si="3536"/>
        <v/>
      </c>
      <c r="DU231" s="388" t="str">
        <f t="shared" si="3536"/>
        <v/>
      </c>
      <c r="DV231" s="388" t="str">
        <f t="shared" si="3536"/>
        <v/>
      </c>
      <c r="DW231" s="388" t="str">
        <f t="shared" si="3536"/>
        <v/>
      </c>
      <c r="DX231" s="388" t="str">
        <f t="shared" si="3536"/>
        <v/>
      </c>
      <c r="DY231" s="388" t="str">
        <f t="shared" si="3536"/>
        <v/>
      </c>
      <c r="DZ231" s="388" t="str">
        <f t="shared" si="3536"/>
        <v/>
      </c>
      <c r="EA231" s="388" t="str">
        <f t="shared" si="3536"/>
        <v/>
      </c>
      <c r="EB231" s="388" t="str">
        <f t="shared" si="3536"/>
        <v/>
      </c>
      <c r="EC231" s="388" t="str">
        <f t="shared" si="3536"/>
        <v/>
      </c>
      <c r="ED231" s="388" t="str">
        <f t="shared" si="3536"/>
        <v/>
      </c>
      <c r="EE231" s="388" t="str">
        <f t="shared" si="3536"/>
        <v/>
      </c>
      <c r="EF231" s="388" t="str">
        <f t="shared" si="3536"/>
        <v/>
      </c>
      <c r="EG231" s="388" t="str">
        <f t="shared" si="3536"/>
        <v/>
      </c>
      <c r="EH231" s="388" t="str">
        <f t="shared" si="3536"/>
        <v/>
      </c>
      <c r="EI231" s="388" t="str">
        <f t="shared" si="3536"/>
        <v/>
      </c>
      <c r="EJ231" s="388" t="str">
        <f t="shared" si="3536"/>
        <v/>
      </c>
      <c r="EK231" s="388" t="str">
        <f t="shared" si="3536"/>
        <v/>
      </c>
      <c r="EL231" s="388" t="str">
        <f t="shared" si="3536"/>
        <v/>
      </c>
      <c r="EM231" s="388" t="str">
        <f t="shared" si="3536"/>
        <v/>
      </c>
      <c r="EN231" s="388" t="str">
        <f t="shared" si="3536"/>
        <v/>
      </c>
      <c r="EO231" s="388" t="str">
        <f t="shared" si="3536"/>
        <v/>
      </c>
      <c r="EP231" s="388" t="str">
        <f t="shared" si="3536"/>
        <v/>
      </c>
      <c r="EQ231" s="388" t="str">
        <f t="shared" si="3536"/>
        <v/>
      </c>
      <c r="ER231" s="388" t="str">
        <f t="shared" si="3536"/>
        <v/>
      </c>
      <c r="ES231" s="388" t="str">
        <f t="shared" ref="ES231:EU231" si="3537">IF(ES229="","",ES162/ES232*12)</f>
        <v/>
      </c>
      <c r="ET231" s="388" t="str">
        <f t="shared" si="3537"/>
        <v/>
      </c>
      <c r="EU231" s="388" t="str">
        <f t="shared" si="3537"/>
        <v/>
      </c>
      <c r="EV231" s="2"/>
      <c r="EW231" s="201" t="s">
        <v>264</v>
      </c>
      <c r="EX231" s="201"/>
      <c r="EY231" s="228"/>
      <c r="EZ231" s="228"/>
      <c r="FA231" s="236"/>
      <c r="FB231" s="236"/>
      <c r="FC231" s="236">
        <f t="shared" ref="FC231:GH231" ca="1" si="3538">IF(FC229="","",FC230*$EY228)</f>
        <v>0</v>
      </c>
      <c r="FD231" s="236">
        <f t="shared" ca="1" si="3538"/>
        <v>254917.3924166511</v>
      </c>
      <c r="FE231" s="236">
        <f t="shared" ca="1" si="3538"/>
        <v>256727.13150920448</v>
      </c>
      <c r="FF231" s="236">
        <f t="shared" ca="1" si="3538"/>
        <v>258506.44350542969</v>
      </c>
      <c r="FG231" s="236">
        <f t="shared" ca="1" si="3538"/>
        <v>260277.34583180901</v>
      </c>
      <c r="FH231" s="236">
        <f t="shared" ca="1" si="3538"/>
        <v>262034.69433516468</v>
      </c>
      <c r="FI231" s="236">
        <f t="shared" ca="1" si="3538"/>
        <v>263770.77179170353</v>
      </c>
      <c r="FJ231" s="236">
        <f t="shared" ca="1" si="3538"/>
        <v>265497.35737354023</v>
      </c>
      <c r="FK231" s="236">
        <f t="shared" ca="1" si="3538"/>
        <v>267213.10463332583</v>
      </c>
      <c r="FL231" s="236">
        <f t="shared" ca="1" si="3538"/>
        <v>268915.82798615622</v>
      </c>
      <c r="FM231" s="236">
        <f t="shared" ca="1" si="3538"/>
        <v>270608.038805624</v>
      </c>
      <c r="FN231" s="236">
        <f t="shared" ca="1" si="3538"/>
        <v>272289.84490305977</v>
      </c>
      <c r="FO231" s="236">
        <f t="shared" ca="1" si="3538"/>
        <v>273961.24561476678</v>
      </c>
      <c r="FP231" s="236">
        <f t="shared" ca="1" si="3538"/>
        <v>275622.30689211166</v>
      </c>
      <c r="FQ231" s="236">
        <f t="shared" ca="1" si="3538"/>
        <v>277267.39276538667</v>
      </c>
      <c r="FR231" s="236">
        <f t="shared" ca="1" si="3538"/>
        <v>278896.7078810315</v>
      </c>
      <c r="FS231" s="236">
        <f t="shared" ca="1" si="3538"/>
        <v>280509.64003562339</v>
      </c>
      <c r="FT231" s="236">
        <f t="shared" ca="1" si="3538"/>
        <v>282105.79815478815</v>
      </c>
      <c r="FU231" s="236">
        <f t="shared" ca="1" si="3538"/>
        <v>283684.80547764775</v>
      </c>
      <c r="FV231" s="236">
        <f t="shared" ca="1" si="3538"/>
        <v>285246.21822514071</v>
      </c>
      <c r="FW231" s="236">
        <f t="shared" ca="1" si="3538"/>
        <v>286789.70036344603</v>
      </c>
      <c r="FX231" s="236">
        <f t="shared" ca="1" si="3538"/>
        <v>288314.58568408794</v>
      </c>
      <c r="FY231" s="236">
        <f t="shared" ca="1" si="3538"/>
        <v>289820.45925374859</v>
      </c>
      <c r="FZ231" s="236">
        <f t="shared" ca="1" si="3538"/>
        <v>291306.92067577457</v>
      </c>
      <c r="GA231" s="236">
        <f t="shared" ca="1" si="3538"/>
        <v>292773.51607460546</v>
      </c>
      <c r="GB231" s="236">
        <f t="shared" ca="1" si="3538"/>
        <v>294210.25997111597</v>
      </c>
      <c r="GC231" s="236">
        <f t="shared" ca="1" si="3538"/>
        <v>295463.99535971106</v>
      </c>
      <c r="GD231" s="236">
        <f t="shared" ca="1" si="3538"/>
        <v>296725.83125037089</v>
      </c>
      <c r="GE231" s="236">
        <f t="shared" ca="1" si="3538"/>
        <v>297995.42804453761</v>
      </c>
      <c r="GF231" s="236">
        <f t="shared" ca="1" si="3538"/>
        <v>299273.13769034046</v>
      </c>
      <c r="GG231" s="236">
        <f t="shared" ca="1" si="3538"/>
        <v>300558.66115042713</v>
      </c>
      <c r="GH231" s="236">
        <f t="shared" ca="1" si="3538"/>
        <v>301851.96135357651</v>
      </c>
      <c r="GI231" s="236">
        <f t="shared" ref="GI231:HN231" ca="1" si="3539">IF(GI229="","",GI230*$EY228)</f>
        <v>303153.04135065258</v>
      </c>
      <c r="GJ231" s="236">
        <f t="shared" ca="1" si="3539"/>
        <v>304461.7297125975</v>
      </c>
      <c r="GK231" s="236">
        <f t="shared" ca="1" si="3539"/>
        <v>305778.25216184522</v>
      </c>
      <c r="GL231" s="236">
        <f t="shared" ca="1" si="3539"/>
        <v>307102.18846868945</v>
      </c>
      <c r="GM231" s="236">
        <f t="shared" ca="1" si="3539"/>
        <v>308433.55058226071</v>
      </c>
      <c r="GN231" s="236" t="str">
        <f t="shared" si="3539"/>
        <v/>
      </c>
      <c r="GO231" s="236" t="str">
        <f t="shared" si="3539"/>
        <v/>
      </c>
      <c r="GP231" s="236" t="str">
        <f t="shared" si="3539"/>
        <v/>
      </c>
      <c r="GQ231" s="236" t="str">
        <f t="shared" si="3539"/>
        <v/>
      </c>
      <c r="GR231" s="236" t="str">
        <f t="shared" si="3539"/>
        <v/>
      </c>
      <c r="GS231" s="236" t="str">
        <f t="shared" si="3539"/>
        <v/>
      </c>
      <c r="GT231" s="236" t="str">
        <f t="shared" si="3539"/>
        <v/>
      </c>
      <c r="GU231" s="236" t="str">
        <f t="shared" si="3539"/>
        <v/>
      </c>
      <c r="GV231" s="236" t="str">
        <f t="shared" si="3539"/>
        <v/>
      </c>
      <c r="GW231" s="236" t="str">
        <f t="shared" si="3539"/>
        <v/>
      </c>
      <c r="GX231" s="236" t="str">
        <f t="shared" si="3539"/>
        <v/>
      </c>
      <c r="GY231" s="236" t="str">
        <f t="shared" si="3539"/>
        <v/>
      </c>
      <c r="GZ231" s="236" t="str">
        <f t="shared" si="3539"/>
        <v/>
      </c>
      <c r="HA231" s="236" t="str">
        <f t="shared" si="3539"/>
        <v/>
      </c>
      <c r="HB231" s="236" t="str">
        <f t="shared" si="3539"/>
        <v/>
      </c>
      <c r="HC231" s="236" t="str">
        <f t="shared" si="3539"/>
        <v/>
      </c>
      <c r="HD231" s="236" t="str">
        <f t="shared" si="3539"/>
        <v/>
      </c>
      <c r="HE231" s="236" t="str">
        <f t="shared" si="3539"/>
        <v/>
      </c>
      <c r="HF231" s="236" t="str">
        <f t="shared" si="3539"/>
        <v/>
      </c>
      <c r="HG231" s="236" t="str">
        <f t="shared" si="3539"/>
        <v/>
      </c>
      <c r="HH231" s="236" t="str">
        <f t="shared" si="3539"/>
        <v/>
      </c>
      <c r="HI231" s="236" t="str">
        <f t="shared" si="3539"/>
        <v/>
      </c>
      <c r="HJ231" s="236" t="str">
        <f t="shared" si="3539"/>
        <v/>
      </c>
      <c r="HK231" s="236" t="str">
        <f t="shared" si="3539"/>
        <v/>
      </c>
      <c r="HL231" s="236" t="str">
        <f t="shared" si="3539"/>
        <v/>
      </c>
      <c r="HM231" s="236" t="str">
        <f t="shared" si="3539"/>
        <v/>
      </c>
      <c r="HN231" s="236" t="str">
        <f t="shared" si="3539"/>
        <v/>
      </c>
      <c r="HO231" s="236" t="str">
        <f t="shared" ref="HO231:IT231" si="3540">IF(HO229="","",HO230*$EY228)</f>
        <v/>
      </c>
      <c r="HP231" s="236" t="str">
        <f t="shared" si="3540"/>
        <v/>
      </c>
      <c r="HQ231" s="236" t="str">
        <f t="shared" si="3540"/>
        <v/>
      </c>
      <c r="HR231" s="236" t="str">
        <f t="shared" si="3540"/>
        <v/>
      </c>
      <c r="HS231" s="236" t="str">
        <f t="shared" si="3540"/>
        <v/>
      </c>
      <c r="HT231" s="236" t="str">
        <f t="shared" si="3540"/>
        <v/>
      </c>
      <c r="HU231" s="236" t="str">
        <f t="shared" si="3540"/>
        <v/>
      </c>
      <c r="HV231" s="236" t="str">
        <f t="shared" si="3540"/>
        <v/>
      </c>
      <c r="HW231" s="236" t="str">
        <f t="shared" si="3540"/>
        <v/>
      </c>
      <c r="HX231" s="236" t="str">
        <f t="shared" si="3540"/>
        <v/>
      </c>
      <c r="HY231" s="236" t="str">
        <f t="shared" si="3540"/>
        <v/>
      </c>
      <c r="HZ231" s="236" t="str">
        <f t="shared" si="3540"/>
        <v/>
      </c>
      <c r="IA231" s="236" t="str">
        <f t="shared" si="3540"/>
        <v/>
      </c>
      <c r="IB231" s="236" t="str">
        <f t="shared" si="3540"/>
        <v/>
      </c>
      <c r="IC231" s="236" t="str">
        <f t="shared" si="3540"/>
        <v/>
      </c>
      <c r="ID231" s="236" t="str">
        <f t="shared" si="3540"/>
        <v/>
      </c>
      <c r="IE231" s="236" t="str">
        <f t="shared" si="3540"/>
        <v/>
      </c>
      <c r="IF231" s="236" t="str">
        <f t="shared" si="3540"/>
        <v/>
      </c>
      <c r="IG231" s="236" t="str">
        <f t="shared" si="3540"/>
        <v/>
      </c>
      <c r="IH231" s="236" t="str">
        <f t="shared" si="3540"/>
        <v/>
      </c>
      <c r="II231" s="236" t="str">
        <f t="shared" si="3540"/>
        <v/>
      </c>
      <c r="IJ231" s="236" t="str">
        <f t="shared" si="3540"/>
        <v/>
      </c>
      <c r="IK231" s="236" t="str">
        <f t="shared" si="3540"/>
        <v/>
      </c>
      <c r="IL231" s="236" t="str">
        <f t="shared" si="3540"/>
        <v/>
      </c>
      <c r="IM231" s="236" t="str">
        <f t="shared" si="3540"/>
        <v/>
      </c>
      <c r="IN231" s="236" t="str">
        <f t="shared" si="3540"/>
        <v/>
      </c>
      <c r="IO231" s="236" t="str">
        <f t="shared" si="3540"/>
        <v/>
      </c>
      <c r="IP231" s="236" t="str">
        <f t="shared" si="3540"/>
        <v/>
      </c>
      <c r="IQ231" s="236" t="str">
        <f t="shared" si="3540"/>
        <v/>
      </c>
      <c r="IR231" s="236" t="str">
        <f t="shared" si="3540"/>
        <v/>
      </c>
      <c r="IS231" s="236" t="str">
        <f t="shared" si="3540"/>
        <v/>
      </c>
      <c r="IT231" s="236" t="str">
        <f t="shared" si="3540"/>
        <v/>
      </c>
      <c r="IU231" s="236" t="str">
        <f t="shared" ref="IU231:JZ231" si="3541">IF(IU229="","",IU230*$EY228)</f>
        <v/>
      </c>
      <c r="IV231" s="236" t="str">
        <f t="shared" si="3541"/>
        <v/>
      </c>
      <c r="IW231" s="236" t="str">
        <f t="shared" si="3541"/>
        <v/>
      </c>
      <c r="IX231" s="236" t="str">
        <f t="shared" si="3541"/>
        <v/>
      </c>
      <c r="IY231" s="236" t="str">
        <f t="shared" si="3541"/>
        <v/>
      </c>
      <c r="IZ231" s="236" t="str">
        <f t="shared" si="3541"/>
        <v/>
      </c>
      <c r="JA231" s="236" t="str">
        <f t="shared" si="3541"/>
        <v/>
      </c>
      <c r="JB231" s="236" t="str">
        <f t="shared" si="3541"/>
        <v/>
      </c>
      <c r="JC231" s="236" t="str">
        <f t="shared" si="3541"/>
        <v/>
      </c>
      <c r="JD231" s="236" t="str">
        <f t="shared" si="3541"/>
        <v/>
      </c>
      <c r="JE231" s="236" t="str">
        <f t="shared" si="3541"/>
        <v/>
      </c>
      <c r="JF231" s="236" t="str">
        <f t="shared" si="3541"/>
        <v/>
      </c>
      <c r="JG231" s="236" t="str">
        <f t="shared" si="3541"/>
        <v/>
      </c>
      <c r="JH231" s="236" t="str">
        <f t="shared" si="3541"/>
        <v/>
      </c>
      <c r="JI231" s="236" t="str">
        <f t="shared" si="3541"/>
        <v/>
      </c>
      <c r="JJ231" s="236" t="str">
        <f t="shared" si="3541"/>
        <v/>
      </c>
      <c r="JK231" s="236" t="str">
        <f t="shared" si="3541"/>
        <v/>
      </c>
      <c r="JL231" s="236" t="str">
        <f t="shared" si="3541"/>
        <v/>
      </c>
      <c r="JM231" s="236" t="str">
        <f t="shared" si="3541"/>
        <v/>
      </c>
      <c r="JN231" s="236" t="str">
        <f t="shared" si="3541"/>
        <v/>
      </c>
      <c r="JO231" s="236" t="str">
        <f t="shared" si="3541"/>
        <v/>
      </c>
      <c r="JP231" s="236" t="str">
        <f t="shared" si="3541"/>
        <v/>
      </c>
      <c r="JQ231" s="236" t="str">
        <f t="shared" si="3541"/>
        <v/>
      </c>
      <c r="JR231" s="236" t="str">
        <f t="shared" si="3541"/>
        <v/>
      </c>
      <c r="JS231" s="236" t="str">
        <f t="shared" si="3541"/>
        <v/>
      </c>
      <c r="JT231" s="236" t="str">
        <f t="shared" si="3541"/>
        <v/>
      </c>
      <c r="JU231" s="236" t="str">
        <f t="shared" si="3541"/>
        <v/>
      </c>
      <c r="JV231" s="236" t="str">
        <f t="shared" si="3541"/>
        <v/>
      </c>
      <c r="JW231" s="236" t="str">
        <f t="shared" si="3541"/>
        <v/>
      </c>
      <c r="JX231" s="236" t="str">
        <f t="shared" si="3541"/>
        <v/>
      </c>
      <c r="JY231" s="236" t="str">
        <f t="shared" si="3541"/>
        <v/>
      </c>
      <c r="JZ231" s="236" t="str">
        <f t="shared" si="3541"/>
        <v/>
      </c>
      <c r="KA231" s="236" t="str">
        <f t="shared" ref="KA231:KE231" si="3542">IF(KA229="","",KA230*$EY228)</f>
        <v/>
      </c>
      <c r="KB231" s="236" t="str">
        <f t="shared" si="3542"/>
        <v/>
      </c>
      <c r="KC231" s="236" t="str">
        <f t="shared" si="3542"/>
        <v/>
      </c>
      <c r="KD231" s="236" t="str">
        <f t="shared" si="3542"/>
        <v/>
      </c>
      <c r="KE231" s="236" t="str">
        <f t="shared" si="3542"/>
        <v/>
      </c>
      <c r="KF231" s="218" t="s">
        <v>269</v>
      </c>
      <c r="KG231" s="229"/>
      <c r="KH231" s="229"/>
      <c r="KI231" s="229"/>
      <c r="KJ231" s="229"/>
      <c r="KK231" s="229"/>
      <c r="KL231" s="229"/>
      <c r="KM231" s="229"/>
      <c r="KN231" s="229"/>
      <c r="KO231" s="229"/>
      <c r="KP231" s="229"/>
      <c r="KQ231" s="229"/>
      <c r="KR231" s="229"/>
      <c r="KS231" s="229"/>
      <c r="KT231" s="229"/>
      <c r="KU231" s="229"/>
      <c r="KV231" s="229"/>
      <c r="KW231" s="229"/>
      <c r="KX231" s="229"/>
      <c r="KY231" s="229"/>
      <c r="KZ231" s="229"/>
      <c r="LA231" s="229"/>
      <c r="LB231" s="229"/>
      <c r="LC231" s="229"/>
      <c r="LD231" s="229"/>
      <c r="LE231" s="229"/>
      <c r="LF231" s="229"/>
      <c r="LG231" s="229"/>
      <c r="LH231" s="229"/>
      <c r="LI231" s="229"/>
      <c r="LJ231" s="229"/>
      <c r="LK231" s="229"/>
      <c r="LL231" s="229"/>
      <c r="LM231" s="229"/>
      <c r="LN231" s="229"/>
      <c r="LO231" s="229"/>
      <c r="LP231" s="229"/>
      <c r="LQ231" s="229"/>
      <c r="LR231" s="229"/>
      <c r="LS231" s="229"/>
      <c r="LT231" s="229"/>
      <c r="LU231" s="229"/>
      <c r="LV231" s="229"/>
      <c r="LW231" s="229"/>
      <c r="LX231" s="229"/>
      <c r="LY231" s="229"/>
      <c r="LZ231" s="229"/>
      <c r="MA231" s="229"/>
      <c r="MB231" s="229"/>
      <c r="MC231" s="229"/>
      <c r="MD231" s="229"/>
      <c r="ME231" s="229"/>
      <c r="MF231" s="229"/>
      <c r="MG231" s="229"/>
      <c r="MH231" s="229"/>
      <c r="MI231" s="229"/>
      <c r="MJ231" s="229"/>
      <c r="MK231" s="229"/>
      <c r="ML231" s="229"/>
      <c r="MM231" s="229"/>
      <c r="MN231" s="229"/>
      <c r="MO231" s="229"/>
      <c r="MP231" s="229"/>
      <c r="MQ231" s="229"/>
      <c r="MR231" s="229"/>
      <c r="MS231" s="229"/>
      <c r="MT231" s="229"/>
      <c r="MU231" s="229"/>
      <c r="MV231" s="229"/>
      <c r="MW231" s="229"/>
      <c r="MX231" s="229"/>
      <c r="MY231" s="229"/>
      <c r="MZ231" s="229"/>
      <c r="NA231" s="229"/>
      <c r="NB231" s="229"/>
      <c r="NC231" s="229"/>
      <c r="ND231" s="229"/>
      <c r="NE231" s="229"/>
      <c r="NF231" s="229"/>
      <c r="NG231" s="229"/>
      <c r="NH231" s="229"/>
      <c r="NI231" s="229"/>
      <c r="NJ231" s="229"/>
      <c r="NK231" s="229"/>
      <c r="NL231" s="229"/>
      <c r="NM231" s="229"/>
      <c r="NN231" s="229"/>
      <c r="NO231" s="229"/>
      <c r="NP231" s="229"/>
      <c r="NQ231" s="229"/>
      <c r="NR231" s="229"/>
      <c r="NS231" s="229"/>
      <c r="NT231" s="229"/>
      <c r="NU231" s="229"/>
      <c r="NV231" s="229"/>
      <c r="NW231" s="229"/>
      <c r="NX231" s="229"/>
      <c r="NY231" s="229"/>
      <c r="NZ231" s="229"/>
      <c r="OA231" s="229"/>
      <c r="OB231" s="229"/>
      <c r="OC231" s="229"/>
      <c r="OD231" s="229"/>
      <c r="OE231" s="229"/>
      <c r="OF231" s="229"/>
      <c r="OG231" s="229"/>
      <c r="OH231" s="229"/>
      <c r="OI231" s="229"/>
      <c r="OJ231" s="229"/>
      <c r="OK231" s="229"/>
      <c r="OL231" s="229"/>
      <c r="OM231" s="229"/>
      <c r="ON231" s="229"/>
      <c r="OO231" s="229"/>
      <c r="OP231" s="229"/>
      <c r="OQ231" s="229"/>
      <c r="OR231" s="229"/>
      <c r="OS231" s="229"/>
      <c r="OT231" s="229"/>
      <c r="OU231" s="229"/>
      <c r="OV231" s="229"/>
      <c r="OW231" s="229"/>
      <c r="OX231" s="229"/>
      <c r="OY231" s="229"/>
      <c r="OZ231" s="229"/>
      <c r="PA231" s="229"/>
      <c r="PB231" s="229"/>
      <c r="PC231" s="229"/>
      <c r="PD231" s="229"/>
      <c r="PE231" s="229"/>
      <c r="PF231" s="229"/>
      <c r="PG231" s="229"/>
      <c r="PH231" s="229"/>
      <c r="PI231" s="229"/>
      <c r="PJ231" s="229"/>
      <c r="PK231" s="229"/>
      <c r="PL231" s="229"/>
      <c r="PM231" s="229"/>
      <c r="PN231" s="229"/>
      <c r="PO231" s="229"/>
      <c r="PP231" s="229"/>
      <c r="PQ231" s="229"/>
      <c r="PR231" s="229"/>
      <c r="PS231" s="229"/>
      <c r="PT231" s="229"/>
      <c r="PU231" s="229"/>
      <c r="PV231" s="229"/>
      <c r="PW231" s="229"/>
      <c r="PX231" s="229"/>
      <c r="PY231" s="229"/>
      <c r="PZ231" s="229"/>
      <c r="QA231" s="229"/>
      <c r="QB231" s="229"/>
      <c r="QC231" s="229"/>
      <c r="QD231" s="229"/>
      <c r="QE231" s="229"/>
      <c r="QF231" s="229"/>
      <c r="QG231" s="229"/>
      <c r="QH231" s="229"/>
      <c r="QI231" s="229"/>
      <c r="QJ231" s="229"/>
      <c r="QK231" s="229"/>
      <c r="QL231" s="229"/>
      <c r="QM231" s="229"/>
      <c r="QN231" s="229"/>
      <c r="QO231" s="229"/>
      <c r="QP231" s="229"/>
      <c r="QQ231" s="229"/>
      <c r="QR231" s="229"/>
      <c r="QS231" s="229"/>
      <c r="QT231" s="229"/>
      <c r="QU231" s="229"/>
      <c r="QV231" s="229"/>
      <c r="QW231" s="229"/>
      <c r="QX231" s="229"/>
      <c r="QY231" s="229"/>
      <c r="QZ231" s="229"/>
      <c r="RA231" s="229"/>
      <c r="RB231" s="229"/>
      <c r="RC231" s="229"/>
      <c r="RD231" s="229"/>
      <c r="RE231" s="229"/>
      <c r="RF231" s="229"/>
      <c r="RG231" s="229"/>
      <c r="RH231" s="229"/>
      <c r="RI231" s="229"/>
      <c r="RJ231" s="229"/>
      <c r="RK231" s="229"/>
      <c r="RL231" s="229"/>
      <c r="RM231" s="229"/>
      <c r="RN231" s="229"/>
      <c r="RO231" s="229"/>
      <c r="RP231" s="229"/>
      <c r="RQ231" s="229"/>
      <c r="RR231" s="229"/>
      <c r="RS231" s="229"/>
      <c r="RT231" s="229"/>
      <c r="RU231" s="229"/>
      <c r="RV231" s="229"/>
      <c r="RW231" s="229"/>
      <c r="RX231" s="229"/>
      <c r="RY231" s="229"/>
      <c r="RZ231" s="229"/>
      <c r="SA231" s="229"/>
      <c r="SB231" s="229"/>
      <c r="SC231" s="229"/>
      <c r="SD231" s="229"/>
      <c r="SE231" s="229"/>
      <c r="SF231" s="229"/>
      <c r="SG231" s="229"/>
      <c r="SH231" s="229"/>
      <c r="SI231" s="229"/>
      <c r="SJ231" s="229"/>
      <c r="SK231" s="229"/>
      <c r="SL231" s="229"/>
      <c r="SM231" s="229"/>
      <c r="SN231" s="229"/>
      <c r="SO231" s="229"/>
      <c r="SP231" s="229"/>
      <c r="SQ231" s="229"/>
      <c r="SR231" s="229"/>
      <c r="SS231" s="229"/>
      <c r="ST231" s="229"/>
      <c r="SU231" s="229"/>
      <c r="SV231" s="229"/>
      <c r="SW231" s="229"/>
      <c r="SX231" s="229"/>
      <c r="SY231" s="229"/>
      <c r="SZ231" s="229"/>
      <c r="TA231" s="229"/>
      <c r="TB231" s="229"/>
      <c r="TC231" s="229"/>
      <c r="TD231" s="229"/>
      <c r="TE231" s="229"/>
      <c r="TF231" s="229"/>
      <c r="TG231" s="229"/>
      <c r="TH231" s="229"/>
      <c r="TI231" s="229"/>
      <c r="TJ231" s="229"/>
      <c r="TK231" s="229"/>
      <c r="TL231" s="229"/>
      <c r="TM231" s="229"/>
      <c r="TN231" s="229"/>
      <c r="TO231" s="229"/>
      <c r="TP231" s="229"/>
      <c r="TQ231" s="229"/>
      <c r="TR231" s="229"/>
      <c r="TS231" s="229"/>
      <c r="TT231" s="229"/>
      <c r="TU231" s="229"/>
      <c r="TV231" s="229"/>
      <c r="TW231" s="229"/>
      <c r="TX231" s="229"/>
      <c r="TY231" s="229"/>
      <c r="TZ231" s="229"/>
      <c r="UA231" s="229"/>
      <c r="UB231" s="229"/>
      <c r="UC231" s="229"/>
      <c r="UD231" s="229"/>
      <c r="UE231" s="229"/>
      <c r="UF231" s="229"/>
      <c r="UG231" s="229"/>
      <c r="UH231" s="229"/>
      <c r="UI231" s="229"/>
      <c r="UJ231" s="229"/>
      <c r="UK231" s="229"/>
      <c r="UL231" s="229"/>
      <c r="UM231" s="229"/>
      <c r="UN231" s="229"/>
      <c r="UO231" s="229"/>
      <c r="UP231" s="229"/>
      <c r="UQ231" s="229"/>
      <c r="UR231" s="229"/>
      <c r="US231" s="229"/>
      <c r="UT231" s="229"/>
      <c r="UU231" s="229"/>
    </row>
    <row r="232" spans="1:567" s="183" customFormat="1" x14ac:dyDescent="0.25">
      <c r="A232" s="182"/>
      <c r="B232" s="70" t="s">
        <v>226</v>
      </c>
      <c r="C232" s="71"/>
      <c r="D232" s="71"/>
      <c r="E232" s="71"/>
      <c r="F232" s="71"/>
      <c r="G232" s="71"/>
      <c r="H232" s="71"/>
      <c r="I232" s="19" t="s">
        <v>235</v>
      </c>
      <c r="J232" s="247">
        <f>IF(I232="Untrended",K148/$K$49,J199/$K$49)</f>
        <v>6.5111899258939926E-2</v>
      </c>
      <c r="K232" s="247" t="str">
        <f>IF(I232="Untrended","",K199/$K$49)</f>
        <v/>
      </c>
      <c r="M232" s="3"/>
      <c r="N232" s="3"/>
      <c r="O232" s="3"/>
      <c r="P232" s="3"/>
      <c r="Q232" s="3"/>
      <c r="R232" s="260"/>
      <c r="S232" s="591" t="s">
        <v>799</v>
      </c>
      <c r="T232" s="592">
        <f ca="1">IF(T229="","",-SUMIF($S$229:T229,"&lt;0"))</f>
        <v>27650930</v>
      </c>
      <c r="U232" s="592">
        <f ca="1">IF(U229="","",-SUMIF($S$229:U229,"&lt;0"))</f>
        <v>27650930</v>
      </c>
      <c r="V232" s="592">
        <f ca="1">IF(V229="","",-SUMIF($S$229:V229,"&lt;0"))</f>
        <v>27650930</v>
      </c>
      <c r="W232" s="592">
        <f ca="1">IF(W229="","",-SUMIF($S$229:W229,"&lt;0"))</f>
        <v>27650930</v>
      </c>
      <c r="X232" s="592">
        <f ca="1">IF(X229="","",-SUMIF($S$229:X229,"&lt;0"))</f>
        <v>27650930</v>
      </c>
      <c r="Y232" s="592">
        <f ca="1">IF(Y229="","",-SUMIF($S$229:Y229,"&lt;0"))</f>
        <v>27650930</v>
      </c>
      <c r="Z232" s="592">
        <f ca="1">IF(Z229="","",-SUMIF($S$229:Z229,"&lt;0"))</f>
        <v>27650930</v>
      </c>
      <c r="AA232" s="592">
        <f ca="1">IF(AA229="","",-SUMIF($S$229:AA229,"&lt;0"))</f>
        <v>27650930</v>
      </c>
      <c r="AB232" s="592">
        <f ca="1">IF(AB229="","",-SUMIF($S$229:AB229,"&lt;0"))</f>
        <v>27650930</v>
      </c>
      <c r="AC232" s="592">
        <f ca="1">IF(AC229="","",-SUMIF($S$229:AC229,"&lt;0"))</f>
        <v>27650930</v>
      </c>
      <c r="AD232" s="592">
        <f ca="1">IF(AD229="","",-SUMIF($S$229:AD229,"&lt;0"))</f>
        <v>27650930</v>
      </c>
      <c r="AE232" s="592">
        <f ca="1">IF(AE229="","",-SUMIF($S$229:AE229,"&lt;0"))</f>
        <v>27650930</v>
      </c>
      <c r="AF232" s="592">
        <f ca="1">IF(AF229="","",-SUMIF($S$229:AF229,"&lt;0"))</f>
        <v>27650930</v>
      </c>
      <c r="AG232" s="592">
        <f ca="1">IF(AG229="","",-SUMIF($S$229:AG229,"&lt;0"))</f>
        <v>27650930</v>
      </c>
      <c r="AH232" s="592">
        <f ca="1">IF(AH229="","",-SUMIF($S$229:AH229,"&lt;0"))</f>
        <v>27650930</v>
      </c>
      <c r="AI232" s="592">
        <f ca="1">IF(AI229="","",-SUMIF($S$229:AI229,"&lt;0"))</f>
        <v>27650930</v>
      </c>
      <c r="AJ232" s="592">
        <f ca="1">IF(AJ229="","",-SUMIF($S$229:AJ229,"&lt;0"))</f>
        <v>27650930</v>
      </c>
      <c r="AK232" s="592">
        <f ca="1">IF(AK229="","",-SUMIF($S$229:AK229,"&lt;0"))</f>
        <v>27650930</v>
      </c>
      <c r="AL232" s="592">
        <f ca="1">IF(AL229="","",-SUMIF($S$229:AL229,"&lt;0"))</f>
        <v>27650930</v>
      </c>
      <c r="AM232" s="592">
        <f ca="1">IF(AM229="","",-SUMIF($S$229:AM229,"&lt;0"))</f>
        <v>27650930</v>
      </c>
      <c r="AN232" s="592">
        <f ca="1">IF(AN229="","",-SUMIF($S$229:AN229,"&lt;0"))</f>
        <v>27650930</v>
      </c>
      <c r="AO232" s="592">
        <f ca="1">IF(AO229="","",-SUMIF($S$229:AO229,"&lt;0"))</f>
        <v>27650930</v>
      </c>
      <c r="AP232" s="592">
        <f ca="1">IF(AP229="","",-SUMIF($S$229:AP229,"&lt;0"))</f>
        <v>27650930</v>
      </c>
      <c r="AQ232" s="592">
        <f ca="1">IF(AQ229="","",-SUMIF($S$229:AQ229,"&lt;0"))</f>
        <v>27650930</v>
      </c>
      <c r="AR232" s="592">
        <f ca="1">IF(AR229="","",-SUMIF($S$229:AR229,"&lt;0"))</f>
        <v>27650930</v>
      </c>
      <c r="AS232" s="592">
        <f ca="1">IF(AS229="","",-SUMIF($S$229:AS229,"&lt;0"))</f>
        <v>27650930</v>
      </c>
      <c r="AT232" s="592">
        <f ca="1">IF(AT229="","",-SUMIF($S$229:AT229,"&lt;0"))</f>
        <v>27650930</v>
      </c>
      <c r="AU232" s="592">
        <f ca="1">IF(AU229="","",-SUMIF($S$229:AU229,"&lt;0"))</f>
        <v>27650930</v>
      </c>
      <c r="AV232" s="592">
        <f ca="1">IF(AV229="","",-SUMIF($S$229:AV229,"&lt;0"))</f>
        <v>27650930</v>
      </c>
      <c r="AW232" s="592">
        <f ca="1">IF(AW229="","",-SUMIF($S$229:AW229,"&lt;0"))</f>
        <v>27650930</v>
      </c>
      <c r="AX232" s="592">
        <f ca="1">IF(AX229="","",-SUMIF($S$229:AX229,"&lt;0"))</f>
        <v>27650930</v>
      </c>
      <c r="AY232" s="592">
        <f ca="1">IF(AY229="","",-SUMIF($S$229:AY229,"&lt;0"))</f>
        <v>27650930</v>
      </c>
      <c r="AZ232" s="592">
        <f ca="1">IF(AZ229="","",-SUMIF($S$229:AZ229,"&lt;0"))</f>
        <v>27650930</v>
      </c>
      <c r="BA232" s="592">
        <f ca="1">IF(BA229="","",-SUMIF($S$229:BA229,"&lt;0"))</f>
        <v>27650930</v>
      </c>
      <c r="BB232" s="592">
        <f ca="1">IF(BB229="","",-SUMIF($S$229:BB229,"&lt;0"))</f>
        <v>27650930</v>
      </c>
      <c r="BC232" s="592">
        <f ca="1">IF(BC229="","",-SUMIF($S$229:BC229,"&lt;0"))</f>
        <v>27650930</v>
      </c>
      <c r="BD232" s="592" t="str">
        <f>IF(BD229="","",-SUMIF($S$229:BD229,"&lt;0"))</f>
        <v/>
      </c>
      <c r="BE232" s="592" t="str">
        <f>IF(BE229="","",-SUMIF($S$229:BE229,"&lt;0"))</f>
        <v/>
      </c>
      <c r="BF232" s="592" t="str">
        <f>IF(BF229="","",-SUMIF($S$229:BF229,"&lt;0"))</f>
        <v/>
      </c>
      <c r="BG232" s="592" t="str">
        <f>IF(BG229="","",-SUMIF($S$229:BG229,"&lt;0"))</f>
        <v/>
      </c>
      <c r="BH232" s="592" t="str">
        <f>IF(BH229="","",-SUMIF($S$229:BH229,"&lt;0"))</f>
        <v/>
      </c>
      <c r="BI232" s="592" t="str">
        <f>IF(BI229="","",-SUMIF($S$229:BI229,"&lt;0"))</f>
        <v/>
      </c>
      <c r="BJ232" s="592" t="str">
        <f>IF(BJ229="","",-SUMIF($S$229:BJ229,"&lt;0"))</f>
        <v/>
      </c>
      <c r="BK232" s="592" t="str">
        <f>IF(BK229="","",-SUMIF($S$229:BK229,"&lt;0"))</f>
        <v/>
      </c>
      <c r="BL232" s="592" t="str">
        <f>IF(BL229="","",-SUMIF($S$229:BL229,"&lt;0"))</f>
        <v/>
      </c>
      <c r="BM232" s="592" t="str">
        <f>IF(BM229="","",-SUMIF($S$229:BM229,"&lt;0"))</f>
        <v/>
      </c>
      <c r="BN232" s="592" t="str">
        <f>IF(BN229="","",-SUMIF($S$229:BN229,"&lt;0"))</f>
        <v/>
      </c>
      <c r="BO232" s="592" t="str">
        <f>IF(BO229="","",-SUMIF($S$229:BO229,"&lt;0"))</f>
        <v/>
      </c>
      <c r="BP232" s="592" t="str">
        <f>IF(BP229="","",-SUMIF($S$229:BP229,"&lt;0"))</f>
        <v/>
      </c>
      <c r="BQ232" s="592" t="str">
        <f>IF(BQ229="","",-SUMIF($S$229:BQ229,"&lt;0"))</f>
        <v/>
      </c>
      <c r="BR232" s="592" t="str">
        <f>IF(BR229="","",-SUMIF($S$229:BR229,"&lt;0"))</f>
        <v/>
      </c>
      <c r="BS232" s="592" t="str">
        <f>IF(BS229="","",-SUMIF($S$229:BS229,"&lt;0"))</f>
        <v/>
      </c>
      <c r="BT232" s="592" t="str">
        <f>IF(BT229="","",-SUMIF($S$229:BT229,"&lt;0"))</f>
        <v/>
      </c>
      <c r="BU232" s="592" t="str">
        <f>IF(BU229="","",-SUMIF($S$229:BU229,"&lt;0"))</f>
        <v/>
      </c>
      <c r="BV232" s="592" t="str">
        <f>IF(BV229="","",-SUMIF($S$229:BV229,"&lt;0"))</f>
        <v/>
      </c>
      <c r="BW232" s="592" t="str">
        <f>IF(BW229="","",-SUMIF($S$229:BW229,"&lt;0"))</f>
        <v/>
      </c>
      <c r="BX232" s="592" t="str">
        <f>IF(BX229="","",-SUMIF($S$229:BX229,"&lt;0"))</f>
        <v/>
      </c>
      <c r="BY232" s="592" t="str">
        <f>IF(BY229="","",-SUMIF($S$229:BY229,"&lt;0"))</f>
        <v/>
      </c>
      <c r="BZ232" s="592" t="str">
        <f>IF(BZ229="","",-SUMIF($S$229:BZ229,"&lt;0"))</f>
        <v/>
      </c>
      <c r="CA232" s="592" t="str">
        <f>IF(CA229="","",-SUMIF($S$229:CA229,"&lt;0"))</f>
        <v/>
      </c>
      <c r="CB232" s="592" t="str">
        <f>IF(CB229="","",-SUMIF($S$229:CB229,"&lt;0"))</f>
        <v/>
      </c>
      <c r="CC232" s="592" t="str">
        <f>IF(CC229="","",-SUMIF($S$229:CC229,"&lt;0"))</f>
        <v/>
      </c>
      <c r="CD232" s="592" t="str">
        <f>IF(CD229="","",-SUMIF($S$229:CD229,"&lt;0"))</f>
        <v/>
      </c>
      <c r="CE232" s="592" t="str">
        <f>IF(CE229="","",-SUMIF($S$229:CE229,"&lt;0"))</f>
        <v/>
      </c>
      <c r="CF232" s="592" t="str">
        <f>IF(CF229="","",-SUMIF($S$229:CF229,"&lt;0"))</f>
        <v/>
      </c>
      <c r="CG232" s="592" t="str">
        <f>IF(CG229="","",-SUMIF($S$229:CG229,"&lt;0"))</f>
        <v/>
      </c>
      <c r="CH232" s="592" t="str">
        <f>IF(CH229="","",-SUMIF($S$229:CH229,"&lt;0"))</f>
        <v/>
      </c>
      <c r="CI232" s="592" t="str">
        <f>IF(CI229="","",-SUMIF($S$229:CI229,"&lt;0"))</f>
        <v/>
      </c>
      <c r="CJ232" s="592" t="str">
        <f>IF(CJ229="","",-SUMIF($S$229:CJ229,"&lt;0"))</f>
        <v/>
      </c>
      <c r="CK232" s="592" t="str">
        <f>IF(CK229="","",-SUMIF($S$229:CK229,"&lt;0"))</f>
        <v/>
      </c>
      <c r="CL232" s="592" t="str">
        <f>IF(CL229="","",-SUMIF($S$229:CL229,"&lt;0"))</f>
        <v/>
      </c>
      <c r="CM232" s="592" t="str">
        <f>IF(CM229="","",-SUMIF($S$229:CM229,"&lt;0"))</f>
        <v/>
      </c>
      <c r="CN232" s="592" t="str">
        <f>IF(CN229="","",-SUMIF($S$229:CN229,"&lt;0"))</f>
        <v/>
      </c>
      <c r="CO232" s="592" t="str">
        <f>IF(CO229="","",-SUMIF($S$229:CO229,"&lt;0"))</f>
        <v/>
      </c>
      <c r="CP232" s="592" t="str">
        <f>IF(CP229="","",-SUMIF($S$229:CP229,"&lt;0"))</f>
        <v/>
      </c>
      <c r="CQ232" s="592" t="str">
        <f>IF(CQ229="","",-SUMIF($S$229:CQ229,"&lt;0"))</f>
        <v/>
      </c>
      <c r="CR232" s="592" t="str">
        <f>IF(CR229="","",-SUMIF($S$229:CR229,"&lt;0"))</f>
        <v/>
      </c>
      <c r="CS232" s="592" t="str">
        <f>IF(CS229="","",-SUMIF($S$229:CS229,"&lt;0"))</f>
        <v/>
      </c>
      <c r="CT232" s="592" t="str">
        <f>IF(CT229="","",-SUMIF($S$229:CT229,"&lt;0"))</f>
        <v/>
      </c>
      <c r="CU232" s="592" t="str">
        <f>IF(CU229="","",-SUMIF($S$229:CU229,"&lt;0"))</f>
        <v/>
      </c>
      <c r="CV232" s="592" t="str">
        <f>IF(CV229="","",-SUMIF($S$229:CV229,"&lt;0"))</f>
        <v/>
      </c>
      <c r="CW232" s="592" t="str">
        <f>IF(CW229="","",-SUMIF($S$229:CW229,"&lt;0"))</f>
        <v/>
      </c>
      <c r="CX232" s="592" t="str">
        <f>IF(CX229="","",-SUMIF($S$229:CX229,"&lt;0"))</f>
        <v/>
      </c>
      <c r="CY232" s="592" t="str">
        <f>IF(CY229="","",-SUMIF($S$229:CY229,"&lt;0"))</f>
        <v/>
      </c>
      <c r="CZ232" s="592" t="str">
        <f>IF(CZ229="","",-SUMIF($S$229:CZ229,"&lt;0"))</f>
        <v/>
      </c>
      <c r="DA232" s="592" t="str">
        <f>IF(DA229="","",-SUMIF($S$229:DA229,"&lt;0"))</f>
        <v/>
      </c>
      <c r="DB232" s="592" t="str">
        <f>IF(DB229="","",-SUMIF($S$229:DB229,"&lt;0"))</f>
        <v/>
      </c>
      <c r="DC232" s="592" t="str">
        <f>IF(DC229="","",-SUMIF($S$229:DC229,"&lt;0"))</f>
        <v/>
      </c>
      <c r="DD232" s="592" t="str">
        <f>IF(DD229="","",-SUMIF($S$229:DD229,"&lt;0"))</f>
        <v/>
      </c>
      <c r="DE232" s="592" t="str">
        <f>IF(DE229="","",-SUMIF($S$229:DE229,"&lt;0"))</f>
        <v/>
      </c>
      <c r="DF232" s="592" t="str">
        <f>IF(DF229="","",-SUMIF($S$229:DF229,"&lt;0"))</f>
        <v/>
      </c>
      <c r="DG232" s="592" t="str">
        <f>IF(DG229="","",-SUMIF($S$229:DG229,"&lt;0"))</f>
        <v/>
      </c>
      <c r="DH232" s="592" t="str">
        <f>IF(DH229="","",-SUMIF($S$229:DH229,"&lt;0"))</f>
        <v/>
      </c>
      <c r="DI232" s="592" t="str">
        <f>IF(DI229="","",-SUMIF($S$229:DI229,"&lt;0"))</f>
        <v/>
      </c>
      <c r="DJ232" s="592" t="str">
        <f>IF(DJ229="","",-SUMIF($S$229:DJ229,"&lt;0"))</f>
        <v/>
      </c>
      <c r="DK232" s="592" t="str">
        <f>IF(DK229="","",-SUMIF($S$229:DK229,"&lt;0"))</f>
        <v/>
      </c>
      <c r="DL232" s="592" t="str">
        <f>IF(DL229="","",-SUMIF($S$229:DL229,"&lt;0"))</f>
        <v/>
      </c>
      <c r="DM232" s="592" t="str">
        <f>IF(DM229="","",-SUMIF($S$229:DM229,"&lt;0"))</f>
        <v/>
      </c>
      <c r="DN232" s="592" t="str">
        <f>IF(DN229="","",-SUMIF($S$229:DN229,"&lt;0"))</f>
        <v/>
      </c>
      <c r="DO232" s="592" t="str">
        <f>IF(DO229="","",-SUMIF($S$229:DO229,"&lt;0"))</f>
        <v/>
      </c>
      <c r="DP232" s="592" t="str">
        <f>IF(DP229="","",-SUMIF($S$229:DP229,"&lt;0"))</f>
        <v/>
      </c>
      <c r="DQ232" s="592" t="str">
        <f>IF(DQ229="","",-SUMIF($S$229:DQ229,"&lt;0"))</f>
        <v/>
      </c>
      <c r="DR232" s="592" t="str">
        <f>IF(DR229="","",-SUMIF($S$229:DR229,"&lt;0"))</f>
        <v/>
      </c>
      <c r="DS232" s="592" t="str">
        <f>IF(DS229="","",-SUMIF($S$229:DS229,"&lt;0"))</f>
        <v/>
      </c>
      <c r="DT232" s="592" t="str">
        <f>IF(DT229="","",-SUMIF($S$229:DT229,"&lt;0"))</f>
        <v/>
      </c>
      <c r="DU232" s="592" t="str">
        <f>IF(DU229="","",-SUMIF($S$229:DU229,"&lt;0"))</f>
        <v/>
      </c>
      <c r="DV232" s="592" t="str">
        <f>IF(DV229="","",-SUMIF($S$229:DV229,"&lt;0"))</f>
        <v/>
      </c>
      <c r="DW232" s="592" t="str">
        <f>IF(DW229="","",-SUMIF($S$229:DW229,"&lt;0"))</f>
        <v/>
      </c>
      <c r="DX232" s="592" t="str">
        <f>IF(DX229="","",-SUMIF($S$229:DX229,"&lt;0"))</f>
        <v/>
      </c>
      <c r="DY232" s="592" t="str">
        <f>IF(DY229="","",-SUMIF($S$229:DY229,"&lt;0"))</f>
        <v/>
      </c>
      <c r="DZ232" s="592" t="str">
        <f>IF(DZ229="","",-SUMIF($S$229:DZ229,"&lt;0"))</f>
        <v/>
      </c>
      <c r="EA232" s="592" t="str">
        <f>IF(EA229="","",-SUMIF($S$229:EA229,"&lt;0"))</f>
        <v/>
      </c>
      <c r="EB232" s="592" t="str">
        <f>IF(EB229="","",-SUMIF($S$229:EB229,"&lt;0"))</f>
        <v/>
      </c>
      <c r="EC232" s="592" t="str">
        <f>IF(EC229="","",-SUMIF($S$229:EC229,"&lt;0"))</f>
        <v/>
      </c>
      <c r="ED232" s="592" t="str">
        <f>IF(ED229="","",-SUMIF($S$229:ED229,"&lt;0"))</f>
        <v/>
      </c>
      <c r="EE232" s="592" t="str">
        <f>IF(EE229="","",-SUMIF($S$229:EE229,"&lt;0"))</f>
        <v/>
      </c>
      <c r="EF232" s="592" t="str">
        <f>IF(EF229="","",-SUMIF($S$229:EF229,"&lt;0"))</f>
        <v/>
      </c>
      <c r="EG232" s="592" t="str">
        <f>IF(EG229="","",-SUMIF($S$229:EG229,"&lt;0"))</f>
        <v/>
      </c>
      <c r="EH232" s="592" t="str">
        <f>IF(EH229="","",-SUMIF($S$229:EH229,"&lt;0"))</f>
        <v/>
      </c>
      <c r="EI232" s="592" t="str">
        <f>IF(EI229="","",-SUMIF($S$229:EI229,"&lt;0"))</f>
        <v/>
      </c>
      <c r="EJ232" s="592" t="str">
        <f>IF(EJ229="","",-SUMIF($S$229:EJ229,"&lt;0"))</f>
        <v/>
      </c>
      <c r="EK232" s="592" t="str">
        <f>IF(EK229="","",-SUMIF($S$229:EK229,"&lt;0"))</f>
        <v/>
      </c>
      <c r="EL232" s="592" t="str">
        <f>IF(EL229="","",-SUMIF($S$229:EL229,"&lt;0"))</f>
        <v/>
      </c>
      <c r="EM232" s="592" t="str">
        <f>IF(EM229="","",-SUMIF($S$229:EM229,"&lt;0"))</f>
        <v/>
      </c>
      <c r="EN232" s="592" t="str">
        <f>IF(EN229="","",-SUMIF($S$229:EN229,"&lt;0"))</f>
        <v/>
      </c>
      <c r="EO232" s="592" t="str">
        <f>IF(EO229="","",-SUMIF($S$229:EO229,"&lt;0"))</f>
        <v/>
      </c>
      <c r="EP232" s="592" t="str">
        <f>IF(EP229="","",-SUMIF($S$229:EP229,"&lt;0"))</f>
        <v/>
      </c>
      <c r="EQ232" s="592" t="str">
        <f>IF(EQ229="","",-SUMIF($S$229:EQ229,"&lt;0"))</f>
        <v/>
      </c>
      <c r="ER232" s="592" t="str">
        <f>IF(ER229="","",-SUMIF($S$229:ER229,"&lt;0"))</f>
        <v/>
      </c>
      <c r="ES232" s="592" t="str">
        <f>IF(ES229="","",-SUMIF($S$229:ES229,"&lt;0"))</f>
        <v/>
      </c>
      <c r="ET232" s="592" t="str">
        <f>IF(ET229="","",-SUMIF($S$229:ET229,"&lt;0"))</f>
        <v/>
      </c>
      <c r="EU232" s="592" t="str">
        <f>IF(EU229="","",-SUMIF($S$229:EU229,"&lt;0"))</f>
        <v/>
      </c>
      <c r="EV232" s="2"/>
      <c r="EW232" s="201" t="s">
        <v>265</v>
      </c>
      <c r="EX232" s="201"/>
      <c r="EY232" s="228"/>
      <c r="EZ232" s="228"/>
      <c r="FA232" s="236"/>
      <c r="FB232" s="236"/>
      <c r="FC232" s="236">
        <f t="shared" ref="FC232:GH232" ca="1" si="3543">IF(FC229="","",FC215)</f>
        <v>26865102.25</v>
      </c>
      <c r="FD232" s="236">
        <f t="shared" ca="1" si="3543"/>
        <v>0</v>
      </c>
      <c r="FE232" s="236">
        <f t="shared" ca="1" si="3543"/>
        <v>0</v>
      </c>
      <c r="FF232" s="236">
        <f t="shared" ca="1" si="3543"/>
        <v>0</v>
      </c>
      <c r="FG232" s="236">
        <f t="shared" ca="1" si="3543"/>
        <v>0</v>
      </c>
      <c r="FH232" s="236">
        <f t="shared" ca="1" si="3543"/>
        <v>0</v>
      </c>
      <c r="FI232" s="236">
        <f t="shared" ca="1" si="3543"/>
        <v>0</v>
      </c>
      <c r="FJ232" s="236">
        <f t="shared" ca="1" si="3543"/>
        <v>0</v>
      </c>
      <c r="FK232" s="236">
        <f t="shared" ca="1" si="3543"/>
        <v>0</v>
      </c>
      <c r="FL232" s="236">
        <f t="shared" ca="1" si="3543"/>
        <v>0</v>
      </c>
      <c r="FM232" s="236">
        <f t="shared" ca="1" si="3543"/>
        <v>0</v>
      </c>
      <c r="FN232" s="236">
        <f t="shared" ca="1" si="3543"/>
        <v>0</v>
      </c>
      <c r="FO232" s="236">
        <f t="shared" ca="1" si="3543"/>
        <v>0</v>
      </c>
      <c r="FP232" s="236">
        <f t="shared" ca="1" si="3543"/>
        <v>0</v>
      </c>
      <c r="FQ232" s="236">
        <f t="shared" ca="1" si="3543"/>
        <v>0</v>
      </c>
      <c r="FR232" s="236">
        <f t="shared" ca="1" si="3543"/>
        <v>0</v>
      </c>
      <c r="FS232" s="236">
        <f t="shared" ca="1" si="3543"/>
        <v>0</v>
      </c>
      <c r="FT232" s="236">
        <f t="shared" ca="1" si="3543"/>
        <v>0</v>
      </c>
      <c r="FU232" s="236">
        <f t="shared" ca="1" si="3543"/>
        <v>0</v>
      </c>
      <c r="FV232" s="236">
        <f t="shared" ca="1" si="3543"/>
        <v>0</v>
      </c>
      <c r="FW232" s="236">
        <f t="shared" ca="1" si="3543"/>
        <v>0</v>
      </c>
      <c r="FX232" s="236">
        <f t="shared" ca="1" si="3543"/>
        <v>0</v>
      </c>
      <c r="FY232" s="236">
        <f t="shared" ca="1" si="3543"/>
        <v>0</v>
      </c>
      <c r="FZ232" s="236">
        <f t="shared" ca="1" si="3543"/>
        <v>0</v>
      </c>
      <c r="GA232" s="236">
        <f t="shared" ca="1" si="3543"/>
        <v>0</v>
      </c>
      <c r="GB232" s="236">
        <f t="shared" ca="1" si="3543"/>
        <v>0</v>
      </c>
      <c r="GC232" s="236">
        <f t="shared" ca="1" si="3543"/>
        <v>0</v>
      </c>
      <c r="GD232" s="236">
        <f t="shared" ca="1" si="3543"/>
        <v>0</v>
      </c>
      <c r="GE232" s="236">
        <f t="shared" ca="1" si="3543"/>
        <v>0</v>
      </c>
      <c r="GF232" s="236">
        <f t="shared" ca="1" si="3543"/>
        <v>0</v>
      </c>
      <c r="GG232" s="236">
        <f t="shared" ca="1" si="3543"/>
        <v>0</v>
      </c>
      <c r="GH232" s="236">
        <f t="shared" ca="1" si="3543"/>
        <v>0</v>
      </c>
      <c r="GI232" s="236">
        <f t="shared" ref="GI232:HN232" ca="1" si="3544">IF(GI229="","",GI215)</f>
        <v>0</v>
      </c>
      <c r="GJ232" s="236">
        <f t="shared" ca="1" si="3544"/>
        <v>0</v>
      </c>
      <c r="GK232" s="236">
        <f t="shared" ca="1" si="3544"/>
        <v>0</v>
      </c>
      <c r="GL232" s="236">
        <f t="shared" ca="1" si="3544"/>
        <v>0</v>
      </c>
      <c r="GM232" s="236">
        <f t="shared" ca="1" si="3544"/>
        <v>0</v>
      </c>
      <c r="GN232" s="236" t="str">
        <f t="shared" si="3544"/>
        <v/>
      </c>
      <c r="GO232" s="236" t="str">
        <f t="shared" si="3544"/>
        <v/>
      </c>
      <c r="GP232" s="236" t="str">
        <f t="shared" si="3544"/>
        <v/>
      </c>
      <c r="GQ232" s="236" t="str">
        <f t="shared" si="3544"/>
        <v/>
      </c>
      <c r="GR232" s="236" t="str">
        <f t="shared" si="3544"/>
        <v/>
      </c>
      <c r="GS232" s="236" t="str">
        <f t="shared" si="3544"/>
        <v/>
      </c>
      <c r="GT232" s="236" t="str">
        <f t="shared" si="3544"/>
        <v/>
      </c>
      <c r="GU232" s="236" t="str">
        <f t="shared" si="3544"/>
        <v/>
      </c>
      <c r="GV232" s="236" t="str">
        <f t="shared" si="3544"/>
        <v/>
      </c>
      <c r="GW232" s="236" t="str">
        <f t="shared" si="3544"/>
        <v/>
      </c>
      <c r="GX232" s="236" t="str">
        <f t="shared" si="3544"/>
        <v/>
      </c>
      <c r="GY232" s="236" t="str">
        <f t="shared" si="3544"/>
        <v/>
      </c>
      <c r="GZ232" s="236" t="str">
        <f t="shared" si="3544"/>
        <v/>
      </c>
      <c r="HA232" s="236" t="str">
        <f t="shared" si="3544"/>
        <v/>
      </c>
      <c r="HB232" s="236" t="str">
        <f t="shared" si="3544"/>
        <v/>
      </c>
      <c r="HC232" s="236" t="str">
        <f t="shared" si="3544"/>
        <v/>
      </c>
      <c r="HD232" s="236" t="str">
        <f t="shared" si="3544"/>
        <v/>
      </c>
      <c r="HE232" s="236" t="str">
        <f t="shared" si="3544"/>
        <v/>
      </c>
      <c r="HF232" s="236" t="str">
        <f t="shared" si="3544"/>
        <v/>
      </c>
      <c r="HG232" s="236" t="str">
        <f t="shared" si="3544"/>
        <v/>
      </c>
      <c r="HH232" s="236" t="str">
        <f t="shared" si="3544"/>
        <v/>
      </c>
      <c r="HI232" s="236" t="str">
        <f t="shared" si="3544"/>
        <v/>
      </c>
      <c r="HJ232" s="236" t="str">
        <f t="shared" si="3544"/>
        <v/>
      </c>
      <c r="HK232" s="236" t="str">
        <f t="shared" si="3544"/>
        <v/>
      </c>
      <c r="HL232" s="236" t="str">
        <f t="shared" si="3544"/>
        <v/>
      </c>
      <c r="HM232" s="236" t="str">
        <f t="shared" si="3544"/>
        <v/>
      </c>
      <c r="HN232" s="236" t="str">
        <f t="shared" si="3544"/>
        <v/>
      </c>
      <c r="HO232" s="236" t="str">
        <f t="shared" ref="HO232:IT232" si="3545">IF(HO229="","",HO215)</f>
        <v/>
      </c>
      <c r="HP232" s="236" t="str">
        <f t="shared" si="3545"/>
        <v/>
      </c>
      <c r="HQ232" s="236" t="str">
        <f t="shared" si="3545"/>
        <v/>
      </c>
      <c r="HR232" s="236" t="str">
        <f t="shared" si="3545"/>
        <v/>
      </c>
      <c r="HS232" s="236" t="str">
        <f t="shared" si="3545"/>
        <v/>
      </c>
      <c r="HT232" s="236" t="str">
        <f t="shared" si="3545"/>
        <v/>
      </c>
      <c r="HU232" s="236" t="str">
        <f t="shared" si="3545"/>
        <v/>
      </c>
      <c r="HV232" s="236" t="str">
        <f t="shared" si="3545"/>
        <v/>
      </c>
      <c r="HW232" s="236" t="str">
        <f t="shared" si="3545"/>
        <v/>
      </c>
      <c r="HX232" s="236" t="str">
        <f t="shared" si="3545"/>
        <v/>
      </c>
      <c r="HY232" s="236" t="str">
        <f t="shared" si="3545"/>
        <v/>
      </c>
      <c r="HZ232" s="236" t="str">
        <f t="shared" si="3545"/>
        <v/>
      </c>
      <c r="IA232" s="236" t="str">
        <f t="shared" si="3545"/>
        <v/>
      </c>
      <c r="IB232" s="236" t="str">
        <f t="shared" si="3545"/>
        <v/>
      </c>
      <c r="IC232" s="236" t="str">
        <f t="shared" si="3545"/>
        <v/>
      </c>
      <c r="ID232" s="236" t="str">
        <f t="shared" si="3545"/>
        <v/>
      </c>
      <c r="IE232" s="236" t="str">
        <f t="shared" si="3545"/>
        <v/>
      </c>
      <c r="IF232" s="236" t="str">
        <f t="shared" si="3545"/>
        <v/>
      </c>
      <c r="IG232" s="236" t="str">
        <f t="shared" si="3545"/>
        <v/>
      </c>
      <c r="IH232" s="236" t="str">
        <f t="shared" si="3545"/>
        <v/>
      </c>
      <c r="II232" s="236" t="str">
        <f t="shared" si="3545"/>
        <v/>
      </c>
      <c r="IJ232" s="236" t="str">
        <f t="shared" si="3545"/>
        <v/>
      </c>
      <c r="IK232" s="236" t="str">
        <f t="shared" si="3545"/>
        <v/>
      </c>
      <c r="IL232" s="236" t="str">
        <f t="shared" si="3545"/>
        <v/>
      </c>
      <c r="IM232" s="236" t="str">
        <f t="shared" si="3545"/>
        <v/>
      </c>
      <c r="IN232" s="236" t="str">
        <f t="shared" si="3545"/>
        <v/>
      </c>
      <c r="IO232" s="236" t="str">
        <f t="shared" si="3545"/>
        <v/>
      </c>
      <c r="IP232" s="236" t="str">
        <f t="shared" si="3545"/>
        <v/>
      </c>
      <c r="IQ232" s="236" t="str">
        <f t="shared" si="3545"/>
        <v/>
      </c>
      <c r="IR232" s="236" t="str">
        <f t="shared" si="3545"/>
        <v/>
      </c>
      <c r="IS232" s="236" t="str">
        <f t="shared" si="3545"/>
        <v/>
      </c>
      <c r="IT232" s="236" t="str">
        <f t="shared" si="3545"/>
        <v/>
      </c>
      <c r="IU232" s="236" t="str">
        <f t="shared" ref="IU232:KE232" si="3546">IF(IU229="","",IU215)</f>
        <v/>
      </c>
      <c r="IV232" s="236" t="str">
        <f t="shared" si="3546"/>
        <v/>
      </c>
      <c r="IW232" s="236" t="str">
        <f t="shared" si="3546"/>
        <v/>
      </c>
      <c r="IX232" s="236" t="str">
        <f t="shared" si="3546"/>
        <v/>
      </c>
      <c r="IY232" s="236" t="str">
        <f t="shared" si="3546"/>
        <v/>
      </c>
      <c r="IZ232" s="236" t="str">
        <f t="shared" si="3546"/>
        <v/>
      </c>
      <c r="JA232" s="236" t="str">
        <f t="shared" si="3546"/>
        <v/>
      </c>
      <c r="JB232" s="236" t="str">
        <f t="shared" si="3546"/>
        <v/>
      </c>
      <c r="JC232" s="236" t="str">
        <f t="shared" si="3546"/>
        <v/>
      </c>
      <c r="JD232" s="236" t="str">
        <f t="shared" si="3546"/>
        <v/>
      </c>
      <c r="JE232" s="236" t="str">
        <f t="shared" si="3546"/>
        <v/>
      </c>
      <c r="JF232" s="236" t="str">
        <f t="shared" si="3546"/>
        <v/>
      </c>
      <c r="JG232" s="236" t="str">
        <f t="shared" si="3546"/>
        <v/>
      </c>
      <c r="JH232" s="236" t="str">
        <f t="shared" si="3546"/>
        <v/>
      </c>
      <c r="JI232" s="236" t="str">
        <f t="shared" si="3546"/>
        <v/>
      </c>
      <c r="JJ232" s="236" t="str">
        <f t="shared" si="3546"/>
        <v/>
      </c>
      <c r="JK232" s="236" t="str">
        <f t="shared" si="3546"/>
        <v/>
      </c>
      <c r="JL232" s="236" t="str">
        <f t="shared" si="3546"/>
        <v/>
      </c>
      <c r="JM232" s="236" t="str">
        <f t="shared" si="3546"/>
        <v/>
      </c>
      <c r="JN232" s="236" t="str">
        <f t="shared" si="3546"/>
        <v/>
      </c>
      <c r="JO232" s="236" t="str">
        <f t="shared" si="3546"/>
        <v/>
      </c>
      <c r="JP232" s="236" t="str">
        <f t="shared" si="3546"/>
        <v/>
      </c>
      <c r="JQ232" s="236" t="str">
        <f t="shared" si="3546"/>
        <v/>
      </c>
      <c r="JR232" s="236" t="str">
        <f t="shared" si="3546"/>
        <v/>
      </c>
      <c r="JS232" s="236" t="str">
        <f t="shared" si="3546"/>
        <v/>
      </c>
      <c r="JT232" s="236" t="str">
        <f t="shared" si="3546"/>
        <v/>
      </c>
      <c r="JU232" s="236" t="str">
        <f t="shared" si="3546"/>
        <v/>
      </c>
      <c r="JV232" s="236" t="str">
        <f t="shared" si="3546"/>
        <v/>
      </c>
      <c r="JW232" s="236" t="str">
        <f t="shared" si="3546"/>
        <v/>
      </c>
      <c r="JX232" s="236" t="str">
        <f t="shared" si="3546"/>
        <v/>
      </c>
      <c r="JY232" s="236" t="str">
        <f t="shared" si="3546"/>
        <v/>
      </c>
      <c r="JZ232" s="236" t="str">
        <f t="shared" si="3546"/>
        <v/>
      </c>
      <c r="KA232" s="236" t="str">
        <f t="shared" si="3546"/>
        <v/>
      </c>
      <c r="KB232" s="236" t="str">
        <f t="shared" si="3546"/>
        <v/>
      </c>
      <c r="KC232" s="236" t="str">
        <f t="shared" si="3546"/>
        <v/>
      </c>
      <c r="KD232" s="236" t="str">
        <f t="shared" si="3546"/>
        <v/>
      </c>
      <c r="KE232" s="236" t="str">
        <f t="shared" si="3546"/>
        <v/>
      </c>
      <c r="KF232" s="218" t="s">
        <v>269</v>
      </c>
      <c r="KG232" s="229"/>
      <c r="KH232" s="229"/>
      <c r="KI232" s="229"/>
      <c r="KJ232" s="229"/>
      <c r="KK232" s="229"/>
      <c r="KL232" s="229"/>
      <c r="KM232" s="229"/>
      <c r="KN232" s="229"/>
      <c r="KO232" s="229"/>
      <c r="KP232" s="229"/>
      <c r="KQ232" s="229"/>
      <c r="KR232" s="229"/>
      <c r="KS232" s="229"/>
      <c r="KT232" s="229"/>
      <c r="KU232" s="229"/>
      <c r="KV232" s="229"/>
      <c r="KW232" s="229"/>
      <c r="KX232" s="229"/>
      <c r="KY232" s="229"/>
      <c r="KZ232" s="229"/>
      <c r="LA232" s="229"/>
      <c r="LB232" s="229"/>
      <c r="LC232" s="229"/>
      <c r="LD232" s="229"/>
      <c r="LE232" s="229"/>
      <c r="LF232" s="229"/>
      <c r="LG232" s="229"/>
      <c r="LH232" s="229"/>
      <c r="LI232" s="229"/>
      <c r="LJ232" s="229"/>
      <c r="LK232" s="229"/>
      <c r="LL232" s="229"/>
      <c r="LM232" s="229"/>
      <c r="LN232" s="229"/>
      <c r="LO232" s="229"/>
      <c r="LP232" s="229"/>
      <c r="LQ232" s="229"/>
      <c r="LR232" s="229"/>
      <c r="LS232" s="229"/>
      <c r="LT232" s="229"/>
      <c r="LU232" s="229"/>
      <c r="LV232" s="229"/>
      <c r="LW232" s="229"/>
      <c r="LX232" s="229"/>
      <c r="LY232" s="229"/>
      <c r="LZ232" s="229"/>
      <c r="MA232" s="229"/>
      <c r="MB232" s="229"/>
      <c r="MC232" s="229"/>
      <c r="MD232" s="229"/>
      <c r="ME232" s="229"/>
      <c r="MF232" s="229"/>
      <c r="MG232" s="229"/>
      <c r="MH232" s="229"/>
      <c r="MI232" s="229"/>
      <c r="MJ232" s="229"/>
      <c r="MK232" s="229"/>
      <c r="ML232" s="229"/>
      <c r="MM232" s="229"/>
      <c r="MN232" s="229"/>
      <c r="MO232" s="229"/>
      <c r="MP232" s="229"/>
      <c r="MQ232" s="229"/>
      <c r="MR232" s="229"/>
      <c r="MS232" s="229"/>
      <c r="MT232" s="229"/>
      <c r="MU232" s="229"/>
      <c r="MV232" s="229"/>
      <c r="MW232" s="229"/>
      <c r="MX232" s="229"/>
      <c r="MY232" s="229"/>
      <c r="MZ232" s="229"/>
      <c r="NA232" s="229"/>
      <c r="NB232" s="229"/>
      <c r="NC232" s="229"/>
      <c r="ND232" s="229"/>
      <c r="NE232" s="229"/>
      <c r="NF232" s="229"/>
      <c r="NG232" s="229"/>
      <c r="NH232" s="229"/>
      <c r="NI232" s="229"/>
      <c r="NJ232" s="229"/>
      <c r="NK232" s="229"/>
      <c r="NL232" s="229"/>
      <c r="NM232" s="229"/>
      <c r="NN232" s="229"/>
      <c r="NO232" s="229"/>
      <c r="NP232" s="229"/>
      <c r="NQ232" s="229"/>
      <c r="NR232" s="229"/>
      <c r="NS232" s="229"/>
      <c r="NT232" s="229"/>
      <c r="NU232" s="229"/>
      <c r="NV232" s="229"/>
      <c r="NW232" s="229"/>
      <c r="NX232" s="229"/>
      <c r="NY232" s="229"/>
      <c r="NZ232" s="229"/>
      <c r="OA232" s="229"/>
      <c r="OB232" s="229"/>
      <c r="OC232" s="229"/>
      <c r="OD232" s="229"/>
      <c r="OE232" s="229"/>
      <c r="OF232" s="229"/>
      <c r="OG232" s="229"/>
      <c r="OH232" s="229"/>
      <c r="OI232" s="229"/>
      <c r="OJ232" s="229"/>
      <c r="OK232" s="229"/>
      <c r="OL232" s="229"/>
      <c r="OM232" s="229"/>
      <c r="ON232" s="229"/>
      <c r="OO232" s="229"/>
      <c r="OP232" s="229"/>
      <c r="OQ232" s="229"/>
      <c r="OR232" s="229"/>
      <c r="OS232" s="229"/>
      <c r="OT232" s="229"/>
      <c r="OU232" s="229"/>
      <c r="OV232" s="229"/>
      <c r="OW232" s="229"/>
      <c r="OX232" s="229"/>
      <c r="OY232" s="229"/>
      <c r="OZ232" s="229"/>
      <c r="PA232" s="229"/>
      <c r="PB232" s="229"/>
      <c r="PC232" s="229"/>
      <c r="PD232" s="229"/>
      <c r="PE232" s="229"/>
      <c r="PF232" s="229"/>
      <c r="PG232" s="229"/>
      <c r="PH232" s="229"/>
      <c r="PI232" s="229"/>
      <c r="PJ232" s="229"/>
      <c r="PK232" s="229"/>
      <c r="PL232" s="229"/>
      <c r="PM232" s="229"/>
      <c r="PN232" s="229"/>
      <c r="PO232" s="229"/>
      <c r="PP232" s="229"/>
      <c r="PQ232" s="229"/>
      <c r="PR232" s="229"/>
      <c r="PS232" s="229"/>
      <c r="PT232" s="229"/>
      <c r="PU232" s="229"/>
      <c r="PV232" s="229"/>
      <c r="PW232" s="229"/>
      <c r="PX232" s="229"/>
      <c r="PY232" s="229"/>
      <c r="PZ232" s="229"/>
      <c r="QA232" s="229"/>
      <c r="QB232" s="229"/>
      <c r="QC232" s="229"/>
      <c r="QD232" s="229"/>
      <c r="QE232" s="229"/>
      <c r="QF232" s="229"/>
      <c r="QG232" s="229"/>
      <c r="QH232" s="229"/>
      <c r="QI232" s="229"/>
      <c r="QJ232" s="229"/>
      <c r="QK232" s="229"/>
      <c r="QL232" s="229"/>
      <c r="QM232" s="229"/>
      <c r="QN232" s="229"/>
      <c r="QO232" s="229"/>
      <c r="QP232" s="229"/>
      <c r="QQ232" s="229"/>
      <c r="QR232" s="229"/>
      <c r="QS232" s="229"/>
      <c r="QT232" s="229"/>
      <c r="QU232" s="229"/>
      <c r="QV232" s="229"/>
      <c r="QW232" s="229"/>
      <c r="QX232" s="229"/>
      <c r="QY232" s="229"/>
      <c r="QZ232" s="229"/>
      <c r="RA232" s="229"/>
      <c r="RB232" s="229"/>
      <c r="RC232" s="229"/>
      <c r="RD232" s="229"/>
      <c r="RE232" s="229"/>
      <c r="RF232" s="229"/>
      <c r="RG232" s="229"/>
      <c r="RH232" s="229"/>
      <c r="RI232" s="229"/>
      <c r="RJ232" s="229"/>
      <c r="RK232" s="229"/>
      <c r="RL232" s="229"/>
      <c r="RM232" s="229"/>
      <c r="RN232" s="229"/>
      <c r="RO232" s="229"/>
      <c r="RP232" s="229"/>
      <c r="RQ232" s="229"/>
      <c r="RR232" s="229"/>
      <c r="RS232" s="229"/>
      <c r="RT232" s="229"/>
      <c r="RU232" s="229"/>
      <c r="RV232" s="229"/>
      <c r="RW232" s="229"/>
      <c r="RX232" s="229"/>
      <c r="RY232" s="229"/>
      <c r="RZ232" s="229"/>
      <c r="SA232" s="229"/>
      <c r="SB232" s="229"/>
      <c r="SC232" s="229"/>
      <c r="SD232" s="229"/>
      <c r="SE232" s="229"/>
      <c r="SF232" s="229"/>
      <c r="SG232" s="229"/>
      <c r="SH232" s="229"/>
      <c r="SI232" s="229"/>
      <c r="SJ232" s="229"/>
      <c r="SK232" s="229"/>
      <c r="SL232" s="229"/>
      <c r="SM232" s="229"/>
      <c r="SN232" s="229"/>
      <c r="SO232" s="229"/>
      <c r="SP232" s="229"/>
      <c r="SQ232" s="229"/>
      <c r="SR232" s="229"/>
      <c r="SS232" s="229"/>
      <c r="ST232" s="229"/>
      <c r="SU232" s="229"/>
      <c r="SV232" s="229"/>
      <c r="SW232" s="229"/>
      <c r="SX232" s="229"/>
      <c r="SY232" s="229"/>
      <c r="SZ232" s="229"/>
      <c r="TA232" s="229"/>
      <c r="TB232" s="229"/>
      <c r="TC232" s="229"/>
      <c r="TD232" s="229"/>
      <c r="TE232" s="229"/>
      <c r="TF232" s="229"/>
      <c r="TG232" s="229"/>
      <c r="TH232" s="229"/>
      <c r="TI232" s="229"/>
      <c r="TJ232" s="229"/>
      <c r="TK232" s="229"/>
      <c r="TL232" s="229"/>
      <c r="TM232" s="229"/>
      <c r="TN232" s="229"/>
      <c r="TO232" s="229"/>
      <c r="TP232" s="229"/>
      <c r="TQ232" s="229"/>
      <c r="TR232" s="229"/>
      <c r="TS232" s="229"/>
      <c r="TT232" s="229"/>
      <c r="TU232" s="229"/>
      <c r="TV232" s="229"/>
      <c r="TW232" s="229"/>
      <c r="TX232" s="229"/>
      <c r="TY232" s="229"/>
      <c r="TZ232" s="229"/>
      <c r="UA232" s="229"/>
      <c r="UB232" s="229"/>
      <c r="UC232" s="229"/>
      <c r="UD232" s="229"/>
      <c r="UE232" s="229"/>
      <c r="UF232" s="229"/>
      <c r="UG232" s="229"/>
      <c r="UH232" s="229"/>
      <c r="UI232" s="229"/>
      <c r="UJ232" s="229"/>
      <c r="UK232" s="229"/>
      <c r="UL232" s="229"/>
      <c r="UM232" s="229"/>
      <c r="UN232" s="229"/>
      <c r="UO232" s="229"/>
      <c r="UP232" s="229"/>
      <c r="UQ232" s="229"/>
      <c r="UR232" s="229"/>
      <c r="US232" s="229"/>
      <c r="UT232" s="229"/>
      <c r="UU232" s="229"/>
    </row>
    <row r="233" spans="1:567" s="183" customFormat="1" x14ac:dyDescent="0.25">
      <c r="A233" s="182"/>
      <c r="B233" s="70" t="s">
        <v>227</v>
      </c>
      <c r="C233" s="71"/>
      <c r="D233" s="71"/>
      <c r="E233" s="71"/>
      <c r="F233" s="71"/>
      <c r="G233" s="71"/>
      <c r="H233" s="71"/>
      <c r="I233" s="247"/>
      <c r="J233" s="247">
        <f>IF(I232="Untrended",K166,J208)</f>
        <v>5.5E-2</v>
      </c>
      <c r="K233" s="247" t="str">
        <f>IF(I232="Untrended","",K208)</f>
        <v/>
      </c>
      <c r="M233" s="3"/>
      <c r="N233" s="3"/>
      <c r="O233" s="3"/>
      <c r="P233" s="3"/>
      <c r="Q233" s="3"/>
      <c r="R233" s="260"/>
      <c r="S233" s="95"/>
      <c r="T233" s="95"/>
      <c r="U233" s="95"/>
      <c r="V233" s="95"/>
      <c r="W233" s="95"/>
      <c r="X233" s="95"/>
      <c r="Y233" s="95"/>
      <c r="Z233" s="95"/>
      <c r="AA233" s="95"/>
      <c r="AB233" s="95"/>
      <c r="AC233" s="95"/>
      <c r="AD233" s="95"/>
      <c r="AE233" s="95"/>
      <c r="AF233" s="95"/>
      <c r="AG233" s="95"/>
      <c r="AH233" s="95"/>
      <c r="AI233" s="95"/>
      <c r="AJ233" s="95"/>
      <c r="AK233" s="95"/>
      <c r="AL233" s="95"/>
      <c r="AM233" s="95"/>
      <c r="AN233" s="95"/>
      <c r="AO233" s="95"/>
      <c r="AP233" s="95"/>
      <c r="AQ233" s="95"/>
      <c r="AR233" s="95"/>
      <c r="AS233" s="95"/>
      <c r="AT233" s="95"/>
      <c r="AU233" s="95"/>
      <c r="AV233" s="95"/>
      <c r="AW233" s="95"/>
      <c r="AX233" s="95"/>
      <c r="AY233" s="95"/>
      <c r="AZ233" s="95"/>
      <c r="BA233" s="95"/>
      <c r="BB233" s="95"/>
      <c r="BC233" s="95"/>
      <c r="BD233" s="95"/>
      <c r="BE233" s="95"/>
      <c r="BF233" s="95"/>
      <c r="BG233" s="95"/>
      <c r="BH233" s="95"/>
      <c r="BI233" s="95"/>
      <c r="BJ233" s="95"/>
      <c r="BK233" s="95"/>
      <c r="BL233" s="95"/>
      <c r="BM233" s="95"/>
      <c r="BN233" s="95"/>
      <c r="BO233" s="95"/>
      <c r="BP233" s="95"/>
      <c r="BQ233" s="95"/>
      <c r="BR233" s="95"/>
      <c r="BS233" s="95"/>
      <c r="BT233" s="95"/>
      <c r="BU233" s="95"/>
      <c r="BV233" s="95"/>
      <c r="BW233" s="95"/>
      <c r="BX233" s="95"/>
      <c r="BY233" s="95"/>
      <c r="BZ233" s="95"/>
      <c r="CA233" s="95"/>
      <c r="CB233" s="95"/>
      <c r="CC233" s="95"/>
      <c r="CD233" s="95"/>
      <c r="CE233" s="95"/>
      <c r="CF233" s="95"/>
      <c r="CG233" s="95"/>
      <c r="CH233" s="95"/>
      <c r="CI233" s="95"/>
      <c r="CJ233" s="95"/>
      <c r="CK233" s="95"/>
      <c r="CL233" s="95"/>
      <c r="CM233" s="95"/>
      <c r="CN233" s="95"/>
      <c r="CO233" s="95"/>
      <c r="CP233" s="95"/>
      <c r="CQ233" s="95"/>
      <c r="CR233" s="95"/>
      <c r="CS233" s="95"/>
      <c r="CT233" s="95"/>
      <c r="CU233" s="95"/>
      <c r="CV233" s="95"/>
      <c r="CW233" s="95"/>
      <c r="CX233" s="95"/>
      <c r="CY233" s="95"/>
      <c r="CZ233" s="95"/>
      <c r="DA233" s="95"/>
      <c r="DB233" s="95"/>
      <c r="DC233" s="95"/>
      <c r="DD233" s="95"/>
      <c r="DE233" s="95"/>
      <c r="DF233" s="95"/>
      <c r="DG233" s="95"/>
      <c r="DH233" s="95"/>
      <c r="DI233" s="95"/>
      <c r="DJ233" s="95"/>
      <c r="DK233" s="95"/>
      <c r="DL233" s="95"/>
      <c r="DM233" s="95"/>
      <c r="DN233" s="95"/>
      <c r="DO233" s="95"/>
      <c r="DP233" s="95"/>
      <c r="DQ233" s="95"/>
      <c r="DR233" s="95"/>
      <c r="DS233" s="95"/>
      <c r="DT233" s="95"/>
      <c r="DU233" s="95"/>
      <c r="DV233" s="95"/>
      <c r="DW233" s="95"/>
      <c r="DX233" s="95"/>
      <c r="DY233" s="95"/>
      <c r="DZ233" s="95"/>
      <c r="EA233" s="95"/>
      <c r="EB233" s="95"/>
      <c r="EC233" s="95"/>
      <c r="ED233" s="95"/>
      <c r="EE233" s="95"/>
      <c r="EF233" s="95"/>
      <c r="EG233" s="95"/>
      <c r="EH233" s="95"/>
      <c r="EI233" s="95"/>
      <c r="EJ233" s="95"/>
      <c r="EK233" s="95"/>
      <c r="EL233" s="95"/>
      <c r="EM233" s="95"/>
      <c r="EN233" s="95"/>
      <c r="EO233" s="95"/>
      <c r="EP233" s="95"/>
      <c r="EQ233" s="95"/>
      <c r="ER233" s="95"/>
      <c r="ES233" s="95"/>
      <c r="ET233" s="95"/>
      <c r="EU233" s="95"/>
      <c r="EV233" s="2"/>
      <c r="EW233" s="201" t="s">
        <v>228</v>
      </c>
      <c r="EX233" s="201"/>
      <c r="EY233" s="228"/>
      <c r="EZ233" s="228"/>
      <c r="FA233" s="236"/>
      <c r="FB233" s="236"/>
      <c r="FC233" s="236">
        <f t="shared" ref="FC233:GH233" ca="1" si="3547">IF(FC229="","",FC216)</f>
        <v>0</v>
      </c>
      <c r="FD233" s="236">
        <f t="shared" ca="1" si="3547"/>
        <v>64193.545344640232</v>
      </c>
      <c r="FE233" s="236">
        <f t="shared" ca="1" si="3547"/>
        <v>69209.919521123942</v>
      </c>
      <c r="FF233" s="236">
        <f t="shared" ca="1" si="3547"/>
        <v>71875.505451649064</v>
      </c>
      <c r="FG233" s="236">
        <f t="shared" ca="1" si="3547"/>
        <v>75074.811065685644</v>
      </c>
      <c r="FH233" s="236">
        <f t="shared" ca="1" si="3547"/>
        <v>79073.861644687073</v>
      </c>
      <c r="FI233" s="236">
        <f t="shared" ca="1" si="3547"/>
        <v>81810.263880953775</v>
      </c>
      <c r="FJ233" s="236">
        <f t="shared" ca="1" si="3547"/>
        <v>84679.072939027479</v>
      </c>
      <c r="FK233" s="236">
        <f t="shared" ca="1" si="3547"/>
        <v>87767.376966053474</v>
      </c>
      <c r="FL233" s="236">
        <f t="shared" ca="1" si="3547"/>
        <v>90577.989745387778</v>
      </c>
      <c r="FM233" s="236">
        <f t="shared" ca="1" si="3547"/>
        <v>93366.728026650264</v>
      </c>
      <c r="FN233" s="236">
        <f t="shared" ca="1" si="3547"/>
        <v>96145.131531202889</v>
      </c>
      <c r="FO233" s="236">
        <f t="shared" ca="1" si="3547"/>
        <v>98906.17920153201</v>
      </c>
      <c r="FP233" s="236">
        <f t="shared" ca="1" si="3547"/>
        <v>102250.84809683112</v>
      </c>
      <c r="FQ233" s="236">
        <f t="shared" ca="1" si="3547"/>
        <v>105557.97441496754</v>
      </c>
      <c r="FR233" s="236">
        <f t="shared" ca="1" si="3547"/>
        <v>108913.84855301135</v>
      </c>
      <c r="FS233" s="236">
        <f t="shared" ca="1" si="3547"/>
        <v>112294.55407380906</v>
      </c>
      <c r="FT233" s="236">
        <f t="shared" ca="1" si="3547"/>
        <v>115698.19143963764</v>
      </c>
      <c r="FU233" s="236">
        <f t="shared" ca="1" si="3547"/>
        <v>119131.44676726894</v>
      </c>
      <c r="FV233" s="236">
        <f t="shared" ca="1" si="3547"/>
        <v>122582.52127798316</v>
      </c>
      <c r="FW233" s="236">
        <f t="shared" ca="1" si="3547"/>
        <v>126085.87521365</v>
      </c>
      <c r="FX233" s="236">
        <f t="shared" ca="1" si="3547"/>
        <v>129614.36110943968</v>
      </c>
      <c r="FY233" s="236">
        <f t="shared" ca="1" si="3547"/>
        <v>133166.03204958723</v>
      </c>
      <c r="FZ233" s="236">
        <f t="shared" ca="1" si="3547"/>
        <v>136746.12364481442</v>
      </c>
      <c r="GA233" s="236">
        <f t="shared" ca="1" si="3547"/>
        <v>141358.69372411098</v>
      </c>
      <c r="GB233" s="236">
        <f t="shared" ca="1" si="3547"/>
        <v>162082.24355864993</v>
      </c>
      <c r="GC233" s="236">
        <f t="shared" ca="1" si="3547"/>
        <v>162482.28742709145</v>
      </c>
      <c r="GD233" s="236">
        <f t="shared" ca="1" si="3547"/>
        <v>162926.22123469072</v>
      </c>
      <c r="GE233" s="236">
        <f t="shared" ca="1" si="3547"/>
        <v>163340.82501846968</v>
      </c>
      <c r="GF233" s="236">
        <f t="shared" ca="1" si="3547"/>
        <v>163795.05644763168</v>
      </c>
      <c r="GG233" s="236">
        <f t="shared" ca="1" si="3547"/>
        <v>164261.00853374792</v>
      </c>
      <c r="GH233" s="236">
        <f t="shared" ca="1" si="3547"/>
        <v>164734.41584006106</v>
      </c>
      <c r="GI233" s="236">
        <f t="shared" ref="GI233:HN233" ca="1" si="3548">IF(GI229="","",GI216)</f>
        <v>165233.66941712948</v>
      </c>
      <c r="GJ233" s="236">
        <f t="shared" ca="1" si="3548"/>
        <v>165716.74304000766</v>
      </c>
      <c r="GK233" s="236">
        <f t="shared" ca="1" si="3548"/>
        <v>166251.93770102577</v>
      </c>
      <c r="GL233" s="236">
        <f t="shared" ca="1" si="3548"/>
        <v>166793.28693086779</v>
      </c>
      <c r="GM233" s="236">
        <f t="shared" ca="1" si="3548"/>
        <v>30035936.259768501</v>
      </c>
      <c r="GN233" s="236" t="str">
        <f t="shared" si="3548"/>
        <v/>
      </c>
      <c r="GO233" s="236" t="str">
        <f t="shared" si="3548"/>
        <v/>
      </c>
      <c r="GP233" s="236" t="str">
        <f t="shared" si="3548"/>
        <v/>
      </c>
      <c r="GQ233" s="236" t="str">
        <f t="shared" si="3548"/>
        <v/>
      </c>
      <c r="GR233" s="236" t="str">
        <f t="shared" si="3548"/>
        <v/>
      </c>
      <c r="GS233" s="236" t="str">
        <f t="shared" si="3548"/>
        <v/>
      </c>
      <c r="GT233" s="236" t="str">
        <f t="shared" si="3548"/>
        <v/>
      </c>
      <c r="GU233" s="236" t="str">
        <f t="shared" si="3548"/>
        <v/>
      </c>
      <c r="GV233" s="236" t="str">
        <f t="shared" si="3548"/>
        <v/>
      </c>
      <c r="GW233" s="236" t="str">
        <f t="shared" si="3548"/>
        <v/>
      </c>
      <c r="GX233" s="236" t="str">
        <f t="shared" si="3548"/>
        <v/>
      </c>
      <c r="GY233" s="236" t="str">
        <f t="shared" si="3548"/>
        <v/>
      </c>
      <c r="GZ233" s="236" t="str">
        <f t="shared" si="3548"/>
        <v/>
      </c>
      <c r="HA233" s="236" t="str">
        <f t="shared" si="3548"/>
        <v/>
      </c>
      <c r="HB233" s="236" t="str">
        <f t="shared" si="3548"/>
        <v/>
      </c>
      <c r="HC233" s="236" t="str">
        <f t="shared" si="3548"/>
        <v/>
      </c>
      <c r="HD233" s="236" t="str">
        <f t="shared" si="3548"/>
        <v/>
      </c>
      <c r="HE233" s="236" t="str">
        <f t="shared" si="3548"/>
        <v/>
      </c>
      <c r="HF233" s="236" t="str">
        <f t="shared" si="3548"/>
        <v/>
      </c>
      <c r="HG233" s="236" t="str">
        <f t="shared" si="3548"/>
        <v/>
      </c>
      <c r="HH233" s="236" t="str">
        <f t="shared" si="3548"/>
        <v/>
      </c>
      <c r="HI233" s="236" t="str">
        <f t="shared" si="3548"/>
        <v/>
      </c>
      <c r="HJ233" s="236" t="str">
        <f t="shared" si="3548"/>
        <v/>
      </c>
      <c r="HK233" s="236" t="str">
        <f t="shared" si="3548"/>
        <v/>
      </c>
      <c r="HL233" s="236" t="str">
        <f t="shared" si="3548"/>
        <v/>
      </c>
      <c r="HM233" s="236" t="str">
        <f t="shared" si="3548"/>
        <v/>
      </c>
      <c r="HN233" s="236" t="str">
        <f t="shared" si="3548"/>
        <v/>
      </c>
      <c r="HO233" s="236" t="str">
        <f t="shared" ref="HO233:IT233" si="3549">IF(HO229="","",HO216)</f>
        <v/>
      </c>
      <c r="HP233" s="236" t="str">
        <f t="shared" si="3549"/>
        <v/>
      </c>
      <c r="HQ233" s="236" t="str">
        <f t="shared" si="3549"/>
        <v/>
      </c>
      <c r="HR233" s="236" t="str">
        <f t="shared" si="3549"/>
        <v/>
      </c>
      <c r="HS233" s="236" t="str">
        <f t="shared" si="3549"/>
        <v/>
      </c>
      <c r="HT233" s="236" t="str">
        <f t="shared" si="3549"/>
        <v/>
      </c>
      <c r="HU233" s="236" t="str">
        <f t="shared" si="3549"/>
        <v/>
      </c>
      <c r="HV233" s="236" t="str">
        <f t="shared" si="3549"/>
        <v/>
      </c>
      <c r="HW233" s="236" t="str">
        <f t="shared" si="3549"/>
        <v/>
      </c>
      <c r="HX233" s="236" t="str">
        <f t="shared" si="3549"/>
        <v/>
      </c>
      <c r="HY233" s="236" t="str">
        <f t="shared" si="3549"/>
        <v/>
      </c>
      <c r="HZ233" s="236" t="str">
        <f t="shared" si="3549"/>
        <v/>
      </c>
      <c r="IA233" s="236" t="str">
        <f t="shared" si="3549"/>
        <v/>
      </c>
      <c r="IB233" s="236" t="str">
        <f t="shared" si="3549"/>
        <v/>
      </c>
      <c r="IC233" s="236" t="str">
        <f t="shared" si="3549"/>
        <v/>
      </c>
      <c r="ID233" s="236" t="str">
        <f t="shared" si="3549"/>
        <v/>
      </c>
      <c r="IE233" s="236" t="str">
        <f t="shared" si="3549"/>
        <v/>
      </c>
      <c r="IF233" s="236" t="str">
        <f t="shared" si="3549"/>
        <v/>
      </c>
      <c r="IG233" s="236" t="str">
        <f t="shared" si="3549"/>
        <v/>
      </c>
      <c r="IH233" s="236" t="str">
        <f t="shared" si="3549"/>
        <v/>
      </c>
      <c r="II233" s="236" t="str">
        <f t="shared" si="3549"/>
        <v/>
      </c>
      <c r="IJ233" s="236" t="str">
        <f t="shared" si="3549"/>
        <v/>
      </c>
      <c r="IK233" s="236" t="str">
        <f t="shared" si="3549"/>
        <v/>
      </c>
      <c r="IL233" s="236" t="str">
        <f t="shared" si="3549"/>
        <v/>
      </c>
      <c r="IM233" s="236" t="str">
        <f t="shared" si="3549"/>
        <v/>
      </c>
      <c r="IN233" s="236" t="str">
        <f t="shared" si="3549"/>
        <v/>
      </c>
      <c r="IO233" s="236" t="str">
        <f t="shared" si="3549"/>
        <v/>
      </c>
      <c r="IP233" s="236" t="str">
        <f t="shared" si="3549"/>
        <v/>
      </c>
      <c r="IQ233" s="236" t="str">
        <f t="shared" si="3549"/>
        <v/>
      </c>
      <c r="IR233" s="236" t="str">
        <f t="shared" si="3549"/>
        <v/>
      </c>
      <c r="IS233" s="236" t="str">
        <f t="shared" si="3549"/>
        <v/>
      </c>
      <c r="IT233" s="236" t="str">
        <f t="shared" si="3549"/>
        <v/>
      </c>
      <c r="IU233" s="236" t="str">
        <f t="shared" ref="IU233:KE233" si="3550">IF(IU229="","",IU216)</f>
        <v/>
      </c>
      <c r="IV233" s="236" t="str">
        <f t="shared" si="3550"/>
        <v/>
      </c>
      <c r="IW233" s="236" t="str">
        <f t="shared" si="3550"/>
        <v/>
      </c>
      <c r="IX233" s="236" t="str">
        <f t="shared" si="3550"/>
        <v/>
      </c>
      <c r="IY233" s="236" t="str">
        <f t="shared" si="3550"/>
        <v/>
      </c>
      <c r="IZ233" s="236" t="str">
        <f t="shared" si="3550"/>
        <v/>
      </c>
      <c r="JA233" s="236" t="str">
        <f t="shared" si="3550"/>
        <v/>
      </c>
      <c r="JB233" s="236" t="str">
        <f t="shared" si="3550"/>
        <v/>
      </c>
      <c r="JC233" s="236" t="str">
        <f t="shared" si="3550"/>
        <v/>
      </c>
      <c r="JD233" s="236" t="str">
        <f t="shared" si="3550"/>
        <v/>
      </c>
      <c r="JE233" s="236" t="str">
        <f t="shared" si="3550"/>
        <v/>
      </c>
      <c r="JF233" s="236" t="str">
        <f t="shared" si="3550"/>
        <v/>
      </c>
      <c r="JG233" s="236" t="str">
        <f t="shared" si="3550"/>
        <v/>
      </c>
      <c r="JH233" s="236" t="str">
        <f t="shared" si="3550"/>
        <v/>
      </c>
      <c r="JI233" s="236" t="str">
        <f t="shared" si="3550"/>
        <v/>
      </c>
      <c r="JJ233" s="236" t="str">
        <f t="shared" si="3550"/>
        <v/>
      </c>
      <c r="JK233" s="236" t="str">
        <f t="shared" si="3550"/>
        <v/>
      </c>
      <c r="JL233" s="236" t="str">
        <f t="shared" si="3550"/>
        <v/>
      </c>
      <c r="JM233" s="236" t="str">
        <f t="shared" si="3550"/>
        <v/>
      </c>
      <c r="JN233" s="236" t="str">
        <f t="shared" si="3550"/>
        <v/>
      </c>
      <c r="JO233" s="236" t="str">
        <f t="shared" si="3550"/>
        <v/>
      </c>
      <c r="JP233" s="236" t="str">
        <f t="shared" si="3550"/>
        <v/>
      </c>
      <c r="JQ233" s="236" t="str">
        <f t="shared" si="3550"/>
        <v/>
      </c>
      <c r="JR233" s="236" t="str">
        <f t="shared" si="3550"/>
        <v/>
      </c>
      <c r="JS233" s="236" t="str">
        <f t="shared" si="3550"/>
        <v/>
      </c>
      <c r="JT233" s="236" t="str">
        <f t="shared" si="3550"/>
        <v/>
      </c>
      <c r="JU233" s="236" t="str">
        <f t="shared" si="3550"/>
        <v/>
      </c>
      <c r="JV233" s="236" t="str">
        <f t="shared" si="3550"/>
        <v/>
      </c>
      <c r="JW233" s="236" t="str">
        <f t="shared" si="3550"/>
        <v/>
      </c>
      <c r="JX233" s="236" t="str">
        <f t="shared" si="3550"/>
        <v/>
      </c>
      <c r="JY233" s="236" t="str">
        <f t="shared" si="3550"/>
        <v/>
      </c>
      <c r="JZ233" s="236" t="str">
        <f t="shared" si="3550"/>
        <v/>
      </c>
      <c r="KA233" s="236" t="str">
        <f t="shared" si="3550"/>
        <v/>
      </c>
      <c r="KB233" s="236" t="str">
        <f t="shared" si="3550"/>
        <v/>
      </c>
      <c r="KC233" s="236" t="str">
        <f t="shared" si="3550"/>
        <v/>
      </c>
      <c r="KD233" s="236" t="str">
        <f t="shared" si="3550"/>
        <v/>
      </c>
      <c r="KE233" s="236" t="str">
        <f t="shared" si="3550"/>
        <v/>
      </c>
      <c r="KF233" s="218" t="s">
        <v>269</v>
      </c>
      <c r="KG233" s="229"/>
      <c r="KH233" s="229"/>
      <c r="KI233" s="229"/>
      <c r="KJ233" s="229"/>
      <c r="KK233" s="229"/>
      <c r="KL233" s="229"/>
      <c r="KM233" s="229"/>
      <c r="KN233" s="229"/>
      <c r="KO233" s="229"/>
      <c r="KP233" s="229"/>
      <c r="KQ233" s="229"/>
      <c r="KR233" s="229"/>
      <c r="KS233" s="229"/>
      <c r="KT233" s="229"/>
      <c r="KU233" s="229"/>
      <c r="KV233" s="229"/>
      <c r="KW233" s="229"/>
      <c r="KX233" s="229"/>
      <c r="KY233" s="229"/>
      <c r="KZ233" s="229"/>
      <c r="LA233" s="229"/>
      <c r="LB233" s="229"/>
      <c r="LC233" s="229"/>
      <c r="LD233" s="229"/>
      <c r="LE233" s="229"/>
      <c r="LF233" s="229"/>
      <c r="LG233" s="229"/>
      <c r="LH233" s="229"/>
      <c r="LI233" s="229"/>
      <c r="LJ233" s="229"/>
      <c r="LK233" s="229"/>
      <c r="LL233" s="229"/>
      <c r="LM233" s="229"/>
      <c r="LN233" s="229"/>
      <c r="LO233" s="229"/>
      <c r="LP233" s="229"/>
      <c r="LQ233" s="229"/>
      <c r="LR233" s="229"/>
      <c r="LS233" s="229"/>
      <c r="LT233" s="229"/>
      <c r="LU233" s="229"/>
      <c r="LV233" s="229"/>
      <c r="LW233" s="229"/>
      <c r="LX233" s="229"/>
      <c r="LY233" s="229"/>
      <c r="LZ233" s="229"/>
      <c r="MA233" s="229"/>
      <c r="MB233" s="229"/>
      <c r="MC233" s="229"/>
      <c r="MD233" s="229"/>
      <c r="ME233" s="229"/>
      <c r="MF233" s="229"/>
      <c r="MG233" s="229"/>
      <c r="MH233" s="229"/>
      <c r="MI233" s="229"/>
      <c r="MJ233" s="229"/>
      <c r="MK233" s="229"/>
      <c r="ML233" s="229"/>
      <c r="MM233" s="229"/>
      <c r="MN233" s="229"/>
      <c r="MO233" s="229"/>
      <c r="MP233" s="229"/>
      <c r="MQ233" s="229"/>
      <c r="MR233" s="229"/>
      <c r="MS233" s="229"/>
      <c r="MT233" s="229"/>
      <c r="MU233" s="229"/>
      <c r="MV233" s="229"/>
      <c r="MW233" s="229"/>
      <c r="MX233" s="229"/>
      <c r="MY233" s="229"/>
      <c r="MZ233" s="229"/>
      <c r="NA233" s="229"/>
      <c r="NB233" s="229"/>
      <c r="NC233" s="229"/>
      <c r="ND233" s="229"/>
      <c r="NE233" s="229"/>
      <c r="NF233" s="229"/>
      <c r="NG233" s="229"/>
      <c r="NH233" s="229"/>
      <c r="NI233" s="229"/>
      <c r="NJ233" s="229"/>
      <c r="NK233" s="229"/>
      <c r="NL233" s="229"/>
      <c r="NM233" s="229"/>
      <c r="NN233" s="229"/>
      <c r="NO233" s="229"/>
      <c r="NP233" s="229"/>
      <c r="NQ233" s="229"/>
      <c r="NR233" s="229"/>
      <c r="NS233" s="229"/>
      <c r="NT233" s="229"/>
      <c r="NU233" s="229"/>
      <c r="NV233" s="229"/>
      <c r="NW233" s="229"/>
      <c r="NX233" s="229"/>
      <c r="NY233" s="229"/>
      <c r="NZ233" s="229"/>
      <c r="OA233" s="229"/>
      <c r="OB233" s="229"/>
      <c r="OC233" s="229"/>
      <c r="OD233" s="229"/>
      <c r="OE233" s="229"/>
      <c r="OF233" s="229"/>
      <c r="OG233" s="229"/>
      <c r="OH233" s="229"/>
      <c r="OI233" s="229"/>
      <c r="OJ233" s="229"/>
      <c r="OK233" s="229"/>
      <c r="OL233" s="229"/>
      <c r="OM233" s="229"/>
      <c r="ON233" s="229"/>
      <c r="OO233" s="229"/>
      <c r="OP233" s="229"/>
      <c r="OQ233" s="229"/>
      <c r="OR233" s="229"/>
      <c r="OS233" s="229"/>
      <c r="OT233" s="229"/>
      <c r="OU233" s="229"/>
      <c r="OV233" s="229"/>
      <c r="OW233" s="229"/>
      <c r="OX233" s="229"/>
      <c r="OY233" s="229"/>
      <c r="OZ233" s="229"/>
      <c r="PA233" s="229"/>
      <c r="PB233" s="229"/>
      <c r="PC233" s="229"/>
      <c r="PD233" s="229"/>
      <c r="PE233" s="229"/>
      <c r="PF233" s="229"/>
      <c r="PG233" s="229"/>
      <c r="PH233" s="229"/>
      <c r="PI233" s="229"/>
      <c r="PJ233" s="229"/>
      <c r="PK233" s="229"/>
      <c r="PL233" s="229"/>
      <c r="PM233" s="229"/>
      <c r="PN233" s="229"/>
      <c r="PO233" s="229"/>
      <c r="PP233" s="229"/>
      <c r="PQ233" s="229"/>
      <c r="PR233" s="229"/>
      <c r="PS233" s="229"/>
      <c r="PT233" s="229"/>
      <c r="PU233" s="229"/>
      <c r="PV233" s="229"/>
      <c r="PW233" s="229"/>
      <c r="PX233" s="229"/>
      <c r="PY233" s="229"/>
      <c r="PZ233" s="229"/>
      <c r="QA233" s="229"/>
      <c r="QB233" s="229"/>
      <c r="QC233" s="229"/>
      <c r="QD233" s="229"/>
      <c r="QE233" s="229"/>
      <c r="QF233" s="229"/>
      <c r="QG233" s="229"/>
      <c r="QH233" s="229"/>
      <c r="QI233" s="229"/>
      <c r="QJ233" s="229"/>
      <c r="QK233" s="229"/>
      <c r="QL233" s="229"/>
      <c r="QM233" s="229"/>
      <c r="QN233" s="229"/>
      <c r="QO233" s="229"/>
      <c r="QP233" s="229"/>
      <c r="QQ233" s="229"/>
      <c r="QR233" s="229"/>
      <c r="QS233" s="229"/>
      <c r="QT233" s="229"/>
      <c r="QU233" s="229"/>
      <c r="QV233" s="229"/>
      <c r="QW233" s="229"/>
      <c r="QX233" s="229"/>
      <c r="QY233" s="229"/>
      <c r="QZ233" s="229"/>
      <c r="RA233" s="229"/>
      <c r="RB233" s="229"/>
      <c r="RC233" s="229"/>
      <c r="RD233" s="229"/>
      <c r="RE233" s="229"/>
      <c r="RF233" s="229"/>
      <c r="RG233" s="229"/>
      <c r="RH233" s="229"/>
      <c r="RI233" s="229"/>
      <c r="RJ233" s="229"/>
      <c r="RK233" s="229"/>
      <c r="RL233" s="229"/>
      <c r="RM233" s="229"/>
      <c r="RN233" s="229"/>
      <c r="RO233" s="229"/>
      <c r="RP233" s="229"/>
      <c r="RQ233" s="229"/>
      <c r="RR233" s="229"/>
      <c r="RS233" s="229"/>
      <c r="RT233" s="229"/>
      <c r="RU233" s="229"/>
      <c r="RV233" s="229"/>
      <c r="RW233" s="229"/>
      <c r="RX233" s="229"/>
      <c r="RY233" s="229"/>
      <c r="RZ233" s="229"/>
      <c r="SA233" s="229"/>
      <c r="SB233" s="229"/>
      <c r="SC233" s="229"/>
      <c r="SD233" s="229"/>
      <c r="SE233" s="229"/>
      <c r="SF233" s="229"/>
      <c r="SG233" s="229"/>
      <c r="SH233" s="229"/>
      <c r="SI233" s="229"/>
      <c r="SJ233" s="229"/>
      <c r="SK233" s="229"/>
      <c r="SL233" s="229"/>
      <c r="SM233" s="229"/>
      <c r="SN233" s="229"/>
      <c r="SO233" s="229"/>
      <c r="SP233" s="229"/>
      <c r="SQ233" s="229"/>
      <c r="SR233" s="229"/>
      <c r="SS233" s="229"/>
      <c r="ST233" s="229"/>
      <c r="SU233" s="229"/>
      <c r="SV233" s="229"/>
      <c r="SW233" s="229"/>
      <c r="SX233" s="229"/>
      <c r="SY233" s="229"/>
      <c r="SZ233" s="229"/>
      <c r="TA233" s="229"/>
      <c r="TB233" s="229"/>
      <c r="TC233" s="229"/>
      <c r="TD233" s="229"/>
      <c r="TE233" s="229"/>
      <c r="TF233" s="229"/>
      <c r="TG233" s="229"/>
      <c r="TH233" s="229"/>
      <c r="TI233" s="229"/>
      <c r="TJ233" s="229"/>
      <c r="TK233" s="229"/>
      <c r="TL233" s="229"/>
      <c r="TM233" s="229"/>
      <c r="TN233" s="229"/>
      <c r="TO233" s="229"/>
      <c r="TP233" s="229"/>
      <c r="TQ233" s="229"/>
      <c r="TR233" s="229"/>
      <c r="TS233" s="229"/>
      <c r="TT233" s="229"/>
      <c r="TU233" s="229"/>
      <c r="TV233" s="229"/>
      <c r="TW233" s="229"/>
      <c r="TX233" s="229"/>
      <c r="TY233" s="229"/>
      <c r="TZ233" s="229"/>
      <c r="UA233" s="229"/>
      <c r="UB233" s="229"/>
      <c r="UC233" s="229"/>
      <c r="UD233" s="229"/>
      <c r="UE233" s="229"/>
      <c r="UF233" s="229"/>
      <c r="UG233" s="229"/>
      <c r="UH233" s="229"/>
      <c r="UI233" s="229"/>
      <c r="UJ233" s="229"/>
      <c r="UK233" s="229"/>
      <c r="UL233" s="229"/>
      <c r="UM233" s="229"/>
      <c r="UN233" s="229"/>
      <c r="UO233" s="229"/>
      <c r="UP233" s="229"/>
      <c r="UQ233" s="229"/>
      <c r="UR233" s="229"/>
      <c r="US233" s="229"/>
      <c r="UT233" s="229"/>
      <c r="UU233" s="229"/>
    </row>
    <row r="234" spans="1:567" s="183" customFormat="1" x14ac:dyDescent="0.25">
      <c r="A234" s="182"/>
      <c r="B234" s="70" t="s">
        <v>229</v>
      </c>
      <c r="C234" s="71"/>
      <c r="D234" s="71"/>
      <c r="E234" s="71"/>
      <c r="F234" s="71"/>
      <c r="G234" s="71"/>
      <c r="H234" s="71"/>
      <c r="I234" s="248"/>
      <c r="J234" s="248">
        <f>(J232-J233)*10000</f>
        <v>101.11899258939926</v>
      </c>
      <c r="K234" s="248" t="str">
        <f>IF(I232="Untrended","",(K232-K233)*10000)</f>
        <v/>
      </c>
      <c r="M234" s="3"/>
      <c r="N234" s="3"/>
      <c r="O234" s="3"/>
      <c r="P234" s="3"/>
      <c r="Q234" s="3"/>
      <c r="R234" s="260"/>
      <c r="S234" s="95"/>
      <c r="T234" s="95"/>
      <c r="U234" s="95"/>
      <c r="V234" s="95"/>
      <c r="W234" s="95"/>
      <c r="X234" s="95"/>
      <c r="Y234" s="95"/>
      <c r="Z234" s="95"/>
      <c r="AA234" s="95"/>
      <c r="AB234" s="95"/>
      <c r="AC234" s="95"/>
      <c r="AD234" s="95"/>
      <c r="AE234" s="95"/>
      <c r="AF234" s="95"/>
      <c r="AG234" s="95"/>
      <c r="AH234" s="95"/>
      <c r="AI234" s="95"/>
      <c r="AJ234" s="95"/>
      <c r="AK234" s="95"/>
      <c r="AL234" s="95"/>
      <c r="AM234" s="95"/>
      <c r="AN234" s="95"/>
      <c r="AO234" s="95"/>
      <c r="AP234" s="95"/>
      <c r="AQ234" s="95"/>
      <c r="AR234" s="95"/>
      <c r="AS234" s="95"/>
      <c r="AT234" s="95"/>
      <c r="AU234" s="95"/>
      <c r="AV234" s="95"/>
      <c r="AW234" s="95"/>
      <c r="AX234" s="95"/>
      <c r="AY234" s="95"/>
      <c r="AZ234" s="95"/>
      <c r="BA234" s="95"/>
      <c r="BB234" s="95"/>
      <c r="BC234" s="95"/>
      <c r="BD234" s="95"/>
      <c r="BE234" s="95"/>
      <c r="BF234" s="95"/>
      <c r="BG234" s="95"/>
      <c r="BH234" s="95"/>
      <c r="BI234" s="95"/>
      <c r="BJ234" s="95"/>
      <c r="BK234" s="95"/>
      <c r="BL234" s="95"/>
      <c r="BM234" s="95"/>
      <c r="BN234" s="95"/>
      <c r="BO234" s="95"/>
      <c r="BP234" s="95"/>
      <c r="BQ234" s="95"/>
      <c r="BR234" s="95"/>
      <c r="BS234" s="95"/>
      <c r="BT234" s="95"/>
      <c r="BU234" s="95"/>
      <c r="BV234" s="95"/>
      <c r="BW234" s="95"/>
      <c r="BX234" s="95"/>
      <c r="BY234" s="95"/>
      <c r="BZ234" s="95"/>
      <c r="CA234" s="95"/>
      <c r="CB234" s="95"/>
      <c r="CC234" s="95"/>
      <c r="CD234" s="95"/>
      <c r="CE234" s="95"/>
      <c r="CF234" s="95"/>
      <c r="CG234" s="95"/>
      <c r="CH234" s="95"/>
      <c r="CI234" s="95"/>
      <c r="CJ234" s="95"/>
      <c r="CK234" s="95"/>
      <c r="CL234" s="95"/>
      <c r="CM234" s="95"/>
      <c r="CN234" s="95"/>
      <c r="CO234" s="95"/>
      <c r="CP234" s="95"/>
      <c r="CQ234" s="95"/>
      <c r="CR234" s="95"/>
      <c r="CS234" s="95"/>
      <c r="CT234" s="95"/>
      <c r="CU234" s="95"/>
      <c r="CV234" s="95"/>
      <c r="CW234" s="95"/>
      <c r="CX234" s="95"/>
      <c r="CY234" s="95"/>
      <c r="CZ234" s="95"/>
      <c r="DA234" s="95"/>
      <c r="DB234" s="95"/>
      <c r="DC234" s="95"/>
      <c r="DD234" s="95"/>
      <c r="DE234" s="95"/>
      <c r="DF234" s="95"/>
      <c r="DG234" s="95"/>
      <c r="DH234" s="95"/>
      <c r="DI234" s="95"/>
      <c r="DJ234" s="95"/>
      <c r="DK234" s="95"/>
      <c r="DL234" s="95"/>
      <c r="DM234" s="95"/>
      <c r="DN234" s="95"/>
      <c r="DO234" s="95"/>
      <c r="DP234" s="95"/>
      <c r="DQ234" s="95"/>
      <c r="DR234" s="95"/>
      <c r="DS234" s="95"/>
      <c r="DT234" s="95"/>
      <c r="DU234" s="95"/>
      <c r="DV234" s="95"/>
      <c r="DW234" s="95"/>
      <c r="DX234" s="95"/>
      <c r="DY234" s="95"/>
      <c r="DZ234" s="95"/>
      <c r="EA234" s="95"/>
      <c r="EB234" s="95"/>
      <c r="EC234" s="95"/>
      <c r="ED234" s="95"/>
      <c r="EE234" s="95"/>
      <c r="EF234" s="95"/>
      <c r="EG234" s="95"/>
      <c r="EH234" s="95"/>
      <c r="EI234" s="95"/>
      <c r="EJ234" s="95"/>
      <c r="EK234" s="95"/>
      <c r="EL234" s="95"/>
      <c r="EM234" s="95"/>
      <c r="EN234" s="95"/>
      <c r="EO234" s="95"/>
      <c r="EP234" s="95"/>
      <c r="EQ234" s="95"/>
      <c r="ER234" s="95"/>
      <c r="ES234" s="95"/>
      <c r="ET234" s="95"/>
      <c r="EU234" s="95"/>
      <c r="EV234" s="86"/>
      <c r="EW234" s="201" t="s">
        <v>266</v>
      </c>
      <c r="EX234" s="201"/>
      <c r="EY234" s="228"/>
      <c r="EZ234" s="228"/>
      <c r="FA234" s="236"/>
      <c r="FB234" s="236"/>
      <c r="FC234" s="236">
        <f ca="1">IF(FC229="","",MIN(MAX(FC229,0)*$K$243,FC230+FC231+FC232-FC233))</f>
        <v>0</v>
      </c>
      <c r="FD234" s="236">
        <f t="shared" ref="FD234:HO234" ca="1" si="3551">IF(FD229="","",MIN(MAX(FD229,0)*$K$243,FD230+FD231+FD232-FD233))</f>
        <v>1.5552359400317073E-12</v>
      </c>
      <c r="FE234" s="236">
        <f t="shared" ca="1" si="3551"/>
        <v>5.443325790110975E-12</v>
      </c>
      <c r="FF234" s="236">
        <f t="shared" ca="1" si="3551"/>
        <v>0</v>
      </c>
      <c r="FG234" s="236">
        <f t="shared" ca="1" si="3551"/>
        <v>7.7761797001585371E-12</v>
      </c>
      <c r="FH234" s="236">
        <f t="shared" ca="1" si="3551"/>
        <v>1.5552359400317073E-12</v>
      </c>
      <c r="FI234" s="236">
        <f t="shared" ca="1" si="3551"/>
        <v>1.5552359400317073E-12</v>
      </c>
      <c r="FJ234" s="236">
        <f t="shared" ca="1" si="3551"/>
        <v>3.1104718800634145E-12</v>
      </c>
      <c r="FK234" s="236">
        <f t="shared" ca="1" si="3551"/>
        <v>0</v>
      </c>
      <c r="FL234" s="236">
        <f t="shared" ca="1" si="3551"/>
        <v>6.998561730142683E-12</v>
      </c>
      <c r="FM234" s="236">
        <f t="shared" ca="1" si="3551"/>
        <v>6.220943760126829E-12</v>
      </c>
      <c r="FN234" s="236">
        <f t="shared" ca="1" si="3551"/>
        <v>3.8880898500792685E-12</v>
      </c>
      <c r="FO234" s="236">
        <f t="shared" ca="1" si="3551"/>
        <v>3.8880898500792685E-12</v>
      </c>
      <c r="FP234" s="236">
        <f t="shared" ca="1" si="3551"/>
        <v>0</v>
      </c>
      <c r="FQ234" s="236">
        <f t="shared" ca="1" si="3551"/>
        <v>3.8880898500792685E-12</v>
      </c>
      <c r="FR234" s="236">
        <f t="shared" ca="1" si="3551"/>
        <v>0</v>
      </c>
      <c r="FS234" s="236">
        <f t="shared" ca="1" si="3551"/>
        <v>0</v>
      </c>
      <c r="FT234" s="236">
        <f t="shared" ca="1" si="3551"/>
        <v>1.088665158022195E-11</v>
      </c>
      <c r="FU234" s="236">
        <f t="shared" ca="1" si="3551"/>
        <v>5.443325790110975E-12</v>
      </c>
      <c r="FV234" s="236">
        <f t="shared" ca="1" si="3551"/>
        <v>3.8880898500792685E-12</v>
      </c>
      <c r="FW234" s="236">
        <f t="shared" ca="1" si="3551"/>
        <v>7.7761797001585363E-13</v>
      </c>
      <c r="FX234" s="236">
        <f t="shared" ca="1" si="3551"/>
        <v>2.3328539100475609E-12</v>
      </c>
      <c r="FY234" s="236">
        <f t="shared" ca="1" si="3551"/>
        <v>1.5552359400317074E-11</v>
      </c>
      <c r="FZ234" s="236">
        <f t="shared" ca="1" si="3551"/>
        <v>1.3219505490269512E-11</v>
      </c>
      <c r="GA234" s="236">
        <f t="shared" ca="1" si="3551"/>
        <v>1.5552359400317074E-11</v>
      </c>
      <c r="GB234" s="236">
        <f t="shared" ca="1" si="3551"/>
        <v>9.3314156401902435E-12</v>
      </c>
      <c r="GC234" s="236">
        <f t="shared" ca="1" si="3551"/>
        <v>0</v>
      </c>
      <c r="GD234" s="236">
        <f t="shared" ca="1" si="3551"/>
        <v>1.3997123460285366E-11</v>
      </c>
      <c r="GE234" s="236">
        <f t="shared" ca="1" si="3551"/>
        <v>0</v>
      </c>
      <c r="GF234" s="236">
        <f t="shared" ca="1" si="3551"/>
        <v>0</v>
      </c>
      <c r="GG234" s="236">
        <f t="shared" ca="1" si="3551"/>
        <v>0</v>
      </c>
      <c r="GH234" s="236">
        <f t="shared" ca="1" si="3551"/>
        <v>1.5552359400317073E-12</v>
      </c>
      <c r="GI234" s="236">
        <f t="shared" ca="1" si="3551"/>
        <v>6.220943760126829E-12</v>
      </c>
      <c r="GJ234" s="236">
        <f t="shared" ca="1" si="3551"/>
        <v>0</v>
      </c>
      <c r="GK234" s="236">
        <f t="shared" ca="1" si="3551"/>
        <v>1.3997123460285366E-11</v>
      </c>
      <c r="GL234" s="236">
        <f t="shared" ca="1" si="3551"/>
        <v>7.7761797001585371E-12</v>
      </c>
      <c r="GM234" s="236">
        <f t="shared" ca="1" si="3551"/>
        <v>2777532.7266843803</v>
      </c>
      <c r="GN234" s="236" t="str">
        <f t="shared" si="3551"/>
        <v/>
      </c>
      <c r="GO234" s="236" t="str">
        <f t="shared" si="3551"/>
        <v/>
      </c>
      <c r="GP234" s="236" t="str">
        <f t="shared" si="3551"/>
        <v/>
      </c>
      <c r="GQ234" s="236" t="str">
        <f t="shared" si="3551"/>
        <v/>
      </c>
      <c r="GR234" s="236" t="str">
        <f t="shared" si="3551"/>
        <v/>
      </c>
      <c r="GS234" s="236" t="str">
        <f t="shared" si="3551"/>
        <v/>
      </c>
      <c r="GT234" s="236" t="str">
        <f t="shared" si="3551"/>
        <v/>
      </c>
      <c r="GU234" s="236" t="str">
        <f t="shared" si="3551"/>
        <v/>
      </c>
      <c r="GV234" s="236" t="str">
        <f t="shared" si="3551"/>
        <v/>
      </c>
      <c r="GW234" s="236" t="str">
        <f t="shared" si="3551"/>
        <v/>
      </c>
      <c r="GX234" s="236" t="str">
        <f t="shared" si="3551"/>
        <v/>
      </c>
      <c r="GY234" s="236" t="str">
        <f t="shared" si="3551"/>
        <v/>
      </c>
      <c r="GZ234" s="236" t="str">
        <f t="shared" si="3551"/>
        <v/>
      </c>
      <c r="HA234" s="236" t="str">
        <f t="shared" si="3551"/>
        <v/>
      </c>
      <c r="HB234" s="236" t="str">
        <f t="shared" si="3551"/>
        <v/>
      </c>
      <c r="HC234" s="236" t="str">
        <f t="shared" si="3551"/>
        <v/>
      </c>
      <c r="HD234" s="236" t="str">
        <f t="shared" si="3551"/>
        <v/>
      </c>
      <c r="HE234" s="236" t="str">
        <f t="shared" si="3551"/>
        <v/>
      </c>
      <c r="HF234" s="236" t="str">
        <f t="shared" si="3551"/>
        <v/>
      </c>
      <c r="HG234" s="236" t="str">
        <f t="shared" si="3551"/>
        <v/>
      </c>
      <c r="HH234" s="236" t="str">
        <f t="shared" si="3551"/>
        <v/>
      </c>
      <c r="HI234" s="236" t="str">
        <f t="shared" si="3551"/>
        <v/>
      </c>
      <c r="HJ234" s="236" t="str">
        <f t="shared" si="3551"/>
        <v/>
      </c>
      <c r="HK234" s="236" t="str">
        <f t="shared" si="3551"/>
        <v/>
      </c>
      <c r="HL234" s="236" t="str">
        <f t="shared" si="3551"/>
        <v/>
      </c>
      <c r="HM234" s="236" t="str">
        <f t="shared" si="3551"/>
        <v/>
      </c>
      <c r="HN234" s="236" t="str">
        <f t="shared" si="3551"/>
        <v/>
      </c>
      <c r="HO234" s="236" t="str">
        <f t="shared" si="3551"/>
        <v/>
      </c>
      <c r="HP234" s="236" t="str">
        <f t="shared" ref="HP234:KA234" si="3552">IF(HP229="","",MIN(MAX(HP229,0)*$K$243,HP230+HP231+HP232-HP233))</f>
        <v/>
      </c>
      <c r="HQ234" s="236" t="str">
        <f t="shared" si="3552"/>
        <v/>
      </c>
      <c r="HR234" s="236" t="str">
        <f t="shared" si="3552"/>
        <v/>
      </c>
      <c r="HS234" s="236" t="str">
        <f t="shared" si="3552"/>
        <v/>
      </c>
      <c r="HT234" s="236" t="str">
        <f t="shared" si="3552"/>
        <v/>
      </c>
      <c r="HU234" s="236" t="str">
        <f t="shared" si="3552"/>
        <v/>
      </c>
      <c r="HV234" s="236" t="str">
        <f t="shared" si="3552"/>
        <v/>
      </c>
      <c r="HW234" s="236" t="str">
        <f t="shared" si="3552"/>
        <v/>
      </c>
      <c r="HX234" s="236" t="str">
        <f t="shared" si="3552"/>
        <v/>
      </c>
      <c r="HY234" s="236" t="str">
        <f t="shared" si="3552"/>
        <v/>
      </c>
      <c r="HZ234" s="236" t="str">
        <f t="shared" si="3552"/>
        <v/>
      </c>
      <c r="IA234" s="236" t="str">
        <f t="shared" si="3552"/>
        <v/>
      </c>
      <c r="IB234" s="236" t="str">
        <f t="shared" si="3552"/>
        <v/>
      </c>
      <c r="IC234" s="236" t="str">
        <f t="shared" si="3552"/>
        <v/>
      </c>
      <c r="ID234" s="236" t="str">
        <f t="shared" si="3552"/>
        <v/>
      </c>
      <c r="IE234" s="236" t="str">
        <f t="shared" si="3552"/>
        <v/>
      </c>
      <c r="IF234" s="236" t="str">
        <f t="shared" si="3552"/>
        <v/>
      </c>
      <c r="IG234" s="236" t="str">
        <f t="shared" si="3552"/>
        <v/>
      </c>
      <c r="IH234" s="236" t="str">
        <f t="shared" si="3552"/>
        <v/>
      </c>
      <c r="II234" s="236" t="str">
        <f t="shared" si="3552"/>
        <v/>
      </c>
      <c r="IJ234" s="236" t="str">
        <f t="shared" si="3552"/>
        <v/>
      </c>
      <c r="IK234" s="236" t="str">
        <f t="shared" si="3552"/>
        <v/>
      </c>
      <c r="IL234" s="236" t="str">
        <f t="shared" si="3552"/>
        <v/>
      </c>
      <c r="IM234" s="236" t="str">
        <f t="shared" si="3552"/>
        <v/>
      </c>
      <c r="IN234" s="236" t="str">
        <f t="shared" si="3552"/>
        <v/>
      </c>
      <c r="IO234" s="236" t="str">
        <f t="shared" si="3552"/>
        <v/>
      </c>
      <c r="IP234" s="236" t="str">
        <f t="shared" si="3552"/>
        <v/>
      </c>
      <c r="IQ234" s="236" t="str">
        <f t="shared" si="3552"/>
        <v/>
      </c>
      <c r="IR234" s="236" t="str">
        <f t="shared" si="3552"/>
        <v/>
      </c>
      <c r="IS234" s="236" t="str">
        <f t="shared" si="3552"/>
        <v/>
      </c>
      <c r="IT234" s="236" t="str">
        <f t="shared" si="3552"/>
        <v/>
      </c>
      <c r="IU234" s="236" t="str">
        <f t="shared" si="3552"/>
        <v/>
      </c>
      <c r="IV234" s="236" t="str">
        <f t="shared" si="3552"/>
        <v/>
      </c>
      <c r="IW234" s="236" t="str">
        <f t="shared" si="3552"/>
        <v/>
      </c>
      <c r="IX234" s="236" t="str">
        <f t="shared" si="3552"/>
        <v/>
      </c>
      <c r="IY234" s="236" t="str">
        <f t="shared" si="3552"/>
        <v/>
      </c>
      <c r="IZ234" s="236" t="str">
        <f t="shared" si="3552"/>
        <v/>
      </c>
      <c r="JA234" s="236" t="str">
        <f t="shared" si="3552"/>
        <v/>
      </c>
      <c r="JB234" s="236" t="str">
        <f t="shared" si="3552"/>
        <v/>
      </c>
      <c r="JC234" s="236" t="str">
        <f t="shared" si="3552"/>
        <v/>
      </c>
      <c r="JD234" s="236" t="str">
        <f t="shared" si="3552"/>
        <v/>
      </c>
      <c r="JE234" s="236" t="str">
        <f t="shared" si="3552"/>
        <v/>
      </c>
      <c r="JF234" s="236" t="str">
        <f t="shared" si="3552"/>
        <v/>
      </c>
      <c r="JG234" s="236" t="str">
        <f t="shared" si="3552"/>
        <v/>
      </c>
      <c r="JH234" s="236" t="str">
        <f t="shared" si="3552"/>
        <v/>
      </c>
      <c r="JI234" s="236" t="str">
        <f t="shared" si="3552"/>
        <v/>
      </c>
      <c r="JJ234" s="236" t="str">
        <f t="shared" si="3552"/>
        <v/>
      </c>
      <c r="JK234" s="236" t="str">
        <f t="shared" si="3552"/>
        <v/>
      </c>
      <c r="JL234" s="236" t="str">
        <f t="shared" si="3552"/>
        <v/>
      </c>
      <c r="JM234" s="236" t="str">
        <f t="shared" si="3552"/>
        <v/>
      </c>
      <c r="JN234" s="236" t="str">
        <f t="shared" si="3552"/>
        <v/>
      </c>
      <c r="JO234" s="236" t="str">
        <f t="shared" si="3552"/>
        <v/>
      </c>
      <c r="JP234" s="236" t="str">
        <f t="shared" si="3552"/>
        <v/>
      </c>
      <c r="JQ234" s="236" t="str">
        <f t="shared" si="3552"/>
        <v/>
      </c>
      <c r="JR234" s="236" t="str">
        <f t="shared" si="3552"/>
        <v/>
      </c>
      <c r="JS234" s="236" t="str">
        <f t="shared" si="3552"/>
        <v/>
      </c>
      <c r="JT234" s="236" t="str">
        <f t="shared" si="3552"/>
        <v/>
      </c>
      <c r="JU234" s="236" t="str">
        <f t="shared" si="3552"/>
        <v/>
      </c>
      <c r="JV234" s="236" t="str">
        <f t="shared" si="3552"/>
        <v/>
      </c>
      <c r="JW234" s="236" t="str">
        <f t="shared" si="3552"/>
        <v/>
      </c>
      <c r="JX234" s="236" t="str">
        <f t="shared" si="3552"/>
        <v/>
      </c>
      <c r="JY234" s="236" t="str">
        <f t="shared" si="3552"/>
        <v/>
      </c>
      <c r="JZ234" s="236" t="str">
        <f t="shared" si="3552"/>
        <v/>
      </c>
      <c r="KA234" s="236" t="str">
        <f t="shared" si="3552"/>
        <v/>
      </c>
      <c r="KB234" s="236" t="str">
        <f t="shared" ref="KB234:KE234" si="3553">IF(KB229="","",MIN(MAX(KB229,0)*$K$243,KB230+KB231+KB232-KB233))</f>
        <v/>
      </c>
      <c r="KC234" s="236" t="str">
        <f t="shared" si="3553"/>
        <v/>
      </c>
      <c r="KD234" s="236" t="str">
        <f t="shared" si="3553"/>
        <v/>
      </c>
      <c r="KE234" s="236" t="str">
        <f t="shared" si="3553"/>
        <v/>
      </c>
      <c r="KF234" s="218" t="s">
        <v>269</v>
      </c>
      <c r="KG234" s="229"/>
      <c r="KH234" s="229"/>
      <c r="KI234" s="229"/>
      <c r="KJ234" s="229"/>
      <c r="KK234" s="229"/>
      <c r="KL234" s="229"/>
      <c r="KM234" s="229"/>
      <c r="KN234" s="229"/>
      <c r="KO234" s="229"/>
      <c r="KP234" s="229"/>
      <c r="KQ234" s="229"/>
      <c r="KR234" s="229"/>
      <c r="KS234" s="229"/>
      <c r="KT234" s="229"/>
      <c r="KU234" s="229"/>
      <c r="KV234" s="229"/>
      <c r="KW234" s="229"/>
      <c r="KX234" s="229"/>
      <c r="KY234" s="229"/>
      <c r="KZ234" s="229"/>
      <c r="LA234" s="229"/>
      <c r="LB234" s="229"/>
      <c r="LC234" s="229"/>
      <c r="LD234" s="229"/>
      <c r="LE234" s="229"/>
      <c r="LF234" s="229"/>
      <c r="LG234" s="229"/>
      <c r="LH234" s="229"/>
      <c r="LI234" s="229"/>
      <c r="LJ234" s="229"/>
      <c r="LK234" s="229"/>
      <c r="LL234" s="229"/>
      <c r="LM234" s="229"/>
      <c r="LN234" s="229"/>
      <c r="LO234" s="229"/>
      <c r="LP234" s="229"/>
      <c r="LQ234" s="229"/>
      <c r="LR234" s="229"/>
      <c r="LS234" s="229"/>
      <c r="LT234" s="229"/>
      <c r="LU234" s="229"/>
      <c r="LV234" s="229"/>
      <c r="LW234" s="229"/>
      <c r="LX234" s="229"/>
      <c r="LY234" s="229"/>
      <c r="LZ234" s="229"/>
      <c r="MA234" s="229"/>
      <c r="MB234" s="229"/>
      <c r="MC234" s="229"/>
      <c r="MD234" s="229"/>
      <c r="ME234" s="229"/>
      <c r="MF234" s="229"/>
      <c r="MG234" s="229"/>
      <c r="MH234" s="229"/>
      <c r="MI234" s="229"/>
      <c r="MJ234" s="229"/>
      <c r="MK234" s="229"/>
      <c r="ML234" s="229"/>
      <c r="MM234" s="229"/>
      <c r="MN234" s="229"/>
      <c r="MO234" s="229"/>
      <c r="MP234" s="229"/>
      <c r="MQ234" s="229"/>
      <c r="MR234" s="229"/>
      <c r="MS234" s="229"/>
      <c r="MT234" s="229"/>
      <c r="MU234" s="229"/>
      <c r="MV234" s="229"/>
      <c r="MW234" s="229"/>
      <c r="MX234" s="229"/>
      <c r="MY234" s="229"/>
      <c r="MZ234" s="229"/>
      <c r="NA234" s="229"/>
      <c r="NB234" s="229"/>
      <c r="NC234" s="229"/>
      <c r="ND234" s="229"/>
      <c r="NE234" s="229"/>
      <c r="NF234" s="229"/>
      <c r="NG234" s="229"/>
      <c r="NH234" s="229"/>
      <c r="NI234" s="229"/>
      <c r="NJ234" s="229"/>
      <c r="NK234" s="229"/>
      <c r="NL234" s="229"/>
      <c r="NM234" s="229"/>
      <c r="NN234" s="229"/>
      <c r="NO234" s="229"/>
      <c r="NP234" s="229"/>
      <c r="NQ234" s="229"/>
      <c r="NR234" s="229"/>
      <c r="NS234" s="229"/>
      <c r="NT234" s="229"/>
      <c r="NU234" s="229"/>
      <c r="NV234" s="229"/>
      <c r="NW234" s="229"/>
      <c r="NX234" s="229"/>
      <c r="NY234" s="229"/>
      <c r="NZ234" s="229"/>
      <c r="OA234" s="229"/>
      <c r="OB234" s="229"/>
      <c r="OC234" s="229"/>
      <c r="OD234" s="229"/>
      <c r="OE234" s="229"/>
      <c r="OF234" s="229"/>
      <c r="OG234" s="229"/>
      <c r="OH234" s="229"/>
      <c r="OI234" s="229"/>
      <c r="OJ234" s="229"/>
      <c r="OK234" s="229"/>
      <c r="OL234" s="229"/>
      <c r="OM234" s="229"/>
      <c r="ON234" s="229"/>
      <c r="OO234" s="229"/>
      <c r="OP234" s="229"/>
      <c r="OQ234" s="229"/>
      <c r="OR234" s="229"/>
      <c r="OS234" s="229"/>
      <c r="OT234" s="229"/>
      <c r="OU234" s="229"/>
      <c r="OV234" s="229"/>
      <c r="OW234" s="229"/>
      <c r="OX234" s="229"/>
      <c r="OY234" s="229"/>
      <c r="OZ234" s="229"/>
      <c r="PA234" s="229"/>
      <c r="PB234" s="229"/>
      <c r="PC234" s="229"/>
      <c r="PD234" s="229"/>
      <c r="PE234" s="229"/>
      <c r="PF234" s="229"/>
      <c r="PG234" s="229"/>
      <c r="PH234" s="229"/>
      <c r="PI234" s="229"/>
      <c r="PJ234" s="229"/>
      <c r="PK234" s="229"/>
      <c r="PL234" s="229"/>
      <c r="PM234" s="229"/>
      <c r="PN234" s="229"/>
      <c r="PO234" s="229"/>
      <c r="PP234" s="229"/>
      <c r="PQ234" s="229"/>
      <c r="PR234" s="229"/>
      <c r="PS234" s="229"/>
      <c r="PT234" s="229"/>
      <c r="PU234" s="229"/>
      <c r="PV234" s="229"/>
      <c r="PW234" s="229"/>
      <c r="PX234" s="229"/>
      <c r="PY234" s="229"/>
      <c r="PZ234" s="229"/>
      <c r="QA234" s="229"/>
      <c r="QB234" s="229"/>
      <c r="QC234" s="229"/>
      <c r="QD234" s="229"/>
      <c r="QE234" s="229"/>
      <c r="QF234" s="229"/>
      <c r="QG234" s="229"/>
      <c r="QH234" s="229"/>
      <c r="QI234" s="229"/>
      <c r="QJ234" s="229"/>
      <c r="QK234" s="229"/>
      <c r="QL234" s="229"/>
      <c r="QM234" s="229"/>
      <c r="QN234" s="229"/>
      <c r="QO234" s="229"/>
      <c r="QP234" s="229"/>
      <c r="QQ234" s="229"/>
      <c r="QR234" s="229"/>
      <c r="QS234" s="229"/>
      <c r="QT234" s="229"/>
      <c r="QU234" s="229"/>
      <c r="QV234" s="229"/>
      <c r="QW234" s="229"/>
      <c r="QX234" s="229"/>
      <c r="QY234" s="229"/>
      <c r="QZ234" s="229"/>
      <c r="RA234" s="229"/>
      <c r="RB234" s="229"/>
      <c r="RC234" s="229"/>
      <c r="RD234" s="229"/>
      <c r="RE234" s="229"/>
      <c r="RF234" s="229"/>
      <c r="RG234" s="229"/>
      <c r="RH234" s="229"/>
      <c r="RI234" s="229"/>
      <c r="RJ234" s="229"/>
      <c r="RK234" s="229"/>
      <c r="RL234" s="229"/>
      <c r="RM234" s="229"/>
      <c r="RN234" s="229"/>
      <c r="RO234" s="229"/>
      <c r="RP234" s="229"/>
      <c r="RQ234" s="229"/>
      <c r="RR234" s="229"/>
      <c r="RS234" s="229"/>
      <c r="RT234" s="229"/>
      <c r="RU234" s="229"/>
      <c r="RV234" s="229"/>
      <c r="RW234" s="229"/>
      <c r="RX234" s="229"/>
      <c r="RY234" s="229"/>
      <c r="RZ234" s="229"/>
      <c r="SA234" s="229"/>
      <c r="SB234" s="229"/>
      <c r="SC234" s="229"/>
      <c r="SD234" s="229"/>
      <c r="SE234" s="229"/>
      <c r="SF234" s="229"/>
      <c r="SG234" s="229"/>
      <c r="SH234" s="229"/>
      <c r="SI234" s="229"/>
      <c r="SJ234" s="229"/>
      <c r="SK234" s="229"/>
      <c r="SL234" s="229"/>
      <c r="SM234" s="229"/>
      <c r="SN234" s="229"/>
      <c r="SO234" s="229"/>
      <c r="SP234" s="229"/>
      <c r="SQ234" s="229"/>
      <c r="SR234" s="229"/>
      <c r="SS234" s="229"/>
      <c r="ST234" s="229"/>
      <c r="SU234" s="229"/>
      <c r="SV234" s="229"/>
      <c r="SW234" s="229"/>
      <c r="SX234" s="229"/>
      <c r="SY234" s="229"/>
      <c r="SZ234" s="229"/>
      <c r="TA234" s="229"/>
      <c r="TB234" s="229"/>
      <c r="TC234" s="229"/>
      <c r="TD234" s="229"/>
      <c r="TE234" s="229"/>
      <c r="TF234" s="229"/>
      <c r="TG234" s="229"/>
      <c r="TH234" s="229"/>
      <c r="TI234" s="229"/>
      <c r="TJ234" s="229"/>
      <c r="TK234" s="229"/>
      <c r="TL234" s="229"/>
      <c r="TM234" s="229"/>
      <c r="TN234" s="229"/>
      <c r="TO234" s="229"/>
      <c r="TP234" s="229"/>
      <c r="TQ234" s="229"/>
      <c r="TR234" s="229"/>
      <c r="TS234" s="229"/>
      <c r="TT234" s="229"/>
      <c r="TU234" s="229"/>
      <c r="TV234" s="229"/>
      <c r="TW234" s="229"/>
      <c r="TX234" s="229"/>
      <c r="TY234" s="229"/>
      <c r="TZ234" s="229"/>
      <c r="UA234" s="229"/>
      <c r="UB234" s="229"/>
      <c r="UC234" s="229"/>
      <c r="UD234" s="229"/>
      <c r="UE234" s="229"/>
      <c r="UF234" s="229"/>
      <c r="UG234" s="229"/>
      <c r="UH234" s="229"/>
      <c r="UI234" s="229"/>
      <c r="UJ234" s="229"/>
      <c r="UK234" s="229"/>
      <c r="UL234" s="229"/>
      <c r="UM234" s="229"/>
      <c r="UN234" s="229"/>
      <c r="UO234" s="229"/>
      <c r="UP234" s="229"/>
      <c r="UQ234" s="229"/>
      <c r="UR234" s="229"/>
      <c r="US234" s="229"/>
      <c r="UT234" s="229"/>
      <c r="UU234" s="229"/>
    </row>
    <row r="235" spans="1:567" x14ac:dyDescent="0.25">
      <c r="B235" s="180" t="s">
        <v>237</v>
      </c>
      <c r="C235" s="245"/>
      <c r="D235" s="245"/>
      <c r="E235" s="534" t="s">
        <v>589</v>
      </c>
      <c r="F235" s="245"/>
      <c r="G235" s="245"/>
      <c r="H235" s="245" t="s">
        <v>591</v>
      </c>
      <c r="I235" s="536" t="s">
        <v>365</v>
      </c>
      <c r="J235" s="245"/>
      <c r="K235" s="245"/>
      <c r="S235" s="97">
        <f t="shared" ref="S235:AX235" si="3554">S215</f>
        <v>0</v>
      </c>
      <c r="T235" s="97">
        <f t="shared" si="3554"/>
        <v>1</v>
      </c>
      <c r="U235" s="97">
        <f t="shared" si="3554"/>
        <v>2</v>
      </c>
      <c r="V235" s="97">
        <f t="shared" si="3554"/>
        <v>3</v>
      </c>
      <c r="W235" s="97">
        <f t="shared" si="3554"/>
        <v>4</v>
      </c>
      <c r="X235" s="97">
        <f t="shared" si="3554"/>
        <v>5</v>
      </c>
      <c r="Y235" s="97">
        <f t="shared" si="3554"/>
        <v>6</v>
      </c>
      <c r="Z235" s="97">
        <f t="shared" si="3554"/>
        <v>7</v>
      </c>
      <c r="AA235" s="97">
        <f t="shared" si="3554"/>
        <v>8</v>
      </c>
      <c r="AB235" s="97">
        <f t="shared" si="3554"/>
        <v>9</v>
      </c>
      <c r="AC235" s="97">
        <f t="shared" si="3554"/>
        <v>10</v>
      </c>
      <c r="AD235" s="97">
        <f t="shared" si="3554"/>
        <v>11</v>
      </c>
      <c r="AE235" s="97">
        <f t="shared" si="3554"/>
        <v>12</v>
      </c>
      <c r="AF235" s="97">
        <f t="shared" si="3554"/>
        <v>13</v>
      </c>
      <c r="AG235" s="97">
        <f t="shared" si="3554"/>
        <v>14</v>
      </c>
      <c r="AH235" s="97">
        <f t="shared" si="3554"/>
        <v>15</v>
      </c>
      <c r="AI235" s="97">
        <f t="shared" si="3554"/>
        <v>16</v>
      </c>
      <c r="AJ235" s="97">
        <f t="shared" si="3554"/>
        <v>17</v>
      </c>
      <c r="AK235" s="97">
        <f t="shared" si="3554"/>
        <v>18</v>
      </c>
      <c r="AL235" s="97">
        <f t="shared" si="3554"/>
        <v>19</v>
      </c>
      <c r="AM235" s="97">
        <f t="shared" si="3554"/>
        <v>20</v>
      </c>
      <c r="AN235" s="97">
        <f t="shared" si="3554"/>
        <v>21</v>
      </c>
      <c r="AO235" s="97">
        <f t="shared" si="3554"/>
        <v>22</v>
      </c>
      <c r="AP235" s="97">
        <f t="shared" si="3554"/>
        <v>23</v>
      </c>
      <c r="AQ235" s="97">
        <f t="shared" si="3554"/>
        <v>24</v>
      </c>
      <c r="AR235" s="97">
        <f t="shared" si="3554"/>
        <v>25</v>
      </c>
      <c r="AS235" s="97">
        <f t="shared" si="3554"/>
        <v>26</v>
      </c>
      <c r="AT235" s="97">
        <f t="shared" si="3554"/>
        <v>27</v>
      </c>
      <c r="AU235" s="97">
        <f t="shared" si="3554"/>
        <v>28</v>
      </c>
      <c r="AV235" s="97">
        <f t="shared" si="3554"/>
        <v>29</v>
      </c>
      <c r="AW235" s="97">
        <f t="shared" si="3554"/>
        <v>30</v>
      </c>
      <c r="AX235" s="97">
        <f t="shared" si="3554"/>
        <v>31</v>
      </c>
      <c r="AY235" s="97">
        <f t="shared" ref="AY235:CD235" si="3555">AY215</f>
        <v>32</v>
      </c>
      <c r="AZ235" s="97">
        <f t="shared" si="3555"/>
        <v>33</v>
      </c>
      <c r="BA235" s="97">
        <f t="shared" si="3555"/>
        <v>34</v>
      </c>
      <c r="BB235" s="97">
        <f t="shared" si="3555"/>
        <v>35</v>
      </c>
      <c r="BC235" s="97">
        <f t="shared" si="3555"/>
        <v>36</v>
      </c>
      <c r="BD235" s="97" t="str">
        <f t="shared" si="3555"/>
        <v/>
      </c>
      <c r="BE235" s="97" t="str">
        <f t="shared" si="3555"/>
        <v/>
      </c>
      <c r="BF235" s="97" t="str">
        <f t="shared" si="3555"/>
        <v/>
      </c>
      <c r="BG235" s="97" t="str">
        <f t="shared" si="3555"/>
        <v/>
      </c>
      <c r="BH235" s="97" t="str">
        <f t="shared" si="3555"/>
        <v/>
      </c>
      <c r="BI235" s="97" t="str">
        <f t="shared" si="3555"/>
        <v/>
      </c>
      <c r="BJ235" s="97" t="str">
        <f t="shared" si="3555"/>
        <v/>
      </c>
      <c r="BK235" s="97" t="str">
        <f t="shared" si="3555"/>
        <v/>
      </c>
      <c r="BL235" s="97" t="str">
        <f t="shared" si="3555"/>
        <v/>
      </c>
      <c r="BM235" s="97" t="str">
        <f t="shared" si="3555"/>
        <v/>
      </c>
      <c r="BN235" s="97" t="str">
        <f t="shared" si="3555"/>
        <v/>
      </c>
      <c r="BO235" s="97" t="str">
        <f t="shared" si="3555"/>
        <v/>
      </c>
      <c r="BP235" s="97" t="str">
        <f t="shared" si="3555"/>
        <v/>
      </c>
      <c r="BQ235" s="97" t="str">
        <f t="shared" si="3555"/>
        <v/>
      </c>
      <c r="BR235" s="97" t="str">
        <f t="shared" si="3555"/>
        <v/>
      </c>
      <c r="BS235" s="97" t="str">
        <f t="shared" si="3555"/>
        <v/>
      </c>
      <c r="BT235" s="97" t="str">
        <f t="shared" si="3555"/>
        <v/>
      </c>
      <c r="BU235" s="97" t="str">
        <f t="shared" si="3555"/>
        <v/>
      </c>
      <c r="BV235" s="97" t="str">
        <f t="shared" si="3555"/>
        <v/>
      </c>
      <c r="BW235" s="97" t="str">
        <f t="shared" si="3555"/>
        <v/>
      </c>
      <c r="BX235" s="97" t="str">
        <f t="shared" si="3555"/>
        <v/>
      </c>
      <c r="BY235" s="97" t="str">
        <f t="shared" si="3555"/>
        <v/>
      </c>
      <c r="BZ235" s="97" t="str">
        <f t="shared" si="3555"/>
        <v/>
      </c>
      <c r="CA235" s="97" t="str">
        <f t="shared" si="3555"/>
        <v/>
      </c>
      <c r="CB235" s="97" t="str">
        <f t="shared" si="3555"/>
        <v/>
      </c>
      <c r="CC235" s="97" t="str">
        <f t="shared" si="3555"/>
        <v/>
      </c>
      <c r="CD235" s="97" t="str">
        <f t="shared" si="3555"/>
        <v/>
      </c>
      <c r="CE235" s="97" t="str">
        <f t="shared" ref="CE235:DJ235" si="3556">CE215</f>
        <v/>
      </c>
      <c r="CF235" s="97" t="str">
        <f t="shared" si="3556"/>
        <v/>
      </c>
      <c r="CG235" s="97" t="str">
        <f t="shared" si="3556"/>
        <v/>
      </c>
      <c r="CH235" s="97" t="str">
        <f t="shared" si="3556"/>
        <v/>
      </c>
      <c r="CI235" s="97" t="str">
        <f t="shared" si="3556"/>
        <v/>
      </c>
      <c r="CJ235" s="97" t="str">
        <f t="shared" si="3556"/>
        <v/>
      </c>
      <c r="CK235" s="97" t="str">
        <f t="shared" si="3556"/>
        <v/>
      </c>
      <c r="CL235" s="97" t="str">
        <f t="shared" si="3556"/>
        <v/>
      </c>
      <c r="CM235" s="97" t="str">
        <f t="shared" si="3556"/>
        <v/>
      </c>
      <c r="CN235" s="97" t="str">
        <f t="shared" si="3556"/>
        <v/>
      </c>
      <c r="CO235" s="97" t="str">
        <f t="shared" si="3556"/>
        <v/>
      </c>
      <c r="CP235" s="97" t="str">
        <f t="shared" si="3556"/>
        <v/>
      </c>
      <c r="CQ235" s="97" t="str">
        <f t="shared" si="3556"/>
        <v/>
      </c>
      <c r="CR235" s="97" t="str">
        <f t="shared" si="3556"/>
        <v/>
      </c>
      <c r="CS235" s="97" t="str">
        <f t="shared" si="3556"/>
        <v/>
      </c>
      <c r="CT235" s="97" t="str">
        <f t="shared" si="3556"/>
        <v/>
      </c>
      <c r="CU235" s="97" t="str">
        <f t="shared" si="3556"/>
        <v/>
      </c>
      <c r="CV235" s="97" t="str">
        <f t="shared" si="3556"/>
        <v/>
      </c>
      <c r="CW235" s="97" t="str">
        <f t="shared" si="3556"/>
        <v/>
      </c>
      <c r="CX235" s="97" t="str">
        <f t="shared" si="3556"/>
        <v/>
      </c>
      <c r="CY235" s="97" t="str">
        <f t="shared" si="3556"/>
        <v/>
      </c>
      <c r="CZ235" s="97" t="str">
        <f t="shared" si="3556"/>
        <v/>
      </c>
      <c r="DA235" s="97" t="str">
        <f t="shared" si="3556"/>
        <v/>
      </c>
      <c r="DB235" s="97" t="str">
        <f t="shared" si="3556"/>
        <v/>
      </c>
      <c r="DC235" s="97" t="str">
        <f t="shared" si="3556"/>
        <v/>
      </c>
      <c r="DD235" s="97" t="str">
        <f t="shared" si="3556"/>
        <v/>
      </c>
      <c r="DE235" s="97" t="str">
        <f t="shared" si="3556"/>
        <v/>
      </c>
      <c r="DF235" s="97" t="str">
        <f t="shared" si="3556"/>
        <v/>
      </c>
      <c r="DG235" s="97" t="str">
        <f t="shared" si="3556"/>
        <v/>
      </c>
      <c r="DH235" s="97" t="str">
        <f t="shared" si="3556"/>
        <v/>
      </c>
      <c r="DI235" s="97" t="str">
        <f t="shared" si="3556"/>
        <v/>
      </c>
      <c r="DJ235" s="97" t="str">
        <f t="shared" si="3556"/>
        <v/>
      </c>
      <c r="DK235" s="97" t="str">
        <f t="shared" ref="DK235:EU235" si="3557">DK215</f>
        <v/>
      </c>
      <c r="DL235" s="97" t="str">
        <f t="shared" si="3557"/>
        <v/>
      </c>
      <c r="DM235" s="97" t="str">
        <f t="shared" si="3557"/>
        <v/>
      </c>
      <c r="DN235" s="97" t="str">
        <f t="shared" si="3557"/>
        <v/>
      </c>
      <c r="DO235" s="97" t="str">
        <f t="shared" si="3557"/>
        <v/>
      </c>
      <c r="DP235" s="97" t="str">
        <f t="shared" si="3557"/>
        <v/>
      </c>
      <c r="DQ235" s="97" t="str">
        <f t="shared" si="3557"/>
        <v/>
      </c>
      <c r="DR235" s="97" t="str">
        <f t="shared" si="3557"/>
        <v/>
      </c>
      <c r="DS235" s="97" t="str">
        <f t="shared" si="3557"/>
        <v/>
      </c>
      <c r="DT235" s="97" t="str">
        <f t="shared" si="3557"/>
        <v/>
      </c>
      <c r="DU235" s="97" t="str">
        <f t="shared" si="3557"/>
        <v/>
      </c>
      <c r="DV235" s="97" t="str">
        <f t="shared" si="3557"/>
        <v/>
      </c>
      <c r="DW235" s="97" t="str">
        <f t="shared" si="3557"/>
        <v/>
      </c>
      <c r="DX235" s="97" t="str">
        <f t="shared" si="3557"/>
        <v/>
      </c>
      <c r="DY235" s="97" t="str">
        <f t="shared" si="3557"/>
        <v/>
      </c>
      <c r="DZ235" s="97" t="str">
        <f t="shared" si="3557"/>
        <v/>
      </c>
      <c r="EA235" s="97" t="str">
        <f t="shared" si="3557"/>
        <v/>
      </c>
      <c r="EB235" s="97" t="str">
        <f t="shared" si="3557"/>
        <v/>
      </c>
      <c r="EC235" s="97" t="str">
        <f t="shared" si="3557"/>
        <v/>
      </c>
      <c r="ED235" s="97" t="str">
        <f t="shared" si="3557"/>
        <v/>
      </c>
      <c r="EE235" s="97" t="str">
        <f t="shared" si="3557"/>
        <v/>
      </c>
      <c r="EF235" s="97" t="str">
        <f t="shared" si="3557"/>
        <v/>
      </c>
      <c r="EG235" s="97" t="str">
        <f t="shared" si="3557"/>
        <v/>
      </c>
      <c r="EH235" s="97" t="str">
        <f t="shared" si="3557"/>
        <v/>
      </c>
      <c r="EI235" s="97" t="str">
        <f t="shared" si="3557"/>
        <v/>
      </c>
      <c r="EJ235" s="97" t="str">
        <f t="shared" si="3557"/>
        <v/>
      </c>
      <c r="EK235" s="97" t="str">
        <f t="shared" si="3557"/>
        <v/>
      </c>
      <c r="EL235" s="97" t="str">
        <f t="shared" si="3557"/>
        <v/>
      </c>
      <c r="EM235" s="97" t="str">
        <f t="shared" si="3557"/>
        <v/>
      </c>
      <c r="EN235" s="97" t="str">
        <f t="shared" si="3557"/>
        <v/>
      </c>
      <c r="EO235" s="97" t="str">
        <f t="shared" si="3557"/>
        <v/>
      </c>
      <c r="EP235" s="97" t="str">
        <f t="shared" si="3557"/>
        <v/>
      </c>
      <c r="EQ235" s="97" t="str">
        <f t="shared" si="3557"/>
        <v/>
      </c>
      <c r="ER235" s="97" t="str">
        <f t="shared" si="3557"/>
        <v/>
      </c>
      <c r="ES235" s="97" t="str">
        <f t="shared" si="3557"/>
        <v/>
      </c>
      <c r="ET235" s="97" t="str">
        <f t="shared" si="3557"/>
        <v/>
      </c>
      <c r="EU235" s="97" t="str">
        <f t="shared" si="3557"/>
        <v/>
      </c>
      <c r="EW235" s="201" t="s">
        <v>267</v>
      </c>
      <c r="EX235" s="201"/>
      <c r="EY235" s="228"/>
      <c r="EZ235" s="228"/>
      <c r="FA235" s="236"/>
      <c r="FB235" s="236"/>
      <c r="FC235" s="236">
        <f ca="1">IF(FC229="","",FC230+FC231+FC232-FC233-FC234)</f>
        <v>26865102.25</v>
      </c>
      <c r="FD235" s="236">
        <f t="shared" ref="FD235:HO235" ca="1" si="3558">IF(FD229="","",FD230+FD231+FD232-FD233-FD234)</f>
        <v>27055826.097072013</v>
      </c>
      <c r="FE235" s="236">
        <f t="shared" ca="1" si="3558"/>
        <v>27243343.309060093</v>
      </c>
      <c r="FF235" s="236">
        <f t="shared" ca="1" si="3558"/>
        <v>27429974.247113872</v>
      </c>
      <c r="FG235" s="236">
        <f t="shared" ca="1" si="3558"/>
        <v>27615176.781879995</v>
      </c>
      <c r="FH235" s="236">
        <f t="shared" ca="1" si="3558"/>
        <v>27798137.614570476</v>
      </c>
      <c r="FI235" s="236">
        <f t="shared" ca="1" si="3558"/>
        <v>27980098.122481227</v>
      </c>
      <c r="FJ235" s="236">
        <f t="shared" ca="1" si="3558"/>
        <v>28160916.406915739</v>
      </c>
      <c r="FK235" s="236">
        <f t="shared" ca="1" si="3558"/>
        <v>28340362.134583015</v>
      </c>
      <c r="FL235" s="236">
        <f t="shared" ca="1" si="3558"/>
        <v>28518699.972823784</v>
      </c>
      <c r="FM235" s="236">
        <f t="shared" ca="1" si="3558"/>
        <v>28695941.283602756</v>
      </c>
      <c r="FN235" s="236">
        <f t="shared" ca="1" si="3558"/>
        <v>28872085.996974614</v>
      </c>
      <c r="FO235" s="236">
        <f t="shared" ca="1" si="3558"/>
        <v>29047141.063387848</v>
      </c>
      <c r="FP235" s="236">
        <f t="shared" ca="1" si="3558"/>
        <v>29220512.522183128</v>
      </c>
      <c r="FQ235" s="236">
        <f t="shared" ca="1" si="3558"/>
        <v>29392221.940533549</v>
      </c>
      <c r="FR235" s="236">
        <f t="shared" ca="1" si="3558"/>
        <v>29562204.799861565</v>
      </c>
      <c r="FS235" s="236">
        <f t="shared" ca="1" si="3558"/>
        <v>29730419.885823376</v>
      </c>
      <c r="FT235" s="236">
        <f t="shared" ca="1" si="3558"/>
        <v>29896827.49253853</v>
      </c>
      <c r="FU235" s="236">
        <f t="shared" ca="1" si="3558"/>
        <v>30061380.851248909</v>
      </c>
      <c r="FV235" s="236">
        <f t="shared" ca="1" si="3558"/>
        <v>30224044.548196066</v>
      </c>
      <c r="FW235" s="236">
        <f t="shared" ca="1" si="3558"/>
        <v>30384748.373345863</v>
      </c>
      <c r="FX235" s="236">
        <f t="shared" ca="1" si="3558"/>
        <v>30543448.597920511</v>
      </c>
      <c r="FY235" s="236">
        <f t="shared" ca="1" si="3558"/>
        <v>30700103.025124669</v>
      </c>
      <c r="FZ235" s="236">
        <f t="shared" ca="1" si="3558"/>
        <v>30854663.822155628</v>
      </c>
      <c r="GA235" s="236">
        <f t="shared" ca="1" si="3558"/>
        <v>31006078.644506123</v>
      </c>
      <c r="GB235" s="236">
        <f t="shared" ca="1" si="3558"/>
        <v>31138206.66091859</v>
      </c>
      <c r="GC235" s="236">
        <f t="shared" ca="1" si="3558"/>
        <v>31271188.368851211</v>
      </c>
      <c r="GD235" s="236">
        <f t="shared" ca="1" si="3558"/>
        <v>31404987.97886689</v>
      </c>
      <c r="GE235" s="236">
        <f t="shared" ca="1" si="3558"/>
        <v>31539642.58189296</v>
      </c>
      <c r="GF235" s="236">
        <f t="shared" ca="1" si="3558"/>
        <v>31675120.663135666</v>
      </c>
      <c r="GG235" s="236">
        <f t="shared" ca="1" si="3558"/>
        <v>31811418.315752342</v>
      </c>
      <c r="GH235" s="236">
        <f t="shared" ca="1" si="3558"/>
        <v>31948535.86126586</v>
      </c>
      <c r="GI235" s="236">
        <f t="shared" ca="1" si="3558"/>
        <v>32086455.233199384</v>
      </c>
      <c r="GJ235" s="236">
        <f t="shared" ca="1" si="3558"/>
        <v>32225200.219871975</v>
      </c>
      <c r="GK235" s="236">
        <f t="shared" ca="1" si="3558"/>
        <v>32364726.534332797</v>
      </c>
      <c r="GL235" s="236">
        <f t="shared" ca="1" si="3558"/>
        <v>32505035.435870621</v>
      </c>
      <c r="GM235" s="236">
        <f t="shared" ca="1" si="3558"/>
        <v>0</v>
      </c>
      <c r="GN235" s="236" t="str">
        <f t="shared" si="3558"/>
        <v/>
      </c>
      <c r="GO235" s="236" t="str">
        <f t="shared" si="3558"/>
        <v/>
      </c>
      <c r="GP235" s="236" t="str">
        <f t="shared" si="3558"/>
        <v/>
      </c>
      <c r="GQ235" s="236" t="str">
        <f t="shared" si="3558"/>
        <v/>
      </c>
      <c r="GR235" s="236" t="str">
        <f t="shared" si="3558"/>
        <v/>
      </c>
      <c r="GS235" s="236" t="str">
        <f t="shared" si="3558"/>
        <v/>
      </c>
      <c r="GT235" s="236" t="str">
        <f t="shared" si="3558"/>
        <v/>
      </c>
      <c r="GU235" s="236" t="str">
        <f t="shared" si="3558"/>
        <v/>
      </c>
      <c r="GV235" s="236" t="str">
        <f t="shared" si="3558"/>
        <v/>
      </c>
      <c r="GW235" s="236" t="str">
        <f t="shared" si="3558"/>
        <v/>
      </c>
      <c r="GX235" s="236" t="str">
        <f t="shared" si="3558"/>
        <v/>
      </c>
      <c r="GY235" s="236" t="str">
        <f t="shared" si="3558"/>
        <v/>
      </c>
      <c r="GZ235" s="236" t="str">
        <f t="shared" si="3558"/>
        <v/>
      </c>
      <c r="HA235" s="236" t="str">
        <f t="shared" si="3558"/>
        <v/>
      </c>
      <c r="HB235" s="236" t="str">
        <f t="shared" si="3558"/>
        <v/>
      </c>
      <c r="HC235" s="236" t="str">
        <f t="shared" si="3558"/>
        <v/>
      </c>
      <c r="HD235" s="236" t="str">
        <f t="shared" si="3558"/>
        <v/>
      </c>
      <c r="HE235" s="236" t="str">
        <f t="shared" si="3558"/>
        <v/>
      </c>
      <c r="HF235" s="236" t="str">
        <f t="shared" si="3558"/>
        <v/>
      </c>
      <c r="HG235" s="236" t="str">
        <f t="shared" si="3558"/>
        <v/>
      </c>
      <c r="HH235" s="236" t="str">
        <f t="shared" si="3558"/>
        <v/>
      </c>
      <c r="HI235" s="236" t="str">
        <f t="shared" si="3558"/>
        <v/>
      </c>
      <c r="HJ235" s="236" t="str">
        <f t="shared" si="3558"/>
        <v/>
      </c>
      <c r="HK235" s="236" t="str">
        <f t="shared" si="3558"/>
        <v/>
      </c>
      <c r="HL235" s="236" t="str">
        <f t="shared" si="3558"/>
        <v/>
      </c>
      <c r="HM235" s="236" t="str">
        <f t="shared" si="3558"/>
        <v/>
      </c>
      <c r="HN235" s="236" t="str">
        <f t="shared" si="3558"/>
        <v/>
      </c>
      <c r="HO235" s="236" t="str">
        <f t="shared" si="3558"/>
        <v/>
      </c>
      <c r="HP235" s="236" t="str">
        <f t="shared" ref="HP235:KA235" si="3559">IF(HP229="","",HP230+HP231+HP232-HP233-HP234)</f>
        <v/>
      </c>
      <c r="HQ235" s="236" t="str">
        <f t="shared" si="3559"/>
        <v/>
      </c>
      <c r="HR235" s="236" t="str">
        <f t="shared" si="3559"/>
        <v/>
      </c>
      <c r="HS235" s="236" t="str">
        <f t="shared" si="3559"/>
        <v/>
      </c>
      <c r="HT235" s="236" t="str">
        <f t="shared" si="3559"/>
        <v/>
      </c>
      <c r="HU235" s="236" t="str">
        <f t="shared" si="3559"/>
        <v/>
      </c>
      <c r="HV235" s="236" t="str">
        <f t="shared" si="3559"/>
        <v/>
      </c>
      <c r="HW235" s="236" t="str">
        <f t="shared" si="3559"/>
        <v/>
      </c>
      <c r="HX235" s="236" t="str">
        <f t="shared" si="3559"/>
        <v/>
      </c>
      <c r="HY235" s="236" t="str">
        <f t="shared" si="3559"/>
        <v/>
      </c>
      <c r="HZ235" s="236" t="str">
        <f t="shared" si="3559"/>
        <v/>
      </c>
      <c r="IA235" s="236" t="str">
        <f t="shared" si="3559"/>
        <v/>
      </c>
      <c r="IB235" s="236" t="str">
        <f t="shared" si="3559"/>
        <v/>
      </c>
      <c r="IC235" s="236" t="str">
        <f t="shared" si="3559"/>
        <v/>
      </c>
      <c r="ID235" s="236" t="str">
        <f t="shared" si="3559"/>
        <v/>
      </c>
      <c r="IE235" s="236" t="str">
        <f t="shared" si="3559"/>
        <v/>
      </c>
      <c r="IF235" s="236" t="str">
        <f t="shared" si="3559"/>
        <v/>
      </c>
      <c r="IG235" s="236" t="str">
        <f t="shared" si="3559"/>
        <v/>
      </c>
      <c r="IH235" s="236" t="str">
        <f t="shared" si="3559"/>
        <v/>
      </c>
      <c r="II235" s="236" t="str">
        <f t="shared" si="3559"/>
        <v/>
      </c>
      <c r="IJ235" s="236" t="str">
        <f t="shared" si="3559"/>
        <v/>
      </c>
      <c r="IK235" s="236" t="str">
        <f t="shared" si="3559"/>
        <v/>
      </c>
      <c r="IL235" s="236" t="str">
        <f t="shared" si="3559"/>
        <v/>
      </c>
      <c r="IM235" s="236" t="str">
        <f t="shared" si="3559"/>
        <v/>
      </c>
      <c r="IN235" s="236" t="str">
        <f t="shared" si="3559"/>
        <v/>
      </c>
      <c r="IO235" s="236" t="str">
        <f t="shared" si="3559"/>
        <v/>
      </c>
      <c r="IP235" s="236" t="str">
        <f t="shared" si="3559"/>
        <v/>
      </c>
      <c r="IQ235" s="236" t="str">
        <f t="shared" si="3559"/>
        <v/>
      </c>
      <c r="IR235" s="236" t="str">
        <f t="shared" si="3559"/>
        <v/>
      </c>
      <c r="IS235" s="236" t="str">
        <f t="shared" si="3559"/>
        <v/>
      </c>
      <c r="IT235" s="236" t="str">
        <f t="shared" si="3559"/>
        <v/>
      </c>
      <c r="IU235" s="236" t="str">
        <f t="shared" si="3559"/>
        <v/>
      </c>
      <c r="IV235" s="236" t="str">
        <f t="shared" si="3559"/>
        <v/>
      </c>
      <c r="IW235" s="236" t="str">
        <f t="shared" si="3559"/>
        <v/>
      </c>
      <c r="IX235" s="236" t="str">
        <f t="shared" si="3559"/>
        <v/>
      </c>
      <c r="IY235" s="236" t="str">
        <f t="shared" si="3559"/>
        <v/>
      </c>
      <c r="IZ235" s="236" t="str">
        <f t="shared" si="3559"/>
        <v/>
      </c>
      <c r="JA235" s="236" t="str">
        <f t="shared" si="3559"/>
        <v/>
      </c>
      <c r="JB235" s="236" t="str">
        <f t="shared" si="3559"/>
        <v/>
      </c>
      <c r="JC235" s="236" t="str">
        <f t="shared" si="3559"/>
        <v/>
      </c>
      <c r="JD235" s="236" t="str">
        <f t="shared" si="3559"/>
        <v/>
      </c>
      <c r="JE235" s="236" t="str">
        <f t="shared" si="3559"/>
        <v/>
      </c>
      <c r="JF235" s="236" t="str">
        <f t="shared" si="3559"/>
        <v/>
      </c>
      <c r="JG235" s="236" t="str">
        <f t="shared" si="3559"/>
        <v/>
      </c>
      <c r="JH235" s="236" t="str">
        <f t="shared" si="3559"/>
        <v/>
      </c>
      <c r="JI235" s="236" t="str">
        <f t="shared" si="3559"/>
        <v/>
      </c>
      <c r="JJ235" s="236" t="str">
        <f t="shared" si="3559"/>
        <v/>
      </c>
      <c r="JK235" s="236" t="str">
        <f t="shared" si="3559"/>
        <v/>
      </c>
      <c r="JL235" s="236" t="str">
        <f t="shared" si="3559"/>
        <v/>
      </c>
      <c r="JM235" s="236" t="str">
        <f t="shared" si="3559"/>
        <v/>
      </c>
      <c r="JN235" s="236" t="str">
        <f t="shared" si="3559"/>
        <v/>
      </c>
      <c r="JO235" s="236" t="str">
        <f t="shared" si="3559"/>
        <v/>
      </c>
      <c r="JP235" s="236" t="str">
        <f t="shared" si="3559"/>
        <v/>
      </c>
      <c r="JQ235" s="236" t="str">
        <f t="shared" si="3559"/>
        <v/>
      </c>
      <c r="JR235" s="236" t="str">
        <f t="shared" si="3559"/>
        <v/>
      </c>
      <c r="JS235" s="236" t="str">
        <f t="shared" si="3559"/>
        <v/>
      </c>
      <c r="JT235" s="236" t="str">
        <f t="shared" si="3559"/>
        <v/>
      </c>
      <c r="JU235" s="236" t="str">
        <f t="shared" si="3559"/>
        <v/>
      </c>
      <c r="JV235" s="236" t="str">
        <f t="shared" si="3559"/>
        <v/>
      </c>
      <c r="JW235" s="236" t="str">
        <f t="shared" si="3559"/>
        <v/>
      </c>
      <c r="JX235" s="236" t="str">
        <f t="shared" si="3559"/>
        <v/>
      </c>
      <c r="JY235" s="236" t="str">
        <f t="shared" si="3559"/>
        <v/>
      </c>
      <c r="JZ235" s="236" t="str">
        <f t="shared" si="3559"/>
        <v/>
      </c>
      <c r="KA235" s="236" t="str">
        <f t="shared" si="3559"/>
        <v/>
      </c>
      <c r="KB235" s="236" t="str">
        <f t="shared" ref="KB235:KE235" si="3560">IF(KB229="","",KB230+KB231+KB232-KB233-KB234)</f>
        <v/>
      </c>
      <c r="KC235" s="236" t="str">
        <f t="shared" si="3560"/>
        <v/>
      </c>
      <c r="KD235" s="236" t="str">
        <f t="shared" si="3560"/>
        <v/>
      </c>
      <c r="KE235" s="236" t="str">
        <f t="shared" si="3560"/>
        <v/>
      </c>
      <c r="KF235" s="218" t="s">
        <v>269</v>
      </c>
      <c r="PQ235" s="201"/>
      <c r="PR235" s="201"/>
      <c r="PS235" s="201"/>
      <c r="PT235" s="201"/>
      <c r="PU235" s="201"/>
      <c r="PV235" s="201"/>
      <c r="PW235" s="201"/>
      <c r="PX235" s="201"/>
      <c r="PY235" s="201"/>
      <c r="PZ235" s="201"/>
      <c r="QA235" s="201"/>
      <c r="QB235" s="201"/>
      <c r="QC235" s="201"/>
      <c r="QD235" s="201"/>
      <c r="QE235" s="201"/>
      <c r="QF235" s="201"/>
      <c r="QG235" s="201"/>
      <c r="QH235" s="201"/>
      <c r="QI235" s="201"/>
      <c r="QJ235" s="201"/>
      <c r="QK235" s="201"/>
      <c r="QL235" s="201"/>
      <c r="QM235" s="201"/>
      <c r="QN235" s="201"/>
      <c r="QO235" s="201"/>
      <c r="QP235" s="201"/>
      <c r="QQ235" s="201"/>
      <c r="QR235" s="201"/>
      <c r="QS235" s="201"/>
      <c r="QT235" s="201"/>
      <c r="QU235" s="201"/>
      <c r="QV235" s="201"/>
      <c r="QW235" s="201"/>
      <c r="QX235" s="201"/>
      <c r="QY235" s="201"/>
      <c r="QZ235" s="201"/>
      <c r="RA235" s="201"/>
      <c r="RB235" s="201"/>
      <c r="RC235" s="201"/>
      <c r="RD235" s="201"/>
      <c r="RE235" s="201"/>
      <c r="RF235" s="201"/>
      <c r="RG235" s="201"/>
      <c r="RH235" s="201"/>
      <c r="RI235" s="201"/>
      <c r="RJ235" s="201"/>
      <c r="RK235" s="201"/>
      <c r="RL235" s="201"/>
      <c r="RM235" s="201"/>
      <c r="RN235" s="201"/>
      <c r="RO235" s="201"/>
      <c r="RP235" s="201"/>
      <c r="RQ235" s="201"/>
      <c r="RR235" s="201"/>
      <c r="RS235" s="201"/>
      <c r="RT235" s="201"/>
      <c r="RU235" s="201"/>
      <c r="RV235" s="201"/>
      <c r="RW235" s="201"/>
      <c r="RX235" s="201"/>
      <c r="RY235" s="201"/>
      <c r="RZ235" s="201"/>
      <c r="SA235" s="201"/>
      <c r="SB235" s="201"/>
      <c r="SC235" s="201"/>
      <c r="SD235" s="201"/>
      <c r="SE235" s="201"/>
      <c r="SF235" s="201"/>
      <c r="SG235" s="201"/>
      <c r="SH235" s="201"/>
      <c r="SI235" s="201"/>
      <c r="SJ235" s="201"/>
      <c r="SK235" s="201"/>
      <c r="SL235" s="201"/>
      <c r="SM235" s="201"/>
      <c r="SN235" s="201"/>
      <c r="SO235" s="201"/>
      <c r="SP235" s="201"/>
      <c r="SQ235" s="201"/>
      <c r="SR235" s="201"/>
      <c r="SS235" s="201"/>
      <c r="ST235" s="201"/>
      <c r="SU235" s="201"/>
      <c r="SV235" s="201"/>
      <c r="SW235" s="201"/>
      <c r="SX235" s="201"/>
      <c r="SY235" s="201"/>
      <c r="SZ235" s="201"/>
      <c r="TA235" s="201"/>
      <c r="TB235" s="201"/>
      <c r="TC235" s="201"/>
      <c r="TD235" s="201"/>
      <c r="TE235" s="201"/>
      <c r="TF235" s="201"/>
      <c r="TG235" s="201"/>
      <c r="TH235" s="201"/>
      <c r="TI235" s="201"/>
      <c r="TJ235" s="201"/>
      <c r="TK235" s="201"/>
      <c r="TL235" s="201"/>
      <c r="TM235" s="201"/>
      <c r="TN235" s="201"/>
      <c r="TO235" s="201"/>
      <c r="TP235" s="201"/>
      <c r="TQ235" s="201"/>
      <c r="TR235" s="201"/>
      <c r="TS235" s="201"/>
      <c r="TT235" s="201"/>
      <c r="TU235" s="201"/>
      <c r="TV235" s="201"/>
      <c r="TW235" s="201"/>
      <c r="TX235" s="201"/>
      <c r="TY235" s="201"/>
      <c r="TZ235" s="201"/>
      <c r="UA235" s="201"/>
      <c r="UB235" s="201"/>
      <c r="UC235" s="201"/>
      <c r="UD235" s="201"/>
      <c r="UE235" s="201"/>
      <c r="UF235" s="201"/>
      <c r="UG235" s="201"/>
      <c r="UH235" s="201"/>
      <c r="UI235" s="201"/>
      <c r="UJ235" s="201"/>
      <c r="UK235" s="201"/>
      <c r="UL235" s="201"/>
      <c r="UM235" s="201"/>
      <c r="UN235" s="201"/>
      <c r="UO235" s="201"/>
      <c r="UP235" s="201"/>
      <c r="UQ235" s="201"/>
      <c r="UR235" s="201"/>
      <c r="US235" s="201"/>
      <c r="UT235" s="201"/>
      <c r="UU235" s="201"/>
    </row>
    <row r="236" spans="1:567" x14ac:dyDescent="0.25">
      <c r="B236" s="18" t="s">
        <v>238</v>
      </c>
      <c r="C236" s="18"/>
      <c r="D236" s="18"/>
      <c r="E236" s="530"/>
      <c r="F236" s="26"/>
      <c r="G236" s="85" t="s">
        <v>590</v>
      </c>
      <c r="H236" s="18"/>
      <c r="I236" s="533"/>
      <c r="J236" s="29" t="s">
        <v>244</v>
      </c>
      <c r="K236" s="29" t="s">
        <v>75</v>
      </c>
      <c r="S236" s="88">
        <f t="shared" ref="S236:AX236" si="3561">S216</f>
        <v>46053</v>
      </c>
      <c r="T236" s="88">
        <f t="shared" si="3561"/>
        <v>46081</v>
      </c>
      <c r="U236" s="88">
        <f t="shared" si="3561"/>
        <v>46112</v>
      </c>
      <c r="V236" s="88">
        <f t="shared" si="3561"/>
        <v>46142</v>
      </c>
      <c r="W236" s="88">
        <f t="shared" si="3561"/>
        <v>46173</v>
      </c>
      <c r="X236" s="88">
        <f t="shared" si="3561"/>
        <v>46203</v>
      </c>
      <c r="Y236" s="88">
        <f t="shared" si="3561"/>
        <v>46234</v>
      </c>
      <c r="Z236" s="88">
        <f t="shared" si="3561"/>
        <v>46265</v>
      </c>
      <c r="AA236" s="88">
        <f t="shared" si="3561"/>
        <v>46295</v>
      </c>
      <c r="AB236" s="88">
        <f t="shared" si="3561"/>
        <v>46326</v>
      </c>
      <c r="AC236" s="88">
        <f t="shared" si="3561"/>
        <v>46356</v>
      </c>
      <c r="AD236" s="88">
        <f t="shared" si="3561"/>
        <v>46387</v>
      </c>
      <c r="AE236" s="88">
        <f t="shared" si="3561"/>
        <v>46418</v>
      </c>
      <c r="AF236" s="88">
        <f t="shared" si="3561"/>
        <v>46446</v>
      </c>
      <c r="AG236" s="88">
        <f t="shared" si="3561"/>
        <v>46477</v>
      </c>
      <c r="AH236" s="88">
        <f t="shared" si="3561"/>
        <v>46507</v>
      </c>
      <c r="AI236" s="88">
        <f t="shared" si="3561"/>
        <v>46538</v>
      </c>
      <c r="AJ236" s="88">
        <f t="shared" si="3561"/>
        <v>46568</v>
      </c>
      <c r="AK236" s="88">
        <f t="shared" si="3561"/>
        <v>46599</v>
      </c>
      <c r="AL236" s="88">
        <f t="shared" si="3561"/>
        <v>46630</v>
      </c>
      <c r="AM236" s="88">
        <f t="shared" si="3561"/>
        <v>46660</v>
      </c>
      <c r="AN236" s="88">
        <f t="shared" si="3561"/>
        <v>46691</v>
      </c>
      <c r="AO236" s="88">
        <f t="shared" si="3561"/>
        <v>46721</v>
      </c>
      <c r="AP236" s="88">
        <f t="shared" si="3561"/>
        <v>46752</v>
      </c>
      <c r="AQ236" s="88">
        <f t="shared" si="3561"/>
        <v>46783</v>
      </c>
      <c r="AR236" s="88">
        <f t="shared" si="3561"/>
        <v>46812</v>
      </c>
      <c r="AS236" s="88">
        <f t="shared" si="3561"/>
        <v>46843</v>
      </c>
      <c r="AT236" s="88">
        <f t="shared" si="3561"/>
        <v>46873</v>
      </c>
      <c r="AU236" s="88">
        <f t="shared" si="3561"/>
        <v>46904</v>
      </c>
      <c r="AV236" s="88">
        <f t="shared" si="3561"/>
        <v>46934</v>
      </c>
      <c r="AW236" s="88">
        <f t="shared" si="3561"/>
        <v>46965</v>
      </c>
      <c r="AX236" s="88">
        <f t="shared" si="3561"/>
        <v>46996</v>
      </c>
      <c r="AY236" s="88">
        <f t="shared" ref="AY236:CD236" si="3562">AY216</f>
        <v>47026</v>
      </c>
      <c r="AZ236" s="88">
        <f t="shared" si="3562"/>
        <v>47057</v>
      </c>
      <c r="BA236" s="88">
        <f t="shared" si="3562"/>
        <v>47087</v>
      </c>
      <c r="BB236" s="88">
        <f t="shared" si="3562"/>
        <v>47118</v>
      </c>
      <c r="BC236" s="88">
        <f t="shared" si="3562"/>
        <v>47149</v>
      </c>
      <c r="BD236" s="88" t="str">
        <f t="shared" si="3562"/>
        <v/>
      </c>
      <c r="BE236" s="88" t="str">
        <f t="shared" si="3562"/>
        <v/>
      </c>
      <c r="BF236" s="88" t="str">
        <f t="shared" si="3562"/>
        <v/>
      </c>
      <c r="BG236" s="88" t="str">
        <f t="shared" si="3562"/>
        <v/>
      </c>
      <c r="BH236" s="88" t="str">
        <f t="shared" si="3562"/>
        <v/>
      </c>
      <c r="BI236" s="88" t="str">
        <f t="shared" si="3562"/>
        <v/>
      </c>
      <c r="BJ236" s="88" t="str">
        <f t="shared" si="3562"/>
        <v/>
      </c>
      <c r="BK236" s="88" t="str">
        <f t="shared" si="3562"/>
        <v/>
      </c>
      <c r="BL236" s="88" t="str">
        <f t="shared" si="3562"/>
        <v/>
      </c>
      <c r="BM236" s="88" t="str">
        <f t="shared" si="3562"/>
        <v/>
      </c>
      <c r="BN236" s="88" t="str">
        <f t="shared" si="3562"/>
        <v/>
      </c>
      <c r="BO236" s="88" t="str">
        <f t="shared" si="3562"/>
        <v/>
      </c>
      <c r="BP236" s="88" t="str">
        <f t="shared" si="3562"/>
        <v/>
      </c>
      <c r="BQ236" s="88" t="str">
        <f t="shared" si="3562"/>
        <v/>
      </c>
      <c r="BR236" s="88" t="str">
        <f t="shared" si="3562"/>
        <v/>
      </c>
      <c r="BS236" s="88" t="str">
        <f t="shared" si="3562"/>
        <v/>
      </c>
      <c r="BT236" s="88" t="str">
        <f t="shared" si="3562"/>
        <v/>
      </c>
      <c r="BU236" s="88" t="str">
        <f t="shared" si="3562"/>
        <v/>
      </c>
      <c r="BV236" s="88" t="str">
        <f t="shared" si="3562"/>
        <v/>
      </c>
      <c r="BW236" s="88" t="str">
        <f t="shared" si="3562"/>
        <v/>
      </c>
      <c r="BX236" s="88" t="str">
        <f t="shared" si="3562"/>
        <v/>
      </c>
      <c r="BY236" s="88" t="str">
        <f t="shared" si="3562"/>
        <v/>
      </c>
      <c r="BZ236" s="88" t="str">
        <f t="shared" si="3562"/>
        <v/>
      </c>
      <c r="CA236" s="88" t="str">
        <f t="shared" si="3562"/>
        <v/>
      </c>
      <c r="CB236" s="88" t="str">
        <f t="shared" si="3562"/>
        <v/>
      </c>
      <c r="CC236" s="88" t="str">
        <f t="shared" si="3562"/>
        <v/>
      </c>
      <c r="CD236" s="88" t="str">
        <f t="shared" si="3562"/>
        <v/>
      </c>
      <c r="CE236" s="88" t="str">
        <f t="shared" ref="CE236:DJ236" si="3563">CE216</f>
        <v/>
      </c>
      <c r="CF236" s="88" t="str">
        <f t="shared" si="3563"/>
        <v/>
      </c>
      <c r="CG236" s="88" t="str">
        <f t="shared" si="3563"/>
        <v/>
      </c>
      <c r="CH236" s="88" t="str">
        <f t="shared" si="3563"/>
        <v/>
      </c>
      <c r="CI236" s="88" t="str">
        <f t="shared" si="3563"/>
        <v/>
      </c>
      <c r="CJ236" s="88" t="str">
        <f t="shared" si="3563"/>
        <v/>
      </c>
      <c r="CK236" s="88" t="str">
        <f t="shared" si="3563"/>
        <v/>
      </c>
      <c r="CL236" s="88" t="str">
        <f t="shared" si="3563"/>
        <v/>
      </c>
      <c r="CM236" s="88" t="str">
        <f t="shared" si="3563"/>
        <v/>
      </c>
      <c r="CN236" s="88" t="str">
        <f t="shared" si="3563"/>
        <v/>
      </c>
      <c r="CO236" s="88" t="str">
        <f t="shared" si="3563"/>
        <v/>
      </c>
      <c r="CP236" s="88" t="str">
        <f t="shared" si="3563"/>
        <v/>
      </c>
      <c r="CQ236" s="88" t="str">
        <f t="shared" si="3563"/>
        <v/>
      </c>
      <c r="CR236" s="88" t="str">
        <f t="shared" si="3563"/>
        <v/>
      </c>
      <c r="CS236" s="88" t="str">
        <f t="shared" si="3563"/>
        <v/>
      </c>
      <c r="CT236" s="88" t="str">
        <f t="shared" si="3563"/>
        <v/>
      </c>
      <c r="CU236" s="88" t="str">
        <f t="shared" si="3563"/>
        <v/>
      </c>
      <c r="CV236" s="88" t="str">
        <f t="shared" si="3563"/>
        <v/>
      </c>
      <c r="CW236" s="88" t="str">
        <f t="shared" si="3563"/>
        <v/>
      </c>
      <c r="CX236" s="88" t="str">
        <f t="shared" si="3563"/>
        <v/>
      </c>
      <c r="CY236" s="88" t="str">
        <f t="shared" si="3563"/>
        <v/>
      </c>
      <c r="CZ236" s="88" t="str">
        <f t="shared" si="3563"/>
        <v/>
      </c>
      <c r="DA236" s="88" t="str">
        <f t="shared" si="3563"/>
        <v/>
      </c>
      <c r="DB236" s="88" t="str">
        <f t="shared" si="3563"/>
        <v/>
      </c>
      <c r="DC236" s="88" t="str">
        <f t="shared" si="3563"/>
        <v/>
      </c>
      <c r="DD236" s="88" t="str">
        <f t="shared" si="3563"/>
        <v/>
      </c>
      <c r="DE236" s="88" t="str">
        <f t="shared" si="3563"/>
        <v/>
      </c>
      <c r="DF236" s="88" t="str">
        <f t="shared" si="3563"/>
        <v/>
      </c>
      <c r="DG236" s="88" t="str">
        <f t="shared" si="3563"/>
        <v/>
      </c>
      <c r="DH236" s="88" t="str">
        <f t="shared" si="3563"/>
        <v/>
      </c>
      <c r="DI236" s="88" t="str">
        <f t="shared" si="3563"/>
        <v/>
      </c>
      <c r="DJ236" s="88" t="str">
        <f t="shared" si="3563"/>
        <v/>
      </c>
      <c r="DK236" s="88" t="str">
        <f t="shared" ref="DK236:EU236" si="3564">DK216</f>
        <v/>
      </c>
      <c r="DL236" s="88" t="str">
        <f t="shared" si="3564"/>
        <v/>
      </c>
      <c r="DM236" s="88" t="str">
        <f t="shared" si="3564"/>
        <v/>
      </c>
      <c r="DN236" s="88" t="str">
        <f t="shared" si="3564"/>
        <v/>
      </c>
      <c r="DO236" s="88" t="str">
        <f t="shared" si="3564"/>
        <v/>
      </c>
      <c r="DP236" s="88" t="str">
        <f t="shared" si="3564"/>
        <v/>
      </c>
      <c r="DQ236" s="88" t="str">
        <f t="shared" si="3564"/>
        <v/>
      </c>
      <c r="DR236" s="88" t="str">
        <f t="shared" si="3564"/>
        <v/>
      </c>
      <c r="DS236" s="88" t="str">
        <f t="shared" si="3564"/>
        <v/>
      </c>
      <c r="DT236" s="88" t="str">
        <f t="shared" si="3564"/>
        <v/>
      </c>
      <c r="DU236" s="88" t="str">
        <f t="shared" si="3564"/>
        <v/>
      </c>
      <c r="DV236" s="88" t="str">
        <f t="shared" si="3564"/>
        <v/>
      </c>
      <c r="DW236" s="88" t="str">
        <f t="shared" si="3564"/>
        <v/>
      </c>
      <c r="DX236" s="88" t="str">
        <f t="shared" si="3564"/>
        <v/>
      </c>
      <c r="DY236" s="88" t="str">
        <f t="shared" si="3564"/>
        <v/>
      </c>
      <c r="DZ236" s="88" t="str">
        <f t="shared" si="3564"/>
        <v/>
      </c>
      <c r="EA236" s="88" t="str">
        <f t="shared" si="3564"/>
        <v/>
      </c>
      <c r="EB236" s="88" t="str">
        <f t="shared" si="3564"/>
        <v/>
      </c>
      <c r="EC236" s="88" t="str">
        <f t="shared" si="3564"/>
        <v/>
      </c>
      <c r="ED236" s="88" t="str">
        <f t="shared" si="3564"/>
        <v/>
      </c>
      <c r="EE236" s="88" t="str">
        <f t="shared" si="3564"/>
        <v/>
      </c>
      <c r="EF236" s="88" t="str">
        <f t="shared" si="3564"/>
        <v/>
      </c>
      <c r="EG236" s="88" t="str">
        <f t="shared" si="3564"/>
        <v/>
      </c>
      <c r="EH236" s="88" t="str">
        <f t="shared" si="3564"/>
        <v/>
      </c>
      <c r="EI236" s="88" t="str">
        <f t="shared" si="3564"/>
        <v/>
      </c>
      <c r="EJ236" s="88" t="str">
        <f t="shared" si="3564"/>
        <v/>
      </c>
      <c r="EK236" s="88" t="str">
        <f t="shared" si="3564"/>
        <v/>
      </c>
      <c r="EL236" s="88" t="str">
        <f t="shared" si="3564"/>
        <v/>
      </c>
      <c r="EM236" s="88" t="str">
        <f t="shared" si="3564"/>
        <v/>
      </c>
      <c r="EN236" s="88" t="str">
        <f t="shared" si="3564"/>
        <v/>
      </c>
      <c r="EO236" s="88" t="str">
        <f t="shared" si="3564"/>
        <v/>
      </c>
      <c r="EP236" s="88" t="str">
        <f t="shared" si="3564"/>
        <v/>
      </c>
      <c r="EQ236" s="88" t="str">
        <f t="shared" si="3564"/>
        <v/>
      </c>
      <c r="ER236" s="88" t="str">
        <f t="shared" si="3564"/>
        <v/>
      </c>
      <c r="ES236" s="88" t="str">
        <f t="shared" si="3564"/>
        <v/>
      </c>
      <c r="ET236" s="88" t="str">
        <f t="shared" si="3564"/>
        <v/>
      </c>
      <c r="EU236" s="88" t="str">
        <f t="shared" si="3564"/>
        <v/>
      </c>
      <c r="EW236" s="201" t="s">
        <v>268</v>
      </c>
      <c r="EX236" s="201"/>
      <c r="EY236" s="228"/>
      <c r="EZ236" s="228"/>
      <c r="FA236" s="236"/>
      <c r="FB236" s="237">
        <f ca="1">XIRR(OFFSET(FC236,,,1,Analysis_Period+1),OFFSET($FC$4,,,1,Analysis_Period+1))</f>
        <v>0.11990926861762999</v>
      </c>
      <c r="FC236" s="236">
        <f ca="1">IF(FC229="","",-FC232+FC233+FC234)</f>
        <v>-26865102.25</v>
      </c>
      <c r="FD236" s="236">
        <f t="shared" ref="FD236:HO236" ca="1" si="3565">IF(FD229="","",-FD232+FD233+FD234)</f>
        <v>64193.545344640232</v>
      </c>
      <c r="FE236" s="236">
        <f t="shared" ca="1" si="3565"/>
        <v>69209.919521123942</v>
      </c>
      <c r="FF236" s="236">
        <f t="shared" ca="1" si="3565"/>
        <v>71875.505451649064</v>
      </c>
      <c r="FG236" s="236">
        <f t="shared" ca="1" si="3565"/>
        <v>75074.811065685659</v>
      </c>
      <c r="FH236" s="236">
        <f t="shared" ca="1" si="3565"/>
        <v>79073.861644687073</v>
      </c>
      <c r="FI236" s="236">
        <f t="shared" ca="1" si="3565"/>
        <v>81810.263880953775</v>
      </c>
      <c r="FJ236" s="236">
        <f t="shared" ca="1" si="3565"/>
        <v>84679.072939027479</v>
      </c>
      <c r="FK236" s="236">
        <f t="shared" ca="1" si="3565"/>
        <v>87767.376966053474</v>
      </c>
      <c r="FL236" s="236">
        <f t="shared" ca="1" si="3565"/>
        <v>90577.989745387778</v>
      </c>
      <c r="FM236" s="236">
        <f t="shared" ca="1" si="3565"/>
        <v>93366.728026650264</v>
      </c>
      <c r="FN236" s="236">
        <f t="shared" ca="1" si="3565"/>
        <v>96145.131531202889</v>
      </c>
      <c r="FO236" s="236">
        <f t="shared" ca="1" si="3565"/>
        <v>98906.17920153201</v>
      </c>
      <c r="FP236" s="236">
        <f t="shared" ca="1" si="3565"/>
        <v>102250.84809683112</v>
      </c>
      <c r="FQ236" s="236">
        <f t="shared" ca="1" si="3565"/>
        <v>105557.97441496754</v>
      </c>
      <c r="FR236" s="236">
        <f t="shared" ca="1" si="3565"/>
        <v>108913.84855301135</v>
      </c>
      <c r="FS236" s="236">
        <f t="shared" ca="1" si="3565"/>
        <v>112294.55407380906</v>
      </c>
      <c r="FT236" s="236">
        <f t="shared" ca="1" si="3565"/>
        <v>115698.19143963765</v>
      </c>
      <c r="FU236" s="236">
        <f t="shared" ca="1" si="3565"/>
        <v>119131.44676726894</v>
      </c>
      <c r="FV236" s="236">
        <f t="shared" ca="1" si="3565"/>
        <v>122582.52127798316</v>
      </c>
      <c r="FW236" s="236">
        <f t="shared" ca="1" si="3565"/>
        <v>126085.87521365</v>
      </c>
      <c r="FX236" s="236">
        <f t="shared" ca="1" si="3565"/>
        <v>129614.36110943968</v>
      </c>
      <c r="FY236" s="236">
        <f t="shared" ca="1" si="3565"/>
        <v>133166.03204958726</v>
      </c>
      <c r="FZ236" s="236">
        <f t="shared" ca="1" si="3565"/>
        <v>136746.12364481442</v>
      </c>
      <c r="GA236" s="236">
        <f t="shared" ca="1" si="3565"/>
        <v>141358.69372411101</v>
      </c>
      <c r="GB236" s="236">
        <f t="shared" ca="1" si="3565"/>
        <v>162082.24355864993</v>
      </c>
      <c r="GC236" s="236">
        <f t="shared" ca="1" si="3565"/>
        <v>162482.28742709145</v>
      </c>
      <c r="GD236" s="236">
        <f t="shared" ca="1" si="3565"/>
        <v>162926.22123469072</v>
      </c>
      <c r="GE236" s="236">
        <f t="shared" ca="1" si="3565"/>
        <v>163340.82501846968</v>
      </c>
      <c r="GF236" s="236">
        <f t="shared" ca="1" si="3565"/>
        <v>163795.05644763168</v>
      </c>
      <c r="GG236" s="236">
        <f t="shared" ca="1" si="3565"/>
        <v>164261.00853374792</v>
      </c>
      <c r="GH236" s="236">
        <f t="shared" ca="1" si="3565"/>
        <v>164734.41584006106</v>
      </c>
      <c r="GI236" s="236">
        <f t="shared" ca="1" si="3565"/>
        <v>165233.66941712948</v>
      </c>
      <c r="GJ236" s="236">
        <f t="shared" ca="1" si="3565"/>
        <v>165716.74304000766</v>
      </c>
      <c r="GK236" s="236">
        <f t="shared" ca="1" si="3565"/>
        <v>166251.93770102577</v>
      </c>
      <c r="GL236" s="236">
        <f t="shared" ca="1" si="3565"/>
        <v>166793.28693086779</v>
      </c>
      <c r="GM236" s="236">
        <f t="shared" ca="1" si="3565"/>
        <v>32813468.986452881</v>
      </c>
      <c r="GN236" s="236" t="str">
        <f t="shared" si="3565"/>
        <v/>
      </c>
      <c r="GO236" s="236" t="str">
        <f t="shared" si="3565"/>
        <v/>
      </c>
      <c r="GP236" s="236" t="str">
        <f t="shared" si="3565"/>
        <v/>
      </c>
      <c r="GQ236" s="236" t="str">
        <f t="shared" si="3565"/>
        <v/>
      </c>
      <c r="GR236" s="236" t="str">
        <f t="shared" si="3565"/>
        <v/>
      </c>
      <c r="GS236" s="236" t="str">
        <f t="shared" si="3565"/>
        <v/>
      </c>
      <c r="GT236" s="236" t="str">
        <f t="shared" si="3565"/>
        <v/>
      </c>
      <c r="GU236" s="236" t="str">
        <f t="shared" si="3565"/>
        <v/>
      </c>
      <c r="GV236" s="236" t="str">
        <f t="shared" si="3565"/>
        <v/>
      </c>
      <c r="GW236" s="236" t="str">
        <f t="shared" si="3565"/>
        <v/>
      </c>
      <c r="GX236" s="236" t="str">
        <f t="shared" si="3565"/>
        <v/>
      </c>
      <c r="GY236" s="236" t="str">
        <f t="shared" si="3565"/>
        <v/>
      </c>
      <c r="GZ236" s="236" t="str">
        <f t="shared" si="3565"/>
        <v/>
      </c>
      <c r="HA236" s="236" t="str">
        <f t="shared" si="3565"/>
        <v/>
      </c>
      <c r="HB236" s="236" t="str">
        <f t="shared" si="3565"/>
        <v/>
      </c>
      <c r="HC236" s="236" t="str">
        <f t="shared" si="3565"/>
        <v/>
      </c>
      <c r="HD236" s="236" t="str">
        <f t="shared" si="3565"/>
        <v/>
      </c>
      <c r="HE236" s="236" t="str">
        <f t="shared" si="3565"/>
        <v/>
      </c>
      <c r="HF236" s="236" t="str">
        <f t="shared" si="3565"/>
        <v/>
      </c>
      <c r="HG236" s="236" t="str">
        <f t="shared" si="3565"/>
        <v/>
      </c>
      <c r="HH236" s="236" t="str">
        <f t="shared" si="3565"/>
        <v/>
      </c>
      <c r="HI236" s="236" t="str">
        <f t="shared" si="3565"/>
        <v/>
      </c>
      <c r="HJ236" s="236" t="str">
        <f t="shared" si="3565"/>
        <v/>
      </c>
      <c r="HK236" s="236" t="str">
        <f t="shared" si="3565"/>
        <v/>
      </c>
      <c r="HL236" s="236" t="str">
        <f t="shared" si="3565"/>
        <v/>
      </c>
      <c r="HM236" s="236" t="str">
        <f t="shared" si="3565"/>
        <v/>
      </c>
      <c r="HN236" s="236" t="str">
        <f t="shared" si="3565"/>
        <v/>
      </c>
      <c r="HO236" s="236" t="str">
        <f t="shared" si="3565"/>
        <v/>
      </c>
      <c r="HP236" s="236" t="str">
        <f t="shared" ref="HP236:KA236" si="3566">IF(HP229="","",-HP232+HP233+HP234)</f>
        <v/>
      </c>
      <c r="HQ236" s="236" t="str">
        <f t="shared" si="3566"/>
        <v/>
      </c>
      <c r="HR236" s="236" t="str">
        <f t="shared" si="3566"/>
        <v/>
      </c>
      <c r="HS236" s="236" t="str">
        <f t="shared" si="3566"/>
        <v/>
      </c>
      <c r="HT236" s="236" t="str">
        <f t="shared" si="3566"/>
        <v/>
      </c>
      <c r="HU236" s="236" t="str">
        <f t="shared" si="3566"/>
        <v/>
      </c>
      <c r="HV236" s="236" t="str">
        <f t="shared" si="3566"/>
        <v/>
      </c>
      <c r="HW236" s="236" t="str">
        <f t="shared" si="3566"/>
        <v/>
      </c>
      <c r="HX236" s="236" t="str">
        <f t="shared" si="3566"/>
        <v/>
      </c>
      <c r="HY236" s="236" t="str">
        <f t="shared" si="3566"/>
        <v/>
      </c>
      <c r="HZ236" s="236" t="str">
        <f t="shared" si="3566"/>
        <v/>
      </c>
      <c r="IA236" s="236" t="str">
        <f t="shared" si="3566"/>
        <v/>
      </c>
      <c r="IB236" s="236" t="str">
        <f t="shared" si="3566"/>
        <v/>
      </c>
      <c r="IC236" s="236" t="str">
        <f t="shared" si="3566"/>
        <v/>
      </c>
      <c r="ID236" s="236" t="str">
        <f t="shared" si="3566"/>
        <v/>
      </c>
      <c r="IE236" s="236" t="str">
        <f t="shared" si="3566"/>
        <v/>
      </c>
      <c r="IF236" s="236" t="str">
        <f t="shared" si="3566"/>
        <v/>
      </c>
      <c r="IG236" s="236" t="str">
        <f t="shared" si="3566"/>
        <v/>
      </c>
      <c r="IH236" s="236" t="str">
        <f t="shared" si="3566"/>
        <v/>
      </c>
      <c r="II236" s="236" t="str">
        <f t="shared" si="3566"/>
        <v/>
      </c>
      <c r="IJ236" s="236" t="str">
        <f t="shared" si="3566"/>
        <v/>
      </c>
      <c r="IK236" s="236" t="str">
        <f t="shared" si="3566"/>
        <v/>
      </c>
      <c r="IL236" s="236" t="str">
        <f t="shared" si="3566"/>
        <v/>
      </c>
      <c r="IM236" s="236" t="str">
        <f t="shared" si="3566"/>
        <v/>
      </c>
      <c r="IN236" s="236" t="str">
        <f t="shared" si="3566"/>
        <v/>
      </c>
      <c r="IO236" s="236" t="str">
        <f t="shared" si="3566"/>
        <v/>
      </c>
      <c r="IP236" s="236" t="str">
        <f t="shared" si="3566"/>
        <v/>
      </c>
      <c r="IQ236" s="236" t="str">
        <f t="shared" si="3566"/>
        <v/>
      </c>
      <c r="IR236" s="236" t="str">
        <f t="shared" si="3566"/>
        <v/>
      </c>
      <c r="IS236" s="236" t="str">
        <f t="shared" si="3566"/>
        <v/>
      </c>
      <c r="IT236" s="236" t="str">
        <f t="shared" si="3566"/>
        <v/>
      </c>
      <c r="IU236" s="236" t="str">
        <f t="shared" si="3566"/>
        <v/>
      </c>
      <c r="IV236" s="236" t="str">
        <f t="shared" si="3566"/>
        <v/>
      </c>
      <c r="IW236" s="236" t="str">
        <f t="shared" si="3566"/>
        <v/>
      </c>
      <c r="IX236" s="236" t="str">
        <f t="shared" si="3566"/>
        <v/>
      </c>
      <c r="IY236" s="236" t="str">
        <f t="shared" si="3566"/>
        <v/>
      </c>
      <c r="IZ236" s="236" t="str">
        <f t="shared" si="3566"/>
        <v/>
      </c>
      <c r="JA236" s="236" t="str">
        <f t="shared" si="3566"/>
        <v/>
      </c>
      <c r="JB236" s="236" t="str">
        <f t="shared" si="3566"/>
        <v/>
      </c>
      <c r="JC236" s="236" t="str">
        <f t="shared" si="3566"/>
        <v/>
      </c>
      <c r="JD236" s="236" t="str">
        <f t="shared" si="3566"/>
        <v/>
      </c>
      <c r="JE236" s="236" t="str">
        <f t="shared" si="3566"/>
        <v/>
      </c>
      <c r="JF236" s="236" t="str">
        <f t="shared" si="3566"/>
        <v/>
      </c>
      <c r="JG236" s="236" t="str">
        <f t="shared" si="3566"/>
        <v/>
      </c>
      <c r="JH236" s="236" t="str">
        <f t="shared" si="3566"/>
        <v/>
      </c>
      <c r="JI236" s="236" t="str">
        <f t="shared" si="3566"/>
        <v/>
      </c>
      <c r="JJ236" s="236" t="str">
        <f t="shared" si="3566"/>
        <v/>
      </c>
      <c r="JK236" s="236" t="str">
        <f t="shared" si="3566"/>
        <v/>
      </c>
      <c r="JL236" s="236" t="str">
        <f t="shared" si="3566"/>
        <v/>
      </c>
      <c r="JM236" s="236" t="str">
        <f t="shared" si="3566"/>
        <v/>
      </c>
      <c r="JN236" s="236" t="str">
        <f t="shared" si="3566"/>
        <v/>
      </c>
      <c r="JO236" s="236" t="str">
        <f t="shared" si="3566"/>
        <v/>
      </c>
      <c r="JP236" s="236" t="str">
        <f t="shared" si="3566"/>
        <v/>
      </c>
      <c r="JQ236" s="236" t="str">
        <f t="shared" si="3566"/>
        <v/>
      </c>
      <c r="JR236" s="236" t="str">
        <f t="shared" si="3566"/>
        <v/>
      </c>
      <c r="JS236" s="236" t="str">
        <f t="shared" si="3566"/>
        <v/>
      </c>
      <c r="JT236" s="236" t="str">
        <f t="shared" si="3566"/>
        <v/>
      </c>
      <c r="JU236" s="236" t="str">
        <f t="shared" si="3566"/>
        <v/>
      </c>
      <c r="JV236" s="236" t="str">
        <f t="shared" si="3566"/>
        <v/>
      </c>
      <c r="JW236" s="236" t="str">
        <f t="shared" si="3566"/>
        <v/>
      </c>
      <c r="JX236" s="236" t="str">
        <f t="shared" si="3566"/>
        <v/>
      </c>
      <c r="JY236" s="236" t="str">
        <f t="shared" si="3566"/>
        <v/>
      </c>
      <c r="JZ236" s="236" t="str">
        <f t="shared" si="3566"/>
        <v/>
      </c>
      <c r="KA236" s="236" t="str">
        <f t="shared" si="3566"/>
        <v/>
      </c>
      <c r="KB236" s="236" t="str">
        <f t="shared" ref="KB236:KE236" si="3567">IF(KB229="","",-KB232+KB233+KB234)</f>
        <v/>
      </c>
      <c r="KC236" s="236" t="str">
        <f t="shared" si="3567"/>
        <v/>
      </c>
      <c r="KD236" s="236" t="str">
        <f t="shared" si="3567"/>
        <v/>
      </c>
      <c r="KE236" s="236" t="str">
        <f t="shared" si="3567"/>
        <v/>
      </c>
      <c r="KF236" s="218" t="s">
        <v>269</v>
      </c>
      <c r="PQ236" s="201"/>
      <c r="PR236" s="201"/>
      <c r="PS236" s="201"/>
      <c r="PT236" s="201"/>
      <c r="PU236" s="201"/>
      <c r="PV236" s="201"/>
      <c r="PW236" s="201"/>
      <c r="PX236" s="201"/>
      <c r="PY236" s="201"/>
      <c r="PZ236" s="201"/>
      <c r="QA236" s="201"/>
      <c r="QB236" s="201"/>
      <c r="QC236" s="201"/>
      <c r="QD236" s="201"/>
      <c r="QE236" s="201"/>
      <c r="QF236" s="201"/>
      <c r="QG236" s="201"/>
      <c r="QH236" s="201"/>
      <c r="QI236" s="201"/>
      <c r="QJ236" s="201"/>
      <c r="QK236" s="201"/>
      <c r="QL236" s="201"/>
      <c r="QM236" s="201"/>
      <c r="QN236" s="201"/>
      <c r="QO236" s="201"/>
      <c r="QP236" s="201"/>
      <c r="QQ236" s="201"/>
      <c r="QR236" s="201"/>
      <c r="QS236" s="201"/>
      <c r="QT236" s="201"/>
      <c r="QU236" s="201"/>
      <c r="QV236" s="201"/>
      <c r="QW236" s="201"/>
      <c r="QX236" s="201"/>
      <c r="QY236" s="201"/>
      <c r="QZ236" s="201"/>
      <c r="RA236" s="201"/>
      <c r="RB236" s="201"/>
      <c r="RC236" s="201"/>
      <c r="RD236" s="201"/>
      <c r="RE236" s="201"/>
      <c r="RF236" s="201"/>
      <c r="RG236" s="201"/>
      <c r="RH236" s="201"/>
      <c r="RI236" s="201"/>
      <c r="RJ236" s="201"/>
      <c r="RK236" s="201"/>
      <c r="RL236" s="201"/>
      <c r="RM236" s="201"/>
      <c r="RN236" s="201"/>
      <c r="RO236" s="201"/>
      <c r="RP236" s="201"/>
      <c r="RQ236" s="201"/>
      <c r="RR236" s="201"/>
      <c r="RS236" s="201"/>
      <c r="RT236" s="201"/>
      <c r="RU236" s="201"/>
      <c r="RV236" s="201"/>
      <c r="RW236" s="201"/>
      <c r="RX236" s="201"/>
      <c r="RY236" s="201"/>
      <c r="RZ236" s="201"/>
      <c r="SA236" s="201"/>
      <c r="SB236" s="201"/>
      <c r="SC236" s="201"/>
      <c r="SD236" s="201"/>
      <c r="SE236" s="201"/>
      <c r="SF236" s="201"/>
      <c r="SG236" s="201"/>
      <c r="SH236" s="201"/>
      <c r="SI236" s="201"/>
      <c r="SJ236" s="201"/>
      <c r="SK236" s="201"/>
      <c r="SL236" s="201"/>
      <c r="SM236" s="201"/>
      <c r="SN236" s="201"/>
      <c r="SO236" s="201"/>
      <c r="SP236" s="201"/>
      <c r="SQ236" s="201"/>
      <c r="SR236" s="201"/>
      <c r="SS236" s="201"/>
      <c r="ST236" s="201"/>
      <c r="SU236" s="201"/>
      <c r="SV236" s="201"/>
      <c r="SW236" s="201"/>
      <c r="SX236" s="201"/>
      <c r="SY236" s="201"/>
      <c r="SZ236" s="201"/>
      <c r="TA236" s="201"/>
      <c r="TB236" s="201"/>
      <c r="TC236" s="201"/>
      <c r="TD236" s="201"/>
      <c r="TE236" s="201"/>
      <c r="TF236" s="201"/>
      <c r="TG236" s="201"/>
      <c r="TH236" s="201"/>
      <c r="TI236" s="201"/>
      <c r="TJ236" s="201"/>
      <c r="TK236" s="201"/>
      <c r="TL236" s="201"/>
      <c r="TM236" s="201"/>
      <c r="TN236" s="201"/>
      <c r="TO236" s="201"/>
      <c r="TP236" s="201"/>
      <c r="TQ236" s="201"/>
      <c r="TR236" s="201"/>
      <c r="TS236" s="201"/>
      <c r="TT236" s="201"/>
      <c r="TU236" s="201"/>
      <c r="TV236" s="201"/>
      <c r="TW236" s="201"/>
      <c r="TX236" s="201"/>
      <c r="TY236" s="201"/>
      <c r="TZ236" s="201"/>
      <c r="UA236" s="201"/>
      <c r="UB236" s="201"/>
      <c r="UC236" s="201"/>
      <c r="UD236" s="201"/>
      <c r="UE236" s="201"/>
      <c r="UF236" s="201"/>
      <c r="UG236" s="201"/>
      <c r="UH236" s="201"/>
      <c r="UI236" s="201"/>
      <c r="UJ236" s="201"/>
      <c r="UK236" s="201"/>
      <c r="UL236" s="201"/>
      <c r="UM236" s="201"/>
      <c r="UN236" s="201"/>
      <c r="UO236" s="201"/>
      <c r="UP236" s="201"/>
      <c r="UQ236" s="201"/>
      <c r="UR236" s="201"/>
      <c r="US236" s="201"/>
      <c r="UT236" s="201"/>
      <c r="UU236" s="201"/>
    </row>
    <row r="237" spans="1:567" x14ac:dyDescent="0.25">
      <c r="B237" s="18" t="s">
        <v>239</v>
      </c>
      <c r="C237" s="41" t="s">
        <v>241</v>
      </c>
      <c r="D237" s="18"/>
      <c r="E237" s="530" t="s">
        <v>584</v>
      </c>
      <c r="F237" s="535">
        <v>0.01</v>
      </c>
      <c r="G237" s="523" t="s">
        <v>615</v>
      </c>
      <c r="H237" s="29"/>
      <c r="I237" s="531" t="s">
        <v>389</v>
      </c>
      <c r="J237" s="57">
        <f>H62</f>
        <v>0.05</v>
      </c>
      <c r="K237" s="34">
        <f ca="1">SUM(S237:EU237)</f>
        <v>1413952.75</v>
      </c>
      <c r="M237" s="3" t="s">
        <v>854</v>
      </c>
      <c r="R237" s="159" t="s">
        <v>379</v>
      </c>
      <c r="S237" s="92">
        <f t="shared" ref="S237:AX237" ca="1" si="3568">IF(S229="","",FC222)</f>
        <v>1413952.75</v>
      </c>
      <c r="T237" s="92">
        <f t="shared" ca="1" si="3568"/>
        <v>0</v>
      </c>
      <c r="U237" s="92">
        <f t="shared" ca="1" si="3568"/>
        <v>0</v>
      </c>
      <c r="V237" s="92">
        <f t="shared" ca="1" si="3568"/>
        <v>0</v>
      </c>
      <c r="W237" s="92">
        <f t="shared" ca="1" si="3568"/>
        <v>0</v>
      </c>
      <c r="X237" s="92">
        <f t="shared" ca="1" si="3568"/>
        <v>0</v>
      </c>
      <c r="Y237" s="92">
        <f t="shared" ca="1" si="3568"/>
        <v>0</v>
      </c>
      <c r="Z237" s="92">
        <f t="shared" ca="1" si="3568"/>
        <v>0</v>
      </c>
      <c r="AA237" s="92">
        <f t="shared" ca="1" si="3568"/>
        <v>0</v>
      </c>
      <c r="AB237" s="92">
        <f t="shared" ca="1" si="3568"/>
        <v>0</v>
      </c>
      <c r="AC237" s="92">
        <f t="shared" ca="1" si="3568"/>
        <v>0</v>
      </c>
      <c r="AD237" s="92">
        <f t="shared" ca="1" si="3568"/>
        <v>0</v>
      </c>
      <c r="AE237" s="92">
        <f t="shared" ca="1" si="3568"/>
        <v>0</v>
      </c>
      <c r="AF237" s="92">
        <f t="shared" ca="1" si="3568"/>
        <v>0</v>
      </c>
      <c r="AG237" s="92">
        <f t="shared" ca="1" si="3568"/>
        <v>0</v>
      </c>
      <c r="AH237" s="92">
        <f t="shared" ca="1" si="3568"/>
        <v>0</v>
      </c>
      <c r="AI237" s="92">
        <f t="shared" ca="1" si="3568"/>
        <v>0</v>
      </c>
      <c r="AJ237" s="92">
        <f t="shared" ca="1" si="3568"/>
        <v>0</v>
      </c>
      <c r="AK237" s="92">
        <f t="shared" ca="1" si="3568"/>
        <v>0</v>
      </c>
      <c r="AL237" s="92">
        <f t="shared" ca="1" si="3568"/>
        <v>0</v>
      </c>
      <c r="AM237" s="92">
        <f t="shared" ca="1" si="3568"/>
        <v>0</v>
      </c>
      <c r="AN237" s="92">
        <f t="shared" ca="1" si="3568"/>
        <v>0</v>
      </c>
      <c r="AO237" s="92">
        <f t="shared" ca="1" si="3568"/>
        <v>0</v>
      </c>
      <c r="AP237" s="92">
        <f t="shared" ca="1" si="3568"/>
        <v>0</v>
      </c>
      <c r="AQ237" s="92">
        <f t="shared" ca="1" si="3568"/>
        <v>0</v>
      </c>
      <c r="AR237" s="92">
        <f t="shared" ca="1" si="3568"/>
        <v>0</v>
      </c>
      <c r="AS237" s="92">
        <f t="shared" ca="1" si="3568"/>
        <v>0</v>
      </c>
      <c r="AT237" s="92">
        <f t="shared" ca="1" si="3568"/>
        <v>0</v>
      </c>
      <c r="AU237" s="92">
        <f t="shared" ca="1" si="3568"/>
        <v>0</v>
      </c>
      <c r="AV237" s="92">
        <f t="shared" ca="1" si="3568"/>
        <v>0</v>
      </c>
      <c r="AW237" s="92">
        <f t="shared" ca="1" si="3568"/>
        <v>0</v>
      </c>
      <c r="AX237" s="92">
        <f t="shared" ca="1" si="3568"/>
        <v>0</v>
      </c>
      <c r="AY237" s="92">
        <f t="shared" ref="AY237:CD237" ca="1" si="3569">IF(AY229="","",GI222)</f>
        <v>0</v>
      </c>
      <c r="AZ237" s="92">
        <f t="shared" ca="1" si="3569"/>
        <v>0</v>
      </c>
      <c r="BA237" s="92">
        <f t="shared" ca="1" si="3569"/>
        <v>0</v>
      </c>
      <c r="BB237" s="92">
        <f t="shared" ca="1" si="3569"/>
        <v>0</v>
      </c>
      <c r="BC237" s="92">
        <f t="shared" ca="1" si="3569"/>
        <v>0</v>
      </c>
      <c r="BD237" s="92" t="str">
        <f t="shared" si="3569"/>
        <v/>
      </c>
      <c r="BE237" s="92" t="str">
        <f t="shared" si="3569"/>
        <v/>
      </c>
      <c r="BF237" s="92" t="str">
        <f t="shared" si="3569"/>
        <v/>
      </c>
      <c r="BG237" s="92" t="str">
        <f t="shared" si="3569"/>
        <v/>
      </c>
      <c r="BH237" s="92" t="str">
        <f t="shared" si="3569"/>
        <v/>
      </c>
      <c r="BI237" s="92" t="str">
        <f t="shared" si="3569"/>
        <v/>
      </c>
      <c r="BJ237" s="92" t="str">
        <f t="shared" si="3569"/>
        <v/>
      </c>
      <c r="BK237" s="92" t="str">
        <f t="shared" si="3569"/>
        <v/>
      </c>
      <c r="BL237" s="92" t="str">
        <f t="shared" si="3569"/>
        <v/>
      </c>
      <c r="BM237" s="92" t="str">
        <f t="shared" si="3569"/>
        <v/>
      </c>
      <c r="BN237" s="92" t="str">
        <f t="shared" si="3569"/>
        <v/>
      </c>
      <c r="BO237" s="92" t="str">
        <f t="shared" si="3569"/>
        <v/>
      </c>
      <c r="BP237" s="92" t="str">
        <f t="shared" si="3569"/>
        <v/>
      </c>
      <c r="BQ237" s="92" t="str">
        <f t="shared" si="3569"/>
        <v/>
      </c>
      <c r="BR237" s="92" t="str">
        <f t="shared" si="3569"/>
        <v/>
      </c>
      <c r="BS237" s="92" t="str">
        <f t="shared" si="3569"/>
        <v/>
      </c>
      <c r="BT237" s="92" t="str">
        <f t="shared" si="3569"/>
        <v/>
      </c>
      <c r="BU237" s="92" t="str">
        <f t="shared" si="3569"/>
        <v/>
      </c>
      <c r="BV237" s="92" t="str">
        <f t="shared" si="3569"/>
        <v/>
      </c>
      <c r="BW237" s="92" t="str">
        <f t="shared" si="3569"/>
        <v/>
      </c>
      <c r="BX237" s="92" t="str">
        <f t="shared" si="3569"/>
        <v/>
      </c>
      <c r="BY237" s="92" t="str">
        <f t="shared" si="3569"/>
        <v/>
      </c>
      <c r="BZ237" s="92" t="str">
        <f t="shared" si="3569"/>
        <v/>
      </c>
      <c r="CA237" s="92" t="str">
        <f t="shared" si="3569"/>
        <v/>
      </c>
      <c r="CB237" s="92" t="str">
        <f t="shared" si="3569"/>
        <v/>
      </c>
      <c r="CC237" s="92" t="str">
        <f t="shared" si="3569"/>
        <v/>
      </c>
      <c r="CD237" s="92" t="str">
        <f t="shared" si="3569"/>
        <v/>
      </c>
      <c r="CE237" s="92" t="str">
        <f t="shared" ref="CE237:DJ237" si="3570">IF(CE229="","",HO222)</f>
        <v/>
      </c>
      <c r="CF237" s="92" t="str">
        <f t="shared" si="3570"/>
        <v/>
      </c>
      <c r="CG237" s="92" t="str">
        <f t="shared" si="3570"/>
        <v/>
      </c>
      <c r="CH237" s="92" t="str">
        <f t="shared" si="3570"/>
        <v/>
      </c>
      <c r="CI237" s="92" t="str">
        <f t="shared" si="3570"/>
        <v/>
      </c>
      <c r="CJ237" s="92" t="str">
        <f t="shared" si="3570"/>
        <v/>
      </c>
      <c r="CK237" s="92" t="str">
        <f t="shared" si="3570"/>
        <v/>
      </c>
      <c r="CL237" s="92" t="str">
        <f t="shared" si="3570"/>
        <v/>
      </c>
      <c r="CM237" s="92" t="str">
        <f t="shared" si="3570"/>
        <v/>
      </c>
      <c r="CN237" s="92" t="str">
        <f t="shared" si="3570"/>
        <v/>
      </c>
      <c r="CO237" s="92" t="str">
        <f t="shared" si="3570"/>
        <v/>
      </c>
      <c r="CP237" s="92" t="str">
        <f t="shared" si="3570"/>
        <v/>
      </c>
      <c r="CQ237" s="92" t="str">
        <f t="shared" si="3570"/>
        <v/>
      </c>
      <c r="CR237" s="92" t="str">
        <f t="shared" si="3570"/>
        <v/>
      </c>
      <c r="CS237" s="92" t="str">
        <f t="shared" si="3570"/>
        <v/>
      </c>
      <c r="CT237" s="92" t="str">
        <f t="shared" si="3570"/>
        <v/>
      </c>
      <c r="CU237" s="92" t="str">
        <f t="shared" si="3570"/>
        <v/>
      </c>
      <c r="CV237" s="92" t="str">
        <f t="shared" si="3570"/>
        <v/>
      </c>
      <c r="CW237" s="92" t="str">
        <f t="shared" si="3570"/>
        <v/>
      </c>
      <c r="CX237" s="92" t="str">
        <f t="shared" si="3570"/>
        <v/>
      </c>
      <c r="CY237" s="92" t="str">
        <f t="shared" si="3570"/>
        <v/>
      </c>
      <c r="CZ237" s="92" t="str">
        <f t="shared" si="3570"/>
        <v/>
      </c>
      <c r="DA237" s="92" t="str">
        <f t="shared" si="3570"/>
        <v/>
      </c>
      <c r="DB237" s="92" t="str">
        <f t="shared" si="3570"/>
        <v/>
      </c>
      <c r="DC237" s="92" t="str">
        <f t="shared" si="3570"/>
        <v/>
      </c>
      <c r="DD237" s="92" t="str">
        <f t="shared" si="3570"/>
        <v/>
      </c>
      <c r="DE237" s="92" t="str">
        <f t="shared" si="3570"/>
        <v/>
      </c>
      <c r="DF237" s="92" t="str">
        <f t="shared" si="3570"/>
        <v/>
      </c>
      <c r="DG237" s="92" t="str">
        <f t="shared" si="3570"/>
        <v/>
      </c>
      <c r="DH237" s="92" t="str">
        <f t="shared" si="3570"/>
        <v/>
      </c>
      <c r="DI237" s="92" t="str">
        <f t="shared" si="3570"/>
        <v/>
      </c>
      <c r="DJ237" s="92" t="str">
        <f t="shared" si="3570"/>
        <v/>
      </c>
      <c r="DK237" s="92" t="str">
        <f t="shared" ref="DK237:EP237" si="3571">IF(DK229="","",IU222)</f>
        <v/>
      </c>
      <c r="DL237" s="92" t="str">
        <f t="shared" si="3571"/>
        <v/>
      </c>
      <c r="DM237" s="92" t="str">
        <f t="shared" si="3571"/>
        <v/>
      </c>
      <c r="DN237" s="92" t="str">
        <f t="shared" si="3571"/>
        <v/>
      </c>
      <c r="DO237" s="92" t="str">
        <f t="shared" si="3571"/>
        <v/>
      </c>
      <c r="DP237" s="92" t="str">
        <f t="shared" si="3571"/>
        <v/>
      </c>
      <c r="DQ237" s="92" t="str">
        <f t="shared" si="3571"/>
        <v/>
      </c>
      <c r="DR237" s="92" t="str">
        <f t="shared" si="3571"/>
        <v/>
      </c>
      <c r="DS237" s="92" t="str">
        <f t="shared" si="3571"/>
        <v/>
      </c>
      <c r="DT237" s="92" t="str">
        <f t="shared" si="3571"/>
        <v/>
      </c>
      <c r="DU237" s="92" t="str">
        <f t="shared" si="3571"/>
        <v/>
      </c>
      <c r="DV237" s="92" t="str">
        <f t="shared" si="3571"/>
        <v/>
      </c>
      <c r="DW237" s="92" t="str">
        <f t="shared" si="3571"/>
        <v/>
      </c>
      <c r="DX237" s="92" t="str">
        <f t="shared" si="3571"/>
        <v/>
      </c>
      <c r="DY237" s="92" t="str">
        <f t="shared" si="3571"/>
        <v/>
      </c>
      <c r="DZ237" s="92" t="str">
        <f t="shared" si="3571"/>
        <v/>
      </c>
      <c r="EA237" s="92" t="str">
        <f t="shared" si="3571"/>
        <v/>
      </c>
      <c r="EB237" s="92" t="str">
        <f t="shared" si="3571"/>
        <v/>
      </c>
      <c r="EC237" s="92" t="str">
        <f t="shared" si="3571"/>
        <v/>
      </c>
      <c r="ED237" s="92" t="str">
        <f t="shared" si="3571"/>
        <v/>
      </c>
      <c r="EE237" s="92" t="str">
        <f t="shared" si="3571"/>
        <v/>
      </c>
      <c r="EF237" s="92" t="str">
        <f t="shared" si="3571"/>
        <v/>
      </c>
      <c r="EG237" s="92" t="str">
        <f t="shared" si="3571"/>
        <v/>
      </c>
      <c r="EH237" s="92" t="str">
        <f t="shared" si="3571"/>
        <v/>
      </c>
      <c r="EI237" s="92" t="str">
        <f t="shared" si="3571"/>
        <v/>
      </c>
      <c r="EJ237" s="92" t="str">
        <f t="shared" si="3571"/>
        <v/>
      </c>
      <c r="EK237" s="92" t="str">
        <f t="shared" si="3571"/>
        <v/>
      </c>
      <c r="EL237" s="92" t="str">
        <f t="shared" si="3571"/>
        <v/>
      </c>
      <c r="EM237" s="92" t="str">
        <f t="shared" si="3571"/>
        <v/>
      </c>
      <c r="EN237" s="92" t="str">
        <f t="shared" si="3571"/>
        <v/>
      </c>
      <c r="EO237" s="92" t="str">
        <f t="shared" si="3571"/>
        <v/>
      </c>
      <c r="EP237" s="92" t="str">
        <f t="shared" si="3571"/>
        <v/>
      </c>
      <c r="EQ237" s="92" t="str">
        <f t="shared" ref="EQ237:EU237" si="3572">IF(EQ229="","",KA222)</f>
        <v/>
      </c>
      <c r="ER237" s="92" t="str">
        <f t="shared" si="3572"/>
        <v/>
      </c>
      <c r="ES237" s="92" t="str">
        <f t="shared" si="3572"/>
        <v/>
      </c>
      <c r="ET237" s="92" t="str">
        <f t="shared" si="3572"/>
        <v/>
      </c>
      <c r="EU237" s="92" t="str">
        <f t="shared" si="3572"/>
        <v/>
      </c>
      <c r="EW237" s="201"/>
      <c r="EX237" s="201"/>
      <c r="EY237" s="228"/>
      <c r="EZ237" s="228"/>
      <c r="FA237" s="236"/>
      <c r="FB237" s="236"/>
      <c r="FC237" s="236"/>
      <c r="FD237" s="236"/>
      <c r="FE237" s="236"/>
      <c r="FF237" s="236"/>
      <c r="FG237" s="236"/>
      <c r="FH237" s="236"/>
      <c r="FI237" s="236"/>
      <c r="FJ237" s="236"/>
      <c r="FK237" s="236"/>
      <c r="FL237" s="236"/>
      <c r="FM237" s="236"/>
      <c r="FN237" s="236"/>
      <c r="FO237" s="236"/>
      <c r="FP237" s="236"/>
      <c r="FQ237" s="236"/>
      <c r="FR237" s="236"/>
      <c r="FS237" s="236"/>
      <c r="FT237" s="236"/>
      <c r="FU237" s="236"/>
      <c r="FV237" s="236"/>
      <c r="FW237" s="236"/>
      <c r="FX237" s="236"/>
      <c r="FY237" s="236"/>
      <c r="FZ237" s="236"/>
      <c r="GA237" s="236"/>
      <c r="GB237" s="236"/>
      <c r="GC237" s="236"/>
      <c r="GD237" s="236"/>
      <c r="GE237" s="236"/>
      <c r="GF237" s="236"/>
      <c r="GG237" s="236"/>
      <c r="GH237" s="236"/>
      <c r="GI237" s="236"/>
      <c r="GJ237" s="236"/>
      <c r="GK237" s="236"/>
      <c r="GL237" s="236"/>
      <c r="GM237" s="236"/>
      <c r="GN237" s="236"/>
      <c r="GO237" s="236"/>
      <c r="GP237" s="236"/>
      <c r="GQ237" s="236"/>
      <c r="GR237" s="236"/>
      <c r="GS237" s="236"/>
      <c r="GT237" s="236"/>
      <c r="GU237" s="236"/>
      <c r="GV237" s="236"/>
      <c r="GW237" s="236"/>
      <c r="GX237" s="236"/>
      <c r="GY237" s="236"/>
      <c r="GZ237" s="236"/>
      <c r="HA237" s="236"/>
      <c r="HB237" s="236"/>
      <c r="HC237" s="236"/>
      <c r="HD237" s="236"/>
      <c r="HE237" s="236"/>
      <c r="HF237" s="236"/>
      <c r="HG237" s="236"/>
      <c r="HH237" s="236"/>
      <c r="HI237" s="236"/>
      <c r="HJ237" s="236"/>
      <c r="HK237" s="236"/>
      <c r="HL237" s="236"/>
      <c r="HM237" s="236"/>
      <c r="HN237" s="236"/>
      <c r="HO237" s="236"/>
      <c r="HP237" s="236"/>
      <c r="HQ237" s="236"/>
      <c r="HR237" s="236"/>
      <c r="HS237" s="236"/>
      <c r="HT237" s="236"/>
      <c r="HU237" s="236"/>
      <c r="HV237" s="236"/>
      <c r="HW237" s="236"/>
      <c r="HX237" s="236"/>
      <c r="HY237" s="236"/>
      <c r="HZ237" s="236"/>
      <c r="IA237" s="236"/>
      <c r="IB237" s="236"/>
      <c r="IC237" s="236"/>
      <c r="ID237" s="236"/>
      <c r="IE237" s="236"/>
      <c r="IF237" s="236"/>
      <c r="IG237" s="236"/>
      <c r="IH237" s="236"/>
      <c r="II237" s="236"/>
      <c r="IJ237" s="236"/>
      <c r="IK237" s="236"/>
      <c r="IL237" s="236"/>
      <c r="IM237" s="236"/>
      <c r="IN237" s="236"/>
      <c r="IO237" s="236"/>
      <c r="IP237" s="236"/>
      <c r="IQ237" s="236"/>
      <c r="IR237" s="236"/>
      <c r="IS237" s="236"/>
      <c r="IT237" s="236"/>
      <c r="IU237" s="236"/>
      <c r="IV237" s="236"/>
      <c r="IW237" s="236"/>
      <c r="IX237" s="236"/>
      <c r="IY237" s="236"/>
      <c r="IZ237" s="236"/>
      <c r="JA237" s="236"/>
      <c r="JB237" s="236"/>
      <c r="JC237" s="236"/>
      <c r="JD237" s="236"/>
      <c r="JE237" s="236"/>
      <c r="JF237" s="236"/>
      <c r="JG237" s="236"/>
      <c r="JH237" s="236"/>
      <c r="JI237" s="236"/>
      <c r="JJ237" s="236"/>
      <c r="JK237" s="236"/>
      <c r="JL237" s="236"/>
      <c r="JM237" s="236"/>
      <c r="JN237" s="236"/>
      <c r="JO237" s="236"/>
      <c r="JP237" s="236"/>
      <c r="JQ237" s="236"/>
      <c r="JR237" s="236"/>
      <c r="JS237" s="236"/>
      <c r="JT237" s="236"/>
      <c r="JU237" s="236"/>
      <c r="JV237" s="236"/>
      <c r="JW237" s="236"/>
      <c r="JX237" s="236"/>
      <c r="JY237" s="236"/>
      <c r="JZ237" s="236"/>
      <c r="KA237" s="236"/>
      <c r="KB237" s="236"/>
      <c r="KC237" s="236"/>
      <c r="KD237" s="231"/>
      <c r="KE237" s="231"/>
      <c r="KF237" s="218" t="s">
        <v>269</v>
      </c>
      <c r="PQ237" s="201"/>
      <c r="PR237" s="201"/>
      <c r="PS237" s="201"/>
      <c r="PT237" s="201"/>
      <c r="PU237" s="201"/>
      <c r="PV237" s="201"/>
      <c r="PW237" s="201"/>
      <c r="PX237" s="201"/>
      <c r="PY237" s="201"/>
      <c r="PZ237" s="201"/>
      <c r="QA237" s="201"/>
      <c r="QB237" s="201"/>
      <c r="QC237" s="201"/>
      <c r="QD237" s="201"/>
      <c r="QE237" s="201"/>
      <c r="QF237" s="201"/>
      <c r="QG237" s="201"/>
      <c r="QH237" s="201"/>
      <c r="QI237" s="201"/>
      <c r="QJ237" s="201"/>
      <c r="QK237" s="201"/>
      <c r="QL237" s="201"/>
      <c r="QM237" s="201"/>
      <c r="QN237" s="201"/>
      <c r="QO237" s="201"/>
      <c r="QP237" s="201"/>
      <c r="QQ237" s="201"/>
      <c r="QR237" s="201"/>
      <c r="QS237" s="201"/>
      <c r="QT237" s="201"/>
      <c r="QU237" s="201"/>
      <c r="QV237" s="201"/>
      <c r="QW237" s="201"/>
      <c r="QX237" s="201"/>
      <c r="QY237" s="201"/>
      <c r="QZ237" s="201"/>
      <c r="RA237" s="201"/>
      <c r="RB237" s="201"/>
      <c r="RC237" s="201"/>
      <c r="RD237" s="201"/>
      <c r="RE237" s="201"/>
      <c r="RF237" s="201"/>
      <c r="RG237" s="201"/>
      <c r="RH237" s="201"/>
      <c r="RI237" s="201"/>
      <c r="RJ237" s="201"/>
      <c r="RK237" s="201"/>
      <c r="RL237" s="201"/>
      <c r="RM237" s="201"/>
      <c r="RN237" s="201"/>
      <c r="RO237" s="201"/>
      <c r="RP237" s="201"/>
      <c r="RQ237" s="201"/>
      <c r="RR237" s="201"/>
      <c r="RS237" s="201"/>
      <c r="RT237" s="201"/>
      <c r="RU237" s="201"/>
      <c r="RV237" s="201"/>
      <c r="RW237" s="201"/>
      <c r="RX237" s="201"/>
      <c r="RY237" s="201"/>
      <c r="RZ237" s="201"/>
      <c r="SA237" s="201"/>
      <c r="SB237" s="201"/>
      <c r="SC237" s="201"/>
      <c r="SD237" s="201"/>
      <c r="SE237" s="201"/>
      <c r="SF237" s="201"/>
      <c r="SG237" s="201"/>
      <c r="SH237" s="201"/>
      <c r="SI237" s="201"/>
      <c r="SJ237" s="201"/>
      <c r="SK237" s="201"/>
      <c r="SL237" s="201"/>
      <c r="SM237" s="201"/>
      <c r="SN237" s="201"/>
      <c r="SO237" s="201"/>
      <c r="SP237" s="201"/>
      <c r="SQ237" s="201"/>
      <c r="SR237" s="201"/>
      <c r="SS237" s="201"/>
      <c r="ST237" s="201"/>
      <c r="SU237" s="201"/>
      <c r="SV237" s="201"/>
      <c r="SW237" s="201"/>
      <c r="SX237" s="201"/>
      <c r="SY237" s="201"/>
      <c r="SZ237" s="201"/>
      <c r="TA237" s="201"/>
      <c r="TB237" s="201"/>
      <c r="TC237" s="201"/>
      <c r="TD237" s="201"/>
      <c r="TE237" s="201"/>
      <c r="TF237" s="201"/>
      <c r="TG237" s="201"/>
      <c r="TH237" s="201"/>
      <c r="TI237" s="201"/>
      <c r="TJ237" s="201"/>
      <c r="TK237" s="201"/>
      <c r="TL237" s="201"/>
      <c r="TM237" s="201"/>
      <c r="TN237" s="201"/>
      <c r="TO237" s="201"/>
      <c r="TP237" s="201"/>
      <c r="TQ237" s="201"/>
      <c r="TR237" s="201"/>
      <c r="TS237" s="201"/>
      <c r="TT237" s="201"/>
      <c r="TU237" s="201"/>
      <c r="TV237" s="201"/>
      <c r="TW237" s="201"/>
      <c r="TX237" s="201"/>
      <c r="TY237" s="201"/>
      <c r="TZ237" s="201"/>
      <c r="UA237" s="201"/>
      <c r="UB237" s="201"/>
      <c r="UC237" s="201"/>
      <c r="UD237" s="201"/>
      <c r="UE237" s="201"/>
      <c r="UF237" s="201"/>
      <c r="UG237" s="201"/>
      <c r="UH237" s="201"/>
      <c r="UI237" s="201"/>
      <c r="UJ237" s="201"/>
      <c r="UK237" s="201"/>
      <c r="UL237" s="201"/>
      <c r="UM237" s="201"/>
      <c r="UN237" s="201"/>
      <c r="UO237" s="201"/>
      <c r="UP237" s="201"/>
      <c r="UQ237" s="201"/>
      <c r="UR237" s="201"/>
      <c r="US237" s="201"/>
      <c r="UT237" s="201"/>
      <c r="UU237" s="201"/>
    </row>
    <row r="238" spans="1:567" ht="15.6" x14ac:dyDescent="0.4">
      <c r="B238" s="18" t="s">
        <v>240</v>
      </c>
      <c r="C238" s="41" t="s">
        <v>242</v>
      </c>
      <c r="D238" s="18"/>
      <c r="E238" s="530" t="s">
        <v>585</v>
      </c>
      <c r="F238" s="535">
        <v>0</v>
      </c>
      <c r="G238" s="67">
        <v>7.4999999999999997E-3</v>
      </c>
      <c r="H238" s="40"/>
      <c r="I238" s="532" t="s">
        <v>365</v>
      </c>
      <c r="J238" s="76">
        <f>1-J237</f>
        <v>0.95</v>
      </c>
      <c r="K238" s="80">
        <f ca="1">SUM(S238:EU238)</f>
        <v>26865102.25</v>
      </c>
      <c r="M238" s="3" t="s">
        <v>854</v>
      </c>
      <c r="R238" s="159" t="s">
        <v>380</v>
      </c>
      <c r="S238" s="96">
        <f t="shared" ref="S238:AX238" ca="1" si="3573">IF(S229="","",FC215)</f>
        <v>26865102.25</v>
      </c>
      <c r="T238" s="96">
        <f t="shared" ca="1" si="3573"/>
        <v>0</v>
      </c>
      <c r="U238" s="96">
        <f t="shared" ca="1" si="3573"/>
        <v>0</v>
      </c>
      <c r="V238" s="96">
        <f t="shared" ca="1" si="3573"/>
        <v>0</v>
      </c>
      <c r="W238" s="96">
        <f t="shared" ca="1" si="3573"/>
        <v>0</v>
      </c>
      <c r="X238" s="96">
        <f t="shared" ca="1" si="3573"/>
        <v>0</v>
      </c>
      <c r="Y238" s="96">
        <f t="shared" ca="1" si="3573"/>
        <v>0</v>
      </c>
      <c r="Z238" s="96">
        <f t="shared" ca="1" si="3573"/>
        <v>0</v>
      </c>
      <c r="AA238" s="96">
        <f t="shared" ca="1" si="3573"/>
        <v>0</v>
      </c>
      <c r="AB238" s="96">
        <f t="shared" ca="1" si="3573"/>
        <v>0</v>
      </c>
      <c r="AC238" s="96">
        <f t="shared" ca="1" si="3573"/>
        <v>0</v>
      </c>
      <c r="AD238" s="96">
        <f t="shared" ca="1" si="3573"/>
        <v>0</v>
      </c>
      <c r="AE238" s="96">
        <f t="shared" ca="1" si="3573"/>
        <v>0</v>
      </c>
      <c r="AF238" s="96">
        <f t="shared" ca="1" si="3573"/>
        <v>0</v>
      </c>
      <c r="AG238" s="96">
        <f t="shared" ca="1" si="3573"/>
        <v>0</v>
      </c>
      <c r="AH238" s="96">
        <f t="shared" ca="1" si="3573"/>
        <v>0</v>
      </c>
      <c r="AI238" s="96">
        <f t="shared" ca="1" si="3573"/>
        <v>0</v>
      </c>
      <c r="AJ238" s="96">
        <f t="shared" ca="1" si="3573"/>
        <v>0</v>
      </c>
      <c r="AK238" s="96">
        <f t="shared" ca="1" si="3573"/>
        <v>0</v>
      </c>
      <c r="AL238" s="96">
        <f t="shared" ca="1" si="3573"/>
        <v>0</v>
      </c>
      <c r="AM238" s="96">
        <f t="shared" ca="1" si="3573"/>
        <v>0</v>
      </c>
      <c r="AN238" s="96">
        <f t="shared" ca="1" si="3573"/>
        <v>0</v>
      </c>
      <c r="AO238" s="96">
        <f t="shared" ca="1" si="3573"/>
        <v>0</v>
      </c>
      <c r="AP238" s="96">
        <f t="shared" ca="1" si="3573"/>
        <v>0</v>
      </c>
      <c r="AQ238" s="96">
        <f t="shared" ca="1" si="3573"/>
        <v>0</v>
      </c>
      <c r="AR238" s="96">
        <f t="shared" ca="1" si="3573"/>
        <v>0</v>
      </c>
      <c r="AS238" s="96">
        <f t="shared" ca="1" si="3573"/>
        <v>0</v>
      </c>
      <c r="AT238" s="96">
        <f t="shared" ca="1" si="3573"/>
        <v>0</v>
      </c>
      <c r="AU238" s="96">
        <f t="shared" ca="1" si="3573"/>
        <v>0</v>
      </c>
      <c r="AV238" s="96">
        <f t="shared" ca="1" si="3573"/>
        <v>0</v>
      </c>
      <c r="AW238" s="96">
        <f t="shared" ca="1" si="3573"/>
        <v>0</v>
      </c>
      <c r="AX238" s="96">
        <f t="shared" ca="1" si="3573"/>
        <v>0</v>
      </c>
      <c r="AY238" s="96">
        <f t="shared" ref="AY238:CD238" ca="1" si="3574">IF(AY229="","",GI215)</f>
        <v>0</v>
      </c>
      <c r="AZ238" s="96">
        <f t="shared" ca="1" si="3574"/>
        <v>0</v>
      </c>
      <c r="BA238" s="96">
        <f t="shared" ca="1" si="3574"/>
        <v>0</v>
      </c>
      <c r="BB238" s="96">
        <f t="shared" ca="1" si="3574"/>
        <v>0</v>
      </c>
      <c r="BC238" s="96">
        <f t="shared" ca="1" si="3574"/>
        <v>0</v>
      </c>
      <c r="BD238" s="96" t="str">
        <f t="shared" si="3574"/>
        <v/>
      </c>
      <c r="BE238" s="96" t="str">
        <f t="shared" si="3574"/>
        <v/>
      </c>
      <c r="BF238" s="96" t="str">
        <f t="shared" si="3574"/>
        <v/>
      </c>
      <c r="BG238" s="96" t="str">
        <f t="shared" si="3574"/>
        <v/>
      </c>
      <c r="BH238" s="96" t="str">
        <f t="shared" si="3574"/>
        <v/>
      </c>
      <c r="BI238" s="96" t="str">
        <f t="shared" si="3574"/>
        <v/>
      </c>
      <c r="BJ238" s="96" t="str">
        <f t="shared" si="3574"/>
        <v/>
      </c>
      <c r="BK238" s="96" t="str">
        <f t="shared" si="3574"/>
        <v/>
      </c>
      <c r="BL238" s="96" t="str">
        <f t="shared" si="3574"/>
        <v/>
      </c>
      <c r="BM238" s="96" t="str">
        <f t="shared" si="3574"/>
        <v/>
      </c>
      <c r="BN238" s="96" t="str">
        <f t="shared" si="3574"/>
        <v/>
      </c>
      <c r="BO238" s="96" t="str">
        <f t="shared" si="3574"/>
        <v/>
      </c>
      <c r="BP238" s="96" t="str">
        <f t="shared" si="3574"/>
        <v/>
      </c>
      <c r="BQ238" s="96" t="str">
        <f t="shared" si="3574"/>
        <v/>
      </c>
      <c r="BR238" s="96" t="str">
        <f t="shared" si="3574"/>
        <v/>
      </c>
      <c r="BS238" s="96" t="str">
        <f t="shared" si="3574"/>
        <v/>
      </c>
      <c r="BT238" s="96" t="str">
        <f t="shared" si="3574"/>
        <v/>
      </c>
      <c r="BU238" s="96" t="str">
        <f t="shared" si="3574"/>
        <v/>
      </c>
      <c r="BV238" s="96" t="str">
        <f t="shared" si="3574"/>
        <v/>
      </c>
      <c r="BW238" s="96" t="str">
        <f t="shared" si="3574"/>
        <v/>
      </c>
      <c r="BX238" s="96" t="str">
        <f t="shared" si="3574"/>
        <v/>
      </c>
      <c r="BY238" s="96" t="str">
        <f t="shared" si="3574"/>
        <v/>
      </c>
      <c r="BZ238" s="96" t="str">
        <f t="shared" si="3574"/>
        <v/>
      </c>
      <c r="CA238" s="96" t="str">
        <f t="shared" si="3574"/>
        <v/>
      </c>
      <c r="CB238" s="96" t="str">
        <f t="shared" si="3574"/>
        <v/>
      </c>
      <c r="CC238" s="96" t="str">
        <f t="shared" si="3574"/>
        <v/>
      </c>
      <c r="CD238" s="96" t="str">
        <f t="shared" si="3574"/>
        <v/>
      </c>
      <c r="CE238" s="96" t="str">
        <f t="shared" ref="CE238:DJ238" si="3575">IF(CE229="","",HO215)</f>
        <v/>
      </c>
      <c r="CF238" s="96" t="str">
        <f t="shared" si="3575"/>
        <v/>
      </c>
      <c r="CG238" s="96" t="str">
        <f t="shared" si="3575"/>
        <v/>
      </c>
      <c r="CH238" s="96" t="str">
        <f t="shared" si="3575"/>
        <v/>
      </c>
      <c r="CI238" s="96" t="str">
        <f t="shared" si="3575"/>
        <v/>
      </c>
      <c r="CJ238" s="96" t="str">
        <f t="shared" si="3575"/>
        <v/>
      </c>
      <c r="CK238" s="96" t="str">
        <f t="shared" si="3575"/>
        <v/>
      </c>
      <c r="CL238" s="96" t="str">
        <f t="shared" si="3575"/>
        <v/>
      </c>
      <c r="CM238" s="96" t="str">
        <f t="shared" si="3575"/>
        <v/>
      </c>
      <c r="CN238" s="96" t="str">
        <f t="shared" si="3575"/>
        <v/>
      </c>
      <c r="CO238" s="96" t="str">
        <f t="shared" si="3575"/>
        <v/>
      </c>
      <c r="CP238" s="96" t="str">
        <f t="shared" si="3575"/>
        <v/>
      </c>
      <c r="CQ238" s="96" t="str">
        <f t="shared" si="3575"/>
        <v/>
      </c>
      <c r="CR238" s="96" t="str">
        <f t="shared" si="3575"/>
        <v/>
      </c>
      <c r="CS238" s="96" t="str">
        <f t="shared" si="3575"/>
        <v/>
      </c>
      <c r="CT238" s="96" t="str">
        <f t="shared" si="3575"/>
        <v/>
      </c>
      <c r="CU238" s="96" t="str">
        <f t="shared" si="3575"/>
        <v/>
      </c>
      <c r="CV238" s="96" t="str">
        <f t="shared" si="3575"/>
        <v/>
      </c>
      <c r="CW238" s="96" t="str">
        <f t="shared" si="3575"/>
        <v/>
      </c>
      <c r="CX238" s="96" t="str">
        <f t="shared" si="3575"/>
        <v/>
      </c>
      <c r="CY238" s="96" t="str">
        <f t="shared" si="3575"/>
        <v/>
      </c>
      <c r="CZ238" s="96" t="str">
        <f t="shared" si="3575"/>
        <v/>
      </c>
      <c r="DA238" s="96" t="str">
        <f t="shared" si="3575"/>
        <v/>
      </c>
      <c r="DB238" s="96" t="str">
        <f t="shared" si="3575"/>
        <v/>
      </c>
      <c r="DC238" s="96" t="str">
        <f t="shared" si="3575"/>
        <v/>
      </c>
      <c r="DD238" s="96" t="str">
        <f t="shared" si="3575"/>
        <v/>
      </c>
      <c r="DE238" s="96" t="str">
        <f t="shared" si="3575"/>
        <v/>
      </c>
      <c r="DF238" s="96" t="str">
        <f t="shared" si="3575"/>
        <v/>
      </c>
      <c r="DG238" s="96" t="str">
        <f t="shared" si="3575"/>
        <v/>
      </c>
      <c r="DH238" s="96" t="str">
        <f t="shared" si="3575"/>
        <v/>
      </c>
      <c r="DI238" s="96" t="str">
        <f t="shared" si="3575"/>
        <v/>
      </c>
      <c r="DJ238" s="96" t="str">
        <f t="shared" si="3575"/>
        <v/>
      </c>
      <c r="DK238" s="96" t="str">
        <f t="shared" ref="DK238:EP238" si="3576">IF(DK229="","",IU215)</f>
        <v/>
      </c>
      <c r="DL238" s="96" t="str">
        <f t="shared" si="3576"/>
        <v/>
      </c>
      <c r="DM238" s="96" t="str">
        <f t="shared" si="3576"/>
        <v/>
      </c>
      <c r="DN238" s="96" t="str">
        <f t="shared" si="3576"/>
        <v/>
      </c>
      <c r="DO238" s="96" t="str">
        <f t="shared" si="3576"/>
        <v/>
      </c>
      <c r="DP238" s="96" t="str">
        <f t="shared" si="3576"/>
        <v/>
      </c>
      <c r="DQ238" s="96" t="str">
        <f t="shared" si="3576"/>
        <v/>
      </c>
      <c r="DR238" s="96" t="str">
        <f t="shared" si="3576"/>
        <v/>
      </c>
      <c r="DS238" s="96" t="str">
        <f t="shared" si="3576"/>
        <v/>
      </c>
      <c r="DT238" s="96" t="str">
        <f t="shared" si="3576"/>
        <v/>
      </c>
      <c r="DU238" s="96" t="str">
        <f t="shared" si="3576"/>
        <v/>
      </c>
      <c r="DV238" s="96" t="str">
        <f t="shared" si="3576"/>
        <v/>
      </c>
      <c r="DW238" s="96" t="str">
        <f t="shared" si="3576"/>
        <v/>
      </c>
      <c r="DX238" s="96" t="str">
        <f t="shared" si="3576"/>
        <v/>
      </c>
      <c r="DY238" s="96" t="str">
        <f t="shared" si="3576"/>
        <v/>
      </c>
      <c r="DZ238" s="96" t="str">
        <f t="shared" si="3576"/>
        <v/>
      </c>
      <c r="EA238" s="96" t="str">
        <f t="shared" si="3576"/>
        <v/>
      </c>
      <c r="EB238" s="96" t="str">
        <f t="shared" si="3576"/>
        <v/>
      </c>
      <c r="EC238" s="96" t="str">
        <f t="shared" si="3576"/>
        <v/>
      </c>
      <c r="ED238" s="96" t="str">
        <f t="shared" si="3576"/>
        <v/>
      </c>
      <c r="EE238" s="96" t="str">
        <f t="shared" si="3576"/>
        <v/>
      </c>
      <c r="EF238" s="96" t="str">
        <f t="shared" si="3576"/>
        <v/>
      </c>
      <c r="EG238" s="96" t="str">
        <f t="shared" si="3576"/>
        <v/>
      </c>
      <c r="EH238" s="96" t="str">
        <f t="shared" si="3576"/>
        <v/>
      </c>
      <c r="EI238" s="96" t="str">
        <f t="shared" si="3576"/>
        <v/>
      </c>
      <c r="EJ238" s="96" t="str">
        <f t="shared" si="3576"/>
        <v/>
      </c>
      <c r="EK238" s="96" t="str">
        <f t="shared" si="3576"/>
        <v/>
      </c>
      <c r="EL238" s="96" t="str">
        <f t="shared" si="3576"/>
        <v/>
      </c>
      <c r="EM238" s="96" t="str">
        <f t="shared" si="3576"/>
        <v/>
      </c>
      <c r="EN238" s="96" t="str">
        <f t="shared" si="3576"/>
        <v/>
      </c>
      <c r="EO238" s="96" t="str">
        <f t="shared" si="3576"/>
        <v/>
      </c>
      <c r="EP238" s="96" t="str">
        <f t="shared" si="3576"/>
        <v/>
      </c>
      <c r="EQ238" s="96" t="str">
        <f t="shared" ref="EQ238:EU238" si="3577">IF(EQ229="","",KA215)</f>
        <v/>
      </c>
      <c r="ER238" s="96" t="str">
        <f t="shared" si="3577"/>
        <v/>
      </c>
      <c r="ES238" s="96" t="str">
        <f t="shared" si="3577"/>
        <v/>
      </c>
      <c r="ET238" s="96" t="str">
        <f t="shared" si="3577"/>
        <v/>
      </c>
      <c r="EU238" s="96" t="str">
        <f t="shared" si="3577"/>
        <v/>
      </c>
      <c r="EW238" s="201"/>
      <c r="EX238" s="201"/>
      <c r="EY238" s="228"/>
      <c r="EZ238" s="228"/>
      <c r="FA238" s="236"/>
      <c r="FB238" s="236"/>
      <c r="FC238" s="236"/>
      <c r="FD238" s="236"/>
      <c r="FE238" s="236"/>
      <c r="FF238" s="236"/>
      <c r="FG238" s="236"/>
      <c r="FH238" s="236"/>
      <c r="FI238" s="236"/>
      <c r="FJ238" s="236"/>
      <c r="FK238" s="236"/>
      <c r="FL238" s="236"/>
      <c r="FM238" s="236"/>
      <c r="FN238" s="236"/>
      <c r="FO238" s="236"/>
      <c r="FP238" s="236"/>
      <c r="FQ238" s="236"/>
      <c r="FR238" s="236"/>
      <c r="FS238" s="236"/>
      <c r="FT238" s="236"/>
      <c r="FU238" s="236"/>
      <c r="FV238" s="236"/>
      <c r="FW238" s="236"/>
      <c r="FX238" s="236"/>
      <c r="FY238" s="236"/>
      <c r="FZ238" s="236"/>
      <c r="GA238" s="236"/>
      <c r="GB238" s="236"/>
      <c r="GC238" s="236"/>
      <c r="GD238" s="236"/>
      <c r="GE238" s="236"/>
      <c r="GF238" s="236"/>
      <c r="GG238" s="236"/>
      <c r="GH238" s="236"/>
      <c r="GI238" s="236"/>
      <c r="GJ238" s="236"/>
      <c r="GK238" s="236"/>
      <c r="GL238" s="236"/>
      <c r="GM238" s="236"/>
      <c r="GN238" s="236"/>
      <c r="GO238" s="236"/>
      <c r="GP238" s="236"/>
      <c r="GQ238" s="236"/>
      <c r="GR238" s="236"/>
      <c r="GS238" s="236"/>
      <c r="GT238" s="236"/>
      <c r="GU238" s="236"/>
      <c r="GV238" s="236"/>
      <c r="GW238" s="236"/>
      <c r="GX238" s="236"/>
      <c r="GY238" s="236"/>
      <c r="GZ238" s="236"/>
      <c r="HA238" s="236"/>
      <c r="HB238" s="236"/>
      <c r="HC238" s="236"/>
      <c r="HD238" s="236"/>
      <c r="HE238" s="236"/>
      <c r="HF238" s="236"/>
      <c r="HG238" s="236"/>
      <c r="HH238" s="236"/>
      <c r="HI238" s="236"/>
      <c r="HJ238" s="236"/>
      <c r="HK238" s="236"/>
      <c r="HL238" s="236"/>
      <c r="HM238" s="236"/>
      <c r="HN238" s="236"/>
      <c r="HO238" s="236"/>
      <c r="HP238" s="236"/>
      <c r="HQ238" s="236"/>
      <c r="HR238" s="236"/>
      <c r="HS238" s="236"/>
      <c r="HT238" s="236"/>
      <c r="HU238" s="236"/>
      <c r="HV238" s="236"/>
      <c r="HW238" s="236"/>
      <c r="HX238" s="236"/>
      <c r="HY238" s="236"/>
      <c r="HZ238" s="236"/>
      <c r="IA238" s="236"/>
      <c r="IB238" s="236"/>
      <c r="IC238" s="236"/>
      <c r="ID238" s="236"/>
      <c r="IE238" s="236"/>
      <c r="IF238" s="236"/>
      <c r="IG238" s="236"/>
      <c r="IH238" s="236"/>
      <c r="II238" s="236"/>
      <c r="IJ238" s="236"/>
      <c r="IK238" s="236"/>
      <c r="IL238" s="236"/>
      <c r="IM238" s="236"/>
      <c r="IN238" s="236"/>
      <c r="IO238" s="236"/>
      <c r="IP238" s="236"/>
      <c r="IQ238" s="236"/>
      <c r="IR238" s="236"/>
      <c r="IS238" s="236"/>
      <c r="IT238" s="236"/>
      <c r="IU238" s="236"/>
      <c r="IV238" s="236"/>
      <c r="IW238" s="236"/>
      <c r="IX238" s="236"/>
      <c r="IY238" s="236"/>
      <c r="IZ238" s="236"/>
      <c r="JA238" s="236"/>
      <c r="JB238" s="236"/>
      <c r="JC238" s="236"/>
      <c r="JD238" s="236"/>
      <c r="JE238" s="236"/>
      <c r="JF238" s="236"/>
      <c r="JG238" s="236"/>
      <c r="JH238" s="236"/>
      <c r="JI238" s="236"/>
      <c r="JJ238" s="236"/>
      <c r="JK238" s="236"/>
      <c r="JL238" s="236"/>
      <c r="JM238" s="236"/>
      <c r="JN238" s="236"/>
      <c r="JO238" s="236"/>
      <c r="JP238" s="236"/>
      <c r="JQ238" s="236"/>
      <c r="JR238" s="236"/>
      <c r="JS238" s="236"/>
      <c r="JT238" s="236"/>
      <c r="JU238" s="236"/>
      <c r="JV238" s="236"/>
      <c r="JW238" s="236"/>
      <c r="JX238" s="236"/>
      <c r="JY238" s="236"/>
      <c r="JZ238" s="236"/>
      <c r="KA238" s="236"/>
      <c r="KB238" s="236"/>
      <c r="KC238" s="236"/>
      <c r="KD238" s="236"/>
      <c r="KE238" s="236"/>
      <c r="KF238" s="218"/>
      <c r="PQ238" s="201"/>
      <c r="PR238" s="201"/>
      <c r="PS238" s="201"/>
      <c r="PT238" s="201"/>
      <c r="PU238" s="201"/>
      <c r="PV238" s="201"/>
      <c r="PW238" s="201"/>
      <c r="PX238" s="201"/>
      <c r="PY238" s="201"/>
      <c r="PZ238" s="201"/>
      <c r="QA238" s="201"/>
      <c r="QB238" s="201"/>
      <c r="QC238" s="201"/>
      <c r="QD238" s="201"/>
      <c r="QE238" s="201"/>
      <c r="QF238" s="201"/>
      <c r="QG238" s="201"/>
      <c r="QH238" s="201"/>
      <c r="QI238" s="201"/>
      <c r="QJ238" s="201"/>
      <c r="QK238" s="201"/>
      <c r="QL238" s="201"/>
      <c r="QM238" s="201"/>
      <c r="QN238" s="201"/>
      <c r="QO238" s="201"/>
      <c r="QP238" s="201"/>
      <c r="QQ238" s="201"/>
      <c r="QR238" s="201"/>
      <c r="QS238" s="201"/>
      <c r="QT238" s="201"/>
      <c r="QU238" s="201"/>
      <c r="QV238" s="201"/>
      <c r="QW238" s="201"/>
      <c r="QX238" s="201"/>
      <c r="QY238" s="201"/>
      <c r="QZ238" s="201"/>
      <c r="RA238" s="201"/>
      <c r="RB238" s="201"/>
      <c r="RC238" s="201"/>
      <c r="RD238" s="201"/>
      <c r="RE238" s="201"/>
      <c r="RF238" s="201"/>
      <c r="RG238" s="201"/>
      <c r="RH238" s="201"/>
      <c r="RI238" s="201"/>
      <c r="RJ238" s="201"/>
      <c r="RK238" s="201"/>
      <c r="RL238" s="201"/>
      <c r="RM238" s="201"/>
      <c r="RN238" s="201"/>
      <c r="RO238" s="201"/>
      <c r="RP238" s="201"/>
      <c r="RQ238" s="201"/>
      <c r="RR238" s="201"/>
      <c r="RS238" s="201"/>
      <c r="RT238" s="201"/>
      <c r="RU238" s="201"/>
      <c r="RV238" s="201"/>
      <c r="RW238" s="201"/>
      <c r="RX238" s="201"/>
      <c r="RY238" s="201"/>
      <c r="RZ238" s="201"/>
      <c r="SA238" s="201"/>
      <c r="SB238" s="201"/>
      <c r="SC238" s="201"/>
      <c r="SD238" s="201"/>
      <c r="SE238" s="201"/>
      <c r="SF238" s="201"/>
      <c r="SG238" s="201"/>
      <c r="SH238" s="201"/>
      <c r="SI238" s="201"/>
      <c r="SJ238" s="201"/>
      <c r="SK238" s="201"/>
      <c r="SL238" s="201"/>
      <c r="SM238" s="201"/>
      <c r="SN238" s="201"/>
      <c r="SO238" s="201"/>
      <c r="SP238" s="201"/>
      <c r="SQ238" s="201"/>
      <c r="SR238" s="201"/>
      <c r="SS238" s="201"/>
      <c r="ST238" s="201"/>
      <c r="SU238" s="201"/>
      <c r="SV238" s="201"/>
      <c r="SW238" s="201"/>
      <c r="SX238" s="201"/>
      <c r="SY238" s="201"/>
      <c r="SZ238" s="201"/>
      <c r="TA238" s="201"/>
      <c r="TB238" s="201"/>
      <c r="TC238" s="201"/>
      <c r="TD238" s="201"/>
      <c r="TE238" s="201"/>
      <c r="TF238" s="201"/>
      <c r="TG238" s="201"/>
      <c r="TH238" s="201"/>
      <c r="TI238" s="201"/>
      <c r="TJ238" s="201"/>
      <c r="TK238" s="201"/>
      <c r="TL238" s="201"/>
      <c r="TM238" s="201"/>
      <c r="TN238" s="201"/>
      <c r="TO238" s="201"/>
      <c r="TP238" s="201"/>
      <c r="TQ238" s="201"/>
      <c r="TR238" s="201"/>
      <c r="TS238" s="201"/>
      <c r="TT238" s="201"/>
      <c r="TU238" s="201"/>
      <c r="TV238" s="201"/>
      <c r="TW238" s="201"/>
      <c r="TX238" s="201"/>
      <c r="TY238" s="201"/>
      <c r="TZ238" s="201"/>
      <c r="UA238" s="201"/>
      <c r="UB238" s="201"/>
      <c r="UC238" s="201"/>
      <c r="UD238" s="201"/>
      <c r="UE238" s="201"/>
      <c r="UF238" s="201"/>
      <c r="UG238" s="201"/>
      <c r="UH238" s="201"/>
      <c r="UI238" s="201"/>
      <c r="UJ238" s="201"/>
      <c r="UK238" s="201"/>
      <c r="UL238" s="201"/>
      <c r="UM238" s="201"/>
      <c r="UN238" s="201"/>
      <c r="UO238" s="201"/>
      <c r="UP238" s="201"/>
      <c r="UQ238" s="201"/>
      <c r="UR238" s="201"/>
      <c r="US238" s="201"/>
      <c r="UT238" s="201"/>
      <c r="UU238" s="201"/>
    </row>
    <row r="239" spans="1:567" x14ac:dyDescent="0.25">
      <c r="B239" s="18" t="s">
        <v>243</v>
      </c>
      <c r="C239" s="18"/>
      <c r="D239" s="18"/>
      <c r="E239" s="530"/>
      <c r="F239" s="26"/>
      <c r="G239" s="18"/>
      <c r="H239" s="18"/>
      <c r="I239" s="533"/>
      <c r="J239" s="45">
        <f>SUM(J237:J238)</f>
        <v>1</v>
      </c>
      <c r="K239" s="34">
        <f ca="1">SUM(K237:K238)</f>
        <v>28279055</v>
      </c>
      <c r="R239" s="159" t="s">
        <v>381</v>
      </c>
      <c r="S239" s="92">
        <f ca="1">IF(S229="","",SUM(S237:S238))</f>
        <v>28279055</v>
      </c>
      <c r="T239" s="92">
        <f t="shared" ref="T239:CE239" ca="1" si="3578">IF(T229="","",SUM(T237:T238))</f>
        <v>0</v>
      </c>
      <c r="U239" s="92">
        <f t="shared" ca="1" si="3578"/>
        <v>0</v>
      </c>
      <c r="V239" s="92">
        <f t="shared" ca="1" si="3578"/>
        <v>0</v>
      </c>
      <c r="W239" s="92">
        <f t="shared" ca="1" si="3578"/>
        <v>0</v>
      </c>
      <c r="X239" s="92">
        <f t="shared" ca="1" si="3578"/>
        <v>0</v>
      </c>
      <c r="Y239" s="92">
        <f t="shared" ca="1" si="3578"/>
        <v>0</v>
      </c>
      <c r="Z239" s="92">
        <f t="shared" ca="1" si="3578"/>
        <v>0</v>
      </c>
      <c r="AA239" s="92">
        <f t="shared" ca="1" si="3578"/>
        <v>0</v>
      </c>
      <c r="AB239" s="92">
        <f t="shared" ca="1" si="3578"/>
        <v>0</v>
      </c>
      <c r="AC239" s="92">
        <f t="shared" ca="1" si="3578"/>
        <v>0</v>
      </c>
      <c r="AD239" s="92">
        <f t="shared" ca="1" si="3578"/>
        <v>0</v>
      </c>
      <c r="AE239" s="92">
        <f t="shared" ca="1" si="3578"/>
        <v>0</v>
      </c>
      <c r="AF239" s="92">
        <f t="shared" ca="1" si="3578"/>
        <v>0</v>
      </c>
      <c r="AG239" s="92">
        <f t="shared" ca="1" si="3578"/>
        <v>0</v>
      </c>
      <c r="AH239" s="92">
        <f t="shared" ca="1" si="3578"/>
        <v>0</v>
      </c>
      <c r="AI239" s="92">
        <f t="shared" ca="1" si="3578"/>
        <v>0</v>
      </c>
      <c r="AJ239" s="92">
        <f t="shared" ca="1" si="3578"/>
        <v>0</v>
      </c>
      <c r="AK239" s="92">
        <f t="shared" ca="1" si="3578"/>
        <v>0</v>
      </c>
      <c r="AL239" s="92">
        <f t="shared" ca="1" si="3578"/>
        <v>0</v>
      </c>
      <c r="AM239" s="92">
        <f t="shared" ca="1" si="3578"/>
        <v>0</v>
      </c>
      <c r="AN239" s="92">
        <f t="shared" ca="1" si="3578"/>
        <v>0</v>
      </c>
      <c r="AO239" s="92">
        <f t="shared" ca="1" si="3578"/>
        <v>0</v>
      </c>
      <c r="AP239" s="92">
        <f t="shared" ca="1" si="3578"/>
        <v>0</v>
      </c>
      <c r="AQ239" s="92">
        <f t="shared" ca="1" si="3578"/>
        <v>0</v>
      </c>
      <c r="AR239" s="92">
        <f t="shared" ca="1" si="3578"/>
        <v>0</v>
      </c>
      <c r="AS239" s="92">
        <f t="shared" ca="1" si="3578"/>
        <v>0</v>
      </c>
      <c r="AT239" s="92">
        <f t="shared" ca="1" si="3578"/>
        <v>0</v>
      </c>
      <c r="AU239" s="92">
        <f t="shared" ca="1" si="3578"/>
        <v>0</v>
      </c>
      <c r="AV239" s="92">
        <f t="shared" ca="1" si="3578"/>
        <v>0</v>
      </c>
      <c r="AW239" s="92">
        <f t="shared" ca="1" si="3578"/>
        <v>0</v>
      </c>
      <c r="AX239" s="92">
        <f t="shared" ca="1" si="3578"/>
        <v>0</v>
      </c>
      <c r="AY239" s="92">
        <f t="shared" ca="1" si="3578"/>
        <v>0</v>
      </c>
      <c r="AZ239" s="92">
        <f t="shared" ca="1" si="3578"/>
        <v>0</v>
      </c>
      <c r="BA239" s="92">
        <f t="shared" ca="1" si="3578"/>
        <v>0</v>
      </c>
      <c r="BB239" s="92">
        <f t="shared" ca="1" si="3578"/>
        <v>0</v>
      </c>
      <c r="BC239" s="92">
        <f t="shared" ca="1" si="3578"/>
        <v>0</v>
      </c>
      <c r="BD239" s="92" t="str">
        <f t="shared" si="3578"/>
        <v/>
      </c>
      <c r="BE239" s="92" t="str">
        <f t="shared" si="3578"/>
        <v/>
      </c>
      <c r="BF239" s="92" t="str">
        <f t="shared" si="3578"/>
        <v/>
      </c>
      <c r="BG239" s="92" t="str">
        <f t="shared" si="3578"/>
        <v/>
      </c>
      <c r="BH239" s="92" t="str">
        <f t="shared" si="3578"/>
        <v/>
      </c>
      <c r="BI239" s="92" t="str">
        <f t="shared" si="3578"/>
        <v/>
      </c>
      <c r="BJ239" s="92" t="str">
        <f t="shared" si="3578"/>
        <v/>
      </c>
      <c r="BK239" s="92" t="str">
        <f t="shared" si="3578"/>
        <v/>
      </c>
      <c r="BL239" s="92" t="str">
        <f t="shared" si="3578"/>
        <v/>
      </c>
      <c r="BM239" s="92" t="str">
        <f t="shared" si="3578"/>
        <v/>
      </c>
      <c r="BN239" s="92" t="str">
        <f t="shared" si="3578"/>
        <v/>
      </c>
      <c r="BO239" s="92" t="str">
        <f t="shared" si="3578"/>
        <v/>
      </c>
      <c r="BP239" s="92" t="str">
        <f t="shared" si="3578"/>
        <v/>
      </c>
      <c r="BQ239" s="92" t="str">
        <f t="shared" si="3578"/>
        <v/>
      </c>
      <c r="BR239" s="92" t="str">
        <f t="shared" si="3578"/>
        <v/>
      </c>
      <c r="BS239" s="92" t="str">
        <f t="shared" si="3578"/>
        <v/>
      </c>
      <c r="BT239" s="92" t="str">
        <f t="shared" si="3578"/>
        <v/>
      </c>
      <c r="BU239" s="92" t="str">
        <f t="shared" si="3578"/>
        <v/>
      </c>
      <c r="BV239" s="92" t="str">
        <f t="shared" si="3578"/>
        <v/>
      </c>
      <c r="BW239" s="92" t="str">
        <f t="shared" si="3578"/>
        <v/>
      </c>
      <c r="BX239" s="92" t="str">
        <f t="shared" si="3578"/>
        <v/>
      </c>
      <c r="BY239" s="92" t="str">
        <f t="shared" si="3578"/>
        <v/>
      </c>
      <c r="BZ239" s="92" t="str">
        <f t="shared" si="3578"/>
        <v/>
      </c>
      <c r="CA239" s="92" t="str">
        <f t="shared" si="3578"/>
        <v/>
      </c>
      <c r="CB239" s="92" t="str">
        <f t="shared" si="3578"/>
        <v/>
      </c>
      <c r="CC239" s="92" t="str">
        <f t="shared" si="3578"/>
        <v/>
      </c>
      <c r="CD239" s="92" t="str">
        <f t="shared" si="3578"/>
        <v/>
      </c>
      <c r="CE239" s="92" t="str">
        <f t="shared" si="3578"/>
        <v/>
      </c>
      <c r="CF239" s="92" t="str">
        <f t="shared" ref="CF239:EQ239" si="3579">IF(CF229="","",SUM(CF237:CF238))</f>
        <v/>
      </c>
      <c r="CG239" s="92" t="str">
        <f t="shared" si="3579"/>
        <v/>
      </c>
      <c r="CH239" s="92" t="str">
        <f t="shared" si="3579"/>
        <v/>
      </c>
      <c r="CI239" s="92" t="str">
        <f t="shared" si="3579"/>
        <v/>
      </c>
      <c r="CJ239" s="92" t="str">
        <f t="shared" si="3579"/>
        <v/>
      </c>
      <c r="CK239" s="92" t="str">
        <f t="shared" si="3579"/>
        <v/>
      </c>
      <c r="CL239" s="92" t="str">
        <f t="shared" si="3579"/>
        <v/>
      </c>
      <c r="CM239" s="92" t="str">
        <f t="shared" si="3579"/>
        <v/>
      </c>
      <c r="CN239" s="92" t="str">
        <f t="shared" si="3579"/>
        <v/>
      </c>
      <c r="CO239" s="92" t="str">
        <f t="shared" si="3579"/>
        <v/>
      </c>
      <c r="CP239" s="92" t="str">
        <f t="shared" si="3579"/>
        <v/>
      </c>
      <c r="CQ239" s="92" t="str">
        <f t="shared" si="3579"/>
        <v/>
      </c>
      <c r="CR239" s="92" t="str">
        <f t="shared" si="3579"/>
        <v/>
      </c>
      <c r="CS239" s="92" t="str">
        <f t="shared" si="3579"/>
        <v/>
      </c>
      <c r="CT239" s="92" t="str">
        <f t="shared" si="3579"/>
        <v/>
      </c>
      <c r="CU239" s="92" t="str">
        <f t="shared" si="3579"/>
        <v/>
      </c>
      <c r="CV239" s="92" t="str">
        <f t="shared" si="3579"/>
        <v/>
      </c>
      <c r="CW239" s="92" t="str">
        <f t="shared" si="3579"/>
        <v/>
      </c>
      <c r="CX239" s="92" t="str">
        <f t="shared" si="3579"/>
        <v/>
      </c>
      <c r="CY239" s="92" t="str">
        <f t="shared" si="3579"/>
        <v/>
      </c>
      <c r="CZ239" s="92" t="str">
        <f t="shared" si="3579"/>
        <v/>
      </c>
      <c r="DA239" s="92" t="str">
        <f t="shared" si="3579"/>
        <v/>
      </c>
      <c r="DB239" s="92" t="str">
        <f t="shared" si="3579"/>
        <v/>
      </c>
      <c r="DC239" s="92" t="str">
        <f t="shared" si="3579"/>
        <v/>
      </c>
      <c r="DD239" s="92" t="str">
        <f t="shared" si="3579"/>
        <v/>
      </c>
      <c r="DE239" s="92" t="str">
        <f t="shared" si="3579"/>
        <v/>
      </c>
      <c r="DF239" s="92" t="str">
        <f t="shared" si="3579"/>
        <v/>
      </c>
      <c r="DG239" s="92" t="str">
        <f t="shared" si="3579"/>
        <v/>
      </c>
      <c r="DH239" s="92" t="str">
        <f t="shared" si="3579"/>
        <v/>
      </c>
      <c r="DI239" s="92" t="str">
        <f t="shared" si="3579"/>
        <v/>
      </c>
      <c r="DJ239" s="92" t="str">
        <f t="shared" si="3579"/>
        <v/>
      </c>
      <c r="DK239" s="92" t="str">
        <f t="shared" si="3579"/>
        <v/>
      </c>
      <c r="DL239" s="92" t="str">
        <f t="shared" si="3579"/>
        <v/>
      </c>
      <c r="DM239" s="92" t="str">
        <f t="shared" si="3579"/>
        <v/>
      </c>
      <c r="DN239" s="92" t="str">
        <f t="shared" si="3579"/>
        <v/>
      </c>
      <c r="DO239" s="92" t="str">
        <f t="shared" si="3579"/>
        <v/>
      </c>
      <c r="DP239" s="92" t="str">
        <f t="shared" si="3579"/>
        <v/>
      </c>
      <c r="DQ239" s="92" t="str">
        <f t="shared" si="3579"/>
        <v/>
      </c>
      <c r="DR239" s="92" t="str">
        <f t="shared" si="3579"/>
        <v/>
      </c>
      <c r="DS239" s="92" t="str">
        <f t="shared" si="3579"/>
        <v/>
      </c>
      <c r="DT239" s="92" t="str">
        <f t="shared" si="3579"/>
        <v/>
      </c>
      <c r="DU239" s="92" t="str">
        <f t="shared" si="3579"/>
        <v/>
      </c>
      <c r="DV239" s="92" t="str">
        <f t="shared" si="3579"/>
        <v/>
      </c>
      <c r="DW239" s="92" t="str">
        <f t="shared" si="3579"/>
        <v/>
      </c>
      <c r="DX239" s="92" t="str">
        <f t="shared" si="3579"/>
        <v/>
      </c>
      <c r="DY239" s="92" t="str">
        <f t="shared" si="3579"/>
        <v/>
      </c>
      <c r="DZ239" s="92" t="str">
        <f t="shared" si="3579"/>
        <v/>
      </c>
      <c r="EA239" s="92" t="str">
        <f t="shared" si="3579"/>
        <v/>
      </c>
      <c r="EB239" s="92" t="str">
        <f t="shared" si="3579"/>
        <v/>
      </c>
      <c r="EC239" s="92" t="str">
        <f t="shared" si="3579"/>
        <v/>
      </c>
      <c r="ED239" s="92" t="str">
        <f t="shared" si="3579"/>
        <v/>
      </c>
      <c r="EE239" s="92" t="str">
        <f t="shared" si="3579"/>
        <v/>
      </c>
      <c r="EF239" s="92" t="str">
        <f t="shared" si="3579"/>
        <v/>
      </c>
      <c r="EG239" s="92" t="str">
        <f t="shared" si="3579"/>
        <v/>
      </c>
      <c r="EH239" s="92" t="str">
        <f t="shared" si="3579"/>
        <v/>
      </c>
      <c r="EI239" s="92" t="str">
        <f t="shared" si="3579"/>
        <v/>
      </c>
      <c r="EJ239" s="92" t="str">
        <f t="shared" si="3579"/>
        <v/>
      </c>
      <c r="EK239" s="92" t="str">
        <f t="shared" si="3579"/>
        <v/>
      </c>
      <c r="EL239" s="92" t="str">
        <f t="shared" si="3579"/>
        <v/>
      </c>
      <c r="EM239" s="92" t="str">
        <f t="shared" si="3579"/>
        <v/>
      </c>
      <c r="EN239" s="92" t="str">
        <f t="shared" si="3579"/>
        <v/>
      </c>
      <c r="EO239" s="92" t="str">
        <f t="shared" si="3579"/>
        <v/>
      </c>
      <c r="EP239" s="92" t="str">
        <f t="shared" si="3579"/>
        <v/>
      </c>
      <c r="EQ239" s="92" t="str">
        <f t="shared" si="3579"/>
        <v/>
      </c>
      <c r="ER239" s="92" t="str">
        <f t="shared" ref="ER239:EU239" si="3580">IF(ER229="","",SUM(ER237:ER238))</f>
        <v/>
      </c>
      <c r="ES239" s="92" t="str">
        <f t="shared" si="3580"/>
        <v/>
      </c>
      <c r="ET239" s="92" t="str">
        <f t="shared" si="3580"/>
        <v/>
      </c>
      <c r="EU239" s="92" t="str">
        <f t="shared" si="3580"/>
        <v/>
      </c>
      <c r="EW239" s="201" t="s">
        <v>272</v>
      </c>
      <c r="EX239" s="201"/>
      <c r="EY239" s="228"/>
      <c r="EZ239" s="228"/>
      <c r="FA239" s="236"/>
      <c r="FB239" s="236"/>
      <c r="FC239" s="236">
        <f t="shared" ref="FC239:GH239" ca="1" si="3581">IF(FC229="","",IF(GP_Only?,0,FC234/$K$243*$J$243))</f>
        <v>0</v>
      </c>
      <c r="FD239" s="236">
        <f t="shared" ca="1" si="3581"/>
        <v>2.6375346351414922E-13</v>
      </c>
      <c r="FE239" s="236">
        <f t="shared" ca="1" si="3581"/>
        <v>9.2313712229952207E-13</v>
      </c>
      <c r="FF239" s="236">
        <f t="shared" ca="1" si="3581"/>
        <v>0</v>
      </c>
      <c r="FG239" s="236">
        <f t="shared" ca="1" si="3581"/>
        <v>1.3187673175707463E-12</v>
      </c>
      <c r="FH239" s="236">
        <f t="shared" ca="1" si="3581"/>
        <v>2.6375346351414922E-13</v>
      </c>
      <c r="FI239" s="236">
        <f t="shared" ca="1" si="3581"/>
        <v>2.6375346351414922E-13</v>
      </c>
      <c r="FJ239" s="236">
        <f t="shared" ca="1" si="3581"/>
        <v>5.2750692702829844E-13</v>
      </c>
      <c r="FK239" s="236">
        <f t="shared" ca="1" si="3581"/>
        <v>0</v>
      </c>
      <c r="FL239" s="236">
        <f t="shared" ca="1" si="3581"/>
        <v>1.1868905858136715E-12</v>
      </c>
      <c r="FM239" s="236">
        <f t="shared" ca="1" si="3581"/>
        <v>1.0550138540565969E-12</v>
      </c>
      <c r="FN239" s="236">
        <f t="shared" ca="1" si="3581"/>
        <v>6.5938365878537315E-13</v>
      </c>
      <c r="FO239" s="236">
        <f t="shared" ca="1" si="3581"/>
        <v>6.5938365878537315E-13</v>
      </c>
      <c r="FP239" s="236">
        <f t="shared" ca="1" si="3581"/>
        <v>0</v>
      </c>
      <c r="FQ239" s="236">
        <f t="shared" ca="1" si="3581"/>
        <v>6.5938365878537315E-13</v>
      </c>
      <c r="FR239" s="236">
        <f t="shared" ca="1" si="3581"/>
        <v>0</v>
      </c>
      <c r="FS239" s="236">
        <f t="shared" ca="1" si="3581"/>
        <v>0</v>
      </c>
      <c r="FT239" s="236">
        <f t="shared" ca="1" si="3581"/>
        <v>1.8462742445990441E-12</v>
      </c>
      <c r="FU239" s="236">
        <f t="shared" ca="1" si="3581"/>
        <v>9.2313712229952207E-13</v>
      </c>
      <c r="FV239" s="236">
        <f t="shared" ca="1" si="3581"/>
        <v>6.5938365878537315E-13</v>
      </c>
      <c r="FW239" s="236">
        <f t="shared" ca="1" si="3581"/>
        <v>1.3187673175707461E-13</v>
      </c>
      <c r="FX239" s="236">
        <f t="shared" ca="1" si="3581"/>
        <v>3.9563019527122383E-13</v>
      </c>
      <c r="FY239" s="236">
        <f t="shared" ca="1" si="3581"/>
        <v>2.6375346351414926E-12</v>
      </c>
      <c r="FZ239" s="236">
        <f t="shared" ca="1" si="3581"/>
        <v>2.2419044398702684E-12</v>
      </c>
      <c r="GA239" s="236">
        <f t="shared" ca="1" si="3581"/>
        <v>2.6375346351414926E-12</v>
      </c>
      <c r="GB239" s="236">
        <f t="shared" ca="1" si="3581"/>
        <v>1.5825207810848953E-12</v>
      </c>
      <c r="GC239" s="236">
        <f t="shared" ca="1" si="3581"/>
        <v>0</v>
      </c>
      <c r="GD239" s="236">
        <f t="shared" ca="1" si="3581"/>
        <v>2.373781171627343E-12</v>
      </c>
      <c r="GE239" s="236">
        <f t="shared" ca="1" si="3581"/>
        <v>0</v>
      </c>
      <c r="GF239" s="236">
        <f t="shared" ca="1" si="3581"/>
        <v>0</v>
      </c>
      <c r="GG239" s="236">
        <f t="shared" ca="1" si="3581"/>
        <v>0</v>
      </c>
      <c r="GH239" s="236">
        <f t="shared" ca="1" si="3581"/>
        <v>2.6375346351414922E-13</v>
      </c>
      <c r="GI239" s="236">
        <f t="shared" ref="GI239:HN239" ca="1" si="3582">IF(GI229="","",IF(GP_Only?,0,GI234/$K$243*$J$243))</f>
        <v>1.0550138540565969E-12</v>
      </c>
      <c r="GJ239" s="236">
        <f t="shared" ca="1" si="3582"/>
        <v>0</v>
      </c>
      <c r="GK239" s="236">
        <f t="shared" ca="1" si="3582"/>
        <v>2.373781171627343E-12</v>
      </c>
      <c r="GL239" s="236">
        <f t="shared" ca="1" si="3582"/>
        <v>1.3187673175707463E-12</v>
      </c>
      <c r="GM239" s="236">
        <f t="shared" ca="1" si="3582"/>
        <v>471043.56183536287</v>
      </c>
      <c r="GN239" s="236" t="str">
        <f t="shared" si="3582"/>
        <v/>
      </c>
      <c r="GO239" s="236" t="str">
        <f t="shared" si="3582"/>
        <v/>
      </c>
      <c r="GP239" s="236" t="str">
        <f t="shared" si="3582"/>
        <v/>
      </c>
      <c r="GQ239" s="236" t="str">
        <f t="shared" si="3582"/>
        <v/>
      </c>
      <c r="GR239" s="236" t="str">
        <f t="shared" si="3582"/>
        <v/>
      </c>
      <c r="GS239" s="236" t="str">
        <f t="shared" si="3582"/>
        <v/>
      </c>
      <c r="GT239" s="236" t="str">
        <f t="shared" si="3582"/>
        <v/>
      </c>
      <c r="GU239" s="236" t="str">
        <f t="shared" si="3582"/>
        <v/>
      </c>
      <c r="GV239" s="236" t="str">
        <f t="shared" si="3582"/>
        <v/>
      </c>
      <c r="GW239" s="236" t="str">
        <f t="shared" si="3582"/>
        <v/>
      </c>
      <c r="GX239" s="236" t="str">
        <f t="shared" si="3582"/>
        <v/>
      </c>
      <c r="GY239" s="236" t="str">
        <f t="shared" si="3582"/>
        <v/>
      </c>
      <c r="GZ239" s="236" t="str">
        <f t="shared" si="3582"/>
        <v/>
      </c>
      <c r="HA239" s="236" t="str">
        <f t="shared" si="3582"/>
        <v/>
      </c>
      <c r="HB239" s="236" t="str">
        <f t="shared" si="3582"/>
        <v/>
      </c>
      <c r="HC239" s="236" t="str">
        <f t="shared" si="3582"/>
        <v/>
      </c>
      <c r="HD239" s="236" t="str">
        <f t="shared" si="3582"/>
        <v/>
      </c>
      <c r="HE239" s="236" t="str">
        <f t="shared" si="3582"/>
        <v/>
      </c>
      <c r="HF239" s="236" t="str">
        <f t="shared" si="3582"/>
        <v/>
      </c>
      <c r="HG239" s="236" t="str">
        <f t="shared" si="3582"/>
        <v/>
      </c>
      <c r="HH239" s="236" t="str">
        <f t="shared" si="3582"/>
        <v/>
      </c>
      <c r="HI239" s="236" t="str">
        <f t="shared" si="3582"/>
        <v/>
      </c>
      <c r="HJ239" s="236" t="str">
        <f t="shared" si="3582"/>
        <v/>
      </c>
      <c r="HK239" s="236" t="str">
        <f t="shared" si="3582"/>
        <v/>
      </c>
      <c r="HL239" s="236" t="str">
        <f t="shared" si="3582"/>
        <v/>
      </c>
      <c r="HM239" s="236" t="str">
        <f t="shared" si="3582"/>
        <v/>
      </c>
      <c r="HN239" s="236" t="str">
        <f t="shared" si="3582"/>
        <v/>
      </c>
      <c r="HO239" s="236" t="str">
        <f t="shared" ref="HO239:IT239" si="3583">IF(HO229="","",IF(GP_Only?,0,HO234/$K$243*$J$243))</f>
        <v/>
      </c>
      <c r="HP239" s="236" t="str">
        <f t="shared" si="3583"/>
        <v/>
      </c>
      <c r="HQ239" s="236" t="str">
        <f t="shared" si="3583"/>
        <v/>
      </c>
      <c r="HR239" s="236" t="str">
        <f t="shared" si="3583"/>
        <v/>
      </c>
      <c r="HS239" s="236" t="str">
        <f t="shared" si="3583"/>
        <v/>
      </c>
      <c r="HT239" s="236" t="str">
        <f t="shared" si="3583"/>
        <v/>
      </c>
      <c r="HU239" s="236" t="str">
        <f t="shared" si="3583"/>
        <v/>
      </c>
      <c r="HV239" s="236" t="str">
        <f t="shared" si="3583"/>
        <v/>
      </c>
      <c r="HW239" s="236" t="str">
        <f t="shared" si="3583"/>
        <v/>
      </c>
      <c r="HX239" s="236" t="str">
        <f t="shared" si="3583"/>
        <v/>
      </c>
      <c r="HY239" s="236" t="str">
        <f t="shared" si="3583"/>
        <v/>
      </c>
      <c r="HZ239" s="236" t="str">
        <f t="shared" si="3583"/>
        <v/>
      </c>
      <c r="IA239" s="236" t="str">
        <f t="shared" si="3583"/>
        <v/>
      </c>
      <c r="IB239" s="236" t="str">
        <f t="shared" si="3583"/>
        <v/>
      </c>
      <c r="IC239" s="236" t="str">
        <f t="shared" si="3583"/>
        <v/>
      </c>
      <c r="ID239" s="236" t="str">
        <f t="shared" si="3583"/>
        <v/>
      </c>
      <c r="IE239" s="236" t="str">
        <f t="shared" si="3583"/>
        <v/>
      </c>
      <c r="IF239" s="236" t="str">
        <f t="shared" si="3583"/>
        <v/>
      </c>
      <c r="IG239" s="236" t="str">
        <f t="shared" si="3583"/>
        <v/>
      </c>
      <c r="IH239" s="236" t="str">
        <f t="shared" si="3583"/>
        <v/>
      </c>
      <c r="II239" s="236" t="str">
        <f t="shared" si="3583"/>
        <v/>
      </c>
      <c r="IJ239" s="236" t="str">
        <f t="shared" si="3583"/>
        <v/>
      </c>
      <c r="IK239" s="236" t="str">
        <f t="shared" si="3583"/>
        <v/>
      </c>
      <c r="IL239" s="236" t="str">
        <f t="shared" si="3583"/>
        <v/>
      </c>
      <c r="IM239" s="236" t="str">
        <f t="shared" si="3583"/>
        <v/>
      </c>
      <c r="IN239" s="236" t="str">
        <f t="shared" si="3583"/>
        <v/>
      </c>
      <c r="IO239" s="236" t="str">
        <f t="shared" si="3583"/>
        <v/>
      </c>
      <c r="IP239" s="236" t="str">
        <f t="shared" si="3583"/>
        <v/>
      </c>
      <c r="IQ239" s="236" t="str">
        <f t="shared" si="3583"/>
        <v/>
      </c>
      <c r="IR239" s="236" t="str">
        <f t="shared" si="3583"/>
        <v/>
      </c>
      <c r="IS239" s="236" t="str">
        <f t="shared" si="3583"/>
        <v/>
      </c>
      <c r="IT239" s="236" t="str">
        <f t="shared" si="3583"/>
        <v/>
      </c>
      <c r="IU239" s="236" t="str">
        <f t="shared" ref="IU239:KE239" si="3584">IF(IU229="","",IF(GP_Only?,0,IU234/$K$243*$J$243))</f>
        <v/>
      </c>
      <c r="IV239" s="236" t="str">
        <f t="shared" si="3584"/>
        <v/>
      </c>
      <c r="IW239" s="236" t="str">
        <f t="shared" si="3584"/>
        <v/>
      </c>
      <c r="IX239" s="236" t="str">
        <f t="shared" si="3584"/>
        <v/>
      </c>
      <c r="IY239" s="236" t="str">
        <f t="shared" si="3584"/>
        <v/>
      </c>
      <c r="IZ239" s="236" t="str">
        <f t="shared" si="3584"/>
        <v/>
      </c>
      <c r="JA239" s="236" t="str">
        <f t="shared" si="3584"/>
        <v/>
      </c>
      <c r="JB239" s="236" t="str">
        <f t="shared" si="3584"/>
        <v/>
      </c>
      <c r="JC239" s="236" t="str">
        <f t="shared" si="3584"/>
        <v/>
      </c>
      <c r="JD239" s="236" t="str">
        <f t="shared" si="3584"/>
        <v/>
      </c>
      <c r="JE239" s="236" t="str">
        <f t="shared" si="3584"/>
        <v/>
      </c>
      <c r="JF239" s="236" t="str">
        <f t="shared" si="3584"/>
        <v/>
      </c>
      <c r="JG239" s="236" t="str">
        <f t="shared" si="3584"/>
        <v/>
      </c>
      <c r="JH239" s="236" t="str">
        <f t="shared" si="3584"/>
        <v/>
      </c>
      <c r="JI239" s="236" t="str">
        <f t="shared" si="3584"/>
        <v/>
      </c>
      <c r="JJ239" s="236" t="str">
        <f t="shared" si="3584"/>
        <v/>
      </c>
      <c r="JK239" s="236" t="str">
        <f t="shared" si="3584"/>
        <v/>
      </c>
      <c r="JL239" s="236" t="str">
        <f t="shared" si="3584"/>
        <v/>
      </c>
      <c r="JM239" s="236" t="str">
        <f t="shared" si="3584"/>
        <v/>
      </c>
      <c r="JN239" s="236" t="str">
        <f t="shared" si="3584"/>
        <v/>
      </c>
      <c r="JO239" s="236" t="str">
        <f t="shared" si="3584"/>
        <v/>
      </c>
      <c r="JP239" s="236" t="str">
        <f t="shared" si="3584"/>
        <v/>
      </c>
      <c r="JQ239" s="236" t="str">
        <f t="shared" si="3584"/>
        <v/>
      </c>
      <c r="JR239" s="236" t="str">
        <f t="shared" si="3584"/>
        <v/>
      </c>
      <c r="JS239" s="236" t="str">
        <f t="shared" si="3584"/>
        <v/>
      </c>
      <c r="JT239" s="236" t="str">
        <f t="shared" si="3584"/>
        <v/>
      </c>
      <c r="JU239" s="236" t="str">
        <f t="shared" si="3584"/>
        <v/>
      </c>
      <c r="JV239" s="236" t="str">
        <f t="shared" si="3584"/>
        <v/>
      </c>
      <c r="JW239" s="236" t="str">
        <f t="shared" si="3584"/>
        <v/>
      </c>
      <c r="JX239" s="236" t="str">
        <f t="shared" si="3584"/>
        <v/>
      </c>
      <c r="JY239" s="236" t="str">
        <f t="shared" si="3584"/>
        <v/>
      </c>
      <c r="JZ239" s="236" t="str">
        <f t="shared" si="3584"/>
        <v/>
      </c>
      <c r="KA239" s="236" t="str">
        <f t="shared" si="3584"/>
        <v/>
      </c>
      <c r="KB239" s="236" t="str">
        <f t="shared" si="3584"/>
        <v/>
      </c>
      <c r="KC239" s="236" t="str">
        <f t="shared" si="3584"/>
        <v/>
      </c>
      <c r="KD239" s="236" t="str">
        <f t="shared" si="3584"/>
        <v/>
      </c>
      <c r="KE239" s="236" t="str">
        <f t="shared" si="3584"/>
        <v/>
      </c>
      <c r="KF239" s="218" t="s">
        <v>269</v>
      </c>
      <c r="PQ239" s="201"/>
      <c r="PR239" s="201"/>
      <c r="PS239" s="201"/>
      <c r="PT239" s="201"/>
      <c r="PU239" s="201"/>
      <c r="PV239" s="201"/>
      <c r="PW239" s="201"/>
      <c r="PX239" s="201"/>
      <c r="PY239" s="201"/>
      <c r="PZ239" s="201"/>
      <c r="QA239" s="201"/>
      <c r="QB239" s="201"/>
      <c r="QC239" s="201"/>
      <c r="QD239" s="201"/>
      <c r="QE239" s="201"/>
      <c r="QF239" s="201"/>
      <c r="QG239" s="201"/>
      <c r="QH239" s="201"/>
      <c r="QI239" s="201"/>
      <c r="QJ239" s="201"/>
      <c r="QK239" s="201"/>
      <c r="QL239" s="201"/>
      <c r="QM239" s="201"/>
      <c r="QN239" s="201"/>
      <c r="QO239" s="201"/>
      <c r="QP239" s="201"/>
      <c r="QQ239" s="201"/>
      <c r="QR239" s="201"/>
      <c r="QS239" s="201"/>
      <c r="QT239" s="201"/>
      <c r="QU239" s="201"/>
      <c r="QV239" s="201"/>
      <c r="QW239" s="201"/>
      <c r="QX239" s="201"/>
      <c r="QY239" s="201"/>
      <c r="QZ239" s="201"/>
      <c r="RA239" s="201"/>
      <c r="RB239" s="201"/>
      <c r="RC239" s="201"/>
      <c r="RD239" s="201"/>
      <c r="RE239" s="201"/>
      <c r="RF239" s="201"/>
      <c r="RG239" s="201"/>
      <c r="RH239" s="201"/>
      <c r="RI239" s="201"/>
      <c r="RJ239" s="201"/>
      <c r="RK239" s="201"/>
      <c r="RL239" s="201"/>
      <c r="RM239" s="201"/>
      <c r="RN239" s="201"/>
      <c r="RO239" s="201"/>
      <c r="RP239" s="201"/>
      <c r="RQ239" s="201"/>
      <c r="RR239" s="201"/>
      <c r="RS239" s="201"/>
      <c r="RT239" s="201"/>
      <c r="RU239" s="201"/>
      <c r="RV239" s="201"/>
      <c r="RW239" s="201"/>
      <c r="RX239" s="201"/>
      <c r="RY239" s="201"/>
      <c r="RZ239" s="201"/>
      <c r="SA239" s="201"/>
      <c r="SB239" s="201"/>
      <c r="SC239" s="201"/>
      <c r="SD239" s="201"/>
      <c r="SE239" s="201"/>
      <c r="SF239" s="201"/>
      <c r="SG239" s="201"/>
      <c r="SH239" s="201"/>
      <c r="SI239" s="201"/>
      <c r="SJ239" s="201"/>
      <c r="SK239" s="201"/>
      <c r="SL239" s="201"/>
      <c r="SM239" s="201"/>
      <c r="SN239" s="201"/>
      <c r="SO239" s="201"/>
      <c r="SP239" s="201"/>
      <c r="SQ239" s="201"/>
      <c r="SR239" s="201"/>
      <c r="SS239" s="201"/>
      <c r="ST239" s="201"/>
      <c r="SU239" s="201"/>
      <c r="SV239" s="201"/>
      <c r="SW239" s="201"/>
      <c r="SX239" s="201"/>
      <c r="SY239" s="201"/>
      <c r="SZ239" s="201"/>
      <c r="TA239" s="201"/>
      <c r="TB239" s="201"/>
      <c r="TC239" s="201"/>
      <c r="TD239" s="201"/>
      <c r="TE239" s="201"/>
      <c r="TF239" s="201"/>
      <c r="TG239" s="201"/>
      <c r="TH239" s="201"/>
      <c r="TI239" s="201"/>
      <c r="TJ239" s="201"/>
      <c r="TK239" s="201"/>
      <c r="TL239" s="201"/>
      <c r="TM239" s="201"/>
      <c r="TN239" s="201"/>
      <c r="TO239" s="201"/>
      <c r="TP239" s="201"/>
      <c r="TQ239" s="201"/>
      <c r="TR239" s="201"/>
      <c r="TS239" s="201"/>
      <c r="TT239" s="201"/>
      <c r="TU239" s="201"/>
      <c r="TV239" s="201"/>
      <c r="TW239" s="201"/>
      <c r="TX239" s="201"/>
      <c r="TY239" s="201"/>
      <c r="TZ239" s="201"/>
      <c r="UA239" s="201"/>
      <c r="UB239" s="201"/>
      <c r="UC239" s="201"/>
      <c r="UD239" s="201"/>
      <c r="UE239" s="201"/>
      <c r="UF239" s="201"/>
      <c r="UG239" s="201"/>
      <c r="UH239" s="201"/>
      <c r="UI239" s="201"/>
      <c r="UJ239" s="201"/>
      <c r="UK239" s="201"/>
      <c r="UL239" s="201"/>
      <c r="UM239" s="201"/>
      <c r="UN239" s="201"/>
      <c r="UO239" s="201"/>
      <c r="UP239" s="201"/>
      <c r="UQ239" s="201"/>
      <c r="UR239" s="201"/>
      <c r="US239" s="201"/>
      <c r="UT239" s="201"/>
      <c r="UU239" s="201"/>
    </row>
    <row r="240" spans="1:567" ht="5.0999999999999996" customHeight="1" x14ac:dyDescent="0.25">
      <c r="B240" s="18"/>
      <c r="C240" s="18"/>
      <c r="D240" s="18"/>
      <c r="E240" s="18"/>
      <c r="F240" s="18"/>
      <c r="G240" s="18"/>
      <c r="H240" s="18"/>
      <c r="I240" s="18"/>
      <c r="J240" s="26"/>
      <c r="K240" s="26"/>
      <c r="EW240" s="229" t="s">
        <v>275</v>
      </c>
      <c r="EX240" s="229"/>
      <c r="EY240" s="232">
        <f>(1+H244)^(1/12)-1</f>
        <v>1.171491691985338E-2</v>
      </c>
      <c r="EZ240" s="228"/>
      <c r="FA240" s="231"/>
      <c r="FB240" s="231"/>
      <c r="FC240" s="204">
        <v>0</v>
      </c>
      <c r="FD240" s="204">
        <f>+FC240+1</f>
        <v>1</v>
      </c>
      <c r="FE240" s="204">
        <f t="shared" ref="FE240" si="3585">+FD240+1</f>
        <v>2</v>
      </c>
      <c r="FF240" s="204">
        <f t="shared" ref="FF240" si="3586">+FE240+1</f>
        <v>3</v>
      </c>
      <c r="FG240" s="204">
        <f t="shared" ref="FG240" si="3587">+FF240+1</f>
        <v>4</v>
      </c>
      <c r="FH240" s="204">
        <f t="shared" ref="FH240" si="3588">+FG240+1</f>
        <v>5</v>
      </c>
      <c r="FI240" s="204">
        <f t="shared" ref="FI240" si="3589">+FH240+1</f>
        <v>6</v>
      </c>
      <c r="FJ240" s="204">
        <f t="shared" ref="FJ240" si="3590">+FI240+1</f>
        <v>7</v>
      </c>
      <c r="FK240" s="204">
        <f t="shared" ref="FK240" si="3591">+FJ240+1</f>
        <v>8</v>
      </c>
      <c r="FL240" s="204">
        <f t="shared" ref="FL240" si="3592">+FK240+1</f>
        <v>9</v>
      </c>
      <c r="FM240" s="204">
        <f t="shared" ref="FM240" si="3593">+FL240+1</f>
        <v>10</v>
      </c>
      <c r="FN240" s="204">
        <f t="shared" ref="FN240" si="3594">+FM240+1</f>
        <v>11</v>
      </c>
      <c r="FO240" s="204">
        <f t="shared" ref="FO240" si="3595">+FN240+1</f>
        <v>12</v>
      </c>
      <c r="FP240" s="204">
        <f t="shared" ref="FP240" si="3596">+FO240+1</f>
        <v>13</v>
      </c>
      <c r="FQ240" s="204">
        <f t="shared" ref="FQ240" si="3597">+FP240+1</f>
        <v>14</v>
      </c>
      <c r="FR240" s="204">
        <f t="shared" ref="FR240" si="3598">+FQ240+1</f>
        <v>15</v>
      </c>
      <c r="FS240" s="204">
        <f t="shared" ref="FS240" si="3599">+FR240+1</f>
        <v>16</v>
      </c>
      <c r="FT240" s="204">
        <f t="shared" ref="FT240" si="3600">+FS240+1</f>
        <v>17</v>
      </c>
      <c r="FU240" s="204">
        <f t="shared" ref="FU240" si="3601">+FT240+1</f>
        <v>18</v>
      </c>
      <c r="FV240" s="204">
        <f t="shared" ref="FV240" si="3602">+FU240+1</f>
        <v>19</v>
      </c>
      <c r="FW240" s="204">
        <f t="shared" ref="FW240" si="3603">+FV240+1</f>
        <v>20</v>
      </c>
      <c r="FX240" s="204">
        <f t="shared" ref="FX240" si="3604">+FW240+1</f>
        <v>21</v>
      </c>
      <c r="FY240" s="204">
        <f t="shared" ref="FY240" si="3605">+FX240+1</f>
        <v>22</v>
      </c>
      <c r="FZ240" s="204">
        <f t="shared" ref="FZ240" si="3606">+FY240+1</f>
        <v>23</v>
      </c>
      <c r="GA240" s="204">
        <f t="shared" ref="GA240" si="3607">+FZ240+1</f>
        <v>24</v>
      </c>
      <c r="GB240" s="204">
        <f t="shared" ref="GB240" si="3608">+GA240+1</f>
        <v>25</v>
      </c>
      <c r="GC240" s="204">
        <f t="shared" ref="GC240" si="3609">+GB240+1</f>
        <v>26</v>
      </c>
      <c r="GD240" s="204">
        <f t="shared" ref="GD240" si="3610">+GC240+1</f>
        <v>27</v>
      </c>
      <c r="GE240" s="204">
        <f t="shared" ref="GE240" si="3611">+GD240+1</f>
        <v>28</v>
      </c>
      <c r="GF240" s="204">
        <f t="shared" ref="GF240" si="3612">+GE240+1</f>
        <v>29</v>
      </c>
      <c r="GG240" s="204">
        <f t="shared" ref="GG240" si="3613">+GF240+1</f>
        <v>30</v>
      </c>
      <c r="GH240" s="204">
        <f t="shared" ref="GH240" si="3614">+GG240+1</f>
        <v>31</v>
      </c>
      <c r="GI240" s="204">
        <f t="shared" ref="GI240" si="3615">+GH240+1</f>
        <v>32</v>
      </c>
      <c r="GJ240" s="204">
        <f t="shared" ref="GJ240" si="3616">+GI240+1</f>
        <v>33</v>
      </c>
      <c r="GK240" s="204">
        <f t="shared" ref="GK240" si="3617">+GJ240+1</f>
        <v>34</v>
      </c>
      <c r="GL240" s="204">
        <f t="shared" ref="GL240" si="3618">+GK240+1</f>
        <v>35</v>
      </c>
      <c r="GM240" s="204">
        <f t="shared" ref="GM240" si="3619">+GL240+1</f>
        <v>36</v>
      </c>
      <c r="GN240" s="204">
        <f t="shared" ref="GN240" si="3620">+GM240+1</f>
        <v>37</v>
      </c>
      <c r="GO240" s="204">
        <f t="shared" ref="GO240" si="3621">+GN240+1</f>
        <v>38</v>
      </c>
      <c r="GP240" s="204">
        <f t="shared" ref="GP240" si="3622">+GO240+1</f>
        <v>39</v>
      </c>
      <c r="GQ240" s="204">
        <f t="shared" ref="GQ240" si="3623">+GP240+1</f>
        <v>40</v>
      </c>
      <c r="GR240" s="204">
        <f t="shared" ref="GR240" si="3624">+GQ240+1</f>
        <v>41</v>
      </c>
      <c r="GS240" s="204">
        <f t="shared" ref="GS240" si="3625">+GR240+1</f>
        <v>42</v>
      </c>
      <c r="GT240" s="204">
        <f t="shared" ref="GT240" si="3626">+GS240+1</f>
        <v>43</v>
      </c>
      <c r="GU240" s="204">
        <f t="shared" ref="GU240" si="3627">+GT240+1</f>
        <v>44</v>
      </c>
      <c r="GV240" s="204">
        <f t="shared" ref="GV240" si="3628">+GU240+1</f>
        <v>45</v>
      </c>
      <c r="GW240" s="204">
        <f t="shared" ref="GW240" si="3629">+GV240+1</f>
        <v>46</v>
      </c>
      <c r="GX240" s="204">
        <f t="shared" ref="GX240" si="3630">+GW240+1</f>
        <v>47</v>
      </c>
      <c r="GY240" s="204">
        <f t="shared" ref="GY240" si="3631">+GX240+1</f>
        <v>48</v>
      </c>
      <c r="GZ240" s="204">
        <f t="shared" ref="GZ240" si="3632">+GY240+1</f>
        <v>49</v>
      </c>
      <c r="HA240" s="204">
        <f t="shared" ref="HA240" si="3633">+GZ240+1</f>
        <v>50</v>
      </c>
      <c r="HB240" s="204">
        <f t="shared" ref="HB240" si="3634">+HA240+1</f>
        <v>51</v>
      </c>
      <c r="HC240" s="204">
        <f t="shared" ref="HC240" si="3635">+HB240+1</f>
        <v>52</v>
      </c>
      <c r="HD240" s="204">
        <f t="shared" ref="HD240" si="3636">+HC240+1</f>
        <v>53</v>
      </c>
      <c r="HE240" s="204">
        <f t="shared" ref="HE240" si="3637">+HD240+1</f>
        <v>54</v>
      </c>
      <c r="HF240" s="204">
        <f t="shared" ref="HF240" si="3638">+HE240+1</f>
        <v>55</v>
      </c>
      <c r="HG240" s="204">
        <f t="shared" ref="HG240" si="3639">+HF240+1</f>
        <v>56</v>
      </c>
      <c r="HH240" s="204">
        <f t="shared" ref="HH240" si="3640">+HG240+1</f>
        <v>57</v>
      </c>
      <c r="HI240" s="204">
        <f t="shared" ref="HI240" si="3641">+HH240+1</f>
        <v>58</v>
      </c>
      <c r="HJ240" s="204">
        <f t="shared" ref="HJ240" si="3642">+HI240+1</f>
        <v>59</v>
      </c>
      <c r="HK240" s="204">
        <f t="shared" ref="HK240" si="3643">+HJ240+1</f>
        <v>60</v>
      </c>
      <c r="HL240" s="204">
        <f t="shared" ref="HL240" si="3644">+HK240+1</f>
        <v>61</v>
      </c>
      <c r="HM240" s="204">
        <f t="shared" ref="HM240" si="3645">+HL240+1</f>
        <v>62</v>
      </c>
      <c r="HN240" s="204">
        <f t="shared" ref="HN240" si="3646">+HM240+1</f>
        <v>63</v>
      </c>
      <c r="HO240" s="204">
        <f t="shared" ref="HO240" si="3647">+HN240+1</f>
        <v>64</v>
      </c>
      <c r="HP240" s="204">
        <f t="shared" ref="HP240" si="3648">+HO240+1</f>
        <v>65</v>
      </c>
      <c r="HQ240" s="204">
        <f t="shared" ref="HQ240" si="3649">+HP240+1</f>
        <v>66</v>
      </c>
      <c r="HR240" s="204">
        <f t="shared" ref="HR240" si="3650">+HQ240+1</f>
        <v>67</v>
      </c>
      <c r="HS240" s="204">
        <f t="shared" ref="HS240" si="3651">+HR240+1</f>
        <v>68</v>
      </c>
      <c r="HT240" s="204">
        <f t="shared" ref="HT240" si="3652">+HS240+1</f>
        <v>69</v>
      </c>
      <c r="HU240" s="204">
        <f t="shared" ref="HU240" si="3653">+HT240+1</f>
        <v>70</v>
      </c>
      <c r="HV240" s="204">
        <f t="shared" ref="HV240" si="3654">+HU240+1</f>
        <v>71</v>
      </c>
      <c r="HW240" s="204">
        <f t="shared" ref="HW240" si="3655">+HV240+1</f>
        <v>72</v>
      </c>
      <c r="HX240" s="204">
        <f t="shared" ref="HX240" si="3656">+HW240+1</f>
        <v>73</v>
      </c>
      <c r="HY240" s="204">
        <f t="shared" ref="HY240" si="3657">+HX240+1</f>
        <v>74</v>
      </c>
      <c r="HZ240" s="204">
        <f t="shared" ref="HZ240" si="3658">+HY240+1</f>
        <v>75</v>
      </c>
      <c r="IA240" s="204">
        <f t="shared" ref="IA240" si="3659">+HZ240+1</f>
        <v>76</v>
      </c>
      <c r="IB240" s="204">
        <f t="shared" ref="IB240" si="3660">+IA240+1</f>
        <v>77</v>
      </c>
      <c r="IC240" s="204">
        <f t="shared" ref="IC240" si="3661">+IB240+1</f>
        <v>78</v>
      </c>
      <c r="ID240" s="204">
        <f t="shared" ref="ID240" si="3662">+IC240+1</f>
        <v>79</v>
      </c>
      <c r="IE240" s="204">
        <f t="shared" ref="IE240" si="3663">+ID240+1</f>
        <v>80</v>
      </c>
      <c r="IF240" s="204">
        <f t="shared" ref="IF240" si="3664">+IE240+1</f>
        <v>81</v>
      </c>
      <c r="IG240" s="204">
        <f t="shared" ref="IG240" si="3665">+IF240+1</f>
        <v>82</v>
      </c>
      <c r="IH240" s="204">
        <f t="shared" ref="IH240" si="3666">+IG240+1</f>
        <v>83</v>
      </c>
      <c r="II240" s="204">
        <f t="shared" ref="II240" si="3667">+IH240+1</f>
        <v>84</v>
      </c>
      <c r="IJ240" s="204">
        <f t="shared" ref="IJ240" si="3668">+II240+1</f>
        <v>85</v>
      </c>
      <c r="IK240" s="204">
        <f t="shared" ref="IK240" si="3669">+IJ240+1</f>
        <v>86</v>
      </c>
      <c r="IL240" s="204">
        <f t="shared" ref="IL240" si="3670">+IK240+1</f>
        <v>87</v>
      </c>
      <c r="IM240" s="204">
        <f t="shared" ref="IM240" si="3671">+IL240+1</f>
        <v>88</v>
      </c>
      <c r="IN240" s="204">
        <f t="shared" ref="IN240" si="3672">+IM240+1</f>
        <v>89</v>
      </c>
      <c r="IO240" s="204">
        <f t="shared" ref="IO240" si="3673">+IN240+1</f>
        <v>90</v>
      </c>
      <c r="IP240" s="204">
        <f t="shared" ref="IP240" si="3674">+IO240+1</f>
        <v>91</v>
      </c>
      <c r="IQ240" s="204">
        <f t="shared" ref="IQ240" si="3675">+IP240+1</f>
        <v>92</v>
      </c>
      <c r="IR240" s="204">
        <f t="shared" ref="IR240" si="3676">+IQ240+1</f>
        <v>93</v>
      </c>
      <c r="IS240" s="204">
        <f t="shared" ref="IS240" si="3677">+IR240+1</f>
        <v>94</v>
      </c>
      <c r="IT240" s="204">
        <f t="shared" ref="IT240" si="3678">+IS240+1</f>
        <v>95</v>
      </c>
      <c r="IU240" s="204">
        <f t="shared" ref="IU240" si="3679">+IT240+1</f>
        <v>96</v>
      </c>
      <c r="IV240" s="204">
        <f t="shared" ref="IV240" si="3680">+IU240+1</f>
        <v>97</v>
      </c>
      <c r="IW240" s="204">
        <f t="shared" ref="IW240" si="3681">+IV240+1</f>
        <v>98</v>
      </c>
      <c r="IX240" s="204">
        <f t="shared" ref="IX240" si="3682">+IW240+1</f>
        <v>99</v>
      </c>
      <c r="IY240" s="204">
        <f t="shared" ref="IY240" si="3683">+IX240+1</f>
        <v>100</v>
      </c>
      <c r="IZ240" s="204">
        <f t="shared" ref="IZ240" si="3684">+IY240+1</f>
        <v>101</v>
      </c>
      <c r="JA240" s="204">
        <f t="shared" ref="JA240" si="3685">+IZ240+1</f>
        <v>102</v>
      </c>
      <c r="JB240" s="204">
        <f t="shared" ref="JB240" si="3686">+JA240+1</f>
        <v>103</v>
      </c>
      <c r="JC240" s="204">
        <f t="shared" ref="JC240" si="3687">+JB240+1</f>
        <v>104</v>
      </c>
      <c r="JD240" s="204">
        <f t="shared" ref="JD240" si="3688">+JC240+1</f>
        <v>105</v>
      </c>
      <c r="JE240" s="204">
        <f t="shared" ref="JE240" si="3689">+JD240+1</f>
        <v>106</v>
      </c>
      <c r="JF240" s="204">
        <f t="shared" ref="JF240" si="3690">+JE240+1</f>
        <v>107</v>
      </c>
      <c r="JG240" s="204">
        <f t="shared" ref="JG240" si="3691">+JF240+1</f>
        <v>108</v>
      </c>
      <c r="JH240" s="204">
        <f t="shared" ref="JH240" si="3692">+JG240+1</f>
        <v>109</v>
      </c>
      <c r="JI240" s="204">
        <f t="shared" ref="JI240" si="3693">+JH240+1</f>
        <v>110</v>
      </c>
      <c r="JJ240" s="204">
        <f t="shared" ref="JJ240" si="3694">+JI240+1</f>
        <v>111</v>
      </c>
      <c r="JK240" s="204">
        <f t="shared" ref="JK240" si="3695">+JJ240+1</f>
        <v>112</v>
      </c>
      <c r="JL240" s="204">
        <f t="shared" ref="JL240" si="3696">+JK240+1</f>
        <v>113</v>
      </c>
      <c r="JM240" s="204">
        <f t="shared" ref="JM240" si="3697">+JL240+1</f>
        <v>114</v>
      </c>
      <c r="JN240" s="204">
        <f t="shared" ref="JN240" si="3698">+JM240+1</f>
        <v>115</v>
      </c>
      <c r="JO240" s="204">
        <f t="shared" ref="JO240" si="3699">+JN240+1</f>
        <v>116</v>
      </c>
      <c r="JP240" s="204">
        <f t="shared" ref="JP240" si="3700">+JO240+1</f>
        <v>117</v>
      </c>
      <c r="JQ240" s="204">
        <f t="shared" ref="JQ240" si="3701">+JP240+1</f>
        <v>118</v>
      </c>
      <c r="JR240" s="204">
        <f t="shared" ref="JR240" si="3702">+JQ240+1</f>
        <v>119</v>
      </c>
      <c r="JS240" s="204">
        <f t="shared" ref="JS240" si="3703">+JR240+1</f>
        <v>120</v>
      </c>
      <c r="JT240" s="204">
        <f t="shared" ref="JT240" si="3704">+JS240+1</f>
        <v>121</v>
      </c>
      <c r="JU240" s="204">
        <f t="shared" ref="JU240" si="3705">+JT240+1</f>
        <v>122</v>
      </c>
      <c r="JV240" s="204">
        <f t="shared" ref="JV240" si="3706">+JU240+1</f>
        <v>123</v>
      </c>
      <c r="JW240" s="204">
        <f t="shared" ref="JW240" si="3707">+JV240+1</f>
        <v>124</v>
      </c>
      <c r="JX240" s="204">
        <f t="shared" ref="JX240" si="3708">+JW240+1</f>
        <v>125</v>
      </c>
      <c r="JY240" s="204">
        <f t="shared" ref="JY240" si="3709">+JX240+1</f>
        <v>126</v>
      </c>
      <c r="JZ240" s="204">
        <f t="shared" ref="JZ240" si="3710">+JY240+1</f>
        <v>127</v>
      </c>
      <c r="KA240" s="204">
        <f t="shared" ref="KA240" si="3711">+JZ240+1</f>
        <v>128</v>
      </c>
      <c r="KB240" s="204">
        <f t="shared" ref="KB240" si="3712">+KA240+1</f>
        <v>129</v>
      </c>
      <c r="KC240" s="204">
        <f t="shared" ref="KC240" si="3713">+KB240+1</f>
        <v>130</v>
      </c>
      <c r="KD240" s="204">
        <f t="shared" ref="KD240" si="3714">+KC240+1</f>
        <v>131</v>
      </c>
      <c r="KE240" s="204">
        <f t="shared" ref="KE240" si="3715">+KD240+1</f>
        <v>132</v>
      </c>
      <c r="KF240" s="218" t="s">
        <v>269</v>
      </c>
      <c r="PQ240" s="201"/>
      <c r="PR240" s="201"/>
      <c r="PS240" s="201"/>
      <c r="PT240" s="201"/>
      <c r="PU240" s="201"/>
      <c r="PV240" s="201"/>
      <c r="PW240" s="201"/>
      <c r="PX240" s="201"/>
      <c r="PY240" s="201"/>
      <c r="PZ240" s="201"/>
      <c r="QA240" s="201"/>
      <c r="QB240" s="201"/>
      <c r="QC240" s="201"/>
      <c r="QD240" s="201"/>
      <c r="QE240" s="201"/>
      <c r="QF240" s="201"/>
      <c r="QG240" s="201"/>
      <c r="QH240" s="201"/>
      <c r="QI240" s="201"/>
      <c r="QJ240" s="201"/>
      <c r="QK240" s="201"/>
      <c r="QL240" s="201"/>
      <c r="QM240" s="201"/>
      <c r="QN240" s="201"/>
      <c r="QO240" s="201"/>
      <c r="QP240" s="201"/>
      <c r="QQ240" s="201"/>
      <c r="QR240" s="201"/>
      <c r="QS240" s="201"/>
      <c r="QT240" s="201"/>
      <c r="QU240" s="201"/>
      <c r="QV240" s="201"/>
      <c r="QW240" s="201"/>
      <c r="QX240" s="201"/>
      <c r="QY240" s="201"/>
      <c r="QZ240" s="201"/>
      <c r="RA240" s="201"/>
      <c r="RB240" s="201"/>
      <c r="RC240" s="201"/>
      <c r="RD240" s="201"/>
      <c r="RE240" s="201"/>
      <c r="RF240" s="201"/>
      <c r="RG240" s="201"/>
      <c r="RH240" s="201"/>
      <c r="RI240" s="201"/>
      <c r="RJ240" s="201"/>
      <c r="RK240" s="201"/>
      <c r="RL240" s="201"/>
      <c r="RM240" s="201"/>
      <c r="RN240" s="201"/>
      <c r="RO240" s="201"/>
      <c r="RP240" s="201"/>
      <c r="RQ240" s="201"/>
      <c r="RR240" s="201"/>
      <c r="RS240" s="201"/>
      <c r="RT240" s="201"/>
      <c r="RU240" s="201"/>
      <c r="RV240" s="201"/>
      <c r="RW240" s="201"/>
      <c r="RX240" s="201"/>
      <c r="RY240" s="201"/>
      <c r="RZ240" s="201"/>
      <c r="SA240" s="201"/>
      <c r="SB240" s="201"/>
      <c r="SC240" s="201"/>
      <c r="SD240" s="201"/>
      <c r="SE240" s="201"/>
      <c r="SF240" s="201"/>
      <c r="SG240" s="201"/>
      <c r="SH240" s="201"/>
      <c r="SI240" s="201"/>
      <c r="SJ240" s="201"/>
      <c r="SK240" s="201"/>
      <c r="SL240" s="201"/>
      <c r="SM240" s="201"/>
      <c r="SN240" s="201"/>
      <c r="SO240" s="201"/>
      <c r="SP240" s="201"/>
      <c r="SQ240" s="201"/>
      <c r="SR240" s="201"/>
      <c r="SS240" s="201"/>
      <c r="ST240" s="201"/>
      <c r="SU240" s="201"/>
      <c r="SV240" s="201"/>
      <c r="SW240" s="201"/>
      <c r="SX240" s="201"/>
      <c r="SY240" s="201"/>
      <c r="SZ240" s="201"/>
      <c r="TA240" s="201"/>
      <c r="TB240" s="201"/>
      <c r="TC240" s="201"/>
      <c r="TD240" s="201"/>
      <c r="TE240" s="201"/>
      <c r="TF240" s="201"/>
      <c r="TG240" s="201"/>
      <c r="TH240" s="201"/>
      <c r="TI240" s="201"/>
      <c r="TJ240" s="201"/>
      <c r="TK240" s="201"/>
      <c r="TL240" s="201"/>
      <c r="TM240" s="201"/>
      <c r="TN240" s="201"/>
      <c r="TO240" s="201"/>
      <c r="TP240" s="201"/>
      <c r="TQ240" s="201"/>
      <c r="TR240" s="201"/>
      <c r="TS240" s="201"/>
      <c r="TT240" s="201"/>
      <c r="TU240" s="201"/>
      <c r="TV240" s="201"/>
      <c r="TW240" s="201"/>
      <c r="TX240" s="201"/>
      <c r="TY240" s="201"/>
      <c r="TZ240" s="201"/>
      <c r="UA240" s="201"/>
      <c r="UB240" s="201"/>
      <c r="UC240" s="201"/>
      <c r="UD240" s="201"/>
      <c r="UE240" s="201"/>
      <c r="UF240" s="201"/>
      <c r="UG240" s="201"/>
      <c r="UH240" s="201"/>
      <c r="UI240" s="201"/>
      <c r="UJ240" s="201"/>
      <c r="UK240" s="201"/>
      <c r="UL240" s="201"/>
      <c r="UM240" s="201"/>
      <c r="UN240" s="201"/>
      <c r="UO240" s="201"/>
      <c r="UP240" s="201"/>
      <c r="UQ240" s="201"/>
      <c r="UR240" s="201"/>
      <c r="US240" s="201"/>
      <c r="UT240" s="201"/>
      <c r="UU240" s="201"/>
    </row>
    <row r="241" spans="1:567" x14ac:dyDescent="0.25">
      <c r="B241" s="28" t="s">
        <v>245</v>
      </c>
      <c r="C241" s="18"/>
      <c r="D241" s="28"/>
      <c r="E241" s="18"/>
      <c r="F241" s="28" t="str">
        <f>IF(J242&lt;J237,"GP Catch UP?","")</f>
        <v/>
      </c>
      <c r="G241" s="26"/>
      <c r="H241" s="29" t="s">
        <v>246</v>
      </c>
      <c r="I241" s="29" t="s">
        <v>258</v>
      </c>
      <c r="J241" s="29" t="s">
        <v>256</v>
      </c>
      <c r="K241" s="29" t="s">
        <v>257</v>
      </c>
      <c r="EW241" s="222" t="s">
        <v>277</v>
      </c>
      <c r="EX241" s="222"/>
      <c r="EY241" s="222"/>
      <c r="EZ241" s="222"/>
      <c r="FA241" s="222"/>
      <c r="FB241" s="222"/>
      <c r="FC241" s="233">
        <f t="shared" ref="FC241:GH241" ca="1" si="3716">IF(FC209="","",MAX(FC209,0)-FC216-FC223-FC234-FC239)</f>
        <v>0</v>
      </c>
      <c r="FD241" s="233">
        <f t="shared" ca="1" si="3716"/>
        <v>0</v>
      </c>
      <c r="FE241" s="233">
        <f t="shared" ca="1" si="3716"/>
        <v>6.0584517520973707E-28</v>
      </c>
      <c r="FF241" s="233">
        <f t="shared" ca="1" si="3716"/>
        <v>-2.2737367544323206E-12</v>
      </c>
      <c r="FG241" s="233">
        <f t="shared" ca="1" si="3716"/>
        <v>-1.0097419586828951E-27</v>
      </c>
      <c r="FH241" s="233">
        <f t="shared" ca="1" si="3716"/>
        <v>0</v>
      </c>
      <c r="FI241" s="233">
        <f t="shared" ca="1" si="3716"/>
        <v>0</v>
      </c>
      <c r="FJ241" s="233">
        <f t="shared" ca="1" si="3716"/>
        <v>0</v>
      </c>
      <c r="FK241" s="233">
        <f t="shared" ca="1" si="3716"/>
        <v>-9.0949470177292824E-13</v>
      </c>
      <c r="FL241" s="233">
        <f t="shared" ca="1" si="3716"/>
        <v>-4.0389678347315804E-28</v>
      </c>
      <c r="FM241" s="233">
        <f t="shared" ca="1" si="3716"/>
        <v>0</v>
      </c>
      <c r="FN241" s="233">
        <f t="shared" ca="1" si="3716"/>
        <v>-5.0487097934144756E-28</v>
      </c>
      <c r="FO241" s="233">
        <f t="shared" ca="1" si="3716"/>
        <v>-5.0487097934144756E-28</v>
      </c>
      <c r="FP241" s="233">
        <f t="shared" ca="1" si="3716"/>
        <v>0</v>
      </c>
      <c r="FQ241" s="233">
        <f t="shared" ca="1" si="3716"/>
        <v>-5.0487097934144756E-28</v>
      </c>
      <c r="FR241" s="233">
        <f t="shared" ca="1" si="3716"/>
        <v>0</v>
      </c>
      <c r="FS241" s="233">
        <f t="shared" ca="1" si="3716"/>
        <v>0</v>
      </c>
      <c r="FT241" s="233">
        <f t="shared" ca="1" si="3716"/>
        <v>1.2116903504194741E-27</v>
      </c>
      <c r="FU241" s="233">
        <f t="shared" ca="1" si="3716"/>
        <v>6.0584517520973707E-28</v>
      </c>
      <c r="FV241" s="233">
        <f t="shared" ca="1" si="3716"/>
        <v>-5.0487097934144756E-28</v>
      </c>
      <c r="FW241" s="233">
        <f t="shared" ca="1" si="3716"/>
        <v>0</v>
      </c>
      <c r="FX241" s="233">
        <f t="shared" ca="1" si="3716"/>
        <v>0</v>
      </c>
      <c r="FY241" s="233">
        <f t="shared" ca="1" si="3716"/>
        <v>-2.0194839173657902E-27</v>
      </c>
      <c r="FZ241" s="233">
        <f t="shared" ca="1" si="3716"/>
        <v>-4.0389678347315804E-28</v>
      </c>
      <c r="GA241" s="233">
        <f t="shared" ca="1" si="3716"/>
        <v>-2.0194839173657902E-27</v>
      </c>
      <c r="GB241" s="233">
        <f t="shared" ca="1" si="3716"/>
        <v>0</v>
      </c>
      <c r="GC241" s="233">
        <f t="shared" ca="1" si="3716"/>
        <v>-5.4569682106375694E-12</v>
      </c>
      <c r="GD241" s="233">
        <f t="shared" ca="1" si="3716"/>
        <v>-8.0779356694631609E-28</v>
      </c>
      <c r="GE241" s="233">
        <f t="shared" ca="1" si="3716"/>
        <v>-5.4569682106375694E-12</v>
      </c>
      <c r="GF241" s="233">
        <f t="shared" ca="1" si="3716"/>
        <v>-3.637978807091713E-12</v>
      </c>
      <c r="GG241" s="233">
        <f t="shared" ca="1" si="3716"/>
        <v>-1.8189894035458565E-12</v>
      </c>
      <c r="GH241" s="233">
        <f t="shared" ca="1" si="3716"/>
        <v>0</v>
      </c>
      <c r="GI241" s="233">
        <f t="shared" ref="GI241:HN241" ca="1" si="3717">IF(GI209="","",MAX(GI209,0)-GI216-GI223-GI234-GI239)</f>
        <v>0</v>
      </c>
      <c r="GJ241" s="233">
        <f t="shared" ca="1" si="3717"/>
        <v>0</v>
      </c>
      <c r="GK241" s="233">
        <f t="shared" ca="1" si="3717"/>
        <v>-8.0779356694631609E-28</v>
      </c>
      <c r="GL241" s="233">
        <f t="shared" ca="1" si="3717"/>
        <v>-1.0097419586828951E-27</v>
      </c>
      <c r="GM241" s="233">
        <f t="shared" ca="1" si="3717"/>
        <v>3083592.2799085448</v>
      </c>
      <c r="GN241" s="233" t="str">
        <f t="shared" si="3717"/>
        <v/>
      </c>
      <c r="GO241" s="233" t="str">
        <f t="shared" si="3717"/>
        <v/>
      </c>
      <c r="GP241" s="233" t="str">
        <f t="shared" si="3717"/>
        <v/>
      </c>
      <c r="GQ241" s="233" t="str">
        <f t="shared" si="3717"/>
        <v/>
      </c>
      <c r="GR241" s="233" t="str">
        <f t="shared" si="3717"/>
        <v/>
      </c>
      <c r="GS241" s="233" t="str">
        <f t="shared" si="3717"/>
        <v/>
      </c>
      <c r="GT241" s="233" t="str">
        <f t="shared" si="3717"/>
        <v/>
      </c>
      <c r="GU241" s="233" t="str">
        <f t="shared" si="3717"/>
        <v/>
      </c>
      <c r="GV241" s="233" t="str">
        <f t="shared" si="3717"/>
        <v/>
      </c>
      <c r="GW241" s="233" t="str">
        <f t="shared" si="3717"/>
        <v/>
      </c>
      <c r="GX241" s="233" t="str">
        <f t="shared" si="3717"/>
        <v/>
      </c>
      <c r="GY241" s="233" t="str">
        <f t="shared" si="3717"/>
        <v/>
      </c>
      <c r="GZ241" s="233" t="str">
        <f t="shared" si="3717"/>
        <v/>
      </c>
      <c r="HA241" s="233" t="str">
        <f t="shared" si="3717"/>
        <v/>
      </c>
      <c r="HB241" s="233" t="str">
        <f t="shared" si="3717"/>
        <v/>
      </c>
      <c r="HC241" s="233" t="str">
        <f t="shared" si="3717"/>
        <v/>
      </c>
      <c r="HD241" s="233" t="str">
        <f t="shared" si="3717"/>
        <v/>
      </c>
      <c r="HE241" s="233" t="str">
        <f t="shared" si="3717"/>
        <v/>
      </c>
      <c r="HF241" s="233" t="str">
        <f t="shared" si="3717"/>
        <v/>
      </c>
      <c r="HG241" s="233" t="str">
        <f t="shared" si="3717"/>
        <v/>
      </c>
      <c r="HH241" s="233" t="str">
        <f t="shared" si="3717"/>
        <v/>
      </c>
      <c r="HI241" s="233" t="str">
        <f t="shared" si="3717"/>
        <v/>
      </c>
      <c r="HJ241" s="233" t="str">
        <f t="shared" si="3717"/>
        <v/>
      </c>
      <c r="HK241" s="233" t="str">
        <f t="shared" si="3717"/>
        <v/>
      </c>
      <c r="HL241" s="233" t="str">
        <f t="shared" si="3717"/>
        <v/>
      </c>
      <c r="HM241" s="233" t="str">
        <f t="shared" si="3717"/>
        <v/>
      </c>
      <c r="HN241" s="233" t="str">
        <f t="shared" si="3717"/>
        <v/>
      </c>
      <c r="HO241" s="233" t="str">
        <f t="shared" ref="HO241:IT241" si="3718">IF(HO209="","",MAX(HO209,0)-HO216-HO223-HO234-HO239)</f>
        <v/>
      </c>
      <c r="HP241" s="233" t="str">
        <f t="shared" si="3718"/>
        <v/>
      </c>
      <c r="HQ241" s="233" t="str">
        <f t="shared" si="3718"/>
        <v/>
      </c>
      <c r="HR241" s="233" t="str">
        <f t="shared" si="3718"/>
        <v/>
      </c>
      <c r="HS241" s="233" t="str">
        <f t="shared" si="3718"/>
        <v/>
      </c>
      <c r="HT241" s="233" t="str">
        <f t="shared" si="3718"/>
        <v/>
      </c>
      <c r="HU241" s="233" t="str">
        <f t="shared" si="3718"/>
        <v/>
      </c>
      <c r="HV241" s="233" t="str">
        <f t="shared" si="3718"/>
        <v/>
      </c>
      <c r="HW241" s="233" t="str">
        <f t="shared" si="3718"/>
        <v/>
      </c>
      <c r="HX241" s="233" t="str">
        <f t="shared" si="3718"/>
        <v/>
      </c>
      <c r="HY241" s="233" t="str">
        <f t="shared" si="3718"/>
        <v/>
      </c>
      <c r="HZ241" s="233" t="str">
        <f t="shared" si="3718"/>
        <v/>
      </c>
      <c r="IA241" s="233" t="str">
        <f t="shared" si="3718"/>
        <v/>
      </c>
      <c r="IB241" s="233" t="str">
        <f t="shared" si="3718"/>
        <v/>
      </c>
      <c r="IC241" s="233" t="str">
        <f t="shared" si="3718"/>
        <v/>
      </c>
      <c r="ID241" s="233" t="str">
        <f t="shared" si="3718"/>
        <v/>
      </c>
      <c r="IE241" s="233" t="str">
        <f t="shared" si="3718"/>
        <v/>
      </c>
      <c r="IF241" s="233" t="str">
        <f t="shared" si="3718"/>
        <v/>
      </c>
      <c r="IG241" s="233" t="str">
        <f t="shared" si="3718"/>
        <v/>
      </c>
      <c r="IH241" s="233" t="str">
        <f t="shared" si="3718"/>
        <v/>
      </c>
      <c r="II241" s="233" t="str">
        <f t="shared" si="3718"/>
        <v/>
      </c>
      <c r="IJ241" s="233" t="str">
        <f t="shared" si="3718"/>
        <v/>
      </c>
      <c r="IK241" s="233" t="str">
        <f t="shared" si="3718"/>
        <v/>
      </c>
      <c r="IL241" s="233" t="str">
        <f t="shared" si="3718"/>
        <v/>
      </c>
      <c r="IM241" s="233" t="str">
        <f t="shared" si="3718"/>
        <v/>
      </c>
      <c r="IN241" s="233" t="str">
        <f t="shared" si="3718"/>
        <v/>
      </c>
      <c r="IO241" s="233" t="str">
        <f t="shared" si="3718"/>
        <v/>
      </c>
      <c r="IP241" s="233" t="str">
        <f t="shared" si="3718"/>
        <v/>
      </c>
      <c r="IQ241" s="233" t="str">
        <f t="shared" si="3718"/>
        <v/>
      </c>
      <c r="IR241" s="233" t="str">
        <f t="shared" si="3718"/>
        <v/>
      </c>
      <c r="IS241" s="233" t="str">
        <f t="shared" si="3718"/>
        <v/>
      </c>
      <c r="IT241" s="233" t="str">
        <f t="shared" si="3718"/>
        <v/>
      </c>
      <c r="IU241" s="233" t="str">
        <f t="shared" ref="IU241:KE241" si="3719">IF(IU209="","",MAX(IU209,0)-IU216-IU223-IU234-IU239)</f>
        <v/>
      </c>
      <c r="IV241" s="233" t="str">
        <f t="shared" si="3719"/>
        <v/>
      </c>
      <c r="IW241" s="233" t="str">
        <f t="shared" si="3719"/>
        <v/>
      </c>
      <c r="IX241" s="233" t="str">
        <f t="shared" si="3719"/>
        <v/>
      </c>
      <c r="IY241" s="233" t="str">
        <f t="shared" si="3719"/>
        <v/>
      </c>
      <c r="IZ241" s="233" t="str">
        <f t="shared" si="3719"/>
        <v/>
      </c>
      <c r="JA241" s="233" t="str">
        <f t="shared" si="3719"/>
        <v/>
      </c>
      <c r="JB241" s="233" t="str">
        <f t="shared" si="3719"/>
        <v/>
      </c>
      <c r="JC241" s="233" t="str">
        <f t="shared" si="3719"/>
        <v/>
      </c>
      <c r="JD241" s="233" t="str">
        <f t="shared" si="3719"/>
        <v/>
      </c>
      <c r="JE241" s="233" t="str">
        <f t="shared" si="3719"/>
        <v/>
      </c>
      <c r="JF241" s="233" t="str">
        <f t="shared" si="3719"/>
        <v/>
      </c>
      <c r="JG241" s="233" t="str">
        <f t="shared" si="3719"/>
        <v/>
      </c>
      <c r="JH241" s="233" t="str">
        <f t="shared" si="3719"/>
        <v/>
      </c>
      <c r="JI241" s="233" t="str">
        <f t="shared" si="3719"/>
        <v/>
      </c>
      <c r="JJ241" s="233" t="str">
        <f t="shared" si="3719"/>
        <v/>
      </c>
      <c r="JK241" s="233" t="str">
        <f t="shared" si="3719"/>
        <v/>
      </c>
      <c r="JL241" s="233" t="str">
        <f t="shared" si="3719"/>
        <v/>
      </c>
      <c r="JM241" s="233" t="str">
        <f t="shared" si="3719"/>
        <v/>
      </c>
      <c r="JN241" s="233" t="str">
        <f t="shared" si="3719"/>
        <v/>
      </c>
      <c r="JO241" s="233" t="str">
        <f t="shared" si="3719"/>
        <v/>
      </c>
      <c r="JP241" s="233" t="str">
        <f t="shared" si="3719"/>
        <v/>
      </c>
      <c r="JQ241" s="233" t="str">
        <f t="shared" si="3719"/>
        <v/>
      </c>
      <c r="JR241" s="233" t="str">
        <f t="shared" si="3719"/>
        <v/>
      </c>
      <c r="JS241" s="233" t="str">
        <f t="shared" si="3719"/>
        <v/>
      </c>
      <c r="JT241" s="233" t="str">
        <f t="shared" si="3719"/>
        <v/>
      </c>
      <c r="JU241" s="233" t="str">
        <f t="shared" si="3719"/>
        <v/>
      </c>
      <c r="JV241" s="233" t="str">
        <f t="shared" si="3719"/>
        <v/>
      </c>
      <c r="JW241" s="233" t="str">
        <f t="shared" si="3719"/>
        <v/>
      </c>
      <c r="JX241" s="233" t="str">
        <f t="shared" si="3719"/>
        <v/>
      </c>
      <c r="JY241" s="233" t="str">
        <f t="shared" si="3719"/>
        <v/>
      </c>
      <c r="JZ241" s="233" t="str">
        <f t="shared" si="3719"/>
        <v/>
      </c>
      <c r="KA241" s="233" t="str">
        <f t="shared" si="3719"/>
        <v/>
      </c>
      <c r="KB241" s="233" t="str">
        <f t="shared" si="3719"/>
        <v/>
      </c>
      <c r="KC241" s="233" t="str">
        <f t="shared" si="3719"/>
        <v/>
      </c>
      <c r="KD241" s="233" t="str">
        <f t="shared" si="3719"/>
        <v/>
      </c>
      <c r="KE241" s="233" t="str">
        <f t="shared" si="3719"/>
        <v/>
      </c>
      <c r="KF241" s="234" t="s">
        <v>269</v>
      </c>
      <c r="PQ241" s="201"/>
      <c r="PR241" s="201"/>
      <c r="PS241" s="201"/>
      <c r="PT241" s="201"/>
      <c r="PU241" s="201"/>
      <c r="PV241" s="201"/>
      <c r="PW241" s="201"/>
      <c r="PX241" s="201"/>
      <c r="PY241" s="201"/>
      <c r="PZ241" s="201"/>
      <c r="QA241" s="201"/>
      <c r="QB241" s="201"/>
      <c r="QC241" s="201"/>
      <c r="QD241" s="201"/>
      <c r="QE241" s="201"/>
      <c r="QF241" s="201"/>
      <c r="QG241" s="201"/>
      <c r="QH241" s="201"/>
      <c r="QI241" s="201"/>
      <c r="QJ241" s="201"/>
      <c r="QK241" s="201"/>
      <c r="QL241" s="201"/>
      <c r="QM241" s="201"/>
      <c r="QN241" s="201"/>
      <c r="QO241" s="201"/>
      <c r="QP241" s="201"/>
      <c r="QQ241" s="201"/>
      <c r="QR241" s="201"/>
      <c r="QS241" s="201"/>
      <c r="QT241" s="201"/>
      <c r="QU241" s="201"/>
      <c r="QV241" s="201"/>
      <c r="QW241" s="201"/>
      <c r="QX241" s="201"/>
      <c r="QY241" s="201"/>
      <c r="QZ241" s="201"/>
      <c r="RA241" s="201"/>
      <c r="RB241" s="201"/>
      <c r="RC241" s="201"/>
      <c r="RD241" s="201"/>
      <c r="RE241" s="201"/>
      <c r="RF241" s="201"/>
      <c r="RG241" s="201"/>
      <c r="RH241" s="201"/>
      <c r="RI241" s="201"/>
      <c r="RJ241" s="201"/>
      <c r="RK241" s="201"/>
      <c r="RL241" s="201"/>
      <c r="RM241" s="201"/>
      <c r="RN241" s="201"/>
      <c r="RO241" s="201"/>
      <c r="RP241" s="201"/>
      <c r="RQ241" s="201"/>
      <c r="RR241" s="201"/>
      <c r="RS241" s="201"/>
      <c r="RT241" s="201"/>
      <c r="RU241" s="201"/>
      <c r="RV241" s="201"/>
      <c r="RW241" s="201"/>
      <c r="RX241" s="201"/>
      <c r="RY241" s="201"/>
      <c r="RZ241" s="201"/>
      <c r="SA241" s="201"/>
      <c r="SB241" s="201"/>
      <c r="SC241" s="201"/>
      <c r="SD241" s="201"/>
      <c r="SE241" s="201"/>
      <c r="SF241" s="201"/>
      <c r="SG241" s="201"/>
      <c r="SH241" s="201"/>
      <c r="SI241" s="201"/>
      <c r="SJ241" s="201"/>
      <c r="SK241" s="201"/>
      <c r="SL241" s="201"/>
      <c r="SM241" s="201"/>
      <c r="SN241" s="201"/>
      <c r="SO241" s="201"/>
      <c r="SP241" s="201"/>
      <c r="SQ241" s="201"/>
      <c r="SR241" s="201"/>
      <c r="SS241" s="201"/>
      <c r="ST241" s="201"/>
      <c r="SU241" s="201"/>
      <c r="SV241" s="201"/>
      <c r="SW241" s="201"/>
      <c r="SX241" s="201"/>
      <c r="SY241" s="201"/>
      <c r="SZ241" s="201"/>
      <c r="TA241" s="201"/>
      <c r="TB241" s="201"/>
      <c r="TC241" s="201"/>
      <c r="TD241" s="201"/>
      <c r="TE241" s="201"/>
      <c r="TF241" s="201"/>
      <c r="TG241" s="201"/>
      <c r="TH241" s="201"/>
      <c r="TI241" s="201"/>
      <c r="TJ241" s="201"/>
      <c r="TK241" s="201"/>
      <c r="TL241" s="201"/>
      <c r="TM241" s="201"/>
      <c r="TN241" s="201"/>
      <c r="TO241" s="201"/>
      <c r="TP241" s="201"/>
      <c r="TQ241" s="201"/>
      <c r="TR241" s="201"/>
      <c r="TS241" s="201"/>
      <c r="TT241" s="201"/>
      <c r="TU241" s="201"/>
      <c r="TV241" s="201"/>
      <c r="TW241" s="201"/>
      <c r="TX241" s="201"/>
      <c r="TY241" s="201"/>
      <c r="TZ241" s="201"/>
      <c r="UA241" s="201"/>
      <c r="UB241" s="201"/>
      <c r="UC241" s="201"/>
      <c r="UD241" s="201"/>
      <c r="UE241" s="201"/>
      <c r="UF241" s="201"/>
      <c r="UG241" s="201"/>
      <c r="UH241" s="201"/>
      <c r="UI241" s="201"/>
      <c r="UJ241" s="201"/>
      <c r="UK241" s="201"/>
      <c r="UL241" s="201"/>
      <c r="UM241" s="201"/>
      <c r="UN241" s="201"/>
      <c r="UO241" s="201"/>
      <c r="UP241" s="201"/>
      <c r="UQ241" s="201"/>
      <c r="UR241" s="201"/>
      <c r="US241" s="201"/>
      <c r="UT241" s="201"/>
      <c r="UU241" s="201"/>
    </row>
    <row r="242" spans="1:567" x14ac:dyDescent="0.25">
      <c r="A242" s="175" t="b">
        <f>AND(F242="Yes",J242&lt;J237)</f>
        <v>0</v>
      </c>
      <c r="B242" s="18" t="s">
        <v>247</v>
      </c>
      <c r="C242" s="18"/>
      <c r="D242" s="18"/>
      <c r="E242" s="18"/>
      <c r="F242" s="19" t="s">
        <v>365</v>
      </c>
      <c r="G242" s="26" t="s">
        <v>248</v>
      </c>
      <c r="H242" s="68">
        <v>0.09</v>
      </c>
      <c r="I242" s="57" t="s">
        <v>259</v>
      </c>
      <c r="J242" s="68">
        <v>0.05</v>
      </c>
      <c r="K242" s="45">
        <f>1-J242</f>
        <v>0.95</v>
      </c>
      <c r="M242" s="3" t="s">
        <v>854</v>
      </c>
      <c r="EW242" s="201" t="s">
        <v>263</v>
      </c>
      <c r="EX242" s="229"/>
      <c r="EY242" s="229"/>
      <c r="EZ242" s="235"/>
      <c r="FA242" s="230"/>
      <c r="FB242" s="230"/>
      <c r="FC242" s="231">
        <f ca="1">IF(FC241="","",FB247)</f>
        <v>0</v>
      </c>
      <c r="FD242" s="231">
        <f t="shared" ref="FD242:HO242" ca="1" si="3720">IF(FD241="","",FC247)</f>
        <v>26865102.25</v>
      </c>
      <c r="FE242" s="231">
        <f t="shared" ca="1" si="3720"/>
        <v>27115631.145557478</v>
      </c>
      <c r="FF242" s="231">
        <f t="shared" ca="1" si="3720"/>
        <v>27364078.592135951</v>
      </c>
      <c r="FG242" s="231">
        <f t="shared" ca="1" si="3720"/>
        <v>27612770.993979514</v>
      </c>
      <c r="FH242" s="231">
        <f t="shared" ca="1" si="3720"/>
        <v>27861177.501035236</v>
      </c>
      <c r="FI242" s="231">
        <f t="shared" ca="1" si="3720"/>
        <v>28108495.019104466</v>
      </c>
      <c r="FJ242" s="231">
        <f t="shared" ca="1" si="3720"/>
        <v>28355973.439114433</v>
      </c>
      <c r="FK242" s="231">
        <f t="shared" ca="1" si="3720"/>
        <v>28603482.2391962</v>
      </c>
      <c r="FL242" s="231">
        <f t="shared" ca="1" si="3720"/>
        <v>28850802.280280832</v>
      </c>
      <c r="FM242" s="231">
        <f t="shared" ca="1" si="3720"/>
        <v>29098209.042320054</v>
      </c>
      <c r="FN242" s="231">
        <f t="shared" ca="1" si="3720"/>
        <v>29345725.41574071</v>
      </c>
      <c r="FO242" s="231">
        <f t="shared" ca="1" si="3720"/>
        <v>29593363.019407742</v>
      </c>
      <c r="FP242" s="231">
        <f t="shared" ca="1" si="3720"/>
        <v>29841140.629357632</v>
      </c>
      <c r="FQ242" s="231">
        <f t="shared" ca="1" si="3720"/>
        <v>30088476.264527384</v>
      </c>
      <c r="FR242" s="231">
        <f t="shared" ca="1" si="3720"/>
        <v>30335402.289796337</v>
      </c>
      <c r="FS242" s="231">
        <f t="shared" ca="1" si="3720"/>
        <v>30581865.15879862</v>
      </c>
      <c r="FT242" s="231">
        <f t="shared" ca="1" si="3720"/>
        <v>30827834.614314295</v>
      </c>
      <c r="FU242" s="231">
        <f t="shared" ca="1" si="3720"/>
        <v>31073281.944200333</v>
      </c>
      <c r="FV242" s="231">
        <f t="shared" ca="1" si="3720"/>
        <v>31318171.41383655</v>
      </c>
      <c r="FW242" s="231">
        <f t="shared" ca="1" si="3720"/>
        <v>31562478.668753389</v>
      </c>
      <c r="FX242" s="231">
        <f t="shared" ca="1" si="3720"/>
        <v>31806144.608928829</v>
      </c>
      <c r="FY242" s="231">
        <f t="shared" ca="1" si="3720"/>
        <v>32049136.589453835</v>
      </c>
      <c r="FZ242" s="231">
        <f t="shared" ca="1" si="3720"/>
        <v>32291423.52990273</v>
      </c>
      <c r="GA242" s="231">
        <f t="shared" ca="1" si="3720"/>
        <v>32532968.750134524</v>
      </c>
      <c r="GB242" s="231">
        <f t="shared" ca="1" si="3720"/>
        <v>32772731.082474425</v>
      </c>
      <c r="GC242" s="231">
        <f t="shared" ca="1" si="3720"/>
        <v>32994578.66078366</v>
      </c>
      <c r="GD242" s="231">
        <f t="shared" ca="1" si="3720"/>
        <v>33218625.121173218</v>
      </c>
      <c r="GE242" s="231">
        <f t="shared" ca="1" si="3720"/>
        <v>33444852.333424825</v>
      </c>
      <c r="GF242" s="231">
        <f t="shared" ca="1" si="3720"/>
        <v>33673315.174889192</v>
      </c>
      <c r="GG242" s="231">
        <f t="shared" ca="1" si="3720"/>
        <v>33904000.208131425</v>
      </c>
      <c r="GH242" s="231">
        <f t="shared" ca="1" si="3720"/>
        <v>34136921.745286629</v>
      </c>
      <c r="GI242" s="231">
        <f t="shared" ca="1" si="3720"/>
        <v>34372098.531592138</v>
      </c>
      <c r="GJ242" s="231">
        <f t="shared" ca="1" si="3720"/>
        <v>34609531.140833624</v>
      </c>
      <c r="GK242" s="231">
        <f t="shared" ca="1" si="3720"/>
        <v>34849262.179743558</v>
      </c>
      <c r="GL242" s="231">
        <f t="shared" ca="1" si="3720"/>
        <v>35091266.453196421</v>
      </c>
      <c r="GM242" s="231">
        <f t="shared" ca="1" si="3720"/>
        <v>35335564.437377192</v>
      </c>
      <c r="GN242" s="231" t="str">
        <f t="shared" si="3720"/>
        <v/>
      </c>
      <c r="GO242" s="231" t="str">
        <f t="shared" si="3720"/>
        <v/>
      </c>
      <c r="GP242" s="231" t="str">
        <f t="shared" si="3720"/>
        <v/>
      </c>
      <c r="GQ242" s="231" t="str">
        <f t="shared" si="3720"/>
        <v/>
      </c>
      <c r="GR242" s="231" t="str">
        <f t="shared" si="3720"/>
        <v/>
      </c>
      <c r="GS242" s="231" t="str">
        <f t="shared" si="3720"/>
        <v/>
      </c>
      <c r="GT242" s="231" t="str">
        <f t="shared" si="3720"/>
        <v/>
      </c>
      <c r="GU242" s="231" t="str">
        <f t="shared" si="3720"/>
        <v/>
      </c>
      <c r="GV242" s="231" t="str">
        <f t="shared" si="3720"/>
        <v/>
      </c>
      <c r="GW242" s="231" t="str">
        <f t="shared" si="3720"/>
        <v/>
      </c>
      <c r="GX242" s="231" t="str">
        <f t="shared" si="3720"/>
        <v/>
      </c>
      <c r="GY242" s="231" t="str">
        <f t="shared" si="3720"/>
        <v/>
      </c>
      <c r="GZ242" s="231" t="str">
        <f t="shared" si="3720"/>
        <v/>
      </c>
      <c r="HA242" s="231" t="str">
        <f t="shared" si="3720"/>
        <v/>
      </c>
      <c r="HB242" s="231" t="str">
        <f t="shared" si="3720"/>
        <v/>
      </c>
      <c r="HC242" s="231" t="str">
        <f t="shared" si="3720"/>
        <v/>
      </c>
      <c r="HD242" s="231" t="str">
        <f t="shared" si="3720"/>
        <v/>
      </c>
      <c r="HE242" s="231" t="str">
        <f t="shared" si="3720"/>
        <v/>
      </c>
      <c r="HF242" s="231" t="str">
        <f t="shared" si="3720"/>
        <v/>
      </c>
      <c r="HG242" s="231" t="str">
        <f t="shared" si="3720"/>
        <v/>
      </c>
      <c r="HH242" s="231" t="str">
        <f t="shared" si="3720"/>
        <v/>
      </c>
      <c r="HI242" s="231" t="str">
        <f t="shared" si="3720"/>
        <v/>
      </c>
      <c r="HJ242" s="231" t="str">
        <f t="shared" si="3720"/>
        <v/>
      </c>
      <c r="HK242" s="231" t="str">
        <f t="shared" si="3720"/>
        <v/>
      </c>
      <c r="HL242" s="231" t="str">
        <f t="shared" si="3720"/>
        <v/>
      </c>
      <c r="HM242" s="231" t="str">
        <f t="shared" si="3720"/>
        <v/>
      </c>
      <c r="HN242" s="231" t="str">
        <f t="shared" si="3720"/>
        <v/>
      </c>
      <c r="HO242" s="231" t="str">
        <f t="shared" si="3720"/>
        <v/>
      </c>
      <c r="HP242" s="231" t="str">
        <f t="shared" ref="HP242:KA242" si="3721">IF(HP241="","",HO247)</f>
        <v/>
      </c>
      <c r="HQ242" s="231" t="str">
        <f t="shared" si="3721"/>
        <v/>
      </c>
      <c r="HR242" s="231" t="str">
        <f t="shared" si="3721"/>
        <v/>
      </c>
      <c r="HS242" s="231" t="str">
        <f t="shared" si="3721"/>
        <v/>
      </c>
      <c r="HT242" s="231" t="str">
        <f t="shared" si="3721"/>
        <v/>
      </c>
      <c r="HU242" s="231" t="str">
        <f t="shared" si="3721"/>
        <v/>
      </c>
      <c r="HV242" s="231" t="str">
        <f t="shared" si="3721"/>
        <v/>
      </c>
      <c r="HW242" s="231" t="str">
        <f t="shared" si="3721"/>
        <v/>
      </c>
      <c r="HX242" s="231" t="str">
        <f t="shared" si="3721"/>
        <v/>
      </c>
      <c r="HY242" s="231" t="str">
        <f t="shared" si="3721"/>
        <v/>
      </c>
      <c r="HZ242" s="231" t="str">
        <f t="shared" si="3721"/>
        <v/>
      </c>
      <c r="IA242" s="231" t="str">
        <f t="shared" si="3721"/>
        <v/>
      </c>
      <c r="IB242" s="231" t="str">
        <f t="shared" si="3721"/>
        <v/>
      </c>
      <c r="IC242" s="231" t="str">
        <f t="shared" si="3721"/>
        <v/>
      </c>
      <c r="ID242" s="231" t="str">
        <f t="shared" si="3721"/>
        <v/>
      </c>
      <c r="IE242" s="231" t="str">
        <f t="shared" si="3721"/>
        <v/>
      </c>
      <c r="IF242" s="231" t="str">
        <f t="shared" si="3721"/>
        <v/>
      </c>
      <c r="IG242" s="231" t="str">
        <f t="shared" si="3721"/>
        <v/>
      </c>
      <c r="IH242" s="231" t="str">
        <f t="shared" si="3721"/>
        <v/>
      </c>
      <c r="II242" s="231" t="str">
        <f t="shared" si="3721"/>
        <v/>
      </c>
      <c r="IJ242" s="231" t="str">
        <f t="shared" si="3721"/>
        <v/>
      </c>
      <c r="IK242" s="231" t="str">
        <f t="shared" si="3721"/>
        <v/>
      </c>
      <c r="IL242" s="231" t="str">
        <f t="shared" si="3721"/>
        <v/>
      </c>
      <c r="IM242" s="231" t="str">
        <f t="shared" si="3721"/>
        <v/>
      </c>
      <c r="IN242" s="231" t="str">
        <f t="shared" si="3721"/>
        <v/>
      </c>
      <c r="IO242" s="231" t="str">
        <f t="shared" si="3721"/>
        <v/>
      </c>
      <c r="IP242" s="231" t="str">
        <f t="shared" si="3721"/>
        <v/>
      </c>
      <c r="IQ242" s="231" t="str">
        <f t="shared" si="3721"/>
        <v/>
      </c>
      <c r="IR242" s="231" t="str">
        <f t="shared" si="3721"/>
        <v/>
      </c>
      <c r="IS242" s="231" t="str">
        <f t="shared" si="3721"/>
        <v/>
      </c>
      <c r="IT242" s="231" t="str">
        <f t="shared" si="3721"/>
        <v/>
      </c>
      <c r="IU242" s="231" t="str">
        <f t="shared" si="3721"/>
        <v/>
      </c>
      <c r="IV242" s="231" t="str">
        <f t="shared" si="3721"/>
        <v/>
      </c>
      <c r="IW242" s="231" t="str">
        <f t="shared" si="3721"/>
        <v/>
      </c>
      <c r="IX242" s="231" t="str">
        <f t="shared" si="3721"/>
        <v/>
      </c>
      <c r="IY242" s="231" t="str">
        <f t="shared" si="3721"/>
        <v/>
      </c>
      <c r="IZ242" s="231" t="str">
        <f t="shared" si="3721"/>
        <v/>
      </c>
      <c r="JA242" s="231" t="str">
        <f t="shared" si="3721"/>
        <v/>
      </c>
      <c r="JB242" s="231" t="str">
        <f t="shared" si="3721"/>
        <v/>
      </c>
      <c r="JC242" s="231" t="str">
        <f t="shared" si="3721"/>
        <v/>
      </c>
      <c r="JD242" s="231" t="str">
        <f t="shared" si="3721"/>
        <v/>
      </c>
      <c r="JE242" s="231" t="str">
        <f t="shared" si="3721"/>
        <v/>
      </c>
      <c r="JF242" s="231" t="str">
        <f t="shared" si="3721"/>
        <v/>
      </c>
      <c r="JG242" s="231" t="str">
        <f t="shared" si="3721"/>
        <v/>
      </c>
      <c r="JH242" s="231" t="str">
        <f t="shared" si="3721"/>
        <v/>
      </c>
      <c r="JI242" s="231" t="str">
        <f t="shared" si="3721"/>
        <v/>
      </c>
      <c r="JJ242" s="231" t="str">
        <f t="shared" si="3721"/>
        <v/>
      </c>
      <c r="JK242" s="231" t="str">
        <f t="shared" si="3721"/>
        <v/>
      </c>
      <c r="JL242" s="231" t="str">
        <f t="shared" si="3721"/>
        <v/>
      </c>
      <c r="JM242" s="231" t="str">
        <f t="shared" si="3721"/>
        <v/>
      </c>
      <c r="JN242" s="231" t="str">
        <f t="shared" si="3721"/>
        <v/>
      </c>
      <c r="JO242" s="231" t="str">
        <f t="shared" si="3721"/>
        <v/>
      </c>
      <c r="JP242" s="231" t="str">
        <f t="shared" si="3721"/>
        <v/>
      </c>
      <c r="JQ242" s="231" t="str">
        <f t="shared" si="3721"/>
        <v/>
      </c>
      <c r="JR242" s="231" t="str">
        <f t="shared" si="3721"/>
        <v/>
      </c>
      <c r="JS242" s="231" t="str">
        <f t="shared" si="3721"/>
        <v/>
      </c>
      <c r="JT242" s="231" t="str">
        <f t="shared" si="3721"/>
        <v/>
      </c>
      <c r="JU242" s="231" t="str">
        <f t="shared" si="3721"/>
        <v/>
      </c>
      <c r="JV242" s="231" t="str">
        <f t="shared" si="3721"/>
        <v/>
      </c>
      <c r="JW242" s="231" t="str">
        <f t="shared" si="3721"/>
        <v/>
      </c>
      <c r="JX242" s="231" t="str">
        <f t="shared" si="3721"/>
        <v/>
      </c>
      <c r="JY242" s="231" t="str">
        <f t="shared" si="3721"/>
        <v/>
      </c>
      <c r="JZ242" s="231" t="str">
        <f t="shared" si="3721"/>
        <v/>
      </c>
      <c r="KA242" s="231" t="str">
        <f t="shared" si="3721"/>
        <v/>
      </c>
      <c r="KB242" s="231" t="str">
        <f t="shared" ref="KB242:KE242" si="3722">IF(KB241="","",KA247)</f>
        <v/>
      </c>
      <c r="KC242" s="231" t="str">
        <f t="shared" si="3722"/>
        <v/>
      </c>
      <c r="KD242" s="231" t="str">
        <f t="shared" si="3722"/>
        <v/>
      </c>
      <c r="KE242" s="231" t="str">
        <f t="shared" si="3722"/>
        <v/>
      </c>
      <c r="KF242" s="200" t="s">
        <v>269</v>
      </c>
      <c r="PQ242" s="201"/>
      <c r="PR242" s="201"/>
      <c r="PS242" s="201"/>
      <c r="PT242" s="201"/>
      <c r="PU242" s="201"/>
      <c r="PV242" s="201"/>
      <c r="PW242" s="201"/>
      <c r="PX242" s="201"/>
      <c r="PY242" s="201"/>
      <c r="PZ242" s="201"/>
      <c r="QA242" s="201"/>
      <c r="QB242" s="201"/>
      <c r="QC242" s="201"/>
      <c r="QD242" s="201"/>
      <c r="QE242" s="201"/>
      <c r="QF242" s="201"/>
      <c r="QG242" s="201"/>
      <c r="QH242" s="201"/>
      <c r="QI242" s="201"/>
      <c r="QJ242" s="201"/>
      <c r="QK242" s="201"/>
      <c r="QL242" s="201"/>
      <c r="QM242" s="201"/>
      <c r="QN242" s="201"/>
      <c r="QO242" s="201"/>
      <c r="QP242" s="201"/>
      <c r="QQ242" s="201"/>
      <c r="QR242" s="201"/>
      <c r="QS242" s="201"/>
      <c r="QT242" s="201"/>
      <c r="QU242" s="201"/>
      <c r="QV242" s="201"/>
      <c r="QW242" s="201"/>
      <c r="QX242" s="201"/>
      <c r="QY242" s="201"/>
      <c r="QZ242" s="201"/>
      <c r="RA242" s="201"/>
      <c r="RB242" s="201"/>
      <c r="RC242" s="201"/>
      <c r="RD242" s="201"/>
      <c r="RE242" s="201"/>
      <c r="RF242" s="201"/>
      <c r="RG242" s="201"/>
      <c r="RH242" s="201"/>
      <c r="RI242" s="201"/>
      <c r="RJ242" s="201"/>
      <c r="RK242" s="201"/>
      <c r="RL242" s="201"/>
      <c r="RM242" s="201"/>
      <c r="RN242" s="201"/>
      <c r="RO242" s="201"/>
      <c r="RP242" s="201"/>
      <c r="RQ242" s="201"/>
      <c r="RR242" s="201"/>
      <c r="RS242" s="201"/>
      <c r="RT242" s="201"/>
      <c r="RU242" s="201"/>
      <c r="RV242" s="201"/>
      <c r="RW242" s="201"/>
      <c r="RX242" s="201"/>
      <c r="RY242" s="201"/>
      <c r="RZ242" s="201"/>
      <c r="SA242" s="201"/>
      <c r="SB242" s="201"/>
      <c r="SC242" s="201"/>
      <c r="SD242" s="201"/>
      <c r="SE242" s="201"/>
      <c r="SF242" s="201"/>
      <c r="SG242" s="201"/>
      <c r="SH242" s="201"/>
      <c r="SI242" s="201"/>
      <c r="SJ242" s="201"/>
      <c r="SK242" s="201"/>
      <c r="SL242" s="201"/>
      <c r="SM242" s="201"/>
      <c r="SN242" s="201"/>
      <c r="SO242" s="201"/>
      <c r="SP242" s="201"/>
      <c r="SQ242" s="201"/>
      <c r="SR242" s="201"/>
      <c r="SS242" s="201"/>
      <c r="ST242" s="201"/>
      <c r="SU242" s="201"/>
      <c r="SV242" s="201"/>
      <c r="SW242" s="201"/>
      <c r="SX242" s="201"/>
      <c r="SY242" s="201"/>
      <c r="SZ242" s="201"/>
      <c r="TA242" s="201"/>
      <c r="TB242" s="201"/>
      <c r="TC242" s="201"/>
      <c r="TD242" s="201"/>
      <c r="TE242" s="201"/>
      <c r="TF242" s="201"/>
      <c r="TG242" s="201"/>
      <c r="TH242" s="201"/>
      <c r="TI242" s="201"/>
      <c r="TJ242" s="201"/>
      <c r="TK242" s="201"/>
      <c r="TL242" s="201"/>
      <c r="TM242" s="201"/>
      <c r="TN242" s="201"/>
      <c r="TO242" s="201"/>
      <c r="TP242" s="201"/>
      <c r="TQ242" s="201"/>
      <c r="TR242" s="201"/>
      <c r="TS242" s="201"/>
      <c r="TT242" s="201"/>
      <c r="TU242" s="201"/>
      <c r="TV242" s="201"/>
      <c r="TW242" s="201"/>
      <c r="TX242" s="201"/>
      <c r="TY242" s="201"/>
      <c r="TZ242" s="201"/>
      <c r="UA242" s="201"/>
      <c r="UB242" s="201"/>
      <c r="UC242" s="201"/>
      <c r="UD242" s="201"/>
      <c r="UE242" s="201"/>
      <c r="UF242" s="201"/>
      <c r="UG242" s="201"/>
      <c r="UH242" s="201"/>
      <c r="UI242" s="201"/>
      <c r="UJ242" s="201"/>
      <c r="UK242" s="201"/>
      <c r="UL242" s="201"/>
      <c r="UM242" s="201"/>
      <c r="UN242" s="201"/>
      <c r="UO242" s="201"/>
      <c r="UP242" s="201"/>
      <c r="UQ242" s="201"/>
      <c r="UR242" s="201"/>
      <c r="US242" s="201"/>
      <c r="UT242" s="201"/>
      <c r="UU242" s="201"/>
    </row>
    <row r="243" spans="1:567" x14ac:dyDescent="0.25">
      <c r="B243" s="18" t="s">
        <v>249</v>
      </c>
      <c r="C243" s="18"/>
      <c r="D243" s="18"/>
      <c r="E243" s="18"/>
      <c r="F243" s="18"/>
      <c r="G243" s="26" t="s">
        <v>248</v>
      </c>
      <c r="H243" s="68">
        <v>0.12</v>
      </c>
      <c r="I243" s="68">
        <v>0.1</v>
      </c>
      <c r="J243" s="57">
        <f>I243+(1-I243)*$J$237</f>
        <v>0.14500000000000002</v>
      </c>
      <c r="K243" s="45">
        <f>1-J243</f>
        <v>0.85499999999999998</v>
      </c>
      <c r="M243" s="3" t="s">
        <v>854</v>
      </c>
      <c r="EW243" s="201" t="s">
        <v>264</v>
      </c>
      <c r="EX243" s="201"/>
      <c r="EY243" s="228"/>
      <c r="EZ243" s="228"/>
      <c r="FA243" s="236"/>
      <c r="FB243" s="236"/>
      <c r="FC243" s="236">
        <f t="shared" ref="FC243:GH243" ca="1" si="3723">IF(FC241="","",FC242*$EY240)</f>
        <v>0</v>
      </c>
      <c r="FD243" s="236">
        <f t="shared" ca="1" si="3723"/>
        <v>314722.44090211613</v>
      </c>
      <c r="FE243" s="236">
        <f t="shared" ca="1" si="3723"/>
        <v>317657.36609959457</v>
      </c>
      <c r="FF243" s="236">
        <f t="shared" ca="1" si="3723"/>
        <v>320567.9072952111</v>
      </c>
      <c r="FG243" s="236">
        <f t="shared" ca="1" si="3723"/>
        <v>323481.31812140724</v>
      </c>
      <c r="FH243" s="236">
        <f t="shared" ca="1" si="3723"/>
        <v>326391.37971391599</v>
      </c>
      <c r="FI243" s="236">
        <f t="shared" ca="1" si="3723"/>
        <v>329288.68389092135</v>
      </c>
      <c r="FJ243" s="236">
        <f t="shared" ca="1" si="3723"/>
        <v>332187.87302079471</v>
      </c>
      <c r="FK243" s="236">
        <f t="shared" ca="1" si="3723"/>
        <v>335087.4180506852</v>
      </c>
      <c r="FL243" s="236">
        <f t="shared" ca="1" si="3723"/>
        <v>337984.75178460637</v>
      </c>
      <c r="FM243" s="236">
        <f t="shared" ca="1" si="3723"/>
        <v>340883.10144730582</v>
      </c>
      <c r="FN243" s="236">
        <f t="shared" ca="1" si="3723"/>
        <v>343782.73519823217</v>
      </c>
      <c r="FO243" s="236">
        <f t="shared" ca="1" si="3723"/>
        <v>346683.78915142303</v>
      </c>
      <c r="FP243" s="236">
        <f t="shared" ca="1" si="3723"/>
        <v>349586.48326658586</v>
      </c>
      <c r="FQ243" s="236">
        <f t="shared" ca="1" si="3723"/>
        <v>352483.99968391866</v>
      </c>
      <c r="FR243" s="236">
        <f t="shared" ca="1" si="3723"/>
        <v>355376.71755529405</v>
      </c>
      <c r="FS243" s="236">
        <f t="shared" ca="1" si="3723"/>
        <v>358264.00958948454</v>
      </c>
      <c r="FT243" s="236">
        <f t="shared" ca="1" si="3723"/>
        <v>361145.52132567222</v>
      </c>
      <c r="FU243" s="236">
        <f t="shared" ca="1" si="3723"/>
        <v>364020.91640348703</v>
      </c>
      <c r="FV243" s="236">
        <f t="shared" ca="1" si="3723"/>
        <v>366889.77619482222</v>
      </c>
      <c r="FW243" s="236">
        <f t="shared" ca="1" si="3723"/>
        <v>369751.81538909045</v>
      </c>
      <c r="FX243" s="236">
        <f t="shared" ca="1" si="3723"/>
        <v>372606.34163444373</v>
      </c>
      <c r="FY243" s="236">
        <f t="shared" ca="1" si="3723"/>
        <v>375452.97249848477</v>
      </c>
      <c r="FZ243" s="236">
        <f t="shared" ca="1" si="3723"/>
        <v>378291.34387660905</v>
      </c>
      <c r="GA243" s="236">
        <f t="shared" ca="1" si="3723"/>
        <v>381121.0260640122</v>
      </c>
      <c r="GB243" s="236">
        <f t="shared" ca="1" si="3723"/>
        <v>383929.82186788443</v>
      </c>
      <c r="GC243" s="236">
        <f t="shared" ca="1" si="3723"/>
        <v>386528.74781664775</v>
      </c>
      <c r="GD243" s="236">
        <f t="shared" ca="1" si="3723"/>
        <v>389153.43348629866</v>
      </c>
      <c r="GE243" s="236">
        <f t="shared" ca="1" si="3723"/>
        <v>391803.6664828363</v>
      </c>
      <c r="GF243" s="236">
        <f t="shared" ca="1" si="3723"/>
        <v>394480.08968986495</v>
      </c>
      <c r="GG243" s="236">
        <f t="shared" ca="1" si="3723"/>
        <v>397182.54568895133</v>
      </c>
      <c r="GH243" s="236">
        <f t="shared" ca="1" si="3723"/>
        <v>399911.20214556908</v>
      </c>
      <c r="GI243" s="236">
        <f t="shared" ref="GI243:HN243" ca="1" si="3724">IF(GI241="","",GI242*$EY240)</f>
        <v>402666.27865861624</v>
      </c>
      <c r="GJ243" s="236">
        <f t="shared" ca="1" si="3724"/>
        <v>405447.78194994427</v>
      </c>
      <c r="GK243" s="236">
        <f t="shared" ca="1" si="3724"/>
        <v>408256.2111538843</v>
      </c>
      <c r="GL243" s="236">
        <f t="shared" ca="1" si="3724"/>
        <v>411091.27111163404</v>
      </c>
      <c r="GM243" s="236">
        <f t="shared" ca="1" si="3724"/>
        <v>413953.20169999945</v>
      </c>
      <c r="GN243" s="236" t="str">
        <f t="shared" si="3724"/>
        <v/>
      </c>
      <c r="GO243" s="236" t="str">
        <f t="shared" si="3724"/>
        <v/>
      </c>
      <c r="GP243" s="236" t="str">
        <f t="shared" si="3724"/>
        <v/>
      </c>
      <c r="GQ243" s="236" t="str">
        <f t="shared" si="3724"/>
        <v/>
      </c>
      <c r="GR243" s="236" t="str">
        <f t="shared" si="3724"/>
        <v/>
      </c>
      <c r="GS243" s="236" t="str">
        <f t="shared" si="3724"/>
        <v/>
      </c>
      <c r="GT243" s="236" t="str">
        <f t="shared" si="3724"/>
        <v/>
      </c>
      <c r="GU243" s="236" t="str">
        <f t="shared" si="3724"/>
        <v/>
      </c>
      <c r="GV243" s="236" t="str">
        <f t="shared" si="3724"/>
        <v/>
      </c>
      <c r="GW243" s="236" t="str">
        <f t="shared" si="3724"/>
        <v/>
      </c>
      <c r="GX243" s="236" t="str">
        <f t="shared" si="3724"/>
        <v/>
      </c>
      <c r="GY243" s="236" t="str">
        <f t="shared" si="3724"/>
        <v/>
      </c>
      <c r="GZ243" s="236" t="str">
        <f t="shared" si="3724"/>
        <v/>
      </c>
      <c r="HA243" s="236" t="str">
        <f t="shared" si="3724"/>
        <v/>
      </c>
      <c r="HB243" s="236" t="str">
        <f t="shared" si="3724"/>
        <v/>
      </c>
      <c r="HC243" s="236" t="str">
        <f t="shared" si="3724"/>
        <v/>
      </c>
      <c r="HD243" s="236" t="str">
        <f t="shared" si="3724"/>
        <v/>
      </c>
      <c r="HE243" s="236" t="str">
        <f t="shared" si="3724"/>
        <v/>
      </c>
      <c r="HF243" s="236" t="str">
        <f t="shared" si="3724"/>
        <v/>
      </c>
      <c r="HG243" s="236" t="str">
        <f t="shared" si="3724"/>
        <v/>
      </c>
      <c r="HH243" s="236" t="str">
        <f t="shared" si="3724"/>
        <v/>
      </c>
      <c r="HI243" s="236" t="str">
        <f t="shared" si="3724"/>
        <v/>
      </c>
      <c r="HJ243" s="236" t="str">
        <f t="shared" si="3724"/>
        <v/>
      </c>
      <c r="HK243" s="236" t="str">
        <f t="shared" si="3724"/>
        <v/>
      </c>
      <c r="HL243" s="236" t="str">
        <f t="shared" si="3724"/>
        <v/>
      </c>
      <c r="HM243" s="236" t="str">
        <f t="shared" si="3724"/>
        <v/>
      </c>
      <c r="HN243" s="236" t="str">
        <f t="shared" si="3724"/>
        <v/>
      </c>
      <c r="HO243" s="236" t="str">
        <f t="shared" ref="HO243:IT243" si="3725">IF(HO241="","",HO242*$EY240)</f>
        <v/>
      </c>
      <c r="HP243" s="236" t="str">
        <f t="shared" si="3725"/>
        <v/>
      </c>
      <c r="HQ243" s="236" t="str">
        <f t="shared" si="3725"/>
        <v/>
      </c>
      <c r="HR243" s="236" t="str">
        <f t="shared" si="3725"/>
        <v/>
      </c>
      <c r="HS243" s="236" t="str">
        <f t="shared" si="3725"/>
        <v/>
      </c>
      <c r="HT243" s="236" t="str">
        <f t="shared" si="3725"/>
        <v/>
      </c>
      <c r="HU243" s="236" t="str">
        <f t="shared" si="3725"/>
        <v/>
      </c>
      <c r="HV243" s="236" t="str">
        <f t="shared" si="3725"/>
        <v/>
      </c>
      <c r="HW243" s="236" t="str">
        <f t="shared" si="3725"/>
        <v/>
      </c>
      <c r="HX243" s="236" t="str">
        <f t="shared" si="3725"/>
        <v/>
      </c>
      <c r="HY243" s="236" t="str">
        <f t="shared" si="3725"/>
        <v/>
      </c>
      <c r="HZ243" s="236" t="str">
        <f t="shared" si="3725"/>
        <v/>
      </c>
      <c r="IA243" s="236" t="str">
        <f t="shared" si="3725"/>
        <v/>
      </c>
      <c r="IB243" s="236" t="str">
        <f t="shared" si="3725"/>
        <v/>
      </c>
      <c r="IC243" s="236" t="str">
        <f t="shared" si="3725"/>
        <v/>
      </c>
      <c r="ID243" s="236" t="str">
        <f t="shared" si="3725"/>
        <v/>
      </c>
      <c r="IE243" s="236" t="str">
        <f t="shared" si="3725"/>
        <v/>
      </c>
      <c r="IF243" s="236" t="str">
        <f t="shared" si="3725"/>
        <v/>
      </c>
      <c r="IG243" s="236" t="str">
        <f t="shared" si="3725"/>
        <v/>
      </c>
      <c r="IH243" s="236" t="str">
        <f t="shared" si="3725"/>
        <v/>
      </c>
      <c r="II243" s="236" t="str">
        <f t="shared" si="3725"/>
        <v/>
      </c>
      <c r="IJ243" s="236" t="str">
        <f t="shared" si="3725"/>
        <v/>
      </c>
      <c r="IK243" s="236" t="str">
        <f t="shared" si="3725"/>
        <v/>
      </c>
      <c r="IL243" s="236" t="str">
        <f t="shared" si="3725"/>
        <v/>
      </c>
      <c r="IM243" s="236" t="str">
        <f t="shared" si="3725"/>
        <v/>
      </c>
      <c r="IN243" s="236" t="str">
        <f t="shared" si="3725"/>
        <v/>
      </c>
      <c r="IO243" s="236" t="str">
        <f t="shared" si="3725"/>
        <v/>
      </c>
      <c r="IP243" s="236" t="str">
        <f t="shared" si="3725"/>
        <v/>
      </c>
      <c r="IQ243" s="236" t="str">
        <f t="shared" si="3725"/>
        <v/>
      </c>
      <c r="IR243" s="236" t="str">
        <f t="shared" si="3725"/>
        <v/>
      </c>
      <c r="IS243" s="236" t="str">
        <f t="shared" si="3725"/>
        <v/>
      </c>
      <c r="IT243" s="236" t="str">
        <f t="shared" si="3725"/>
        <v/>
      </c>
      <c r="IU243" s="236" t="str">
        <f t="shared" ref="IU243:JZ243" si="3726">IF(IU241="","",IU242*$EY240)</f>
        <v/>
      </c>
      <c r="IV243" s="236" t="str">
        <f t="shared" si="3726"/>
        <v/>
      </c>
      <c r="IW243" s="236" t="str">
        <f t="shared" si="3726"/>
        <v/>
      </c>
      <c r="IX243" s="236" t="str">
        <f t="shared" si="3726"/>
        <v/>
      </c>
      <c r="IY243" s="236" t="str">
        <f t="shared" si="3726"/>
        <v/>
      </c>
      <c r="IZ243" s="236" t="str">
        <f t="shared" si="3726"/>
        <v/>
      </c>
      <c r="JA243" s="236" t="str">
        <f t="shared" si="3726"/>
        <v/>
      </c>
      <c r="JB243" s="236" t="str">
        <f t="shared" si="3726"/>
        <v/>
      </c>
      <c r="JC243" s="236" t="str">
        <f t="shared" si="3726"/>
        <v/>
      </c>
      <c r="JD243" s="236" t="str">
        <f t="shared" si="3726"/>
        <v/>
      </c>
      <c r="JE243" s="236" t="str">
        <f t="shared" si="3726"/>
        <v/>
      </c>
      <c r="JF243" s="236" t="str">
        <f t="shared" si="3726"/>
        <v/>
      </c>
      <c r="JG243" s="236" t="str">
        <f t="shared" si="3726"/>
        <v/>
      </c>
      <c r="JH243" s="236" t="str">
        <f t="shared" si="3726"/>
        <v/>
      </c>
      <c r="JI243" s="236" t="str">
        <f t="shared" si="3726"/>
        <v/>
      </c>
      <c r="JJ243" s="236" t="str">
        <f t="shared" si="3726"/>
        <v/>
      </c>
      <c r="JK243" s="236" t="str">
        <f t="shared" si="3726"/>
        <v/>
      </c>
      <c r="JL243" s="236" t="str">
        <f t="shared" si="3726"/>
        <v/>
      </c>
      <c r="JM243" s="236" t="str">
        <f t="shared" si="3726"/>
        <v/>
      </c>
      <c r="JN243" s="236" t="str">
        <f t="shared" si="3726"/>
        <v/>
      </c>
      <c r="JO243" s="236" t="str">
        <f t="shared" si="3726"/>
        <v/>
      </c>
      <c r="JP243" s="236" t="str">
        <f t="shared" si="3726"/>
        <v/>
      </c>
      <c r="JQ243" s="236" t="str">
        <f t="shared" si="3726"/>
        <v/>
      </c>
      <c r="JR243" s="236" t="str">
        <f t="shared" si="3726"/>
        <v/>
      </c>
      <c r="JS243" s="236" t="str">
        <f t="shared" si="3726"/>
        <v/>
      </c>
      <c r="JT243" s="236" t="str">
        <f t="shared" si="3726"/>
        <v/>
      </c>
      <c r="JU243" s="236" t="str">
        <f t="shared" si="3726"/>
        <v/>
      </c>
      <c r="JV243" s="236" t="str">
        <f t="shared" si="3726"/>
        <v/>
      </c>
      <c r="JW243" s="236" t="str">
        <f t="shared" si="3726"/>
        <v/>
      </c>
      <c r="JX243" s="236" t="str">
        <f t="shared" si="3726"/>
        <v/>
      </c>
      <c r="JY243" s="236" t="str">
        <f t="shared" si="3726"/>
        <v/>
      </c>
      <c r="JZ243" s="236" t="str">
        <f t="shared" si="3726"/>
        <v/>
      </c>
      <c r="KA243" s="236" t="str">
        <f t="shared" ref="KA243:KE243" si="3727">IF(KA241="","",KA242*$EY240)</f>
        <v/>
      </c>
      <c r="KB243" s="236" t="str">
        <f t="shared" si="3727"/>
        <v/>
      </c>
      <c r="KC243" s="236" t="str">
        <f t="shared" si="3727"/>
        <v/>
      </c>
      <c r="KD243" s="236" t="str">
        <f t="shared" si="3727"/>
        <v/>
      </c>
      <c r="KE243" s="236" t="str">
        <f t="shared" si="3727"/>
        <v/>
      </c>
      <c r="KF243" s="200" t="s">
        <v>269</v>
      </c>
      <c r="PQ243" s="201"/>
      <c r="PR243" s="201"/>
      <c r="PS243" s="201"/>
      <c r="PT243" s="201"/>
      <c r="PU243" s="201"/>
      <c r="PV243" s="201"/>
      <c r="PW243" s="201"/>
      <c r="PX243" s="201"/>
      <c r="PY243" s="201"/>
      <c r="PZ243" s="201"/>
      <c r="QA243" s="201"/>
      <c r="QB243" s="201"/>
      <c r="QC243" s="201"/>
      <c r="QD243" s="201"/>
      <c r="QE243" s="201"/>
      <c r="QF243" s="201"/>
      <c r="QG243" s="201"/>
      <c r="QH243" s="201"/>
      <c r="QI243" s="201"/>
      <c r="QJ243" s="201"/>
      <c r="QK243" s="201"/>
      <c r="QL243" s="201"/>
      <c r="QM243" s="201"/>
      <c r="QN243" s="201"/>
      <c r="QO243" s="201"/>
      <c r="QP243" s="201"/>
      <c r="QQ243" s="201"/>
      <c r="QR243" s="201"/>
      <c r="QS243" s="201"/>
      <c r="QT243" s="201"/>
      <c r="QU243" s="201"/>
      <c r="QV243" s="201"/>
      <c r="QW243" s="201"/>
      <c r="QX243" s="201"/>
      <c r="QY243" s="201"/>
      <c r="QZ243" s="201"/>
      <c r="RA243" s="201"/>
      <c r="RB243" s="201"/>
      <c r="RC243" s="201"/>
      <c r="RD243" s="201"/>
      <c r="RE243" s="201"/>
      <c r="RF243" s="201"/>
      <c r="RG243" s="201"/>
      <c r="RH243" s="201"/>
      <c r="RI243" s="201"/>
      <c r="RJ243" s="201"/>
      <c r="RK243" s="201"/>
      <c r="RL243" s="201"/>
      <c r="RM243" s="201"/>
      <c r="RN243" s="201"/>
      <c r="RO243" s="201"/>
      <c r="RP243" s="201"/>
      <c r="RQ243" s="201"/>
      <c r="RR243" s="201"/>
      <c r="RS243" s="201"/>
      <c r="RT243" s="201"/>
      <c r="RU243" s="201"/>
      <c r="RV243" s="201"/>
      <c r="RW243" s="201"/>
      <c r="RX243" s="201"/>
      <c r="RY243" s="201"/>
      <c r="RZ243" s="201"/>
      <c r="SA243" s="201"/>
      <c r="SB243" s="201"/>
      <c r="SC243" s="201"/>
      <c r="SD243" s="201"/>
      <c r="SE243" s="201"/>
      <c r="SF243" s="201"/>
      <c r="SG243" s="201"/>
      <c r="SH243" s="201"/>
      <c r="SI243" s="201"/>
      <c r="SJ243" s="201"/>
      <c r="SK243" s="201"/>
      <c r="SL243" s="201"/>
      <c r="SM243" s="201"/>
      <c r="SN243" s="201"/>
      <c r="SO243" s="201"/>
      <c r="SP243" s="201"/>
      <c r="SQ243" s="201"/>
      <c r="SR243" s="201"/>
      <c r="SS243" s="201"/>
      <c r="ST243" s="201"/>
      <c r="SU243" s="201"/>
      <c r="SV243" s="201"/>
      <c r="SW243" s="201"/>
      <c r="SX243" s="201"/>
      <c r="SY243" s="201"/>
      <c r="SZ243" s="201"/>
      <c r="TA243" s="201"/>
      <c r="TB243" s="201"/>
      <c r="TC243" s="201"/>
      <c r="TD243" s="201"/>
      <c r="TE243" s="201"/>
      <c r="TF243" s="201"/>
      <c r="TG243" s="201"/>
      <c r="TH243" s="201"/>
      <c r="TI243" s="201"/>
      <c r="TJ243" s="201"/>
      <c r="TK243" s="201"/>
      <c r="TL243" s="201"/>
      <c r="TM243" s="201"/>
      <c r="TN243" s="201"/>
      <c r="TO243" s="201"/>
      <c r="TP243" s="201"/>
      <c r="TQ243" s="201"/>
      <c r="TR243" s="201"/>
      <c r="TS243" s="201"/>
      <c r="TT243" s="201"/>
      <c r="TU243" s="201"/>
      <c r="TV243" s="201"/>
      <c r="TW243" s="201"/>
      <c r="TX243" s="201"/>
      <c r="TY243" s="201"/>
      <c r="TZ243" s="201"/>
      <c r="UA243" s="201"/>
      <c r="UB243" s="201"/>
      <c r="UC243" s="201"/>
      <c r="UD243" s="201"/>
      <c r="UE243" s="201"/>
      <c r="UF243" s="201"/>
      <c r="UG243" s="201"/>
      <c r="UH243" s="201"/>
      <c r="UI243" s="201"/>
      <c r="UJ243" s="201"/>
      <c r="UK243" s="201"/>
      <c r="UL243" s="201"/>
      <c r="UM243" s="201"/>
      <c r="UN243" s="201"/>
      <c r="UO243" s="201"/>
      <c r="UP243" s="201"/>
      <c r="UQ243" s="201"/>
      <c r="UR243" s="201"/>
      <c r="US243" s="201"/>
      <c r="UT243" s="201"/>
      <c r="UU243" s="201"/>
    </row>
    <row r="244" spans="1:567" x14ac:dyDescent="0.25">
      <c r="B244" s="18" t="s">
        <v>250</v>
      </c>
      <c r="C244" s="18"/>
      <c r="D244" s="18"/>
      <c r="E244" s="18"/>
      <c r="F244" s="18"/>
      <c r="G244" s="26" t="s">
        <v>248</v>
      </c>
      <c r="H244" s="68">
        <v>0.15</v>
      </c>
      <c r="I244" s="68">
        <v>0.2</v>
      </c>
      <c r="J244" s="57">
        <f t="shared" ref="J244:J245" si="3728">I244+(1-I244)*$J$237</f>
        <v>0.24000000000000002</v>
      </c>
      <c r="K244" s="45">
        <f>1-J244</f>
        <v>0.76</v>
      </c>
      <c r="M244" s="3" t="s">
        <v>854</v>
      </c>
      <c r="EW244" s="201" t="s">
        <v>265</v>
      </c>
      <c r="EX244" s="201"/>
      <c r="EY244" s="228"/>
      <c r="EZ244" s="228"/>
      <c r="FA244" s="236"/>
      <c r="FB244" s="236"/>
      <c r="FC244" s="236">
        <f t="shared" ref="FC244:GH244" ca="1" si="3729">IF(FC241="","",FC232)</f>
        <v>26865102.25</v>
      </c>
      <c r="FD244" s="236">
        <f t="shared" ca="1" si="3729"/>
        <v>0</v>
      </c>
      <c r="FE244" s="236">
        <f t="shared" ca="1" si="3729"/>
        <v>0</v>
      </c>
      <c r="FF244" s="236">
        <f t="shared" ca="1" si="3729"/>
        <v>0</v>
      </c>
      <c r="FG244" s="236">
        <f t="shared" ca="1" si="3729"/>
        <v>0</v>
      </c>
      <c r="FH244" s="236">
        <f t="shared" ca="1" si="3729"/>
        <v>0</v>
      </c>
      <c r="FI244" s="236">
        <f t="shared" ca="1" si="3729"/>
        <v>0</v>
      </c>
      <c r="FJ244" s="236">
        <f t="shared" ca="1" si="3729"/>
        <v>0</v>
      </c>
      <c r="FK244" s="236">
        <f t="shared" ca="1" si="3729"/>
        <v>0</v>
      </c>
      <c r="FL244" s="236">
        <f t="shared" ca="1" si="3729"/>
        <v>0</v>
      </c>
      <c r="FM244" s="236">
        <f t="shared" ca="1" si="3729"/>
        <v>0</v>
      </c>
      <c r="FN244" s="236">
        <f t="shared" ca="1" si="3729"/>
        <v>0</v>
      </c>
      <c r="FO244" s="236">
        <f t="shared" ca="1" si="3729"/>
        <v>0</v>
      </c>
      <c r="FP244" s="236">
        <f t="shared" ca="1" si="3729"/>
        <v>0</v>
      </c>
      <c r="FQ244" s="236">
        <f t="shared" ca="1" si="3729"/>
        <v>0</v>
      </c>
      <c r="FR244" s="236">
        <f t="shared" ca="1" si="3729"/>
        <v>0</v>
      </c>
      <c r="FS244" s="236">
        <f t="shared" ca="1" si="3729"/>
        <v>0</v>
      </c>
      <c r="FT244" s="236">
        <f t="shared" ca="1" si="3729"/>
        <v>0</v>
      </c>
      <c r="FU244" s="236">
        <f t="shared" ca="1" si="3729"/>
        <v>0</v>
      </c>
      <c r="FV244" s="236">
        <f t="shared" ca="1" si="3729"/>
        <v>0</v>
      </c>
      <c r="FW244" s="236">
        <f t="shared" ca="1" si="3729"/>
        <v>0</v>
      </c>
      <c r="FX244" s="236">
        <f t="shared" ca="1" si="3729"/>
        <v>0</v>
      </c>
      <c r="FY244" s="236">
        <f t="shared" ca="1" si="3729"/>
        <v>0</v>
      </c>
      <c r="FZ244" s="236">
        <f t="shared" ca="1" si="3729"/>
        <v>0</v>
      </c>
      <c r="GA244" s="236">
        <f t="shared" ca="1" si="3729"/>
        <v>0</v>
      </c>
      <c r="GB244" s="236">
        <f t="shared" ca="1" si="3729"/>
        <v>0</v>
      </c>
      <c r="GC244" s="236">
        <f t="shared" ca="1" si="3729"/>
        <v>0</v>
      </c>
      <c r="GD244" s="236">
        <f t="shared" ca="1" si="3729"/>
        <v>0</v>
      </c>
      <c r="GE244" s="236">
        <f t="shared" ca="1" si="3729"/>
        <v>0</v>
      </c>
      <c r="GF244" s="236">
        <f t="shared" ca="1" si="3729"/>
        <v>0</v>
      </c>
      <c r="GG244" s="236">
        <f t="shared" ca="1" si="3729"/>
        <v>0</v>
      </c>
      <c r="GH244" s="236">
        <f t="shared" ca="1" si="3729"/>
        <v>0</v>
      </c>
      <c r="GI244" s="236">
        <f t="shared" ref="GI244:HN244" ca="1" si="3730">IF(GI241="","",GI232)</f>
        <v>0</v>
      </c>
      <c r="GJ244" s="236">
        <f t="shared" ca="1" si="3730"/>
        <v>0</v>
      </c>
      <c r="GK244" s="236">
        <f t="shared" ca="1" si="3730"/>
        <v>0</v>
      </c>
      <c r="GL244" s="236">
        <f t="shared" ca="1" si="3730"/>
        <v>0</v>
      </c>
      <c r="GM244" s="236">
        <f t="shared" ca="1" si="3730"/>
        <v>0</v>
      </c>
      <c r="GN244" s="236" t="str">
        <f t="shared" si="3730"/>
        <v/>
      </c>
      <c r="GO244" s="236" t="str">
        <f t="shared" si="3730"/>
        <v/>
      </c>
      <c r="GP244" s="236" t="str">
        <f t="shared" si="3730"/>
        <v/>
      </c>
      <c r="GQ244" s="236" t="str">
        <f t="shared" si="3730"/>
        <v/>
      </c>
      <c r="GR244" s="236" t="str">
        <f t="shared" si="3730"/>
        <v/>
      </c>
      <c r="GS244" s="236" t="str">
        <f t="shared" si="3730"/>
        <v/>
      </c>
      <c r="GT244" s="236" t="str">
        <f t="shared" si="3730"/>
        <v/>
      </c>
      <c r="GU244" s="236" t="str">
        <f t="shared" si="3730"/>
        <v/>
      </c>
      <c r="GV244" s="236" t="str">
        <f t="shared" si="3730"/>
        <v/>
      </c>
      <c r="GW244" s="236" t="str">
        <f t="shared" si="3730"/>
        <v/>
      </c>
      <c r="GX244" s="236" t="str">
        <f t="shared" si="3730"/>
        <v/>
      </c>
      <c r="GY244" s="236" t="str">
        <f t="shared" si="3730"/>
        <v/>
      </c>
      <c r="GZ244" s="236" t="str">
        <f t="shared" si="3730"/>
        <v/>
      </c>
      <c r="HA244" s="236" t="str">
        <f t="shared" si="3730"/>
        <v/>
      </c>
      <c r="HB244" s="236" t="str">
        <f t="shared" si="3730"/>
        <v/>
      </c>
      <c r="HC244" s="236" t="str">
        <f t="shared" si="3730"/>
        <v/>
      </c>
      <c r="HD244" s="236" t="str">
        <f t="shared" si="3730"/>
        <v/>
      </c>
      <c r="HE244" s="236" t="str">
        <f t="shared" si="3730"/>
        <v/>
      </c>
      <c r="HF244" s="236" t="str">
        <f t="shared" si="3730"/>
        <v/>
      </c>
      <c r="HG244" s="236" t="str">
        <f t="shared" si="3730"/>
        <v/>
      </c>
      <c r="HH244" s="236" t="str">
        <f t="shared" si="3730"/>
        <v/>
      </c>
      <c r="HI244" s="236" t="str">
        <f t="shared" si="3730"/>
        <v/>
      </c>
      <c r="HJ244" s="236" t="str">
        <f t="shared" si="3730"/>
        <v/>
      </c>
      <c r="HK244" s="236" t="str">
        <f t="shared" si="3730"/>
        <v/>
      </c>
      <c r="HL244" s="236" t="str">
        <f t="shared" si="3730"/>
        <v/>
      </c>
      <c r="HM244" s="236" t="str">
        <f t="shared" si="3730"/>
        <v/>
      </c>
      <c r="HN244" s="236" t="str">
        <f t="shared" si="3730"/>
        <v/>
      </c>
      <c r="HO244" s="236" t="str">
        <f t="shared" ref="HO244:IT244" si="3731">IF(HO241="","",HO232)</f>
        <v/>
      </c>
      <c r="HP244" s="236" t="str">
        <f t="shared" si="3731"/>
        <v/>
      </c>
      <c r="HQ244" s="236" t="str">
        <f t="shared" si="3731"/>
        <v/>
      </c>
      <c r="HR244" s="236" t="str">
        <f t="shared" si="3731"/>
        <v/>
      </c>
      <c r="HS244" s="236" t="str">
        <f t="shared" si="3731"/>
        <v/>
      </c>
      <c r="HT244" s="236" t="str">
        <f t="shared" si="3731"/>
        <v/>
      </c>
      <c r="HU244" s="236" t="str">
        <f t="shared" si="3731"/>
        <v/>
      </c>
      <c r="HV244" s="236" t="str">
        <f t="shared" si="3731"/>
        <v/>
      </c>
      <c r="HW244" s="236" t="str">
        <f t="shared" si="3731"/>
        <v/>
      </c>
      <c r="HX244" s="236" t="str">
        <f t="shared" si="3731"/>
        <v/>
      </c>
      <c r="HY244" s="236" t="str">
        <f t="shared" si="3731"/>
        <v/>
      </c>
      <c r="HZ244" s="236" t="str">
        <f t="shared" si="3731"/>
        <v/>
      </c>
      <c r="IA244" s="236" t="str">
        <f t="shared" si="3731"/>
        <v/>
      </c>
      <c r="IB244" s="236" t="str">
        <f t="shared" si="3731"/>
        <v/>
      </c>
      <c r="IC244" s="236" t="str">
        <f t="shared" si="3731"/>
        <v/>
      </c>
      <c r="ID244" s="236" t="str">
        <f t="shared" si="3731"/>
        <v/>
      </c>
      <c r="IE244" s="236" t="str">
        <f t="shared" si="3731"/>
        <v/>
      </c>
      <c r="IF244" s="236" t="str">
        <f t="shared" si="3731"/>
        <v/>
      </c>
      <c r="IG244" s="236" t="str">
        <f t="shared" si="3731"/>
        <v/>
      </c>
      <c r="IH244" s="236" t="str">
        <f t="shared" si="3731"/>
        <v/>
      </c>
      <c r="II244" s="236" t="str">
        <f t="shared" si="3731"/>
        <v/>
      </c>
      <c r="IJ244" s="236" t="str">
        <f t="shared" si="3731"/>
        <v/>
      </c>
      <c r="IK244" s="236" t="str">
        <f t="shared" si="3731"/>
        <v/>
      </c>
      <c r="IL244" s="236" t="str">
        <f t="shared" si="3731"/>
        <v/>
      </c>
      <c r="IM244" s="236" t="str">
        <f t="shared" si="3731"/>
        <v/>
      </c>
      <c r="IN244" s="236" t="str">
        <f t="shared" si="3731"/>
        <v/>
      </c>
      <c r="IO244" s="236" t="str">
        <f t="shared" si="3731"/>
        <v/>
      </c>
      <c r="IP244" s="236" t="str">
        <f t="shared" si="3731"/>
        <v/>
      </c>
      <c r="IQ244" s="236" t="str">
        <f t="shared" si="3731"/>
        <v/>
      </c>
      <c r="IR244" s="236" t="str">
        <f t="shared" si="3731"/>
        <v/>
      </c>
      <c r="IS244" s="236" t="str">
        <f t="shared" si="3731"/>
        <v/>
      </c>
      <c r="IT244" s="236" t="str">
        <f t="shared" si="3731"/>
        <v/>
      </c>
      <c r="IU244" s="236" t="str">
        <f t="shared" ref="IU244:KE244" si="3732">IF(IU241="","",IU232)</f>
        <v/>
      </c>
      <c r="IV244" s="236" t="str">
        <f t="shared" si="3732"/>
        <v/>
      </c>
      <c r="IW244" s="236" t="str">
        <f t="shared" si="3732"/>
        <v/>
      </c>
      <c r="IX244" s="236" t="str">
        <f t="shared" si="3732"/>
        <v/>
      </c>
      <c r="IY244" s="236" t="str">
        <f t="shared" si="3732"/>
        <v/>
      </c>
      <c r="IZ244" s="236" t="str">
        <f t="shared" si="3732"/>
        <v/>
      </c>
      <c r="JA244" s="236" t="str">
        <f t="shared" si="3732"/>
        <v/>
      </c>
      <c r="JB244" s="236" t="str">
        <f t="shared" si="3732"/>
        <v/>
      </c>
      <c r="JC244" s="236" t="str">
        <f t="shared" si="3732"/>
        <v/>
      </c>
      <c r="JD244" s="236" t="str">
        <f t="shared" si="3732"/>
        <v/>
      </c>
      <c r="JE244" s="236" t="str">
        <f t="shared" si="3732"/>
        <v/>
      </c>
      <c r="JF244" s="236" t="str">
        <f t="shared" si="3732"/>
        <v/>
      </c>
      <c r="JG244" s="236" t="str">
        <f t="shared" si="3732"/>
        <v/>
      </c>
      <c r="JH244" s="236" t="str">
        <f t="shared" si="3732"/>
        <v/>
      </c>
      <c r="JI244" s="236" t="str">
        <f t="shared" si="3732"/>
        <v/>
      </c>
      <c r="JJ244" s="236" t="str">
        <f t="shared" si="3732"/>
        <v/>
      </c>
      <c r="JK244" s="236" t="str">
        <f t="shared" si="3732"/>
        <v/>
      </c>
      <c r="JL244" s="236" t="str">
        <f t="shared" si="3732"/>
        <v/>
      </c>
      <c r="JM244" s="236" t="str">
        <f t="shared" si="3732"/>
        <v/>
      </c>
      <c r="JN244" s="236" t="str">
        <f t="shared" si="3732"/>
        <v/>
      </c>
      <c r="JO244" s="236" t="str">
        <f t="shared" si="3732"/>
        <v/>
      </c>
      <c r="JP244" s="236" t="str">
        <f t="shared" si="3732"/>
        <v/>
      </c>
      <c r="JQ244" s="236" t="str">
        <f t="shared" si="3732"/>
        <v/>
      </c>
      <c r="JR244" s="236" t="str">
        <f t="shared" si="3732"/>
        <v/>
      </c>
      <c r="JS244" s="236" t="str">
        <f t="shared" si="3732"/>
        <v/>
      </c>
      <c r="JT244" s="236" t="str">
        <f t="shared" si="3732"/>
        <v/>
      </c>
      <c r="JU244" s="236" t="str">
        <f t="shared" si="3732"/>
        <v/>
      </c>
      <c r="JV244" s="236" t="str">
        <f t="shared" si="3732"/>
        <v/>
      </c>
      <c r="JW244" s="236" t="str">
        <f t="shared" si="3732"/>
        <v/>
      </c>
      <c r="JX244" s="236" t="str">
        <f t="shared" si="3732"/>
        <v/>
      </c>
      <c r="JY244" s="236" t="str">
        <f t="shared" si="3732"/>
        <v/>
      </c>
      <c r="JZ244" s="236" t="str">
        <f t="shared" si="3732"/>
        <v/>
      </c>
      <c r="KA244" s="236" t="str">
        <f t="shared" si="3732"/>
        <v/>
      </c>
      <c r="KB244" s="236" t="str">
        <f t="shared" si="3732"/>
        <v/>
      </c>
      <c r="KC244" s="236" t="str">
        <f t="shared" si="3732"/>
        <v/>
      </c>
      <c r="KD244" s="236" t="str">
        <f t="shared" si="3732"/>
        <v/>
      </c>
      <c r="KE244" s="236" t="str">
        <f t="shared" si="3732"/>
        <v/>
      </c>
      <c r="KF244" s="200" t="s">
        <v>269</v>
      </c>
      <c r="PQ244" s="201"/>
      <c r="PR244" s="201"/>
      <c r="PS244" s="201"/>
      <c r="PT244" s="201"/>
      <c r="PU244" s="201"/>
      <c r="PV244" s="201"/>
      <c r="PW244" s="201"/>
      <c r="PX244" s="201"/>
      <c r="PY244" s="201"/>
      <c r="PZ244" s="201"/>
      <c r="QA244" s="201"/>
      <c r="QB244" s="201"/>
      <c r="QC244" s="201"/>
      <c r="QD244" s="201"/>
      <c r="QE244" s="201"/>
      <c r="QF244" s="201"/>
      <c r="QG244" s="201"/>
      <c r="QH244" s="201"/>
      <c r="QI244" s="201"/>
      <c r="QJ244" s="201"/>
      <c r="QK244" s="201"/>
      <c r="QL244" s="201"/>
      <c r="QM244" s="201"/>
      <c r="QN244" s="201"/>
      <c r="QO244" s="201"/>
      <c r="QP244" s="201"/>
      <c r="QQ244" s="201"/>
      <c r="QR244" s="201"/>
      <c r="QS244" s="201"/>
      <c r="QT244" s="201"/>
      <c r="QU244" s="201"/>
      <c r="QV244" s="201"/>
      <c r="QW244" s="201"/>
      <c r="QX244" s="201"/>
      <c r="QY244" s="201"/>
      <c r="QZ244" s="201"/>
      <c r="RA244" s="201"/>
      <c r="RB244" s="201"/>
      <c r="RC244" s="201"/>
      <c r="RD244" s="201"/>
      <c r="RE244" s="201"/>
      <c r="RF244" s="201"/>
      <c r="RG244" s="201"/>
      <c r="RH244" s="201"/>
      <c r="RI244" s="201"/>
      <c r="RJ244" s="201"/>
      <c r="RK244" s="201"/>
      <c r="RL244" s="201"/>
      <c r="RM244" s="201"/>
      <c r="RN244" s="201"/>
      <c r="RO244" s="201"/>
      <c r="RP244" s="201"/>
      <c r="RQ244" s="201"/>
      <c r="RR244" s="201"/>
      <c r="RS244" s="201"/>
      <c r="RT244" s="201"/>
      <c r="RU244" s="201"/>
      <c r="RV244" s="201"/>
      <c r="RW244" s="201"/>
      <c r="RX244" s="201"/>
      <c r="RY244" s="201"/>
      <c r="RZ244" s="201"/>
      <c r="SA244" s="201"/>
      <c r="SB244" s="201"/>
      <c r="SC244" s="201"/>
      <c r="SD244" s="201"/>
      <c r="SE244" s="201"/>
      <c r="SF244" s="201"/>
      <c r="SG244" s="201"/>
      <c r="SH244" s="201"/>
      <c r="SI244" s="201"/>
      <c r="SJ244" s="201"/>
      <c r="SK244" s="201"/>
      <c r="SL244" s="201"/>
      <c r="SM244" s="201"/>
      <c r="SN244" s="201"/>
      <c r="SO244" s="201"/>
      <c r="SP244" s="201"/>
      <c r="SQ244" s="201"/>
      <c r="SR244" s="201"/>
      <c r="SS244" s="201"/>
      <c r="ST244" s="201"/>
      <c r="SU244" s="201"/>
      <c r="SV244" s="201"/>
      <c r="SW244" s="201"/>
      <c r="SX244" s="201"/>
      <c r="SY244" s="201"/>
      <c r="SZ244" s="201"/>
      <c r="TA244" s="201"/>
      <c r="TB244" s="201"/>
      <c r="TC244" s="201"/>
      <c r="TD244" s="201"/>
      <c r="TE244" s="201"/>
      <c r="TF244" s="201"/>
      <c r="TG244" s="201"/>
      <c r="TH244" s="201"/>
      <c r="TI244" s="201"/>
      <c r="TJ244" s="201"/>
      <c r="TK244" s="201"/>
      <c r="TL244" s="201"/>
      <c r="TM244" s="201"/>
      <c r="TN244" s="201"/>
      <c r="TO244" s="201"/>
      <c r="TP244" s="201"/>
      <c r="TQ244" s="201"/>
      <c r="TR244" s="201"/>
      <c r="TS244" s="201"/>
      <c r="TT244" s="201"/>
      <c r="TU244" s="201"/>
      <c r="TV244" s="201"/>
      <c r="TW244" s="201"/>
      <c r="TX244" s="201"/>
      <c r="TY244" s="201"/>
      <c r="TZ244" s="201"/>
      <c r="UA244" s="201"/>
      <c r="UB244" s="201"/>
      <c r="UC244" s="201"/>
      <c r="UD244" s="201"/>
      <c r="UE244" s="201"/>
      <c r="UF244" s="201"/>
      <c r="UG244" s="201"/>
      <c r="UH244" s="201"/>
      <c r="UI244" s="201"/>
      <c r="UJ244" s="201"/>
      <c r="UK244" s="201"/>
      <c r="UL244" s="201"/>
      <c r="UM244" s="201"/>
      <c r="UN244" s="201"/>
      <c r="UO244" s="201"/>
      <c r="UP244" s="201"/>
      <c r="UQ244" s="201"/>
      <c r="UR244" s="201"/>
      <c r="US244" s="201"/>
      <c r="UT244" s="201"/>
      <c r="UU244" s="201"/>
    </row>
    <row r="245" spans="1:567" x14ac:dyDescent="0.25">
      <c r="B245" s="18" t="s">
        <v>251</v>
      </c>
      <c r="C245" s="18"/>
      <c r="D245" s="18"/>
      <c r="E245" s="18"/>
      <c r="F245" s="18"/>
      <c r="G245" s="26" t="s">
        <v>252</v>
      </c>
      <c r="H245" s="57">
        <f>H244</f>
        <v>0.15</v>
      </c>
      <c r="I245" s="68">
        <v>0.3</v>
      </c>
      <c r="J245" s="57">
        <f t="shared" si="3728"/>
        <v>0.33499999999999996</v>
      </c>
      <c r="K245" s="45">
        <f>1-J245</f>
        <v>0.66500000000000004</v>
      </c>
      <c r="M245" s="3" t="s">
        <v>854</v>
      </c>
      <c r="EW245" s="201" t="s">
        <v>228</v>
      </c>
      <c r="EX245" s="201"/>
      <c r="EY245" s="228"/>
      <c r="EZ245" s="228"/>
      <c r="FA245" s="236"/>
      <c r="FB245" s="236"/>
      <c r="FC245" s="236">
        <f t="shared" ref="FC245:GH245" ca="1" si="3733">IF(FC241="","",FC216+FC234)</f>
        <v>0</v>
      </c>
      <c r="FD245" s="236">
        <f t="shared" ca="1" si="3733"/>
        <v>64193.545344640232</v>
      </c>
      <c r="FE245" s="236">
        <f t="shared" ca="1" si="3733"/>
        <v>69209.919521123942</v>
      </c>
      <c r="FF245" s="236">
        <f t="shared" ca="1" si="3733"/>
        <v>71875.505451649064</v>
      </c>
      <c r="FG245" s="236">
        <f t="shared" ca="1" si="3733"/>
        <v>75074.811065685659</v>
      </c>
      <c r="FH245" s="236">
        <f t="shared" ca="1" si="3733"/>
        <v>79073.861644687073</v>
      </c>
      <c r="FI245" s="236">
        <f t="shared" ca="1" si="3733"/>
        <v>81810.263880953775</v>
      </c>
      <c r="FJ245" s="236">
        <f t="shared" ca="1" si="3733"/>
        <v>84679.072939027479</v>
      </c>
      <c r="FK245" s="236">
        <f t="shared" ca="1" si="3733"/>
        <v>87767.376966053474</v>
      </c>
      <c r="FL245" s="236">
        <f t="shared" ca="1" si="3733"/>
        <v>90577.989745387778</v>
      </c>
      <c r="FM245" s="236">
        <f t="shared" ca="1" si="3733"/>
        <v>93366.728026650264</v>
      </c>
      <c r="FN245" s="236">
        <f t="shared" ca="1" si="3733"/>
        <v>96145.131531202889</v>
      </c>
      <c r="FO245" s="236">
        <f t="shared" ca="1" si="3733"/>
        <v>98906.17920153201</v>
      </c>
      <c r="FP245" s="236">
        <f t="shared" ca="1" si="3733"/>
        <v>102250.84809683112</v>
      </c>
      <c r="FQ245" s="236">
        <f t="shared" ca="1" si="3733"/>
        <v>105557.97441496754</v>
      </c>
      <c r="FR245" s="236">
        <f t="shared" ca="1" si="3733"/>
        <v>108913.84855301135</v>
      </c>
      <c r="FS245" s="236">
        <f t="shared" ca="1" si="3733"/>
        <v>112294.55407380906</v>
      </c>
      <c r="FT245" s="236">
        <f t="shared" ca="1" si="3733"/>
        <v>115698.19143963765</v>
      </c>
      <c r="FU245" s="236">
        <f t="shared" ca="1" si="3733"/>
        <v>119131.44676726894</v>
      </c>
      <c r="FV245" s="236">
        <f t="shared" ca="1" si="3733"/>
        <v>122582.52127798316</v>
      </c>
      <c r="FW245" s="236">
        <f t="shared" ca="1" si="3733"/>
        <v>126085.87521365</v>
      </c>
      <c r="FX245" s="236">
        <f t="shared" ca="1" si="3733"/>
        <v>129614.36110943968</v>
      </c>
      <c r="FY245" s="236">
        <f t="shared" ca="1" si="3733"/>
        <v>133166.03204958726</v>
      </c>
      <c r="FZ245" s="236">
        <f t="shared" ca="1" si="3733"/>
        <v>136746.12364481442</v>
      </c>
      <c r="GA245" s="236">
        <f t="shared" ca="1" si="3733"/>
        <v>141358.69372411101</v>
      </c>
      <c r="GB245" s="236">
        <f t="shared" ca="1" si="3733"/>
        <v>162082.24355864993</v>
      </c>
      <c r="GC245" s="236">
        <f t="shared" ca="1" si="3733"/>
        <v>162482.28742709145</v>
      </c>
      <c r="GD245" s="236">
        <f t="shared" ca="1" si="3733"/>
        <v>162926.22123469072</v>
      </c>
      <c r="GE245" s="236">
        <f t="shared" ca="1" si="3733"/>
        <v>163340.82501846968</v>
      </c>
      <c r="GF245" s="236">
        <f t="shared" ca="1" si="3733"/>
        <v>163795.05644763168</v>
      </c>
      <c r="GG245" s="236">
        <f t="shared" ca="1" si="3733"/>
        <v>164261.00853374792</v>
      </c>
      <c r="GH245" s="236">
        <f t="shared" ca="1" si="3733"/>
        <v>164734.41584006106</v>
      </c>
      <c r="GI245" s="236">
        <f t="shared" ref="GI245:HN245" ca="1" si="3734">IF(GI241="","",GI216+GI234)</f>
        <v>165233.66941712948</v>
      </c>
      <c r="GJ245" s="236">
        <f t="shared" ca="1" si="3734"/>
        <v>165716.74304000766</v>
      </c>
      <c r="GK245" s="236">
        <f t="shared" ca="1" si="3734"/>
        <v>166251.93770102577</v>
      </c>
      <c r="GL245" s="236">
        <f t="shared" ca="1" si="3734"/>
        <v>166793.28693086779</v>
      </c>
      <c r="GM245" s="236">
        <f t="shared" ca="1" si="3734"/>
        <v>32813468.986452881</v>
      </c>
      <c r="GN245" s="236" t="str">
        <f t="shared" si="3734"/>
        <v/>
      </c>
      <c r="GO245" s="236" t="str">
        <f t="shared" si="3734"/>
        <v/>
      </c>
      <c r="GP245" s="236" t="str">
        <f t="shared" si="3734"/>
        <v/>
      </c>
      <c r="GQ245" s="236" t="str">
        <f t="shared" si="3734"/>
        <v/>
      </c>
      <c r="GR245" s="236" t="str">
        <f t="shared" si="3734"/>
        <v/>
      </c>
      <c r="GS245" s="236" t="str">
        <f t="shared" si="3734"/>
        <v/>
      </c>
      <c r="GT245" s="236" t="str">
        <f t="shared" si="3734"/>
        <v/>
      </c>
      <c r="GU245" s="236" t="str">
        <f t="shared" si="3734"/>
        <v/>
      </c>
      <c r="GV245" s="236" t="str">
        <f t="shared" si="3734"/>
        <v/>
      </c>
      <c r="GW245" s="236" t="str">
        <f t="shared" si="3734"/>
        <v/>
      </c>
      <c r="GX245" s="236" t="str">
        <f t="shared" si="3734"/>
        <v/>
      </c>
      <c r="GY245" s="236" t="str">
        <f t="shared" si="3734"/>
        <v/>
      </c>
      <c r="GZ245" s="236" t="str">
        <f t="shared" si="3734"/>
        <v/>
      </c>
      <c r="HA245" s="236" t="str">
        <f t="shared" si="3734"/>
        <v/>
      </c>
      <c r="HB245" s="236" t="str">
        <f t="shared" si="3734"/>
        <v/>
      </c>
      <c r="HC245" s="236" t="str">
        <f t="shared" si="3734"/>
        <v/>
      </c>
      <c r="HD245" s="236" t="str">
        <f t="shared" si="3734"/>
        <v/>
      </c>
      <c r="HE245" s="236" t="str">
        <f t="shared" si="3734"/>
        <v/>
      </c>
      <c r="HF245" s="236" t="str">
        <f t="shared" si="3734"/>
        <v/>
      </c>
      <c r="HG245" s="236" t="str">
        <f t="shared" si="3734"/>
        <v/>
      </c>
      <c r="HH245" s="236" t="str">
        <f t="shared" si="3734"/>
        <v/>
      </c>
      <c r="HI245" s="236" t="str">
        <f t="shared" si="3734"/>
        <v/>
      </c>
      <c r="HJ245" s="236" t="str">
        <f t="shared" si="3734"/>
        <v/>
      </c>
      <c r="HK245" s="236" t="str">
        <f t="shared" si="3734"/>
        <v/>
      </c>
      <c r="HL245" s="236" t="str">
        <f t="shared" si="3734"/>
        <v/>
      </c>
      <c r="HM245" s="236" t="str">
        <f t="shared" si="3734"/>
        <v/>
      </c>
      <c r="HN245" s="236" t="str">
        <f t="shared" si="3734"/>
        <v/>
      </c>
      <c r="HO245" s="236" t="str">
        <f t="shared" ref="HO245:IT245" si="3735">IF(HO241="","",HO216+HO234)</f>
        <v/>
      </c>
      <c r="HP245" s="236" t="str">
        <f t="shared" si="3735"/>
        <v/>
      </c>
      <c r="HQ245" s="236" t="str">
        <f t="shared" si="3735"/>
        <v/>
      </c>
      <c r="HR245" s="236" t="str">
        <f t="shared" si="3735"/>
        <v/>
      </c>
      <c r="HS245" s="236" t="str">
        <f t="shared" si="3735"/>
        <v/>
      </c>
      <c r="HT245" s="236" t="str">
        <f t="shared" si="3735"/>
        <v/>
      </c>
      <c r="HU245" s="236" t="str">
        <f t="shared" si="3735"/>
        <v/>
      </c>
      <c r="HV245" s="236" t="str">
        <f t="shared" si="3735"/>
        <v/>
      </c>
      <c r="HW245" s="236" t="str">
        <f t="shared" si="3735"/>
        <v/>
      </c>
      <c r="HX245" s="236" t="str">
        <f t="shared" si="3735"/>
        <v/>
      </c>
      <c r="HY245" s="236" t="str">
        <f t="shared" si="3735"/>
        <v/>
      </c>
      <c r="HZ245" s="236" t="str">
        <f t="shared" si="3735"/>
        <v/>
      </c>
      <c r="IA245" s="236" t="str">
        <f t="shared" si="3735"/>
        <v/>
      </c>
      <c r="IB245" s="236" t="str">
        <f t="shared" si="3735"/>
        <v/>
      </c>
      <c r="IC245" s="236" t="str">
        <f t="shared" si="3735"/>
        <v/>
      </c>
      <c r="ID245" s="236" t="str">
        <f t="shared" si="3735"/>
        <v/>
      </c>
      <c r="IE245" s="236" t="str">
        <f t="shared" si="3735"/>
        <v/>
      </c>
      <c r="IF245" s="236" t="str">
        <f t="shared" si="3735"/>
        <v/>
      </c>
      <c r="IG245" s="236" t="str">
        <f t="shared" si="3735"/>
        <v/>
      </c>
      <c r="IH245" s="236" t="str">
        <f t="shared" si="3735"/>
        <v/>
      </c>
      <c r="II245" s="236" t="str">
        <f t="shared" si="3735"/>
        <v/>
      </c>
      <c r="IJ245" s="236" t="str">
        <f t="shared" si="3735"/>
        <v/>
      </c>
      <c r="IK245" s="236" t="str">
        <f t="shared" si="3735"/>
        <v/>
      </c>
      <c r="IL245" s="236" t="str">
        <f t="shared" si="3735"/>
        <v/>
      </c>
      <c r="IM245" s="236" t="str">
        <f t="shared" si="3735"/>
        <v/>
      </c>
      <c r="IN245" s="236" t="str">
        <f t="shared" si="3735"/>
        <v/>
      </c>
      <c r="IO245" s="236" t="str">
        <f t="shared" si="3735"/>
        <v/>
      </c>
      <c r="IP245" s="236" t="str">
        <f t="shared" si="3735"/>
        <v/>
      </c>
      <c r="IQ245" s="236" t="str">
        <f t="shared" si="3735"/>
        <v/>
      </c>
      <c r="IR245" s="236" t="str">
        <f t="shared" si="3735"/>
        <v/>
      </c>
      <c r="IS245" s="236" t="str">
        <f t="shared" si="3735"/>
        <v/>
      </c>
      <c r="IT245" s="236" t="str">
        <f t="shared" si="3735"/>
        <v/>
      </c>
      <c r="IU245" s="236" t="str">
        <f t="shared" ref="IU245:KE245" si="3736">IF(IU241="","",IU216+IU234)</f>
        <v/>
      </c>
      <c r="IV245" s="236" t="str">
        <f t="shared" si="3736"/>
        <v/>
      </c>
      <c r="IW245" s="236" t="str">
        <f t="shared" si="3736"/>
        <v/>
      </c>
      <c r="IX245" s="236" t="str">
        <f t="shared" si="3736"/>
        <v/>
      </c>
      <c r="IY245" s="236" t="str">
        <f t="shared" si="3736"/>
        <v/>
      </c>
      <c r="IZ245" s="236" t="str">
        <f t="shared" si="3736"/>
        <v/>
      </c>
      <c r="JA245" s="236" t="str">
        <f t="shared" si="3736"/>
        <v/>
      </c>
      <c r="JB245" s="236" t="str">
        <f t="shared" si="3736"/>
        <v/>
      </c>
      <c r="JC245" s="236" t="str">
        <f t="shared" si="3736"/>
        <v/>
      </c>
      <c r="JD245" s="236" t="str">
        <f t="shared" si="3736"/>
        <v/>
      </c>
      <c r="JE245" s="236" t="str">
        <f t="shared" si="3736"/>
        <v/>
      </c>
      <c r="JF245" s="236" t="str">
        <f t="shared" si="3736"/>
        <v/>
      </c>
      <c r="JG245" s="236" t="str">
        <f t="shared" si="3736"/>
        <v/>
      </c>
      <c r="JH245" s="236" t="str">
        <f t="shared" si="3736"/>
        <v/>
      </c>
      <c r="JI245" s="236" t="str">
        <f t="shared" si="3736"/>
        <v/>
      </c>
      <c r="JJ245" s="236" t="str">
        <f t="shared" si="3736"/>
        <v/>
      </c>
      <c r="JK245" s="236" t="str">
        <f t="shared" si="3736"/>
        <v/>
      </c>
      <c r="JL245" s="236" t="str">
        <f t="shared" si="3736"/>
        <v/>
      </c>
      <c r="JM245" s="236" t="str">
        <f t="shared" si="3736"/>
        <v/>
      </c>
      <c r="JN245" s="236" t="str">
        <f t="shared" si="3736"/>
        <v/>
      </c>
      <c r="JO245" s="236" t="str">
        <f t="shared" si="3736"/>
        <v/>
      </c>
      <c r="JP245" s="236" t="str">
        <f t="shared" si="3736"/>
        <v/>
      </c>
      <c r="JQ245" s="236" t="str">
        <f t="shared" si="3736"/>
        <v/>
      </c>
      <c r="JR245" s="236" t="str">
        <f t="shared" si="3736"/>
        <v/>
      </c>
      <c r="JS245" s="236" t="str">
        <f t="shared" si="3736"/>
        <v/>
      </c>
      <c r="JT245" s="236" t="str">
        <f t="shared" si="3736"/>
        <v/>
      </c>
      <c r="JU245" s="236" t="str">
        <f t="shared" si="3736"/>
        <v/>
      </c>
      <c r="JV245" s="236" t="str">
        <f t="shared" si="3736"/>
        <v/>
      </c>
      <c r="JW245" s="236" t="str">
        <f t="shared" si="3736"/>
        <v/>
      </c>
      <c r="JX245" s="236" t="str">
        <f t="shared" si="3736"/>
        <v/>
      </c>
      <c r="JY245" s="236" t="str">
        <f t="shared" si="3736"/>
        <v/>
      </c>
      <c r="JZ245" s="236" t="str">
        <f t="shared" si="3736"/>
        <v/>
      </c>
      <c r="KA245" s="236" t="str">
        <f t="shared" si="3736"/>
        <v/>
      </c>
      <c r="KB245" s="236" t="str">
        <f t="shared" si="3736"/>
        <v/>
      </c>
      <c r="KC245" s="236" t="str">
        <f t="shared" si="3736"/>
        <v/>
      </c>
      <c r="KD245" s="236" t="str">
        <f t="shared" si="3736"/>
        <v/>
      </c>
      <c r="KE245" s="236" t="str">
        <f t="shared" si="3736"/>
        <v/>
      </c>
      <c r="KF245" s="200" t="s">
        <v>269</v>
      </c>
      <c r="PQ245" s="201"/>
      <c r="PR245" s="201"/>
      <c r="PS245" s="201"/>
      <c r="PT245" s="201"/>
      <c r="PU245" s="201"/>
      <c r="PV245" s="201"/>
      <c r="PW245" s="201"/>
      <c r="PX245" s="201"/>
      <c r="PY245" s="201"/>
      <c r="PZ245" s="201"/>
      <c r="QA245" s="201"/>
      <c r="QB245" s="201"/>
      <c r="QC245" s="201"/>
      <c r="QD245" s="201"/>
      <c r="QE245" s="201"/>
      <c r="QF245" s="201"/>
      <c r="QG245" s="201"/>
      <c r="QH245" s="201"/>
      <c r="QI245" s="201"/>
      <c r="QJ245" s="201"/>
      <c r="QK245" s="201"/>
      <c r="QL245" s="201"/>
      <c r="QM245" s="201"/>
      <c r="QN245" s="201"/>
      <c r="QO245" s="201"/>
      <c r="QP245" s="201"/>
      <c r="QQ245" s="201"/>
      <c r="QR245" s="201"/>
      <c r="QS245" s="201"/>
      <c r="QT245" s="201"/>
      <c r="QU245" s="201"/>
      <c r="QV245" s="201"/>
      <c r="QW245" s="201"/>
      <c r="QX245" s="201"/>
      <c r="QY245" s="201"/>
      <c r="QZ245" s="201"/>
      <c r="RA245" s="201"/>
      <c r="RB245" s="201"/>
      <c r="RC245" s="201"/>
      <c r="RD245" s="201"/>
      <c r="RE245" s="201"/>
      <c r="RF245" s="201"/>
      <c r="RG245" s="201"/>
      <c r="RH245" s="201"/>
      <c r="RI245" s="201"/>
      <c r="RJ245" s="201"/>
      <c r="RK245" s="201"/>
      <c r="RL245" s="201"/>
      <c r="RM245" s="201"/>
      <c r="RN245" s="201"/>
      <c r="RO245" s="201"/>
      <c r="RP245" s="201"/>
      <c r="RQ245" s="201"/>
      <c r="RR245" s="201"/>
      <c r="RS245" s="201"/>
      <c r="RT245" s="201"/>
      <c r="RU245" s="201"/>
      <c r="RV245" s="201"/>
      <c r="RW245" s="201"/>
      <c r="RX245" s="201"/>
      <c r="RY245" s="201"/>
      <c r="RZ245" s="201"/>
      <c r="SA245" s="201"/>
      <c r="SB245" s="201"/>
      <c r="SC245" s="201"/>
      <c r="SD245" s="201"/>
      <c r="SE245" s="201"/>
      <c r="SF245" s="201"/>
      <c r="SG245" s="201"/>
      <c r="SH245" s="201"/>
      <c r="SI245" s="201"/>
      <c r="SJ245" s="201"/>
      <c r="SK245" s="201"/>
      <c r="SL245" s="201"/>
      <c r="SM245" s="201"/>
      <c r="SN245" s="201"/>
      <c r="SO245" s="201"/>
      <c r="SP245" s="201"/>
      <c r="SQ245" s="201"/>
      <c r="SR245" s="201"/>
      <c r="SS245" s="201"/>
      <c r="ST245" s="201"/>
      <c r="SU245" s="201"/>
      <c r="SV245" s="201"/>
      <c r="SW245" s="201"/>
      <c r="SX245" s="201"/>
      <c r="SY245" s="201"/>
      <c r="SZ245" s="201"/>
      <c r="TA245" s="201"/>
      <c r="TB245" s="201"/>
      <c r="TC245" s="201"/>
      <c r="TD245" s="201"/>
      <c r="TE245" s="201"/>
      <c r="TF245" s="201"/>
      <c r="TG245" s="201"/>
      <c r="TH245" s="201"/>
      <c r="TI245" s="201"/>
      <c r="TJ245" s="201"/>
      <c r="TK245" s="201"/>
      <c r="TL245" s="201"/>
      <c r="TM245" s="201"/>
      <c r="TN245" s="201"/>
      <c r="TO245" s="201"/>
      <c r="TP245" s="201"/>
      <c r="TQ245" s="201"/>
      <c r="TR245" s="201"/>
      <c r="TS245" s="201"/>
      <c r="TT245" s="201"/>
      <c r="TU245" s="201"/>
      <c r="TV245" s="201"/>
      <c r="TW245" s="201"/>
      <c r="TX245" s="201"/>
      <c r="TY245" s="201"/>
      <c r="TZ245" s="201"/>
      <c r="UA245" s="201"/>
      <c r="UB245" s="201"/>
      <c r="UC245" s="201"/>
      <c r="UD245" s="201"/>
      <c r="UE245" s="201"/>
      <c r="UF245" s="201"/>
      <c r="UG245" s="201"/>
      <c r="UH245" s="201"/>
      <c r="UI245" s="201"/>
      <c r="UJ245" s="201"/>
      <c r="UK245" s="201"/>
      <c r="UL245" s="201"/>
      <c r="UM245" s="201"/>
      <c r="UN245" s="201"/>
      <c r="UO245" s="201"/>
      <c r="UP245" s="201"/>
      <c r="UQ245" s="201"/>
      <c r="UR245" s="201"/>
      <c r="US245" s="201"/>
      <c r="UT245" s="201"/>
      <c r="UU245" s="201"/>
    </row>
    <row r="246" spans="1:567" x14ac:dyDescent="0.25">
      <c r="B246" s="18"/>
      <c r="C246" s="18"/>
      <c r="D246" s="18"/>
      <c r="E246" s="18"/>
      <c r="F246" s="18"/>
      <c r="G246" s="26"/>
      <c r="H246" s="26"/>
      <c r="I246" s="26"/>
      <c r="J246" s="26"/>
      <c r="K246" s="26"/>
      <c r="EW246" s="201" t="s">
        <v>266</v>
      </c>
      <c r="EX246" s="201"/>
      <c r="EY246" s="228"/>
      <c r="EZ246" s="228"/>
      <c r="FA246" s="236"/>
      <c r="FB246" s="236"/>
      <c r="FC246" s="236">
        <f ca="1">IF(FC241="","",MIN(MAX(FC241,0)*$K$244,FC242+FC243+FC244-FC245))</f>
        <v>0</v>
      </c>
      <c r="FD246" s="236">
        <f t="shared" ref="FD246:HO246" ca="1" si="3737">IF(FD241="","",MIN(MAX(FD241,0)*$K$244,FD242+FD243+FD244-FD245))</f>
        <v>0</v>
      </c>
      <c r="FE246" s="236">
        <f t="shared" ca="1" si="3737"/>
        <v>4.6044233315940022E-28</v>
      </c>
      <c r="FF246" s="236">
        <f t="shared" ca="1" si="3737"/>
        <v>0</v>
      </c>
      <c r="FG246" s="236">
        <f t="shared" ca="1" si="3737"/>
        <v>0</v>
      </c>
      <c r="FH246" s="236">
        <f t="shared" ca="1" si="3737"/>
        <v>0</v>
      </c>
      <c r="FI246" s="236">
        <f t="shared" ca="1" si="3737"/>
        <v>0</v>
      </c>
      <c r="FJ246" s="236">
        <f t="shared" ca="1" si="3737"/>
        <v>0</v>
      </c>
      <c r="FK246" s="236">
        <f t="shared" ca="1" si="3737"/>
        <v>0</v>
      </c>
      <c r="FL246" s="236">
        <f t="shared" ca="1" si="3737"/>
        <v>0</v>
      </c>
      <c r="FM246" s="236">
        <f t="shared" ca="1" si="3737"/>
        <v>0</v>
      </c>
      <c r="FN246" s="236">
        <f t="shared" ca="1" si="3737"/>
        <v>0</v>
      </c>
      <c r="FO246" s="236">
        <f t="shared" ca="1" si="3737"/>
        <v>0</v>
      </c>
      <c r="FP246" s="236">
        <f t="shared" ca="1" si="3737"/>
        <v>0</v>
      </c>
      <c r="FQ246" s="236">
        <f t="shared" ca="1" si="3737"/>
        <v>0</v>
      </c>
      <c r="FR246" s="236">
        <f t="shared" ca="1" si="3737"/>
        <v>0</v>
      </c>
      <c r="FS246" s="236">
        <f t="shared" ca="1" si="3737"/>
        <v>0</v>
      </c>
      <c r="FT246" s="236">
        <f t="shared" ca="1" si="3737"/>
        <v>9.2088466631880044E-28</v>
      </c>
      <c r="FU246" s="236">
        <f t="shared" ca="1" si="3737"/>
        <v>4.6044233315940022E-28</v>
      </c>
      <c r="FV246" s="236">
        <f t="shared" ca="1" si="3737"/>
        <v>0</v>
      </c>
      <c r="FW246" s="236">
        <f t="shared" ca="1" si="3737"/>
        <v>0</v>
      </c>
      <c r="FX246" s="236">
        <f t="shared" ca="1" si="3737"/>
        <v>0</v>
      </c>
      <c r="FY246" s="236">
        <f t="shared" ca="1" si="3737"/>
        <v>0</v>
      </c>
      <c r="FZ246" s="236">
        <f t="shared" ca="1" si="3737"/>
        <v>0</v>
      </c>
      <c r="GA246" s="236">
        <f t="shared" ca="1" si="3737"/>
        <v>0</v>
      </c>
      <c r="GB246" s="236">
        <f t="shared" ca="1" si="3737"/>
        <v>0</v>
      </c>
      <c r="GC246" s="236">
        <f t="shared" ca="1" si="3737"/>
        <v>0</v>
      </c>
      <c r="GD246" s="236">
        <f t="shared" ca="1" si="3737"/>
        <v>0</v>
      </c>
      <c r="GE246" s="236">
        <f t="shared" ca="1" si="3737"/>
        <v>0</v>
      </c>
      <c r="GF246" s="236">
        <f t="shared" ca="1" si="3737"/>
        <v>0</v>
      </c>
      <c r="GG246" s="236">
        <f t="shared" ca="1" si="3737"/>
        <v>0</v>
      </c>
      <c r="GH246" s="236">
        <f t="shared" ca="1" si="3737"/>
        <v>0</v>
      </c>
      <c r="GI246" s="236">
        <f t="shared" ca="1" si="3737"/>
        <v>0</v>
      </c>
      <c r="GJ246" s="236">
        <f t="shared" ca="1" si="3737"/>
        <v>0</v>
      </c>
      <c r="GK246" s="236">
        <f t="shared" ca="1" si="3737"/>
        <v>0</v>
      </c>
      <c r="GL246" s="236">
        <f t="shared" ca="1" si="3737"/>
        <v>0</v>
      </c>
      <c r="GM246" s="236">
        <f t="shared" ca="1" si="3737"/>
        <v>2343530.1327304943</v>
      </c>
      <c r="GN246" s="236" t="str">
        <f t="shared" si="3737"/>
        <v/>
      </c>
      <c r="GO246" s="236" t="str">
        <f t="shared" si="3737"/>
        <v/>
      </c>
      <c r="GP246" s="236" t="str">
        <f t="shared" si="3737"/>
        <v/>
      </c>
      <c r="GQ246" s="236" t="str">
        <f t="shared" si="3737"/>
        <v/>
      </c>
      <c r="GR246" s="236" t="str">
        <f t="shared" si="3737"/>
        <v/>
      </c>
      <c r="GS246" s="236" t="str">
        <f t="shared" si="3737"/>
        <v/>
      </c>
      <c r="GT246" s="236" t="str">
        <f t="shared" si="3737"/>
        <v/>
      </c>
      <c r="GU246" s="236" t="str">
        <f t="shared" si="3737"/>
        <v/>
      </c>
      <c r="GV246" s="236" t="str">
        <f t="shared" si="3737"/>
        <v/>
      </c>
      <c r="GW246" s="236" t="str">
        <f t="shared" si="3737"/>
        <v/>
      </c>
      <c r="GX246" s="236" t="str">
        <f t="shared" si="3737"/>
        <v/>
      </c>
      <c r="GY246" s="236" t="str">
        <f t="shared" si="3737"/>
        <v/>
      </c>
      <c r="GZ246" s="236" t="str">
        <f t="shared" si="3737"/>
        <v/>
      </c>
      <c r="HA246" s="236" t="str">
        <f t="shared" si="3737"/>
        <v/>
      </c>
      <c r="HB246" s="236" t="str">
        <f t="shared" si="3737"/>
        <v/>
      </c>
      <c r="HC246" s="236" t="str">
        <f t="shared" si="3737"/>
        <v/>
      </c>
      <c r="HD246" s="236" t="str">
        <f t="shared" si="3737"/>
        <v/>
      </c>
      <c r="HE246" s="236" t="str">
        <f t="shared" si="3737"/>
        <v/>
      </c>
      <c r="HF246" s="236" t="str">
        <f t="shared" si="3737"/>
        <v/>
      </c>
      <c r="HG246" s="236" t="str">
        <f t="shared" si="3737"/>
        <v/>
      </c>
      <c r="HH246" s="236" t="str">
        <f t="shared" si="3737"/>
        <v/>
      </c>
      <c r="HI246" s="236" t="str">
        <f t="shared" si="3737"/>
        <v/>
      </c>
      <c r="HJ246" s="236" t="str">
        <f t="shared" si="3737"/>
        <v/>
      </c>
      <c r="HK246" s="236" t="str">
        <f t="shared" si="3737"/>
        <v/>
      </c>
      <c r="HL246" s="236" t="str">
        <f t="shared" si="3737"/>
        <v/>
      </c>
      <c r="HM246" s="236" t="str">
        <f t="shared" si="3737"/>
        <v/>
      </c>
      <c r="HN246" s="236" t="str">
        <f t="shared" si="3737"/>
        <v/>
      </c>
      <c r="HO246" s="236" t="str">
        <f t="shared" si="3737"/>
        <v/>
      </c>
      <c r="HP246" s="236" t="str">
        <f t="shared" ref="HP246:KA246" si="3738">IF(HP241="","",MIN(MAX(HP241,0)*$K$244,HP242+HP243+HP244-HP245))</f>
        <v/>
      </c>
      <c r="HQ246" s="236" t="str">
        <f t="shared" si="3738"/>
        <v/>
      </c>
      <c r="HR246" s="236" t="str">
        <f t="shared" si="3738"/>
        <v/>
      </c>
      <c r="HS246" s="236" t="str">
        <f t="shared" si="3738"/>
        <v/>
      </c>
      <c r="HT246" s="236" t="str">
        <f t="shared" si="3738"/>
        <v/>
      </c>
      <c r="HU246" s="236" t="str">
        <f t="shared" si="3738"/>
        <v/>
      </c>
      <c r="HV246" s="236" t="str">
        <f t="shared" si="3738"/>
        <v/>
      </c>
      <c r="HW246" s="236" t="str">
        <f t="shared" si="3738"/>
        <v/>
      </c>
      <c r="HX246" s="236" t="str">
        <f t="shared" si="3738"/>
        <v/>
      </c>
      <c r="HY246" s="236" t="str">
        <f t="shared" si="3738"/>
        <v/>
      </c>
      <c r="HZ246" s="236" t="str">
        <f t="shared" si="3738"/>
        <v/>
      </c>
      <c r="IA246" s="236" t="str">
        <f t="shared" si="3738"/>
        <v/>
      </c>
      <c r="IB246" s="236" t="str">
        <f t="shared" si="3738"/>
        <v/>
      </c>
      <c r="IC246" s="236" t="str">
        <f t="shared" si="3738"/>
        <v/>
      </c>
      <c r="ID246" s="236" t="str">
        <f t="shared" si="3738"/>
        <v/>
      </c>
      <c r="IE246" s="236" t="str">
        <f t="shared" si="3738"/>
        <v/>
      </c>
      <c r="IF246" s="236" t="str">
        <f t="shared" si="3738"/>
        <v/>
      </c>
      <c r="IG246" s="236" t="str">
        <f t="shared" si="3738"/>
        <v/>
      </c>
      <c r="IH246" s="236" t="str">
        <f t="shared" si="3738"/>
        <v/>
      </c>
      <c r="II246" s="236" t="str">
        <f t="shared" si="3738"/>
        <v/>
      </c>
      <c r="IJ246" s="236" t="str">
        <f t="shared" si="3738"/>
        <v/>
      </c>
      <c r="IK246" s="236" t="str">
        <f t="shared" si="3738"/>
        <v/>
      </c>
      <c r="IL246" s="236" t="str">
        <f t="shared" si="3738"/>
        <v/>
      </c>
      <c r="IM246" s="236" t="str">
        <f t="shared" si="3738"/>
        <v/>
      </c>
      <c r="IN246" s="236" t="str">
        <f t="shared" si="3738"/>
        <v/>
      </c>
      <c r="IO246" s="236" t="str">
        <f t="shared" si="3738"/>
        <v/>
      </c>
      <c r="IP246" s="236" t="str">
        <f t="shared" si="3738"/>
        <v/>
      </c>
      <c r="IQ246" s="236" t="str">
        <f t="shared" si="3738"/>
        <v/>
      </c>
      <c r="IR246" s="236" t="str">
        <f t="shared" si="3738"/>
        <v/>
      </c>
      <c r="IS246" s="236" t="str">
        <f t="shared" si="3738"/>
        <v/>
      </c>
      <c r="IT246" s="236" t="str">
        <f t="shared" si="3738"/>
        <v/>
      </c>
      <c r="IU246" s="236" t="str">
        <f t="shared" si="3738"/>
        <v/>
      </c>
      <c r="IV246" s="236" t="str">
        <f t="shared" si="3738"/>
        <v/>
      </c>
      <c r="IW246" s="236" t="str">
        <f t="shared" si="3738"/>
        <v/>
      </c>
      <c r="IX246" s="236" t="str">
        <f t="shared" si="3738"/>
        <v/>
      </c>
      <c r="IY246" s="236" t="str">
        <f t="shared" si="3738"/>
        <v/>
      </c>
      <c r="IZ246" s="236" t="str">
        <f t="shared" si="3738"/>
        <v/>
      </c>
      <c r="JA246" s="236" t="str">
        <f t="shared" si="3738"/>
        <v/>
      </c>
      <c r="JB246" s="236" t="str">
        <f t="shared" si="3738"/>
        <v/>
      </c>
      <c r="JC246" s="236" t="str">
        <f t="shared" si="3738"/>
        <v/>
      </c>
      <c r="JD246" s="236" t="str">
        <f t="shared" si="3738"/>
        <v/>
      </c>
      <c r="JE246" s="236" t="str">
        <f t="shared" si="3738"/>
        <v/>
      </c>
      <c r="JF246" s="236" t="str">
        <f t="shared" si="3738"/>
        <v/>
      </c>
      <c r="JG246" s="236" t="str">
        <f t="shared" si="3738"/>
        <v/>
      </c>
      <c r="JH246" s="236" t="str">
        <f t="shared" si="3738"/>
        <v/>
      </c>
      <c r="JI246" s="236" t="str">
        <f t="shared" si="3738"/>
        <v/>
      </c>
      <c r="JJ246" s="236" t="str">
        <f t="shared" si="3738"/>
        <v/>
      </c>
      <c r="JK246" s="236" t="str">
        <f t="shared" si="3738"/>
        <v/>
      </c>
      <c r="JL246" s="236" t="str">
        <f t="shared" si="3738"/>
        <v/>
      </c>
      <c r="JM246" s="236" t="str">
        <f t="shared" si="3738"/>
        <v/>
      </c>
      <c r="JN246" s="236" t="str">
        <f t="shared" si="3738"/>
        <v/>
      </c>
      <c r="JO246" s="236" t="str">
        <f t="shared" si="3738"/>
        <v/>
      </c>
      <c r="JP246" s="236" t="str">
        <f t="shared" si="3738"/>
        <v/>
      </c>
      <c r="JQ246" s="236" t="str">
        <f t="shared" si="3738"/>
        <v/>
      </c>
      <c r="JR246" s="236" t="str">
        <f t="shared" si="3738"/>
        <v/>
      </c>
      <c r="JS246" s="236" t="str">
        <f t="shared" si="3738"/>
        <v/>
      </c>
      <c r="JT246" s="236" t="str">
        <f t="shared" si="3738"/>
        <v/>
      </c>
      <c r="JU246" s="236" t="str">
        <f t="shared" si="3738"/>
        <v/>
      </c>
      <c r="JV246" s="236" t="str">
        <f t="shared" si="3738"/>
        <v/>
      </c>
      <c r="JW246" s="236" t="str">
        <f t="shared" si="3738"/>
        <v/>
      </c>
      <c r="JX246" s="236" t="str">
        <f t="shared" si="3738"/>
        <v/>
      </c>
      <c r="JY246" s="236" t="str">
        <f t="shared" si="3738"/>
        <v/>
      </c>
      <c r="JZ246" s="236" t="str">
        <f t="shared" si="3738"/>
        <v/>
      </c>
      <c r="KA246" s="236" t="str">
        <f t="shared" si="3738"/>
        <v/>
      </c>
      <c r="KB246" s="236" t="str">
        <f t="shared" ref="KB246:KE246" si="3739">IF(KB241="","",MIN(MAX(KB241,0)*$K$244,KB242+KB243+KB244-KB245))</f>
        <v/>
      </c>
      <c r="KC246" s="236" t="str">
        <f t="shared" si="3739"/>
        <v/>
      </c>
      <c r="KD246" s="236" t="str">
        <f t="shared" si="3739"/>
        <v/>
      </c>
      <c r="KE246" s="236" t="str">
        <f t="shared" si="3739"/>
        <v/>
      </c>
      <c r="KF246" s="200" t="s">
        <v>269</v>
      </c>
      <c r="PQ246" s="201"/>
      <c r="PR246" s="201"/>
      <c r="PS246" s="201"/>
      <c r="PT246" s="201"/>
      <c r="PU246" s="201"/>
      <c r="PV246" s="201"/>
      <c r="PW246" s="201"/>
      <c r="PX246" s="201"/>
      <c r="PY246" s="201"/>
      <c r="PZ246" s="201"/>
      <c r="QA246" s="201"/>
      <c r="QB246" s="201"/>
      <c r="QC246" s="201"/>
      <c r="QD246" s="201"/>
      <c r="QE246" s="201"/>
      <c r="QF246" s="201"/>
      <c r="QG246" s="201"/>
      <c r="QH246" s="201"/>
      <c r="QI246" s="201"/>
      <c r="QJ246" s="201"/>
      <c r="QK246" s="201"/>
      <c r="QL246" s="201"/>
      <c r="QM246" s="201"/>
      <c r="QN246" s="201"/>
      <c r="QO246" s="201"/>
      <c r="QP246" s="201"/>
      <c r="QQ246" s="201"/>
      <c r="QR246" s="201"/>
      <c r="QS246" s="201"/>
      <c r="QT246" s="201"/>
      <c r="QU246" s="201"/>
      <c r="QV246" s="201"/>
      <c r="QW246" s="201"/>
      <c r="QX246" s="201"/>
      <c r="QY246" s="201"/>
      <c r="QZ246" s="201"/>
      <c r="RA246" s="201"/>
      <c r="RB246" s="201"/>
      <c r="RC246" s="201"/>
      <c r="RD246" s="201"/>
      <c r="RE246" s="201"/>
      <c r="RF246" s="201"/>
      <c r="RG246" s="201"/>
      <c r="RH246" s="201"/>
      <c r="RI246" s="201"/>
      <c r="RJ246" s="201"/>
      <c r="RK246" s="201"/>
      <c r="RL246" s="201"/>
      <c r="RM246" s="201"/>
      <c r="RN246" s="201"/>
      <c r="RO246" s="201"/>
      <c r="RP246" s="201"/>
      <c r="RQ246" s="201"/>
      <c r="RR246" s="201"/>
      <c r="RS246" s="201"/>
      <c r="RT246" s="201"/>
      <c r="RU246" s="201"/>
      <c r="RV246" s="201"/>
      <c r="RW246" s="201"/>
      <c r="RX246" s="201"/>
      <c r="RY246" s="201"/>
      <c r="RZ246" s="201"/>
      <c r="SA246" s="201"/>
      <c r="SB246" s="201"/>
      <c r="SC246" s="201"/>
      <c r="SD246" s="201"/>
      <c r="SE246" s="201"/>
      <c r="SF246" s="201"/>
      <c r="SG246" s="201"/>
      <c r="SH246" s="201"/>
      <c r="SI246" s="201"/>
      <c r="SJ246" s="201"/>
      <c r="SK246" s="201"/>
      <c r="SL246" s="201"/>
      <c r="SM246" s="201"/>
      <c r="SN246" s="201"/>
      <c r="SO246" s="201"/>
      <c r="SP246" s="201"/>
      <c r="SQ246" s="201"/>
      <c r="SR246" s="201"/>
      <c r="SS246" s="201"/>
      <c r="ST246" s="201"/>
      <c r="SU246" s="201"/>
      <c r="SV246" s="201"/>
      <c r="SW246" s="201"/>
      <c r="SX246" s="201"/>
      <c r="SY246" s="201"/>
      <c r="SZ246" s="201"/>
      <c r="TA246" s="201"/>
      <c r="TB246" s="201"/>
      <c r="TC246" s="201"/>
      <c r="TD246" s="201"/>
      <c r="TE246" s="201"/>
      <c r="TF246" s="201"/>
      <c r="TG246" s="201"/>
      <c r="TH246" s="201"/>
      <c r="TI246" s="201"/>
      <c r="TJ246" s="201"/>
      <c r="TK246" s="201"/>
      <c r="TL246" s="201"/>
      <c r="TM246" s="201"/>
      <c r="TN246" s="201"/>
      <c r="TO246" s="201"/>
      <c r="TP246" s="201"/>
      <c r="TQ246" s="201"/>
      <c r="TR246" s="201"/>
      <c r="TS246" s="201"/>
      <c r="TT246" s="201"/>
      <c r="TU246" s="201"/>
      <c r="TV246" s="201"/>
      <c r="TW246" s="201"/>
      <c r="TX246" s="201"/>
      <c r="TY246" s="201"/>
      <c r="TZ246" s="201"/>
      <c r="UA246" s="201"/>
      <c r="UB246" s="201"/>
      <c r="UC246" s="201"/>
      <c r="UD246" s="201"/>
      <c r="UE246" s="201"/>
      <c r="UF246" s="201"/>
      <c r="UG246" s="201"/>
      <c r="UH246" s="201"/>
      <c r="UI246" s="201"/>
      <c r="UJ246" s="201"/>
      <c r="UK246" s="201"/>
      <c r="UL246" s="201"/>
      <c r="UM246" s="201"/>
      <c r="UN246" s="201"/>
      <c r="UO246" s="201"/>
      <c r="UP246" s="201"/>
      <c r="UQ246" s="201"/>
      <c r="UR246" s="201"/>
      <c r="US246" s="201"/>
      <c r="UT246" s="201"/>
      <c r="UU246" s="201"/>
    </row>
    <row r="247" spans="1:567" x14ac:dyDescent="0.25">
      <c r="B247" s="28" t="s">
        <v>253</v>
      </c>
      <c r="C247" s="18"/>
      <c r="D247" s="18"/>
      <c r="E247" s="18"/>
      <c r="F247" s="18"/>
      <c r="G247" s="26"/>
      <c r="H247" s="26"/>
      <c r="I247" s="26"/>
      <c r="J247" s="29" t="s">
        <v>244</v>
      </c>
      <c r="K247" s="29" t="s">
        <v>75</v>
      </c>
      <c r="EW247" s="201" t="s">
        <v>267</v>
      </c>
      <c r="EX247" s="201"/>
      <c r="EY247" s="228"/>
      <c r="EZ247" s="228"/>
      <c r="FA247" s="236"/>
      <c r="FB247" s="236"/>
      <c r="FC247" s="236">
        <f ca="1">IF(FC241="","",FC242+FC243+FC244-FC245-FC246)</f>
        <v>26865102.25</v>
      </c>
      <c r="FD247" s="236">
        <f t="shared" ref="FD247:HO247" ca="1" si="3740">IF(FD241="","",FD242+FD243+FD244-FD245-FD246)</f>
        <v>27115631.145557478</v>
      </c>
      <c r="FE247" s="236">
        <f t="shared" ca="1" si="3740"/>
        <v>27364078.592135951</v>
      </c>
      <c r="FF247" s="236">
        <f t="shared" ca="1" si="3740"/>
        <v>27612770.993979514</v>
      </c>
      <c r="FG247" s="236">
        <f t="shared" ca="1" si="3740"/>
        <v>27861177.501035236</v>
      </c>
      <c r="FH247" s="236">
        <f t="shared" ca="1" si="3740"/>
        <v>28108495.019104466</v>
      </c>
      <c r="FI247" s="236">
        <f t="shared" ca="1" si="3740"/>
        <v>28355973.439114433</v>
      </c>
      <c r="FJ247" s="236">
        <f t="shared" ca="1" si="3740"/>
        <v>28603482.2391962</v>
      </c>
      <c r="FK247" s="236">
        <f t="shared" ca="1" si="3740"/>
        <v>28850802.280280832</v>
      </c>
      <c r="FL247" s="236">
        <f t="shared" ca="1" si="3740"/>
        <v>29098209.042320054</v>
      </c>
      <c r="FM247" s="236">
        <f t="shared" ca="1" si="3740"/>
        <v>29345725.41574071</v>
      </c>
      <c r="FN247" s="236">
        <f t="shared" ca="1" si="3740"/>
        <v>29593363.019407742</v>
      </c>
      <c r="FO247" s="236">
        <f t="shared" ca="1" si="3740"/>
        <v>29841140.629357632</v>
      </c>
      <c r="FP247" s="236">
        <f t="shared" ca="1" si="3740"/>
        <v>30088476.264527384</v>
      </c>
      <c r="FQ247" s="236">
        <f t="shared" ca="1" si="3740"/>
        <v>30335402.289796337</v>
      </c>
      <c r="FR247" s="236">
        <f t="shared" ca="1" si="3740"/>
        <v>30581865.15879862</v>
      </c>
      <c r="FS247" s="236">
        <f t="shared" ca="1" si="3740"/>
        <v>30827834.614314295</v>
      </c>
      <c r="FT247" s="236">
        <f t="shared" ca="1" si="3740"/>
        <v>31073281.944200333</v>
      </c>
      <c r="FU247" s="236">
        <f t="shared" ca="1" si="3740"/>
        <v>31318171.41383655</v>
      </c>
      <c r="FV247" s="236">
        <f t="shared" ca="1" si="3740"/>
        <v>31562478.668753389</v>
      </c>
      <c r="FW247" s="236">
        <f t="shared" ca="1" si="3740"/>
        <v>31806144.608928829</v>
      </c>
      <c r="FX247" s="236">
        <f t="shared" ca="1" si="3740"/>
        <v>32049136.589453835</v>
      </c>
      <c r="FY247" s="236">
        <f t="shared" ca="1" si="3740"/>
        <v>32291423.52990273</v>
      </c>
      <c r="FZ247" s="236">
        <f t="shared" ca="1" si="3740"/>
        <v>32532968.750134524</v>
      </c>
      <c r="GA247" s="236">
        <f t="shared" ca="1" si="3740"/>
        <v>32772731.082474425</v>
      </c>
      <c r="GB247" s="236">
        <f t="shared" ca="1" si="3740"/>
        <v>32994578.66078366</v>
      </c>
      <c r="GC247" s="236">
        <f t="shared" ca="1" si="3740"/>
        <v>33218625.121173218</v>
      </c>
      <c r="GD247" s="236">
        <f t="shared" ca="1" si="3740"/>
        <v>33444852.333424825</v>
      </c>
      <c r="GE247" s="236">
        <f t="shared" ca="1" si="3740"/>
        <v>33673315.174889192</v>
      </c>
      <c r="GF247" s="236">
        <f t="shared" ca="1" si="3740"/>
        <v>33904000.208131425</v>
      </c>
      <c r="GG247" s="236">
        <f t="shared" ca="1" si="3740"/>
        <v>34136921.745286629</v>
      </c>
      <c r="GH247" s="236">
        <f t="shared" ca="1" si="3740"/>
        <v>34372098.531592138</v>
      </c>
      <c r="GI247" s="236">
        <f t="shared" ca="1" si="3740"/>
        <v>34609531.140833624</v>
      </c>
      <c r="GJ247" s="236">
        <f t="shared" ca="1" si="3740"/>
        <v>34849262.179743558</v>
      </c>
      <c r="GK247" s="236">
        <f t="shared" ca="1" si="3740"/>
        <v>35091266.453196421</v>
      </c>
      <c r="GL247" s="236">
        <f t="shared" ca="1" si="3740"/>
        <v>35335564.437377192</v>
      </c>
      <c r="GM247" s="236">
        <f t="shared" ca="1" si="3740"/>
        <v>592518.51989381853</v>
      </c>
      <c r="GN247" s="236" t="str">
        <f t="shared" si="3740"/>
        <v/>
      </c>
      <c r="GO247" s="236" t="str">
        <f t="shared" si="3740"/>
        <v/>
      </c>
      <c r="GP247" s="236" t="str">
        <f t="shared" si="3740"/>
        <v/>
      </c>
      <c r="GQ247" s="236" t="str">
        <f t="shared" si="3740"/>
        <v/>
      </c>
      <c r="GR247" s="236" t="str">
        <f t="shared" si="3740"/>
        <v/>
      </c>
      <c r="GS247" s="236" t="str">
        <f t="shared" si="3740"/>
        <v/>
      </c>
      <c r="GT247" s="236" t="str">
        <f t="shared" si="3740"/>
        <v/>
      </c>
      <c r="GU247" s="236" t="str">
        <f t="shared" si="3740"/>
        <v/>
      </c>
      <c r="GV247" s="236" t="str">
        <f t="shared" si="3740"/>
        <v/>
      </c>
      <c r="GW247" s="236" t="str">
        <f t="shared" si="3740"/>
        <v/>
      </c>
      <c r="GX247" s="236" t="str">
        <f t="shared" si="3740"/>
        <v/>
      </c>
      <c r="GY247" s="236" t="str">
        <f t="shared" si="3740"/>
        <v/>
      </c>
      <c r="GZ247" s="236" t="str">
        <f t="shared" si="3740"/>
        <v/>
      </c>
      <c r="HA247" s="236" t="str">
        <f t="shared" si="3740"/>
        <v/>
      </c>
      <c r="HB247" s="236" t="str">
        <f t="shared" si="3740"/>
        <v/>
      </c>
      <c r="HC247" s="236" t="str">
        <f t="shared" si="3740"/>
        <v/>
      </c>
      <c r="HD247" s="236" t="str">
        <f t="shared" si="3740"/>
        <v/>
      </c>
      <c r="HE247" s="236" t="str">
        <f t="shared" si="3740"/>
        <v/>
      </c>
      <c r="HF247" s="236" t="str">
        <f t="shared" si="3740"/>
        <v/>
      </c>
      <c r="HG247" s="236" t="str">
        <f t="shared" si="3740"/>
        <v/>
      </c>
      <c r="HH247" s="236" t="str">
        <f t="shared" si="3740"/>
        <v/>
      </c>
      <c r="HI247" s="236" t="str">
        <f t="shared" si="3740"/>
        <v/>
      </c>
      <c r="HJ247" s="236" t="str">
        <f t="shared" si="3740"/>
        <v/>
      </c>
      <c r="HK247" s="236" t="str">
        <f t="shared" si="3740"/>
        <v/>
      </c>
      <c r="HL247" s="236" t="str">
        <f t="shared" si="3740"/>
        <v/>
      </c>
      <c r="HM247" s="236" t="str">
        <f t="shared" si="3740"/>
        <v/>
      </c>
      <c r="HN247" s="236" t="str">
        <f t="shared" si="3740"/>
        <v/>
      </c>
      <c r="HO247" s="236" t="str">
        <f t="shared" si="3740"/>
        <v/>
      </c>
      <c r="HP247" s="236" t="str">
        <f t="shared" ref="HP247:KA247" si="3741">IF(HP241="","",HP242+HP243+HP244-HP245-HP246)</f>
        <v/>
      </c>
      <c r="HQ247" s="236" t="str">
        <f t="shared" si="3741"/>
        <v/>
      </c>
      <c r="HR247" s="236" t="str">
        <f t="shared" si="3741"/>
        <v/>
      </c>
      <c r="HS247" s="236" t="str">
        <f t="shared" si="3741"/>
        <v/>
      </c>
      <c r="HT247" s="236" t="str">
        <f t="shared" si="3741"/>
        <v/>
      </c>
      <c r="HU247" s="236" t="str">
        <f t="shared" si="3741"/>
        <v/>
      </c>
      <c r="HV247" s="236" t="str">
        <f t="shared" si="3741"/>
        <v/>
      </c>
      <c r="HW247" s="236" t="str">
        <f t="shared" si="3741"/>
        <v/>
      </c>
      <c r="HX247" s="236" t="str">
        <f t="shared" si="3741"/>
        <v/>
      </c>
      <c r="HY247" s="236" t="str">
        <f t="shared" si="3741"/>
        <v/>
      </c>
      <c r="HZ247" s="236" t="str">
        <f t="shared" si="3741"/>
        <v/>
      </c>
      <c r="IA247" s="236" t="str">
        <f t="shared" si="3741"/>
        <v/>
      </c>
      <c r="IB247" s="236" t="str">
        <f t="shared" si="3741"/>
        <v/>
      </c>
      <c r="IC247" s="236" t="str">
        <f t="shared" si="3741"/>
        <v/>
      </c>
      <c r="ID247" s="236" t="str">
        <f t="shared" si="3741"/>
        <v/>
      </c>
      <c r="IE247" s="236" t="str">
        <f t="shared" si="3741"/>
        <v/>
      </c>
      <c r="IF247" s="236" t="str">
        <f t="shared" si="3741"/>
        <v/>
      </c>
      <c r="IG247" s="236" t="str">
        <f t="shared" si="3741"/>
        <v/>
      </c>
      <c r="IH247" s="236" t="str">
        <f t="shared" si="3741"/>
        <v/>
      </c>
      <c r="II247" s="236" t="str">
        <f t="shared" si="3741"/>
        <v/>
      </c>
      <c r="IJ247" s="236" t="str">
        <f t="shared" si="3741"/>
        <v/>
      </c>
      <c r="IK247" s="236" t="str">
        <f t="shared" si="3741"/>
        <v/>
      </c>
      <c r="IL247" s="236" t="str">
        <f t="shared" si="3741"/>
        <v/>
      </c>
      <c r="IM247" s="236" t="str">
        <f t="shared" si="3741"/>
        <v/>
      </c>
      <c r="IN247" s="236" t="str">
        <f t="shared" si="3741"/>
        <v/>
      </c>
      <c r="IO247" s="236" t="str">
        <f t="shared" si="3741"/>
        <v/>
      </c>
      <c r="IP247" s="236" t="str">
        <f t="shared" si="3741"/>
        <v/>
      </c>
      <c r="IQ247" s="236" t="str">
        <f t="shared" si="3741"/>
        <v/>
      </c>
      <c r="IR247" s="236" t="str">
        <f t="shared" si="3741"/>
        <v/>
      </c>
      <c r="IS247" s="236" t="str">
        <f t="shared" si="3741"/>
        <v/>
      </c>
      <c r="IT247" s="236" t="str">
        <f t="shared" si="3741"/>
        <v/>
      </c>
      <c r="IU247" s="236" t="str">
        <f t="shared" si="3741"/>
        <v/>
      </c>
      <c r="IV247" s="236" t="str">
        <f t="shared" si="3741"/>
        <v/>
      </c>
      <c r="IW247" s="236" t="str">
        <f t="shared" si="3741"/>
        <v/>
      </c>
      <c r="IX247" s="236" t="str">
        <f t="shared" si="3741"/>
        <v/>
      </c>
      <c r="IY247" s="236" t="str">
        <f t="shared" si="3741"/>
        <v/>
      </c>
      <c r="IZ247" s="236" t="str">
        <f t="shared" si="3741"/>
        <v/>
      </c>
      <c r="JA247" s="236" t="str">
        <f t="shared" si="3741"/>
        <v/>
      </c>
      <c r="JB247" s="236" t="str">
        <f t="shared" si="3741"/>
        <v/>
      </c>
      <c r="JC247" s="236" t="str">
        <f t="shared" si="3741"/>
        <v/>
      </c>
      <c r="JD247" s="236" t="str">
        <f t="shared" si="3741"/>
        <v/>
      </c>
      <c r="JE247" s="236" t="str">
        <f t="shared" si="3741"/>
        <v/>
      </c>
      <c r="JF247" s="236" t="str">
        <f t="shared" si="3741"/>
        <v/>
      </c>
      <c r="JG247" s="236" t="str">
        <f t="shared" si="3741"/>
        <v/>
      </c>
      <c r="JH247" s="236" t="str">
        <f t="shared" si="3741"/>
        <v/>
      </c>
      <c r="JI247" s="236" t="str">
        <f t="shared" si="3741"/>
        <v/>
      </c>
      <c r="JJ247" s="236" t="str">
        <f t="shared" si="3741"/>
        <v/>
      </c>
      <c r="JK247" s="236" t="str">
        <f t="shared" si="3741"/>
        <v/>
      </c>
      <c r="JL247" s="236" t="str">
        <f t="shared" si="3741"/>
        <v/>
      </c>
      <c r="JM247" s="236" t="str">
        <f t="shared" si="3741"/>
        <v/>
      </c>
      <c r="JN247" s="236" t="str">
        <f t="shared" si="3741"/>
        <v/>
      </c>
      <c r="JO247" s="236" t="str">
        <f t="shared" si="3741"/>
        <v/>
      </c>
      <c r="JP247" s="236" t="str">
        <f t="shared" si="3741"/>
        <v/>
      </c>
      <c r="JQ247" s="236" t="str">
        <f t="shared" si="3741"/>
        <v/>
      </c>
      <c r="JR247" s="236" t="str">
        <f t="shared" si="3741"/>
        <v/>
      </c>
      <c r="JS247" s="236" t="str">
        <f t="shared" si="3741"/>
        <v/>
      </c>
      <c r="JT247" s="236" t="str">
        <f t="shared" si="3741"/>
        <v/>
      </c>
      <c r="JU247" s="236" t="str">
        <f t="shared" si="3741"/>
        <v/>
      </c>
      <c r="JV247" s="236" t="str">
        <f t="shared" si="3741"/>
        <v/>
      </c>
      <c r="JW247" s="236" t="str">
        <f t="shared" si="3741"/>
        <v/>
      </c>
      <c r="JX247" s="236" t="str">
        <f t="shared" si="3741"/>
        <v/>
      </c>
      <c r="JY247" s="236" t="str">
        <f t="shared" si="3741"/>
        <v/>
      </c>
      <c r="JZ247" s="236" t="str">
        <f t="shared" si="3741"/>
        <v/>
      </c>
      <c r="KA247" s="236" t="str">
        <f t="shared" si="3741"/>
        <v/>
      </c>
      <c r="KB247" s="236" t="str">
        <f t="shared" ref="KB247:KE247" si="3742">IF(KB241="","",KB242+KB243+KB244-KB245-KB246)</f>
        <v/>
      </c>
      <c r="KC247" s="236" t="str">
        <f t="shared" si="3742"/>
        <v/>
      </c>
      <c r="KD247" s="236" t="str">
        <f t="shared" si="3742"/>
        <v/>
      </c>
      <c r="KE247" s="236" t="str">
        <f t="shared" si="3742"/>
        <v/>
      </c>
      <c r="KF247" s="200" t="s">
        <v>269</v>
      </c>
      <c r="PQ247" s="201"/>
      <c r="PR247" s="201"/>
      <c r="PS247" s="201"/>
      <c r="PT247" s="201"/>
      <c r="PU247" s="201"/>
      <c r="PV247" s="201"/>
      <c r="PW247" s="201"/>
      <c r="PX247" s="201"/>
      <c r="PY247" s="201"/>
      <c r="PZ247" s="201"/>
      <c r="QA247" s="201"/>
      <c r="QB247" s="201"/>
      <c r="QC247" s="201"/>
      <c r="QD247" s="201"/>
      <c r="QE247" s="201"/>
      <c r="QF247" s="201"/>
      <c r="QG247" s="201"/>
      <c r="QH247" s="201"/>
      <c r="QI247" s="201"/>
      <c r="QJ247" s="201"/>
      <c r="QK247" s="201"/>
      <c r="QL247" s="201"/>
      <c r="QM247" s="201"/>
      <c r="QN247" s="201"/>
      <c r="QO247" s="201"/>
      <c r="QP247" s="201"/>
      <c r="QQ247" s="201"/>
      <c r="QR247" s="201"/>
      <c r="QS247" s="201"/>
      <c r="QT247" s="201"/>
      <c r="QU247" s="201"/>
      <c r="QV247" s="201"/>
      <c r="QW247" s="201"/>
      <c r="QX247" s="201"/>
      <c r="QY247" s="201"/>
      <c r="QZ247" s="201"/>
      <c r="RA247" s="201"/>
      <c r="RB247" s="201"/>
      <c r="RC247" s="201"/>
      <c r="RD247" s="201"/>
      <c r="RE247" s="201"/>
      <c r="RF247" s="201"/>
      <c r="RG247" s="201"/>
      <c r="RH247" s="201"/>
      <c r="RI247" s="201"/>
      <c r="RJ247" s="201"/>
      <c r="RK247" s="201"/>
      <c r="RL247" s="201"/>
      <c r="RM247" s="201"/>
      <c r="RN247" s="201"/>
      <c r="RO247" s="201"/>
      <c r="RP247" s="201"/>
      <c r="RQ247" s="201"/>
      <c r="RR247" s="201"/>
      <c r="RS247" s="201"/>
      <c r="RT247" s="201"/>
      <c r="RU247" s="201"/>
      <c r="RV247" s="201"/>
      <c r="RW247" s="201"/>
      <c r="RX247" s="201"/>
      <c r="RY247" s="201"/>
      <c r="RZ247" s="201"/>
      <c r="SA247" s="201"/>
      <c r="SB247" s="201"/>
      <c r="SC247" s="201"/>
      <c r="SD247" s="201"/>
      <c r="SE247" s="201"/>
      <c r="SF247" s="201"/>
      <c r="SG247" s="201"/>
      <c r="SH247" s="201"/>
      <c r="SI247" s="201"/>
      <c r="SJ247" s="201"/>
      <c r="SK247" s="201"/>
      <c r="SL247" s="201"/>
      <c r="SM247" s="201"/>
      <c r="SN247" s="201"/>
      <c r="SO247" s="201"/>
      <c r="SP247" s="201"/>
      <c r="SQ247" s="201"/>
      <c r="SR247" s="201"/>
      <c r="SS247" s="201"/>
      <c r="ST247" s="201"/>
      <c r="SU247" s="201"/>
      <c r="SV247" s="201"/>
      <c r="SW247" s="201"/>
      <c r="SX247" s="201"/>
      <c r="SY247" s="201"/>
      <c r="SZ247" s="201"/>
      <c r="TA247" s="201"/>
      <c r="TB247" s="201"/>
      <c r="TC247" s="201"/>
      <c r="TD247" s="201"/>
      <c r="TE247" s="201"/>
      <c r="TF247" s="201"/>
      <c r="TG247" s="201"/>
      <c r="TH247" s="201"/>
      <c r="TI247" s="201"/>
      <c r="TJ247" s="201"/>
      <c r="TK247" s="201"/>
      <c r="TL247" s="201"/>
      <c r="TM247" s="201"/>
      <c r="TN247" s="201"/>
      <c r="TO247" s="201"/>
      <c r="TP247" s="201"/>
      <c r="TQ247" s="201"/>
      <c r="TR247" s="201"/>
      <c r="TS247" s="201"/>
      <c r="TT247" s="201"/>
      <c r="TU247" s="201"/>
      <c r="TV247" s="201"/>
      <c r="TW247" s="201"/>
      <c r="TX247" s="201"/>
      <c r="TY247" s="201"/>
      <c r="TZ247" s="201"/>
      <c r="UA247" s="201"/>
      <c r="UB247" s="201"/>
      <c r="UC247" s="201"/>
      <c r="UD247" s="201"/>
      <c r="UE247" s="201"/>
      <c r="UF247" s="201"/>
      <c r="UG247" s="201"/>
      <c r="UH247" s="201"/>
      <c r="UI247" s="201"/>
      <c r="UJ247" s="201"/>
      <c r="UK247" s="201"/>
      <c r="UL247" s="201"/>
      <c r="UM247" s="201"/>
      <c r="UN247" s="201"/>
      <c r="UO247" s="201"/>
      <c r="UP247" s="201"/>
      <c r="UQ247" s="201"/>
      <c r="UR247" s="201"/>
      <c r="US247" s="201"/>
      <c r="UT247" s="201"/>
      <c r="UU247" s="201"/>
    </row>
    <row r="248" spans="1:567" x14ac:dyDescent="0.25">
      <c r="B248" s="18" t="s">
        <v>239</v>
      </c>
      <c r="C248" s="38" t="str">
        <f>C237</f>
        <v>[General Partner Name]</v>
      </c>
      <c r="D248" s="18"/>
      <c r="E248" s="18"/>
      <c r="F248" s="18"/>
      <c r="G248" s="26"/>
      <c r="H248" s="26"/>
      <c r="I248" s="34"/>
      <c r="J248" s="57">
        <f ca="1">K248/$K$251</f>
        <v>6.9048645691708488E-2</v>
      </c>
      <c r="K248" s="34">
        <f ca="1">SUM(L248:ES248)</f>
        <v>3015823.3306240235</v>
      </c>
      <c r="R248" s="159" t="s">
        <v>375</v>
      </c>
      <c r="S248" s="92">
        <f t="shared" ref="S248:AX248" ca="1" si="3743">IF(S229="","",FC223+FC239+FC252+FC256)</f>
        <v>0</v>
      </c>
      <c r="T248" s="92">
        <f t="shared" ca="1" si="3743"/>
        <v>3378.6076497179079</v>
      </c>
      <c r="U248" s="92">
        <f t="shared" ca="1" si="3743"/>
        <v>3642.627343217051</v>
      </c>
      <c r="V248" s="92">
        <f t="shared" ca="1" si="3743"/>
        <v>3782.9213395604761</v>
      </c>
      <c r="W248" s="92">
        <f t="shared" ca="1" si="3743"/>
        <v>3951.3058455624046</v>
      </c>
      <c r="X248" s="92">
        <f t="shared" ca="1" si="3743"/>
        <v>4161.7821918256359</v>
      </c>
      <c r="Y248" s="92">
        <f t="shared" ca="1" si="3743"/>
        <v>4305.8033621554623</v>
      </c>
      <c r="Z248" s="92">
        <f t="shared" ca="1" si="3743"/>
        <v>4456.7933125803947</v>
      </c>
      <c r="AA248" s="92">
        <f t="shared" ca="1" si="3743"/>
        <v>4619.3356297922883</v>
      </c>
      <c r="AB248" s="92">
        <f t="shared" ca="1" si="3743"/>
        <v>4767.2626181783053</v>
      </c>
      <c r="AC248" s="92">
        <f t="shared" ca="1" si="3743"/>
        <v>4914.0383171921212</v>
      </c>
      <c r="AD248" s="92">
        <f t="shared" ca="1" si="3743"/>
        <v>5060.2700805896275</v>
      </c>
      <c r="AE248" s="92">
        <f t="shared" ca="1" si="3743"/>
        <v>5205.5883790280022</v>
      </c>
      <c r="AF248" s="92">
        <f t="shared" ca="1" si="3743"/>
        <v>5381.6235840437439</v>
      </c>
      <c r="AG248" s="92">
        <f t="shared" ca="1" si="3743"/>
        <v>5555.6828639456617</v>
      </c>
      <c r="AH248" s="92">
        <f t="shared" ca="1" si="3743"/>
        <v>5732.3078185795457</v>
      </c>
      <c r="AI248" s="92">
        <f t="shared" ca="1" si="3743"/>
        <v>5910.2396880952147</v>
      </c>
      <c r="AJ248" s="92">
        <f t="shared" ca="1" si="3743"/>
        <v>6089.3784968230357</v>
      </c>
      <c r="AK248" s="92">
        <f t="shared" ca="1" si="3743"/>
        <v>6270.0761456457349</v>
      </c>
      <c r="AL248" s="92">
        <f t="shared" ca="1" si="3743"/>
        <v>6451.7116462096419</v>
      </c>
      <c r="AM248" s="92">
        <f t="shared" ca="1" si="3743"/>
        <v>6636.0986954552636</v>
      </c>
      <c r="AN248" s="92">
        <f t="shared" ca="1" si="3743"/>
        <v>6821.8084794441938</v>
      </c>
      <c r="AO248" s="92">
        <f t="shared" ca="1" si="3743"/>
        <v>7008.7385289256481</v>
      </c>
      <c r="AP248" s="92">
        <f t="shared" ca="1" si="3743"/>
        <v>7197.1644023586568</v>
      </c>
      <c r="AQ248" s="92">
        <f t="shared" ca="1" si="3743"/>
        <v>7439.9312486374247</v>
      </c>
      <c r="AR248" s="92">
        <f t="shared" ca="1" si="3743"/>
        <v>8530.6443978236839</v>
      </c>
      <c r="AS248" s="92">
        <f t="shared" ca="1" si="3743"/>
        <v>8551.6993382679684</v>
      </c>
      <c r="AT248" s="92">
        <f t="shared" ca="1" si="3743"/>
        <v>8575.0642755100416</v>
      </c>
      <c r="AU248" s="92">
        <f t="shared" ca="1" si="3743"/>
        <v>8596.8855272878754</v>
      </c>
      <c r="AV248" s="92">
        <f t="shared" ca="1" si="3743"/>
        <v>8620.7924446121924</v>
      </c>
      <c r="AW248" s="92">
        <f t="shared" ca="1" si="3743"/>
        <v>8645.3162386183121</v>
      </c>
      <c r="AX248" s="92">
        <f t="shared" ca="1" si="3743"/>
        <v>8670.2324126347939</v>
      </c>
      <c r="AY248" s="92">
        <f t="shared" ref="AY248:CD248" ca="1" si="3744">IF(AY229="","",GI223+GI239+GI252+GI256)</f>
        <v>8696.5089166910275</v>
      </c>
      <c r="AZ248" s="92">
        <f t="shared" ca="1" si="3744"/>
        <v>8721.9338442109292</v>
      </c>
      <c r="BA248" s="92">
        <f t="shared" ca="1" si="3744"/>
        <v>8750.1019842645183</v>
      </c>
      <c r="BB248" s="92">
        <f t="shared" ca="1" si="3744"/>
        <v>8778.5940489930435</v>
      </c>
      <c r="BC248" s="92">
        <f t="shared" ca="1" si="3744"/>
        <v>2791944.4595275456</v>
      </c>
      <c r="BD248" s="92" t="str">
        <f t="shared" si="3744"/>
        <v/>
      </c>
      <c r="BE248" s="92" t="str">
        <f t="shared" si="3744"/>
        <v/>
      </c>
      <c r="BF248" s="92" t="str">
        <f t="shared" si="3744"/>
        <v/>
      </c>
      <c r="BG248" s="92" t="str">
        <f t="shared" si="3744"/>
        <v/>
      </c>
      <c r="BH248" s="92" t="str">
        <f t="shared" si="3744"/>
        <v/>
      </c>
      <c r="BI248" s="92" t="str">
        <f t="shared" si="3744"/>
        <v/>
      </c>
      <c r="BJ248" s="92" t="str">
        <f t="shared" si="3744"/>
        <v/>
      </c>
      <c r="BK248" s="92" t="str">
        <f t="shared" si="3744"/>
        <v/>
      </c>
      <c r="BL248" s="92" t="str">
        <f t="shared" si="3744"/>
        <v/>
      </c>
      <c r="BM248" s="92" t="str">
        <f t="shared" si="3744"/>
        <v/>
      </c>
      <c r="BN248" s="92" t="str">
        <f t="shared" si="3744"/>
        <v/>
      </c>
      <c r="BO248" s="92" t="str">
        <f t="shared" si="3744"/>
        <v/>
      </c>
      <c r="BP248" s="92" t="str">
        <f t="shared" si="3744"/>
        <v/>
      </c>
      <c r="BQ248" s="92" t="str">
        <f t="shared" si="3744"/>
        <v/>
      </c>
      <c r="BR248" s="92" t="str">
        <f t="shared" si="3744"/>
        <v/>
      </c>
      <c r="BS248" s="92" t="str">
        <f t="shared" si="3744"/>
        <v/>
      </c>
      <c r="BT248" s="92" t="str">
        <f t="shared" si="3744"/>
        <v/>
      </c>
      <c r="BU248" s="92" t="str">
        <f t="shared" si="3744"/>
        <v/>
      </c>
      <c r="BV248" s="92" t="str">
        <f t="shared" si="3744"/>
        <v/>
      </c>
      <c r="BW248" s="92" t="str">
        <f t="shared" si="3744"/>
        <v/>
      </c>
      <c r="BX248" s="92" t="str">
        <f t="shared" si="3744"/>
        <v/>
      </c>
      <c r="BY248" s="92" t="str">
        <f t="shared" si="3744"/>
        <v/>
      </c>
      <c r="BZ248" s="92" t="str">
        <f t="shared" si="3744"/>
        <v/>
      </c>
      <c r="CA248" s="92" t="str">
        <f t="shared" si="3744"/>
        <v/>
      </c>
      <c r="CB248" s="92" t="str">
        <f t="shared" si="3744"/>
        <v/>
      </c>
      <c r="CC248" s="92" t="str">
        <f t="shared" si="3744"/>
        <v/>
      </c>
      <c r="CD248" s="92" t="str">
        <f t="shared" si="3744"/>
        <v/>
      </c>
      <c r="CE248" s="92" t="str">
        <f t="shared" ref="CE248:DJ248" si="3745">IF(CE229="","",HO223+HO239+HO252+HO256)</f>
        <v/>
      </c>
      <c r="CF248" s="92" t="str">
        <f t="shared" si="3745"/>
        <v/>
      </c>
      <c r="CG248" s="92" t="str">
        <f t="shared" si="3745"/>
        <v/>
      </c>
      <c r="CH248" s="92" t="str">
        <f t="shared" si="3745"/>
        <v/>
      </c>
      <c r="CI248" s="92" t="str">
        <f t="shared" si="3745"/>
        <v/>
      </c>
      <c r="CJ248" s="92" t="str">
        <f t="shared" si="3745"/>
        <v/>
      </c>
      <c r="CK248" s="92" t="str">
        <f t="shared" si="3745"/>
        <v/>
      </c>
      <c r="CL248" s="92" t="str">
        <f t="shared" si="3745"/>
        <v/>
      </c>
      <c r="CM248" s="92" t="str">
        <f t="shared" si="3745"/>
        <v/>
      </c>
      <c r="CN248" s="92" t="str">
        <f t="shared" si="3745"/>
        <v/>
      </c>
      <c r="CO248" s="92" t="str">
        <f t="shared" si="3745"/>
        <v/>
      </c>
      <c r="CP248" s="92" t="str">
        <f t="shared" si="3745"/>
        <v/>
      </c>
      <c r="CQ248" s="92" t="str">
        <f t="shared" si="3745"/>
        <v/>
      </c>
      <c r="CR248" s="92" t="str">
        <f t="shared" si="3745"/>
        <v/>
      </c>
      <c r="CS248" s="92" t="str">
        <f t="shared" si="3745"/>
        <v/>
      </c>
      <c r="CT248" s="92" t="str">
        <f t="shared" si="3745"/>
        <v/>
      </c>
      <c r="CU248" s="92" t="str">
        <f t="shared" si="3745"/>
        <v/>
      </c>
      <c r="CV248" s="92" t="str">
        <f t="shared" si="3745"/>
        <v/>
      </c>
      <c r="CW248" s="92" t="str">
        <f t="shared" si="3745"/>
        <v/>
      </c>
      <c r="CX248" s="92" t="str">
        <f t="shared" si="3745"/>
        <v/>
      </c>
      <c r="CY248" s="92" t="str">
        <f t="shared" si="3745"/>
        <v/>
      </c>
      <c r="CZ248" s="92" t="str">
        <f t="shared" si="3745"/>
        <v/>
      </c>
      <c r="DA248" s="92" t="str">
        <f t="shared" si="3745"/>
        <v/>
      </c>
      <c r="DB248" s="92" t="str">
        <f t="shared" si="3745"/>
        <v/>
      </c>
      <c r="DC248" s="92" t="str">
        <f t="shared" si="3745"/>
        <v/>
      </c>
      <c r="DD248" s="92" t="str">
        <f t="shared" si="3745"/>
        <v/>
      </c>
      <c r="DE248" s="92" t="str">
        <f t="shared" si="3745"/>
        <v/>
      </c>
      <c r="DF248" s="92" t="str">
        <f t="shared" si="3745"/>
        <v/>
      </c>
      <c r="DG248" s="92" t="str">
        <f t="shared" si="3745"/>
        <v/>
      </c>
      <c r="DH248" s="92" t="str">
        <f t="shared" si="3745"/>
        <v/>
      </c>
      <c r="DI248" s="92" t="str">
        <f t="shared" si="3745"/>
        <v/>
      </c>
      <c r="DJ248" s="92" t="str">
        <f t="shared" si="3745"/>
        <v/>
      </c>
      <c r="DK248" s="92" t="str">
        <f t="shared" ref="DK248:EP248" si="3746">IF(DK229="","",IU223+IU239+IU252+IU256)</f>
        <v/>
      </c>
      <c r="DL248" s="92" t="str">
        <f t="shared" si="3746"/>
        <v/>
      </c>
      <c r="DM248" s="92" t="str">
        <f t="shared" si="3746"/>
        <v/>
      </c>
      <c r="DN248" s="92" t="str">
        <f t="shared" si="3746"/>
        <v/>
      </c>
      <c r="DO248" s="92" t="str">
        <f t="shared" si="3746"/>
        <v/>
      </c>
      <c r="DP248" s="92" t="str">
        <f t="shared" si="3746"/>
        <v/>
      </c>
      <c r="DQ248" s="92" t="str">
        <f t="shared" si="3746"/>
        <v/>
      </c>
      <c r="DR248" s="92" t="str">
        <f t="shared" si="3746"/>
        <v/>
      </c>
      <c r="DS248" s="92" t="str">
        <f t="shared" si="3746"/>
        <v/>
      </c>
      <c r="DT248" s="92" t="str">
        <f t="shared" si="3746"/>
        <v/>
      </c>
      <c r="DU248" s="92" t="str">
        <f t="shared" si="3746"/>
        <v/>
      </c>
      <c r="DV248" s="92" t="str">
        <f t="shared" si="3746"/>
        <v/>
      </c>
      <c r="DW248" s="92" t="str">
        <f t="shared" si="3746"/>
        <v/>
      </c>
      <c r="DX248" s="92" t="str">
        <f t="shared" si="3746"/>
        <v/>
      </c>
      <c r="DY248" s="92" t="str">
        <f t="shared" si="3746"/>
        <v/>
      </c>
      <c r="DZ248" s="92" t="str">
        <f t="shared" si="3746"/>
        <v/>
      </c>
      <c r="EA248" s="92" t="str">
        <f t="shared" si="3746"/>
        <v/>
      </c>
      <c r="EB248" s="92" t="str">
        <f t="shared" si="3746"/>
        <v/>
      </c>
      <c r="EC248" s="92" t="str">
        <f t="shared" si="3746"/>
        <v/>
      </c>
      <c r="ED248" s="92" t="str">
        <f t="shared" si="3746"/>
        <v/>
      </c>
      <c r="EE248" s="92" t="str">
        <f t="shared" si="3746"/>
        <v/>
      </c>
      <c r="EF248" s="92" t="str">
        <f t="shared" si="3746"/>
        <v/>
      </c>
      <c r="EG248" s="92" t="str">
        <f t="shared" si="3746"/>
        <v/>
      </c>
      <c r="EH248" s="92" t="str">
        <f t="shared" si="3746"/>
        <v/>
      </c>
      <c r="EI248" s="92" t="str">
        <f t="shared" si="3746"/>
        <v/>
      </c>
      <c r="EJ248" s="92" t="str">
        <f t="shared" si="3746"/>
        <v/>
      </c>
      <c r="EK248" s="92" t="str">
        <f t="shared" si="3746"/>
        <v/>
      </c>
      <c r="EL248" s="92" t="str">
        <f t="shared" si="3746"/>
        <v/>
      </c>
      <c r="EM248" s="92" t="str">
        <f t="shared" si="3746"/>
        <v/>
      </c>
      <c r="EN248" s="92" t="str">
        <f t="shared" si="3746"/>
        <v/>
      </c>
      <c r="EO248" s="92" t="str">
        <f t="shared" si="3746"/>
        <v/>
      </c>
      <c r="EP248" s="92" t="str">
        <f t="shared" si="3746"/>
        <v/>
      </c>
      <c r="EQ248" s="92" t="str">
        <f t="shared" ref="EQ248:EU248" si="3747">IF(EQ229="","",KA223+KA239+KA252+KA256)</f>
        <v/>
      </c>
      <c r="ER248" s="92" t="str">
        <f t="shared" si="3747"/>
        <v/>
      </c>
      <c r="ES248" s="92" t="str">
        <f t="shared" si="3747"/>
        <v/>
      </c>
      <c r="ET248" s="92" t="str">
        <f t="shared" si="3747"/>
        <v/>
      </c>
      <c r="EU248" s="92" t="str">
        <f t="shared" si="3747"/>
        <v/>
      </c>
      <c r="EW248" s="201" t="s">
        <v>268</v>
      </c>
      <c r="EX248" s="201"/>
      <c r="EY248" s="228"/>
      <c r="EZ248" s="228"/>
      <c r="FA248" s="236"/>
      <c r="FB248" s="237">
        <f ca="1">XIRR(OFFSET(FC248,,,1,Analysis_Period+1),OFFSET($FC$4,,,1,Analysis_Period+1))</f>
        <v>0.14396510720252995</v>
      </c>
      <c r="FC248" s="236">
        <f ca="1">IF(FC241="","",-FC244+FC245+FC246)</f>
        <v>-26865102.25</v>
      </c>
      <c r="FD248" s="236">
        <f t="shared" ref="FD248:HO248" ca="1" si="3748">IF(FD241="","",-FD244+FD245+FD246)</f>
        <v>64193.545344640232</v>
      </c>
      <c r="FE248" s="236">
        <f t="shared" ca="1" si="3748"/>
        <v>69209.919521123942</v>
      </c>
      <c r="FF248" s="236">
        <f t="shared" ca="1" si="3748"/>
        <v>71875.505451649064</v>
      </c>
      <c r="FG248" s="236">
        <f t="shared" ca="1" si="3748"/>
        <v>75074.811065685659</v>
      </c>
      <c r="FH248" s="236">
        <f t="shared" ca="1" si="3748"/>
        <v>79073.861644687073</v>
      </c>
      <c r="FI248" s="236">
        <f t="shared" ca="1" si="3748"/>
        <v>81810.263880953775</v>
      </c>
      <c r="FJ248" s="236">
        <f t="shared" ca="1" si="3748"/>
        <v>84679.072939027479</v>
      </c>
      <c r="FK248" s="236">
        <f t="shared" ca="1" si="3748"/>
        <v>87767.376966053474</v>
      </c>
      <c r="FL248" s="236">
        <f t="shared" ca="1" si="3748"/>
        <v>90577.989745387778</v>
      </c>
      <c r="FM248" s="236">
        <f t="shared" ca="1" si="3748"/>
        <v>93366.728026650264</v>
      </c>
      <c r="FN248" s="236">
        <f t="shared" ca="1" si="3748"/>
        <v>96145.131531202889</v>
      </c>
      <c r="FO248" s="236">
        <f t="shared" ca="1" si="3748"/>
        <v>98906.17920153201</v>
      </c>
      <c r="FP248" s="236">
        <f t="shared" ca="1" si="3748"/>
        <v>102250.84809683112</v>
      </c>
      <c r="FQ248" s="236">
        <f t="shared" ca="1" si="3748"/>
        <v>105557.97441496754</v>
      </c>
      <c r="FR248" s="236">
        <f t="shared" ca="1" si="3748"/>
        <v>108913.84855301135</v>
      </c>
      <c r="FS248" s="236">
        <f t="shared" ca="1" si="3748"/>
        <v>112294.55407380906</v>
      </c>
      <c r="FT248" s="236">
        <f t="shared" ca="1" si="3748"/>
        <v>115698.19143963765</v>
      </c>
      <c r="FU248" s="236">
        <f t="shared" ca="1" si="3748"/>
        <v>119131.44676726894</v>
      </c>
      <c r="FV248" s="236">
        <f t="shared" ca="1" si="3748"/>
        <v>122582.52127798316</v>
      </c>
      <c r="FW248" s="236">
        <f t="shared" ca="1" si="3748"/>
        <v>126085.87521365</v>
      </c>
      <c r="FX248" s="236">
        <f t="shared" ca="1" si="3748"/>
        <v>129614.36110943968</v>
      </c>
      <c r="FY248" s="236">
        <f t="shared" ca="1" si="3748"/>
        <v>133166.03204958726</v>
      </c>
      <c r="FZ248" s="236">
        <f t="shared" ca="1" si="3748"/>
        <v>136746.12364481442</v>
      </c>
      <c r="GA248" s="236">
        <f t="shared" ca="1" si="3748"/>
        <v>141358.69372411101</v>
      </c>
      <c r="GB248" s="236">
        <f t="shared" ca="1" si="3748"/>
        <v>162082.24355864993</v>
      </c>
      <c r="GC248" s="236">
        <f t="shared" ca="1" si="3748"/>
        <v>162482.28742709145</v>
      </c>
      <c r="GD248" s="236">
        <f t="shared" ca="1" si="3748"/>
        <v>162926.22123469072</v>
      </c>
      <c r="GE248" s="236">
        <f t="shared" ca="1" si="3748"/>
        <v>163340.82501846968</v>
      </c>
      <c r="GF248" s="236">
        <f t="shared" ca="1" si="3748"/>
        <v>163795.05644763168</v>
      </c>
      <c r="GG248" s="236">
        <f t="shared" ca="1" si="3748"/>
        <v>164261.00853374792</v>
      </c>
      <c r="GH248" s="236">
        <f t="shared" ca="1" si="3748"/>
        <v>164734.41584006106</v>
      </c>
      <c r="GI248" s="236">
        <f t="shared" ca="1" si="3748"/>
        <v>165233.66941712948</v>
      </c>
      <c r="GJ248" s="236">
        <f t="shared" ca="1" si="3748"/>
        <v>165716.74304000766</v>
      </c>
      <c r="GK248" s="236">
        <f t="shared" ca="1" si="3748"/>
        <v>166251.93770102577</v>
      </c>
      <c r="GL248" s="236">
        <f t="shared" ca="1" si="3748"/>
        <v>166793.28693086779</v>
      </c>
      <c r="GM248" s="236">
        <f t="shared" ca="1" si="3748"/>
        <v>35156999.119183376</v>
      </c>
      <c r="GN248" s="236" t="str">
        <f t="shared" si="3748"/>
        <v/>
      </c>
      <c r="GO248" s="236" t="str">
        <f t="shared" si="3748"/>
        <v/>
      </c>
      <c r="GP248" s="236" t="str">
        <f t="shared" si="3748"/>
        <v/>
      </c>
      <c r="GQ248" s="236" t="str">
        <f t="shared" si="3748"/>
        <v/>
      </c>
      <c r="GR248" s="236" t="str">
        <f t="shared" si="3748"/>
        <v/>
      </c>
      <c r="GS248" s="236" t="str">
        <f t="shared" si="3748"/>
        <v/>
      </c>
      <c r="GT248" s="236" t="str">
        <f t="shared" si="3748"/>
        <v/>
      </c>
      <c r="GU248" s="236" t="str">
        <f t="shared" si="3748"/>
        <v/>
      </c>
      <c r="GV248" s="236" t="str">
        <f t="shared" si="3748"/>
        <v/>
      </c>
      <c r="GW248" s="236" t="str">
        <f t="shared" si="3748"/>
        <v/>
      </c>
      <c r="GX248" s="236" t="str">
        <f t="shared" si="3748"/>
        <v/>
      </c>
      <c r="GY248" s="236" t="str">
        <f t="shared" si="3748"/>
        <v/>
      </c>
      <c r="GZ248" s="236" t="str">
        <f t="shared" si="3748"/>
        <v/>
      </c>
      <c r="HA248" s="236" t="str">
        <f t="shared" si="3748"/>
        <v/>
      </c>
      <c r="HB248" s="236" t="str">
        <f t="shared" si="3748"/>
        <v/>
      </c>
      <c r="HC248" s="236" t="str">
        <f t="shared" si="3748"/>
        <v/>
      </c>
      <c r="HD248" s="236" t="str">
        <f t="shared" si="3748"/>
        <v/>
      </c>
      <c r="HE248" s="236" t="str">
        <f t="shared" si="3748"/>
        <v/>
      </c>
      <c r="HF248" s="236" t="str">
        <f t="shared" si="3748"/>
        <v/>
      </c>
      <c r="HG248" s="236" t="str">
        <f t="shared" si="3748"/>
        <v/>
      </c>
      <c r="HH248" s="236" t="str">
        <f t="shared" si="3748"/>
        <v/>
      </c>
      <c r="HI248" s="236" t="str">
        <f t="shared" si="3748"/>
        <v/>
      </c>
      <c r="HJ248" s="236" t="str">
        <f t="shared" si="3748"/>
        <v/>
      </c>
      <c r="HK248" s="236" t="str">
        <f t="shared" si="3748"/>
        <v/>
      </c>
      <c r="HL248" s="236" t="str">
        <f t="shared" si="3748"/>
        <v/>
      </c>
      <c r="HM248" s="236" t="str">
        <f t="shared" si="3748"/>
        <v/>
      </c>
      <c r="HN248" s="236" t="str">
        <f t="shared" si="3748"/>
        <v/>
      </c>
      <c r="HO248" s="236" t="str">
        <f t="shared" si="3748"/>
        <v/>
      </c>
      <c r="HP248" s="236" t="str">
        <f t="shared" ref="HP248:KA248" si="3749">IF(HP241="","",-HP244+HP245+HP246)</f>
        <v/>
      </c>
      <c r="HQ248" s="236" t="str">
        <f t="shared" si="3749"/>
        <v/>
      </c>
      <c r="HR248" s="236" t="str">
        <f t="shared" si="3749"/>
        <v/>
      </c>
      <c r="HS248" s="236" t="str">
        <f t="shared" si="3749"/>
        <v/>
      </c>
      <c r="HT248" s="236" t="str">
        <f t="shared" si="3749"/>
        <v/>
      </c>
      <c r="HU248" s="236" t="str">
        <f t="shared" si="3749"/>
        <v/>
      </c>
      <c r="HV248" s="236" t="str">
        <f t="shared" si="3749"/>
        <v/>
      </c>
      <c r="HW248" s="236" t="str">
        <f t="shared" si="3749"/>
        <v/>
      </c>
      <c r="HX248" s="236" t="str">
        <f t="shared" si="3749"/>
        <v/>
      </c>
      <c r="HY248" s="236" t="str">
        <f t="shared" si="3749"/>
        <v/>
      </c>
      <c r="HZ248" s="236" t="str">
        <f t="shared" si="3749"/>
        <v/>
      </c>
      <c r="IA248" s="236" t="str">
        <f t="shared" si="3749"/>
        <v/>
      </c>
      <c r="IB248" s="236" t="str">
        <f t="shared" si="3749"/>
        <v/>
      </c>
      <c r="IC248" s="236" t="str">
        <f t="shared" si="3749"/>
        <v/>
      </c>
      <c r="ID248" s="236" t="str">
        <f t="shared" si="3749"/>
        <v/>
      </c>
      <c r="IE248" s="236" t="str">
        <f t="shared" si="3749"/>
        <v/>
      </c>
      <c r="IF248" s="236" t="str">
        <f t="shared" si="3749"/>
        <v/>
      </c>
      <c r="IG248" s="236" t="str">
        <f t="shared" si="3749"/>
        <v/>
      </c>
      <c r="IH248" s="236" t="str">
        <f t="shared" si="3749"/>
        <v/>
      </c>
      <c r="II248" s="236" t="str">
        <f t="shared" si="3749"/>
        <v/>
      </c>
      <c r="IJ248" s="236" t="str">
        <f t="shared" si="3749"/>
        <v/>
      </c>
      <c r="IK248" s="236" t="str">
        <f t="shared" si="3749"/>
        <v/>
      </c>
      <c r="IL248" s="236" t="str">
        <f t="shared" si="3749"/>
        <v/>
      </c>
      <c r="IM248" s="236" t="str">
        <f t="shared" si="3749"/>
        <v/>
      </c>
      <c r="IN248" s="236" t="str">
        <f t="shared" si="3749"/>
        <v/>
      </c>
      <c r="IO248" s="236" t="str">
        <f t="shared" si="3749"/>
        <v/>
      </c>
      <c r="IP248" s="236" t="str">
        <f t="shared" si="3749"/>
        <v/>
      </c>
      <c r="IQ248" s="236" t="str">
        <f t="shared" si="3749"/>
        <v/>
      </c>
      <c r="IR248" s="236" t="str">
        <f t="shared" si="3749"/>
        <v/>
      </c>
      <c r="IS248" s="236" t="str">
        <f t="shared" si="3749"/>
        <v/>
      </c>
      <c r="IT248" s="236" t="str">
        <f t="shared" si="3749"/>
        <v/>
      </c>
      <c r="IU248" s="236" t="str">
        <f t="shared" si="3749"/>
        <v/>
      </c>
      <c r="IV248" s="236" t="str">
        <f t="shared" si="3749"/>
        <v/>
      </c>
      <c r="IW248" s="236" t="str">
        <f t="shared" si="3749"/>
        <v/>
      </c>
      <c r="IX248" s="236" t="str">
        <f t="shared" si="3749"/>
        <v/>
      </c>
      <c r="IY248" s="236" t="str">
        <f t="shared" si="3749"/>
        <v/>
      </c>
      <c r="IZ248" s="236" t="str">
        <f t="shared" si="3749"/>
        <v/>
      </c>
      <c r="JA248" s="236" t="str">
        <f t="shared" si="3749"/>
        <v/>
      </c>
      <c r="JB248" s="236" t="str">
        <f t="shared" si="3749"/>
        <v/>
      </c>
      <c r="JC248" s="236" t="str">
        <f t="shared" si="3749"/>
        <v/>
      </c>
      <c r="JD248" s="236" t="str">
        <f t="shared" si="3749"/>
        <v/>
      </c>
      <c r="JE248" s="236" t="str">
        <f t="shared" si="3749"/>
        <v/>
      </c>
      <c r="JF248" s="236" t="str">
        <f t="shared" si="3749"/>
        <v/>
      </c>
      <c r="JG248" s="236" t="str">
        <f t="shared" si="3749"/>
        <v/>
      </c>
      <c r="JH248" s="236" t="str">
        <f t="shared" si="3749"/>
        <v/>
      </c>
      <c r="JI248" s="236" t="str">
        <f t="shared" si="3749"/>
        <v/>
      </c>
      <c r="JJ248" s="236" t="str">
        <f t="shared" si="3749"/>
        <v/>
      </c>
      <c r="JK248" s="236" t="str">
        <f t="shared" si="3749"/>
        <v/>
      </c>
      <c r="JL248" s="236" t="str">
        <f t="shared" si="3749"/>
        <v/>
      </c>
      <c r="JM248" s="236" t="str">
        <f t="shared" si="3749"/>
        <v/>
      </c>
      <c r="JN248" s="236" t="str">
        <f t="shared" si="3749"/>
        <v/>
      </c>
      <c r="JO248" s="236" t="str">
        <f t="shared" si="3749"/>
        <v/>
      </c>
      <c r="JP248" s="236" t="str">
        <f t="shared" si="3749"/>
        <v/>
      </c>
      <c r="JQ248" s="236" t="str">
        <f t="shared" si="3749"/>
        <v/>
      </c>
      <c r="JR248" s="236" t="str">
        <f t="shared" si="3749"/>
        <v/>
      </c>
      <c r="JS248" s="236" t="str">
        <f t="shared" si="3749"/>
        <v/>
      </c>
      <c r="JT248" s="236" t="str">
        <f t="shared" si="3749"/>
        <v/>
      </c>
      <c r="JU248" s="236" t="str">
        <f t="shared" si="3749"/>
        <v/>
      </c>
      <c r="JV248" s="236" t="str">
        <f t="shared" si="3749"/>
        <v/>
      </c>
      <c r="JW248" s="236" t="str">
        <f t="shared" si="3749"/>
        <v/>
      </c>
      <c r="JX248" s="236" t="str">
        <f t="shared" si="3749"/>
        <v/>
      </c>
      <c r="JY248" s="236" t="str">
        <f t="shared" si="3749"/>
        <v/>
      </c>
      <c r="JZ248" s="236" t="str">
        <f t="shared" si="3749"/>
        <v/>
      </c>
      <c r="KA248" s="236" t="str">
        <f t="shared" si="3749"/>
        <v/>
      </c>
      <c r="KB248" s="236" t="str">
        <f t="shared" ref="KB248:KE248" si="3750">IF(KB241="","",-KB244+KB245+KB246)</f>
        <v/>
      </c>
      <c r="KC248" s="236" t="str">
        <f t="shared" si="3750"/>
        <v/>
      </c>
      <c r="KD248" s="236" t="str">
        <f t="shared" si="3750"/>
        <v/>
      </c>
      <c r="KE248" s="236" t="str">
        <f t="shared" si="3750"/>
        <v/>
      </c>
      <c r="KF248" s="200" t="s">
        <v>269</v>
      </c>
      <c r="PQ248" s="201"/>
      <c r="PR248" s="201"/>
      <c r="PS248" s="201"/>
      <c r="PT248" s="201"/>
      <c r="PU248" s="201"/>
      <c r="PV248" s="201"/>
      <c r="PW248" s="201"/>
      <c r="PX248" s="201"/>
      <c r="PY248" s="201"/>
      <c r="PZ248" s="201"/>
      <c r="QA248" s="201"/>
      <c r="QB248" s="201"/>
      <c r="QC248" s="201"/>
      <c r="QD248" s="201"/>
      <c r="QE248" s="201"/>
      <c r="QF248" s="201"/>
      <c r="QG248" s="201"/>
      <c r="QH248" s="201"/>
      <c r="QI248" s="201"/>
      <c r="QJ248" s="201"/>
      <c r="QK248" s="201"/>
      <c r="QL248" s="201"/>
      <c r="QM248" s="201"/>
      <c r="QN248" s="201"/>
      <c r="QO248" s="201"/>
      <c r="QP248" s="201"/>
      <c r="QQ248" s="201"/>
      <c r="QR248" s="201"/>
      <c r="QS248" s="201"/>
      <c r="QT248" s="201"/>
      <c r="QU248" s="201"/>
      <c r="QV248" s="201"/>
      <c r="QW248" s="201"/>
      <c r="QX248" s="201"/>
      <c r="QY248" s="201"/>
      <c r="QZ248" s="201"/>
      <c r="RA248" s="201"/>
      <c r="RB248" s="201"/>
      <c r="RC248" s="201"/>
      <c r="RD248" s="201"/>
      <c r="RE248" s="201"/>
      <c r="RF248" s="201"/>
      <c r="RG248" s="201"/>
      <c r="RH248" s="201"/>
      <c r="RI248" s="201"/>
      <c r="RJ248" s="201"/>
      <c r="RK248" s="201"/>
      <c r="RL248" s="201"/>
      <c r="RM248" s="201"/>
      <c r="RN248" s="201"/>
      <c r="RO248" s="201"/>
      <c r="RP248" s="201"/>
      <c r="RQ248" s="201"/>
      <c r="RR248" s="201"/>
      <c r="RS248" s="201"/>
      <c r="RT248" s="201"/>
      <c r="RU248" s="201"/>
      <c r="RV248" s="201"/>
      <c r="RW248" s="201"/>
      <c r="RX248" s="201"/>
      <c r="RY248" s="201"/>
      <c r="RZ248" s="201"/>
      <c r="SA248" s="201"/>
      <c r="SB248" s="201"/>
      <c r="SC248" s="201"/>
      <c r="SD248" s="201"/>
      <c r="SE248" s="201"/>
      <c r="SF248" s="201"/>
      <c r="SG248" s="201"/>
      <c r="SH248" s="201"/>
      <c r="SI248" s="201"/>
      <c r="SJ248" s="201"/>
      <c r="SK248" s="201"/>
      <c r="SL248" s="201"/>
      <c r="SM248" s="201"/>
      <c r="SN248" s="201"/>
      <c r="SO248" s="201"/>
      <c r="SP248" s="201"/>
      <c r="SQ248" s="201"/>
      <c r="SR248" s="201"/>
      <c r="SS248" s="201"/>
      <c r="ST248" s="201"/>
      <c r="SU248" s="201"/>
      <c r="SV248" s="201"/>
      <c r="SW248" s="201"/>
      <c r="SX248" s="201"/>
      <c r="SY248" s="201"/>
      <c r="SZ248" s="201"/>
      <c r="TA248" s="201"/>
      <c r="TB248" s="201"/>
      <c r="TC248" s="201"/>
      <c r="TD248" s="201"/>
      <c r="TE248" s="201"/>
      <c r="TF248" s="201"/>
      <c r="TG248" s="201"/>
      <c r="TH248" s="201"/>
      <c r="TI248" s="201"/>
      <c r="TJ248" s="201"/>
      <c r="TK248" s="201"/>
      <c r="TL248" s="201"/>
      <c r="TM248" s="201"/>
      <c r="TN248" s="201"/>
      <c r="TO248" s="201"/>
      <c r="TP248" s="201"/>
      <c r="TQ248" s="201"/>
      <c r="TR248" s="201"/>
      <c r="TS248" s="201"/>
      <c r="TT248" s="201"/>
      <c r="TU248" s="201"/>
      <c r="TV248" s="201"/>
      <c r="TW248" s="201"/>
      <c r="TX248" s="201"/>
      <c r="TY248" s="201"/>
      <c r="TZ248" s="201"/>
      <c r="UA248" s="201"/>
      <c r="UB248" s="201"/>
      <c r="UC248" s="201"/>
      <c r="UD248" s="201"/>
      <c r="UE248" s="201"/>
      <c r="UF248" s="201"/>
      <c r="UG248" s="201"/>
      <c r="UH248" s="201"/>
      <c r="UI248" s="201"/>
      <c r="UJ248" s="201"/>
      <c r="UK248" s="201"/>
      <c r="UL248" s="201"/>
      <c r="UM248" s="201"/>
      <c r="UN248" s="201"/>
      <c r="UO248" s="201"/>
      <c r="UP248" s="201"/>
      <c r="UQ248" s="201"/>
      <c r="UR248" s="201"/>
      <c r="US248" s="201"/>
      <c r="UT248" s="201"/>
      <c r="UU248" s="201"/>
    </row>
    <row r="249" spans="1:567" x14ac:dyDescent="0.25">
      <c r="B249" s="18" t="s">
        <v>592</v>
      </c>
      <c r="C249" s="38"/>
      <c r="D249" s="18"/>
      <c r="E249" s="18"/>
      <c r="F249" s="18"/>
      <c r="G249" s="26"/>
      <c r="H249" s="26"/>
      <c r="I249" s="34"/>
      <c r="J249" s="57">
        <f ca="1">K249/$K$251</f>
        <v>2.8625521011904485E-2</v>
      </c>
      <c r="K249" s="34">
        <f ca="1">SUM(L249:ES249)</f>
        <v>1250270.9250000017</v>
      </c>
      <c r="R249" s="159" t="s">
        <v>366</v>
      </c>
      <c r="S249" s="92">
        <f t="shared" ref="S249:AX249" ca="1" si="3751">IF(S229="","",FC208)</f>
        <v>628125</v>
      </c>
      <c r="T249" s="92">
        <f t="shared" ca="1" si="3751"/>
        <v>17281.831249999999</v>
      </c>
      <c r="U249" s="92">
        <f t="shared" ca="1" si="3751"/>
        <v>17281.831249999999</v>
      </c>
      <c r="V249" s="92">
        <f t="shared" ca="1" si="3751"/>
        <v>17281.831249999999</v>
      </c>
      <c r="W249" s="92">
        <f t="shared" ca="1" si="3751"/>
        <v>17281.831249999999</v>
      </c>
      <c r="X249" s="92">
        <f t="shared" ca="1" si="3751"/>
        <v>17281.831249999999</v>
      </c>
      <c r="Y249" s="92">
        <f t="shared" ca="1" si="3751"/>
        <v>17281.831249999999</v>
      </c>
      <c r="Z249" s="92">
        <f t="shared" ca="1" si="3751"/>
        <v>17281.831249999999</v>
      </c>
      <c r="AA249" s="92">
        <f t="shared" ca="1" si="3751"/>
        <v>17281.831249999999</v>
      </c>
      <c r="AB249" s="92">
        <f t="shared" ca="1" si="3751"/>
        <v>17281.831249999999</v>
      </c>
      <c r="AC249" s="92">
        <f t="shared" ca="1" si="3751"/>
        <v>17281.831249999999</v>
      </c>
      <c r="AD249" s="92">
        <f t="shared" ca="1" si="3751"/>
        <v>17281.831249999999</v>
      </c>
      <c r="AE249" s="92">
        <f t="shared" ca="1" si="3751"/>
        <v>17281.831249999999</v>
      </c>
      <c r="AF249" s="92">
        <f t="shared" ca="1" si="3751"/>
        <v>17281.831249999999</v>
      </c>
      <c r="AG249" s="92">
        <f t="shared" ca="1" si="3751"/>
        <v>17281.831249999999</v>
      </c>
      <c r="AH249" s="92">
        <f t="shared" ca="1" si="3751"/>
        <v>17281.831249999999</v>
      </c>
      <c r="AI249" s="92">
        <f t="shared" ca="1" si="3751"/>
        <v>17281.831249999999</v>
      </c>
      <c r="AJ249" s="92">
        <f t="shared" ca="1" si="3751"/>
        <v>17281.831249999999</v>
      </c>
      <c r="AK249" s="92">
        <f t="shared" ca="1" si="3751"/>
        <v>17281.831249999999</v>
      </c>
      <c r="AL249" s="92">
        <f t="shared" ca="1" si="3751"/>
        <v>17281.831249999999</v>
      </c>
      <c r="AM249" s="92">
        <f t="shared" ca="1" si="3751"/>
        <v>17281.831249999999</v>
      </c>
      <c r="AN249" s="92">
        <f t="shared" ca="1" si="3751"/>
        <v>17281.831249999999</v>
      </c>
      <c r="AO249" s="92">
        <f t="shared" ca="1" si="3751"/>
        <v>17281.831249999999</v>
      </c>
      <c r="AP249" s="92">
        <f t="shared" ca="1" si="3751"/>
        <v>17281.831249999999</v>
      </c>
      <c r="AQ249" s="92">
        <f t="shared" ca="1" si="3751"/>
        <v>17281.831249999999</v>
      </c>
      <c r="AR249" s="92">
        <f t="shared" ca="1" si="3751"/>
        <v>17281.831249999999</v>
      </c>
      <c r="AS249" s="92">
        <f t="shared" ca="1" si="3751"/>
        <v>17281.831249999999</v>
      </c>
      <c r="AT249" s="92">
        <f t="shared" ca="1" si="3751"/>
        <v>17281.831249999999</v>
      </c>
      <c r="AU249" s="92">
        <f t="shared" ca="1" si="3751"/>
        <v>17281.831249999999</v>
      </c>
      <c r="AV249" s="92">
        <f t="shared" ca="1" si="3751"/>
        <v>17281.831249999999</v>
      </c>
      <c r="AW249" s="92">
        <f t="shared" ca="1" si="3751"/>
        <v>17281.831249999999</v>
      </c>
      <c r="AX249" s="92">
        <f t="shared" ca="1" si="3751"/>
        <v>17281.831249999999</v>
      </c>
      <c r="AY249" s="92">
        <f t="shared" ref="AY249:CD249" ca="1" si="3752">IF(AY229="","",GI208)</f>
        <v>17281.831249999999</v>
      </c>
      <c r="AZ249" s="92">
        <f t="shared" ca="1" si="3752"/>
        <v>17281.831249999999</v>
      </c>
      <c r="BA249" s="92">
        <f t="shared" ca="1" si="3752"/>
        <v>17281.831249999999</v>
      </c>
      <c r="BB249" s="92">
        <f t="shared" ca="1" si="3752"/>
        <v>17281.831249999999</v>
      </c>
      <c r="BC249" s="92">
        <f t="shared" ca="1" si="3752"/>
        <v>17281.831249999999</v>
      </c>
      <c r="BD249" s="92" t="str">
        <f t="shared" si="3752"/>
        <v/>
      </c>
      <c r="BE249" s="92" t="str">
        <f t="shared" si="3752"/>
        <v/>
      </c>
      <c r="BF249" s="92" t="str">
        <f t="shared" si="3752"/>
        <v/>
      </c>
      <c r="BG249" s="92" t="str">
        <f t="shared" si="3752"/>
        <v/>
      </c>
      <c r="BH249" s="92" t="str">
        <f t="shared" si="3752"/>
        <v/>
      </c>
      <c r="BI249" s="92" t="str">
        <f t="shared" si="3752"/>
        <v/>
      </c>
      <c r="BJ249" s="92" t="str">
        <f t="shared" si="3752"/>
        <v/>
      </c>
      <c r="BK249" s="92" t="str">
        <f t="shared" si="3752"/>
        <v/>
      </c>
      <c r="BL249" s="92" t="str">
        <f t="shared" si="3752"/>
        <v/>
      </c>
      <c r="BM249" s="92" t="str">
        <f t="shared" si="3752"/>
        <v/>
      </c>
      <c r="BN249" s="92" t="str">
        <f t="shared" si="3752"/>
        <v/>
      </c>
      <c r="BO249" s="92" t="str">
        <f t="shared" si="3752"/>
        <v/>
      </c>
      <c r="BP249" s="92" t="str">
        <f t="shared" si="3752"/>
        <v/>
      </c>
      <c r="BQ249" s="92" t="str">
        <f t="shared" si="3752"/>
        <v/>
      </c>
      <c r="BR249" s="92" t="str">
        <f t="shared" si="3752"/>
        <v/>
      </c>
      <c r="BS249" s="92" t="str">
        <f t="shared" si="3752"/>
        <v/>
      </c>
      <c r="BT249" s="92" t="str">
        <f t="shared" si="3752"/>
        <v/>
      </c>
      <c r="BU249" s="92" t="str">
        <f t="shared" si="3752"/>
        <v/>
      </c>
      <c r="BV249" s="92" t="str">
        <f t="shared" si="3752"/>
        <v/>
      </c>
      <c r="BW249" s="92" t="str">
        <f t="shared" si="3752"/>
        <v/>
      </c>
      <c r="BX249" s="92" t="str">
        <f t="shared" si="3752"/>
        <v/>
      </c>
      <c r="BY249" s="92" t="str">
        <f t="shared" si="3752"/>
        <v/>
      </c>
      <c r="BZ249" s="92" t="str">
        <f t="shared" si="3752"/>
        <v/>
      </c>
      <c r="CA249" s="92" t="str">
        <f t="shared" si="3752"/>
        <v/>
      </c>
      <c r="CB249" s="92" t="str">
        <f t="shared" si="3752"/>
        <v/>
      </c>
      <c r="CC249" s="92" t="str">
        <f t="shared" si="3752"/>
        <v/>
      </c>
      <c r="CD249" s="92" t="str">
        <f t="shared" si="3752"/>
        <v/>
      </c>
      <c r="CE249" s="92" t="str">
        <f t="shared" ref="CE249:DJ249" si="3753">IF(CE229="","",HO208)</f>
        <v/>
      </c>
      <c r="CF249" s="92" t="str">
        <f t="shared" si="3753"/>
        <v/>
      </c>
      <c r="CG249" s="92" t="str">
        <f t="shared" si="3753"/>
        <v/>
      </c>
      <c r="CH249" s="92" t="str">
        <f t="shared" si="3753"/>
        <v/>
      </c>
      <c r="CI249" s="92" t="str">
        <f t="shared" si="3753"/>
        <v/>
      </c>
      <c r="CJ249" s="92" t="str">
        <f t="shared" si="3753"/>
        <v/>
      </c>
      <c r="CK249" s="92" t="str">
        <f t="shared" si="3753"/>
        <v/>
      </c>
      <c r="CL249" s="92" t="str">
        <f t="shared" si="3753"/>
        <v/>
      </c>
      <c r="CM249" s="92" t="str">
        <f t="shared" si="3753"/>
        <v/>
      </c>
      <c r="CN249" s="92" t="str">
        <f t="shared" si="3753"/>
        <v/>
      </c>
      <c r="CO249" s="92" t="str">
        <f t="shared" si="3753"/>
        <v/>
      </c>
      <c r="CP249" s="92" t="str">
        <f t="shared" si="3753"/>
        <v/>
      </c>
      <c r="CQ249" s="92" t="str">
        <f t="shared" si="3753"/>
        <v/>
      </c>
      <c r="CR249" s="92" t="str">
        <f t="shared" si="3753"/>
        <v/>
      </c>
      <c r="CS249" s="92" t="str">
        <f t="shared" si="3753"/>
        <v/>
      </c>
      <c r="CT249" s="92" t="str">
        <f t="shared" si="3753"/>
        <v/>
      </c>
      <c r="CU249" s="92" t="str">
        <f t="shared" si="3753"/>
        <v/>
      </c>
      <c r="CV249" s="92" t="str">
        <f t="shared" si="3753"/>
        <v/>
      </c>
      <c r="CW249" s="92" t="str">
        <f t="shared" si="3753"/>
        <v/>
      </c>
      <c r="CX249" s="92" t="str">
        <f t="shared" si="3753"/>
        <v/>
      </c>
      <c r="CY249" s="92" t="str">
        <f t="shared" si="3753"/>
        <v/>
      </c>
      <c r="CZ249" s="92" t="str">
        <f t="shared" si="3753"/>
        <v/>
      </c>
      <c r="DA249" s="92" t="str">
        <f t="shared" si="3753"/>
        <v/>
      </c>
      <c r="DB249" s="92" t="str">
        <f t="shared" si="3753"/>
        <v/>
      </c>
      <c r="DC249" s="92" t="str">
        <f t="shared" si="3753"/>
        <v/>
      </c>
      <c r="DD249" s="92" t="str">
        <f t="shared" si="3753"/>
        <v/>
      </c>
      <c r="DE249" s="92" t="str">
        <f t="shared" si="3753"/>
        <v/>
      </c>
      <c r="DF249" s="92" t="str">
        <f t="shared" si="3753"/>
        <v/>
      </c>
      <c r="DG249" s="92" t="str">
        <f t="shared" si="3753"/>
        <v/>
      </c>
      <c r="DH249" s="92" t="str">
        <f t="shared" si="3753"/>
        <v/>
      </c>
      <c r="DI249" s="92" t="str">
        <f t="shared" si="3753"/>
        <v/>
      </c>
      <c r="DJ249" s="92" t="str">
        <f t="shared" si="3753"/>
        <v/>
      </c>
      <c r="DK249" s="92" t="str">
        <f t="shared" ref="DK249:EP249" si="3754">IF(DK229="","",IU208)</f>
        <v/>
      </c>
      <c r="DL249" s="92" t="str">
        <f t="shared" si="3754"/>
        <v/>
      </c>
      <c r="DM249" s="92" t="str">
        <f t="shared" si="3754"/>
        <v/>
      </c>
      <c r="DN249" s="92" t="str">
        <f t="shared" si="3754"/>
        <v/>
      </c>
      <c r="DO249" s="92" t="str">
        <f t="shared" si="3754"/>
        <v/>
      </c>
      <c r="DP249" s="92" t="str">
        <f t="shared" si="3754"/>
        <v/>
      </c>
      <c r="DQ249" s="92" t="str">
        <f t="shared" si="3754"/>
        <v/>
      </c>
      <c r="DR249" s="92" t="str">
        <f t="shared" si="3754"/>
        <v/>
      </c>
      <c r="DS249" s="92" t="str">
        <f t="shared" si="3754"/>
        <v/>
      </c>
      <c r="DT249" s="92" t="str">
        <f t="shared" si="3754"/>
        <v/>
      </c>
      <c r="DU249" s="92" t="str">
        <f t="shared" si="3754"/>
        <v/>
      </c>
      <c r="DV249" s="92" t="str">
        <f t="shared" si="3754"/>
        <v/>
      </c>
      <c r="DW249" s="92" t="str">
        <f t="shared" si="3754"/>
        <v/>
      </c>
      <c r="DX249" s="92" t="str">
        <f t="shared" si="3754"/>
        <v/>
      </c>
      <c r="DY249" s="92" t="str">
        <f t="shared" si="3754"/>
        <v/>
      </c>
      <c r="DZ249" s="92" t="str">
        <f t="shared" si="3754"/>
        <v/>
      </c>
      <c r="EA249" s="92" t="str">
        <f t="shared" si="3754"/>
        <v/>
      </c>
      <c r="EB249" s="92" t="str">
        <f t="shared" si="3754"/>
        <v/>
      </c>
      <c r="EC249" s="92" t="str">
        <f t="shared" si="3754"/>
        <v/>
      </c>
      <c r="ED249" s="92" t="str">
        <f t="shared" si="3754"/>
        <v/>
      </c>
      <c r="EE249" s="92" t="str">
        <f t="shared" si="3754"/>
        <v/>
      </c>
      <c r="EF249" s="92" t="str">
        <f t="shared" si="3754"/>
        <v/>
      </c>
      <c r="EG249" s="92" t="str">
        <f t="shared" si="3754"/>
        <v/>
      </c>
      <c r="EH249" s="92" t="str">
        <f t="shared" si="3754"/>
        <v/>
      </c>
      <c r="EI249" s="92" t="str">
        <f t="shared" si="3754"/>
        <v/>
      </c>
      <c r="EJ249" s="92" t="str">
        <f t="shared" si="3754"/>
        <v/>
      </c>
      <c r="EK249" s="92" t="str">
        <f t="shared" si="3754"/>
        <v/>
      </c>
      <c r="EL249" s="92" t="str">
        <f t="shared" si="3754"/>
        <v/>
      </c>
      <c r="EM249" s="92" t="str">
        <f t="shared" si="3754"/>
        <v/>
      </c>
      <c r="EN249" s="92" t="str">
        <f t="shared" si="3754"/>
        <v/>
      </c>
      <c r="EO249" s="92" t="str">
        <f t="shared" si="3754"/>
        <v/>
      </c>
      <c r="EP249" s="92" t="str">
        <f t="shared" si="3754"/>
        <v/>
      </c>
      <c r="EQ249" s="92" t="str">
        <f t="shared" ref="EQ249:EU249" si="3755">IF(EQ229="","",KA208)</f>
        <v/>
      </c>
      <c r="ER249" s="92" t="str">
        <f t="shared" si="3755"/>
        <v/>
      </c>
      <c r="ES249" s="92" t="str">
        <f t="shared" si="3755"/>
        <v/>
      </c>
      <c r="ET249" s="92" t="str">
        <f t="shared" si="3755"/>
        <v/>
      </c>
      <c r="EU249" s="92" t="str">
        <f t="shared" si="3755"/>
        <v/>
      </c>
      <c r="EW249" s="201"/>
      <c r="EX249" s="201"/>
      <c r="EY249" s="228"/>
      <c r="EZ249" s="228"/>
      <c r="FA249" s="236"/>
      <c r="FB249" s="237"/>
      <c r="FC249" s="236"/>
      <c r="FD249" s="236"/>
      <c r="FE249" s="236"/>
      <c r="FF249" s="236"/>
      <c r="FG249" s="236"/>
      <c r="FH249" s="236"/>
      <c r="FI249" s="236"/>
      <c r="FJ249" s="236"/>
      <c r="FK249" s="236"/>
      <c r="FL249" s="236"/>
      <c r="FM249" s="236"/>
      <c r="FN249" s="236"/>
      <c r="FO249" s="236"/>
      <c r="FP249" s="236"/>
      <c r="FQ249" s="236"/>
      <c r="FR249" s="236"/>
      <c r="FS249" s="236"/>
      <c r="FT249" s="236"/>
      <c r="FU249" s="236"/>
      <c r="FV249" s="236"/>
      <c r="FW249" s="236"/>
      <c r="FX249" s="236"/>
      <c r="FY249" s="236"/>
      <c r="FZ249" s="236"/>
      <c r="GA249" s="236"/>
      <c r="GB249" s="236"/>
      <c r="GC249" s="236"/>
      <c r="GD249" s="236"/>
      <c r="GE249" s="236"/>
      <c r="GF249" s="236"/>
      <c r="GG249" s="236"/>
      <c r="GH249" s="236"/>
      <c r="GI249" s="236"/>
      <c r="GJ249" s="236"/>
      <c r="GK249" s="236"/>
      <c r="GL249" s="236"/>
      <c r="GM249" s="236"/>
      <c r="GN249" s="236"/>
      <c r="GO249" s="236"/>
      <c r="GP249" s="236"/>
      <c r="GQ249" s="236"/>
      <c r="GR249" s="236"/>
      <c r="GS249" s="236"/>
      <c r="GT249" s="236"/>
      <c r="GU249" s="236"/>
      <c r="GV249" s="236"/>
      <c r="GW249" s="236"/>
      <c r="GX249" s="236"/>
      <c r="GY249" s="236"/>
      <c r="GZ249" s="236"/>
      <c r="HA249" s="236"/>
      <c r="HB249" s="236"/>
      <c r="HC249" s="236"/>
      <c r="HD249" s="236"/>
      <c r="HE249" s="236"/>
      <c r="HF249" s="236"/>
      <c r="HG249" s="236"/>
      <c r="HH249" s="236"/>
      <c r="HI249" s="236"/>
      <c r="HJ249" s="236"/>
      <c r="HK249" s="236"/>
      <c r="HL249" s="236"/>
      <c r="HM249" s="236"/>
      <c r="HN249" s="236"/>
      <c r="HO249" s="236"/>
      <c r="HP249" s="236"/>
      <c r="HQ249" s="236"/>
      <c r="HR249" s="236"/>
      <c r="HS249" s="236"/>
      <c r="HT249" s="236"/>
      <c r="HU249" s="236"/>
      <c r="HV249" s="236"/>
      <c r="HW249" s="236"/>
      <c r="HX249" s="236"/>
      <c r="HY249" s="236"/>
      <c r="HZ249" s="236"/>
      <c r="IA249" s="236"/>
      <c r="IB249" s="236"/>
      <c r="IC249" s="236"/>
      <c r="ID249" s="236"/>
      <c r="IE249" s="236"/>
      <c r="IF249" s="236"/>
      <c r="IG249" s="236"/>
      <c r="IH249" s="236"/>
      <c r="II249" s="236"/>
      <c r="IJ249" s="236"/>
      <c r="IK249" s="236"/>
      <c r="IL249" s="236"/>
      <c r="IM249" s="236"/>
      <c r="IN249" s="236"/>
      <c r="IO249" s="236"/>
      <c r="IP249" s="236"/>
      <c r="IQ249" s="236"/>
      <c r="IR249" s="236"/>
      <c r="IS249" s="236"/>
      <c r="IT249" s="236"/>
      <c r="IU249" s="236"/>
      <c r="IV249" s="236"/>
      <c r="IW249" s="236"/>
      <c r="IX249" s="236"/>
      <c r="IY249" s="236"/>
      <c r="IZ249" s="236"/>
      <c r="JA249" s="236"/>
      <c r="JB249" s="236"/>
      <c r="JC249" s="236"/>
      <c r="JD249" s="236"/>
      <c r="JE249" s="236"/>
      <c r="JF249" s="236"/>
      <c r="JG249" s="236"/>
      <c r="JH249" s="236"/>
      <c r="JI249" s="236"/>
      <c r="JJ249" s="236"/>
      <c r="JK249" s="236"/>
      <c r="JL249" s="236"/>
      <c r="JM249" s="236"/>
      <c r="JN249" s="236"/>
      <c r="JO249" s="236"/>
      <c r="JP249" s="236"/>
      <c r="JQ249" s="236"/>
      <c r="JR249" s="236"/>
      <c r="JS249" s="236"/>
      <c r="JT249" s="236"/>
      <c r="JU249" s="236"/>
      <c r="JV249" s="236"/>
      <c r="JW249" s="236"/>
      <c r="JX249" s="236"/>
      <c r="JY249" s="236"/>
      <c r="JZ249" s="236"/>
      <c r="KA249" s="236"/>
      <c r="KB249" s="236"/>
      <c r="KC249" s="236"/>
      <c r="KD249" s="236"/>
      <c r="KE249" s="236"/>
      <c r="PQ249" s="201"/>
      <c r="PR249" s="201"/>
      <c r="PS249" s="201"/>
      <c r="PT249" s="201"/>
      <c r="PU249" s="201"/>
      <c r="PV249" s="201"/>
      <c r="PW249" s="201"/>
      <c r="PX249" s="201"/>
      <c r="PY249" s="201"/>
      <c r="PZ249" s="201"/>
      <c r="QA249" s="201"/>
      <c r="QB249" s="201"/>
      <c r="QC249" s="201"/>
      <c r="QD249" s="201"/>
      <c r="QE249" s="201"/>
      <c r="QF249" s="201"/>
      <c r="QG249" s="201"/>
      <c r="QH249" s="201"/>
      <c r="QI249" s="201"/>
      <c r="QJ249" s="201"/>
      <c r="QK249" s="201"/>
      <c r="QL249" s="201"/>
      <c r="QM249" s="201"/>
      <c r="QN249" s="201"/>
      <c r="QO249" s="201"/>
      <c r="QP249" s="201"/>
      <c r="QQ249" s="201"/>
      <c r="QR249" s="201"/>
      <c r="QS249" s="201"/>
      <c r="QT249" s="201"/>
      <c r="QU249" s="201"/>
      <c r="QV249" s="201"/>
      <c r="QW249" s="201"/>
      <c r="QX249" s="201"/>
      <c r="QY249" s="201"/>
      <c r="QZ249" s="201"/>
      <c r="RA249" s="201"/>
      <c r="RB249" s="201"/>
      <c r="RC249" s="201"/>
      <c r="RD249" s="201"/>
      <c r="RE249" s="201"/>
      <c r="RF249" s="201"/>
      <c r="RG249" s="201"/>
      <c r="RH249" s="201"/>
      <c r="RI249" s="201"/>
      <c r="RJ249" s="201"/>
      <c r="RK249" s="201"/>
      <c r="RL249" s="201"/>
      <c r="RM249" s="201"/>
      <c r="RN249" s="201"/>
      <c r="RO249" s="201"/>
      <c r="RP249" s="201"/>
      <c r="RQ249" s="201"/>
      <c r="RR249" s="201"/>
      <c r="RS249" s="201"/>
      <c r="RT249" s="201"/>
      <c r="RU249" s="201"/>
      <c r="RV249" s="201"/>
      <c r="RW249" s="201"/>
      <c r="RX249" s="201"/>
      <c r="RY249" s="201"/>
      <c r="RZ249" s="201"/>
      <c r="SA249" s="201"/>
      <c r="SB249" s="201"/>
      <c r="SC249" s="201"/>
      <c r="SD249" s="201"/>
      <c r="SE249" s="201"/>
      <c r="SF249" s="201"/>
      <c r="SG249" s="201"/>
      <c r="SH249" s="201"/>
      <c r="SI249" s="201"/>
      <c r="SJ249" s="201"/>
      <c r="SK249" s="201"/>
      <c r="SL249" s="201"/>
      <c r="SM249" s="201"/>
      <c r="SN249" s="201"/>
      <c r="SO249" s="201"/>
      <c r="SP249" s="201"/>
      <c r="SQ249" s="201"/>
      <c r="SR249" s="201"/>
      <c r="SS249" s="201"/>
      <c r="ST249" s="201"/>
      <c r="SU249" s="201"/>
      <c r="SV249" s="201"/>
      <c r="SW249" s="201"/>
      <c r="SX249" s="201"/>
      <c r="SY249" s="201"/>
      <c r="SZ249" s="201"/>
      <c r="TA249" s="201"/>
      <c r="TB249" s="201"/>
      <c r="TC249" s="201"/>
      <c r="TD249" s="201"/>
      <c r="TE249" s="201"/>
      <c r="TF249" s="201"/>
      <c r="TG249" s="201"/>
      <c r="TH249" s="201"/>
      <c r="TI249" s="201"/>
      <c r="TJ249" s="201"/>
      <c r="TK249" s="201"/>
      <c r="TL249" s="201"/>
      <c r="TM249" s="201"/>
      <c r="TN249" s="201"/>
      <c r="TO249" s="201"/>
      <c r="TP249" s="201"/>
      <c r="TQ249" s="201"/>
      <c r="TR249" s="201"/>
      <c r="TS249" s="201"/>
      <c r="TT249" s="201"/>
      <c r="TU249" s="201"/>
      <c r="TV249" s="201"/>
      <c r="TW249" s="201"/>
      <c r="TX249" s="201"/>
      <c r="TY249" s="201"/>
      <c r="TZ249" s="201"/>
      <c r="UA249" s="201"/>
      <c r="UB249" s="201"/>
      <c r="UC249" s="201"/>
      <c r="UD249" s="201"/>
      <c r="UE249" s="201"/>
      <c r="UF249" s="201"/>
      <c r="UG249" s="201"/>
      <c r="UH249" s="201"/>
      <c r="UI249" s="201"/>
      <c r="UJ249" s="201"/>
      <c r="UK249" s="201"/>
      <c r="UL249" s="201"/>
      <c r="UM249" s="201"/>
      <c r="UN249" s="201"/>
      <c r="UO249" s="201"/>
      <c r="UP249" s="201"/>
      <c r="UQ249" s="201"/>
      <c r="UR249" s="201"/>
      <c r="US249" s="201"/>
      <c r="UT249" s="201"/>
      <c r="UU249" s="201"/>
    </row>
    <row r="250" spans="1:567" ht="15" x14ac:dyDescent="0.35">
      <c r="B250" s="28" t="s">
        <v>240</v>
      </c>
      <c r="C250" s="38" t="str">
        <f>C238</f>
        <v>[Limited Partner Name]</v>
      </c>
      <c r="D250" s="18"/>
      <c r="E250" s="18"/>
      <c r="F250" s="18"/>
      <c r="G250" s="26"/>
      <c r="H250" s="26"/>
      <c r="I250" s="34"/>
      <c r="J250" s="58">
        <f ca="1">K250/$K$251</f>
        <v>0.90232583329638705</v>
      </c>
      <c r="K250" s="36">
        <f ca="1">SUM(L250:ES250)</f>
        <v>39410697.670016453</v>
      </c>
      <c r="R250" s="159" t="s">
        <v>376</v>
      </c>
      <c r="S250" s="96">
        <f t="shared" ref="S250:AX250" ca="1" si="3756">IF(S229="","",FC216+FC234+FC246+FC255)</f>
        <v>0</v>
      </c>
      <c r="T250" s="96">
        <f t="shared" ca="1" si="3756"/>
        <v>64193.545344640232</v>
      </c>
      <c r="U250" s="96">
        <f t="shared" ca="1" si="3756"/>
        <v>69209.919521123942</v>
      </c>
      <c r="V250" s="96">
        <f t="shared" ca="1" si="3756"/>
        <v>71875.505451649064</v>
      </c>
      <c r="W250" s="96">
        <f t="shared" ca="1" si="3756"/>
        <v>75074.811065685659</v>
      </c>
      <c r="X250" s="96">
        <f t="shared" ca="1" si="3756"/>
        <v>79073.861644687073</v>
      </c>
      <c r="Y250" s="96">
        <f t="shared" ca="1" si="3756"/>
        <v>81810.263880953775</v>
      </c>
      <c r="Z250" s="96">
        <f t="shared" ca="1" si="3756"/>
        <v>84679.072939027479</v>
      </c>
      <c r="AA250" s="96">
        <f t="shared" ca="1" si="3756"/>
        <v>87767.376966053474</v>
      </c>
      <c r="AB250" s="96">
        <f t="shared" ca="1" si="3756"/>
        <v>90577.989745387778</v>
      </c>
      <c r="AC250" s="96">
        <f t="shared" ca="1" si="3756"/>
        <v>93366.728026650264</v>
      </c>
      <c r="AD250" s="96">
        <f t="shared" ca="1" si="3756"/>
        <v>96145.131531202889</v>
      </c>
      <c r="AE250" s="96">
        <f t="shared" ca="1" si="3756"/>
        <v>98906.17920153201</v>
      </c>
      <c r="AF250" s="96">
        <f t="shared" ca="1" si="3756"/>
        <v>102250.84809683112</v>
      </c>
      <c r="AG250" s="96">
        <f t="shared" ca="1" si="3756"/>
        <v>105557.97441496754</v>
      </c>
      <c r="AH250" s="96">
        <f t="shared" ca="1" si="3756"/>
        <v>108913.84855301135</v>
      </c>
      <c r="AI250" s="96">
        <f t="shared" ca="1" si="3756"/>
        <v>112294.55407380906</v>
      </c>
      <c r="AJ250" s="96">
        <f t="shared" ca="1" si="3756"/>
        <v>115698.19143963765</v>
      </c>
      <c r="AK250" s="96">
        <f t="shared" ca="1" si="3756"/>
        <v>119131.44676726894</v>
      </c>
      <c r="AL250" s="96">
        <f t="shared" ca="1" si="3756"/>
        <v>122582.52127798316</v>
      </c>
      <c r="AM250" s="96">
        <f t="shared" ca="1" si="3756"/>
        <v>126085.87521365</v>
      </c>
      <c r="AN250" s="96">
        <f t="shared" ca="1" si="3756"/>
        <v>129614.36110943968</v>
      </c>
      <c r="AO250" s="96">
        <f t="shared" ca="1" si="3756"/>
        <v>133166.03204958726</v>
      </c>
      <c r="AP250" s="96">
        <f t="shared" ca="1" si="3756"/>
        <v>136746.12364481442</v>
      </c>
      <c r="AQ250" s="96">
        <f t="shared" ca="1" si="3756"/>
        <v>141358.69372411101</v>
      </c>
      <c r="AR250" s="96">
        <f t="shared" ca="1" si="3756"/>
        <v>162082.24355864993</v>
      </c>
      <c r="AS250" s="96">
        <f t="shared" ca="1" si="3756"/>
        <v>162482.28742709145</v>
      </c>
      <c r="AT250" s="96">
        <f t="shared" ca="1" si="3756"/>
        <v>162926.22123469072</v>
      </c>
      <c r="AU250" s="96">
        <f t="shared" ca="1" si="3756"/>
        <v>163340.82501846968</v>
      </c>
      <c r="AV250" s="96">
        <f t="shared" ca="1" si="3756"/>
        <v>163795.05644763168</v>
      </c>
      <c r="AW250" s="96">
        <f t="shared" ca="1" si="3756"/>
        <v>164261.00853374792</v>
      </c>
      <c r="AX250" s="96">
        <f t="shared" ca="1" si="3756"/>
        <v>164734.41584006106</v>
      </c>
      <c r="AY250" s="96">
        <f t="shared" ref="AY250:CD250" ca="1" si="3757">IF(AY229="","",GI216+GI234+GI246+GI255)</f>
        <v>165233.66941712948</v>
      </c>
      <c r="AZ250" s="96">
        <f t="shared" ca="1" si="3757"/>
        <v>165716.74304000766</v>
      </c>
      <c r="BA250" s="96">
        <f t="shared" ca="1" si="3757"/>
        <v>166251.93770102577</v>
      </c>
      <c r="BB250" s="96">
        <f t="shared" ca="1" si="3757"/>
        <v>166793.28693086779</v>
      </c>
      <c r="BC250" s="96">
        <f t="shared" ca="1" si="3757"/>
        <v>35156999.119183376</v>
      </c>
      <c r="BD250" s="96" t="str">
        <f t="shared" si="3757"/>
        <v/>
      </c>
      <c r="BE250" s="96" t="str">
        <f t="shared" si="3757"/>
        <v/>
      </c>
      <c r="BF250" s="96" t="str">
        <f t="shared" si="3757"/>
        <v/>
      </c>
      <c r="BG250" s="96" t="str">
        <f t="shared" si="3757"/>
        <v/>
      </c>
      <c r="BH250" s="96" t="str">
        <f t="shared" si="3757"/>
        <v/>
      </c>
      <c r="BI250" s="96" t="str">
        <f t="shared" si="3757"/>
        <v/>
      </c>
      <c r="BJ250" s="96" t="str">
        <f t="shared" si="3757"/>
        <v/>
      </c>
      <c r="BK250" s="96" t="str">
        <f t="shared" si="3757"/>
        <v/>
      </c>
      <c r="BL250" s="96" t="str">
        <f t="shared" si="3757"/>
        <v/>
      </c>
      <c r="BM250" s="96" t="str">
        <f t="shared" si="3757"/>
        <v/>
      </c>
      <c r="BN250" s="96" t="str">
        <f t="shared" si="3757"/>
        <v/>
      </c>
      <c r="BO250" s="96" t="str">
        <f t="shared" si="3757"/>
        <v/>
      </c>
      <c r="BP250" s="96" t="str">
        <f t="shared" si="3757"/>
        <v/>
      </c>
      <c r="BQ250" s="96" t="str">
        <f t="shared" si="3757"/>
        <v/>
      </c>
      <c r="BR250" s="96" t="str">
        <f t="shared" si="3757"/>
        <v/>
      </c>
      <c r="BS250" s="96" t="str">
        <f t="shared" si="3757"/>
        <v/>
      </c>
      <c r="BT250" s="96" t="str">
        <f t="shared" si="3757"/>
        <v/>
      </c>
      <c r="BU250" s="96" t="str">
        <f t="shared" si="3757"/>
        <v/>
      </c>
      <c r="BV250" s="96" t="str">
        <f t="shared" si="3757"/>
        <v/>
      </c>
      <c r="BW250" s="96" t="str">
        <f t="shared" si="3757"/>
        <v/>
      </c>
      <c r="BX250" s="96" t="str">
        <f t="shared" si="3757"/>
        <v/>
      </c>
      <c r="BY250" s="96" t="str">
        <f t="shared" si="3757"/>
        <v/>
      </c>
      <c r="BZ250" s="96" t="str">
        <f t="shared" si="3757"/>
        <v/>
      </c>
      <c r="CA250" s="96" t="str">
        <f t="shared" si="3757"/>
        <v/>
      </c>
      <c r="CB250" s="96" t="str">
        <f t="shared" si="3757"/>
        <v/>
      </c>
      <c r="CC250" s="96" t="str">
        <f t="shared" si="3757"/>
        <v/>
      </c>
      <c r="CD250" s="96" t="str">
        <f t="shared" si="3757"/>
        <v/>
      </c>
      <c r="CE250" s="96" t="str">
        <f t="shared" ref="CE250:DJ250" si="3758">IF(CE229="","",HO216+HO234+HO246+HO255)</f>
        <v/>
      </c>
      <c r="CF250" s="96" t="str">
        <f t="shared" si="3758"/>
        <v/>
      </c>
      <c r="CG250" s="96" t="str">
        <f t="shared" si="3758"/>
        <v/>
      </c>
      <c r="CH250" s="96" t="str">
        <f t="shared" si="3758"/>
        <v/>
      </c>
      <c r="CI250" s="96" t="str">
        <f t="shared" si="3758"/>
        <v/>
      </c>
      <c r="CJ250" s="96" t="str">
        <f t="shared" si="3758"/>
        <v/>
      </c>
      <c r="CK250" s="96" t="str">
        <f t="shared" si="3758"/>
        <v/>
      </c>
      <c r="CL250" s="96" t="str">
        <f t="shared" si="3758"/>
        <v/>
      </c>
      <c r="CM250" s="96" t="str">
        <f t="shared" si="3758"/>
        <v/>
      </c>
      <c r="CN250" s="96" t="str">
        <f t="shared" si="3758"/>
        <v/>
      </c>
      <c r="CO250" s="96" t="str">
        <f t="shared" si="3758"/>
        <v/>
      </c>
      <c r="CP250" s="96" t="str">
        <f t="shared" si="3758"/>
        <v/>
      </c>
      <c r="CQ250" s="96" t="str">
        <f t="shared" si="3758"/>
        <v/>
      </c>
      <c r="CR250" s="96" t="str">
        <f t="shared" si="3758"/>
        <v/>
      </c>
      <c r="CS250" s="96" t="str">
        <f t="shared" si="3758"/>
        <v/>
      </c>
      <c r="CT250" s="96" t="str">
        <f t="shared" si="3758"/>
        <v/>
      </c>
      <c r="CU250" s="96" t="str">
        <f t="shared" si="3758"/>
        <v/>
      </c>
      <c r="CV250" s="96" t="str">
        <f t="shared" si="3758"/>
        <v/>
      </c>
      <c r="CW250" s="96" t="str">
        <f t="shared" si="3758"/>
        <v/>
      </c>
      <c r="CX250" s="96" t="str">
        <f t="shared" si="3758"/>
        <v/>
      </c>
      <c r="CY250" s="96" t="str">
        <f t="shared" si="3758"/>
        <v/>
      </c>
      <c r="CZ250" s="96" t="str">
        <f t="shared" si="3758"/>
        <v/>
      </c>
      <c r="DA250" s="96" t="str">
        <f t="shared" si="3758"/>
        <v/>
      </c>
      <c r="DB250" s="96" t="str">
        <f t="shared" si="3758"/>
        <v/>
      </c>
      <c r="DC250" s="96" t="str">
        <f t="shared" si="3758"/>
        <v/>
      </c>
      <c r="DD250" s="96" t="str">
        <f t="shared" si="3758"/>
        <v/>
      </c>
      <c r="DE250" s="96" t="str">
        <f t="shared" si="3758"/>
        <v/>
      </c>
      <c r="DF250" s="96" t="str">
        <f t="shared" si="3758"/>
        <v/>
      </c>
      <c r="DG250" s="96" t="str">
        <f t="shared" si="3758"/>
        <v/>
      </c>
      <c r="DH250" s="96" t="str">
        <f t="shared" si="3758"/>
        <v/>
      </c>
      <c r="DI250" s="96" t="str">
        <f t="shared" si="3758"/>
        <v/>
      </c>
      <c r="DJ250" s="96" t="str">
        <f t="shared" si="3758"/>
        <v/>
      </c>
      <c r="DK250" s="96" t="str">
        <f t="shared" ref="DK250:EP250" si="3759">IF(DK229="","",IU216+IU234+IU246+IU255)</f>
        <v/>
      </c>
      <c r="DL250" s="96" t="str">
        <f t="shared" si="3759"/>
        <v/>
      </c>
      <c r="DM250" s="96" t="str">
        <f t="shared" si="3759"/>
        <v/>
      </c>
      <c r="DN250" s="96" t="str">
        <f t="shared" si="3759"/>
        <v/>
      </c>
      <c r="DO250" s="96" t="str">
        <f t="shared" si="3759"/>
        <v/>
      </c>
      <c r="DP250" s="96" t="str">
        <f t="shared" si="3759"/>
        <v/>
      </c>
      <c r="DQ250" s="96" t="str">
        <f t="shared" si="3759"/>
        <v/>
      </c>
      <c r="DR250" s="96" t="str">
        <f t="shared" si="3759"/>
        <v/>
      </c>
      <c r="DS250" s="96" t="str">
        <f t="shared" si="3759"/>
        <v/>
      </c>
      <c r="DT250" s="96" t="str">
        <f t="shared" si="3759"/>
        <v/>
      </c>
      <c r="DU250" s="96" t="str">
        <f t="shared" si="3759"/>
        <v/>
      </c>
      <c r="DV250" s="96" t="str">
        <f t="shared" si="3759"/>
        <v/>
      </c>
      <c r="DW250" s="96" t="str">
        <f t="shared" si="3759"/>
        <v/>
      </c>
      <c r="DX250" s="96" t="str">
        <f t="shared" si="3759"/>
        <v/>
      </c>
      <c r="DY250" s="96" t="str">
        <f t="shared" si="3759"/>
        <v/>
      </c>
      <c r="DZ250" s="96" t="str">
        <f t="shared" si="3759"/>
        <v/>
      </c>
      <c r="EA250" s="96" t="str">
        <f t="shared" si="3759"/>
        <v/>
      </c>
      <c r="EB250" s="96" t="str">
        <f t="shared" si="3759"/>
        <v/>
      </c>
      <c r="EC250" s="96" t="str">
        <f t="shared" si="3759"/>
        <v/>
      </c>
      <c r="ED250" s="96" t="str">
        <f t="shared" si="3759"/>
        <v/>
      </c>
      <c r="EE250" s="96" t="str">
        <f t="shared" si="3759"/>
        <v/>
      </c>
      <c r="EF250" s="96" t="str">
        <f t="shared" si="3759"/>
        <v/>
      </c>
      <c r="EG250" s="96" t="str">
        <f t="shared" si="3759"/>
        <v/>
      </c>
      <c r="EH250" s="96" t="str">
        <f t="shared" si="3759"/>
        <v/>
      </c>
      <c r="EI250" s="96" t="str">
        <f t="shared" si="3759"/>
        <v/>
      </c>
      <c r="EJ250" s="96" t="str">
        <f t="shared" si="3759"/>
        <v/>
      </c>
      <c r="EK250" s="96" t="str">
        <f t="shared" si="3759"/>
        <v/>
      </c>
      <c r="EL250" s="96" t="str">
        <f t="shared" si="3759"/>
        <v/>
      </c>
      <c r="EM250" s="96" t="str">
        <f t="shared" si="3759"/>
        <v/>
      </c>
      <c r="EN250" s="96" t="str">
        <f t="shared" si="3759"/>
        <v/>
      </c>
      <c r="EO250" s="96" t="str">
        <f t="shared" si="3759"/>
        <v/>
      </c>
      <c r="EP250" s="96" t="str">
        <f t="shared" si="3759"/>
        <v/>
      </c>
      <c r="EQ250" s="96" t="str">
        <f t="shared" ref="EQ250:EU250" si="3760">IF(EQ229="","",KA216+KA234+KA246+KA255)</f>
        <v/>
      </c>
      <c r="ER250" s="96" t="str">
        <f t="shared" si="3760"/>
        <v/>
      </c>
      <c r="ES250" s="96" t="str">
        <f t="shared" si="3760"/>
        <v/>
      </c>
      <c r="ET250" s="96" t="str">
        <f t="shared" si="3760"/>
        <v/>
      </c>
      <c r="EU250" s="96" t="str">
        <f t="shared" si="3760"/>
        <v/>
      </c>
      <c r="EW250" s="201"/>
      <c r="EX250" s="201"/>
      <c r="EY250" s="228"/>
      <c r="EZ250" s="228"/>
      <c r="FA250" s="236"/>
      <c r="FB250" s="236"/>
      <c r="FC250" s="236"/>
      <c r="FD250" s="236"/>
      <c r="FE250" s="236"/>
      <c r="FF250" s="236"/>
      <c r="FG250" s="236"/>
      <c r="FH250" s="236"/>
      <c r="FI250" s="236"/>
      <c r="FJ250" s="236"/>
      <c r="FK250" s="236"/>
      <c r="FL250" s="236"/>
      <c r="FM250" s="236"/>
      <c r="FN250" s="236"/>
      <c r="FO250" s="236"/>
      <c r="FP250" s="236"/>
      <c r="FQ250" s="236"/>
      <c r="FR250" s="236"/>
      <c r="FS250" s="236"/>
      <c r="FT250" s="236"/>
      <c r="FU250" s="236"/>
      <c r="FV250" s="236"/>
      <c r="FW250" s="236"/>
      <c r="FX250" s="236"/>
      <c r="FY250" s="236"/>
      <c r="FZ250" s="236"/>
      <c r="GA250" s="236"/>
      <c r="GB250" s="236"/>
      <c r="GC250" s="236"/>
      <c r="GD250" s="236"/>
      <c r="GE250" s="236"/>
      <c r="GF250" s="236"/>
      <c r="GG250" s="236"/>
      <c r="GH250" s="236"/>
      <c r="GI250" s="236"/>
      <c r="GJ250" s="236"/>
      <c r="GK250" s="236"/>
      <c r="GL250" s="236"/>
      <c r="GM250" s="236"/>
      <c r="GN250" s="236"/>
      <c r="GO250" s="236"/>
      <c r="GP250" s="236"/>
      <c r="GQ250" s="236"/>
      <c r="GR250" s="236"/>
      <c r="GS250" s="236"/>
      <c r="GT250" s="236"/>
      <c r="GU250" s="236"/>
      <c r="GV250" s="236"/>
      <c r="GW250" s="236"/>
      <c r="GX250" s="236"/>
      <c r="GY250" s="236"/>
      <c r="GZ250" s="236"/>
      <c r="HA250" s="236"/>
      <c r="HB250" s="236"/>
      <c r="HC250" s="236"/>
      <c r="HD250" s="236"/>
      <c r="HE250" s="236"/>
      <c r="HF250" s="236"/>
      <c r="HG250" s="236"/>
      <c r="HH250" s="236"/>
      <c r="HI250" s="236"/>
      <c r="HJ250" s="236"/>
      <c r="HK250" s="236"/>
      <c r="HL250" s="236"/>
      <c r="HM250" s="236"/>
      <c r="HN250" s="236"/>
      <c r="HO250" s="236"/>
      <c r="HP250" s="236"/>
      <c r="HQ250" s="236"/>
      <c r="HR250" s="236"/>
      <c r="HS250" s="236"/>
      <c r="HT250" s="236"/>
      <c r="HU250" s="236"/>
      <c r="HV250" s="236"/>
      <c r="HW250" s="236"/>
      <c r="HX250" s="236"/>
      <c r="HY250" s="236"/>
      <c r="HZ250" s="236"/>
      <c r="IA250" s="236"/>
      <c r="IB250" s="236"/>
      <c r="IC250" s="236"/>
      <c r="ID250" s="236"/>
      <c r="IE250" s="236"/>
      <c r="IF250" s="236"/>
      <c r="IG250" s="236"/>
      <c r="IH250" s="236"/>
      <c r="II250" s="236"/>
      <c r="IJ250" s="236"/>
      <c r="IK250" s="236"/>
      <c r="IL250" s="236"/>
      <c r="IM250" s="236"/>
      <c r="IN250" s="236"/>
      <c r="IO250" s="236"/>
      <c r="IP250" s="236"/>
      <c r="IQ250" s="236"/>
      <c r="IR250" s="236"/>
      <c r="IS250" s="236"/>
      <c r="IT250" s="236"/>
      <c r="IU250" s="236"/>
      <c r="IV250" s="236"/>
      <c r="IW250" s="236"/>
      <c r="IX250" s="236"/>
      <c r="IY250" s="236"/>
      <c r="IZ250" s="236"/>
      <c r="JA250" s="236"/>
      <c r="JB250" s="236"/>
      <c r="JC250" s="236"/>
      <c r="JD250" s="236"/>
      <c r="JE250" s="236"/>
      <c r="JF250" s="236"/>
      <c r="JG250" s="236"/>
      <c r="JH250" s="236"/>
      <c r="JI250" s="236"/>
      <c r="JJ250" s="236"/>
      <c r="JK250" s="236"/>
      <c r="JL250" s="236"/>
      <c r="JM250" s="236"/>
      <c r="JN250" s="236"/>
      <c r="JO250" s="236"/>
      <c r="JP250" s="236"/>
      <c r="JQ250" s="236"/>
      <c r="JR250" s="236"/>
      <c r="JS250" s="236"/>
      <c r="JT250" s="236"/>
      <c r="JU250" s="236"/>
      <c r="JV250" s="236"/>
      <c r="JW250" s="236"/>
      <c r="JX250" s="236"/>
      <c r="JY250" s="236"/>
      <c r="JZ250" s="236"/>
      <c r="KA250" s="236"/>
      <c r="KB250" s="236"/>
      <c r="KC250" s="236"/>
      <c r="KD250" s="231"/>
      <c r="KE250" s="231"/>
      <c r="KF250" s="200" t="s">
        <v>269</v>
      </c>
      <c r="PQ250" s="201"/>
      <c r="PR250" s="201"/>
      <c r="PS250" s="201"/>
      <c r="PT250" s="201"/>
      <c r="PU250" s="201"/>
      <c r="PV250" s="201"/>
      <c r="PW250" s="201"/>
      <c r="PX250" s="201"/>
      <c r="PY250" s="201"/>
      <c r="PZ250" s="201"/>
      <c r="QA250" s="201"/>
      <c r="QB250" s="201"/>
      <c r="QC250" s="201"/>
      <c r="QD250" s="201"/>
      <c r="QE250" s="201"/>
      <c r="QF250" s="201"/>
      <c r="QG250" s="201"/>
      <c r="QH250" s="201"/>
      <c r="QI250" s="201"/>
      <c r="QJ250" s="201"/>
      <c r="QK250" s="201"/>
      <c r="QL250" s="201"/>
      <c r="QM250" s="201"/>
      <c r="QN250" s="201"/>
      <c r="QO250" s="201"/>
      <c r="QP250" s="201"/>
      <c r="QQ250" s="201"/>
      <c r="QR250" s="201"/>
      <c r="QS250" s="201"/>
      <c r="QT250" s="201"/>
      <c r="QU250" s="201"/>
      <c r="QV250" s="201"/>
      <c r="QW250" s="201"/>
      <c r="QX250" s="201"/>
      <c r="QY250" s="201"/>
      <c r="QZ250" s="201"/>
      <c r="RA250" s="201"/>
      <c r="RB250" s="201"/>
      <c r="RC250" s="201"/>
      <c r="RD250" s="201"/>
      <c r="RE250" s="201"/>
      <c r="RF250" s="201"/>
      <c r="RG250" s="201"/>
      <c r="RH250" s="201"/>
      <c r="RI250" s="201"/>
      <c r="RJ250" s="201"/>
      <c r="RK250" s="201"/>
      <c r="RL250" s="201"/>
      <c r="RM250" s="201"/>
      <c r="RN250" s="201"/>
      <c r="RO250" s="201"/>
      <c r="RP250" s="201"/>
      <c r="RQ250" s="201"/>
      <c r="RR250" s="201"/>
      <c r="RS250" s="201"/>
      <c r="RT250" s="201"/>
      <c r="RU250" s="201"/>
      <c r="RV250" s="201"/>
      <c r="RW250" s="201"/>
      <c r="RX250" s="201"/>
      <c r="RY250" s="201"/>
      <c r="RZ250" s="201"/>
      <c r="SA250" s="201"/>
      <c r="SB250" s="201"/>
      <c r="SC250" s="201"/>
      <c r="SD250" s="201"/>
      <c r="SE250" s="201"/>
      <c r="SF250" s="201"/>
      <c r="SG250" s="201"/>
      <c r="SH250" s="201"/>
      <c r="SI250" s="201"/>
      <c r="SJ250" s="201"/>
      <c r="SK250" s="201"/>
      <c r="SL250" s="201"/>
      <c r="SM250" s="201"/>
      <c r="SN250" s="201"/>
      <c r="SO250" s="201"/>
      <c r="SP250" s="201"/>
      <c r="SQ250" s="201"/>
      <c r="SR250" s="201"/>
      <c r="SS250" s="201"/>
      <c r="ST250" s="201"/>
      <c r="SU250" s="201"/>
      <c r="SV250" s="201"/>
      <c r="SW250" s="201"/>
      <c r="SX250" s="201"/>
      <c r="SY250" s="201"/>
      <c r="SZ250" s="201"/>
      <c r="TA250" s="201"/>
      <c r="TB250" s="201"/>
      <c r="TC250" s="201"/>
      <c r="TD250" s="201"/>
      <c r="TE250" s="201"/>
      <c r="TF250" s="201"/>
      <c r="TG250" s="201"/>
      <c r="TH250" s="201"/>
      <c r="TI250" s="201"/>
      <c r="TJ250" s="201"/>
      <c r="TK250" s="201"/>
      <c r="TL250" s="201"/>
      <c r="TM250" s="201"/>
      <c r="TN250" s="201"/>
      <c r="TO250" s="201"/>
      <c r="TP250" s="201"/>
      <c r="TQ250" s="201"/>
      <c r="TR250" s="201"/>
      <c r="TS250" s="201"/>
      <c r="TT250" s="201"/>
      <c r="TU250" s="201"/>
      <c r="TV250" s="201"/>
      <c r="TW250" s="201"/>
      <c r="TX250" s="201"/>
      <c r="TY250" s="201"/>
      <c r="TZ250" s="201"/>
      <c r="UA250" s="201"/>
      <c r="UB250" s="201"/>
      <c r="UC250" s="201"/>
      <c r="UD250" s="201"/>
      <c r="UE250" s="201"/>
      <c r="UF250" s="201"/>
      <c r="UG250" s="201"/>
      <c r="UH250" s="201"/>
      <c r="UI250" s="201"/>
      <c r="UJ250" s="201"/>
      <c r="UK250" s="201"/>
      <c r="UL250" s="201"/>
      <c r="UM250" s="201"/>
      <c r="UN250" s="201"/>
      <c r="UO250" s="201"/>
      <c r="UP250" s="201"/>
      <c r="UQ250" s="201"/>
      <c r="UR250" s="201"/>
      <c r="US250" s="201"/>
      <c r="UT250" s="201"/>
      <c r="UU250" s="201"/>
    </row>
    <row r="251" spans="1:567" x14ac:dyDescent="0.25">
      <c r="B251" s="18" t="s">
        <v>243</v>
      </c>
      <c r="C251" s="18"/>
      <c r="D251" s="18"/>
      <c r="E251" s="18"/>
      <c r="F251" s="18"/>
      <c r="G251" s="33"/>
      <c r="H251" s="26"/>
      <c r="I251" s="34"/>
      <c r="J251" s="45">
        <f ca="1">SUM(J248:J250)</f>
        <v>1</v>
      </c>
      <c r="K251" s="34">
        <f ca="1">SUM(K248:K250)</f>
        <v>43676791.925640479</v>
      </c>
      <c r="R251" s="159" t="s">
        <v>382</v>
      </c>
      <c r="S251" s="92">
        <f ca="1">IF(S229="","",SUM(S248:S250))</f>
        <v>628125</v>
      </c>
      <c r="T251" s="92">
        <f t="shared" ref="T251:CE251" ca="1" si="3761">IF(T229="","",SUM(T248:T250))</f>
        <v>84853.984244358144</v>
      </c>
      <c r="U251" s="92">
        <f t="shared" ca="1" si="3761"/>
        <v>90134.378114341001</v>
      </c>
      <c r="V251" s="92">
        <f t="shared" ca="1" si="3761"/>
        <v>92940.258041209541</v>
      </c>
      <c r="W251" s="92">
        <f t="shared" ca="1" si="3761"/>
        <v>96307.948161248059</v>
      </c>
      <c r="X251" s="92">
        <f t="shared" ca="1" si="3761"/>
        <v>100517.47508651271</v>
      </c>
      <c r="Y251" s="92">
        <f t="shared" ca="1" si="3761"/>
        <v>103397.89849310924</v>
      </c>
      <c r="Z251" s="92">
        <f t="shared" ca="1" si="3761"/>
        <v>106417.69750160788</v>
      </c>
      <c r="AA251" s="92">
        <f t="shared" ca="1" si="3761"/>
        <v>109668.54384584576</v>
      </c>
      <c r="AB251" s="92">
        <f t="shared" ca="1" si="3761"/>
        <v>112627.08361356608</v>
      </c>
      <c r="AC251" s="92">
        <f t="shared" ca="1" si="3761"/>
        <v>115562.59759384238</v>
      </c>
      <c r="AD251" s="92">
        <f t="shared" ca="1" si="3761"/>
        <v>118487.23286179252</v>
      </c>
      <c r="AE251" s="92">
        <f t="shared" ca="1" si="3761"/>
        <v>121393.59883056002</v>
      </c>
      <c r="AF251" s="92">
        <f t="shared" ca="1" si="3761"/>
        <v>124914.30293087487</v>
      </c>
      <c r="AG251" s="92">
        <f t="shared" ca="1" si="3761"/>
        <v>128395.48852891321</v>
      </c>
      <c r="AH251" s="92">
        <f t="shared" ca="1" si="3761"/>
        <v>131927.9876215909</v>
      </c>
      <c r="AI251" s="92">
        <f t="shared" ca="1" si="3761"/>
        <v>135486.62501190428</v>
      </c>
      <c r="AJ251" s="92">
        <f t="shared" ca="1" si="3761"/>
        <v>139069.40118646069</v>
      </c>
      <c r="AK251" s="92">
        <f t="shared" ca="1" si="3761"/>
        <v>142683.35416291468</v>
      </c>
      <c r="AL251" s="92">
        <f t="shared" ca="1" si="3761"/>
        <v>146316.06417419281</v>
      </c>
      <c r="AM251" s="92">
        <f t="shared" ca="1" si="3761"/>
        <v>150003.80515910525</v>
      </c>
      <c r="AN251" s="92">
        <f t="shared" ca="1" si="3761"/>
        <v>153718.00083888386</v>
      </c>
      <c r="AO251" s="92">
        <f t="shared" ca="1" si="3761"/>
        <v>157456.60182851291</v>
      </c>
      <c r="AP251" s="92">
        <f t="shared" ca="1" si="3761"/>
        <v>161225.11929717308</v>
      </c>
      <c r="AQ251" s="92">
        <f t="shared" ca="1" si="3761"/>
        <v>166080.45622274844</v>
      </c>
      <c r="AR251" s="92">
        <f t="shared" ca="1" si="3761"/>
        <v>187894.71920647362</v>
      </c>
      <c r="AS251" s="92">
        <f t="shared" ca="1" si="3761"/>
        <v>188315.8180153594</v>
      </c>
      <c r="AT251" s="92">
        <f t="shared" ca="1" si="3761"/>
        <v>188783.11676020076</v>
      </c>
      <c r="AU251" s="92">
        <f t="shared" ca="1" si="3761"/>
        <v>189219.54179575754</v>
      </c>
      <c r="AV251" s="92">
        <f t="shared" ca="1" si="3761"/>
        <v>189697.68014224386</v>
      </c>
      <c r="AW251" s="92">
        <f t="shared" ca="1" si="3761"/>
        <v>190188.15602236625</v>
      </c>
      <c r="AX251" s="92">
        <f t="shared" ca="1" si="3761"/>
        <v>190686.47950269585</v>
      </c>
      <c r="AY251" s="92">
        <f t="shared" ca="1" si="3761"/>
        <v>191212.0095838205</v>
      </c>
      <c r="AZ251" s="92">
        <f t="shared" ca="1" si="3761"/>
        <v>191720.50813421857</v>
      </c>
      <c r="BA251" s="92">
        <f t="shared" ca="1" si="3761"/>
        <v>192283.8709352903</v>
      </c>
      <c r="BB251" s="92">
        <f t="shared" ca="1" si="3761"/>
        <v>192853.71222986083</v>
      </c>
      <c r="BC251" s="92">
        <f t="shared" ca="1" si="3761"/>
        <v>37966225.409960926</v>
      </c>
      <c r="BD251" s="92" t="str">
        <f t="shared" si="3761"/>
        <v/>
      </c>
      <c r="BE251" s="92" t="str">
        <f t="shared" si="3761"/>
        <v/>
      </c>
      <c r="BF251" s="92" t="str">
        <f t="shared" si="3761"/>
        <v/>
      </c>
      <c r="BG251" s="92" t="str">
        <f t="shared" si="3761"/>
        <v/>
      </c>
      <c r="BH251" s="92" t="str">
        <f t="shared" si="3761"/>
        <v/>
      </c>
      <c r="BI251" s="92" t="str">
        <f t="shared" si="3761"/>
        <v/>
      </c>
      <c r="BJ251" s="92" t="str">
        <f t="shared" si="3761"/>
        <v/>
      </c>
      <c r="BK251" s="92" t="str">
        <f t="shared" si="3761"/>
        <v/>
      </c>
      <c r="BL251" s="92" t="str">
        <f t="shared" si="3761"/>
        <v/>
      </c>
      <c r="BM251" s="92" t="str">
        <f t="shared" si="3761"/>
        <v/>
      </c>
      <c r="BN251" s="92" t="str">
        <f t="shared" si="3761"/>
        <v/>
      </c>
      <c r="BO251" s="92" t="str">
        <f t="shared" si="3761"/>
        <v/>
      </c>
      <c r="BP251" s="92" t="str">
        <f t="shared" si="3761"/>
        <v/>
      </c>
      <c r="BQ251" s="92" t="str">
        <f t="shared" si="3761"/>
        <v/>
      </c>
      <c r="BR251" s="92" t="str">
        <f t="shared" si="3761"/>
        <v/>
      </c>
      <c r="BS251" s="92" t="str">
        <f t="shared" si="3761"/>
        <v/>
      </c>
      <c r="BT251" s="92" t="str">
        <f t="shared" si="3761"/>
        <v/>
      </c>
      <c r="BU251" s="92" t="str">
        <f t="shared" si="3761"/>
        <v/>
      </c>
      <c r="BV251" s="92" t="str">
        <f t="shared" si="3761"/>
        <v/>
      </c>
      <c r="BW251" s="92" t="str">
        <f t="shared" si="3761"/>
        <v/>
      </c>
      <c r="BX251" s="92" t="str">
        <f t="shared" si="3761"/>
        <v/>
      </c>
      <c r="BY251" s="92" t="str">
        <f t="shared" si="3761"/>
        <v/>
      </c>
      <c r="BZ251" s="92" t="str">
        <f t="shared" si="3761"/>
        <v/>
      </c>
      <c r="CA251" s="92" t="str">
        <f t="shared" si="3761"/>
        <v/>
      </c>
      <c r="CB251" s="92" t="str">
        <f t="shared" si="3761"/>
        <v/>
      </c>
      <c r="CC251" s="92" t="str">
        <f t="shared" si="3761"/>
        <v/>
      </c>
      <c r="CD251" s="92" t="str">
        <f t="shared" si="3761"/>
        <v/>
      </c>
      <c r="CE251" s="92" t="str">
        <f t="shared" si="3761"/>
        <v/>
      </c>
      <c r="CF251" s="92" t="str">
        <f t="shared" ref="CF251:EQ251" si="3762">IF(CF229="","",SUM(CF248:CF250))</f>
        <v/>
      </c>
      <c r="CG251" s="92" t="str">
        <f t="shared" si="3762"/>
        <v/>
      </c>
      <c r="CH251" s="92" t="str">
        <f t="shared" si="3762"/>
        <v/>
      </c>
      <c r="CI251" s="92" t="str">
        <f t="shared" si="3762"/>
        <v/>
      </c>
      <c r="CJ251" s="92" t="str">
        <f t="shared" si="3762"/>
        <v/>
      </c>
      <c r="CK251" s="92" t="str">
        <f t="shared" si="3762"/>
        <v/>
      </c>
      <c r="CL251" s="92" t="str">
        <f t="shared" si="3762"/>
        <v/>
      </c>
      <c r="CM251" s="92" t="str">
        <f t="shared" si="3762"/>
        <v/>
      </c>
      <c r="CN251" s="92" t="str">
        <f t="shared" si="3762"/>
        <v/>
      </c>
      <c r="CO251" s="92" t="str">
        <f t="shared" si="3762"/>
        <v/>
      </c>
      <c r="CP251" s="92" t="str">
        <f t="shared" si="3762"/>
        <v/>
      </c>
      <c r="CQ251" s="92" t="str">
        <f t="shared" si="3762"/>
        <v/>
      </c>
      <c r="CR251" s="92" t="str">
        <f t="shared" si="3762"/>
        <v/>
      </c>
      <c r="CS251" s="92" t="str">
        <f t="shared" si="3762"/>
        <v/>
      </c>
      <c r="CT251" s="92" t="str">
        <f t="shared" si="3762"/>
        <v/>
      </c>
      <c r="CU251" s="92" t="str">
        <f t="shared" si="3762"/>
        <v/>
      </c>
      <c r="CV251" s="92" t="str">
        <f t="shared" si="3762"/>
        <v/>
      </c>
      <c r="CW251" s="92" t="str">
        <f t="shared" si="3762"/>
        <v/>
      </c>
      <c r="CX251" s="92" t="str">
        <f t="shared" si="3762"/>
        <v/>
      </c>
      <c r="CY251" s="92" t="str">
        <f t="shared" si="3762"/>
        <v/>
      </c>
      <c r="CZ251" s="92" t="str">
        <f t="shared" si="3762"/>
        <v/>
      </c>
      <c r="DA251" s="92" t="str">
        <f t="shared" si="3762"/>
        <v/>
      </c>
      <c r="DB251" s="92" t="str">
        <f t="shared" si="3762"/>
        <v/>
      </c>
      <c r="DC251" s="92" t="str">
        <f t="shared" si="3762"/>
        <v/>
      </c>
      <c r="DD251" s="92" t="str">
        <f t="shared" si="3762"/>
        <v/>
      </c>
      <c r="DE251" s="92" t="str">
        <f t="shared" si="3762"/>
        <v/>
      </c>
      <c r="DF251" s="92" t="str">
        <f t="shared" si="3762"/>
        <v/>
      </c>
      <c r="DG251" s="92" t="str">
        <f t="shared" si="3762"/>
        <v/>
      </c>
      <c r="DH251" s="92" t="str">
        <f t="shared" si="3762"/>
        <v/>
      </c>
      <c r="DI251" s="92" t="str">
        <f t="shared" si="3762"/>
        <v/>
      </c>
      <c r="DJ251" s="92" t="str">
        <f t="shared" si="3762"/>
        <v/>
      </c>
      <c r="DK251" s="92" t="str">
        <f t="shared" si="3762"/>
        <v/>
      </c>
      <c r="DL251" s="92" t="str">
        <f t="shared" si="3762"/>
        <v/>
      </c>
      <c r="DM251" s="92" t="str">
        <f t="shared" si="3762"/>
        <v/>
      </c>
      <c r="DN251" s="92" t="str">
        <f t="shared" si="3762"/>
        <v/>
      </c>
      <c r="DO251" s="92" t="str">
        <f t="shared" si="3762"/>
        <v/>
      </c>
      <c r="DP251" s="92" t="str">
        <f t="shared" si="3762"/>
        <v/>
      </c>
      <c r="DQ251" s="92" t="str">
        <f t="shared" si="3762"/>
        <v/>
      </c>
      <c r="DR251" s="92" t="str">
        <f t="shared" si="3762"/>
        <v/>
      </c>
      <c r="DS251" s="92" t="str">
        <f t="shared" si="3762"/>
        <v/>
      </c>
      <c r="DT251" s="92" t="str">
        <f t="shared" si="3762"/>
        <v/>
      </c>
      <c r="DU251" s="92" t="str">
        <f t="shared" si="3762"/>
        <v/>
      </c>
      <c r="DV251" s="92" t="str">
        <f t="shared" si="3762"/>
        <v/>
      </c>
      <c r="DW251" s="92" t="str">
        <f t="shared" si="3762"/>
        <v/>
      </c>
      <c r="DX251" s="92" t="str">
        <f t="shared" si="3762"/>
        <v/>
      </c>
      <c r="DY251" s="92" t="str">
        <f t="shared" si="3762"/>
        <v/>
      </c>
      <c r="DZ251" s="92" t="str">
        <f t="shared" si="3762"/>
        <v/>
      </c>
      <c r="EA251" s="92" t="str">
        <f t="shared" si="3762"/>
        <v/>
      </c>
      <c r="EB251" s="92" t="str">
        <f t="shared" si="3762"/>
        <v/>
      </c>
      <c r="EC251" s="92" t="str">
        <f t="shared" si="3762"/>
        <v/>
      </c>
      <c r="ED251" s="92" t="str">
        <f t="shared" si="3762"/>
        <v/>
      </c>
      <c r="EE251" s="92" t="str">
        <f t="shared" si="3762"/>
        <v/>
      </c>
      <c r="EF251" s="92" t="str">
        <f t="shared" si="3762"/>
        <v/>
      </c>
      <c r="EG251" s="92" t="str">
        <f t="shared" si="3762"/>
        <v/>
      </c>
      <c r="EH251" s="92" t="str">
        <f t="shared" si="3762"/>
        <v/>
      </c>
      <c r="EI251" s="92" t="str">
        <f t="shared" si="3762"/>
        <v/>
      </c>
      <c r="EJ251" s="92" t="str">
        <f t="shared" si="3762"/>
        <v/>
      </c>
      <c r="EK251" s="92" t="str">
        <f t="shared" si="3762"/>
        <v/>
      </c>
      <c r="EL251" s="92" t="str">
        <f t="shared" si="3762"/>
        <v/>
      </c>
      <c r="EM251" s="92" t="str">
        <f t="shared" si="3762"/>
        <v/>
      </c>
      <c r="EN251" s="92" t="str">
        <f t="shared" si="3762"/>
        <v/>
      </c>
      <c r="EO251" s="92" t="str">
        <f t="shared" si="3762"/>
        <v/>
      </c>
      <c r="EP251" s="92" t="str">
        <f t="shared" si="3762"/>
        <v/>
      </c>
      <c r="EQ251" s="92" t="str">
        <f t="shared" si="3762"/>
        <v/>
      </c>
      <c r="ER251" s="92" t="str">
        <f t="shared" ref="ER251:EU251" si="3763">IF(ER229="","",SUM(ER248:ER250))</f>
        <v/>
      </c>
      <c r="ES251" s="92" t="str">
        <f t="shared" si="3763"/>
        <v/>
      </c>
      <c r="ET251" s="92" t="str">
        <f t="shared" si="3763"/>
        <v/>
      </c>
      <c r="EU251" s="92" t="str">
        <f t="shared" si="3763"/>
        <v/>
      </c>
      <c r="EW251" s="201"/>
      <c r="EX251" s="201"/>
      <c r="EY251" s="228"/>
      <c r="EZ251" s="228"/>
      <c r="FA251" s="236"/>
      <c r="FB251" s="236"/>
      <c r="FC251" s="236"/>
      <c r="FD251" s="236"/>
      <c r="FE251" s="236"/>
      <c r="FF251" s="236"/>
      <c r="FG251" s="236"/>
      <c r="FH251" s="236"/>
      <c r="FI251" s="236"/>
      <c r="FJ251" s="236"/>
      <c r="FK251" s="236"/>
      <c r="FL251" s="236"/>
      <c r="FM251" s="236"/>
      <c r="FN251" s="236"/>
      <c r="FO251" s="236"/>
      <c r="FP251" s="236"/>
      <c r="FQ251" s="236"/>
      <c r="FR251" s="236"/>
      <c r="FS251" s="236"/>
      <c r="FT251" s="236"/>
      <c r="FU251" s="236"/>
      <c r="FV251" s="236"/>
      <c r="FW251" s="236"/>
      <c r="FX251" s="236"/>
      <c r="FY251" s="236"/>
      <c r="FZ251" s="236"/>
      <c r="GA251" s="236"/>
      <c r="GB251" s="236"/>
      <c r="GC251" s="236"/>
      <c r="GD251" s="236"/>
      <c r="GE251" s="236"/>
      <c r="GF251" s="236"/>
      <c r="GG251" s="236"/>
      <c r="GH251" s="236"/>
      <c r="GI251" s="236"/>
      <c r="GJ251" s="236"/>
      <c r="GK251" s="236"/>
      <c r="GL251" s="236"/>
      <c r="GM251" s="236"/>
      <c r="GN251" s="236"/>
      <c r="GO251" s="236"/>
      <c r="GP251" s="236"/>
      <c r="GQ251" s="236"/>
      <c r="GR251" s="236"/>
      <c r="GS251" s="236"/>
      <c r="GT251" s="236"/>
      <c r="GU251" s="236"/>
      <c r="GV251" s="236"/>
      <c r="GW251" s="236"/>
      <c r="GX251" s="236"/>
      <c r="GY251" s="236"/>
      <c r="GZ251" s="236"/>
      <c r="HA251" s="236"/>
      <c r="HB251" s="236"/>
      <c r="HC251" s="236"/>
      <c r="HD251" s="236"/>
      <c r="HE251" s="236"/>
      <c r="HF251" s="236"/>
      <c r="HG251" s="236"/>
      <c r="HH251" s="236"/>
      <c r="HI251" s="236"/>
      <c r="HJ251" s="236"/>
      <c r="HK251" s="236"/>
      <c r="HL251" s="236"/>
      <c r="HM251" s="236"/>
      <c r="HN251" s="236"/>
      <c r="HO251" s="236"/>
      <c r="HP251" s="236"/>
      <c r="HQ251" s="236"/>
      <c r="HR251" s="236"/>
      <c r="HS251" s="236"/>
      <c r="HT251" s="236"/>
      <c r="HU251" s="236"/>
      <c r="HV251" s="236"/>
      <c r="HW251" s="236"/>
      <c r="HX251" s="236"/>
      <c r="HY251" s="236"/>
      <c r="HZ251" s="236"/>
      <c r="IA251" s="236"/>
      <c r="IB251" s="236"/>
      <c r="IC251" s="236"/>
      <c r="ID251" s="236"/>
      <c r="IE251" s="236"/>
      <c r="IF251" s="236"/>
      <c r="IG251" s="236"/>
      <c r="IH251" s="236"/>
      <c r="II251" s="236"/>
      <c r="IJ251" s="236"/>
      <c r="IK251" s="236"/>
      <c r="IL251" s="236"/>
      <c r="IM251" s="236"/>
      <c r="IN251" s="236"/>
      <c r="IO251" s="236"/>
      <c r="IP251" s="236"/>
      <c r="IQ251" s="236"/>
      <c r="IR251" s="236"/>
      <c r="IS251" s="236"/>
      <c r="IT251" s="236"/>
      <c r="IU251" s="236"/>
      <c r="IV251" s="236"/>
      <c r="IW251" s="236"/>
      <c r="IX251" s="236"/>
      <c r="IY251" s="236"/>
      <c r="IZ251" s="236"/>
      <c r="JA251" s="236"/>
      <c r="JB251" s="236"/>
      <c r="JC251" s="236"/>
      <c r="JD251" s="236"/>
      <c r="JE251" s="236"/>
      <c r="JF251" s="236"/>
      <c r="JG251" s="236"/>
      <c r="JH251" s="236"/>
      <c r="JI251" s="236"/>
      <c r="JJ251" s="236"/>
      <c r="JK251" s="236"/>
      <c r="JL251" s="236"/>
      <c r="JM251" s="236"/>
      <c r="JN251" s="236"/>
      <c r="JO251" s="236"/>
      <c r="JP251" s="236"/>
      <c r="JQ251" s="236"/>
      <c r="JR251" s="236"/>
      <c r="JS251" s="236"/>
      <c r="JT251" s="236"/>
      <c r="JU251" s="236"/>
      <c r="JV251" s="236"/>
      <c r="JW251" s="236"/>
      <c r="JX251" s="236"/>
      <c r="JY251" s="236"/>
      <c r="JZ251" s="236"/>
      <c r="KA251" s="236"/>
      <c r="KB251" s="236"/>
      <c r="KC251" s="236"/>
      <c r="KD251" s="236"/>
      <c r="KE251" s="236"/>
      <c r="PQ251" s="201"/>
      <c r="PR251" s="201"/>
      <c r="PS251" s="201"/>
      <c r="PT251" s="201"/>
      <c r="PU251" s="201"/>
      <c r="PV251" s="201"/>
      <c r="PW251" s="201"/>
      <c r="PX251" s="201"/>
      <c r="PY251" s="201"/>
      <c r="PZ251" s="201"/>
      <c r="QA251" s="201"/>
      <c r="QB251" s="201"/>
      <c r="QC251" s="201"/>
      <c r="QD251" s="201"/>
      <c r="QE251" s="201"/>
      <c r="QF251" s="201"/>
      <c r="QG251" s="201"/>
      <c r="QH251" s="201"/>
      <c r="QI251" s="201"/>
      <c r="QJ251" s="201"/>
      <c r="QK251" s="201"/>
      <c r="QL251" s="201"/>
      <c r="QM251" s="201"/>
      <c r="QN251" s="201"/>
      <c r="QO251" s="201"/>
      <c r="QP251" s="201"/>
      <c r="QQ251" s="201"/>
      <c r="QR251" s="201"/>
      <c r="QS251" s="201"/>
      <c r="QT251" s="201"/>
      <c r="QU251" s="201"/>
      <c r="QV251" s="201"/>
      <c r="QW251" s="201"/>
      <c r="QX251" s="201"/>
      <c r="QY251" s="201"/>
      <c r="QZ251" s="201"/>
      <c r="RA251" s="201"/>
      <c r="RB251" s="201"/>
      <c r="RC251" s="201"/>
      <c r="RD251" s="201"/>
      <c r="RE251" s="201"/>
      <c r="RF251" s="201"/>
      <c r="RG251" s="201"/>
      <c r="RH251" s="201"/>
      <c r="RI251" s="201"/>
      <c r="RJ251" s="201"/>
      <c r="RK251" s="201"/>
      <c r="RL251" s="201"/>
      <c r="RM251" s="201"/>
      <c r="RN251" s="201"/>
      <c r="RO251" s="201"/>
      <c r="RP251" s="201"/>
      <c r="RQ251" s="201"/>
      <c r="RR251" s="201"/>
      <c r="RS251" s="201"/>
      <c r="RT251" s="201"/>
      <c r="RU251" s="201"/>
      <c r="RV251" s="201"/>
      <c r="RW251" s="201"/>
      <c r="RX251" s="201"/>
      <c r="RY251" s="201"/>
      <c r="RZ251" s="201"/>
      <c r="SA251" s="201"/>
      <c r="SB251" s="201"/>
      <c r="SC251" s="201"/>
      <c r="SD251" s="201"/>
      <c r="SE251" s="201"/>
      <c r="SF251" s="201"/>
      <c r="SG251" s="201"/>
      <c r="SH251" s="201"/>
      <c r="SI251" s="201"/>
      <c r="SJ251" s="201"/>
      <c r="SK251" s="201"/>
      <c r="SL251" s="201"/>
      <c r="SM251" s="201"/>
      <c r="SN251" s="201"/>
      <c r="SO251" s="201"/>
      <c r="SP251" s="201"/>
      <c r="SQ251" s="201"/>
      <c r="SR251" s="201"/>
      <c r="SS251" s="201"/>
      <c r="ST251" s="201"/>
      <c r="SU251" s="201"/>
      <c r="SV251" s="201"/>
      <c r="SW251" s="201"/>
      <c r="SX251" s="201"/>
      <c r="SY251" s="201"/>
      <c r="SZ251" s="201"/>
      <c r="TA251" s="201"/>
      <c r="TB251" s="201"/>
      <c r="TC251" s="201"/>
      <c r="TD251" s="201"/>
      <c r="TE251" s="201"/>
      <c r="TF251" s="201"/>
      <c r="TG251" s="201"/>
      <c r="TH251" s="201"/>
      <c r="TI251" s="201"/>
      <c r="TJ251" s="201"/>
      <c r="TK251" s="201"/>
      <c r="TL251" s="201"/>
      <c r="TM251" s="201"/>
      <c r="TN251" s="201"/>
      <c r="TO251" s="201"/>
      <c r="TP251" s="201"/>
      <c r="TQ251" s="201"/>
      <c r="TR251" s="201"/>
      <c r="TS251" s="201"/>
      <c r="TT251" s="201"/>
      <c r="TU251" s="201"/>
      <c r="TV251" s="201"/>
      <c r="TW251" s="201"/>
      <c r="TX251" s="201"/>
      <c r="TY251" s="201"/>
      <c r="TZ251" s="201"/>
      <c r="UA251" s="201"/>
      <c r="UB251" s="201"/>
      <c r="UC251" s="201"/>
      <c r="UD251" s="201"/>
      <c r="UE251" s="201"/>
      <c r="UF251" s="201"/>
      <c r="UG251" s="201"/>
      <c r="UH251" s="201"/>
      <c r="UI251" s="201"/>
      <c r="UJ251" s="201"/>
      <c r="UK251" s="201"/>
      <c r="UL251" s="201"/>
      <c r="UM251" s="201"/>
      <c r="UN251" s="201"/>
      <c r="UO251" s="201"/>
      <c r="UP251" s="201"/>
      <c r="UQ251" s="201"/>
      <c r="UR251" s="201"/>
      <c r="US251" s="201"/>
      <c r="UT251" s="201"/>
      <c r="UU251" s="201"/>
    </row>
    <row r="252" spans="1:567" x14ac:dyDescent="0.25">
      <c r="B252" s="18"/>
      <c r="C252" s="18"/>
      <c r="D252" s="18"/>
      <c r="E252" s="18"/>
      <c r="F252" s="18"/>
      <c r="G252" s="26"/>
      <c r="H252" s="26"/>
      <c r="I252" s="26"/>
      <c r="J252" s="26"/>
      <c r="K252" s="34"/>
      <c r="EW252" s="201" t="s">
        <v>272</v>
      </c>
      <c r="EX252" s="201"/>
      <c r="EY252" s="228"/>
      <c r="EZ252" s="228"/>
      <c r="FA252" s="236"/>
      <c r="FB252" s="236"/>
      <c r="FC252" s="236">
        <f t="shared" ref="FC252:GH252" ca="1" si="3764">IF(FC241="","",IF(GP_Only?,0,FC246/$K$244*$J$244))</f>
        <v>0</v>
      </c>
      <c r="FD252" s="236">
        <f t="shared" ca="1" si="3764"/>
        <v>0</v>
      </c>
      <c r="FE252" s="236">
        <f t="shared" ca="1" si="3764"/>
        <v>1.4540284205033694E-28</v>
      </c>
      <c r="FF252" s="236">
        <f t="shared" ca="1" si="3764"/>
        <v>0</v>
      </c>
      <c r="FG252" s="236">
        <f t="shared" ca="1" si="3764"/>
        <v>0</v>
      </c>
      <c r="FH252" s="236">
        <f t="shared" ca="1" si="3764"/>
        <v>0</v>
      </c>
      <c r="FI252" s="236">
        <f t="shared" ca="1" si="3764"/>
        <v>0</v>
      </c>
      <c r="FJ252" s="236">
        <f t="shared" ca="1" si="3764"/>
        <v>0</v>
      </c>
      <c r="FK252" s="236">
        <f t="shared" ca="1" si="3764"/>
        <v>0</v>
      </c>
      <c r="FL252" s="236">
        <f t="shared" ca="1" si="3764"/>
        <v>0</v>
      </c>
      <c r="FM252" s="236">
        <f t="shared" ca="1" si="3764"/>
        <v>0</v>
      </c>
      <c r="FN252" s="236">
        <f t="shared" ca="1" si="3764"/>
        <v>0</v>
      </c>
      <c r="FO252" s="236">
        <f t="shared" ca="1" si="3764"/>
        <v>0</v>
      </c>
      <c r="FP252" s="236">
        <f t="shared" ca="1" si="3764"/>
        <v>0</v>
      </c>
      <c r="FQ252" s="236">
        <f t="shared" ca="1" si="3764"/>
        <v>0</v>
      </c>
      <c r="FR252" s="236">
        <f t="shared" ca="1" si="3764"/>
        <v>0</v>
      </c>
      <c r="FS252" s="236">
        <f t="shared" ca="1" si="3764"/>
        <v>0</v>
      </c>
      <c r="FT252" s="236">
        <f t="shared" ca="1" si="3764"/>
        <v>2.9080568410067387E-28</v>
      </c>
      <c r="FU252" s="236">
        <f t="shared" ca="1" si="3764"/>
        <v>1.4540284205033694E-28</v>
      </c>
      <c r="FV252" s="236">
        <f t="shared" ca="1" si="3764"/>
        <v>0</v>
      </c>
      <c r="FW252" s="236">
        <f t="shared" ca="1" si="3764"/>
        <v>0</v>
      </c>
      <c r="FX252" s="236">
        <f t="shared" ca="1" si="3764"/>
        <v>0</v>
      </c>
      <c r="FY252" s="236">
        <f t="shared" ca="1" si="3764"/>
        <v>0</v>
      </c>
      <c r="FZ252" s="236">
        <f t="shared" ca="1" si="3764"/>
        <v>0</v>
      </c>
      <c r="GA252" s="236">
        <f t="shared" ca="1" si="3764"/>
        <v>0</v>
      </c>
      <c r="GB252" s="236">
        <f t="shared" ca="1" si="3764"/>
        <v>0</v>
      </c>
      <c r="GC252" s="236">
        <f t="shared" ca="1" si="3764"/>
        <v>0</v>
      </c>
      <c r="GD252" s="236">
        <f t="shared" ca="1" si="3764"/>
        <v>0</v>
      </c>
      <c r="GE252" s="236">
        <f t="shared" ca="1" si="3764"/>
        <v>0</v>
      </c>
      <c r="GF252" s="236">
        <f t="shared" ca="1" si="3764"/>
        <v>0</v>
      </c>
      <c r="GG252" s="236">
        <f t="shared" ca="1" si="3764"/>
        <v>0</v>
      </c>
      <c r="GH252" s="236">
        <f t="shared" ca="1" si="3764"/>
        <v>0</v>
      </c>
      <c r="GI252" s="236">
        <f t="shared" ref="GI252:HN252" ca="1" si="3765">IF(GI241="","",IF(GP_Only?,0,GI246/$K$244*$J$244))</f>
        <v>0</v>
      </c>
      <c r="GJ252" s="236">
        <f t="shared" ca="1" si="3765"/>
        <v>0</v>
      </c>
      <c r="GK252" s="236">
        <f t="shared" ca="1" si="3765"/>
        <v>0</v>
      </c>
      <c r="GL252" s="236">
        <f t="shared" ca="1" si="3765"/>
        <v>0</v>
      </c>
      <c r="GM252" s="236">
        <f t="shared" ca="1" si="3765"/>
        <v>740062.14717805083</v>
      </c>
      <c r="GN252" s="236" t="str">
        <f t="shared" si="3765"/>
        <v/>
      </c>
      <c r="GO252" s="236" t="str">
        <f t="shared" si="3765"/>
        <v/>
      </c>
      <c r="GP252" s="236" t="str">
        <f t="shared" si="3765"/>
        <v/>
      </c>
      <c r="GQ252" s="236" t="str">
        <f t="shared" si="3765"/>
        <v/>
      </c>
      <c r="GR252" s="236" t="str">
        <f t="shared" si="3765"/>
        <v/>
      </c>
      <c r="GS252" s="236" t="str">
        <f t="shared" si="3765"/>
        <v/>
      </c>
      <c r="GT252" s="236" t="str">
        <f t="shared" si="3765"/>
        <v/>
      </c>
      <c r="GU252" s="236" t="str">
        <f t="shared" si="3765"/>
        <v/>
      </c>
      <c r="GV252" s="236" t="str">
        <f t="shared" si="3765"/>
        <v/>
      </c>
      <c r="GW252" s="236" t="str">
        <f t="shared" si="3765"/>
        <v/>
      </c>
      <c r="GX252" s="236" t="str">
        <f t="shared" si="3765"/>
        <v/>
      </c>
      <c r="GY252" s="236" t="str">
        <f t="shared" si="3765"/>
        <v/>
      </c>
      <c r="GZ252" s="236" t="str">
        <f t="shared" si="3765"/>
        <v/>
      </c>
      <c r="HA252" s="236" t="str">
        <f t="shared" si="3765"/>
        <v/>
      </c>
      <c r="HB252" s="236" t="str">
        <f t="shared" si="3765"/>
        <v/>
      </c>
      <c r="HC252" s="236" t="str">
        <f t="shared" si="3765"/>
        <v/>
      </c>
      <c r="HD252" s="236" t="str">
        <f t="shared" si="3765"/>
        <v/>
      </c>
      <c r="HE252" s="236" t="str">
        <f t="shared" si="3765"/>
        <v/>
      </c>
      <c r="HF252" s="236" t="str">
        <f t="shared" si="3765"/>
        <v/>
      </c>
      <c r="HG252" s="236" t="str">
        <f t="shared" si="3765"/>
        <v/>
      </c>
      <c r="HH252" s="236" t="str">
        <f t="shared" si="3765"/>
        <v/>
      </c>
      <c r="HI252" s="236" t="str">
        <f t="shared" si="3765"/>
        <v/>
      </c>
      <c r="HJ252" s="236" t="str">
        <f t="shared" si="3765"/>
        <v/>
      </c>
      <c r="HK252" s="236" t="str">
        <f t="shared" si="3765"/>
        <v/>
      </c>
      <c r="HL252" s="236" t="str">
        <f t="shared" si="3765"/>
        <v/>
      </c>
      <c r="HM252" s="236" t="str">
        <f t="shared" si="3765"/>
        <v/>
      </c>
      <c r="HN252" s="236" t="str">
        <f t="shared" si="3765"/>
        <v/>
      </c>
      <c r="HO252" s="236" t="str">
        <f t="shared" ref="HO252:IT252" si="3766">IF(HO241="","",IF(GP_Only?,0,HO246/$K$244*$J$244))</f>
        <v/>
      </c>
      <c r="HP252" s="236" t="str">
        <f t="shared" si="3766"/>
        <v/>
      </c>
      <c r="HQ252" s="236" t="str">
        <f t="shared" si="3766"/>
        <v/>
      </c>
      <c r="HR252" s="236" t="str">
        <f t="shared" si="3766"/>
        <v/>
      </c>
      <c r="HS252" s="236" t="str">
        <f t="shared" si="3766"/>
        <v/>
      </c>
      <c r="HT252" s="236" t="str">
        <f t="shared" si="3766"/>
        <v/>
      </c>
      <c r="HU252" s="236" t="str">
        <f t="shared" si="3766"/>
        <v/>
      </c>
      <c r="HV252" s="236" t="str">
        <f t="shared" si="3766"/>
        <v/>
      </c>
      <c r="HW252" s="236" t="str">
        <f t="shared" si="3766"/>
        <v/>
      </c>
      <c r="HX252" s="236" t="str">
        <f t="shared" si="3766"/>
        <v/>
      </c>
      <c r="HY252" s="236" t="str">
        <f t="shared" si="3766"/>
        <v/>
      </c>
      <c r="HZ252" s="236" t="str">
        <f t="shared" si="3766"/>
        <v/>
      </c>
      <c r="IA252" s="236" t="str">
        <f t="shared" si="3766"/>
        <v/>
      </c>
      <c r="IB252" s="236" t="str">
        <f t="shared" si="3766"/>
        <v/>
      </c>
      <c r="IC252" s="236" t="str">
        <f t="shared" si="3766"/>
        <v/>
      </c>
      <c r="ID252" s="236" t="str">
        <f t="shared" si="3766"/>
        <v/>
      </c>
      <c r="IE252" s="236" t="str">
        <f t="shared" si="3766"/>
        <v/>
      </c>
      <c r="IF252" s="236" t="str">
        <f t="shared" si="3766"/>
        <v/>
      </c>
      <c r="IG252" s="236" t="str">
        <f t="shared" si="3766"/>
        <v/>
      </c>
      <c r="IH252" s="236" t="str">
        <f t="shared" si="3766"/>
        <v/>
      </c>
      <c r="II252" s="236" t="str">
        <f t="shared" si="3766"/>
        <v/>
      </c>
      <c r="IJ252" s="236" t="str">
        <f t="shared" si="3766"/>
        <v/>
      </c>
      <c r="IK252" s="236" t="str">
        <f t="shared" si="3766"/>
        <v/>
      </c>
      <c r="IL252" s="236" t="str">
        <f t="shared" si="3766"/>
        <v/>
      </c>
      <c r="IM252" s="236" t="str">
        <f t="shared" si="3766"/>
        <v/>
      </c>
      <c r="IN252" s="236" t="str">
        <f t="shared" si="3766"/>
        <v/>
      </c>
      <c r="IO252" s="236" t="str">
        <f t="shared" si="3766"/>
        <v/>
      </c>
      <c r="IP252" s="236" t="str">
        <f t="shared" si="3766"/>
        <v/>
      </c>
      <c r="IQ252" s="236" t="str">
        <f t="shared" si="3766"/>
        <v/>
      </c>
      <c r="IR252" s="236" t="str">
        <f t="shared" si="3766"/>
        <v/>
      </c>
      <c r="IS252" s="236" t="str">
        <f t="shared" si="3766"/>
        <v/>
      </c>
      <c r="IT252" s="236" t="str">
        <f t="shared" si="3766"/>
        <v/>
      </c>
      <c r="IU252" s="236" t="str">
        <f t="shared" ref="IU252:KE252" si="3767">IF(IU241="","",IF(GP_Only?,0,IU246/$K$244*$J$244))</f>
        <v/>
      </c>
      <c r="IV252" s="236" t="str">
        <f t="shared" si="3767"/>
        <v/>
      </c>
      <c r="IW252" s="236" t="str">
        <f t="shared" si="3767"/>
        <v/>
      </c>
      <c r="IX252" s="236" t="str">
        <f t="shared" si="3767"/>
        <v/>
      </c>
      <c r="IY252" s="236" t="str">
        <f t="shared" si="3767"/>
        <v/>
      </c>
      <c r="IZ252" s="236" t="str">
        <f t="shared" si="3767"/>
        <v/>
      </c>
      <c r="JA252" s="236" t="str">
        <f t="shared" si="3767"/>
        <v/>
      </c>
      <c r="JB252" s="236" t="str">
        <f t="shared" si="3767"/>
        <v/>
      </c>
      <c r="JC252" s="236" t="str">
        <f t="shared" si="3767"/>
        <v/>
      </c>
      <c r="JD252" s="236" t="str">
        <f t="shared" si="3767"/>
        <v/>
      </c>
      <c r="JE252" s="236" t="str">
        <f t="shared" si="3767"/>
        <v/>
      </c>
      <c r="JF252" s="236" t="str">
        <f t="shared" si="3767"/>
        <v/>
      </c>
      <c r="JG252" s="236" t="str">
        <f t="shared" si="3767"/>
        <v/>
      </c>
      <c r="JH252" s="236" t="str">
        <f t="shared" si="3767"/>
        <v/>
      </c>
      <c r="JI252" s="236" t="str">
        <f t="shared" si="3767"/>
        <v/>
      </c>
      <c r="JJ252" s="236" t="str">
        <f t="shared" si="3767"/>
        <v/>
      </c>
      <c r="JK252" s="236" t="str">
        <f t="shared" si="3767"/>
        <v/>
      </c>
      <c r="JL252" s="236" t="str">
        <f t="shared" si="3767"/>
        <v/>
      </c>
      <c r="JM252" s="236" t="str">
        <f t="shared" si="3767"/>
        <v/>
      </c>
      <c r="JN252" s="236" t="str">
        <f t="shared" si="3767"/>
        <v/>
      </c>
      <c r="JO252" s="236" t="str">
        <f t="shared" si="3767"/>
        <v/>
      </c>
      <c r="JP252" s="236" t="str">
        <f t="shared" si="3767"/>
        <v/>
      </c>
      <c r="JQ252" s="236" t="str">
        <f t="shared" si="3767"/>
        <v/>
      </c>
      <c r="JR252" s="236" t="str">
        <f t="shared" si="3767"/>
        <v/>
      </c>
      <c r="JS252" s="236" t="str">
        <f t="shared" si="3767"/>
        <v/>
      </c>
      <c r="JT252" s="236" t="str">
        <f t="shared" si="3767"/>
        <v/>
      </c>
      <c r="JU252" s="236" t="str">
        <f t="shared" si="3767"/>
        <v/>
      </c>
      <c r="JV252" s="236" t="str">
        <f t="shared" si="3767"/>
        <v/>
      </c>
      <c r="JW252" s="236" t="str">
        <f t="shared" si="3767"/>
        <v/>
      </c>
      <c r="JX252" s="236" t="str">
        <f t="shared" si="3767"/>
        <v/>
      </c>
      <c r="JY252" s="236" t="str">
        <f t="shared" si="3767"/>
        <v/>
      </c>
      <c r="JZ252" s="236" t="str">
        <f t="shared" si="3767"/>
        <v/>
      </c>
      <c r="KA252" s="236" t="str">
        <f t="shared" si="3767"/>
        <v/>
      </c>
      <c r="KB252" s="236" t="str">
        <f t="shared" si="3767"/>
        <v/>
      </c>
      <c r="KC252" s="236" t="str">
        <f t="shared" si="3767"/>
        <v/>
      </c>
      <c r="KD252" s="236" t="str">
        <f t="shared" si="3767"/>
        <v/>
      </c>
      <c r="KE252" s="236" t="str">
        <f t="shared" si="3767"/>
        <v/>
      </c>
      <c r="KF252" s="200" t="s">
        <v>269</v>
      </c>
      <c r="PQ252" s="201"/>
      <c r="PR252" s="201"/>
      <c r="PS252" s="201"/>
      <c r="PT252" s="201"/>
      <c r="PU252" s="201"/>
      <c r="PV252" s="201"/>
      <c r="PW252" s="201"/>
      <c r="PX252" s="201"/>
      <c r="PY252" s="201"/>
      <c r="PZ252" s="201"/>
      <c r="QA252" s="201"/>
      <c r="QB252" s="201"/>
      <c r="QC252" s="201"/>
      <c r="QD252" s="201"/>
      <c r="QE252" s="201"/>
      <c r="QF252" s="201"/>
      <c r="QG252" s="201"/>
      <c r="QH252" s="201"/>
      <c r="QI252" s="201"/>
      <c r="QJ252" s="201"/>
      <c r="QK252" s="201"/>
      <c r="QL252" s="201"/>
      <c r="QM252" s="201"/>
      <c r="QN252" s="201"/>
      <c r="QO252" s="201"/>
      <c r="QP252" s="201"/>
      <c r="QQ252" s="201"/>
      <c r="QR252" s="201"/>
      <c r="QS252" s="201"/>
      <c r="QT252" s="201"/>
      <c r="QU252" s="201"/>
      <c r="QV252" s="201"/>
      <c r="QW252" s="201"/>
      <c r="QX252" s="201"/>
      <c r="QY252" s="201"/>
      <c r="QZ252" s="201"/>
      <c r="RA252" s="201"/>
      <c r="RB252" s="201"/>
      <c r="RC252" s="201"/>
      <c r="RD252" s="201"/>
      <c r="RE252" s="201"/>
      <c r="RF252" s="201"/>
      <c r="RG252" s="201"/>
      <c r="RH252" s="201"/>
      <c r="RI252" s="201"/>
      <c r="RJ252" s="201"/>
      <c r="RK252" s="201"/>
      <c r="RL252" s="201"/>
      <c r="RM252" s="201"/>
      <c r="RN252" s="201"/>
      <c r="RO252" s="201"/>
      <c r="RP252" s="201"/>
      <c r="RQ252" s="201"/>
      <c r="RR252" s="201"/>
      <c r="RS252" s="201"/>
      <c r="RT252" s="201"/>
      <c r="RU252" s="201"/>
      <c r="RV252" s="201"/>
      <c r="RW252" s="201"/>
      <c r="RX252" s="201"/>
      <c r="RY252" s="201"/>
      <c r="RZ252" s="201"/>
      <c r="SA252" s="201"/>
      <c r="SB252" s="201"/>
      <c r="SC252" s="201"/>
      <c r="SD252" s="201"/>
      <c r="SE252" s="201"/>
      <c r="SF252" s="201"/>
      <c r="SG252" s="201"/>
      <c r="SH252" s="201"/>
      <c r="SI252" s="201"/>
      <c r="SJ252" s="201"/>
      <c r="SK252" s="201"/>
      <c r="SL252" s="201"/>
      <c r="SM252" s="201"/>
      <c r="SN252" s="201"/>
      <c r="SO252" s="201"/>
      <c r="SP252" s="201"/>
      <c r="SQ252" s="201"/>
      <c r="SR252" s="201"/>
      <c r="SS252" s="201"/>
      <c r="ST252" s="201"/>
      <c r="SU252" s="201"/>
      <c r="SV252" s="201"/>
      <c r="SW252" s="201"/>
      <c r="SX252" s="201"/>
      <c r="SY252" s="201"/>
      <c r="SZ252" s="201"/>
      <c r="TA252" s="201"/>
      <c r="TB252" s="201"/>
      <c r="TC252" s="201"/>
      <c r="TD252" s="201"/>
      <c r="TE252" s="201"/>
      <c r="TF252" s="201"/>
      <c r="TG252" s="201"/>
      <c r="TH252" s="201"/>
      <c r="TI252" s="201"/>
      <c r="TJ252" s="201"/>
      <c r="TK252" s="201"/>
      <c r="TL252" s="201"/>
      <c r="TM252" s="201"/>
      <c r="TN252" s="201"/>
      <c r="TO252" s="201"/>
      <c r="TP252" s="201"/>
      <c r="TQ252" s="201"/>
      <c r="TR252" s="201"/>
      <c r="TS252" s="201"/>
      <c r="TT252" s="201"/>
      <c r="TU252" s="201"/>
      <c r="TV252" s="201"/>
      <c r="TW252" s="201"/>
      <c r="TX252" s="201"/>
      <c r="TY252" s="201"/>
      <c r="TZ252" s="201"/>
      <c r="UA252" s="201"/>
      <c r="UB252" s="201"/>
      <c r="UC252" s="201"/>
      <c r="UD252" s="201"/>
      <c r="UE252" s="201"/>
      <c r="UF252" s="201"/>
      <c r="UG252" s="201"/>
      <c r="UH252" s="201"/>
      <c r="UI252" s="201"/>
      <c r="UJ252" s="201"/>
      <c r="UK252" s="201"/>
      <c r="UL252" s="201"/>
      <c r="UM252" s="201"/>
      <c r="UN252" s="201"/>
      <c r="UO252" s="201"/>
      <c r="UP252" s="201"/>
      <c r="UQ252" s="201"/>
      <c r="UR252" s="201"/>
      <c r="US252" s="201"/>
      <c r="UT252" s="201"/>
      <c r="UU252" s="201"/>
    </row>
    <row r="253" spans="1:567" x14ac:dyDescent="0.25">
      <c r="B253" s="28" t="s">
        <v>254</v>
      </c>
      <c r="C253" s="18"/>
      <c r="D253" s="18"/>
      <c r="E253" s="18"/>
      <c r="F253" s="18"/>
      <c r="G253" s="29" t="s">
        <v>785</v>
      </c>
      <c r="H253" s="29" t="s">
        <v>255</v>
      </c>
      <c r="I253" s="29" t="s">
        <v>223</v>
      </c>
      <c r="J253" s="29" t="s">
        <v>244</v>
      </c>
      <c r="K253" s="29" t="s">
        <v>75</v>
      </c>
      <c r="EW253" s="229" t="s">
        <v>278</v>
      </c>
      <c r="EX253" s="229"/>
      <c r="EY253" s="232"/>
      <c r="EZ253" s="228"/>
      <c r="FA253" s="231"/>
      <c r="FB253" s="231"/>
      <c r="FC253" s="204">
        <v>0</v>
      </c>
      <c r="FD253" s="204">
        <f>+FC253+1</f>
        <v>1</v>
      </c>
      <c r="FE253" s="204">
        <f t="shared" ref="FE253" si="3768">+FD253+1</f>
        <v>2</v>
      </c>
      <c r="FF253" s="204">
        <f t="shared" ref="FF253" si="3769">+FE253+1</f>
        <v>3</v>
      </c>
      <c r="FG253" s="204">
        <f t="shared" ref="FG253" si="3770">+FF253+1</f>
        <v>4</v>
      </c>
      <c r="FH253" s="204">
        <f t="shared" ref="FH253" si="3771">+FG253+1</f>
        <v>5</v>
      </c>
      <c r="FI253" s="204">
        <f t="shared" ref="FI253" si="3772">+FH253+1</f>
        <v>6</v>
      </c>
      <c r="FJ253" s="204">
        <f t="shared" ref="FJ253" si="3773">+FI253+1</f>
        <v>7</v>
      </c>
      <c r="FK253" s="204">
        <f t="shared" ref="FK253" si="3774">+FJ253+1</f>
        <v>8</v>
      </c>
      <c r="FL253" s="204">
        <f t="shared" ref="FL253" si="3775">+FK253+1</f>
        <v>9</v>
      </c>
      <c r="FM253" s="204">
        <f t="shared" ref="FM253" si="3776">+FL253+1</f>
        <v>10</v>
      </c>
      <c r="FN253" s="204">
        <f t="shared" ref="FN253" si="3777">+FM253+1</f>
        <v>11</v>
      </c>
      <c r="FO253" s="204">
        <f t="shared" ref="FO253" si="3778">+FN253+1</f>
        <v>12</v>
      </c>
      <c r="FP253" s="204">
        <f t="shared" ref="FP253" si="3779">+FO253+1</f>
        <v>13</v>
      </c>
      <c r="FQ253" s="204">
        <f t="shared" ref="FQ253" si="3780">+FP253+1</f>
        <v>14</v>
      </c>
      <c r="FR253" s="204">
        <f t="shared" ref="FR253" si="3781">+FQ253+1</f>
        <v>15</v>
      </c>
      <c r="FS253" s="204">
        <f t="shared" ref="FS253" si="3782">+FR253+1</f>
        <v>16</v>
      </c>
      <c r="FT253" s="204">
        <f t="shared" ref="FT253" si="3783">+FS253+1</f>
        <v>17</v>
      </c>
      <c r="FU253" s="204">
        <f t="shared" ref="FU253" si="3784">+FT253+1</f>
        <v>18</v>
      </c>
      <c r="FV253" s="204">
        <f t="shared" ref="FV253" si="3785">+FU253+1</f>
        <v>19</v>
      </c>
      <c r="FW253" s="204">
        <f t="shared" ref="FW253" si="3786">+FV253+1</f>
        <v>20</v>
      </c>
      <c r="FX253" s="204">
        <f t="shared" ref="FX253" si="3787">+FW253+1</f>
        <v>21</v>
      </c>
      <c r="FY253" s="204">
        <f t="shared" ref="FY253" si="3788">+FX253+1</f>
        <v>22</v>
      </c>
      <c r="FZ253" s="204">
        <f t="shared" ref="FZ253" si="3789">+FY253+1</f>
        <v>23</v>
      </c>
      <c r="GA253" s="204">
        <f t="shared" ref="GA253" si="3790">+FZ253+1</f>
        <v>24</v>
      </c>
      <c r="GB253" s="204">
        <f t="shared" ref="GB253" si="3791">+GA253+1</f>
        <v>25</v>
      </c>
      <c r="GC253" s="204">
        <f t="shared" ref="GC253" si="3792">+GB253+1</f>
        <v>26</v>
      </c>
      <c r="GD253" s="204">
        <f t="shared" ref="GD253" si="3793">+GC253+1</f>
        <v>27</v>
      </c>
      <c r="GE253" s="204">
        <f t="shared" ref="GE253" si="3794">+GD253+1</f>
        <v>28</v>
      </c>
      <c r="GF253" s="204">
        <f t="shared" ref="GF253" si="3795">+GE253+1</f>
        <v>29</v>
      </c>
      <c r="GG253" s="204">
        <f t="shared" ref="GG253" si="3796">+GF253+1</f>
        <v>30</v>
      </c>
      <c r="GH253" s="204">
        <f t="shared" ref="GH253" si="3797">+GG253+1</f>
        <v>31</v>
      </c>
      <c r="GI253" s="204">
        <f t="shared" ref="GI253" si="3798">+GH253+1</f>
        <v>32</v>
      </c>
      <c r="GJ253" s="204">
        <f t="shared" ref="GJ253" si="3799">+GI253+1</f>
        <v>33</v>
      </c>
      <c r="GK253" s="204">
        <f t="shared" ref="GK253" si="3800">+GJ253+1</f>
        <v>34</v>
      </c>
      <c r="GL253" s="204">
        <f t="shared" ref="GL253" si="3801">+GK253+1</f>
        <v>35</v>
      </c>
      <c r="GM253" s="204">
        <f t="shared" ref="GM253" si="3802">+GL253+1</f>
        <v>36</v>
      </c>
      <c r="GN253" s="204">
        <f t="shared" ref="GN253" si="3803">+GM253+1</f>
        <v>37</v>
      </c>
      <c r="GO253" s="204">
        <f t="shared" ref="GO253" si="3804">+GN253+1</f>
        <v>38</v>
      </c>
      <c r="GP253" s="204">
        <f t="shared" ref="GP253" si="3805">+GO253+1</f>
        <v>39</v>
      </c>
      <c r="GQ253" s="204">
        <f t="shared" ref="GQ253" si="3806">+GP253+1</f>
        <v>40</v>
      </c>
      <c r="GR253" s="204">
        <f t="shared" ref="GR253" si="3807">+GQ253+1</f>
        <v>41</v>
      </c>
      <c r="GS253" s="204">
        <f t="shared" ref="GS253" si="3808">+GR253+1</f>
        <v>42</v>
      </c>
      <c r="GT253" s="204">
        <f t="shared" ref="GT253" si="3809">+GS253+1</f>
        <v>43</v>
      </c>
      <c r="GU253" s="204">
        <f t="shared" ref="GU253" si="3810">+GT253+1</f>
        <v>44</v>
      </c>
      <c r="GV253" s="204">
        <f t="shared" ref="GV253" si="3811">+GU253+1</f>
        <v>45</v>
      </c>
      <c r="GW253" s="204">
        <f t="shared" ref="GW253" si="3812">+GV253+1</f>
        <v>46</v>
      </c>
      <c r="GX253" s="204">
        <f t="shared" ref="GX253" si="3813">+GW253+1</f>
        <v>47</v>
      </c>
      <c r="GY253" s="204">
        <f t="shared" ref="GY253" si="3814">+GX253+1</f>
        <v>48</v>
      </c>
      <c r="GZ253" s="204">
        <f t="shared" ref="GZ253" si="3815">+GY253+1</f>
        <v>49</v>
      </c>
      <c r="HA253" s="204">
        <f t="shared" ref="HA253" si="3816">+GZ253+1</f>
        <v>50</v>
      </c>
      <c r="HB253" s="204">
        <f t="shared" ref="HB253" si="3817">+HA253+1</f>
        <v>51</v>
      </c>
      <c r="HC253" s="204">
        <f t="shared" ref="HC253" si="3818">+HB253+1</f>
        <v>52</v>
      </c>
      <c r="HD253" s="204">
        <f t="shared" ref="HD253" si="3819">+HC253+1</f>
        <v>53</v>
      </c>
      <c r="HE253" s="204">
        <f t="shared" ref="HE253" si="3820">+HD253+1</f>
        <v>54</v>
      </c>
      <c r="HF253" s="204">
        <f t="shared" ref="HF253" si="3821">+HE253+1</f>
        <v>55</v>
      </c>
      <c r="HG253" s="204">
        <f t="shared" ref="HG253" si="3822">+HF253+1</f>
        <v>56</v>
      </c>
      <c r="HH253" s="204">
        <f t="shared" ref="HH253" si="3823">+HG253+1</f>
        <v>57</v>
      </c>
      <c r="HI253" s="204">
        <f t="shared" ref="HI253" si="3824">+HH253+1</f>
        <v>58</v>
      </c>
      <c r="HJ253" s="204">
        <f t="shared" ref="HJ253" si="3825">+HI253+1</f>
        <v>59</v>
      </c>
      <c r="HK253" s="204">
        <f t="shared" ref="HK253" si="3826">+HJ253+1</f>
        <v>60</v>
      </c>
      <c r="HL253" s="204">
        <f t="shared" ref="HL253" si="3827">+HK253+1</f>
        <v>61</v>
      </c>
      <c r="HM253" s="204">
        <f t="shared" ref="HM253" si="3828">+HL253+1</f>
        <v>62</v>
      </c>
      <c r="HN253" s="204">
        <f t="shared" ref="HN253" si="3829">+HM253+1</f>
        <v>63</v>
      </c>
      <c r="HO253" s="204">
        <f t="shared" ref="HO253" si="3830">+HN253+1</f>
        <v>64</v>
      </c>
      <c r="HP253" s="204">
        <f t="shared" ref="HP253" si="3831">+HO253+1</f>
        <v>65</v>
      </c>
      <c r="HQ253" s="204">
        <f t="shared" ref="HQ253" si="3832">+HP253+1</f>
        <v>66</v>
      </c>
      <c r="HR253" s="204">
        <f t="shared" ref="HR253" si="3833">+HQ253+1</f>
        <v>67</v>
      </c>
      <c r="HS253" s="204">
        <f t="shared" ref="HS253" si="3834">+HR253+1</f>
        <v>68</v>
      </c>
      <c r="HT253" s="204">
        <f t="shared" ref="HT253" si="3835">+HS253+1</f>
        <v>69</v>
      </c>
      <c r="HU253" s="204">
        <f t="shared" ref="HU253" si="3836">+HT253+1</f>
        <v>70</v>
      </c>
      <c r="HV253" s="204">
        <f t="shared" ref="HV253" si="3837">+HU253+1</f>
        <v>71</v>
      </c>
      <c r="HW253" s="204">
        <f t="shared" ref="HW253" si="3838">+HV253+1</f>
        <v>72</v>
      </c>
      <c r="HX253" s="204">
        <f t="shared" ref="HX253" si="3839">+HW253+1</f>
        <v>73</v>
      </c>
      <c r="HY253" s="204">
        <f t="shared" ref="HY253" si="3840">+HX253+1</f>
        <v>74</v>
      </c>
      <c r="HZ253" s="204">
        <f t="shared" ref="HZ253" si="3841">+HY253+1</f>
        <v>75</v>
      </c>
      <c r="IA253" s="204">
        <f t="shared" ref="IA253" si="3842">+HZ253+1</f>
        <v>76</v>
      </c>
      <c r="IB253" s="204">
        <f t="shared" ref="IB253" si="3843">+IA253+1</f>
        <v>77</v>
      </c>
      <c r="IC253" s="204">
        <f t="shared" ref="IC253" si="3844">+IB253+1</f>
        <v>78</v>
      </c>
      <c r="ID253" s="204">
        <f t="shared" ref="ID253" si="3845">+IC253+1</f>
        <v>79</v>
      </c>
      <c r="IE253" s="204">
        <f t="shared" ref="IE253" si="3846">+ID253+1</f>
        <v>80</v>
      </c>
      <c r="IF253" s="204">
        <f t="shared" ref="IF253" si="3847">+IE253+1</f>
        <v>81</v>
      </c>
      <c r="IG253" s="204">
        <f t="shared" ref="IG253" si="3848">+IF253+1</f>
        <v>82</v>
      </c>
      <c r="IH253" s="204">
        <f t="shared" ref="IH253" si="3849">+IG253+1</f>
        <v>83</v>
      </c>
      <c r="II253" s="204">
        <f t="shared" ref="II253" si="3850">+IH253+1</f>
        <v>84</v>
      </c>
      <c r="IJ253" s="204">
        <f t="shared" ref="IJ253" si="3851">+II253+1</f>
        <v>85</v>
      </c>
      <c r="IK253" s="204">
        <f t="shared" ref="IK253" si="3852">+IJ253+1</f>
        <v>86</v>
      </c>
      <c r="IL253" s="204">
        <f t="shared" ref="IL253" si="3853">+IK253+1</f>
        <v>87</v>
      </c>
      <c r="IM253" s="204">
        <f t="shared" ref="IM253" si="3854">+IL253+1</f>
        <v>88</v>
      </c>
      <c r="IN253" s="204">
        <f t="shared" ref="IN253" si="3855">+IM253+1</f>
        <v>89</v>
      </c>
      <c r="IO253" s="204">
        <f t="shared" ref="IO253" si="3856">+IN253+1</f>
        <v>90</v>
      </c>
      <c r="IP253" s="204">
        <f t="shared" ref="IP253" si="3857">+IO253+1</f>
        <v>91</v>
      </c>
      <c r="IQ253" s="204">
        <f t="shared" ref="IQ253" si="3858">+IP253+1</f>
        <v>92</v>
      </c>
      <c r="IR253" s="204">
        <f t="shared" ref="IR253" si="3859">+IQ253+1</f>
        <v>93</v>
      </c>
      <c r="IS253" s="204">
        <f t="shared" ref="IS253" si="3860">+IR253+1</f>
        <v>94</v>
      </c>
      <c r="IT253" s="204">
        <f t="shared" ref="IT253" si="3861">+IS253+1</f>
        <v>95</v>
      </c>
      <c r="IU253" s="204">
        <f t="shared" ref="IU253" si="3862">+IT253+1</f>
        <v>96</v>
      </c>
      <c r="IV253" s="204">
        <f t="shared" ref="IV253" si="3863">+IU253+1</f>
        <v>97</v>
      </c>
      <c r="IW253" s="204">
        <f t="shared" ref="IW253" si="3864">+IV253+1</f>
        <v>98</v>
      </c>
      <c r="IX253" s="204">
        <f t="shared" ref="IX253" si="3865">+IW253+1</f>
        <v>99</v>
      </c>
      <c r="IY253" s="204">
        <f t="shared" ref="IY253" si="3866">+IX253+1</f>
        <v>100</v>
      </c>
      <c r="IZ253" s="204">
        <f t="shared" ref="IZ253" si="3867">+IY253+1</f>
        <v>101</v>
      </c>
      <c r="JA253" s="204">
        <f t="shared" ref="JA253" si="3868">+IZ253+1</f>
        <v>102</v>
      </c>
      <c r="JB253" s="204">
        <f t="shared" ref="JB253" si="3869">+JA253+1</f>
        <v>103</v>
      </c>
      <c r="JC253" s="204">
        <f t="shared" ref="JC253" si="3870">+JB253+1</f>
        <v>104</v>
      </c>
      <c r="JD253" s="204">
        <f t="shared" ref="JD253" si="3871">+JC253+1</f>
        <v>105</v>
      </c>
      <c r="JE253" s="204">
        <f t="shared" ref="JE253" si="3872">+JD253+1</f>
        <v>106</v>
      </c>
      <c r="JF253" s="204">
        <f t="shared" ref="JF253" si="3873">+JE253+1</f>
        <v>107</v>
      </c>
      <c r="JG253" s="204">
        <f t="shared" ref="JG253" si="3874">+JF253+1</f>
        <v>108</v>
      </c>
      <c r="JH253" s="204">
        <f t="shared" ref="JH253" si="3875">+JG253+1</f>
        <v>109</v>
      </c>
      <c r="JI253" s="204">
        <f t="shared" ref="JI253" si="3876">+JH253+1</f>
        <v>110</v>
      </c>
      <c r="JJ253" s="204">
        <f t="shared" ref="JJ253" si="3877">+JI253+1</f>
        <v>111</v>
      </c>
      <c r="JK253" s="204">
        <f t="shared" ref="JK253" si="3878">+JJ253+1</f>
        <v>112</v>
      </c>
      <c r="JL253" s="204">
        <f t="shared" ref="JL253" si="3879">+JK253+1</f>
        <v>113</v>
      </c>
      <c r="JM253" s="204">
        <f t="shared" ref="JM253" si="3880">+JL253+1</f>
        <v>114</v>
      </c>
      <c r="JN253" s="204">
        <f t="shared" ref="JN253" si="3881">+JM253+1</f>
        <v>115</v>
      </c>
      <c r="JO253" s="204">
        <f t="shared" ref="JO253" si="3882">+JN253+1</f>
        <v>116</v>
      </c>
      <c r="JP253" s="204">
        <f t="shared" ref="JP253" si="3883">+JO253+1</f>
        <v>117</v>
      </c>
      <c r="JQ253" s="204">
        <f t="shared" ref="JQ253" si="3884">+JP253+1</f>
        <v>118</v>
      </c>
      <c r="JR253" s="204">
        <f t="shared" ref="JR253" si="3885">+JQ253+1</f>
        <v>119</v>
      </c>
      <c r="JS253" s="204">
        <f t="shared" ref="JS253" si="3886">+JR253+1</f>
        <v>120</v>
      </c>
      <c r="JT253" s="204">
        <f t="shared" ref="JT253" si="3887">+JS253+1</f>
        <v>121</v>
      </c>
      <c r="JU253" s="204">
        <f t="shared" ref="JU253" si="3888">+JT253+1</f>
        <v>122</v>
      </c>
      <c r="JV253" s="204">
        <f t="shared" ref="JV253" si="3889">+JU253+1</f>
        <v>123</v>
      </c>
      <c r="JW253" s="204">
        <f t="shared" ref="JW253" si="3890">+JV253+1</f>
        <v>124</v>
      </c>
      <c r="JX253" s="204">
        <f t="shared" ref="JX253" si="3891">+JW253+1</f>
        <v>125</v>
      </c>
      <c r="JY253" s="204">
        <f t="shared" ref="JY253" si="3892">+JX253+1</f>
        <v>126</v>
      </c>
      <c r="JZ253" s="204">
        <f t="shared" ref="JZ253" si="3893">+JY253+1</f>
        <v>127</v>
      </c>
      <c r="KA253" s="204">
        <f t="shared" ref="KA253" si="3894">+JZ253+1</f>
        <v>128</v>
      </c>
      <c r="KB253" s="204">
        <f t="shared" ref="KB253" si="3895">+KA253+1</f>
        <v>129</v>
      </c>
      <c r="KC253" s="204">
        <f t="shared" ref="KC253" si="3896">+KB253+1</f>
        <v>130</v>
      </c>
      <c r="KD253" s="204">
        <f t="shared" ref="KD253" si="3897">+KC253+1</f>
        <v>131</v>
      </c>
      <c r="KE253" s="204">
        <f t="shared" ref="KE253" si="3898">+KD253+1</f>
        <v>132</v>
      </c>
      <c r="KF253" s="200" t="s">
        <v>269</v>
      </c>
      <c r="PQ253" s="201"/>
      <c r="PR253" s="201"/>
      <c r="PS253" s="201"/>
      <c r="PT253" s="201"/>
      <c r="PU253" s="201"/>
      <c r="PV253" s="201"/>
      <c r="PW253" s="201"/>
      <c r="PX253" s="201"/>
      <c r="PY253" s="201"/>
      <c r="PZ253" s="201"/>
      <c r="QA253" s="201"/>
      <c r="QB253" s="201"/>
      <c r="QC253" s="201"/>
      <c r="QD253" s="201"/>
      <c r="QE253" s="201"/>
      <c r="QF253" s="201"/>
      <c r="QG253" s="201"/>
      <c r="QH253" s="201"/>
      <c r="QI253" s="201"/>
      <c r="QJ253" s="201"/>
      <c r="QK253" s="201"/>
      <c r="QL253" s="201"/>
      <c r="QM253" s="201"/>
      <c r="QN253" s="201"/>
      <c r="QO253" s="201"/>
      <c r="QP253" s="201"/>
      <c r="QQ253" s="201"/>
      <c r="QR253" s="201"/>
      <c r="QS253" s="201"/>
      <c r="QT253" s="201"/>
      <c r="QU253" s="201"/>
      <c r="QV253" s="201"/>
      <c r="QW253" s="201"/>
      <c r="QX253" s="201"/>
      <c r="QY253" s="201"/>
      <c r="QZ253" s="201"/>
      <c r="RA253" s="201"/>
      <c r="RB253" s="201"/>
      <c r="RC253" s="201"/>
      <c r="RD253" s="201"/>
      <c r="RE253" s="201"/>
      <c r="RF253" s="201"/>
      <c r="RG253" s="201"/>
      <c r="RH253" s="201"/>
      <c r="RI253" s="201"/>
      <c r="RJ253" s="201"/>
      <c r="RK253" s="201"/>
      <c r="RL253" s="201"/>
      <c r="RM253" s="201"/>
      <c r="RN253" s="201"/>
      <c r="RO253" s="201"/>
      <c r="RP253" s="201"/>
      <c r="RQ253" s="201"/>
      <c r="RR253" s="201"/>
      <c r="RS253" s="201"/>
      <c r="RT253" s="201"/>
      <c r="RU253" s="201"/>
      <c r="RV253" s="201"/>
      <c r="RW253" s="201"/>
      <c r="RX253" s="201"/>
      <c r="RY253" s="201"/>
      <c r="RZ253" s="201"/>
      <c r="SA253" s="201"/>
      <c r="SB253" s="201"/>
      <c r="SC253" s="201"/>
      <c r="SD253" s="201"/>
      <c r="SE253" s="201"/>
      <c r="SF253" s="201"/>
      <c r="SG253" s="201"/>
      <c r="SH253" s="201"/>
      <c r="SI253" s="201"/>
      <c r="SJ253" s="201"/>
      <c r="SK253" s="201"/>
      <c r="SL253" s="201"/>
      <c r="SM253" s="201"/>
      <c r="SN253" s="201"/>
      <c r="SO253" s="201"/>
      <c r="SP253" s="201"/>
      <c r="SQ253" s="201"/>
      <c r="SR253" s="201"/>
      <c r="SS253" s="201"/>
      <c r="ST253" s="201"/>
      <c r="SU253" s="201"/>
      <c r="SV253" s="201"/>
      <c r="SW253" s="201"/>
      <c r="SX253" s="201"/>
      <c r="SY253" s="201"/>
      <c r="SZ253" s="201"/>
      <c r="TA253" s="201"/>
      <c r="TB253" s="201"/>
      <c r="TC253" s="201"/>
      <c r="TD253" s="201"/>
      <c r="TE253" s="201"/>
      <c r="TF253" s="201"/>
      <c r="TG253" s="201"/>
      <c r="TH253" s="201"/>
      <c r="TI253" s="201"/>
      <c r="TJ253" s="201"/>
      <c r="TK253" s="201"/>
      <c r="TL253" s="201"/>
      <c r="TM253" s="201"/>
      <c r="TN253" s="201"/>
      <c r="TO253" s="201"/>
      <c r="TP253" s="201"/>
      <c r="TQ253" s="201"/>
      <c r="TR253" s="201"/>
      <c r="TS253" s="201"/>
      <c r="TT253" s="201"/>
      <c r="TU253" s="201"/>
      <c r="TV253" s="201"/>
      <c r="TW253" s="201"/>
      <c r="TX253" s="201"/>
      <c r="TY253" s="201"/>
      <c r="TZ253" s="201"/>
      <c r="UA253" s="201"/>
      <c r="UB253" s="201"/>
      <c r="UC253" s="201"/>
      <c r="UD253" s="201"/>
      <c r="UE253" s="201"/>
      <c r="UF253" s="201"/>
      <c r="UG253" s="201"/>
      <c r="UH253" s="201"/>
      <c r="UI253" s="201"/>
      <c r="UJ253" s="201"/>
      <c r="UK253" s="201"/>
      <c r="UL253" s="201"/>
      <c r="UM253" s="201"/>
      <c r="UN253" s="201"/>
      <c r="UO253" s="201"/>
      <c r="UP253" s="201"/>
      <c r="UQ253" s="201"/>
      <c r="UR253" s="201"/>
      <c r="US253" s="201"/>
      <c r="UT253" s="201"/>
      <c r="UU253" s="201"/>
    </row>
    <row r="254" spans="1:567" x14ac:dyDescent="0.25">
      <c r="B254" s="18" t="s">
        <v>239</v>
      </c>
      <c r="C254" s="38" t="str">
        <f>C248</f>
        <v>[General Partner Name]</v>
      </c>
      <c r="D254" s="18"/>
      <c r="E254" s="18"/>
      <c r="F254" s="18"/>
      <c r="G254" s="121">
        <f ca="1">(K254/(D168/12)/K237)</f>
        <v>0.67238020167789037</v>
      </c>
      <c r="H254" s="249">
        <f ca="1">IFERROR(SUMIF(S254:EU254,"&gt;0")/-SUMIF(S254:EU254,"&lt;0"),"NA")</f>
        <v>4.6294741508225226</v>
      </c>
      <c r="I254" s="121">
        <f ca="1">IF(S254=0,XIRR(OFFSET(S254,0,0,1,Analysis_Period),OFFSET($S$216,0,0,1,Analysis_Period)),XIRR(OFFSET(S254,0,0,1,Analysis_Period+1),OFFSET($S$216,0,0,1,Analysis_Period+1)))</f>
        <v>0.87085801362991333</v>
      </c>
      <c r="J254" s="57">
        <f ca="1">K254/$K$256</f>
        <v>0.18523121413216309</v>
      </c>
      <c r="K254" s="34">
        <f ca="1">SUM(L254:ES254)</f>
        <v>2852141.5056240233</v>
      </c>
      <c r="R254" s="159" t="s">
        <v>377</v>
      </c>
      <c r="S254" s="92">
        <f ca="1">IF(S$229="","",-S237+S248+S249)</f>
        <v>-785827.75</v>
      </c>
      <c r="T254" s="92">
        <f t="shared" ref="T254:CE254" ca="1" si="3899">IF(T$229="","",-T237+T248+T249)</f>
        <v>20660.438899717908</v>
      </c>
      <c r="U254" s="92">
        <f t="shared" ca="1" si="3899"/>
        <v>20924.458593217052</v>
      </c>
      <c r="V254" s="92">
        <f t="shared" ca="1" si="3899"/>
        <v>21064.752589560474</v>
      </c>
      <c r="W254" s="92">
        <f t="shared" ca="1" si="3899"/>
        <v>21233.137095562404</v>
      </c>
      <c r="X254" s="92">
        <f t="shared" ca="1" si="3899"/>
        <v>21443.613441825633</v>
      </c>
      <c r="Y254" s="92">
        <f t="shared" ca="1" si="3899"/>
        <v>21587.63461215546</v>
      </c>
      <c r="Z254" s="92">
        <f t="shared" ca="1" si="3899"/>
        <v>21738.624562580393</v>
      </c>
      <c r="AA254" s="92">
        <f t="shared" ca="1" si="3899"/>
        <v>21901.166879792287</v>
      </c>
      <c r="AB254" s="92">
        <f t="shared" ca="1" si="3899"/>
        <v>22049.093868178305</v>
      </c>
      <c r="AC254" s="92">
        <f t="shared" ca="1" si="3899"/>
        <v>22195.86956719212</v>
      </c>
      <c r="AD254" s="92">
        <f t="shared" ca="1" si="3899"/>
        <v>22342.101330589627</v>
      </c>
      <c r="AE254" s="92">
        <f t="shared" ca="1" si="3899"/>
        <v>22487.419629028002</v>
      </c>
      <c r="AF254" s="92">
        <f t="shared" ca="1" si="3899"/>
        <v>22663.454834043743</v>
      </c>
      <c r="AG254" s="92">
        <f t="shared" ca="1" si="3899"/>
        <v>22837.514113945661</v>
      </c>
      <c r="AH254" s="92">
        <f t="shared" ca="1" si="3899"/>
        <v>23014.139068579545</v>
      </c>
      <c r="AI254" s="92">
        <f t="shared" ca="1" si="3899"/>
        <v>23192.070938095214</v>
      </c>
      <c r="AJ254" s="92">
        <f t="shared" ca="1" si="3899"/>
        <v>23371.209746823035</v>
      </c>
      <c r="AK254" s="92">
        <f t="shared" ca="1" si="3899"/>
        <v>23551.907395645736</v>
      </c>
      <c r="AL254" s="92">
        <f t="shared" ca="1" si="3899"/>
        <v>23733.542896209641</v>
      </c>
      <c r="AM254" s="92">
        <f t="shared" ca="1" si="3899"/>
        <v>23917.929945455264</v>
      </c>
      <c r="AN254" s="92">
        <f t="shared" ca="1" si="3899"/>
        <v>24103.639729444192</v>
      </c>
      <c r="AO254" s="92">
        <f t="shared" ca="1" si="3899"/>
        <v>24290.569778925648</v>
      </c>
      <c r="AP254" s="92">
        <f t="shared" ca="1" si="3899"/>
        <v>24478.995652358655</v>
      </c>
      <c r="AQ254" s="92">
        <f t="shared" ca="1" si="3899"/>
        <v>24721.762498637425</v>
      </c>
      <c r="AR254" s="92">
        <f t="shared" ca="1" si="3899"/>
        <v>25812.475647823681</v>
      </c>
      <c r="AS254" s="92">
        <f t="shared" ca="1" si="3899"/>
        <v>25833.530588267968</v>
      </c>
      <c r="AT254" s="92">
        <f t="shared" ca="1" si="3899"/>
        <v>25856.895525510041</v>
      </c>
      <c r="AU254" s="92">
        <f t="shared" ca="1" si="3899"/>
        <v>25878.716777287875</v>
      </c>
      <c r="AV254" s="92">
        <f t="shared" ca="1" si="3899"/>
        <v>25902.623694612194</v>
      </c>
      <c r="AW254" s="92">
        <f t="shared" ca="1" si="3899"/>
        <v>25927.147488618313</v>
      </c>
      <c r="AX254" s="92">
        <f t="shared" ca="1" si="3899"/>
        <v>25952.063662634791</v>
      </c>
      <c r="AY254" s="92">
        <f t="shared" ca="1" si="3899"/>
        <v>25978.340166691029</v>
      </c>
      <c r="AZ254" s="92">
        <f t="shared" ca="1" si="3899"/>
        <v>26003.765094210929</v>
      </c>
      <c r="BA254" s="92">
        <f t="shared" ca="1" si="3899"/>
        <v>26031.933234264518</v>
      </c>
      <c r="BB254" s="92">
        <f t="shared" ca="1" si="3899"/>
        <v>26060.425298993043</v>
      </c>
      <c r="BC254" s="92">
        <f t="shared" ca="1" si="3899"/>
        <v>2809226.2907775454</v>
      </c>
      <c r="BD254" s="92" t="str">
        <f t="shared" si="3899"/>
        <v/>
      </c>
      <c r="BE254" s="92" t="str">
        <f t="shared" si="3899"/>
        <v/>
      </c>
      <c r="BF254" s="92" t="str">
        <f t="shared" si="3899"/>
        <v/>
      </c>
      <c r="BG254" s="92" t="str">
        <f t="shared" si="3899"/>
        <v/>
      </c>
      <c r="BH254" s="92" t="str">
        <f t="shared" si="3899"/>
        <v/>
      </c>
      <c r="BI254" s="92" t="str">
        <f t="shared" si="3899"/>
        <v/>
      </c>
      <c r="BJ254" s="92" t="str">
        <f t="shared" si="3899"/>
        <v/>
      </c>
      <c r="BK254" s="92" t="str">
        <f t="shared" si="3899"/>
        <v/>
      </c>
      <c r="BL254" s="92" t="str">
        <f t="shared" si="3899"/>
        <v/>
      </c>
      <c r="BM254" s="92" t="str">
        <f t="shared" si="3899"/>
        <v/>
      </c>
      <c r="BN254" s="92" t="str">
        <f t="shared" si="3899"/>
        <v/>
      </c>
      <c r="BO254" s="92" t="str">
        <f t="shared" si="3899"/>
        <v/>
      </c>
      <c r="BP254" s="92" t="str">
        <f t="shared" si="3899"/>
        <v/>
      </c>
      <c r="BQ254" s="92" t="str">
        <f t="shared" si="3899"/>
        <v/>
      </c>
      <c r="BR254" s="92" t="str">
        <f t="shared" si="3899"/>
        <v/>
      </c>
      <c r="BS254" s="92" t="str">
        <f t="shared" si="3899"/>
        <v/>
      </c>
      <c r="BT254" s="92" t="str">
        <f t="shared" si="3899"/>
        <v/>
      </c>
      <c r="BU254" s="92" t="str">
        <f t="shared" si="3899"/>
        <v/>
      </c>
      <c r="BV254" s="92" t="str">
        <f t="shared" si="3899"/>
        <v/>
      </c>
      <c r="BW254" s="92" t="str">
        <f t="shared" si="3899"/>
        <v/>
      </c>
      <c r="BX254" s="92" t="str">
        <f t="shared" si="3899"/>
        <v/>
      </c>
      <c r="BY254" s="92" t="str">
        <f t="shared" si="3899"/>
        <v/>
      </c>
      <c r="BZ254" s="92" t="str">
        <f t="shared" si="3899"/>
        <v/>
      </c>
      <c r="CA254" s="92" t="str">
        <f t="shared" si="3899"/>
        <v/>
      </c>
      <c r="CB254" s="92" t="str">
        <f t="shared" si="3899"/>
        <v/>
      </c>
      <c r="CC254" s="92" t="str">
        <f t="shared" si="3899"/>
        <v/>
      </c>
      <c r="CD254" s="92" t="str">
        <f t="shared" si="3899"/>
        <v/>
      </c>
      <c r="CE254" s="92" t="str">
        <f t="shared" si="3899"/>
        <v/>
      </c>
      <c r="CF254" s="92" t="str">
        <f t="shared" ref="CF254:EQ254" si="3900">IF(CF$229="","",-CF237+CF248+CF249)</f>
        <v/>
      </c>
      <c r="CG254" s="92" t="str">
        <f t="shared" si="3900"/>
        <v/>
      </c>
      <c r="CH254" s="92" t="str">
        <f t="shared" si="3900"/>
        <v/>
      </c>
      <c r="CI254" s="92" t="str">
        <f t="shared" si="3900"/>
        <v/>
      </c>
      <c r="CJ254" s="92" t="str">
        <f t="shared" si="3900"/>
        <v/>
      </c>
      <c r="CK254" s="92" t="str">
        <f t="shared" si="3900"/>
        <v/>
      </c>
      <c r="CL254" s="92" t="str">
        <f t="shared" si="3900"/>
        <v/>
      </c>
      <c r="CM254" s="92" t="str">
        <f t="shared" si="3900"/>
        <v/>
      </c>
      <c r="CN254" s="92" t="str">
        <f t="shared" si="3900"/>
        <v/>
      </c>
      <c r="CO254" s="92" t="str">
        <f t="shared" si="3900"/>
        <v/>
      </c>
      <c r="CP254" s="92" t="str">
        <f t="shared" si="3900"/>
        <v/>
      </c>
      <c r="CQ254" s="92" t="str">
        <f t="shared" si="3900"/>
        <v/>
      </c>
      <c r="CR254" s="92" t="str">
        <f t="shared" si="3900"/>
        <v/>
      </c>
      <c r="CS254" s="92" t="str">
        <f t="shared" si="3900"/>
        <v/>
      </c>
      <c r="CT254" s="92" t="str">
        <f t="shared" si="3900"/>
        <v/>
      </c>
      <c r="CU254" s="92" t="str">
        <f t="shared" si="3900"/>
        <v/>
      </c>
      <c r="CV254" s="92" t="str">
        <f t="shared" si="3900"/>
        <v/>
      </c>
      <c r="CW254" s="92" t="str">
        <f t="shared" si="3900"/>
        <v/>
      </c>
      <c r="CX254" s="92" t="str">
        <f t="shared" si="3900"/>
        <v/>
      </c>
      <c r="CY254" s="92" t="str">
        <f t="shared" si="3900"/>
        <v/>
      </c>
      <c r="CZ254" s="92" t="str">
        <f t="shared" si="3900"/>
        <v/>
      </c>
      <c r="DA254" s="92" t="str">
        <f t="shared" si="3900"/>
        <v/>
      </c>
      <c r="DB254" s="92" t="str">
        <f t="shared" si="3900"/>
        <v/>
      </c>
      <c r="DC254" s="92" t="str">
        <f t="shared" si="3900"/>
        <v/>
      </c>
      <c r="DD254" s="92" t="str">
        <f t="shared" si="3900"/>
        <v/>
      </c>
      <c r="DE254" s="92" t="str">
        <f t="shared" si="3900"/>
        <v/>
      </c>
      <c r="DF254" s="92" t="str">
        <f t="shared" si="3900"/>
        <v/>
      </c>
      <c r="DG254" s="92" t="str">
        <f t="shared" si="3900"/>
        <v/>
      </c>
      <c r="DH254" s="92" t="str">
        <f t="shared" si="3900"/>
        <v/>
      </c>
      <c r="DI254" s="92" t="str">
        <f t="shared" si="3900"/>
        <v/>
      </c>
      <c r="DJ254" s="92" t="str">
        <f t="shared" si="3900"/>
        <v/>
      </c>
      <c r="DK254" s="92" t="str">
        <f t="shared" si="3900"/>
        <v/>
      </c>
      <c r="DL254" s="92" t="str">
        <f t="shared" si="3900"/>
        <v/>
      </c>
      <c r="DM254" s="92" t="str">
        <f t="shared" si="3900"/>
        <v/>
      </c>
      <c r="DN254" s="92" t="str">
        <f t="shared" si="3900"/>
        <v/>
      </c>
      <c r="DO254" s="92" t="str">
        <f t="shared" si="3900"/>
        <v/>
      </c>
      <c r="DP254" s="92" t="str">
        <f t="shared" si="3900"/>
        <v/>
      </c>
      <c r="DQ254" s="92" t="str">
        <f t="shared" si="3900"/>
        <v/>
      </c>
      <c r="DR254" s="92" t="str">
        <f t="shared" si="3900"/>
        <v/>
      </c>
      <c r="DS254" s="92" t="str">
        <f t="shared" si="3900"/>
        <v/>
      </c>
      <c r="DT254" s="92" t="str">
        <f t="shared" si="3900"/>
        <v/>
      </c>
      <c r="DU254" s="92" t="str">
        <f t="shared" si="3900"/>
        <v/>
      </c>
      <c r="DV254" s="92" t="str">
        <f t="shared" si="3900"/>
        <v/>
      </c>
      <c r="DW254" s="92" t="str">
        <f t="shared" si="3900"/>
        <v/>
      </c>
      <c r="DX254" s="92" t="str">
        <f t="shared" si="3900"/>
        <v/>
      </c>
      <c r="DY254" s="92" t="str">
        <f t="shared" si="3900"/>
        <v/>
      </c>
      <c r="DZ254" s="92" t="str">
        <f t="shared" si="3900"/>
        <v/>
      </c>
      <c r="EA254" s="92" t="str">
        <f t="shared" si="3900"/>
        <v/>
      </c>
      <c r="EB254" s="92" t="str">
        <f t="shared" si="3900"/>
        <v/>
      </c>
      <c r="EC254" s="92" t="str">
        <f t="shared" si="3900"/>
        <v/>
      </c>
      <c r="ED254" s="92" t="str">
        <f t="shared" si="3900"/>
        <v/>
      </c>
      <c r="EE254" s="92" t="str">
        <f t="shared" si="3900"/>
        <v/>
      </c>
      <c r="EF254" s="92" t="str">
        <f t="shared" si="3900"/>
        <v/>
      </c>
      <c r="EG254" s="92" t="str">
        <f t="shared" si="3900"/>
        <v/>
      </c>
      <c r="EH254" s="92" t="str">
        <f t="shared" si="3900"/>
        <v/>
      </c>
      <c r="EI254" s="92" t="str">
        <f t="shared" si="3900"/>
        <v/>
      </c>
      <c r="EJ254" s="92" t="str">
        <f t="shared" si="3900"/>
        <v/>
      </c>
      <c r="EK254" s="92" t="str">
        <f t="shared" si="3900"/>
        <v/>
      </c>
      <c r="EL254" s="92" t="str">
        <f t="shared" si="3900"/>
        <v/>
      </c>
      <c r="EM254" s="92" t="str">
        <f t="shared" si="3900"/>
        <v/>
      </c>
      <c r="EN254" s="92" t="str">
        <f t="shared" si="3900"/>
        <v/>
      </c>
      <c r="EO254" s="92" t="str">
        <f t="shared" si="3900"/>
        <v/>
      </c>
      <c r="EP254" s="92" t="str">
        <f t="shared" si="3900"/>
        <v/>
      </c>
      <c r="EQ254" s="92" t="str">
        <f t="shared" si="3900"/>
        <v/>
      </c>
      <c r="ER254" s="92" t="str">
        <f t="shared" ref="ER254:EU254" si="3901">IF(ER$229="","",-ER237+ER248+ER249)</f>
        <v/>
      </c>
      <c r="ES254" s="92" t="str">
        <f t="shared" si="3901"/>
        <v/>
      </c>
      <c r="ET254" s="92" t="str">
        <f t="shared" si="3901"/>
        <v/>
      </c>
      <c r="EU254" s="92" t="str">
        <f t="shared" si="3901"/>
        <v/>
      </c>
      <c r="EW254" s="222" t="s">
        <v>276</v>
      </c>
      <c r="EX254" s="222"/>
      <c r="EY254" s="222"/>
      <c r="EZ254" s="222"/>
      <c r="FA254" s="222"/>
      <c r="FB254" s="222"/>
      <c r="FC254" s="233">
        <f t="shared" ref="FC254:GH254" ca="1" si="3902">IF(FC209="","",MAX(FC209,0)-FC216-FC223-FC234-FC239-FC246-FC252)</f>
        <v>0</v>
      </c>
      <c r="FD254" s="233">
        <f t="shared" ca="1" si="3902"/>
        <v>0</v>
      </c>
      <c r="FE254" s="233">
        <f t="shared" ca="1" si="3902"/>
        <v>-8.9683101716788293E-44</v>
      </c>
      <c r="FF254" s="233">
        <f t="shared" ca="1" si="3902"/>
        <v>-2.2737367544323206E-12</v>
      </c>
      <c r="FG254" s="233">
        <f t="shared" ca="1" si="3902"/>
        <v>-1.0097419586828951E-27</v>
      </c>
      <c r="FH254" s="233">
        <f t="shared" ca="1" si="3902"/>
        <v>0</v>
      </c>
      <c r="FI254" s="233">
        <f t="shared" ca="1" si="3902"/>
        <v>0</v>
      </c>
      <c r="FJ254" s="233">
        <f t="shared" ca="1" si="3902"/>
        <v>0</v>
      </c>
      <c r="FK254" s="233">
        <f t="shared" ca="1" si="3902"/>
        <v>-9.0949470177292824E-13</v>
      </c>
      <c r="FL254" s="233">
        <f t="shared" ca="1" si="3902"/>
        <v>-4.0389678347315804E-28</v>
      </c>
      <c r="FM254" s="233">
        <f t="shared" ca="1" si="3902"/>
        <v>0</v>
      </c>
      <c r="FN254" s="233">
        <f t="shared" ca="1" si="3902"/>
        <v>-5.0487097934144756E-28</v>
      </c>
      <c r="FO254" s="233">
        <f t="shared" ca="1" si="3902"/>
        <v>-5.0487097934144756E-28</v>
      </c>
      <c r="FP254" s="233">
        <f t="shared" ca="1" si="3902"/>
        <v>0</v>
      </c>
      <c r="FQ254" s="233">
        <f t="shared" ca="1" si="3902"/>
        <v>-5.0487097934144756E-28</v>
      </c>
      <c r="FR254" s="233">
        <f t="shared" ca="1" si="3902"/>
        <v>0</v>
      </c>
      <c r="FS254" s="233">
        <f t="shared" ca="1" si="3902"/>
        <v>0</v>
      </c>
      <c r="FT254" s="233">
        <f t="shared" ca="1" si="3902"/>
        <v>-1.7936620343357659E-43</v>
      </c>
      <c r="FU254" s="233">
        <f t="shared" ca="1" si="3902"/>
        <v>-8.9683101716788293E-44</v>
      </c>
      <c r="FV254" s="233">
        <f t="shared" ca="1" si="3902"/>
        <v>-5.0487097934144756E-28</v>
      </c>
      <c r="FW254" s="233">
        <f t="shared" ca="1" si="3902"/>
        <v>0</v>
      </c>
      <c r="FX254" s="233">
        <f t="shared" ca="1" si="3902"/>
        <v>0</v>
      </c>
      <c r="FY254" s="233">
        <f t="shared" ca="1" si="3902"/>
        <v>-2.0194839173657902E-27</v>
      </c>
      <c r="FZ254" s="233">
        <f t="shared" ca="1" si="3902"/>
        <v>-4.0389678347315804E-28</v>
      </c>
      <c r="GA254" s="233">
        <f t="shared" ca="1" si="3902"/>
        <v>-2.0194839173657902E-27</v>
      </c>
      <c r="GB254" s="233">
        <f t="shared" ca="1" si="3902"/>
        <v>0</v>
      </c>
      <c r="GC254" s="233">
        <f t="shared" ca="1" si="3902"/>
        <v>-5.4569682106375694E-12</v>
      </c>
      <c r="GD254" s="233">
        <f t="shared" ca="1" si="3902"/>
        <v>-8.0779356694631609E-28</v>
      </c>
      <c r="GE254" s="233">
        <f t="shared" ca="1" si="3902"/>
        <v>-5.4569682106375694E-12</v>
      </c>
      <c r="GF254" s="233">
        <f t="shared" ca="1" si="3902"/>
        <v>-3.637978807091713E-12</v>
      </c>
      <c r="GG254" s="233">
        <f t="shared" ca="1" si="3902"/>
        <v>-1.8189894035458565E-12</v>
      </c>
      <c r="GH254" s="233">
        <f t="shared" ca="1" si="3902"/>
        <v>0</v>
      </c>
      <c r="GI254" s="233">
        <f t="shared" ref="GI254:HN254" ca="1" si="3903">IF(GI209="","",MAX(GI209,0)-GI216-GI223-GI234-GI239-GI246-GI252)</f>
        <v>0</v>
      </c>
      <c r="GJ254" s="233">
        <f t="shared" ca="1" si="3903"/>
        <v>0</v>
      </c>
      <c r="GK254" s="233">
        <f t="shared" ca="1" si="3903"/>
        <v>-8.0779356694631609E-28</v>
      </c>
      <c r="GL254" s="233">
        <f t="shared" ca="1" si="3903"/>
        <v>-1.0097419586828951E-27</v>
      </c>
      <c r="GM254" s="233">
        <f t="shared" ca="1" si="3903"/>
        <v>-2.3283064365386963E-10</v>
      </c>
      <c r="GN254" s="233" t="str">
        <f t="shared" si="3903"/>
        <v/>
      </c>
      <c r="GO254" s="233" t="str">
        <f t="shared" si="3903"/>
        <v/>
      </c>
      <c r="GP254" s="233" t="str">
        <f t="shared" si="3903"/>
        <v/>
      </c>
      <c r="GQ254" s="233" t="str">
        <f t="shared" si="3903"/>
        <v/>
      </c>
      <c r="GR254" s="233" t="str">
        <f t="shared" si="3903"/>
        <v/>
      </c>
      <c r="GS254" s="233" t="str">
        <f t="shared" si="3903"/>
        <v/>
      </c>
      <c r="GT254" s="233" t="str">
        <f t="shared" si="3903"/>
        <v/>
      </c>
      <c r="GU254" s="233" t="str">
        <f t="shared" si="3903"/>
        <v/>
      </c>
      <c r="GV254" s="233" t="str">
        <f t="shared" si="3903"/>
        <v/>
      </c>
      <c r="GW254" s="233" t="str">
        <f t="shared" si="3903"/>
        <v/>
      </c>
      <c r="GX254" s="233" t="str">
        <f t="shared" si="3903"/>
        <v/>
      </c>
      <c r="GY254" s="233" t="str">
        <f t="shared" si="3903"/>
        <v/>
      </c>
      <c r="GZ254" s="233" t="str">
        <f t="shared" si="3903"/>
        <v/>
      </c>
      <c r="HA254" s="233" t="str">
        <f t="shared" si="3903"/>
        <v/>
      </c>
      <c r="HB254" s="233" t="str">
        <f t="shared" si="3903"/>
        <v/>
      </c>
      <c r="HC254" s="233" t="str">
        <f t="shared" si="3903"/>
        <v/>
      </c>
      <c r="HD254" s="233" t="str">
        <f t="shared" si="3903"/>
        <v/>
      </c>
      <c r="HE254" s="233" t="str">
        <f t="shared" si="3903"/>
        <v/>
      </c>
      <c r="HF254" s="233" t="str">
        <f t="shared" si="3903"/>
        <v/>
      </c>
      <c r="HG254" s="233" t="str">
        <f t="shared" si="3903"/>
        <v/>
      </c>
      <c r="HH254" s="233" t="str">
        <f t="shared" si="3903"/>
        <v/>
      </c>
      <c r="HI254" s="233" t="str">
        <f t="shared" si="3903"/>
        <v/>
      </c>
      <c r="HJ254" s="233" t="str">
        <f t="shared" si="3903"/>
        <v/>
      </c>
      <c r="HK254" s="233" t="str">
        <f t="shared" si="3903"/>
        <v/>
      </c>
      <c r="HL254" s="233" t="str">
        <f t="shared" si="3903"/>
        <v/>
      </c>
      <c r="HM254" s="233" t="str">
        <f t="shared" si="3903"/>
        <v/>
      </c>
      <c r="HN254" s="233" t="str">
        <f t="shared" si="3903"/>
        <v/>
      </c>
      <c r="HO254" s="233" t="str">
        <f t="shared" ref="HO254:IT254" si="3904">IF(HO209="","",MAX(HO209,0)-HO216-HO223-HO234-HO239-HO246-HO252)</f>
        <v/>
      </c>
      <c r="HP254" s="233" t="str">
        <f t="shared" si="3904"/>
        <v/>
      </c>
      <c r="HQ254" s="233" t="str">
        <f t="shared" si="3904"/>
        <v/>
      </c>
      <c r="HR254" s="233" t="str">
        <f t="shared" si="3904"/>
        <v/>
      </c>
      <c r="HS254" s="233" t="str">
        <f t="shared" si="3904"/>
        <v/>
      </c>
      <c r="HT254" s="233" t="str">
        <f t="shared" si="3904"/>
        <v/>
      </c>
      <c r="HU254" s="233" t="str">
        <f t="shared" si="3904"/>
        <v/>
      </c>
      <c r="HV254" s="233" t="str">
        <f t="shared" si="3904"/>
        <v/>
      </c>
      <c r="HW254" s="233" t="str">
        <f t="shared" si="3904"/>
        <v/>
      </c>
      <c r="HX254" s="233" t="str">
        <f t="shared" si="3904"/>
        <v/>
      </c>
      <c r="HY254" s="233" t="str">
        <f t="shared" si="3904"/>
        <v/>
      </c>
      <c r="HZ254" s="233" t="str">
        <f t="shared" si="3904"/>
        <v/>
      </c>
      <c r="IA254" s="233" t="str">
        <f t="shared" si="3904"/>
        <v/>
      </c>
      <c r="IB254" s="233" t="str">
        <f t="shared" si="3904"/>
        <v/>
      </c>
      <c r="IC254" s="233" t="str">
        <f t="shared" si="3904"/>
        <v/>
      </c>
      <c r="ID254" s="233" t="str">
        <f t="shared" si="3904"/>
        <v/>
      </c>
      <c r="IE254" s="233" t="str">
        <f t="shared" si="3904"/>
        <v/>
      </c>
      <c r="IF254" s="233" t="str">
        <f t="shared" si="3904"/>
        <v/>
      </c>
      <c r="IG254" s="233" t="str">
        <f t="shared" si="3904"/>
        <v/>
      </c>
      <c r="IH254" s="233" t="str">
        <f t="shared" si="3904"/>
        <v/>
      </c>
      <c r="II254" s="233" t="str">
        <f t="shared" si="3904"/>
        <v/>
      </c>
      <c r="IJ254" s="233" t="str">
        <f t="shared" si="3904"/>
        <v/>
      </c>
      <c r="IK254" s="233" t="str">
        <f t="shared" si="3904"/>
        <v/>
      </c>
      <c r="IL254" s="233" t="str">
        <f t="shared" si="3904"/>
        <v/>
      </c>
      <c r="IM254" s="233" t="str">
        <f t="shared" si="3904"/>
        <v/>
      </c>
      <c r="IN254" s="233" t="str">
        <f t="shared" si="3904"/>
        <v/>
      </c>
      <c r="IO254" s="233" t="str">
        <f t="shared" si="3904"/>
        <v/>
      </c>
      <c r="IP254" s="233" t="str">
        <f t="shared" si="3904"/>
        <v/>
      </c>
      <c r="IQ254" s="233" t="str">
        <f t="shared" si="3904"/>
        <v/>
      </c>
      <c r="IR254" s="233" t="str">
        <f t="shared" si="3904"/>
        <v/>
      </c>
      <c r="IS254" s="233" t="str">
        <f t="shared" si="3904"/>
        <v/>
      </c>
      <c r="IT254" s="233" t="str">
        <f t="shared" si="3904"/>
        <v/>
      </c>
      <c r="IU254" s="233" t="str">
        <f t="shared" ref="IU254:KE254" si="3905">IF(IU209="","",MAX(IU209,0)-IU216-IU223-IU234-IU239-IU246-IU252)</f>
        <v/>
      </c>
      <c r="IV254" s="233" t="str">
        <f t="shared" si="3905"/>
        <v/>
      </c>
      <c r="IW254" s="233" t="str">
        <f t="shared" si="3905"/>
        <v/>
      </c>
      <c r="IX254" s="233" t="str">
        <f t="shared" si="3905"/>
        <v/>
      </c>
      <c r="IY254" s="233" t="str">
        <f t="shared" si="3905"/>
        <v/>
      </c>
      <c r="IZ254" s="233" t="str">
        <f t="shared" si="3905"/>
        <v/>
      </c>
      <c r="JA254" s="233" t="str">
        <f t="shared" si="3905"/>
        <v/>
      </c>
      <c r="JB254" s="233" t="str">
        <f t="shared" si="3905"/>
        <v/>
      </c>
      <c r="JC254" s="233" t="str">
        <f t="shared" si="3905"/>
        <v/>
      </c>
      <c r="JD254" s="233" t="str">
        <f t="shared" si="3905"/>
        <v/>
      </c>
      <c r="JE254" s="233" t="str">
        <f t="shared" si="3905"/>
        <v/>
      </c>
      <c r="JF254" s="233" t="str">
        <f t="shared" si="3905"/>
        <v/>
      </c>
      <c r="JG254" s="233" t="str">
        <f t="shared" si="3905"/>
        <v/>
      </c>
      <c r="JH254" s="233" t="str">
        <f t="shared" si="3905"/>
        <v/>
      </c>
      <c r="JI254" s="233" t="str">
        <f t="shared" si="3905"/>
        <v/>
      </c>
      <c r="JJ254" s="233" t="str">
        <f t="shared" si="3905"/>
        <v/>
      </c>
      <c r="JK254" s="233" t="str">
        <f t="shared" si="3905"/>
        <v/>
      </c>
      <c r="JL254" s="233" t="str">
        <f t="shared" si="3905"/>
        <v/>
      </c>
      <c r="JM254" s="233" t="str">
        <f t="shared" si="3905"/>
        <v/>
      </c>
      <c r="JN254" s="233" t="str">
        <f t="shared" si="3905"/>
        <v/>
      </c>
      <c r="JO254" s="233" t="str">
        <f t="shared" si="3905"/>
        <v/>
      </c>
      <c r="JP254" s="233" t="str">
        <f t="shared" si="3905"/>
        <v/>
      </c>
      <c r="JQ254" s="233" t="str">
        <f t="shared" si="3905"/>
        <v/>
      </c>
      <c r="JR254" s="233" t="str">
        <f t="shared" si="3905"/>
        <v/>
      </c>
      <c r="JS254" s="233" t="str">
        <f t="shared" si="3905"/>
        <v/>
      </c>
      <c r="JT254" s="233" t="str">
        <f t="shared" si="3905"/>
        <v/>
      </c>
      <c r="JU254" s="233" t="str">
        <f t="shared" si="3905"/>
        <v/>
      </c>
      <c r="JV254" s="233" t="str">
        <f t="shared" si="3905"/>
        <v/>
      </c>
      <c r="JW254" s="233" t="str">
        <f t="shared" si="3905"/>
        <v/>
      </c>
      <c r="JX254" s="233" t="str">
        <f t="shared" si="3905"/>
        <v/>
      </c>
      <c r="JY254" s="233" t="str">
        <f t="shared" si="3905"/>
        <v/>
      </c>
      <c r="JZ254" s="233" t="str">
        <f t="shared" si="3905"/>
        <v/>
      </c>
      <c r="KA254" s="233" t="str">
        <f t="shared" si="3905"/>
        <v/>
      </c>
      <c r="KB254" s="233" t="str">
        <f t="shared" si="3905"/>
        <v/>
      </c>
      <c r="KC254" s="233" t="str">
        <f t="shared" si="3905"/>
        <v/>
      </c>
      <c r="KD254" s="233" t="str">
        <f t="shared" si="3905"/>
        <v/>
      </c>
      <c r="KE254" s="233" t="str">
        <f t="shared" si="3905"/>
        <v/>
      </c>
      <c r="KF254" s="200" t="s">
        <v>269</v>
      </c>
      <c r="PQ254" s="201"/>
      <c r="PR254" s="201"/>
      <c r="PS254" s="201"/>
      <c r="PT254" s="201"/>
      <c r="PU254" s="201"/>
      <c r="PV254" s="201"/>
      <c r="PW254" s="201"/>
      <c r="PX254" s="201"/>
      <c r="PY254" s="201"/>
      <c r="PZ254" s="201"/>
      <c r="QA254" s="201"/>
      <c r="QB254" s="201"/>
      <c r="QC254" s="201"/>
      <c r="QD254" s="201"/>
      <c r="QE254" s="201"/>
      <c r="QF254" s="201"/>
      <c r="QG254" s="201"/>
      <c r="QH254" s="201"/>
      <c r="QI254" s="201"/>
      <c r="QJ254" s="201"/>
      <c r="QK254" s="201"/>
      <c r="QL254" s="201"/>
      <c r="QM254" s="201"/>
      <c r="QN254" s="201"/>
      <c r="QO254" s="201"/>
      <c r="QP254" s="201"/>
      <c r="QQ254" s="201"/>
      <c r="QR254" s="201"/>
      <c r="QS254" s="201"/>
      <c r="QT254" s="201"/>
      <c r="QU254" s="201"/>
      <c r="QV254" s="201"/>
      <c r="QW254" s="201"/>
      <c r="QX254" s="201"/>
      <c r="QY254" s="201"/>
      <c r="QZ254" s="201"/>
      <c r="RA254" s="201"/>
      <c r="RB254" s="201"/>
      <c r="RC254" s="201"/>
      <c r="RD254" s="201"/>
      <c r="RE254" s="201"/>
      <c r="RF254" s="201"/>
      <c r="RG254" s="201"/>
      <c r="RH254" s="201"/>
      <c r="RI254" s="201"/>
      <c r="RJ254" s="201"/>
      <c r="RK254" s="201"/>
      <c r="RL254" s="201"/>
      <c r="RM254" s="201"/>
      <c r="RN254" s="201"/>
      <c r="RO254" s="201"/>
      <c r="RP254" s="201"/>
      <c r="RQ254" s="201"/>
      <c r="RR254" s="201"/>
      <c r="RS254" s="201"/>
      <c r="RT254" s="201"/>
      <c r="RU254" s="201"/>
      <c r="RV254" s="201"/>
      <c r="RW254" s="201"/>
      <c r="RX254" s="201"/>
      <c r="RY254" s="201"/>
      <c r="RZ254" s="201"/>
      <c r="SA254" s="201"/>
      <c r="SB254" s="201"/>
      <c r="SC254" s="201"/>
      <c r="SD254" s="201"/>
      <c r="SE254" s="201"/>
      <c r="SF254" s="201"/>
      <c r="SG254" s="201"/>
      <c r="SH254" s="201"/>
      <c r="SI254" s="201"/>
      <c r="SJ254" s="201"/>
      <c r="SK254" s="201"/>
      <c r="SL254" s="201"/>
      <c r="SM254" s="201"/>
      <c r="SN254" s="201"/>
      <c r="SO254" s="201"/>
      <c r="SP254" s="201"/>
      <c r="SQ254" s="201"/>
      <c r="SR254" s="201"/>
      <c r="SS254" s="201"/>
      <c r="ST254" s="201"/>
      <c r="SU254" s="201"/>
      <c r="SV254" s="201"/>
      <c r="SW254" s="201"/>
      <c r="SX254" s="201"/>
      <c r="SY254" s="201"/>
      <c r="SZ254" s="201"/>
      <c r="TA254" s="201"/>
      <c r="TB254" s="201"/>
      <c r="TC254" s="201"/>
      <c r="TD254" s="201"/>
      <c r="TE254" s="201"/>
      <c r="TF254" s="201"/>
      <c r="TG254" s="201"/>
      <c r="TH254" s="201"/>
      <c r="TI254" s="201"/>
      <c r="TJ254" s="201"/>
      <c r="TK254" s="201"/>
      <c r="TL254" s="201"/>
      <c r="TM254" s="201"/>
      <c r="TN254" s="201"/>
      <c r="TO254" s="201"/>
      <c r="TP254" s="201"/>
      <c r="TQ254" s="201"/>
      <c r="TR254" s="201"/>
      <c r="TS254" s="201"/>
      <c r="TT254" s="201"/>
      <c r="TU254" s="201"/>
      <c r="TV254" s="201"/>
      <c r="TW254" s="201"/>
      <c r="TX254" s="201"/>
      <c r="TY254" s="201"/>
      <c r="TZ254" s="201"/>
      <c r="UA254" s="201"/>
      <c r="UB254" s="201"/>
      <c r="UC254" s="201"/>
      <c r="UD254" s="201"/>
      <c r="UE254" s="201"/>
      <c r="UF254" s="201"/>
      <c r="UG254" s="201"/>
      <c r="UH254" s="201"/>
      <c r="UI254" s="201"/>
      <c r="UJ254" s="201"/>
      <c r="UK254" s="201"/>
      <c r="UL254" s="201"/>
      <c r="UM254" s="201"/>
      <c r="UN254" s="201"/>
      <c r="UO254" s="201"/>
      <c r="UP254" s="201"/>
      <c r="UQ254" s="201"/>
      <c r="UR254" s="201"/>
      <c r="US254" s="201"/>
      <c r="UT254" s="201"/>
      <c r="UU254" s="201"/>
    </row>
    <row r="255" spans="1:567" ht="15" x14ac:dyDescent="0.35">
      <c r="B255" s="28" t="s">
        <v>240</v>
      </c>
      <c r="C255" s="38" t="str">
        <f>C250</f>
        <v>[Limited Partner Name]</v>
      </c>
      <c r="D255" s="18"/>
      <c r="E255" s="18"/>
      <c r="F255" s="18"/>
      <c r="G255" s="121">
        <f ca="1">(K255/(D168/12)/K238)</f>
        <v>0.15566161264119069</v>
      </c>
      <c r="H255" s="251">
        <f ca="1">IF(GP_Only?,"NA",SUMIF(S255:EU255,"&gt;0")/-SUMIF(S255:EU255,"&lt;0"))</f>
        <v>1.4669848379235726</v>
      </c>
      <c r="I255" s="250">
        <f ca="1">IF(GP_Only?,"NA",IF(S255=0,XIRR(OFFSET(S255,0,0,1,Analysis_Period),OFFSET($S$216,0,0,1,Analysis_Period)),XIRR(OFFSET(S255,0,0,1,Analysis_Period+1),OFFSET($S$216,0,0,1,Analysis_Period+1))))</f>
        <v>0.14396510720252995</v>
      </c>
      <c r="J255" s="58">
        <f ca="1">K255/$K$256</f>
        <v>0.81476878586783696</v>
      </c>
      <c r="K255" s="36">
        <f ca="1">SUM(L255:ES255)</f>
        <v>12545595.420016441</v>
      </c>
      <c r="R255" s="159" t="s">
        <v>378</v>
      </c>
      <c r="S255" s="96">
        <f ca="1">IF(S$229="","",-S238+S250)</f>
        <v>-26865102.25</v>
      </c>
      <c r="T255" s="96">
        <f t="shared" ref="T255:CE255" ca="1" si="3906">IF(T$229="","",-T238+T250)</f>
        <v>64193.545344640232</v>
      </c>
      <c r="U255" s="96">
        <f t="shared" ca="1" si="3906"/>
        <v>69209.919521123942</v>
      </c>
      <c r="V255" s="96">
        <f t="shared" ca="1" si="3906"/>
        <v>71875.505451649064</v>
      </c>
      <c r="W255" s="96">
        <f t="shared" ca="1" si="3906"/>
        <v>75074.811065685659</v>
      </c>
      <c r="X255" s="96">
        <f t="shared" ca="1" si="3906"/>
        <v>79073.861644687073</v>
      </c>
      <c r="Y255" s="96">
        <f t="shared" ca="1" si="3906"/>
        <v>81810.263880953775</v>
      </c>
      <c r="Z255" s="96">
        <f t="shared" ca="1" si="3906"/>
        <v>84679.072939027479</v>
      </c>
      <c r="AA255" s="96">
        <f t="shared" ca="1" si="3906"/>
        <v>87767.376966053474</v>
      </c>
      <c r="AB255" s="96">
        <f t="shared" ca="1" si="3906"/>
        <v>90577.989745387778</v>
      </c>
      <c r="AC255" s="96">
        <f t="shared" ca="1" si="3906"/>
        <v>93366.728026650264</v>
      </c>
      <c r="AD255" s="96">
        <f t="shared" ca="1" si="3906"/>
        <v>96145.131531202889</v>
      </c>
      <c r="AE255" s="96">
        <f t="shared" ca="1" si="3906"/>
        <v>98906.17920153201</v>
      </c>
      <c r="AF255" s="96">
        <f t="shared" ca="1" si="3906"/>
        <v>102250.84809683112</v>
      </c>
      <c r="AG255" s="96">
        <f t="shared" ca="1" si="3906"/>
        <v>105557.97441496754</v>
      </c>
      <c r="AH255" s="96">
        <f t="shared" ca="1" si="3906"/>
        <v>108913.84855301135</v>
      </c>
      <c r="AI255" s="96">
        <f t="shared" ca="1" si="3906"/>
        <v>112294.55407380906</v>
      </c>
      <c r="AJ255" s="96">
        <f t="shared" ca="1" si="3906"/>
        <v>115698.19143963765</v>
      </c>
      <c r="AK255" s="96">
        <f t="shared" ca="1" si="3906"/>
        <v>119131.44676726894</v>
      </c>
      <c r="AL255" s="96">
        <f t="shared" ca="1" si="3906"/>
        <v>122582.52127798316</v>
      </c>
      <c r="AM255" s="96">
        <f t="shared" ca="1" si="3906"/>
        <v>126085.87521365</v>
      </c>
      <c r="AN255" s="96">
        <f t="shared" ca="1" si="3906"/>
        <v>129614.36110943968</v>
      </c>
      <c r="AO255" s="96">
        <f t="shared" ca="1" si="3906"/>
        <v>133166.03204958726</v>
      </c>
      <c r="AP255" s="96">
        <f t="shared" ca="1" si="3906"/>
        <v>136746.12364481442</v>
      </c>
      <c r="AQ255" s="96">
        <f t="shared" ca="1" si="3906"/>
        <v>141358.69372411101</v>
      </c>
      <c r="AR255" s="96">
        <f t="shared" ca="1" si="3906"/>
        <v>162082.24355864993</v>
      </c>
      <c r="AS255" s="96">
        <f t="shared" ca="1" si="3906"/>
        <v>162482.28742709145</v>
      </c>
      <c r="AT255" s="96">
        <f t="shared" ca="1" si="3906"/>
        <v>162926.22123469072</v>
      </c>
      <c r="AU255" s="96">
        <f t="shared" ca="1" si="3906"/>
        <v>163340.82501846968</v>
      </c>
      <c r="AV255" s="96">
        <f t="shared" ca="1" si="3906"/>
        <v>163795.05644763168</v>
      </c>
      <c r="AW255" s="96">
        <f t="shared" ca="1" si="3906"/>
        <v>164261.00853374792</v>
      </c>
      <c r="AX255" s="96">
        <f t="shared" ca="1" si="3906"/>
        <v>164734.41584006106</v>
      </c>
      <c r="AY255" s="96">
        <f t="shared" ca="1" si="3906"/>
        <v>165233.66941712948</v>
      </c>
      <c r="AZ255" s="96">
        <f t="shared" ca="1" si="3906"/>
        <v>165716.74304000766</v>
      </c>
      <c r="BA255" s="96">
        <f t="shared" ca="1" si="3906"/>
        <v>166251.93770102577</v>
      </c>
      <c r="BB255" s="96">
        <f t="shared" ca="1" si="3906"/>
        <v>166793.28693086779</v>
      </c>
      <c r="BC255" s="96">
        <f t="shared" ca="1" si="3906"/>
        <v>35156999.119183376</v>
      </c>
      <c r="BD255" s="96" t="str">
        <f t="shared" si="3906"/>
        <v/>
      </c>
      <c r="BE255" s="96" t="str">
        <f t="shared" si="3906"/>
        <v/>
      </c>
      <c r="BF255" s="96" t="str">
        <f t="shared" si="3906"/>
        <v/>
      </c>
      <c r="BG255" s="96" t="str">
        <f t="shared" si="3906"/>
        <v/>
      </c>
      <c r="BH255" s="96" t="str">
        <f t="shared" si="3906"/>
        <v/>
      </c>
      <c r="BI255" s="96" t="str">
        <f t="shared" si="3906"/>
        <v/>
      </c>
      <c r="BJ255" s="96" t="str">
        <f t="shared" si="3906"/>
        <v/>
      </c>
      <c r="BK255" s="96" t="str">
        <f t="shared" si="3906"/>
        <v/>
      </c>
      <c r="BL255" s="96" t="str">
        <f t="shared" si="3906"/>
        <v/>
      </c>
      <c r="BM255" s="96" t="str">
        <f t="shared" si="3906"/>
        <v/>
      </c>
      <c r="BN255" s="96" t="str">
        <f t="shared" si="3906"/>
        <v/>
      </c>
      <c r="BO255" s="96" t="str">
        <f t="shared" si="3906"/>
        <v/>
      </c>
      <c r="BP255" s="96" t="str">
        <f t="shared" si="3906"/>
        <v/>
      </c>
      <c r="BQ255" s="96" t="str">
        <f t="shared" si="3906"/>
        <v/>
      </c>
      <c r="BR255" s="96" t="str">
        <f t="shared" si="3906"/>
        <v/>
      </c>
      <c r="BS255" s="96" t="str">
        <f t="shared" si="3906"/>
        <v/>
      </c>
      <c r="BT255" s="96" t="str">
        <f t="shared" si="3906"/>
        <v/>
      </c>
      <c r="BU255" s="96" t="str">
        <f t="shared" si="3906"/>
        <v/>
      </c>
      <c r="BV255" s="96" t="str">
        <f t="shared" si="3906"/>
        <v/>
      </c>
      <c r="BW255" s="96" t="str">
        <f t="shared" si="3906"/>
        <v/>
      </c>
      <c r="BX255" s="96" t="str">
        <f t="shared" si="3906"/>
        <v/>
      </c>
      <c r="BY255" s="96" t="str">
        <f t="shared" si="3906"/>
        <v/>
      </c>
      <c r="BZ255" s="96" t="str">
        <f t="shared" si="3906"/>
        <v/>
      </c>
      <c r="CA255" s="96" t="str">
        <f t="shared" si="3906"/>
        <v/>
      </c>
      <c r="CB255" s="96" t="str">
        <f t="shared" si="3906"/>
        <v/>
      </c>
      <c r="CC255" s="96" t="str">
        <f t="shared" si="3906"/>
        <v/>
      </c>
      <c r="CD255" s="96" t="str">
        <f t="shared" si="3906"/>
        <v/>
      </c>
      <c r="CE255" s="96" t="str">
        <f t="shared" si="3906"/>
        <v/>
      </c>
      <c r="CF255" s="96" t="str">
        <f t="shared" ref="CF255:EQ255" si="3907">IF(CF$229="","",-CF238+CF250)</f>
        <v/>
      </c>
      <c r="CG255" s="96" t="str">
        <f t="shared" si="3907"/>
        <v/>
      </c>
      <c r="CH255" s="96" t="str">
        <f t="shared" si="3907"/>
        <v/>
      </c>
      <c r="CI255" s="96" t="str">
        <f t="shared" si="3907"/>
        <v/>
      </c>
      <c r="CJ255" s="96" t="str">
        <f t="shared" si="3907"/>
        <v/>
      </c>
      <c r="CK255" s="96" t="str">
        <f t="shared" si="3907"/>
        <v/>
      </c>
      <c r="CL255" s="96" t="str">
        <f t="shared" si="3907"/>
        <v/>
      </c>
      <c r="CM255" s="96" t="str">
        <f t="shared" si="3907"/>
        <v/>
      </c>
      <c r="CN255" s="96" t="str">
        <f t="shared" si="3907"/>
        <v/>
      </c>
      <c r="CO255" s="96" t="str">
        <f t="shared" si="3907"/>
        <v/>
      </c>
      <c r="CP255" s="96" t="str">
        <f t="shared" si="3907"/>
        <v/>
      </c>
      <c r="CQ255" s="96" t="str">
        <f t="shared" si="3907"/>
        <v/>
      </c>
      <c r="CR255" s="96" t="str">
        <f t="shared" si="3907"/>
        <v/>
      </c>
      <c r="CS255" s="96" t="str">
        <f t="shared" si="3907"/>
        <v/>
      </c>
      <c r="CT255" s="96" t="str">
        <f t="shared" si="3907"/>
        <v/>
      </c>
      <c r="CU255" s="96" t="str">
        <f t="shared" si="3907"/>
        <v/>
      </c>
      <c r="CV255" s="96" t="str">
        <f t="shared" si="3907"/>
        <v/>
      </c>
      <c r="CW255" s="96" t="str">
        <f t="shared" si="3907"/>
        <v/>
      </c>
      <c r="CX255" s="96" t="str">
        <f t="shared" si="3907"/>
        <v/>
      </c>
      <c r="CY255" s="96" t="str">
        <f t="shared" si="3907"/>
        <v/>
      </c>
      <c r="CZ255" s="96" t="str">
        <f t="shared" si="3907"/>
        <v/>
      </c>
      <c r="DA255" s="96" t="str">
        <f t="shared" si="3907"/>
        <v/>
      </c>
      <c r="DB255" s="96" t="str">
        <f t="shared" si="3907"/>
        <v/>
      </c>
      <c r="DC255" s="96" t="str">
        <f t="shared" si="3907"/>
        <v/>
      </c>
      <c r="DD255" s="96" t="str">
        <f t="shared" si="3907"/>
        <v/>
      </c>
      <c r="DE255" s="96" t="str">
        <f t="shared" si="3907"/>
        <v/>
      </c>
      <c r="DF255" s="96" t="str">
        <f t="shared" si="3907"/>
        <v/>
      </c>
      <c r="DG255" s="96" t="str">
        <f t="shared" si="3907"/>
        <v/>
      </c>
      <c r="DH255" s="96" t="str">
        <f t="shared" si="3907"/>
        <v/>
      </c>
      <c r="DI255" s="96" t="str">
        <f t="shared" si="3907"/>
        <v/>
      </c>
      <c r="DJ255" s="96" t="str">
        <f t="shared" si="3907"/>
        <v/>
      </c>
      <c r="DK255" s="96" t="str">
        <f t="shared" si="3907"/>
        <v/>
      </c>
      <c r="DL255" s="96" t="str">
        <f t="shared" si="3907"/>
        <v/>
      </c>
      <c r="DM255" s="96" t="str">
        <f t="shared" si="3907"/>
        <v/>
      </c>
      <c r="DN255" s="96" t="str">
        <f t="shared" si="3907"/>
        <v/>
      </c>
      <c r="DO255" s="96" t="str">
        <f t="shared" si="3907"/>
        <v/>
      </c>
      <c r="DP255" s="96" t="str">
        <f t="shared" si="3907"/>
        <v/>
      </c>
      <c r="DQ255" s="96" t="str">
        <f t="shared" si="3907"/>
        <v/>
      </c>
      <c r="DR255" s="96" t="str">
        <f t="shared" si="3907"/>
        <v/>
      </c>
      <c r="DS255" s="96" t="str">
        <f t="shared" si="3907"/>
        <v/>
      </c>
      <c r="DT255" s="96" t="str">
        <f t="shared" si="3907"/>
        <v/>
      </c>
      <c r="DU255" s="96" t="str">
        <f t="shared" si="3907"/>
        <v/>
      </c>
      <c r="DV255" s="96" t="str">
        <f t="shared" si="3907"/>
        <v/>
      </c>
      <c r="DW255" s="96" t="str">
        <f t="shared" si="3907"/>
        <v/>
      </c>
      <c r="DX255" s="96" t="str">
        <f t="shared" si="3907"/>
        <v/>
      </c>
      <c r="DY255" s="96" t="str">
        <f t="shared" si="3907"/>
        <v/>
      </c>
      <c r="DZ255" s="96" t="str">
        <f t="shared" si="3907"/>
        <v/>
      </c>
      <c r="EA255" s="96" t="str">
        <f t="shared" si="3907"/>
        <v/>
      </c>
      <c r="EB255" s="96" t="str">
        <f t="shared" si="3907"/>
        <v/>
      </c>
      <c r="EC255" s="96" t="str">
        <f t="shared" si="3907"/>
        <v/>
      </c>
      <c r="ED255" s="96" t="str">
        <f t="shared" si="3907"/>
        <v/>
      </c>
      <c r="EE255" s="96" t="str">
        <f t="shared" si="3907"/>
        <v/>
      </c>
      <c r="EF255" s="96" t="str">
        <f t="shared" si="3907"/>
        <v/>
      </c>
      <c r="EG255" s="96" t="str">
        <f t="shared" si="3907"/>
        <v/>
      </c>
      <c r="EH255" s="96" t="str">
        <f t="shared" si="3907"/>
        <v/>
      </c>
      <c r="EI255" s="96" t="str">
        <f t="shared" si="3907"/>
        <v/>
      </c>
      <c r="EJ255" s="96" t="str">
        <f t="shared" si="3907"/>
        <v/>
      </c>
      <c r="EK255" s="96" t="str">
        <f t="shared" si="3907"/>
        <v/>
      </c>
      <c r="EL255" s="96" t="str">
        <f t="shared" si="3907"/>
        <v/>
      </c>
      <c r="EM255" s="96" t="str">
        <f t="shared" si="3907"/>
        <v/>
      </c>
      <c r="EN255" s="96" t="str">
        <f t="shared" si="3907"/>
        <v/>
      </c>
      <c r="EO255" s="96" t="str">
        <f t="shared" si="3907"/>
        <v/>
      </c>
      <c r="EP255" s="96" t="str">
        <f t="shared" si="3907"/>
        <v/>
      </c>
      <c r="EQ255" s="96" t="str">
        <f t="shared" si="3907"/>
        <v/>
      </c>
      <c r="ER255" s="96" t="str">
        <f t="shared" ref="ER255:EU255" si="3908">IF(ER$229="","",-ER238+ER250)</f>
        <v/>
      </c>
      <c r="ES255" s="96" t="str">
        <f t="shared" si="3908"/>
        <v/>
      </c>
      <c r="ET255" s="96" t="str">
        <f t="shared" si="3908"/>
        <v/>
      </c>
      <c r="EU255" s="96" t="str">
        <f t="shared" si="3908"/>
        <v/>
      </c>
      <c r="EW255" s="201" t="s">
        <v>266</v>
      </c>
      <c r="EX255" s="229"/>
      <c r="EY255" s="229"/>
      <c r="EZ255" s="235"/>
      <c r="FA255" s="230"/>
      <c r="FB255" s="230"/>
      <c r="FC255" s="231">
        <f ca="1">IF(FC254="","",FC254*$K$245)</f>
        <v>0</v>
      </c>
      <c r="FD255" s="231">
        <f t="shared" ref="FD255:HO255" ca="1" si="3909">IF(FD254="","",FD254*$K$245)</f>
        <v>0</v>
      </c>
      <c r="FE255" s="231">
        <f t="shared" ca="1" si="3909"/>
        <v>-5.9639262641664218E-44</v>
      </c>
      <c r="FF255" s="231">
        <f t="shared" ca="1" si="3909"/>
        <v>-1.5120349416974933E-12</v>
      </c>
      <c r="FG255" s="231">
        <f t="shared" ca="1" si="3909"/>
        <v>-6.7147840252412528E-28</v>
      </c>
      <c r="FH255" s="231">
        <f t="shared" ca="1" si="3909"/>
        <v>0</v>
      </c>
      <c r="FI255" s="231">
        <f t="shared" ca="1" si="3909"/>
        <v>0</v>
      </c>
      <c r="FJ255" s="231">
        <f t="shared" ca="1" si="3909"/>
        <v>0</v>
      </c>
      <c r="FK255" s="231">
        <f t="shared" ca="1" si="3909"/>
        <v>-6.0481397667899731E-13</v>
      </c>
      <c r="FL255" s="231">
        <f t="shared" ca="1" si="3909"/>
        <v>-2.6859136100965011E-28</v>
      </c>
      <c r="FM255" s="231">
        <f t="shared" ca="1" si="3909"/>
        <v>0</v>
      </c>
      <c r="FN255" s="231">
        <f t="shared" ca="1" si="3909"/>
        <v>-3.3573920126206264E-28</v>
      </c>
      <c r="FO255" s="231">
        <f t="shared" ca="1" si="3909"/>
        <v>-3.3573920126206264E-28</v>
      </c>
      <c r="FP255" s="231">
        <f t="shared" ca="1" si="3909"/>
        <v>0</v>
      </c>
      <c r="FQ255" s="231">
        <f t="shared" ca="1" si="3909"/>
        <v>-3.3573920126206264E-28</v>
      </c>
      <c r="FR255" s="231">
        <f t="shared" ca="1" si="3909"/>
        <v>0</v>
      </c>
      <c r="FS255" s="231">
        <f t="shared" ca="1" si="3909"/>
        <v>0</v>
      </c>
      <c r="FT255" s="231">
        <f t="shared" ca="1" si="3909"/>
        <v>-1.1927852528332844E-43</v>
      </c>
      <c r="FU255" s="231">
        <f t="shared" ca="1" si="3909"/>
        <v>-5.9639262641664218E-44</v>
      </c>
      <c r="FV255" s="231">
        <f t="shared" ca="1" si="3909"/>
        <v>-3.3573920126206264E-28</v>
      </c>
      <c r="FW255" s="231">
        <f t="shared" ca="1" si="3909"/>
        <v>0</v>
      </c>
      <c r="FX255" s="231">
        <f t="shared" ca="1" si="3909"/>
        <v>0</v>
      </c>
      <c r="FY255" s="231">
        <f t="shared" ca="1" si="3909"/>
        <v>-1.3429568050482506E-27</v>
      </c>
      <c r="FZ255" s="231">
        <f t="shared" ca="1" si="3909"/>
        <v>-2.6859136100965011E-28</v>
      </c>
      <c r="GA255" s="231">
        <f t="shared" ca="1" si="3909"/>
        <v>-1.3429568050482506E-27</v>
      </c>
      <c r="GB255" s="231">
        <f t="shared" ca="1" si="3909"/>
        <v>0</v>
      </c>
      <c r="GC255" s="231">
        <f t="shared" ca="1" si="3909"/>
        <v>-3.6288838600739839E-12</v>
      </c>
      <c r="GD255" s="231">
        <f t="shared" ca="1" si="3909"/>
        <v>-5.3718272201930023E-28</v>
      </c>
      <c r="GE255" s="231">
        <f t="shared" ca="1" si="3909"/>
        <v>-3.6288838600739839E-12</v>
      </c>
      <c r="GF255" s="231">
        <f t="shared" ca="1" si="3909"/>
        <v>-2.4192559067159892E-12</v>
      </c>
      <c r="GG255" s="231">
        <f t="shared" ca="1" si="3909"/>
        <v>-1.2096279533579946E-12</v>
      </c>
      <c r="GH255" s="231">
        <f t="shared" ca="1" si="3909"/>
        <v>0</v>
      </c>
      <c r="GI255" s="231">
        <f t="shared" ca="1" si="3909"/>
        <v>0</v>
      </c>
      <c r="GJ255" s="231">
        <f t="shared" ca="1" si="3909"/>
        <v>0</v>
      </c>
      <c r="GK255" s="231">
        <f t="shared" ca="1" si="3909"/>
        <v>-5.3718272201930023E-28</v>
      </c>
      <c r="GL255" s="231">
        <f t="shared" ca="1" si="3909"/>
        <v>-6.7147840252412528E-28</v>
      </c>
      <c r="GM255" s="231">
        <f t="shared" ca="1" si="3909"/>
        <v>-1.5483237802982331E-10</v>
      </c>
      <c r="GN255" s="231" t="str">
        <f t="shared" si="3909"/>
        <v/>
      </c>
      <c r="GO255" s="231" t="str">
        <f t="shared" si="3909"/>
        <v/>
      </c>
      <c r="GP255" s="231" t="str">
        <f t="shared" si="3909"/>
        <v/>
      </c>
      <c r="GQ255" s="231" t="str">
        <f t="shared" si="3909"/>
        <v/>
      </c>
      <c r="GR255" s="231" t="str">
        <f t="shared" si="3909"/>
        <v/>
      </c>
      <c r="GS255" s="231" t="str">
        <f t="shared" si="3909"/>
        <v/>
      </c>
      <c r="GT255" s="231" t="str">
        <f t="shared" si="3909"/>
        <v/>
      </c>
      <c r="GU255" s="231" t="str">
        <f t="shared" si="3909"/>
        <v/>
      </c>
      <c r="GV255" s="231" t="str">
        <f t="shared" si="3909"/>
        <v/>
      </c>
      <c r="GW255" s="231" t="str">
        <f t="shared" si="3909"/>
        <v/>
      </c>
      <c r="GX255" s="231" t="str">
        <f t="shared" si="3909"/>
        <v/>
      </c>
      <c r="GY255" s="231" t="str">
        <f t="shared" si="3909"/>
        <v/>
      </c>
      <c r="GZ255" s="231" t="str">
        <f t="shared" si="3909"/>
        <v/>
      </c>
      <c r="HA255" s="231" t="str">
        <f t="shared" si="3909"/>
        <v/>
      </c>
      <c r="HB255" s="231" t="str">
        <f t="shared" si="3909"/>
        <v/>
      </c>
      <c r="HC255" s="231" t="str">
        <f t="shared" si="3909"/>
        <v/>
      </c>
      <c r="HD255" s="231" t="str">
        <f t="shared" si="3909"/>
        <v/>
      </c>
      <c r="HE255" s="231" t="str">
        <f t="shared" si="3909"/>
        <v/>
      </c>
      <c r="HF255" s="231" t="str">
        <f t="shared" si="3909"/>
        <v/>
      </c>
      <c r="HG255" s="231" t="str">
        <f t="shared" si="3909"/>
        <v/>
      </c>
      <c r="HH255" s="231" t="str">
        <f t="shared" si="3909"/>
        <v/>
      </c>
      <c r="HI255" s="231" t="str">
        <f t="shared" si="3909"/>
        <v/>
      </c>
      <c r="HJ255" s="231" t="str">
        <f t="shared" si="3909"/>
        <v/>
      </c>
      <c r="HK255" s="231" t="str">
        <f t="shared" si="3909"/>
        <v/>
      </c>
      <c r="HL255" s="231" t="str">
        <f t="shared" si="3909"/>
        <v/>
      </c>
      <c r="HM255" s="231" t="str">
        <f t="shared" si="3909"/>
        <v/>
      </c>
      <c r="HN255" s="231" t="str">
        <f t="shared" si="3909"/>
        <v/>
      </c>
      <c r="HO255" s="231" t="str">
        <f t="shared" si="3909"/>
        <v/>
      </c>
      <c r="HP255" s="231" t="str">
        <f t="shared" ref="HP255:KA255" si="3910">IF(HP254="","",HP254*$K$245)</f>
        <v/>
      </c>
      <c r="HQ255" s="231" t="str">
        <f t="shared" si="3910"/>
        <v/>
      </c>
      <c r="HR255" s="231" t="str">
        <f t="shared" si="3910"/>
        <v/>
      </c>
      <c r="HS255" s="231" t="str">
        <f t="shared" si="3910"/>
        <v/>
      </c>
      <c r="HT255" s="231" t="str">
        <f t="shared" si="3910"/>
        <v/>
      </c>
      <c r="HU255" s="231" t="str">
        <f t="shared" si="3910"/>
        <v/>
      </c>
      <c r="HV255" s="231" t="str">
        <f t="shared" si="3910"/>
        <v/>
      </c>
      <c r="HW255" s="231" t="str">
        <f t="shared" si="3910"/>
        <v/>
      </c>
      <c r="HX255" s="231" t="str">
        <f t="shared" si="3910"/>
        <v/>
      </c>
      <c r="HY255" s="231" t="str">
        <f t="shared" si="3910"/>
        <v/>
      </c>
      <c r="HZ255" s="231" t="str">
        <f t="shared" si="3910"/>
        <v/>
      </c>
      <c r="IA255" s="231" t="str">
        <f t="shared" si="3910"/>
        <v/>
      </c>
      <c r="IB255" s="231" t="str">
        <f t="shared" si="3910"/>
        <v/>
      </c>
      <c r="IC255" s="231" t="str">
        <f t="shared" si="3910"/>
        <v/>
      </c>
      <c r="ID255" s="231" t="str">
        <f t="shared" si="3910"/>
        <v/>
      </c>
      <c r="IE255" s="231" t="str">
        <f t="shared" si="3910"/>
        <v/>
      </c>
      <c r="IF255" s="231" t="str">
        <f t="shared" si="3910"/>
        <v/>
      </c>
      <c r="IG255" s="231" t="str">
        <f t="shared" si="3910"/>
        <v/>
      </c>
      <c r="IH255" s="231" t="str">
        <f t="shared" si="3910"/>
        <v/>
      </c>
      <c r="II255" s="231" t="str">
        <f t="shared" si="3910"/>
        <v/>
      </c>
      <c r="IJ255" s="231" t="str">
        <f t="shared" si="3910"/>
        <v/>
      </c>
      <c r="IK255" s="231" t="str">
        <f t="shared" si="3910"/>
        <v/>
      </c>
      <c r="IL255" s="231" t="str">
        <f t="shared" si="3910"/>
        <v/>
      </c>
      <c r="IM255" s="231" t="str">
        <f t="shared" si="3910"/>
        <v/>
      </c>
      <c r="IN255" s="231" t="str">
        <f t="shared" si="3910"/>
        <v/>
      </c>
      <c r="IO255" s="231" t="str">
        <f t="shared" si="3910"/>
        <v/>
      </c>
      <c r="IP255" s="231" t="str">
        <f t="shared" si="3910"/>
        <v/>
      </c>
      <c r="IQ255" s="231" t="str">
        <f t="shared" si="3910"/>
        <v/>
      </c>
      <c r="IR255" s="231" t="str">
        <f t="shared" si="3910"/>
        <v/>
      </c>
      <c r="IS255" s="231" t="str">
        <f t="shared" si="3910"/>
        <v/>
      </c>
      <c r="IT255" s="231" t="str">
        <f t="shared" si="3910"/>
        <v/>
      </c>
      <c r="IU255" s="231" t="str">
        <f t="shared" si="3910"/>
        <v/>
      </c>
      <c r="IV255" s="231" t="str">
        <f t="shared" si="3910"/>
        <v/>
      </c>
      <c r="IW255" s="231" t="str">
        <f t="shared" si="3910"/>
        <v/>
      </c>
      <c r="IX255" s="231" t="str">
        <f t="shared" si="3910"/>
        <v/>
      </c>
      <c r="IY255" s="231" t="str">
        <f t="shared" si="3910"/>
        <v/>
      </c>
      <c r="IZ255" s="231" t="str">
        <f t="shared" si="3910"/>
        <v/>
      </c>
      <c r="JA255" s="231" t="str">
        <f t="shared" si="3910"/>
        <v/>
      </c>
      <c r="JB255" s="231" t="str">
        <f t="shared" si="3910"/>
        <v/>
      </c>
      <c r="JC255" s="231" t="str">
        <f t="shared" si="3910"/>
        <v/>
      </c>
      <c r="JD255" s="231" t="str">
        <f t="shared" si="3910"/>
        <v/>
      </c>
      <c r="JE255" s="231" t="str">
        <f t="shared" si="3910"/>
        <v/>
      </c>
      <c r="JF255" s="231" t="str">
        <f t="shared" si="3910"/>
        <v/>
      </c>
      <c r="JG255" s="231" t="str">
        <f t="shared" si="3910"/>
        <v/>
      </c>
      <c r="JH255" s="231" t="str">
        <f t="shared" si="3910"/>
        <v/>
      </c>
      <c r="JI255" s="231" t="str">
        <f t="shared" si="3910"/>
        <v/>
      </c>
      <c r="JJ255" s="231" t="str">
        <f t="shared" si="3910"/>
        <v/>
      </c>
      <c r="JK255" s="231" t="str">
        <f t="shared" si="3910"/>
        <v/>
      </c>
      <c r="JL255" s="231" t="str">
        <f t="shared" si="3910"/>
        <v/>
      </c>
      <c r="JM255" s="231" t="str">
        <f t="shared" si="3910"/>
        <v/>
      </c>
      <c r="JN255" s="231" t="str">
        <f t="shared" si="3910"/>
        <v/>
      </c>
      <c r="JO255" s="231" t="str">
        <f t="shared" si="3910"/>
        <v/>
      </c>
      <c r="JP255" s="231" t="str">
        <f t="shared" si="3910"/>
        <v/>
      </c>
      <c r="JQ255" s="231" t="str">
        <f t="shared" si="3910"/>
        <v/>
      </c>
      <c r="JR255" s="231" t="str">
        <f t="shared" si="3910"/>
        <v/>
      </c>
      <c r="JS255" s="231" t="str">
        <f t="shared" si="3910"/>
        <v/>
      </c>
      <c r="JT255" s="231" t="str">
        <f t="shared" si="3910"/>
        <v/>
      </c>
      <c r="JU255" s="231" t="str">
        <f t="shared" si="3910"/>
        <v/>
      </c>
      <c r="JV255" s="231" t="str">
        <f t="shared" si="3910"/>
        <v/>
      </c>
      <c r="JW255" s="231" t="str">
        <f t="shared" si="3910"/>
        <v/>
      </c>
      <c r="JX255" s="231" t="str">
        <f t="shared" si="3910"/>
        <v/>
      </c>
      <c r="JY255" s="231" t="str">
        <f t="shared" si="3910"/>
        <v/>
      </c>
      <c r="JZ255" s="231" t="str">
        <f t="shared" si="3910"/>
        <v/>
      </c>
      <c r="KA255" s="231" t="str">
        <f t="shared" si="3910"/>
        <v/>
      </c>
      <c r="KB255" s="231" t="str">
        <f t="shared" ref="KB255:KE255" si="3911">IF(KB254="","",KB254*$K$245)</f>
        <v/>
      </c>
      <c r="KC255" s="231" t="str">
        <f t="shared" si="3911"/>
        <v/>
      </c>
      <c r="KD255" s="231" t="str">
        <f t="shared" si="3911"/>
        <v/>
      </c>
      <c r="KE255" s="231" t="str">
        <f t="shared" si="3911"/>
        <v/>
      </c>
      <c r="KF255" s="200" t="s">
        <v>269</v>
      </c>
      <c r="PQ255" s="201"/>
      <c r="PR255" s="201"/>
      <c r="PS255" s="201"/>
      <c r="PT255" s="201"/>
      <c r="PU255" s="201"/>
      <c r="PV255" s="201"/>
      <c r="PW255" s="201"/>
      <c r="PX255" s="201"/>
      <c r="PY255" s="201"/>
      <c r="PZ255" s="201"/>
      <c r="QA255" s="201"/>
      <c r="QB255" s="201"/>
      <c r="QC255" s="201"/>
      <c r="QD255" s="201"/>
      <c r="QE255" s="201"/>
      <c r="QF255" s="201"/>
      <c r="QG255" s="201"/>
      <c r="QH255" s="201"/>
      <c r="QI255" s="201"/>
      <c r="QJ255" s="201"/>
      <c r="QK255" s="201"/>
      <c r="QL255" s="201"/>
      <c r="QM255" s="201"/>
      <c r="QN255" s="201"/>
      <c r="QO255" s="201"/>
      <c r="QP255" s="201"/>
      <c r="QQ255" s="201"/>
      <c r="QR255" s="201"/>
      <c r="QS255" s="201"/>
      <c r="QT255" s="201"/>
      <c r="QU255" s="201"/>
      <c r="QV255" s="201"/>
      <c r="QW255" s="201"/>
      <c r="QX255" s="201"/>
      <c r="QY255" s="201"/>
      <c r="QZ255" s="201"/>
      <c r="RA255" s="201"/>
      <c r="RB255" s="201"/>
      <c r="RC255" s="201"/>
      <c r="RD255" s="201"/>
      <c r="RE255" s="201"/>
      <c r="RF255" s="201"/>
      <c r="RG255" s="201"/>
      <c r="RH255" s="201"/>
      <c r="RI255" s="201"/>
      <c r="RJ255" s="201"/>
      <c r="RK255" s="201"/>
      <c r="RL255" s="201"/>
      <c r="RM255" s="201"/>
      <c r="RN255" s="201"/>
      <c r="RO255" s="201"/>
      <c r="RP255" s="201"/>
      <c r="RQ255" s="201"/>
      <c r="RR255" s="201"/>
      <c r="RS255" s="201"/>
      <c r="RT255" s="201"/>
      <c r="RU255" s="201"/>
      <c r="RV255" s="201"/>
      <c r="RW255" s="201"/>
      <c r="RX255" s="201"/>
      <c r="RY255" s="201"/>
      <c r="RZ255" s="201"/>
      <c r="SA255" s="201"/>
      <c r="SB255" s="201"/>
      <c r="SC255" s="201"/>
      <c r="SD255" s="201"/>
      <c r="SE255" s="201"/>
      <c r="SF255" s="201"/>
      <c r="SG255" s="201"/>
      <c r="SH255" s="201"/>
      <c r="SI255" s="201"/>
      <c r="SJ255" s="201"/>
      <c r="SK255" s="201"/>
      <c r="SL255" s="201"/>
      <c r="SM255" s="201"/>
      <c r="SN255" s="201"/>
      <c r="SO255" s="201"/>
      <c r="SP255" s="201"/>
      <c r="SQ255" s="201"/>
      <c r="SR255" s="201"/>
      <c r="SS255" s="201"/>
      <c r="ST255" s="201"/>
      <c r="SU255" s="201"/>
      <c r="SV255" s="201"/>
      <c r="SW255" s="201"/>
      <c r="SX255" s="201"/>
      <c r="SY255" s="201"/>
      <c r="SZ255" s="201"/>
      <c r="TA255" s="201"/>
      <c r="TB255" s="201"/>
      <c r="TC255" s="201"/>
      <c r="TD255" s="201"/>
      <c r="TE255" s="201"/>
      <c r="TF255" s="201"/>
      <c r="TG255" s="201"/>
      <c r="TH255" s="201"/>
      <c r="TI255" s="201"/>
      <c r="TJ255" s="201"/>
      <c r="TK255" s="201"/>
      <c r="TL255" s="201"/>
      <c r="TM255" s="201"/>
      <c r="TN255" s="201"/>
      <c r="TO255" s="201"/>
      <c r="TP255" s="201"/>
      <c r="TQ255" s="201"/>
      <c r="TR255" s="201"/>
      <c r="TS255" s="201"/>
      <c r="TT255" s="201"/>
      <c r="TU255" s="201"/>
      <c r="TV255" s="201"/>
      <c r="TW255" s="201"/>
      <c r="TX255" s="201"/>
      <c r="TY255" s="201"/>
      <c r="TZ255" s="201"/>
      <c r="UA255" s="201"/>
      <c r="UB255" s="201"/>
      <c r="UC255" s="201"/>
      <c r="UD255" s="201"/>
      <c r="UE255" s="201"/>
      <c r="UF255" s="201"/>
      <c r="UG255" s="201"/>
      <c r="UH255" s="201"/>
      <c r="UI255" s="201"/>
      <c r="UJ255" s="201"/>
      <c r="UK255" s="201"/>
      <c r="UL255" s="201"/>
      <c r="UM255" s="201"/>
      <c r="UN255" s="201"/>
      <c r="UO255" s="201"/>
      <c r="UP255" s="201"/>
      <c r="UQ255" s="201"/>
      <c r="UR255" s="201"/>
      <c r="US255" s="201"/>
      <c r="UT255" s="201"/>
      <c r="UU255" s="201"/>
    </row>
    <row r="256" spans="1:567" x14ac:dyDescent="0.25">
      <c r="B256" s="196" t="s">
        <v>243</v>
      </c>
      <c r="C256" s="196"/>
      <c r="D256" s="196"/>
      <c r="E256" s="196"/>
      <c r="F256" s="196"/>
      <c r="G256" s="252"/>
      <c r="H256" s="253">
        <f ca="1">K251/K239</f>
        <v>1.5444926262790775</v>
      </c>
      <c r="I256" s="254">
        <f ca="1">XIRR(OFFSET(S256,0,0,1,Analysis_Period+1),OFFSET($S$216,0,0,1,Analysis_Period+1))</f>
        <v>0.169476991891861</v>
      </c>
      <c r="J256" s="255">
        <f ca="1">SUM(J254:J255)</f>
        <v>1</v>
      </c>
      <c r="K256" s="256">
        <f ca="1">SUM(K254:K255)</f>
        <v>15397736.925640464</v>
      </c>
      <c r="R256" s="159" t="str">
        <f ca="1">IF(ROUND(SUM(S256:EU256),0)=ROUND(SUM(S229:EU229),0),"OK","ERROR")</f>
        <v>OK</v>
      </c>
      <c r="S256" s="92">
        <f ca="1">IF(S$229="","",SUM(S254:S255))</f>
        <v>-27650930</v>
      </c>
      <c r="T256" s="92">
        <f t="shared" ref="T256:CE256" ca="1" si="3912">IF(T$229="","",SUM(T254:T255))</f>
        <v>84853.984244358144</v>
      </c>
      <c r="U256" s="92">
        <f t="shared" ca="1" si="3912"/>
        <v>90134.378114341001</v>
      </c>
      <c r="V256" s="92">
        <f t="shared" ca="1" si="3912"/>
        <v>92940.258041209541</v>
      </c>
      <c r="W256" s="92">
        <f t="shared" ca="1" si="3912"/>
        <v>96307.948161248059</v>
      </c>
      <c r="X256" s="92">
        <f t="shared" ca="1" si="3912"/>
        <v>100517.47508651271</v>
      </c>
      <c r="Y256" s="92">
        <f t="shared" ca="1" si="3912"/>
        <v>103397.89849310924</v>
      </c>
      <c r="Z256" s="92">
        <f t="shared" ca="1" si="3912"/>
        <v>106417.69750160788</v>
      </c>
      <c r="AA256" s="92">
        <f t="shared" ca="1" si="3912"/>
        <v>109668.54384584576</v>
      </c>
      <c r="AB256" s="92">
        <f t="shared" ca="1" si="3912"/>
        <v>112627.08361356608</v>
      </c>
      <c r="AC256" s="92">
        <f t="shared" ca="1" si="3912"/>
        <v>115562.59759384238</v>
      </c>
      <c r="AD256" s="92">
        <f t="shared" ca="1" si="3912"/>
        <v>118487.23286179252</v>
      </c>
      <c r="AE256" s="92">
        <f t="shared" ca="1" si="3912"/>
        <v>121393.59883056002</v>
      </c>
      <c r="AF256" s="92">
        <f t="shared" ca="1" si="3912"/>
        <v>124914.30293087487</v>
      </c>
      <c r="AG256" s="92">
        <f t="shared" ca="1" si="3912"/>
        <v>128395.48852891321</v>
      </c>
      <c r="AH256" s="92">
        <f t="shared" ca="1" si="3912"/>
        <v>131927.9876215909</v>
      </c>
      <c r="AI256" s="92">
        <f t="shared" ca="1" si="3912"/>
        <v>135486.62501190428</v>
      </c>
      <c r="AJ256" s="92">
        <f t="shared" ca="1" si="3912"/>
        <v>139069.40118646069</v>
      </c>
      <c r="AK256" s="92">
        <f t="shared" ca="1" si="3912"/>
        <v>142683.35416291468</v>
      </c>
      <c r="AL256" s="92">
        <f t="shared" ca="1" si="3912"/>
        <v>146316.06417419281</v>
      </c>
      <c r="AM256" s="92">
        <f t="shared" ca="1" si="3912"/>
        <v>150003.80515910525</v>
      </c>
      <c r="AN256" s="92">
        <f t="shared" ca="1" si="3912"/>
        <v>153718.00083888386</v>
      </c>
      <c r="AO256" s="92">
        <f t="shared" ca="1" si="3912"/>
        <v>157456.60182851291</v>
      </c>
      <c r="AP256" s="92">
        <f t="shared" ca="1" si="3912"/>
        <v>161225.11929717308</v>
      </c>
      <c r="AQ256" s="92">
        <f t="shared" ca="1" si="3912"/>
        <v>166080.45622274844</v>
      </c>
      <c r="AR256" s="92">
        <f t="shared" ca="1" si="3912"/>
        <v>187894.71920647362</v>
      </c>
      <c r="AS256" s="92">
        <f t="shared" ca="1" si="3912"/>
        <v>188315.8180153594</v>
      </c>
      <c r="AT256" s="92">
        <f t="shared" ca="1" si="3912"/>
        <v>188783.11676020076</v>
      </c>
      <c r="AU256" s="92">
        <f t="shared" ca="1" si="3912"/>
        <v>189219.54179575754</v>
      </c>
      <c r="AV256" s="92">
        <f t="shared" ca="1" si="3912"/>
        <v>189697.68014224386</v>
      </c>
      <c r="AW256" s="92">
        <f t="shared" ca="1" si="3912"/>
        <v>190188.15602236625</v>
      </c>
      <c r="AX256" s="92">
        <f t="shared" ca="1" si="3912"/>
        <v>190686.47950269585</v>
      </c>
      <c r="AY256" s="92">
        <f t="shared" ca="1" si="3912"/>
        <v>191212.0095838205</v>
      </c>
      <c r="AZ256" s="92">
        <f t="shared" ca="1" si="3912"/>
        <v>191720.50813421857</v>
      </c>
      <c r="BA256" s="92">
        <f t="shared" ca="1" si="3912"/>
        <v>192283.8709352903</v>
      </c>
      <c r="BB256" s="92">
        <f t="shared" ca="1" si="3912"/>
        <v>192853.71222986083</v>
      </c>
      <c r="BC256" s="92">
        <f t="shared" ca="1" si="3912"/>
        <v>37966225.409960926</v>
      </c>
      <c r="BD256" s="92" t="str">
        <f t="shared" si="3912"/>
        <v/>
      </c>
      <c r="BE256" s="92" t="str">
        <f t="shared" si="3912"/>
        <v/>
      </c>
      <c r="BF256" s="92" t="str">
        <f t="shared" si="3912"/>
        <v/>
      </c>
      <c r="BG256" s="92" t="str">
        <f t="shared" si="3912"/>
        <v/>
      </c>
      <c r="BH256" s="92" t="str">
        <f t="shared" si="3912"/>
        <v/>
      </c>
      <c r="BI256" s="92" t="str">
        <f t="shared" si="3912"/>
        <v/>
      </c>
      <c r="BJ256" s="92" t="str">
        <f t="shared" si="3912"/>
        <v/>
      </c>
      <c r="BK256" s="92" t="str">
        <f t="shared" si="3912"/>
        <v/>
      </c>
      <c r="BL256" s="92" t="str">
        <f t="shared" si="3912"/>
        <v/>
      </c>
      <c r="BM256" s="92" t="str">
        <f t="shared" si="3912"/>
        <v/>
      </c>
      <c r="BN256" s="92" t="str">
        <f t="shared" si="3912"/>
        <v/>
      </c>
      <c r="BO256" s="92" t="str">
        <f t="shared" si="3912"/>
        <v/>
      </c>
      <c r="BP256" s="92" t="str">
        <f t="shared" si="3912"/>
        <v/>
      </c>
      <c r="BQ256" s="92" t="str">
        <f t="shared" si="3912"/>
        <v/>
      </c>
      <c r="BR256" s="92" t="str">
        <f t="shared" si="3912"/>
        <v/>
      </c>
      <c r="BS256" s="92" t="str">
        <f t="shared" si="3912"/>
        <v/>
      </c>
      <c r="BT256" s="92" t="str">
        <f t="shared" si="3912"/>
        <v/>
      </c>
      <c r="BU256" s="92" t="str">
        <f t="shared" si="3912"/>
        <v/>
      </c>
      <c r="BV256" s="92" t="str">
        <f t="shared" si="3912"/>
        <v/>
      </c>
      <c r="BW256" s="92" t="str">
        <f t="shared" si="3912"/>
        <v/>
      </c>
      <c r="BX256" s="92" t="str">
        <f t="shared" si="3912"/>
        <v/>
      </c>
      <c r="BY256" s="92" t="str">
        <f t="shared" si="3912"/>
        <v/>
      </c>
      <c r="BZ256" s="92" t="str">
        <f t="shared" si="3912"/>
        <v/>
      </c>
      <c r="CA256" s="92" t="str">
        <f t="shared" si="3912"/>
        <v/>
      </c>
      <c r="CB256" s="92" t="str">
        <f t="shared" si="3912"/>
        <v/>
      </c>
      <c r="CC256" s="92" t="str">
        <f t="shared" si="3912"/>
        <v/>
      </c>
      <c r="CD256" s="92" t="str">
        <f t="shared" si="3912"/>
        <v/>
      </c>
      <c r="CE256" s="92" t="str">
        <f t="shared" si="3912"/>
        <v/>
      </c>
      <c r="CF256" s="92" t="str">
        <f t="shared" ref="CF256:EQ256" si="3913">IF(CF$229="","",SUM(CF254:CF255))</f>
        <v/>
      </c>
      <c r="CG256" s="92" t="str">
        <f t="shared" si="3913"/>
        <v/>
      </c>
      <c r="CH256" s="92" t="str">
        <f t="shared" si="3913"/>
        <v/>
      </c>
      <c r="CI256" s="92" t="str">
        <f t="shared" si="3913"/>
        <v/>
      </c>
      <c r="CJ256" s="92" t="str">
        <f t="shared" si="3913"/>
        <v/>
      </c>
      <c r="CK256" s="92" t="str">
        <f t="shared" si="3913"/>
        <v/>
      </c>
      <c r="CL256" s="92" t="str">
        <f t="shared" si="3913"/>
        <v/>
      </c>
      <c r="CM256" s="92" t="str">
        <f t="shared" si="3913"/>
        <v/>
      </c>
      <c r="CN256" s="92" t="str">
        <f t="shared" si="3913"/>
        <v/>
      </c>
      <c r="CO256" s="92" t="str">
        <f t="shared" si="3913"/>
        <v/>
      </c>
      <c r="CP256" s="92" t="str">
        <f t="shared" si="3913"/>
        <v/>
      </c>
      <c r="CQ256" s="92" t="str">
        <f t="shared" si="3913"/>
        <v/>
      </c>
      <c r="CR256" s="92" t="str">
        <f t="shared" si="3913"/>
        <v/>
      </c>
      <c r="CS256" s="92" t="str">
        <f t="shared" si="3913"/>
        <v/>
      </c>
      <c r="CT256" s="92" t="str">
        <f t="shared" si="3913"/>
        <v/>
      </c>
      <c r="CU256" s="92" t="str">
        <f t="shared" si="3913"/>
        <v/>
      </c>
      <c r="CV256" s="92" t="str">
        <f t="shared" si="3913"/>
        <v/>
      </c>
      <c r="CW256" s="92" t="str">
        <f t="shared" si="3913"/>
        <v/>
      </c>
      <c r="CX256" s="92" t="str">
        <f t="shared" si="3913"/>
        <v/>
      </c>
      <c r="CY256" s="92" t="str">
        <f t="shared" si="3913"/>
        <v/>
      </c>
      <c r="CZ256" s="92" t="str">
        <f t="shared" si="3913"/>
        <v/>
      </c>
      <c r="DA256" s="92" t="str">
        <f t="shared" si="3913"/>
        <v/>
      </c>
      <c r="DB256" s="92" t="str">
        <f t="shared" si="3913"/>
        <v/>
      </c>
      <c r="DC256" s="92" t="str">
        <f t="shared" si="3913"/>
        <v/>
      </c>
      <c r="DD256" s="92" t="str">
        <f t="shared" si="3913"/>
        <v/>
      </c>
      <c r="DE256" s="92" t="str">
        <f t="shared" si="3913"/>
        <v/>
      </c>
      <c r="DF256" s="92" t="str">
        <f t="shared" si="3913"/>
        <v/>
      </c>
      <c r="DG256" s="92" t="str">
        <f t="shared" si="3913"/>
        <v/>
      </c>
      <c r="DH256" s="92" t="str">
        <f t="shared" si="3913"/>
        <v/>
      </c>
      <c r="DI256" s="92" t="str">
        <f t="shared" si="3913"/>
        <v/>
      </c>
      <c r="DJ256" s="92" t="str">
        <f t="shared" si="3913"/>
        <v/>
      </c>
      <c r="DK256" s="92" t="str">
        <f t="shared" si="3913"/>
        <v/>
      </c>
      <c r="DL256" s="92" t="str">
        <f t="shared" si="3913"/>
        <v/>
      </c>
      <c r="DM256" s="92" t="str">
        <f t="shared" si="3913"/>
        <v/>
      </c>
      <c r="DN256" s="92" t="str">
        <f t="shared" si="3913"/>
        <v/>
      </c>
      <c r="DO256" s="92" t="str">
        <f t="shared" si="3913"/>
        <v/>
      </c>
      <c r="DP256" s="92" t="str">
        <f t="shared" si="3913"/>
        <v/>
      </c>
      <c r="DQ256" s="92" t="str">
        <f t="shared" si="3913"/>
        <v/>
      </c>
      <c r="DR256" s="92" t="str">
        <f t="shared" si="3913"/>
        <v/>
      </c>
      <c r="DS256" s="92" t="str">
        <f t="shared" si="3913"/>
        <v/>
      </c>
      <c r="DT256" s="92" t="str">
        <f t="shared" si="3913"/>
        <v/>
      </c>
      <c r="DU256" s="92" t="str">
        <f t="shared" si="3913"/>
        <v/>
      </c>
      <c r="DV256" s="92" t="str">
        <f t="shared" si="3913"/>
        <v/>
      </c>
      <c r="DW256" s="92" t="str">
        <f t="shared" si="3913"/>
        <v/>
      </c>
      <c r="DX256" s="92" t="str">
        <f t="shared" si="3913"/>
        <v/>
      </c>
      <c r="DY256" s="92" t="str">
        <f t="shared" si="3913"/>
        <v/>
      </c>
      <c r="DZ256" s="92" t="str">
        <f t="shared" si="3913"/>
        <v/>
      </c>
      <c r="EA256" s="92" t="str">
        <f t="shared" si="3913"/>
        <v/>
      </c>
      <c r="EB256" s="92" t="str">
        <f t="shared" si="3913"/>
        <v/>
      </c>
      <c r="EC256" s="92" t="str">
        <f t="shared" si="3913"/>
        <v/>
      </c>
      <c r="ED256" s="92" t="str">
        <f t="shared" si="3913"/>
        <v/>
      </c>
      <c r="EE256" s="92" t="str">
        <f t="shared" si="3913"/>
        <v/>
      </c>
      <c r="EF256" s="92" t="str">
        <f t="shared" si="3913"/>
        <v/>
      </c>
      <c r="EG256" s="92" t="str">
        <f t="shared" si="3913"/>
        <v/>
      </c>
      <c r="EH256" s="92" t="str">
        <f t="shared" si="3913"/>
        <v/>
      </c>
      <c r="EI256" s="92" t="str">
        <f t="shared" si="3913"/>
        <v/>
      </c>
      <c r="EJ256" s="92" t="str">
        <f t="shared" si="3913"/>
        <v/>
      </c>
      <c r="EK256" s="92" t="str">
        <f t="shared" si="3913"/>
        <v/>
      </c>
      <c r="EL256" s="92" t="str">
        <f t="shared" si="3913"/>
        <v/>
      </c>
      <c r="EM256" s="92" t="str">
        <f t="shared" si="3913"/>
        <v/>
      </c>
      <c r="EN256" s="92" t="str">
        <f t="shared" si="3913"/>
        <v/>
      </c>
      <c r="EO256" s="92" t="str">
        <f t="shared" si="3913"/>
        <v/>
      </c>
      <c r="EP256" s="92" t="str">
        <f t="shared" si="3913"/>
        <v/>
      </c>
      <c r="EQ256" s="92" t="str">
        <f t="shared" si="3913"/>
        <v/>
      </c>
      <c r="ER256" s="92" t="str">
        <f t="shared" ref="ER256:EU256" si="3914">IF(ER$229="","",SUM(ER254:ER255))</f>
        <v/>
      </c>
      <c r="ES256" s="92" t="str">
        <f t="shared" si="3914"/>
        <v/>
      </c>
      <c r="ET256" s="92" t="str">
        <f t="shared" si="3914"/>
        <v/>
      </c>
      <c r="EU256" s="92" t="str">
        <f t="shared" si="3914"/>
        <v/>
      </c>
      <c r="EW256" s="201" t="s">
        <v>272</v>
      </c>
      <c r="EX256" s="201"/>
      <c r="EY256" s="228"/>
      <c r="EZ256" s="228"/>
      <c r="FA256" s="236"/>
      <c r="FB256" s="236"/>
      <c r="FC256" s="236">
        <f ca="1">IF(FC254="","",FC254*$J$245)</f>
        <v>0</v>
      </c>
      <c r="FD256" s="236">
        <f t="shared" ref="FD256:HO256" ca="1" si="3915">IF(FD254="","",FD254*$J$245)</f>
        <v>0</v>
      </c>
      <c r="FE256" s="236">
        <f t="shared" ca="1" si="3915"/>
        <v>-3.0043839075124075E-44</v>
      </c>
      <c r="FF256" s="236">
        <f t="shared" ca="1" si="3915"/>
        <v>-7.6170181273482732E-13</v>
      </c>
      <c r="FG256" s="236">
        <f t="shared" ca="1" si="3915"/>
        <v>-3.3826355615876983E-28</v>
      </c>
      <c r="FH256" s="236">
        <f t="shared" ca="1" si="3915"/>
        <v>0</v>
      </c>
      <c r="FI256" s="236">
        <f t="shared" ca="1" si="3915"/>
        <v>0</v>
      </c>
      <c r="FJ256" s="236">
        <f t="shared" ca="1" si="3915"/>
        <v>0</v>
      </c>
      <c r="FK256" s="236">
        <f t="shared" ca="1" si="3915"/>
        <v>-3.0468072509393093E-13</v>
      </c>
      <c r="FL256" s="236">
        <f t="shared" ca="1" si="3915"/>
        <v>-1.3530542246350793E-28</v>
      </c>
      <c r="FM256" s="236">
        <f t="shared" ca="1" si="3915"/>
        <v>0</v>
      </c>
      <c r="FN256" s="236">
        <f t="shared" ca="1" si="3915"/>
        <v>-1.6913177807938491E-28</v>
      </c>
      <c r="FO256" s="236">
        <f t="shared" ca="1" si="3915"/>
        <v>-1.6913177807938491E-28</v>
      </c>
      <c r="FP256" s="236">
        <f t="shared" ca="1" si="3915"/>
        <v>0</v>
      </c>
      <c r="FQ256" s="236">
        <f t="shared" ca="1" si="3915"/>
        <v>-1.6913177807938491E-28</v>
      </c>
      <c r="FR256" s="236">
        <f t="shared" ca="1" si="3915"/>
        <v>0</v>
      </c>
      <c r="FS256" s="236">
        <f t="shared" ca="1" si="3915"/>
        <v>0</v>
      </c>
      <c r="FT256" s="236">
        <f t="shared" ca="1" si="3915"/>
        <v>-6.008767815024815E-44</v>
      </c>
      <c r="FU256" s="236">
        <f t="shared" ca="1" si="3915"/>
        <v>-3.0043839075124075E-44</v>
      </c>
      <c r="FV256" s="236">
        <f t="shared" ca="1" si="3915"/>
        <v>-1.6913177807938491E-28</v>
      </c>
      <c r="FW256" s="236">
        <f t="shared" ca="1" si="3915"/>
        <v>0</v>
      </c>
      <c r="FX256" s="236">
        <f t="shared" ca="1" si="3915"/>
        <v>0</v>
      </c>
      <c r="FY256" s="236">
        <f t="shared" ca="1" si="3915"/>
        <v>-6.7652711231753965E-28</v>
      </c>
      <c r="FZ256" s="236">
        <f t="shared" ca="1" si="3915"/>
        <v>-1.3530542246350793E-28</v>
      </c>
      <c r="GA256" s="236">
        <f t="shared" ca="1" si="3915"/>
        <v>-6.7652711231753965E-28</v>
      </c>
      <c r="GB256" s="236">
        <f t="shared" ca="1" si="3915"/>
        <v>0</v>
      </c>
      <c r="GC256" s="236">
        <f t="shared" ca="1" si="3915"/>
        <v>-1.8280843505635856E-12</v>
      </c>
      <c r="GD256" s="236">
        <f t="shared" ca="1" si="3915"/>
        <v>-2.7061084492701586E-28</v>
      </c>
      <c r="GE256" s="236">
        <f t="shared" ca="1" si="3915"/>
        <v>-1.8280843505635856E-12</v>
      </c>
      <c r="GF256" s="236">
        <f t="shared" ca="1" si="3915"/>
        <v>-1.2187229003757237E-12</v>
      </c>
      <c r="GG256" s="236">
        <f t="shared" ca="1" si="3915"/>
        <v>-6.0936145018786185E-13</v>
      </c>
      <c r="GH256" s="236">
        <f t="shared" ca="1" si="3915"/>
        <v>0</v>
      </c>
      <c r="GI256" s="236">
        <f t="shared" ca="1" si="3915"/>
        <v>0</v>
      </c>
      <c r="GJ256" s="236">
        <f t="shared" ca="1" si="3915"/>
        <v>0</v>
      </c>
      <c r="GK256" s="236">
        <f t="shared" ca="1" si="3915"/>
        <v>-2.7061084492701586E-28</v>
      </c>
      <c r="GL256" s="236">
        <f t="shared" ca="1" si="3915"/>
        <v>-3.3826355615876983E-28</v>
      </c>
      <c r="GM256" s="236">
        <f t="shared" ca="1" si="3915"/>
        <v>-7.7998265624046317E-11</v>
      </c>
      <c r="GN256" s="236" t="str">
        <f t="shared" si="3915"/>
        <v/>
      </c>
      <c r="GO256" s="236" t="str">
        <f t="shared" si="3915"/>
        <v/>
      </c>
      <c r="GP256" s="236" t="str">
        <f t="shared" si="3915"/>
        <v/>
      </c>
      <c r="GQ256" s="236" t="str">
        <f t="shared" si="3915"/>
        <v/>
      </c>
      <c r="GR256" s="236" t="str">
        <f t="shared" si="3915"/>
        <v/>
      </c>
      <c r="GS256" s="236" t="str">
        <f t="shared" si="3915"/>
        <v/>
      </c>
      <c r="GT256" s="236" t="str">
        <f t="shared" si="3915"/>
        <v/>
      </c>
      <c r="GU256" s="236" t="str">
        <f t="shared" si="3915"/>
        <v/>
      </c>
      <c r="GV256" s="236" t="str">
        <f t="shared" si="3915"/>
        <v/>
      </c>
      <c r="GW256" s="236" t="str">
        <f t="shared" si="3915"/>
        <v/>
      </c>
      <c r="GX256" s="236" t="str">
        <f t="shared" si="3915"/>
        <v/>
      </c>
      <c r="GY256" s="236" t="str">
        <f t="shared" si="3915"/>
        <v/>
      </c>
      <c r="GZ256" s="236" t="str">
        <f t="shared" si="3915"/>
        <v/>
      </c>
      <c r="HA256" s="236" t="str">
        <f t="shared" si="3915"/>
        <v/>
      </c>
      <c r="HB256" s="236" t="str">
        <f t="shared" si="3915"/>
        <v/>
      </c>
      <c r="HC256" s="236" t="str">
        <f t="shared" si="3915"/>
        <v/>
      </c>
      <c r="HD256" s="236" t="str">
        <f t="shared" si="3915"/>
        <v/>
      </c>
      <c r="HE256" s="236" t="str">
        <f t="shared" si="3915"/>
        <v/>
      </c>
      <c r="HF256" s="236" t="str">
        <f t="shared" si="3915"/>
        <v/>
      </c>
      <c r="HG256" s="236" t="str">
        <f t="shared" si="3915"/>
        <v/>
      </c>
      <c r="HH256" s="236" t="str">
        <f t="shared" si="3915"/>
        <v/>
      </c>
      <c r="HI256" s="236" t="str">
        <f t="shared" si="3915"/>
        <v/>
      </c>
      <c r="HJ256" s="236" t="str">
        <f t="shared" si="3915"/>
        <v/>
      </c>
      <c r="HK256" s="236" t="str">
        <f t="shared" si="3915"/>
        <v/>
      </c>
      <c r="HL256" s="236" t="str">
        <f t="shared" si="3915"/>
        <v/>
      </c>
      <c r="HM256" s="236" t="str">
        <f t="shared" si="3915"/>
        <v/>
      </c>
      <c r="HN256" s="236" t="str">
        <f t="shared" si="3915"/>
        <v/>
      </c>
      <c r="HO256" s="236" t="str">
        <f t="shared" si="3915"/>
        <v/>
      </c>
      <c r="HP256" s="236" t="str">
        <f t="shared" ref="HP256:KA256" si="3916">IF(HP254="","",HP254*$J$245)</f>
        <v/>
      </c>
      <c r="HQ256" s="236" t="str">
        <f t="shared" si="3916"/>
        <v/>
      </c>
      <c r="HR256" s="236" t="str">
        <f t="shared" si="3916"/>
        <v/>
      </c>
      <c r="HS256" s="236" t="str">
        <f t="shared" si="3916"/>
        <v/>
      </c>
      <c r="HT256" s="236" t="str">
        <f t="shared" si="3916"/>
        <v/>
      </c>
      <c r="HU256" s="236" t="str">
        <f t="shared" si="3916"/>
        <v/>
      </c>
      <c r="HV256" s="236" t="str">
        <f t="shared" si="3916"/>
        <v/>
      </c>
      <c r="HW256" s="236" t="str">
        <f t="shared" si="3916"/>
        <v/>
      </c>
      <c r="HX256" s="236" t="str">
        <f t="shared" si="3916"/>
        <v/>
      </c>
      <c r="HY256" s="236" t="str">
        <f t="shared" si="3916"/>
        <v/>
      </c>
      <c r="HZ256" s="236" t="str">
        <f t="shared" si="3916"/>
        <v/>
      </c>
      <c r="IA256" s="236" t="str">
        <f t="shared" si="3916"/>
        <v/>
      </c>
      <c r="IB256" s="236" t="str">
        <f t="shared" si="3916"/>
        <v/>
      </c>
      <c r="IC256" s="236" t="str">
        <f t="shared" si="3916"/>
        <v/>
      </c>
      <c r="ID256" s="236" t="str">
        <f t="shared" si="3916"/>
        <v/>
      </c>
      <c r="IE256" s="236" t="str">
        <f t="shared" si="3916"/>
        <v/>
      </c>
      <c r="IF256" s="236" t="str">
        <f t="shared" si="3916"/>
        <v/>
      </c>
      <c r="IG256" s="236" t="str">
        <f t="shared" si="3916"/>
        <v/>
      </c>
      <c r="IH256" s="236" t="str">
        <f t="shared" si="3916"/>
        <v/>
      </c>
      <c r="II256" s="236" t="str">
        <f t="shared" si="3916"/>
        <v/>
      </c>
      <c r="IJ256" s="236" t="str">
        <f t="shared" si="3916"/>
        <v/>
      </c>
      <c r="IK256" s="236" t="str">
        <f t="shared" si="3916"/>
        <v/>
      </c>
      <c r="IL256" s="236" t="str">
        <f t="shared" si="3916"/>
        <v/>
      </c>
      <c r="IM256" s="236" t="str">
        <f t="shared" si="3916"/>
        <v/>
      </c>
      <c r="IN256" s="236" t="str">
        <f t="shared" si="3916"/>
        <v/>
      </c>
      <c r="IO256" s="236" t="str">
        <f t="shared" si="3916"/>
        <v/>
      </c>
      <c r="IP256" s="236" t="str">
        <f t="shared" si="3916"/>
        <v/>
      </c>
      <c r="IQ256" s="236" t="str">
        <f t="shared" si="3916"/>
        <v/>
      </c>
      <c r="IR256" s="236" t="str">
        <f t="shared" si="3916"/>
        <v/>
      </c>
      <c r="IS256" s="236" t="str">
        <f t="shared" si="3916"/>
        <v/>
      </c>
      <c r="IT256" s="236" t="str">
        <f t="shared" si="3916"/>
        <v/>
      </c>
      <c r="IU256" s="236" t="str">
        <f t="shared" si="3916"/>
        <v/>
      </c>
      <c r="IV256" s="236" t="str">
        <f t="shared" si="3916"/>
        <v/>
      </c>
      <c r="IW256" s="236" t="str">
        <f t="shared" si="3916"/>
        <v/>
      </c>
      <c r="IX256" s="236" t="str">
        <f t="shared" si="3916"/>
        <v/>
      </c>
      <c r="IY256" s="236" t="str">
        <f t="shared" si="3916"/>
        <v/>
      </c>
      <c r="IZ256" s="236" t="str">
        <f t="shared" si="3916"/>
        <v/>
      </c>
      <c r="JA256" s="236" t="str">
        <f t="shared" si="3916"/>
        <v/>
      </c>
      <c r="JB256" s="236" t="str">
        <f t="shared" si="3916"/>
        <v/>
      </c>
      <c r="JC256" s="236" t="str">
        <f t="shared" si="3916"/>
        <v/>
      </c>
      <c r="JD256" s="236" t="str">
        <f t="shared" si="3916"/>
        <v/>
      </c>
      <c r="JE256" s="236" t="str">
        <f t="shared" si="3916"/>
        <v/>
      </c>
      <c r="JF256" s="236" t="str">
        <f t="shared" si="3916"/>
        <v/>
      </c>
      <c r="JG256" s="236" t="str">
        <f t="shared" si="3916"/>
        <v/>
      </c>
      <c r="JH256" s="236" t="str">
        <f t="shared" si="3916"/>
        <v/>
      </c>
      <c r="JI256" s="236" t="str">
        <f t="shared" si="3916"/>
        <v/>
      </c>
      <c r="JJ256" s="236" t="str">
        <f t="shared" si="3916"/>
        <v/>
      </c>
      <c r="JK256" s="236" t="str">
        <f t="shared" si="3916"/>
        <v/>
      </c>
      <c r="JL256" s="236" t="str">
        <f t="shared" si="3916"/>
        <v/>
      </c>
      <c r="JM256" s="236" t="str">
        <f t="shared" si="3916"/>
        <v/>
      </c>
      <c r="JN256" s="236" t="str">
        <f t="shared" si="3916"/>
        <v/>
      </c>
      <c r="JO256" s="236" t="str">
        <f t="shared" si="3916"/>
        <v/>
      </c>
      <c r="JP256" s="236" t="str">
        <f t="shared" si="3916"/>
        <v/>
      </c>
      <c r="JQ256" s="236" t="str">
        <f t="shared" si="3916"/>
        <v/>
      </c>
      <c r="JR256" s="236" t="str">
        <f t="shared" si="3916"/>
        <v/>
      </c>
      <c r="JS256" s="236" t="str">
        <f t="shared" si="3916"/>
        <v/>
      </c>
      <c r="JT256" s="236" t="str">
        <f t="shared" si="3916"/>
        <v/>
      </c>
      <c r="JU256" s="236" t="str">
        <f t="shared" si="3916"/>
        <v/>
      </c>
      <c r="JV256" s="236" t="str">
        <f t="shared" si="3916"/>
        <v/>
      </c>
      <c r="JW256" s="236" t="str">
        <f t="shared" si="3916"/>
        <v/>
      </c>
      <c r="JX256" s="236" t="str">
        <f t="shared" si="3916"/>
        <v/>
      </c>
      <c r="JY256" s="236" t="str">
        <f t="shared" si="3916"/>
        <v/>
      </c>
      <c r="JZ256" s="236" t="str">
        <f t="shared" si="3916"/>
        <v/>
      </c>
      <c r="KA256" s="236" t="str">
        <f t="shared" si="3916"/>
        <v/>
      </c>
      <c r="KB256" s="236" t="str">
        <f t="shared" ref="KB256:KE256" si="3917">IF(KB254="","",KB254*$J$245)</f>
        <v/>
      </c>
      <c r="KC256" s="236" t="str">
        <f t="shared" si="3917"/>
        <v/>
      </c>
      <c r="KD256" s="236" t="str">
        <f t="shared" si="3917"/>
        <v/>
      </c>
      <c r="KE256" s="236" t="str">
        <f t="shared" si="3917"/>
        <v/>
      </c>
      <c r="KF256" s="200" t="s">
        <v>269</v>
      </c>
      <c r="PQ256" s="201"/>
      <c r="PR256" s="201"/>
      <c r="PS256" s="201"/>
      <c r="PT256" s="201"/>
      <c r="PU256" s="201"/>
      <c r="PV256" s="201"/>
      <c r="PW256" s="201"/>
      <c r="PX256" s="201"/>
      <c r="PY256" s="201"/>
      <c r="PZ256" s="201"/>
      <c r="QA256" s="201"/>
      <c r="QB256" s="201"/>
      <c r="QC256" s="201"/>
      <c r="QD256" s="201"/>
      <c r="QE256" s="201"/>
      <c r="QF256" s="201"/>
      <c r="QG256" s="201"/>
      <c r="QH256" s="201"/>
      <c r="QI256" s="201"/>
      <c r="QJ256" s="201"/>
      <c r="QK256" s="201"/>
      <c r="QL256" s="201"/>
      <c r="QM256" s="201"/>
      <c r="QN256" s="201"/>
      <c r="QO256" s="201"/>
      <c r="QP256" s="201"/>
      <c r="QQ256" s="201"/>
      <c r="QR256" s="201"/>
      <c r="QS256" s="201"/>
      <c r="QT256" s="201"/>
      <c r="QU256" s="201"/>
      <c r="QV256" s="201"/>
      <c r="QW256" s="201"/>
      <c r="QX256" s="201"/>
      <c r="QY256" s="201"/>
      <c r="QZ256" s="201"/>
      <c r="RA256" s="201"/>
      <c r="RB256" s="201"/>
      <c r="RC256" s="201"/>
      <c r="RD256" s="201"/>
      <c r="RE256" s="201"/>
      <c r="RF256" s="201"/>
      <c r="RG256" s="201"/>
      <c r="RH256" s="201"/>
      <c r="RI256" s="201"/>
      <c r="RJ256" s="201"/>
      <c r="RK256" s="201"/>
      <c r="RL256" s="201"/>
      <c r="RM256" s="201"/>
      <c r="RN256" s="201"/>
      <c r="RO256" s="201"/>
      <c r="RP256" s="201"/>
      <c r="RQ256" s="201"/>
      <c r="RR256" s="201"/>
      <c r="RS256" s="201"/>
      <c r="RT256" s="201"/>
      <c r="RU256" s="201"/>
      <c r="RV256" s="201"/>
      <c r="RW256" s="201"/>
      <c r="RX256" s="201"/>
      <c r="RY256" s="201"/>
      <c r="RZ256" s="201"/>
      <c r="SA256" s="201"/>
      <c r="SB256" s="201"/>
      <c r="SC256" s="201"/>
      <c r="SD256" s="201"/>
      <c r="SE256" s="201"/>
      <c r="SF256" s="201"/>
      <c r="SG256" s="201"/>
      <c r="SH256" s="201"/>
      <c r="SI256" s="201"/>
      <c r="SJ256" s="201"/>
      <c r="SK256" s="201"/>
      <c r="SL256" s="201"/>
      <c r="SM256" s="201"/>
      <c r="SN256" s="201"/>
      <c r="SO256" s="201"/>
      <c r="SP256" s="201"/>
      <c r="SQ256" s="201"/>
      <c r="SR256" s="201"/>
      <c r="SS256" s="201"/>
      <c r="ST256" s="201"/>
      <c r="SU256" s="201"/>
      <c r="SV256" s="201"/>
      <c r="SW256" s="201"/>
      <c r="SX256" s="201"/>
      <c r="SY256" s="201"/>
      <c r="SZ256" s="201"/>
      <c r="TA256" s="201"/>
      <c r="TB256" s="201"/>
      <c r="TC256" s="201"/>
      <c r="TD256" s="201"/>
      <c r="TE256" s="201"/>
      <c r="TF256" s="201"/>
      <c r="TG256" s="201"/>
      <c r="TH256" s="201"/>
      <c r="TI256" s="201"/>
      <c r="TJ256" s="201"/>
      <c r="TK256" s="201"/>
      <c r="TL256" s="201"/>
      <c r="TM256" s="201"/>
      <c r="TN256" s="201"/>
      <c r="TO256" s="201"/>
      <c r="TP256" s="201"/>
      <c r="TQ256" s="201"/>
      <c r="TR256" s="201"/>
      <c r="TS256" s="201"/>
      <c r="TT256" s="201"/>
      <c r="TU256" s="201"/>
      <c r="TV256" s="201"/>
      <c r="TW256" s="201"/>
      <c r="TX256" s="201"/>
      <c r="TY256" s="201"/>
      <c r="TZ256" s="201"/>
      <c r="UA256" s="201"/>
      <c r="UB256" s="201"/>
      <c r="UC256" s="201"/>
      <c r="UD256" s="201"/>
      <c r="UE256" s="201"/>
      <c r="UF256" s="201"/>
      <c r="UG256" s="201"/>
      <c r="UH256" s="201"/>
      <c r="UI256" s="201"/>
      <c r="UJ256" s="201"/>
      <c r="UK256" s="201"/>
      <c r="UL256" s="201"/>
      <c r="UM256" s="201"/>
      <c r="UN256" s="201"/>
      <c r="UO256" s="201"/>
      <c r="UP256" s="201"/>
      <c r="UQ256" s="201"/>
      <c r="UR256" s="201"/>
      <c r="US256" s="201"/>
      <c r="UT256" s="201"/>
      <c r="UU256" s="201"/>
    </row>
    <row r="257" spans="2:567" x14ac:dyDescent="0.25">
      <c r="PQ257" s="201"/>
      <c r="PR257" s="201"/>
      <c r="PS257" s="201"/>
      <c r="PT257" s="201"/>
      <c r="PU257" s="201"/>
      <c r="PV257" s="201"/>
      <c r="PW257" s="201"/>
      <c r="PX257" s="201"/>
      <c r="PY257" s="201"/>
      <c r="PZ257" s="201"/>
      <c r="QA257" s="201"/>
      <c r="QB257" s="201"/>
      <c r="QC257" s="201"/>
      <c r="QD257" s="201"/>
      <c r="QE257" s="201"/>
      <c r="QF257" s="201"/>
      <c r="QG257" s="201"/>
      <c r="QH257" s="201"/>
      <c r="QI257" s="201"/>
      <c r="QJ257" s="201"/>
      <c r="QK257" s="201"/>
      <c r="QL257" s="201"/>
      <c r="QM257" s="201"/>
      <c r="QN257" s="201"/>
      <c r="QO257" s="201"/>
      <c r="QP257" s="201"/>
      <c r="QQ257" s="201"/>
      <c r="QR257" s="201"/>
      <c r="QS257" s="201"/>
      <c r="QT257" s="201"/>
      <c r="QU257" s="201"/>
      <c r="QV257" s="201"/>
      <c r="QW257" s="201"/>
      <c r="QX257" s="201"/>
      <c r="QY257" s="201"/>
      <c r="QZ257" s="201"/>
      <c r="RA257" s="201"/>
      <c r="RB257" s="201"/>
      <c r="RC257" s="201"/>
      <c r="RD257" s="201"/>
      <c r="RE257" s="201"/>
      <c r="RF257" s="201"/>
      <c r="RG257" s="201"/>
      <c r="RH257" s="201"/>
      <c r="RI257" s="201"/>
      <c r="RJ257" s="201"/>
      <c r="RK257" s="201"/>
      <c r="RL257" s="201"/>
      <c r="RM257" s="201"/>
      <c r="RN257" s="201"/>
      <c r="RO257" s="201"/>
      <c r="RP257" s="201"/>
      <c r="RQ257" s="201"/>
      <c r="RR257" s="201"/>
      <c r="RS257" s="201"/>
      <c r="RT257" s="201"/>
      <c r="RU257" s="201"/>
      <c r="RV257" s="201"/>
      <c r="RW257" s="201"/>
      <c r="RX257" s="201"/>
      <c r="RY257" s="201"/>
      <c r="RZ257" s="201"/>
      <c r="SA257" s="201"/>
      <c r="SB257" s="201"/>
      <c r="SC257" s="201"/>
      <c r="SD257" s="201"/>
      <c r="SE257" s="201"/>
      <c r="SF257" s="201"/>
      <c r="SG257" s="201"/>
      <c r="SH257" s="201"/>
      <c r="SI257" s="201"/>
      <c r="SJ257" s="201"/>
      <c r="SK257" s="201"/>
      <c r="SL257" s="201"/>
      <c r="SM257" s="201"/>
      <c r="SN257" s="201"/>
      <c r="SO257" s="201"/>
      <c r="SP257" s="201"/>
      <c r="SQ257" s="201"/>
      <c r="SR257" s="201"/>
      <c r="SS257" s="201"/>
      <c r="ST257" s="201"/>
      <c r="SU257" s="201"/>
      <c r="SV257" s="201"/>
      <c r="SW257" s="201"/>
      <c r="SX257" s="201"/>
      <c r="SY257" s="201"/>
      <c r="SZ257" s="201"/>
      <c r="TA257" s="201"/>
      <c r="TB257" s="201"/>
      <c r="TC257" s="201"/>
      <c r="TD257" s="201"/>
      <c r="TE257" s="201"/>
      <c r="TF257" s="201"/>
      <c r="TG257" s="201"/>
      <c r="TH257" s="201"/>
      <c r="TI257" s="201"/>
      <c r="TJ257" s="201"/>
      <c r="TK257" s="201"/>
      <c r="TL257" s="201"/>
      <c r="TM257" s="201"/>
      <c r="TN257" s="201"/>
      <c r="TO257" s="201"/>
      <c r="TP257" s="201"/>
      <c r="TQ257" s="201"/>
      <c r="TR257" s="201"/>
      <c r="TS257" s="201"/>
      <c r="TT257" s="201"/>
      <c r="TU257" s="201"/>
      <c r="TV257" s="201"/>
      <c r="TW257" s="201"/>
      <c r="TX257" s="201"/>
      <c r="TY257" s="201"/>
      <c r="TZ257" s="201"/>
      <c r="UA257" s="201"/>
      <c r="UB257" s="201"/>
      <c r="UC257" s="201"/>
      <c r="UD257" s="201"/>
      <c r="UE257" s="201"/>
      <c r="UF257" s="201"/>
      <c r="UG257" s="201"/>
      <c r="UH257" s="201"/>
      <c r="UI257" s="201"/>
      <c r="UJ257" s="201"/>
      <c r="UK257" s="201"/>
      <c r="UL257" s="201"/>
      <c r="UM257" s="201"/>
      <c r="UN257" s="201"/>
      <c r="UO257" s="201"/>
      <c r="UP257" s="201"/>
      <c r="UQ257" s="201"/>
      <c r="UR257" s="201"/>
      <c r="US257" s="201"/>
      <c r="UT257" s="201"/>
      <c r="UU257" s="201"/>
    </row>
    <row r="258" spans="2:567" x14ac:dyDescent="0.25">
      <c r="B258" s="575"/>
      <c r="C258" s="576"/>
      <c r="D258" s="576"/>
      <c r="E258" s="576"/>
      <c r="F258" s="576"/>
      <c r="G258" s="576"/>
      <c r="H258" s="576"/>
      <c r="I258" s="576"/>
      <c r="J258" s="576"/>
      <c r="K258" s="576"/>
      <c r="PQ258" s="201"/>
      <c r="PR258" s="201"/>
      <c r="PS258" s="201"/>
      <c r="PT258" s="201"/>
      <c r="PU258" s="201"/>
      <c r="PV258" s="201"/>
      <c r="PW258" s="201"/>
      <c r="PX258" s="201"/>
      <c r="PY258" s="201"/>
      <c r="PZ258" s="201"/>
      <c r="QA258" s="201"/>
      <c r="QB258" s="201"/>
      <c r="QC258" s="201"/>
      <c r="QD258" s="201"/>
      <c r="QE258" s="201"/>
      <c r="QF258" s="201"/>
      <c r="QG258" s="201"/>
      <c r="QH258" s="201"/>
      <c r="QI258" s="201"/>
      <c r="QJ258" s="201"/>
      <c r="QK258" s="201"/>
      <c r="QL258" s="201"/>
      <c r="QM258" s="201"/>
      <c r="QN258" s="201"/>
      <c r="QO258" s="201"/>
      <c r="QP258" s="201"/>
      <c r="QQ258" s="201"/>
      <c r="QR258" s="201"/>
      <c r="QS258" s="201"/>
      <c r="QT258" s="201"/>
      <c r="QU258" s="201"/>
      <c r="QV258" s="201"/>
      <c r="QW258" s="201"/>
      <c r="QX258" s="201"/>
      <c r="QY258" s="201"/>
      <c r="QZ258" s="201"/>
      <c r="RA258" s="201"/>
      <c r="RB258" s="201"/>
      <c r="RC258" s="201"/>
      <c r="RD258" s="201"/>
      <c r="RE258" s="201"/>
      <c r="RF258" s="201"/>
      <c r="RG258" s="201"/>
      <c r="RH258" s="201"/>
      <c r="RI258" s="201"/>
      <c r="RJ258" s="201"/>
      <c r="RK258" s="201"/>
      <c r="RL258" s="201"/>
      <c r="RM258" s="201"/>
      <c r="RN258" s="201"/>
      <c r="RO258" s="201"/>
      <c r="RP258" s="201"/>
      <c r="RQ258" s="201"/>
      <c r="RR258" s="201"/>
      <c r="RS258" s="201"/>
      <c r="RT258" s="201"/>
      <c r="RU258" s="201"/>
      <c r="RV258" s="201"/>
      <c r="RW258" s="201"/>
      <c r="RX258" s="201"/>
      <c r="RY258" s="201"/>
      <c r="RZ258" s="201"/>
      <c r="SA258" s="201"/>
      <c r="SB258" s="201"/>
      <c r="SC258" s="201"/>
      <c r="SD258" s="201"/>
      <c r="SE258" s="201"/>
      <c r="SF258" s="201"/>
      <c r="SG258" s="201"/>
      <c r="SH258" s="201"/>
      <c r="SI258" s="201"/>
      <c r="SJ258" s="201"/>
      <c r="SK258" s="201"/>
      <c r="SL258" s="201"/>
      <c r="SM258" s="201"/>
      <c r="SN258" s="201"/>
      <c r="SO258" s="201"/>
      <c r="SP258" s="201"/>
      <c r="SQ258" s="201"/>
      <c r="SR258" s="201"/>
      <c r="SS258" s="201"/>
      <c r="ST258" s="201"/>
      <c r="SU258" s="201"/>
      <c r="SV258" s="201"/>
      <c r="SW258" s="201"/>
      <c r="SX258" s="201"/>
      <c r="SY258" s="201"/>
      <c r="SZ258" s="201"/>
      <c r="TA258" s="201"/>
      <c r="TB258" s="201"/>
      <c r="TC258" s="201"/>
      <c r="TD258" s="201"/>
      <c r="TE258" s="201"/>
      <c r="TF258" s="201"/>
      <c r="TG258" s="201"/>
      <c r="TH258" s="201"/>
      <c r="TI258" s="201"/>
      <c r="TJ258" s="201"/>
      <c r="TK258" s="201"/>
      <c r="TL258" s="201"/>
      <c r="TM258" s="201"/>
      <c r="TN258" s="201"/>
      <c r="TO258" s="201"/>
      <c r="TP258" s="201"/>
      <c r="TQ258" s="201"/>
      <c r="TR258" s="201"/>
      <c r="TS258" s="201"/>
      <c r="TT258" s="201"/>
      <c r="TU258" s="201"/>
      <c r="TV258" s="201"/>
      <c r="TW258" s="201"/>
      <c r="TX258" s="201"/>
      <c r="TY258" s="201"/>
      <c r="TZ258" s="201"/>
      <c r="UA258" s="201"/>
      <c r="UB258" s="201"/>
      <c r="UC258" s="201"/>
      <c r="UD258" s="201"/>
      <c r="UE258" s="201"/>
      <c r="UF258" s="201"/>
      <c r="UG258" s="201"/>
      <c r="UH258" s="201"/>
      <c r="UI258" s="201"/>
      <c r="UJ258" s="201"/>
      <c r="UK258" s="201"/>
      <c r="UL258" s="201"/>
      <c r="UM258" s="201"/>
      <c r="UN258" s="201"/>
      <c r="UO258" s="201"/>
      <c r="UP258" s="201"/>
      <c r="UQ258" s="201"/>
      <c r="UR258" s="201"/>
      <c r="US258" s="201"/>
      <c r="UT258" s="201"/>
      <c r="UU258" s="201"/>
    </row>
    <row r="259" spans="2:567" x14ac:dyDescent="0.25">
      <c r="B259" s="577" t="s">
        <v>732</v>
      </c>
      <c r="C259" s="576"/>
      <c r="D259" s="576"/>
      <c r="E259" s="576"/>
      <c r="F259" s="576"/>
      <c r="G259" s="576"/>
      <c r="H259" s="576"/>
      <c r="I259" s="576"/>
      <c r="J259" s="576"/>
      <c r="K259" s="576"/>
      <c r="PQ259" s="201"/>
      <c r="PR259" s="201"/>
      <c r="PS259" s="201"/>
      <c r="PT259" s="201"/>
      <c r="PU259" s="201"/>
      <c r="PV259" s="201"/>
      <c r="PW259" s="201"/>
      <c r="PX259" s="201"/>
      <c r="PY259" s="201"/>
      <c r="PZ259" s="201"/>
      <c r="QA259" s="201"/>
      <c r="QB259" s="201"/>
      <c r="QC259" s="201"/>
      <c r="QD259" s="201"/>
      <c r="QE259" s="201"/>
      <c r="QF259" s="201"/>
      <c r="QG259" s="201"/>
      <c r="QH259" s="201"/>
      <c r="QI259" s="201"/>
      <c r="QJ259" s="201"/>
      <c r="QK259" s="201"/>
      <c r="QL259" s="201"/>
      <c r="QM259" s="201"/>
      <c r="QN259" s="201"/>
      <c r="QO259" s="201"/>
      <c r="QP259" s="201"/>
      <c r="QQ259" s="201"/>
      <c r="QR259" s="201"/>
      <c r="QS259" s="201"/>
      <c r="QT259" s="201"/>
      <c r="QU259" s="201"/>
      <c r="QV259" s="201"/>
      <c r="QW259" s="201"/>
      <c r="QX259" s="201"/>
      <c r="QY259" s="201"/>
      <c r="QZ259" s="201"/>
      <c r="RA259" s="201"/>
      <c r="RB259" s="201"/>
      <c r="RC259" s="201"/>
      <c r="RD259" s="201"/>
      <c r="RE259" s="201"/>
      <c r="RF259" s="201"/>
      <c r="RG259" s="201"/>
      <c r="RH259" s="201"/>
      <c r="RI259" s="201"/>
      <c r="RJ259" s="201"/>
      <c r="RK259" s="201"/>
      <c r="RL259" s="201"/>
      <c r="RM259" s="201"/>
      <c r="RN259" s="201"/>
      <c r="RO259" s="201"/>
      <c r="RP259" s="201"/>
      <c r="RQ259" s="201"/>
      <c r="RR259" s="201"/>
      <c r="RS259" s="201"/>
      <c r="RT259" s="201"/>
      <c r="RU259" s="201"/>
      <c r="RV259" s="201"/>
      <c r="RW259" s="201"/>
      <c r="RX259" s="201"/>
      <c r="RY259" s="201"/>
      <c r="RZ259" s="201"/>
      <c r="SA259" s="201"/>
      <c r="SB259" s="201"/>
      <c r="SC259" s="201"/>
      <c r="SD259" s="201"/>
      <c r="SE259" s="201"/>
      <c r="SF259" s="201"/>
      <c r="SG259" s="201"/>
      <c r="SH259" s="201"/>
      <c r="SI259" s="201"/>
      <c r="SJ259" s="201"/>
      <c r="SK259" s="201"/>
      <c r="SL259" s="201"/>
      <c r="SM259" s="201"/>
      <c r="SN259" s="201"/>
      <c r="SO259" s="201"/>
      <c r="SP259" s="201"/>
      <c r="SQ259" s="201"/>
      <c r="SR259" s="201"/>
      <c r="SS259" s="201"/>
      <c r="ST259" s="201"/>
      <c r="SU259" s="201"/>
      <c r="SV259" s="201"/>
      <c r="SW259" s="201"/>
      <c r="SX259" s="201"/>
      <c r="SY259" s="201"/>
      <c r="SZ259" s="201"/>
      <c r="TA259" s="201"/>
      <c r="TB259" s="201"/>
      <c r="TC259" s="201"/>
      <c r="TD259" s="201"/>
      <c r="TE259" s="201"/>
      <c r="TF259" s="201"/>
      <c r="TG259" s="201"/>
      <c r="TH259" s="201"/>
      <c r="TI259" s="201"/>
      <c r="TJ259" s="201"/>
      <c r="TK259" s="201"/>
      <c r="TL259" s="201"/>
      <c r="TM259" s="201"/>
      <c r="TN259" s="201"/>
      <c r="TO259" s="201"/>
      <c r="TP259" s="201"/>
      <c r="TQ259" s="201"/>
      <c r="TR259" s="201"/>
      <c r="TS259" s="201"/>
      <c r="TT259" s="201"/>
      <c r="TU259" s="201"/>
      <c r="TV259" s="201"/>
      <c r="TW259" s="201"/>
      <c r="TX259" s="201"/>
      <c r="TY259" s="201"/>
      <c r="TZ259" s="201"/>
      <c r="UA259" s="201"/>
      <c r="UB259" s="201"/>
      <c r="UC259" s="201"/>
      <c r="UD259" s="201"/>
      <c r="UE259" s="201"/>
      <c r="UF259" s="201"/>
      <c r="UG259" s="201"/>
      <c r="UH259" s="201"/>
      <c r="UI259" s="201"/>
      <c r="UJ259" s="201"/>
      <c r="UK259" s="201"/>
      <c r="UL259" s="201"/>
      <c r="UM259" s="201"/>
      <c r="UN259" s="201"/>
      <c r="UO259" s="201"/>
      <c r="UP259" s="201"/>
      <c r="UQ259" s="201"/>
      <c r="UR259" s="201"/>
      <c r="US259" s="201"/>
      <c r="UT259" s="201"/>
      <c r="UU259" s="201"/>
    </row>
    <row r="260" spans="2:567" x14ac:dyDescent="0.25">
      <c r="H260" s="589" t="s">
        <v>762</v>
      </c>
      <c r="I260" s="589" t="s">
        <v>763</v>
      </c>
      <c r="J260" s="589" t="s">
        <v>767</v>
      </c>
      <c r="K260" s="589" t="s">
        <v>768</v>
      </c>
      <c r="PQ260" s="201"/>
      <c r="PR260" s="201"/>
      <c r="PS260" s="201"/>
      <c r="PT260" s="201"/>
      <c r="PU260" s="201"/>
      <c r="PV260" s="201"/>
      <c r="PW260" s="201"/>
      <c r="PX260" s="201"/>
      <c r="PY260" s="201"/>
      <c r="PZ260" s="201"/>
      <c r="QA260" s="201"/>
      <c r="QB260" s="201"/>
      <c r="QC260" s="201"/>
      <c r="QD260" s="201"/>
      <c r="QE260" s="201"/>
      <c r="QF260" s="201"/>
      <c r="QG260" s="201"/>
      <c r="QH260" s="201"/>
      <c r="QI260" s="201"/>
      <c r="QJ260" s="201"/>
      <c r="QK260" s="201"/>
      <c r="QL260" s="201"/>
      <c r="QM260" s="201"/>
      <c r="QN260" s="201"/>
      <c r="QO260" s="201"/>
      <c r="QP260" s="201"/>
      <c r="QQ260" s="201"/>
      <c r="QR260" s="201"/>
      <c r="QS260" s="201"/>
      <c r="QT260" s="201"/>
      <c r="QU260" s="201"/>
      <c r="QV260" s="201"/>
      <c r="QW260" s="201"/>
      <c r="QX260" s="201"/>
      <c r="QY260" s="201"/>
      <c r="QZ260" s="201"/>
      <c r="RA260" s="201"/>
      <c r="RB260" s="201"/>
      <c r="RC260" s="201"/>
      <c r="RD260" s="201"/>
      <c r="RE260" s="201"/>
      <c r="RF260" s="201"/>
      <c r="RG260" s="201"/>
      <c r="RH260" s="201"/>
      <c r="RI260" s="201"/>
      <c r="RJ260" s="201"/>
      <c r="RK260" s="201"/>
      <c r="RL260" s="201"/>
      <c r="RM260" s="201"/>
      <c r="RN260" s="201"/>
      <c r="RO260" s="201"/>
      <c r="RP260" s="201"/>
      <c r="RQ260" s="201"/>
      <c r="RR260" s="201"/>
      <c r="RS260" s="201"/>
      <c r="RT260" s="201"/>
      <c r="RU260" s="201"/>
      <c r="RV260" s="201"/>
      <c r="RW260" s="201"/>
      <c r="RX260" s="201"/>
      <c r="RY260" s="201"/>
      <c r="RZ260" s="201"/>
      <c r="SA260" s="201"/>
      <c r="SB260" s="201"/>
      <c r="SC260" s="201"/>
      <c r="SD260" s="201"/>
      <c r="SE260" s="201"/>
      <c r="SF260" s="201"/>
      <c r="SG260" s="201"/>
      <c r="SH260" s="201"/>
      <c r="SI260" s="201"/>
      <c r="SJ260" s="201"/>
      <c r="SK260" s="201"/>
      <c r="SL260" s="201"/>
      <c r="SM260" s="201"/>
      <c r="SN260" s="201"/>
      <c r="SO260" s="201"/>
      <c r="SP260" s="201"/>
      <c r="SQ260" s="201"/>
      <c r="SR260" s="201"/>
      <c r="SS260" s="201"/>
      <c r="ST260" s="201"/>
      <c r="SU260" s="201"/>
      <c r="SV260" s="201"/>
      <c r="SW260" s="201"/>
      <c r="SX260" s="201"/>
      <c r="SY260" s="201"/>
      <c r="SZ260" s="201"/>
      <c r="TA260" s="201"/>
      <c r="TB260" s="201"/>
      <c r="TC260" s="201"/>
      <c r="TD260" s="201"/>
      <c r="TE260" s="201"/>
      <c r="TF260" s="201"/>
      <c r="TG260" s="201"/>
      <c r="TH260" s="201"/>
      <c r="TI260" s="201"/>
      <c r="TJ260" s="201"/>
      <c r="TK260" s="201"/>
      <c r="TL260" s="201"/>
      <c r="TM260" s="201"/>
      <c r="TN260" s="201"/>
      <c r="TO260" s="201"/>
      <c r="TP260" s="201"/>
      <c r="TQ260" s="201"/>
      <c r="TR260" s="201"/>
      <c r="TS260" s="201"/>
      <c r="TT260" s="201"/>
      <c r="TU260" s="201"/>
      <c r="TV260" s="201"/>
      <c r="TW260" s="201"/>
      <c r="TX260" s="201"/>
      <c r="TY260" s="201"/>
      <c r="TZ260" s="201"/>
      <c r="UA260" s="201"/>
      <c r="UB260" s="201"/>
      <c r="UC260" s="201"/>
      <c r="UD260" s="201"/>
      <c r="UE260" s="201"/>
      <c r="UF260" s="201"/>
      <c r="UG260" s="201"/>
      <c r="UH260" s="201"/>
      <c r="UI260" s="201"/>
      <c r="UJ260" s="201"/>
      <c r="UK260" s="201"/>
      <c r="UL260" s="201"/>
      <c r="UM260" s="201"/>
      <c r="UN260" s="201"/>
      <c r="UO260" s="201"/>
      <c r="UP260" s="201"/>
      <c r="UQ260" s="201"/>
      <c r="UR260" s="201"/>
      <c r="US260" s="201"/>
      <c r="UT260" s="201"/>
      <c r="UU260" s="201"/>
    </row>
    <row r="261" spans="2:567" x14ac:dyDescent="0.25">
      <c r="B261" s="3" t="s">
        <v>734</v>
      </c>
      <c r="C261" s="3" t="str">
        <f>F7</f>
        <v>SF</v>
      </c>
      <c r="D261" s="3" t="str">
        <f>INDEX(D262:D263,MATCH(C261,C262:C263,0))</f>
        <v>Acres</v>
      </c>
      <c r="E261" s="3" t="str">
        <f>INDEX(E262:E263,MATCH(C261,C262:C263,0))</f>
        <v>/SF</v>
      </c>
      <c r="H261" s="587">
        <f ca="1">H255</f>
        <v>1.4669848379235726</v>
      </c>
      <c r="I261" s="588">
        <f ca="1">I255</f>
        <v>0.14396510720252995</v>
      </c>
      <c r="J261" s="587">
        <f ca="1">H254</f>
        <v>4.6294741508225226</v>
      </c>
      <c r="K261" s="588">
        <f ca="1">I254</f>
        <v>0.87085801362991333</v>
      </c>
      <c r="PQ261" s="201"/>
      <c r="PR261" s="201"/>
      <c r="PS261" s="201"/>
      <c r="PT261" s="201"/>
      <c r="PU261" s="201"/>
      <c r="PV261" s="201"/>
      <c r="PW261" s="201"/>
      <c r="PX261" s="201"/>
      <c r="PY261" s="201"/>
      <c r="PZ261" s="201"/>
      <c r="QA261" s="201"/>
      <c r="QB261" s="201"/>
      <c r="QC261" s="201"/>
      <c r="QD261" s="201"/>
      <c r="QE261" s="201"/>
      <c r="QF261" s="201"/>
      <c r="QG261" s="201"/>
      <c r="QH261" s="201"/>
      <c r="QI261" s="201"/>
      <c r="QJ261" s="201"/>
      <c r="QK261" s="201"/>
      <c r="QL261" s="201"/>
      <c r="QM261" s="201"/>
      <c r="QN261" s="201"/>
      <c r="QO261" s="201"/>
      <c r="QP261" s="201"/>
      <c r="QQ261" s="201"/>
      <c r="QR261" s="201"/>
      <c r="QS261" s="201"/>
      <c r="QT261" s="201"/>
      <c r="QU261" s="201"/>
      <c r="QV261" s="201"/>
      <c r="QW261" s="201"/>
      <c r="QX261" s="201"/>
      <c r="QY261" s="201"/>
      <c r="QZ261" s="201"/>
      <c r="RA261" s="201"/>
      <c r="RB261" s="201"/>
      <c r="RC261" s="201"/>
      <c r="RD261" s="201"/>
      <c r="RE261" s="201"/>
      <c r="RF261" s="201"/>
      <c r="RG261" s="201"/>
      <c r="RH261" s="201"/>
      <c r="RI261" s="201"/>
      <c r="RJ261" s="201"/>
      <c r="RK261" s="201"/>
      <c r="RL261" s="201"/>
      <c r="RM261" s="201"/>
      <c r="RN261" s="201"/>
      <c r="RO261" s="201"/>
      <c r="RP261" s="201"/>
      <c r="RQ261" s="201"/>
      <c r="RR261" s="201"/>
      <c r="RS261" s="201"/>
      <c r="RT261" s="201"/>
      <c r="RU261" s="201"/>
      <c r="RV261" s="201"/>
      <c r="RW261" s="201"/>
      <c r="RX261" s="201"/>
      <c r="RY261" s="201"/>
      <c r="RZ261" s="201"/>
      <c r="SA261" s="201"/>
      <c r="SB261" s="201"/>
      <c r="SC261" s="201"/>
      <c r="SD261" s="201"/>
      <c r="SE261" s="201"/>
      <c r="SF261" s="201"/>
      <c r="SG261" s="201"/>
      <c r="SH261" s="201"/>
      <c r="SI261" s="201"/>
      <c r="SJ261" s="201"/>
      <c r="SK261" s="201"/>
      <c r="SL261" s="201"/>
      <c r="SM261" s="201"/>
      <c r="SN261" s="201"/>
      <c r="SO261" s="201"/>
      <c r="SP261" s="201"/>
      <c r="SQ261" s="201"/>
      <c r="SR261" s="201"/>
      <c r="SS261" s="201"/>
      <c r="ST261" s="201"/>
      <c r="SU261" s="201"/>
      <c r="SV261" s="201"/>
      <c r="SW261" s="201"/>
      <c r="SX261" s="201"/>
      <c r="SY261" s="201"/>
      <c r="SZ261" s="201"/>
      <c r="TA261" s="201"/>
      <c r="TB261" s="201"/>
      <c r="TC261" s="201"/>
      <c r="TD261" s="201"/>
      <c r="TE261" s="201"/>
      <c r="TF261" s="201"/>
      <c r="TG261" s="201"/>
      <c r="TH261" s="201"/>
      <c r="TI261" s="201"/>
      <c r="TJ261" s="201"/>
      <c r="TK261" s="201"/>
      <c r="TL261" s="201"/>
      <c r="TM261" s="201"/>
      <c r="TN261" s="201"/>
      <c r="TO261" s="201"/>
      <c r="TP261" s="201"/>
      <c r="TQ261" s="201"/>
      <c r="TR261" s="201"/>
      <c r="TS261" s="201"/>
      <c r="TT261" s="201"/>
      <c r="TU261" s="201"/>
      <c r="TV261" s="201"/>
      <c r="TW261" s="201"/>
      <c r="TX261" s="201"/>
      <c r="TY261" s="201"/>
      <c r="TZ261" s="201"/>
      <c r="UA261" s="201"/>
      <c r="UB261" s="201"/>
      <c r="UC261" s="201"/>
      <c r="UD261" s="201"/>
      <c r="UE261" s="201"/>
      <c r="UF261" s="201"/>
      <c r="UG261" s="201"/>
      <c r="UH261" s="201"/>
      <c r="UI261" s="201"/>
      <c r="UJ261" s="201"/>
      <c r="UK261" s="201"/>
      <c r="UL261" s="201"/>
      <c r="UM261" s="201"/>
      <c r="UN261" s="201"/>
      <c r="UO261" s="201"/>
      <c r="UP261" s="201"/>
      <c r="UQ261" s="201"/>
      <c r="UR261" s="201"/>
      <c r="US261" s="201"/>
      <c r="UT261" s="201"/>
      <c r="UU261" s="201"/>
    </row>
    <row r="262" spans="2:567" x14ac:dyDescent="0.25">
      <c r="C262" s="578" t="s">
        <v>731</v>
      </c>
      <c r="D262" s="578" t="s">
        <v>741</v>
      </c>
      <c r="E262" s="579" t="s">
        <v>580</v>
      </c>
      <c r="F262" s="3" t="s">
        <v>761</v>
      </c>
      <c r="G262" s="3" t="s">
        <v>365</v>
      </c>
      <c r="H262" s="587">
        <f t="dataTable" ref="H262:K262" dt2D="0" dtr="0" r1="I235" ca="1"/>
        <v>1.4669848379235726</v>
      </c>
      <c r="I262" s="588">
        <v>0.14396510720252995</v>
      </c>
      <c r="J262" s="587">
        <v>4.6294741508225226</v>
      </c>
      <c r="K262" s="588">
        <v>0.87085801362991333</v>
      </c>
      <c r="PQ262" s="201"/>
      <c r="PR262" s="201"/>
      <c r="PS262" s="201"/>
      <c r="PT262" s="201"/>
      <c r="PU262" s="201"/>
      <c r="PV262" s="201"/>
      <c r="PW262" s="201"/>
      <c r="PX262" s="201"/>
      <c r="PY262" s="201"/>
      <c r="PZ262" s="201"/>
      <c r="QA262" s="201"/>
      <c r="QB262" s="201"/>
      <c r="QC262" s="201"/>
      <c r="QD262" s="201"/>
      <c r="QE262" s="201"/>
      <c r="QF262" s="201"/>
      <c r="QG262" s="201"/>
      <c r="QH262" s="201"/>
      <c r="QI262" s="201"/>
      <c r="QJ262" s="201"/>
      <c r="QK262" s="201"/>
      <c r="QL262" s="201"/>
      <c r="QM262" s="201"/>
      <c r="QN262" s="201"/>
      <c r="QO262" s="201"/>
      <c r="QP262" s="201"/>
      <c r="QQ262" s="201"/>
      <c r="QR262" s="201"/>
      <c r="QS262" s="201"/>
      <c r="QT262" s="201"/>
      <c r="QU262" s="201"/>
      <c r="QV262" s="201"/>
      <c r="QW262" s="201"/>
      <c r="QX262" s="201"/>
      <c r="QY262" s="201"/>
      <c r="QZ262" s="201"/>
      <c r="RA262" s="201"/>
      <c r="RB262" s="201"/>
      <c r="RC262" s="201"/>
      <c r="RD262" s="201"/>
      <c r="RE262" s="201"/>
      <c r="RF262" s="201"/>
      <c r="RG262" s="201"/>
      <c r="RH262" s="201"/>
      <c r="RI262" s="201"/>
      <c r="RJ262" s="201"/>
      <c r="RK262" s="201"/>
      <c r="RL262" s="201"/>
      <c r="RM262" s="201"/>
      <c r="RN262" s="201"/>
      <c r="RO262" s="201"/>
      <c r="RP262" s="201"/>
      <c r="RQ262" s="201"/>
      <c r="RR262" s="201"/>
      <c r="RS262" s="201"/>
      <c r="RT262" s="201"/>
      <c r="RU262" s="201"/>
      <c r="RV262" s="201"/>
      <c r="RW262" s="201"/>
      <c r="RX262" s="201"/>
      <c r="RY262" s="201"/>
      <c r="RZ262" s="201"/>
      <c r="SA262" s="201"/>
      <c r="SB262" s="201"/>
      <c r="SC262" s="201"/>
      <c r="SD262" s="201"/>
      <c r="SE262" s="201"/>
      <c r="SF262" s="201"/>
      <c r="SG262" s="201"/>
      <c r="SH262" s="201"/>
      <c r="SI262" s="201"/>
      <c r="SJ262" s="201"/>
      <c r="SK262" s="201"/>
      <c r="SL262" s="201"/>
      <c r="SM262" s="201"/>
      <c r="SN262" s="201"/>
      <c r="SO262" s="201"/>
      <c r="SP262" s="201"/>
      <c r="SQ262" s="201"/>
      <c r="SR262" s="201"/>
      <c r="SS262" s="201"/>
      <c r="ST262" s="201"/>
      <c r="SU262" s="201"/>
      <c r="SV262" s="201"/>
      <c r="SW262" s="201"/>
      <c r="SX262" s="201"/>
      <c r="SY262" s="201"/>
      <c r="SZ262" s="201"/>
      <c r="TA262" s="201"/>
      <c r="TB262" s="201"/>
      <c r="TC262" s="201"/>
      <c r="TD262" s="201"/>
      <c r="TE262" s="201"/>
      <c r="TF262" s="201"/>
      <c r="TG262" s="201"/>
      <c r="TH262" s="201"/>
      <c r="TI262" s="201"/>
      <c r="TJ262" s="201"/>
      <c r="TK262" s="201"/>
      <c r="TL262" s="201"/>
      <c r="TM262" s="201"/>
      <c r="TN262" s="201"/>
      <c r="TO262" s="201"/>
      <c r="TP262" s="201"/>
      <c r="TQ262" s="201"/>
      <c r="TR262" s="201"/>
      <c r="TS262" s="201"/>
      <c r="TT262" s="201"/>
      <c r="TU262" s="201"/>
      <c r="TV262" s="201"/>
      <c r="TW262" s="201"/>
      <c r="TX262" s="201"/>
      <c r="TY262" s="201"/>
      <c r="TZ262" s="201"/>
      <c r="UA262" s="201"/>
      <c r="UB262" s="201"/>
      <c r="UC262" s="201"/>
      <c r="UD262" s="201"/>
      <c r="UE262" s="201"/>
      <c r="UF262" s="201"/>
      <c r="UG262" s="201"/>
      <c r="UH262" s="201"/>
      <c r="UI262" s="201"/>
      <c r="UJ262" s="201"/>
      <c r="UK262" s="201"/>
      <c r="UL262" s="201"/>
      <c r="UM262" s="201"/>
      <c r="UN262" s="201"/>
      <c r="UO262" s="201"/>
      <c r="UP262" s="201"/>
      <c r="UQ262" s="201"/>
      <c r="UR262" s="201"/>
      <c r="US262" s="201"/>
      <c r="UT262" s="201"/>
      <c r="UU262" s="201"/>
    </row>
    <row r="263" spans="2:567" x14ac:dyDescent="0.25">
      <c r="C263" s="578" t="s">
        <v>735</v>
      </c>
      <c r="D263" s="578" t="s">
        <v>742</v>
      </c>
      <c r="E263" s="579" t="s">
        <v>736</v>
      </c>
      <c r="H263" s="587"/>
      <c r="I263" s="588"/>
      <c r="PQ263" s="201"/>
      <c r="PR263" s="201"/>
      <c r="PS263" s="201"/>
      <c r="PT263" s="201"/>
      <c r="PU263" s="201"/>
      <c r="PV263" s="201"/>
      <c r="PW263" s="201"/>
      <c r="PX263" s="201"/>
      <c r="PY263" s="201"/>
      <c r="PZ263" s="201"/>
      <c r="QA263" s="201"/>
      <c r="QB263" s="201"/>
      <c r="QC263" s="201"/>
      <c r="QD263" s="201"/>
      <c r="QE263" s="201"/>
      <c r="QF263" s="201"/>
      <c r="QG263" s="201"/>
      <c r="QH263" s="201"/>
      <c r="QI263" s="201"/>
      <c r="QJ263" s="201"/>
      <c r="QK263" s="201"/>
      <c r="QL263" s="201"/>
      <c r="QM263" s="201"/>
      <c r="QN263" s="201"/>
      <c r="QO263" s="201"/>
      <c r="QP263" s="201"/>
      <c r="QQ263" s="201"/>
      <c r="QR263" s="201"/>
      <c r="QS263" s="201"/>
      <c r="QT263" s="201"/>
      <c r="QU263" s="201"/>
      <c r="QV263" s="201"/>
      <c r="QW263" s="201"/>
      <c r="QX263" s="201"/>
      <c r="QY263" s="201"/>
      <c r="QZ263" s="201"/>
      <c r="RA263" s="201"/>
      <c r="RB263" s="201"/>
      <c r="RC263" s="201"/>
      <c r="RD263" s="201"/>
      <c r="RE263" s="201"/>
      <c r="RF263" s="201"/>
      <c r="RG263" s="201"/>
      <c r="RH263" s="201"/>
      <c r="RI263" s="201"/>
      <c r="RJ263" s="201"/>
      <c r="RK263" s="201"/>
      <c r="RL263" s="201"/>
      <c r="RM263" s="201"/>
      <c r="RN263" s="201"/>
      <c r="RO263" s="201"/>
      <c r="RP263" s="201"/>
      <c r="RQ263" s="201"/>
      <c r="RR263" s="201"/>
      <c r="RS263" s="201"/>
      <c r="RT263" s="201"/>
      <c r="RU263" s="201"/>
      <c r="RV263" s="201"/>
      <c r="RW263" s="201"/>
      <c r="RX263" s="201"/>
      <c r="RY263" s="201"/>
      <c r="RZ263" s="201"/>
      <c r="SA263" s="201"/>
      <c r="SB263" s="201"/>
      <c r="SC263" s="201"/>
      <c r="SD263" s="201"/>
      <c r="SE263" s="201"/>
      <c r="SF263" s="201"/>
      <c r="SG263" s="201"/>
      <c r="SH263" s="201"/>
      <c r="SI263" s="201"/>
      <c r="SJ263" s="201"/>
      <c r="SK263" s="201"/>
      <c r="SL263" s="201"/>
      <c r="SM263" s="201"/>
      <c r="SN263" s="201"/>
      <c r="SO263" s="201"/>
      <c r="SP263" s="201"/>
      <c r="SQ263" s="201"/>
      <c r="SR263" s="201"/>
      <c r="SS263" s="201"/>
      <c r="ST263" s="201"/>
      <c r="SU263" s="201"/>
      <c r="SV263" s="201"/>
      <c r="SW263" s="201"/>
      <c r="SX263" s="201"/>
      <c r="SY263" s="201"/>
      <c r="SZ263" s="201"/>
      <c r="TA263" s="201"/>
      <c r="TB263" s="201"/>
      <c r="TC263" s="201"/>
      <c r="TD263" s="201"/>
      <c r="TE263" s="201"/>
      <c r="TF263" s="201"/>
      <c r="TG263" s="201"/>
      <c r="TH263" s="201"/>
      <c r="TI263" s="201"/>
      <c r="TJ263" s="201"/>
      <c r="TK263" s="201"/>
      <c r="TL263" s="201"/>
      <c r="TM263" s="201"/>
      <c r="TN263" s="201"/>
      <c r="TO263" s="201"/>
      <c r="TP263" s="201"/>
      <c r="TQ263" s="201"/>
      <c r="TR263" s="201"/>
      <c r="TS263" s="201"/>
      <c r="TT263" s="201"/>
      <c r="TU263" s="201"/>
      <c r="TV263" s="201"/>
      <c r="TW263" s="201"/>
      <c r="TX263" s="201"/>
      <c r="TY263" s="201"/>
      <c r="TZ263" s="201"/>
      <c r="UA263" s="201"/>
      <c r="UB263" s="201"/>
      <c r="UC263" s="201"/>
      <c r="UD263" s="201"/>
      <c r="UE263" s="201"/>
      <c r="UF263" s="201"/>
      <c r="UG263" s="201"/>
      <c r="UH263" s="201"/>
      <c r="UI263" s="201"/>
      <c r="UJ263" s="201"/>
      <c r="UK263" s="201"/>
      <c r="UL263" s="201"/>
      <c r="UM263" s="201"/>
      <c r="UN263" s="201"/>
      <c r="UO263" s="201"/>
      <c r="UP263" s="201"/>
      <c r="UQ263" s="201"/>
      <c r="UR263" s="201"/>
      <c r="US263" s="201"/>
      <c r="UT263" s="201"/>
      <c r="UU263" s="201"/>
    </row>
    <row r="264" spans="2:567" x14ac:dyDescent="0.25">
      <c r="PQ264" s="201"/>
      <c r="PR264" s="201"/>
      <c r="PS264" s="201"/>
      <c r="PT264" s="201"/>
      <c r="PU264" s="201"/>
      <c r="PV264" s="201"/>
      <c r="PW264" s="201"/>
      <c r="PX264" s="201"/>
      <c r="PY264" s="201"/>
      <c r="PZ264" s="201"/>
      <c r="QA264" s="201"/>
      <c r="QB264" s="201"/>
      <c r="QC264" s="201"/>
      <c r="QD264" s="201"/>
      <c r="QE264" s="201"/>
      <c r="QF264" s="201"/>
      <c r="QG264" s="201"/>
      <c r="QH264" s="201"/>
      <c r="QI264" s="201"/>
      <c r="QJ264" s="201"/>
      <c r="QK264" s="201"/>
      <c r="QL264" s="201"/>
      <c r="QM264" s="201"/>
      <c r="QN264" s="201"/>
      <c r="QO264" s="201"/>
      <c r="QP264" s="201"/>
      <c r="QQ264" s="201"/>
      <c r="QR264" s="201"/>
      <c r="QS264" s="201"/>
      <c r="QT264" s="201"/>
      <c r="QU264" s="201"/>
      <c r="QV264" s="201"/>
      <c r="QW264" s="201"/>
      <c r="QX264" s="201"/>
      <c r="QY264" s="201"/>
      <c r="QZ264" s="201"/>
      <c r="RA264" s="201"/>
      <c r="RB264" s="201"/>
      <c r="RC264" s="201"/>
      <c r="RD264" s="201"/>
      <c r="RE264" s="201"/>
      <c r="RF264" s="201"/>
      <c r="RG264" s="201"/>
      <c r="RH264" s="201"/>
      <c r="RI264" s="201"/>
      <c r="RJ264" s="201"/>
      <c r="RK264" s="201"/>
      <c r="RL264" s="201"/>
      <c r="RM264" s="201"/>
      <c r="RN264" s="201"/>
      <c r="RO264" s="201"/>
      <c r="RP264" s="201"/>
      <c r="RQ264" s="201"/>
      <c r="RR264" s="201"/>
      <c r="RS264" s="201"/>
      <c r="RT264" s="201"/>
      <c r="RU264" s="201"/>
      <c r="RV264" s="201"/>
      <c r="RW264" s="201"/>
      <c r="RX264" s="201"/>
      <c r="RY264" s="201"/>
      <c r="RZ264" s="201"/>
      <c r="SA264" s="201"/>
      <c r="SB264" s="201"/>
      <c r="SC264" s="201"/>
      <c r="SD264" s="201"/>
      <c r="SE264" s="201"/>
      <c r="SF264" s="201"/>
      <c r="SG264" s="201"/>
      <c r="SH264" s="201"/>
      <c r="SI264" s="201"/>
      <c r="SJ264" s="201"/>
      <c r="SK264" s="201"/>
      <c r="SL264" s="201"/>
      <c r="SM264" s="201"/>
      <c r="SN264" s="201"/>
      <c r="SO264" s="201"/>
      <c r="SP264" s="201"/>
      <c r="SQ264" s="201"/>
      <c r="SR264" s="201"/>
      <c r="SS264" s="201"/>
      <c r="ST264" s="201"/>
      <c r="SU264" s="201"/>
      <c r="SV264" s="201"/>
      <c r="SW264" s="201"/>
      <c r="SX264" s="201"/>
      <c r="SY264" s="201"/>
      <c r="SZ264" s="201"/>
      <c r="TA264" s="201"/>
      <c r="TB264" s="201"/>
      <c r="TC264" s="201"/>
      <c r="TD264" s="201"/>
      <c r="TE264" s="201"/>
      <c r="TF264" s="201"/>
      <c r="TG264" s="201"/>
      <c r="TH264" s="201"/>
      <c r="TI264" s="201"/>
      <c r="TJ264" s="201"/>
      <c r="TK264" s="201"/>
      <c r="TL264" s="201"/>
      <c r="TM264" s="201"/>
      <c r="TN264" s="201"/>
      <c r="TO264" s="201"/>
      <c r="TP264" s="201"/>
      <c r="TQ264" s="201"/>
      <c r="TR264" s="201"/>
      <c r="TS264" s="201"/>
      <c r="TT264" s="201"/>
      <c r="TU264" s="201"/>
      <c r="TV264" s="201"/>
      <c r="TW264" s="201"/>
      <c r="TX264" s="201"/>
      <c r="TY264" s="201"/>
      <c r="TZ264" s="201"/>
      <c r="UA264" s="201"/>
      <c r="UB264" s="201"/>
      <c r="UC264" s="201"/>
      <c r="UD264" s="201"/>
      <c r="UE264" s="201"/>
      <c r="UF264" s="201"/>
      <c r="UG264" s="201"/>
      <c r="UH264" s="201"/>
      <c r="UI264" s="201"/>
      <c r="UJ264" s="201"/>
      <c r="UK264" s="201"/>
      <c r="UL264" s="201"/>
      <c r="UM264" s="201"/>
      <c r="UN264" s="201"/>
      <c r="UO264" s="201"/>
      <c r="UP264" s="201"/>
      <c r="UQ264" s="201"/>
      <c r="UR264" s="201"/>
      <c r="US264" s="201"/>
      <c r="UT264" s="201"/>
      <c r="UU264" s="201"/>
    </row>
    <row r="265" spans="2:567" x14ac:dyDescent="0.25">
      <c r="B265" s="3" t="s">
        <v>161</v>
      </c>
      <c r="C265" s="3" t="str">
        <f>G7</f>
        <v>Unit</v>
      </c>
      <c r="D265" s="3" t="str">
        <f>INDEX(D266:D269,MATCH(C265,C266:C269,0))</f>
        <v>/Unit</v>
      </c>
      <c r="E265" s="3" t="str">
        <f>INDEX(E266:E269,MATCH(C265,C266:C269,0))</f>
        <v>Units</v>
      </c>
      <c r="PQ265" s="201"/>
      <c r="PR265" s="201"/>
      <c r="PS265" s="201"/>
      <c r="PT265" s="201"/>
      <c r="PU265" s="201"/>
      <c r="PV265" s="201"/>
      <c r="PW265" s="201"/>
      <c r="PX265" s="201"/>
      <c r="PY265" s="201"/>
      <c r="PZ265" s="201"/>
      <c r="QA265" s="201"/>
      <c r="QB265" s="201"/>
      <c r="QC265" s="201"/>
      <c r="QD265" s="201"/>
      <c r="QE265" s="201"/>
      <c r="QF265" s="201"/>
      <c r="QG265" s="201"/>
      <c r="QH265" s="201"/>
      <c r="QI265" s="201"/>
      <c r="QJ265" s="201"/>
      <c r="QK265" s="201"/>
      <c r="QL265" s="201"/>
      <c r="QM265" s="201"/>
      <c r="QN265" s="201"/>
      <c r="QO265" s="201"/>
      <c r="QP265" s="201"/>
      <c r="QQ265" s="201"/>
      <c r="QR265" s="201"/>
      <c r="QS265" s="201"/>
      <c r="QT265" s="201"/>
      <c r="QU265" s="201"/>
      <c r="QV265" s="201"/>
      <c r="QW265" s="201"/>
      <c r="QX265" s="201"/>
      <c r="QY265" s="201"/>
      <c r="QZ265" s="201"/>
      <c r="RA265" s="201"/>
      <c r="RB265" s="201"/>
      <c r="RC265" s="201"/>
      <c r="RD265" s="201"/>
      <c r="RE265" s="201"/>
      <c r="RF265" s="201"/>
      <c r="RG265" s="201"/>
      <c r="RH265" s="201"/>
      <c r="RI265" s="201"/>
      <c r="RJ265" s="201"/>
      <c r="RK265" s="201"/>
      <c r="RL265" s="201"/>
      <c r="RM265" s="201"/>
      <c r="RN265" s="201"/>
      <c r="RO265" s="201"/>
      <c r="RP265" s="201"/>
      <c r="RQ265" s="201"/>
      <c r="RR265" s="201"/>
      <c r="RS265" s="201"/>
      <c r="RT265" s="201"/>
      <c r="RU265" s="201"/>
      <c r="RV265" s="201"/>
      <c r="RW265" s="201"/>
      <c r="RX265" s="201"/>
      <c r="RY265" s="201"/>
      <c r="RZ265" s="201"/>
      <c r="SA265" s="201"/>
      <c r="SB265" s="201"/>
      <c r="SC265" s="201"/>
      <c r="SD265" s="201"/>
      <c r="SE265" s="201"/>
      <c r="SF265" s="201"/>
      <c r="SG265" s="201"/>
      <c r="SH265" s="201"/>
      <c r="SI265" s="201"/>
      <c r="SJ265" s="201"/>
      <c r="SK265" s="201"/>
      <c r="SL265" s="201"/>
      <c r="SM265" s="201"/>
      <c r="SN265" s="201"/>
      <c r="SO265" s="201"/>
      <c r="SP265" s="201"/>
      <c r="SQ265" s="201"/>
      <c r="SR265" s="201"/>
      <c r="SS265" s="201"/>
      <c r="ST265" s="201"/>
      <c r="SU265" s="201"/>
      <c r="SV265" s="201"/>
      <c r="SW265" s="201"/>
      <c r="SX265" s="201"/>
      <c r="SY265" s="201"/>
      <c r="SZ265" s="201"/>
      <c r="TA265" s="201"/>
      <c r="TB265" s="201"/>
      <c r="TC265" s="201"/>
      <c r="TD265" s="201"/>
      <c r="TE265" s="201"/>
      <c r="TF265" s="201"/>
      <c r="TG265" s="201"/>
      <c r="TH265" s="201"/>
      <c r="TI265" s="201"/>
      <c r="TJ265" s="201"/>
      <c r="TK265" s="201"/>
      <c r="TL265" s="201"/>
      <c r="TM265" s="201"/>
      <c r="TN265" s="201"/>
      <c r="TO265" s="201"/>
      <c r="TP265" s="201"/>
      <c r="TQ265" s="201"/>
      <c r="TR265" s="201"/>
      <c r="TS265" s="201"/>
      <c r="TT265" s="201"/>
      <c r="TU265" s="201"/>
      <c r="TV265" s="201"/>
      <c r="TW265" s="201"/>
      <c r="TX265" s="201"/>
      <c r="TY265" s="201"/>
      <c r="TZ265" s="201"/>
      <c r="UA265" s="201"/>
      <c r="UB265" s="201"/>
      <c r="UC265" s="201"/>
      <c r="UD265" s="201"/>
      <c r="UE265" s="201"/>
      <c r="UF265" s="201"/>
      <c r="UG265" s="201"/>
      <c r="UH265" s="201"/>
      <c r="UI265" s="201"/>
      <c r="UJ265" s="201"/>
      <c r="UK265" s="201"/>
      <c r="UL265" s="201"/>
      <c r="UM265" s="201"/>
      <c r="UN265" s="201"/>
      <c r="UO265" s="201"/>
      <c r="UP265" s="201"/>
      <c r="UQ265" s="201"/>
      <c r="UR265" s="201"/>
      <c r="US265" s="201"/>
      <c r="UT265" s="201"/>
      <c r="UU265" s="201"/>
    </row>
    <row r="266" spans="2:567" x14ac:dyDescent="0.25">
      <c r="C266" s="578" t="s">
        <v>737</v>
      </c>
      <c r="D266" s="3" t="str">
        <f>"/"&amp;C266</f>
        <v>/Unit</v>
      </c>
      <c r="E266" s="578" t="str">
        <f>C266&amp;"s"</f>
        <v>Units</v>
      </c>
      <c r="PQ266" s="201"/>
      <c r="PR266" s="201"/>
      <c r="PS266" s="201"/>
      <c r="PT266" s="201"/>
      <c r="PU266" s="201"/>
      <c r="PV266" s="201"/>
      <c r="PW266" s="201"/>
      <c r="PX266" s="201"/>
      <c r="PY266" s="201"/>
      <c r="PZ266" s="201"/>
      <c r="QA266" s="201"/>
      <c r="QB266" s="201"/>
      <c r="QC266" s="201"/>
      <c r="QD266" s="201"/>
      <c r="QE266" s="201"/>
      <c r="QF266" s="201"/>
      <c r="QG266" s="201"/>
      <c r="QH266" s="201"/>
      <c r="QI266" s="201"/>
      <c r="QJ266" s="201"/>
      <c r="QK266" s="201"/>
      <c r="QL266" s="201"/>
      <c r="QM266" s="201"/>
      <c r="QN266" s="201"/>
      <c r="QO266" s="201"/>
      <c r="QP266" s="201"/>
      <c r="QQ266" s="201"/>
      <c r="QR266" s="201"/>
      <c r="QS266" s="201"/>
      <c r="QT266" s="201"/>
      <c r="QU266" s="201"/>
      <c r="QV266" s="201"/>
      <c r="QW266" s="201"/>
      <c r="QX266" s="201"/>
      <c r="QY266" s="201"/>
      <c r="QZ266" s="201"/>
      <c r="RA266" s="201"/>
      <c r="RB266" s="201"/>
      <c r="RC266" s="201"/>
      <c r="RD266" s="201"/>
      <c r="RE266" s="201"/>
      <c r="RF266" s="201"/>
      <c r="RG266" s="201"/>
      <c r="RH266" s="201"/>
      <c r="RI266" s="201"/>
      <c r="RJ266" s="201"/>
      <c r="RK266" s="201"/>
      <c r="RL266" s="201"/>
      <c r="RM266" s="201"/>
      <c r="RN266" s="201"/>
      <c r="RO266" s="201"/>
      <c r="RP266" s="201"/>
      <c r="RQ266" s="201"/>
      <c r="RR266" s="201"/>
      <c r="RS266" s="201"/>
      <c r="RT266" s="201"/>
      <c r="RU266" s="201"/>
      <c r="RV266" s="201"/>
      <c r="RW266" s="201"/>
      <c r="RX266" s="201"/>
      <c r="RY266" s="201"/>
      <c r="RZ266" s="201"/>
      <c r="SA266" s="201"/>
      <c r="SB266" s="201"/>
      <c r="SC266" s="201"/>
      <c r="SD266" s="201"/>
      <c r="SE266" s="201"/>
      <c r="SF266" s="201"/>
      <c r="SG266" s="201"/>
      <c r="SH266" s="201"/>
      <c r="SI266" s="201"/>
      <c r="SJ266" s="201"/>
      <c r="SK266" s="201"/>
      <c r="SL266" s="201"/>
      <c r="SM266" s="201"/>
      <c r="SN266" s="201"/>
      <c r="SO266" s="201"/>
      <c r="SP266" s="201"/>
      <c r="SQ266" s="201"/>
      <c r="SR266" s="201"/>
      <c r="SS266" s="201"/>
      <c r="ST266" s="201"/>
      <c r="SU266" s="201"/>
      <c r="SV266" s="201"/>
      <c r="SW266" s="201"/>
      <c r="SX266" s="201"/>
      <c r="SY266" s="201"/>
      <c r="SZ266" s="201"/>
      <c r="TA266" s="201"/>
      <c r="TB266" s="201"/>
      <c r="TC266" s="201"/>
      <c r="TD266" s="201"/>
      <c r="TE266" s="201"/>
      <c r="TF266" s="201"/>
      <c r="TG266" s="201"/>
      <c r="TH266" s="201"/>
      <c r="TI266" s="201"/>
      <c r="TJ266" s="201"/>
      <c r="TK266" s="201"/>
      <c r="TL266" s="201"/>
      <c r="TM266" s="201"/>
      <c r="TN266" s="201"/>
      <c r="TO266" s="201"/>
      <c r="TP266" s="201"/>
      <c r="TQ266" s="201"/>
      <c r="TR266" s="201"/>
      <c r="TS266" s="201"/>
      <c r="TT266" s="201"/>
      <c r="TU266" s="201"/>
      <c r="TV266" s="201"/>
      <c r="TW266" s="201"/>
      <c r="TX266" s="201"/>
      <c r="TY266" s="201"/>
      <c r="TZ266" s="201"/>
      <c r="UA266" s="201"/>
      <c r="UB266" s="201"/>
      <c r="UC266" s="201"/>
      <c r="UD266" s="201"/>
      <c r="UE266" s="201"/>
      <c r="UF266" s="201"/>
      <c r="UG266" s="201"/>
      <c r="UH266" s="201"/>
      <c r="UI266" s="201"/>
      <c r="UJ266" s="201"/>
      <c r="UK266" s="201"/>
      <c r="UL266" s="201"/>
      <c r="UM266" s="201"/>
      <c r="UN266" s="201"/>
      <c r="UO266" s="201"/>
      <c r="UP266" s="201"/>
      <c r="UQ266" s="201"/>
      <c r="UR266" s="201"/>
      <c r="US266" s="201"/>
      <c r="UT266" s="201"/>
      <c r="UU266" s="201"/>
    </row>
    <row r="267" spans="2:567" x14ac:dyDescent="0.25">
      <c r="C267" s="578" t="s">
        <v>738</v>
      </c>
      <c r="D267" s="3" t="str">
        <f t="shared" ref="D267:D269" si="3918">"/"&amp;C267</f>
        <v>/Bed</v>
      </c>
      <c r="E267" s="578" t="str">
        <f>C267&amp;"s"</f>
        <v>Beds</v>
      </c>
      <c r="PQ267" s="201"/>
      <c r="PR267" s="201"/>
      <c r="PS267" s="201"/>
      <c r="PT267" s="201"/>
      <c r="PU267" s="201"/>
      <c r="PV267" s="201"/>
      <c r="PW267" s="201"/>
      <c r="PX267" s="201"/>
      <c r="PY267" s="201"/>
      <c r="PZ267" s="201"/>
      <c r="QA267" s="201"/>
      <c r="QB267" s="201"/>
      <c r="QC267" s="201"/>
      <c r="QD267" s="201"/>
      <c r="QE267" s="201"/>
      <c r="QF267" s="201"/>
      <c r="QG267" s="201"/>
      <c r="QH267" s="201"/>
      <c r="QI267" s="201"/>
      <c r="QJ267" s="201"/>
      <c r="QK267" s="201"/>
      <c r="QL267" s="201"/>
      <c r="QM267" s="201"/>
      <c r="QN267" s="201"/>
      <c r="QO267" s="201"/>
      <c r="QP267" s="201"/>
      <c r="QQ267" s="201"/>
      <c r="QR267" s="201"/>
      <c r="QS267" s="201"/>
      <c r="QT267" s="201"/>
      <c r="QU267" s="201"/>
      <c r="QV267" s="201"/>
      <c r="QW267" s="201"/>
      <c r="QX267" s="201"/>
      <c r="QY267" s="201"/>
      <c r="QZ267" s="201"/>
      <c r="RA267" s="201"/>
      <c r="RB267" s="201"/>
      <c r="RC267" s="201"/>
      <c r="RD267" s="201"/>
      <c r="RE267" s="201"/>
      <c r="RF267" s="201"/>
      <c r="RG267" s="201"/>
      <c r="RH267" s="201"/>
      <c r="RI267" s="201"/>
      <c r="RJ267" s="201"/>
      <c r="RK267" s="201"/>
      <c r="RL267" s="201"/>
      <c r="RM267" s="201"/>
      <c r="RN267" s="201"/>
      <c r="RO267" s="201"/>
      <c r="RP267" s="201"/>
      <c r="RQ267" s="201"/>
      <c r="RR267" s="201"/>
      <c r="RS267" s="201"/>
      <c r="RT267" s="201"/>
      <c r="RU267" s="201"/>
      <c r="RV267" s="201"/>
      <c r="RW267" s="201"/>
      <c r="RX267" s="201"/>
      <c r="RY267" s="201"/>
      <c r="RZ267" s="201"/>
      <c r="SA267" s="201"/>
      <c r="SB267" s="201"/>
      <c r="SC267" s="201"/>
      <c r="SD267" s="201"/>
      <c r="SE267" s="201"/>
      <c r="SF267" s="201"/>
      <c r="SG267" s="201"/>
      <c r="SH267" s="201"/>
      <c r="SI267" s="201"/>
      <c r="SJ267" s="201"/>
      <c r="SK267" s="201"/>
      <c r="SL267" s="201"/>
      <c r="SM267" s="201"/>
      <c r="SN267" s="201"/>
      <c r="SO267" s="201"/>
      <c r="SP267" s="201"/>
      <c r="SQ267" s="201"/>
      <c r="SR267" s="201"/>
      <c r="SS267" s="201"/>
      <c r="ST267" s="201"/>
      <c r="SU267" s="201"/>
      <c r="SV267" s="201"/>
      <c r="SW267" s="201"/>
      <c r="SX267" s="201"/>
      <c r="SY267" s="201"/>
      <c r="SZ267" s="201"/>
      <c r="TA267" s="201"/>
      <c r="TB267" s="201"/>
      <c r="TC267" s="201"/>
      <c r="TD267" s="201"/>
      <c r="TE267" s="201"/>
      <c r="TF267" s="201"/>
      <c r="TG267" s="201"/>
      <c r="TH267" s="201"/>
      <c r="TI267" s="201"/>
      <c r="TJ267" s="201"/>
      <c r="TK267" s="201"/>
      <c r="TL267" s="201"/>
      <c r="TM267" s="201"/>
      <c r="TN267" s="201"/>
      <c r="TO267" s="201"/>
      <c r="TP267" s="201"/>
      <c r="TQ267" s="201"/>
      <c r="TR267" s="201"/>
      <c r="TS267" s="201"/>
      <c r="TT267" s="201"/>
      <c r="TU267" s="201"/>
      <c r="TV267" s="201"/>
      <c r="TW267" s="201"/>
      <c r="TX267" s="201"/>
      <c r="TY267" s="201"/>
      <c r="TZ267" s="201"/>
      <c r="UA267" s="201"/>
      <c r="UB267" s="201"/>
      <c r="UC267" s="201"/>
      <c r="UD267" s="201"/>
      <c r="UE267" s="201"/>
      <c r="UF267" s="201"/>
      <c r="UG267" s="201"/>
      <c r="UH267" s="201"/>
      <c r="UI267" s="201"/>
      <c r="UJ267" s="201"/>
      <c r="UK267" s="201"/>
      <c r="UL267" s="201"/>
      <c r="UM267" s="201"/>
      <c r="UN267" s="201"/>
      <c r="UO267" s="201"/>
      <c r="UP267" s="201"/>
      <c r="UQ267" s="201"/>
      <c r="UR267" s="201"/>
      <c r="US267" s="201"/>
      <c r="UT267" s="201"/>
      <c r="UU267" s="201"/>
    </row>
    <row r="268" spans="2:567" x14ac:dyDescent="0.25">
      <c r="C268" s="578" t="s">
        <v>739</v>
      </c>
      <c r="D268" s="3" t="str">
        <f t="shared" si="3918"/>
        <v>/Room</v>
      </c>
      <c r="E268" s="578" t="str">
        <f>C268&amp;"s"</f>
        <v>Rooms</v>
      </c>
      <c r="PQ268" s="201"/>
      <c r="PR268" s="201"/>
      <c r="PS268" s="201"/>
      <c r="PT268" s="201"/>
      <c r="PU268" s="201"/>
      <c r="PV268" s="201"/>
      <c r="PW268" s="201"/>
      <c r="PX268" s="201"/>
      <c r="PY268" s="201"/>
      <c r="PZ268" s="201"/>
      <c r="QA268" s="201"/>
      <c r="QB268" s="201"/>
      <c r="QC268" s="201"/>
      <c r="QD268" s="201"/>
      <c r="QE268" s="201"/>
      <c r="QF268" s="201"/>
      <c r="QG268" s="201"/>
      <c r="QH268" s="201"/>
      <c r="QI268" s="201"/>
      <c r="QJ268" s="201"/>
      <c r="QK268" s="201"/>
      <c r="QL268" s="201"/>
      <c r="QM268" s="201"/>
      <c r="QN268" s="201"/>
      <c r="QO268" s="201"/>
      <c r="QP268" s="201"/>
      <c r="QQ268" s="201"/>
      <c r="QR268" s="201"/>
      <c r="QS268" s="201"/>
      <c r="QT268" s="201"/>
      <c r="QU268" s="201"/>
      <c r="QV268" s="201"/>
      <c r="QW268" s="201"/>
      <c r="QX268" s="201"/>
      <c r="QY268" s="201"/>
      <c r="QZ268" s="201"/>
      <c r="RA268" s="201"/>
      <c r="RB268" s="201"/>
      <c r="RC268" s="201"/>
      <c r="RD268" s="201"/>
      <c r="RE268" s="201"/>
      <c r="RF268" s="201"/>
      <c r="RG268" s="201"/>
      <c r="RH268" s="201"/>
      <c r="RI268" s="201"/>
      <c r="RJ268" s="201"/>
      <c r="RK268" s="201"/>
      <c r="RL268" s="201"/>
      <c r="RM268" s="201"/>
      <c r="RN268" s="201"/>
      <c r="RO268" s="201"/>
      <c r="RP268" s="201"/>
      <c r="RQ268" s="201"/>
      <c r="RR268" s="201"/>
      <c r="RS268" s="201"/>
      <c r="RT268" s="201"/>
      <c r="RU268" s="201"/>
      <c r="RV268" s="201"/>
      <c r="RW268" s="201"/>
      <c r="RX268" s="201"/>
      <c r="RY268" s="201"/>
      <c r="RZ268" s="201"/>
      <c r="SA268" s="201"/>
      <c r="SB268" s="201"/>
      <c r="SC268" s="201"/>
      <c r="SD268" s="201"/>
      <c r="SE268" s="201"/>
      <c r="SF268" s="201"/>
      <c r="SG268" s="201"/>
      <c r="SH268" s="201"/>
      <c r="SI268" s="201"/>
      <c r="SJ268" s="201"/>
      <c r="SK268" s="201"/>
      <c r="SL268" s="201"/>
      <c r="SM268" s="201"/>
      <c r="SN268" s="201"/>
      <c r="SO268" s="201"/>
      <c r="SP268" s="201"/>
      <c r="SQ268" s="201"/>
      <c r="SR268" s="201"/>
      <c r="SS268" s="201"/>
      <c r="ST268" s="201"/>
      <c r="SU268" s="201"/>
      <c r="SV268" s="201"/>
      <c r="SW268" s="201"/>
      <c r="SX268" s="201"/>
      <c r="SY268" s="201"/>
      <c r="SZ268" s="201"/>
      <c r="TA268" s="201"/>
      <c r="TB268" s="201"/>
      <c r="TC268" s="201"/>
      <c r="TD268" s="201"/>
      <c r="TE268" s="201"/>
      <c r="TF268" s="201"/>
      <c r="TG268" s="201"/>
      <c r="TH268" s="201"/>
      <c r="TI268" s="201"/>
      <c r="TJ268" s="201"/>
      <c r="TK268" s="201"/>
      <c r="TL268" s="201"/>
      <c r="TM268" s="201"/>
      <c r="TN268" s="201"/>
      <c r="TO268" s="201"/>
      <c r="TP268" s="201"/>
      <c r="TQ268" s="201"/>
      <c r="TR268" s="201"/>
      <c r="TS268" s="201"/>
      <c r="TT268" s="201"/>
      <c r="TU268" s="201"/>
      <c r="TV268" s="201"/>
      <c r="TW268" s="201"/>
      <c r="TX268" s="201"/>
      <c r="TY268" s="201"/>
      <c r="TZ268" s="201"/>
      <c r="UA268" s="201"/>
      <c r="UB268" s="201"/>
      <c r="UC268" s="201"/>
      <c r="UD268" s="201"/>
      <c r="UE268" s="201"/>
      <c r="UF268" s="201"/>
      <c r="UG268" s="201"/>
      <c r="UH268" s="201"/>
      <c r="UI268" s="201"/>
      <c r="UJ268" s="201"/>
      <c r="UK268" s="201"/>
      <c r="UL268" s="201"/>
      <c r="UM268" s="201"/>
      <c r="UN268" s="201"/>
      <c r="UO268" s="201"/>
      <c r="UP268" s="201"/>
      <c r="UQ268" s="201"/>
      <c r="UR268" s="201"/>
      <c r="US268" s="201"/>
      <c r="UT268" s="201"/>
      <c r="UU268" s="201"/>
    </row>
    <row r="269" spans="2:567" x14ac:dyDescent="0.25">
      <c r="C269" s="578" t="s">
        <v>740</v>
      </c>
      <c r="D269" s="3" t="str">
        <f t="shared" si="3918"/>
        <v>/Door</v>
      </c>
      <c r="E269" s="578" t="str">
        <f>C269&amp;"s"</f>
        <v>Doors</v>
      </c>
      <c r="PQ269" s="201"/>
      <c r="PR269" s="201"/>
      <c r="PS269" s="201"/>
      <c r="PT269" s="201"/>
      <c r="PU269" s="201"/>
      <c r="PV269" s="201"/>
      <c r="PW269" s="201"/>
      <c r="PX269" s="201"/>
      <c r="PY269" s="201"/>
      <c r="PZ269" s="201"/>
      <c r="QA269" s="201"/>
      <c r="QB269" s="201"/>
      <c r="QC269" s="201"/>
      <c r="QD269" s="201"/>
      <c r="QE269" s="201"/>
      <c r="QF269" s="201"/>
      <c r="QG269" s="201"/>
      <c r="QH269" s="201"/>
      <c r="QI269" s="201"/>
      <c r="QJ269" s="201"/>
      <c r="QK269" s="201"/>
      <c r="QL269" s="201"/>
      <c r="QM269" s="201"/>
      <c r="QN269" s="201"/>
      <c r="QO269" s="201"/>
      <c r="QP269" s="201"/>
      <c r="QQ269" s="201"/>
      <c r="QR269" s="201"/>
      <c r="QS269" s="201"/>
      <c r="QT269" s="201"/>
      <c r="QU269" s="201"/>
      <c r="QV269" s="201"/>
      <c r="QW269" s="201"/>
      <c r="QX269" s="201"/>
      <c r="QY269" s="201"/>
      <c r="QZ269" s="201"/>
      <c r="RA269" s="201"/>
      <c r="RB269" s="201"/>
      <c r="RC269" s="201"/>
      <c r="RD269" s="201"/>
      <c r="RE269" s="201"/>
      <c r="RF269" s="201"/>
      <c r="RG269" s="201"/>
      <c r="RH269" s="201"/>
      <c r="RI269" s="201"/>
      <c r="RJ269" s="201"/>
      <c r="RK269" s="201"/>
      <c r="RL269" s="201"/>
      <c r="RM269" s="201"/>
      <c r="RN269" s="201"/>
      <c r="RO269" s="201"/>
      <c r="RP269" s="201"/>
      <c r="RQ269" s="201"/>
      <c r="RR269" s="201"/>
      <c r="RS269" s="201"/>
      <c r="RT269" s="201"/>
      <c r="RU269" s="201"/>
      <c r="RV269" s="201"/>
      <c r="RW269" s="201"/>
      <c r="RX269" s="201"/>
      <c r="RY269" s="201"/>
      <c r="RZ269" s="201"/>
      <c r="SA269" s="201"/>
      <c r="SB269" s="201"/>
      <c r="SC269" s="201"/>
      <c r="SD269" s="201"/>
      <c r="SE269" s="201"/>
      <c r="SF269" s="201"/>
      <c r="SG269" s="201"/>
      <c r="SH269" s="201"/>
      <c r="SI269" s="201"/>
      <c r="SJ269" s="201"/>
      <c r="SK269" s="201"/>
      <c r="SL269" s="201"/>
      <c r="SM269" s="201"/>
      <c r="SN269" s="201"/>
      <c r="SO269" s="201"/>
      <c r="SP269" s="201"/>
      <c r="SQ269" s="201"/>
      <c r="SR269" s="201"/>
      <c r="SS269" s="201"/>
      <c r="ST269" s="201"/>
      <c r="SU269" s="201"/>
      <c r="SV269" s="201"/>
      <c r="SW269" s="201"/>
      <c r="SX269" s="201"/>
      <c r="SY269" s="201"/>
      <c r="SZ269" s="201"/>
      <c r="TA269" s="201"/>
      <c r="TB269" s="201"/>
      <c r="TC269" s="201"/>
      <c r="TD269" s="201"/>
      <c r="TE269" s="201"/>
      <c r="TF269" s="201"/>
      <c r="TG269" s="201"/>
      <c r="TH269" s="201"/>
      <c r="TI269" s="201"/>
      <c r="TJ269" s="201"/>
      <c r="TK269" s="201"/>
      <c r="TL269" s="201"/>
      <c r="TM269" s="201"/>
      <c r="TN269" s="201"/>
      <c r="TO269" s="201"/>
      <c r="TP269" s="201"/>
      <c r="TQ269" s="201"/>
      <c r="TR269" s="201"/>
      <c r="TS269" s="201"/>
      <c r="TT269" s="201"/>
      <c r="TU269" s="201"/>
      <c r="TV269" s="201"/>
      <c r="TW269" s="201"/>
      <c r="TX269" s="201"/>
      <c r="TY269" s="201"/>
      <c r="TZ269" s="201"/>
      <c r="UA269" s="201"/>
      <c r="UB269" s="201"/>
      <c r="UC269" s="201"/>
      <c r="UD269" s="201"/>
      <c r="UE269" s="201"/>
      <c r="UF269" s="201"/>
      <c r="UG269" s="201"/>
      <c r="UH269" s="201"/>
      <c r="UI269" s="201"/>
      <c r="UJ269" s="201"/>
      <c r="UK269" s="201"/>
      <c r="UL269" s="201"/>
      <c r="UM269" s="201"/>
      <c r="UN269" s="201"/>
      <c r="UO269" s="201"/>
      <c r="UP269" s="201"/>
      <c r="UQ269" s="201"/>
      <c r="UR269" s="201"/>
      <c r="US269" s="201"/>
      <c r="UT269" s="201"/>
      <c r="UU269" s="201"/>
    </row>
    <row r="270" spans="2:567" x14ac:dyDescent="0.25">
      <c r="PQ270" s="201"/>
      <c r="PR270" s="201"/>
      <c r="PS270" s="201"/>
      <c r="PT270" s="201"/>
      <c r="PU270" s="201"/>
      <c r="PV270" s="201"/>
      <c r="PW270" s="201"/>
      <c r="PX270" s="201"/>
      <c r="PY270" s="201"/>
      <c r="PZ270" s="201"/>
      <c r="QA270" s="201"/>
      <c r="QB270" s="201"/>
      <c r="QC270" s="201"/>
      <c r="QD270" s="201"/>
      <c r="QE270" s="201"/>
      <c r="QF270" s="201"/>
      <c r="QG270" s="201"/>
      <c r="QH270" s="201"/>
      <c r="QI270" s="201"/>
      <c r="QJ270" s="201"/>
      <c r="QK270" s="201"/>
      <c r="QL270" s="201"/>
      <c r="QM270" s="201"/>
      <c r="QN270" s="201"/>
      <c r="QO270" s="201"/>
      <c r="QP270" s="201"/>
      <c r="QQ270" s="201"/>
      <c r="QR270" s="201"/>
      <c r="QS270" s="201"/>
      <c r="QT270" s="201"/>
      <c r="QU270" s="201"/>
      <c r="QV270" s="201"/>
      <c r="QW270" s="201"/>
      <c r="QX270" s="201"/>
      <c r="QY270" s="201"/>
      <c r="QZ270" s="201"/>
      <c r="RA270" s="201"/>
      <c r="RB270" s="201"/>
      <c r="RC270" s="201"/>
      <c r="RD270" s="201"/>
      <c r="RE270" s="201"/>
      <c r="RF270" s="201"/>
      <c r="RG270" s="201"/>
      <c r="RH270" s="201"/>
      <c r="RI270" s="201"/>
      <c r="RJ270" s="201"/>
      <c r="RK270" s="201"/>
      <c r="RL270" s="201"/>
      <c r="RM270" s="201"/>
      <c r="RN270" s="201"/>
      <c r="RO270" s="201"/>
      <c r="RP270" s="201"/>
      <c r="RQ270" s="201"/>
      <c r="RR270" s="201"/>
      <c r="RS270" s="201"/>
      <c r="RT270" s="201"/>
      <c r="RU270" s="201"/>
      <c r="RV270" s="201"/>
      <c r="RW270" s="201"/>
      <c r="RX270" s="201"/>
      <c r="RY270" s="201"/>
      <c r="RZ270" s="201"/>
      <c r="SA270" s="201"/>
      <c r="SB270" s="201"/>
      <c r="SC270" s="201"/>
      <c r="SD270" s="201"/>
      <c r="SE270" s="201"/>
      <c r="SF270" s="201"/>
      <c r="SG270" s="201"/>
      <c r="SH270" s="201"/>
      <c r="SI270" s="201"/>
      <c r="SJ270" s="201"/>
      <c r="SK270" s="201"/>
      <c r="SL270" s="201"/>
      <c r="SM270" s="201"/>
      <c r="SN270" s="201"/>
      <c r="SO270" s="201"/>
      <c r="SP270" s="201"/>
      <c r="SQ270" s="201"/>
      <c r="SR270" s="201"/>
      <c r="SS270" s="201"/>
      <c r="ST270" s="201"/>
      <c r="SU270" s="201"/>
      <c r="SV270" s="201"/>
      <c r="SW270" s="201"/>
      <c r="SX270" s="201"/>
      <c r="SY270" s="201"/>
      <c r="SZ270" s="201"/>
      <c r="TA270" s="201"/>
      <c r="TB270" s="201"/>
      <c r="TC270" s="201"/>
      <c r="TD270" s="201"/>
      <c r="TE270" s="201"/>
      <c r="TF270" s="201"/>
      <c r="TG270" s="201"/>
      <c r="TH270" s="201"/>
      <c r="TI270" s="201"/>
      <c r="TJ270" s="201"/>
      <c r="TK270" s="201"/>
      <c r="TL270" s="201"/>
      <c r="TM270" s="201"/>
      <c r="TN270" s="201"/>
      <c r="TO270" s="201"/>
      <c r="TP270" s="201"/>
      <c r="TQ270" s="201"/>
      <c r="TR270" s="201"/>
      <c r="TS270" s="201"/>
      <c r="TT270" s="201"/>
      <c r="TU270" s="201"/>
      <c r="TV270" s="201"/>
      <c r="TW270" s="201"/>
      <c r="TX270" s="201"/>
      <c r="TY270" s="201"/>
      <c r="TZ270" s="201"/>
      <c r="UA270" s="201"/>
      <c r="UB270" s="201"/>
      <c r="UC270" s="201"/>
      <c r="UD270" s="201"/>
      <c r="UE270" s="201"/>
      <c r="UF270" s="201"/>
      <c r="UG270" s="201"/>
      <c r="UH270" s="201"/>
      <c r="UI270" s="201"/>
      <c r="UJ270" s="201"/>
      <c r="UK270" s="201"/>
      <c r="UL270" s="201"/>
      <c r="UM270" s="201"/>
      <c r="UN270" s="201"/>
      <c r="UO270" s="201"/>
      <c r="UP270" s="201"/>
      <c r="UQ270" s="201"/>
      <c r="UR270" s="201"/>
      <c r="US270" s="201"/>
      <c r="UT270" s="201"/>
      <c r="UU270" s="201"/>
    </row>
    <row r="271" spans="2:567" x14ac:dyDescent="0.25">
      <c r="PQ271" s="201"/>
      <c r="PR271" s="201"/>
      <c r="PS271" s="201"/>
      <c r="PT271" s="201"/>
      <c r="PU271" s="201"/>
      <c r="PV271" s="201"/>
      <c r="PW271" s="201"/>
      <c r="PX271" s="201"/>
      <c r="PY271" s="201"/>
      <c r="PZ271" s="201"/>
      <c r="QA271" s="201"/>
      <c r="QB271" s="201"/>
      <c r="QC271" s="201"/>
      <c r="QD271" s="201"/>
      <c r="QE271" s="201"/>
      <c r="QF271" s="201"/>
      <c r="QG271" s="201"/>
      <c r="QH271" s="201"/>
      <c r="QI271" s="201"/>
      <c r="QJ271" s="201"/>
      <c r="QK271" s="201"/>
      <c r="QL271" s="201"/>
      <c r="QM271" s="201"/>
      <c r="QN271" s="201"/>
      <c r="QO271" s="201"/>
      <c r="QP271" s="201"/>
      <c r="QQ271" s="201"/>
      <c r="QR271" s="201"/>
      <c r="QS271" s="201"/>
      <c r="QT271" s="201"/>
      <c r="QU271" s="201"/>
      <c r="QV271" s="201"/>
      <c r="QW271" s="201"/>
      <c r="QX271" s="201"/>
      <c r="QY271" s="201"/>
      <c r="QZ271" s="201"/>
      <c r="RA271" s="201"/>
      <c r="RB271" s="201"/>
      <c r="RC271" s="201"/>
      <c r="RD271" s="201"/>
      <c r="RE271" s="201"/>
      <c r="RF271" s="201"/>
      <c r="RG271" s="201"/>
      <c r="RH271" s="201"/>
      <c r="RI271" s="201"/>
      <c r="RJ271" s="201"/>
      <c r="RK271" s="201"/>
      <c r="RL271" s="201"/>
      <c r="RM271" s="201"/>
      <c r="RN271" s="201"/>
      <c r="RO271" s="201"/>
      <c r="RP271" s="201"/>
      <c r="RQ271" s="201"/>
      <c r="RR271" s="201"/>
      <c r="RS271" s="201"/>
      <c r="RT271" s="201"/>
      <c r="RU271" s="201"/>
      <c r="RV271" s="201"/>
      <c r="RW271" s="201"/>
      <c r="RX271" s="201"/>
      <c r="RY271" s="201"/>
      <c r="RZ271" s="201"/>
      <c r="SA271" s="201"/>
      <c r="SB271" s="201"/>
      <c r="SC271" s="201"/>
      <c r="SD271" s="201"/>
      <c r="SE271" s="201"/>
      <c r="SF271" s="201"/>
      <c r="SG271" s="201"/>
      <c r="SH271" s="201"/>
      <c r="SI271" s="201"/>
      <c r="SJ271" s="201"/>
      <c r="SK271" s="201"/>
      <c r="SL271" s="201"/>
      <c r="SM271" s="201"/>
      <c r="SN271" s="201"/>
      <c r="SO271" s="201"/>
      <c r="SP271" s="201"/>
      <c r="SQ271" s="201"/>
      <c r="SR271" s="201"/>
      <c r="SS271" s="201"/>
      <c r="ST271" s="201"/>
      <c r="SU271" s="201"/>
      <c r="SV271" s="201"/>
      <c r="SW271" s="201"/>
      <c r="SX271" s="201"/>
      <c r="SY271" s="201"/>
      <c r="SZ271" s="201"/>
      <c r="TA271" s="201"/>
      <c r="TB271" s="201"/>
      <c r="TC271" s="201"/>
      <c r="TD271" s="201"/>
      <c r="TE271" s="201"/>
      <c r="TF271" s="201"/>
      <c r="TG271" s="201"/>
      <c r="TH271" s="201"/>
      <c r="TI271" s="201"/>
      <c r="TJ271" s="201"/>
      <c r="TK271" s="201"/>
      <c r="TL271" s="201"/>
      <c r="TM271" s="201"/>
      <c r="TN271" s="201"/>
      <c r="TO271" s="201"/>
      <c r="TP271" s="201"/>
      <c r="TQ271" s="201"/>
      <c r="TR271" s="201"/>
      <c r="TS271" s="201"/>
      <c r="TT271" s="201"/>
      <c r="TU271" s="201"/>
      <c r="TV271" s="201"/>
      <c r="TW271" s="201"/>
      <c r="TX271" s="201"/>
      <c r="TY271" s="201"/>
      <c r="TZ271" s="201"/>
      <c r="UA271" s="201"/>
      <c r="UB271" s="201"/>
      <c r="UC271" s="201"/>
      <c r="UD271" s="201"/>
      <c r="UE271" s="201"/>
      <c r="UF271" s="201"/>
      <c r="UG271" s="201"/>
      <c r="UH271" s="201"/>
      <c r="UI271" s="201"/>
      <c r="UJ271" s="201"/>
      <c r="UK271" s="201"/>
      <c r="UL271" s="201"/>
      <c r="UM271" s="201"/>
      <c r="UN271" s="201"/>
      <c r="UO271" s="201"/>
      <c r="UP271" s="201"/>
      <c r="UQ271" s="201"/>
      <c r="UR271" s="201"/>
      <c r="US271" s="201"/>
      <c r="UT271" s="201"/>
      <c r="UU271" s="201"/>
    </row>
    <row r="272" spans="2:567" x14ac:dyDescent="0.25">
      <c r="PQ272" s="201"/>
      <c r="PR272" s="201"/>
      <c r="PS272" s="201"/>
      <c r="PT272" s="201"/>
      <c r="PU272" s="201"/>
      <c r="PV272" s="201"/>
      <c r="PW272" s="201"/>
      <c r="PX272" s="201"/>
      <c r="PY272" s="201"/>
      <c r="PZ272" s="201"/>
      <c r="QA272" s="201"/>
      <c r="QB272" s="201"/>
      <c r="QC272" s="201"/>
      <c r="QD272" s="201"/>
      <c r="QE272" s="201"/>
      <c r="QF272" s="201"/>
      <c r="QG272" s="201"/>
      <c r="QH272" s="201"/>
      <c r="QI272" s="201"/>
      <c r="QJ272" s="201"/>
      <c r="QK272" s="201"/>
      <c r="QL272" s="201"/>
      <c r="QM272" s="201"/>
      <c r="QN272" s="201"/>
      <c r="QO272" s="201"/>
      <c r="QP272" s="201"/>
      <c r="QQ272" s="201"/>
      <c r="QR272" s="201"/>
      <c r="QS272" s="201"/>
      <c r="QT272" s="201"/>
      <c r="QU272" s="201"/>
      <c r="QV272" s="201"/>
      <c r="QW272" s="201"/>
      <c r="QX272" s="201"/>
      <c r="QY272" s="201"/>
      <c r="QZ272" s="201"/>
      <c r="RA272" s="201"/>
      <c r="RB272" s="201"/>
      <c r="RC272" s="201"/>
      <c r="RD272" s="201"/>
      <c r="RE272" s="201"/>
      <c r="RF272" s="201"/>
      <c r="RG272" s="201"/>
      <c r="RH272" s="201"/>
      <c r="RI272" s="201"/>
      <c r="RJ272" s="201"/>
      <c r="RK272" s="201"/>
      <c r="RL272" s="201"/>
      <c r="RM272" s="201"/>
      <c r="RN272" s="201"/>
      <c r="RO272" s="201"/>
      <c r="RP272" s="201"/>
      <c r="RQ272" s="201"/>
      <c r="RR272" s="201"/>
      <c r="RS272" s="201"/>
      <c r="RT272" s="201"/>
      <c r="RU272" s="201"/>
      <c r="RV272" s="201"/>
      <c r="RW272" s="201"/>
      <c r="RX272" s="201"/>
      <c r="RY272" s="201"/>
      <c r="RZ272" s="201"/>
      <c r="SA272" s="201"/>
      <c r="SB272" s="201"/>
      <c r="SC272" s="201"/>
      <c r="SD272" s="201"/>
      <c r="SE272" s="201"/>
      <c r="SF272" s="201"/>
      <c r="SG272" s="201"/>
      <c r="SH272" s="201"/>
      <c r="SI272" s="201"/>
      <c r="SJ272" s="201"/>
      <c r="SK272" s="201"/>
      <c r="SL272" s="201"/>
      <c r="SM272" s="201"/>
      <c r="SN272" s="201"/>
      <c r="SO272" s="201"/>
      <c r="SP272" s="201"/>
      <c r="SQ272" s="201"/>
      <c r="SR272" s="201"/>
      <c r="SS272" s="201"/>
      <c r="ST272" s="201"/>
      <c r="SU272" s="201"/>
      <c r="SV272" s="201"/>
      <c r="SW272" s="201"/>
      <c r="SX272" s="201"/>
      <c r="SY272" s="201"/>
      <c r="SZ272" s="201"/>
      <c r="TA272" s="201"/>
      <c r="TB272" s="201"/>
      <c r="TC272" s="201"/>
      <c r="TD272" s="201"/>
      <c r="TE272" s="201"/>
      <c r="TF272" s="201"/>
      <c r="TG272" s="201"/>
      <c r="TH272" s="201"/>
      <c r="TI272" s="201"/>
      <c r="TJ272" s="201"/>
      <c r="TK272" s="201"/>
      <c r="TL272" s="201"/>
      <c r="TM272" s="201"/>
      <c r="TN272" s="201"/>
      <c r="TO272" s="201"/>
      <c r="TP272" s="201"/>
      <c r="TQ272" s="201"/>
      <c r="TR272" s="201"/>
      <c r="TS272" s="201"/>
      <c r="TT272" s="201"/>
      <c r="TU272" s="201"/>
      <c r="TV272" s="201"/>
      <c r="TW272" s="201"/>
      <c r="TX272" s="201"/>
      <c r="TY272" s="201"/>
      <c r="TZ272" s="201"/>
      <c r="UA272" s="201"/>
      <c r="UB272" s="201"/>
      <c r="UC272" s="201"/>
      <c r="UD272" s="201"/>
      <c r="UE272" s="201"/>
      <c r="UF272" s="201"/>
      <c r="UG272" s="201"/>
      <c r="UH272" s="201"/>
      <c r="UI272" s="201"/>
      <c r="UJ272" s="201"/>
      <c r="UK272" s="201"/>
      <c r="UL272" s="201"/>
      <c r="UM272" s="201"/>
      <c r="UN272" s="201"/>
      <c r="UO272" s="201"/>
      <c r="UP272" s="201"/>
      <c r="UQ272" s="201"/>
      <c r="UR272" s="201"/>
      <c r="US272" s="201"/>
      <c r="UT272" s="201"/>
      <c r="UU272" s="201"/>
    </row>
    <row r="273" spans="433:567" x14ac:dyDescent="0.25">
      <c r="PQ273" s="201"/>
      <c r="PR273" s="201"/>
      <c r="PS273" s="201"/>
      <c r="PT273" s="201"/>
      <c r="PU273" s="201"/>
      <c r="PV273" s="201"/>
      <c r="PW273" s="201"/>
      <c r="PX273" s="201"/>
      <c r="PY273" s="201"/>
      <c r="PZ273" s="201"/>
      <c r="QA273" s="201"/>
      <c r="QB273" s="201"/>
      <c r="QC273" s="201"/>
      <c r="QD273" s="201"/>
      <c r="QE273" s="201"/>
      <c r="QF273" s="201"/>
      <c r="QG273" s="201"/>
      <c r="QH273" s="201"/>
      <c r="QI273" s="201"/>
      <c r="QJ273" s="201"/>
      <c r="QK273" s="201"/>
      <c r="QL273" s="201"/>
      <c r="QM273" s="201"/>
      <c r="QN273" s="201"/>
      <c r="QO273" s="201"/>
      <c r="QP273" s="201"/>
      <c r="QQ273" s="201"/>
      <c r="QR273" s="201"/>
      <c r="QS273" s="201"/>
      <c r="QT273" s="201"/>
      <c r="QU273" s="201"/>
      <c r="QV273" s="201"/>
      <c r="QW273" s="201"/>
      <c r="QX273" s="201"/>
      <c r="QY273" s="201"/>
      <c r="QZ273" s="201"/>
      <c r="RA273" s="201"/>
      <c r="RB273" s="201"/>
      <c r="RC273" s="201"/>
      <c r="RD273" s="201"/>
      <c r="RE273" s="201"/>
      <c r="RF273" s="201"/>
      <c r="RG273" s="201"/>
      <c r="RH273" s="201"/>
      <c r="RI273" s="201"/>
      <c r="RJ273" s="201"/>
      <c r="RK273" s="201"/>
      <c r="RL273" s="201"/>
      <c r="RM273" s="201"/>
      <c r="RN273" s="201"/>
      <c r="RO273" s="201"/>
      <c r="RP273" s="201"/>
      <c r="RQ273" s="201"/>
      <c r="RR273" s="201"/>
      <c r="RS273" s="201"/>
      <c r="RT273" s="201"/>
      <c r="RU273" s="201"/>
      <c r="RV273" s="201"/>
      <c r="RW273" s="201"/>
      <c r="RX273" s="201"/>
      <c r="RY273" s="201"/>
      <c r="RZ273" s="201"/>
      <c r="SA273" s="201"/>
      <c r="SB273" s="201"/>
      <c r="SC273" s="201"/>
      <c r="SD273" s="201"/>
      <c r="SE273" s="201"/>
      <c r="SF273" s="201"/>
      <c r="SG273" s="201"/>
      <c r="SH273" s="201"/>
      <c r="SI273" s="201"/>
      <c r="SJ273" s="201"/>
      <c r="SK273" s="201"/>
      <c r="SL273" s="201"/>
      <c r="SM273" s="201"/>
      <c r="SN273" s="201"/>
      <c r="SO273" s="201"/>
      <c r="SP273" s="201"/>
      <c r="SQ273" s="201"/>
      <c r="SR273" s="201"/>
      <c r="SS273" s="201"/>
      <c r="ST273" s="201"/>
      <c r="SU273" s="201"/>
      <c r="SV273" s="201"/>
      <c r="SW273" s="201"/>
      <c r="SX273" s="201"/>
      <c r="SY273" s="201"/>
      <c r="SZ273" s="201"/>
      <c r="TA273" s="201"/>
      <c r="TB273" s="201"/>
      <c r="TC273" s="201"/>
      <c r="TD273" s="201"/>
      <c r="TE273" s="201"/>
      <c r="TF273" s="201"/>
      <c r="TG273" s="201"/>
      <c r="TH273" s="201"/>
      <c r="TI273" s="201"/>
      <c r="TJ273" s="201"/>
      <c r="TK273" s="201"/>
      <c r="TL273" s="201"/>
      <c r="TM273" s="201"/>
      <c r="TN273" s="201"/>
      <c r="TO273" s="201"/>
      <c r="TP273" s="201"/>
      <c r="TQ273" s="201"/>
      <c r="TR273" s="201"/>
      <c r="TS273" s="201"/>
      <c r="TT273" s="201"/>
      <c r="TU273" s="201"/>
      <c r="TV273" s="201"/>
      <c r="TW273" s="201"/>
      <c r="TX273" s="201"/>
      <c r="TY273" s="201"/>
      <c r="TZ273" s="201"/>
      <c r="UA273" s="201"/>
      <c r="UB273" s="201"/>
      <c r="UC273" s="201"/>
      <c r="UD273" s="201"/>
      <c r="UE273" s="201"/>
      <c r="UF273" s="201"/>
      <c r="UG273" s="201"/>
      <c r="UH273" s="201"/>
      <c r="UI273" s="201"/>
      <c r="UJ273" s="201"/>
      <c r="UK273" s="201"/>
      <c r="UL273" s="201"/>
      <c r="UM273" s="201"/>
      <c r="UN273" s="201"/>
      <c r="UO273" s="201"/>
      <c r="UP273" s="201"/>
      <c r="UQ273" s="201"/>
      <c r="UR273" s="201"/>
      <c r="US273" s="201"/>
      <c r="UT273" s="201"/>
      <c r="UU273" s="201"/>
    </row>
    <row r="274" spans="433:567" x14ac:dyDescent="0.25">
      <c r="PQ274" s="201"/>
      <c r="PR274" s="201"/>
      <c r="PS274" s="201"/>
      <c r="PT274" s="201"/>
      <c r="PU274" s="201"/>
      <c r="PV274" s="201"/>
      <c r="PW274" s="201"/>
      <c r="PX274" s="201"/>
      <c r="PY274" s="201"/>
      <c r="PZ274" s="201"/>
      <c r="QA274" s="201"/>
      <c r="QB274" s="201"/>
      <c r="QC274" s="201"/>
      <c r="QD274" s="201"/>
      <c r="QE274" s="201"/>
      <c r="QF274" s="201"/>
      <c r="QG274" s="201"/>
      <c r="QH274" s="201"/>
      <c r="QI274" s="201"/>
      <c r="QJ274" s="201"/>
      <c r="QK274" s="201"/>
      <c r="QL274" s="201"/>
      <c r="QM274" s="201"/>
      <c r="QN274" s="201"/>
      <c r="QO274" s="201"/>
      <c r="QP274" s="201"/>
      <c r="QQ274" s="201"/>
      <c r="QR274" s="201"/>
      <c r="QS274" s="201"/>
      <c r="QT274" s="201"/>
      <c r="QU274" s="201"/>
      <c r="QV274" s="201"/>
      <c r="QW274" s="201"/>
      <c r="QX274" s="201"/>
      <c r="QY274" s="201"/>
      <c r="QZ274" s="201"/>
      <c r="RA274" s="201"/>
      <c r="RB274" s="201"/>
      <c r="RC274" s="201"/>
      <c r="RD274" s="201"/>
      <c r="RE274" s="201"/>
      <c r="RF274" s="201"/>
      <c r="RG274" s="201"/>
      <c r="RH274" s="201"/>
      <c r="RI274" s="201"/>
      <c r="RJ274" s="201"/>
      <c r="RK274" s="201"/>
      <c r="RL274" s="201"/>
      <c r="RM274" s="201"/>
      <c r="RN274" s="201"/>
      <c r="RO274" s="201"/>
      <c r="RP274" s="201"/>
      <c r="RQ274" s="201"/>
      <c r="RR274" s="201"/>
      <c r="RS274" s="201"/>
      <c r="RT274" s="201"/>
      <c r="RU274" s="201"/>
      <c r="RV274" s="201"/>
      <c r="RW274" s="201"/>
      <c r="RX274" s="201"/>
      <c r="RY274" s="201"/>
      <c r="RZ274" s="201"/>
      <c r="SA274" s="201"/>
      <c r="SB274" s="201"/>
      <c r="SC274" s="201"/>
      <c r="SD274" s="201"/>
      <c r="SE274" s="201"/>
      <c r="SF274" s="201"/>
      <c r="SG274" s="201"/>
      <c r="SH274" s="201"/>
      <c r="SI274" s="201"/>
      <c r="SJ274" s="201"/>
      <c r="SK274" s="201"/>
      <c r="SL274" s="201"/>
      <c r="SM274" s="201"/>
      <c r="SN274" s="201"/>
      <c r="SO274" s="201"/>
      <c r="SP274" s="201"/>
      <c r="SQ274" s="201"/>
      <c r="SR274" s="201"/>
      <c r="SS274" s="201"/>
      <c r="ST274" s="201"/>
      <c r="SU274" s="201"/>
      <c r="SV274" s="201"/>
      <c r="SW274" s="201"/>
      <c r="SX274" s="201"/>
      <c r="SY274" s="201"/>
      <c r="SZ274" s="201"/>
      <c r="TA274" s="201"/>
      <c r="TB274" s="201"/>
      <c r="TC274" s="201"/>
      <c r="TD274" s="201"/>
      <c r="TE274" s="201"/>
      <c r="TF274" s="201"/>
      <c r="TG274" s="201"/>
      <c r="TH274" s="201"/>
      <c r="TI274" s="201"/>
      <c r="TJ274" s="201"/>
      <c r="TK274" s="201"/>
      <c r="TL274" s="201"/>
      <c r="TM274" s="201"/>
      <c r="TN274" s="201"/>
      <c r="TO274" s="201"/>
      <c r="TP274" s="201"/>
      <c r="TQ274" s="201"/>
      <c r="TR274" s="201"/>
      <c r="TS274" s="201"/>
      <c r="TT274" s="201"/>
      <c r="TU274" s="201"/>
      <c r="TV274" s="201"/>
      <c r="TW274" s="201"/>
      <c r="TX274" s="201"/>
      <c r="TY274" s="201"/>
      <c r="TZ274" s="201"/>
      <c r="UA274" s="201"/>
      <c r="UB274" s="201"/>
      <c r="UC274" s="201"/>
      <c r="UD274" s="201"/>
      <c r="UE274" s="201"/>
      <c r="UF274" s="201"/>
      <c r="UG274" s="201"/>
      <c r="UH274" s="201"/>
      <c r="UI274" s="201"/>
      <c r="UJ274" s="201"/>
      <c r="UK274" s="201"/>
      <c r="UL274" s="201"/>
      <c r="UM274" s="201"/>
      <c r="UN274" s="201"/>
      <c r="UO274" s="201"/>
      <c r="UP274" s="201"/>
      <c r="UQ274" s="201"/>
      <c r="UR274" s="201"/>
      <c r="US274" s="201"/>
      <c r="UT274" s="201"/>
      <c r="UU274" s="201"/>
    </row>
    <row r="275" spans="433:567" x14ac:dyDescent="0.25">
      <c r="PQ275" s="201"/>
      <c r="PR275" s="201"/>
      <c r="PS275" s="201"/>
      <c r="PT275" s="201"/>
      <c r="PU275" s="201"/>
      <c r="PV275" s="201"/>
      <c r="PW275" s="201"/>
      <c r="PX275" s="201"/>
      <c r="PY275" s="201"/>
      <c r="PZ275" s="201"/>
      <c r="QA275" s="201"/>
      <c r="QB275" s="201"/>
      <c r="QC275" s="201"/>
      <c r="QD275" s="201"/>
      <c r="QE275" s="201"/>
      <c r="QF275" s="201"/>
      <c r="QG275" s="201"/>
      <c r="QH275" s="201"/>
      <c r="QI275" s="201"/>
      <c r="QJ275" s="201"/>
      <c r="QK275" s="201"/>
      <c r="QL275" s="201"/>
      <c r="QM275" s="201"/>
      <c r="QN275" s="201"/>
      <c r="QO275" s="201"/>
      <c r="QP275" s="201"/>
      <c r="QQ275" s="201"/>
      <c r="QR275" s="201"/>
      <c r="QS275" s="201"/>
      <c r="QT275" s="201"/>
      <c r="QU275" s="201"/>
      <c r="QV275" s="201"/>
      <c r="QW275" s="201"/>
      <c r="QX275" s="201"/>
      <c r="QY275" s="201"/>
      <c r="QZ275" s="201"/>
      <c r="RA275" s="201"/>
      <c r="RB275" s="201"/>
      <c r="RC275" s="201"/>
      <c r="RD275" s="201"/>
      <c r="RE275" s="201"/>
      <c r="RF275" s="201"/>
      <c r="RG275" s="201"/>
      <c r="RH275" s="201"/>
      <c r="RI275" s="201"/>
      <c r="RJ275" s="201"/>
      <c r="RK275" s="201"/>
      <c r="RL275" s="201"/>
      <c r="RM275" s="201"/>
      <c r="RN275" s="201"/>
      <c r="RO275" s="201"/>
      <c r="RP275" s="201"/>
      <c r="RQ275" s="201"/>
      <c r="RR275" s="201"/>
      <c r="RS275" s="201"/>
      <c r="RT275" s="201"/>
      <c r="RU275" s="201"/>
      <c r="RV275" s="201"/>
      <c r="RW275" s="201"/>
      <c r="RX275" s="201"/>
      <c r="RY275" s="201"/>
      <c r="RZ275" s="201"/>
      <c r="SA275" s="201"/>
      <c r="SB275" s="201"/>
      <c r="SC275" s="201"/>
      <c r="SD275" s="201"/>
      <c r="SE275" s="201"/>
      <c r="SF275" s="201"/>
      <c r="SG275" s="201"/>
      <c r="SH275" s="201"/>
      <c r="SI275" s="201"/>
      <c r="SJ275" s="201"/>
      <c r="SK275" s="201"/>
      <c r="SL275" s="201"/>
      <c r="SM275" s="201"/>
      <c r="SN275" s="201"/>
      <c r="SO275" s="201"/>
      <c r="SP275" s="201"/>
      <c r="SQ275" s="201"/>
      <c r="SR275" s="201"/>
      <c r="SS275" s="201"/>
      <c r="ST275" s="201"/>
      <c r="SU275" s="201"/>
      <c r="SV275" s="201"/>
      <c r="SW275" s="201"/>
      <c r="SX275" s="201"/>
      <c r="SY275" s="201"/>
      <c r="SZ275" s="201"/>
      <c r="TA275" s="201"/>
      <c r="TB275" s="201"/>
      <c r="TC275" s="201"/>
      <c r="TD275" s="201"/>
      <c r="TE275" s="201"/>
      <c r="TF275" s="201"/>
      <c r="TG275" s="201"/>
      <c r="TH275" s="201"/>
      <c r="TI275" s="201"/>
      <c r="TJ275" s="201"/>
      <c r="TK275" s="201"/>
      <c r="TL275" s="201"/>
      <c r="TM275" s="201"/>
      <c r="TN275" s="201"/>
      <c r="TO275" s="201"/>
      <c r="TP275" s="201"/>
      <c r="TQ275" s="201"/>
      <c r="TR275" s="201"/>
      <c r="TS275" s="201"/>
      <c r="TT275" s="201"/>
      <c r="TU275" s="201"/>
      <c r="TV275" s="201"/>
      <c r="TW275" s="201"/>
      <c r="TX275" s="201"/>
      <c r="TY275" s="201"/>
      <c r="TZ275" s="201"/>
      <c r="UA275" s="201"/>
      <c r="UB275" s="201"/>
      <c r="UC275" s="201"/>
      <c r="UD275" s="201"/>
      <c r="UE275" s="201"/>
      <c r="UF275" s="201"/>
      <c r="UG275" s="201"/>
      <c r="UH275" s="201"/>
      <c r="UI275" s="201"/>
      <c r="UJ275" s="201"/>
      <c r="UK275" s="201"/>
      <c r="UL275" s="201"/>
      <c r="UM275" s="201"/>
      <c r="UN275" s="201"/>
      <c r="UO275" s="201"/>
      <c r="UP275" s="201"/>
      <c r="UQ275" s="201"/>
      <c r="UR275" s="201"/>
      <c r="US275" s="201"/>
      <c r="UT275" s="201"/>
      <c r="UU275" s="201"/>
    </row>
    <row r="276" spans="433:567" x14ac:dyDescent="0.25">
      <c r="PQ276" s="201"/>
      <c r="PR276" s="201"/>
      <c r="PS276" s="201"/>
      <c r="PT276" s="201"/>
      <c r="PU276" s="201"/>
      <c r="PV276" s="201"/>
      <c r="PW276" s="201"/>
      <c r="PX276" s="201"/>
      <c r="PY276" s="201"/>
      <c r="PZ276" s="201"/>
      <c r="QA276" s="201"/>
      <c r="QB276" s="201"/>
      <c r="QC276" s="201"/>
      <c r="QD276" s="201"/>
      <c r="QE276" s="201"/>
      <c r="QF276" s="201"/>
      <c r="QG276" s="201"/>
      <c r="QH276" s="201"/>
      <c r="QI276" s="201"/>
      <c r="QJ276" s="201"/>
      <c r="QK276" s="201"/>
      <c r="QL276" s="201"/>
      <c r="QM276" s="201"/>
      <c r="QN276" s="201"/>
      <c r="QO276" s="201"/>
      <c r="QP276" s="201"/>
      <c r="QQ276" s="201"/>
      <c r="QR276" s="201"/>
      <c r="QS276" s="201"/>
      <c r="QT276" s="201"/>
      <c r="QU276" s="201"/>
      <c r="QV276" s="201"/>
      <c r="QW276" s="201"/>
      <c r="QX276" s="201"/>
      <c r="QY276" s="201"/>
      <c r="QZ276" s="201"/>
      <c r="RA276" s="201"/>
      <c r="RB276" s="201"/>
      <c r="RC276" s="201"/>
      <c r="RD276" s="201"/>
      <c r="RE276" s="201"/>
      <c r="RF276" s="201"/>
      <c r="RG276" s="201"/>
      <c r="RH276" s="201"/>
      <c r="RI276" s="201"/>
      <c r="RJ276" s="201"/>
      <c r="RK276" s="201"/>
      <c r="RL276" s="201"/>
      <c r="RM276" s="201"/>
      <c r="RN276" s="201"/>
      <c r="RO276" s="201"/>
      <c r="RP276" s="201"/>
      <c r="RQ276" s="201"/>
      <c r="RR276" s="201"/>
      <c r="RS276" s="201"/>
      <c r="RT276" s="201"/>
      <c r="RU276" s="201"/>
      <c r="RV276" s="201"/>
      <c r="RW276" s="201"/>
      <c r="RX276" s="201"/>
      <c r="RY276" s="201"/>
      <c r="RZ276" s="201"/>
      <c r="SA276" s="201"/>
      <c r="SB276" s="201"/>
      <c r="SC276" s="201"/>
      <c r="SD276" s="201"/>
      <c r="SE276" s="201"/>
      <c r="SF276" s="201"/>
      <c r="SG276" s="201"/>
      <c r="SH276" s="201"/>
      <c r="SI276" s="201"/>
      <c r="SJ276" s="201"/>
      <c r="SK276" s="201"/>
      <c r="SL276" s="201"/>
      <c r="SM276" s="201"/>
      <c r="SN276" s="201"/>
      <c r="SO276" s="201"/>
      <c r="SP276" s="201"/>
      <c r="SQ276" s="201"/>
      <c r="SR276" s="201"/>
      <c r="SS276" s="201"/>
      <c r="ST276" s="201"/>
      <c r="SU276" s="201"/>
      <c r="SV276" s="201"/>
      <c r="SW276" s="201"/>
      <c r="SX276" s="201"/>
      <c r="SY276" s="201"/>
      <c r="SZ276" s="201"/>
      <c r="TA276" s="201"/>
      <c r="TB276" s="201"/>
      <c r="TC276" s="201"/>
      <c r="TD276" s="201"/>
      <c r="TE276" s="201"/>
      <c r="TF276" s="201"/>
      <c r="TG276" s="201"/>
      <c r="TH276" s="201"/>
      <c r="TI276" s="201"/>
      <c r="TJ276" s="201"/>
      <c r="TK276" s="201"/>
      <c r="TL276" s="201"/>
      <c r="TM276" s="201"/>
      <c r="TN276" s="201"/>
      <c r="TO276" s="201"/>
      <c r="TP276" s="201"/>
      <c r="TQ276" s="201"/>
      <c r="TR276" s="201"/>
      <c r="TS276" s="201"/>
      <c r="TT276" s="201"/>
      <c r="TU276" s="201"/>
      <c r="TV276" s="201"/>
      <c r="TW276" s="201"/>
      <c r="TX276" s="201"/>
      <c r="TY276" s="201"/>
      <c r="TZ276" s="201"/>
      <c r="UA276" s="201"/>
      <c r="UB276" s="201"/>
      <c r="UC276" s="201"/>
      <c r="UD276" s="201"/>
      <c r="UE276" s="201"/>
      <c r="UF276" s="201"/>
      <c r="UG276" s="201"/>
      <c r="UH276" s="201"/>
      <c r="UI276" s="201"/>
      <c r="UJ276" s="201"/>
      <c r="UK276" s="201"/>
      <c r="UL276" s="201"/>
      <c r="UM276" s="201"/>
      <c r="UN276" s="201"/>
      <c r="UO276" s="201"/>
      <c r="UP276" s="201"/>
      <c r="UQ276" s="201"/>
      <c r="UR276" s="201"/>
      <c r="US276" s="201"/>
      <c r="UT276" s="201"/>
      <c r="UU276" s="201"/>
    </row>
    <row r="277" spans="433:567" x14ac:dyDescent="0.25">
      <c r="PQ277" s="201"/>
      <c r="PR277" s="201"/>
      <c r="PS277" s="201"/>
      <c r="PT277" s="201"/>
      <c r="PU277" s="201"/>
      <c r="PV277" s="201"/>
      <c r="PW277" s="201"/>
      <c r="PX277" s="201"/>
      <c r="PY277" s="201"/>
      <c r="PZ277" s="201"/>
      <c r="QA277" s="201"/>
      <c r="QB277" s="201"/>
      <c r="QC277" s="201"/>
      <c r="QD277" s="201"/>
      <c r="QE277" s="201"/>
      <c r="QF277" s="201"/>
      <c r="QG277" s="201"/>
      <c r="QH277" s="201"/>
      <c r="QI277" s="201"/>
      <c r="QJ277" s="201"/>
      <c r="QK277" s="201"/>
      <c r="QL277" s="201"/>
      <c r="QM277" s="201"/>
      <c r="QN277" s="201"/>
      <c r="QO277" s="201"/>
      <c r="QP277" s="201"/>
      <c r="QQ277" s="201"/>
      <c r="QR277" s="201"/>
      <c r="QS277" s="201"/>
      <c r="QT277" s="201"/>
      <c r="QU277" s="201"/>
      <c r="QV277" s="201"/>
      <c r="QW277" s="201"/>
      <c r="QX277" s="201"/>
      <c r="QY277" s="201"/>
      <c r="QZ277" s="201"/>
      <c r="RA277" s="201"/>
      <c r="RB277" s="201"/>
      <c r="RC277" s="201"/>
      <c r="RD277" s="201"/>
      <c r="RE277" s="201"/>
      <c r="RF277" s="201"/>
      <c r="RG277" s="201"/>
      <c r="RH277" s="201"/>
      <c r="RI277" s="201"/>
      <c r="RJ277" s="201"/>
      <c r="RK277" s="201"/>
      <c r="RL277" s="201"/>
      <c r="RM277" s="201"/>
      <c r="RN277" s="201"/>
      <c r="RO277" s="201"/>
      <c r="RP277" s="201"/>
      <c r="RQ277" s="201"/>
      <c r="RR277" s="201"/>
      <c r="RS277" s="201"/>
      <c r="RT277" s="201"/>
      <c r="RU277" s="201"/>
      <c r="RV277" s="201"/>
      <c r="RW277" s="201"/>
      <c r="RX277" s="201"/>
      <c r="RY277" s="201"/>
      <c r="RZ277" s="201"/>
      <c r="SA277" s="201"/>
      <c r="SB277" s="201"/>
      <c r="SC277" s="201"/>
      <c r="SD277" s="201"/>
      <c r="SE277" s="201"/>
      <c r="SF277" s="201"/>
      <c r="SG277" s="201"/>
      <c r="SH277" s="201"/>
      <c r="SI277" s="201"/>
      <c r="SJ277" s="201"/>
      <c r="SK277" s="201"/>
      <c r="SL277" s="201"/>
      <c r="SM277" s="201"/>
      <c r="SN277" s="201"/>
      <c r="SO277" s="201"/>
      <c r="SP277" s="201"/>
      <c r="SQ277" s="201"/>
      <c r="SR277" s="201"/>
      <c r="SS277" s="201"/>
      <c r="ST277" s="201"/>
      <c r="SU277" s="201"/>
      <c r="SV277" s="201"/>
      <c r="SW277" s="201"/>
      <c r="SX277" s="201"/>
      <c r="SY277" s="201"/>
      <c r="SZ277" s="201"/>
      <c r="TA277" s="201"/>
      <c r="TB277" s="201"/>
      <c r="TC277" s="201"/>
      <c r="TD277" s="201"/>
      <c r="TE277" s="201"/>
      <c r="TF277" s="201"/>
      <c r="TG277" s="201"/>
      <c r="TH277" s="201"/>
      <c r="TI277" s="201"/>
      <c r="TJ277" s="201"/>
      <c r="TK277" s="201"/>
      <c r="TL277" s="201"/>
      <c r="TM277" s="201"/>
      <c r="TN277" s="201"/>
      <c r="TO277" s="201"/>
      <c r="TP277" s="201"/>
      <c r="TQ277" s="201"/>
      <c r="TR277" s="201"/>
      <c r="TS277" s="201"/>
      <c r="TT277" s="201"/>
      <c r="TU277" s="201"/>
      <c r="TV277" s="201"/>
      <c r="TW277" s="201"/>
      <c r="TX277" s="201"/>
      <c r="TY277" s="201"/>
      <c r="TZ277" s="201"/>
      <c r="UA277" s="201"/>
      <c r="UB277" s="201"/>
      <c r="UC277" s="201"/>
      <c r="UD277" s="201"/>
      <c r="UE277" s="201"/>
      <c r="UF277" s="201"/>
      <c r="UG277" s="201"/>
      <c r="UH277" s="201"/>
      <c r="UI277" s="201"/>
      <c r="UJ277" s="201"/>
      <c r="UK277" s="201"/>
      <c r="UL277" s="201"/>
      <c r="UM277" s="201"/>
      <c r="UN277" s="201"/>
      <c r="UO277" s="201"/>
      <c r="UP277" s="201"/>
      <c r="UQ277" s="201"/>
      <c r="UR277" s="201"/>
      <c r="US277" s="201"/>
      <c r="UT277" s="201"/>
      <c r="UU277" s="201"/>
    </row>
    <row r="278" spans="433:567" x14ac:dyDescent="0.25">
      <c r="PQ278" s="201"/>
      <c r="PR278" s="201"/>
      <c r="PS278" s="201"/>
      <c r="PT278" s="201"/>
      <c r="PU278" s="201"/>
      <c r="PV278" s="201"/>
      <c r="PW278" s="201"/>
      <c r="PX278" s="201"/>
      <c r="PY278" s="201"/>
      <c r="PZ278" s="201"/>
      <c r="QA278" s="201"/>
      <c r="QB278" s="201"/>
      <c r="QC278" s="201"/>
      <c r="QD278" s="201"/>
      <c r="QE278" s="201"/>
      <c r="QF278" s="201"/>
      <c r="QG278" s="201"/>
      <c r="QH278" s="201"/>
      <c r="QI278" s="201"/>
      <c r="QJ278" s="201"/>
      <c r="QK278" s="201"/>
      <c r="QL278" s="201"/>
      <c r="QM278" s="201"/>
      <c r="QN278" s="201"/>
      <c r="QO278" s="201"/>
      <c r="QP278" s="201"/>
      <c r="QQ278" s="201"/>
      <c r="QR278" s="201"/>
      <c r="QS278" s="201"/>
      <c r="QT278" s="201"/>
      <c r="QU278" s="201"/>
      <c r="QV278" s="201"/>
      <c r="QW278" s="201"/>
      <c r="QX278" s="201"/>
      <c r="QY278" s="201"/>
      <c r="QZ278" s="201"/>
      <c r="RA278" s="201"/>
      <c r="RB278" s="201"/>
      <c r="RC278" s="201"/>
      <c r="RD278" s="201"/>
      <c r="RE278" s="201"/>
      <c r="RF278" s="201"/>
      <c r="RG278" s="201"/>
      <c r="RH278" s="201"/>
      <c r="RI278" s="201"/>
      <c r="RJ278" s="201"/>
      <c r="RK278" s="201"/>
      <c r="RL278" s="201"/>
      <c r="RM278" s="201"/>
      <c r="RN278" s="201"/>
      <c r="RO278" s="201"/>
      <c r="RP278" s="201"/>
      <c r="RQ278" s="201"/>
      <c r="RR278" s="201"/>
      <c r="RS278" s="201"/>
      <c r="RT278" s="201"/>
      <c r="RU278" s="201"/>
      <c r="RV278" s="201"/>
      <c r="RW278" s="201"/>
      <c r="RX278" s="201"/>
      <c r="RY278" s="201"/>
      <c r="RZ278" s="201"/>
      <c r="SA278" s="201"/>
      <c r="SB278" s="201"/>
      <c r="SC278" s="201"/>
      <c r="SD278" s="201"/>
      <c r="SE278" s="201"/>
      <c r="SF278" s="201"/>
      <c r="SG278" s="201"/>
      <c r="SH278" s="201"/>
      <c r="SI278" s="201"/>
      <c r="SJ278" s="201"/>
      <c r="SK278" s="201"/>
      <c r="SL278" s="201"/>
      <c r="SM278" s="201"/>
      <c r="SN278" s="201"/>
      <c r="SO278" s="201"/>
      <c r="SP278" s="201"/>
      <c r="SQ278" s="201"/>
      <c r="SR278" s="201"/>
      <c r="SS278" s="201"/>
      <c r="ST278" s="201"/>
      <c r="SU278" s="201"/>
      <c r="SV278" s="201"/>
      <c r="SW278" s="201"/>
      <c r="SX278" s="201"/>
      <c r="SY278" s="201"/>
      <c r="SZ278" s="201"/>
      <c r="TA278" s="201"/>
      <c r="TB278" s="201"/>
      <c r="TC278" s="201"/>
      <c r="TD278" s="201"/>
      <c r="TE278" s="201"/>
      <c r="TF278" s="201"/>
      <c r="TG278" s="201"/>
      <c r="TH278" s="201"/>
      <c r="TI278" s="201"/>
      <c r="TJ278" s="201"/>
      <c r="TK278" s="201"/>
      <c r="TL278" s="201"/>
      <c r="TM278" s="201"/>
      <c r="TN278" s="201"/>
      <c r="TO278" s="201"/>
      <c r="TP278" s="201"/>
      <c r="TQ278" s="201"/>
      <c r="TR278" s="201"/>
      <c r="TS278" s="201"/>
      <c r="TT278" s="201"/>
      <c r="TU278" s="201"/>
      <c r="TV278" s="201"/>
      <c r="TW278" s="201"/>
      <c r="TX278" s="201"/>
      <c r="TY278" s="201"/>
      <c r="TZ278" s="201"/>
      <c r="UA278" s="201"/>
      <c r="UB278" s="201"/>
      <c r="UC278" s="201"/>
      <c r="UD278" s="201"/>
      <c r="UE278" s="201"/>
      <c r="UF278" s="201"/>
      <c r="UG278" s="201"/>
      <c r="UH278" s="201"/>
      <c r="UI278" s="201"/>
      <c r="UJ278" s="201"/>
      <c r="UK278" s="201"/>
      <c r="UL278" s="201"/>
      <c r="UM278" s="201"/>
      <c r="UN278" s="201"/>
      <c r="UO278" s="201"/>
      <c r="UP278" s="201"/>
      <c r="UQ278" s="201"/>
      <c r="UR278" s="201"/>
      <c r="US278" s="201"/>
      <c r="UT278" s="201"/>
      <c r="UU278" s="201"/>
    </row>
    <row r="279" spans="433:567" x14ac:dyDescent="0.25">
      <c r="PQ279" s="201"/>
      <c r="PR279" s="201"/>
      <c r="PS279" s="201"/>
      <c r="PT279" s="201"/>
      <c r="PU279" s="201"/>
      <c r="PV279" s="201"/>
      <c r="PW279" s="201"/>
      <c r="PX279" s="201"/>
      <c r="PY279" s="201"/>
      <c r="PZ279" s="201"/>
      <c r="QA279" s="201"/>
      <c r="QB279" s="201"/>
      <c r="QC279" s="201"/>
      <c r="QD279" s="201"/>
      <c r="QE279" s="201"/>
      <c r="QF279" s="201"/>
      <c r="QG279" s="201"/>
      <c r="QH279" s="201"/>
      <c r="QI279" s="201"/>
      <c r="QJ279" s="201"/>
      <c r="QK279" s="201"/>
      <c r="QL279" s="201"/>
      <c r="QM279" s="201"/>
      <c r="QN279" s="201"/>
      <c r="QO279" s="201"/>
      <c r="QP279" s="201"/>
      <c r="QQ279" s="201"/>
      <c r="QR279" s="201"/>
      <c r="QS279" s="201"/>
      <c r="QT279" s="201"/>
      <c r="QU279" s="201"/>
      <c r="QV279" s="201"/>
      <c r="QW279" s="201"/>
      <c r="QX279" s="201"/>
      <c r="QY279" s="201"/>
      <c r="QZ279" s="201"/>
      <c r="RA279" s="201"/>
      <c r="RB279" s="201"/>
      <c r="RC279" s="201"/>
      <c r="RD279" s="201"/>
      <c r="RE279" s="201"/>
      <c r="RF279" s="201"/>
      <c r="RG279" s="201"/>
      <c r="RH279" s="201"/>
      <c r="RI279" s="201"/>
      <c r="RJ279" s="201"/>
      <c r="RK279" s="201"/>
      <c r="RL279" s="201"/>
      <c r="RM279" s="201"/>
      <c r="RN279" s="201"/>
      <c r="RO279" s="201"/>
      <c r="RP279" s="201"/>
      <c r="RQ279" s="201"/>
      <c r="RR279" s="201"/>
      <c r="RS279" s="201"/>
      <c r="RT279" s="201"/>
      <c r="RU279" s="201"/>
      <c r="RV279" s="201"/>
      <c r="RW279" s="201"/>
      <c r="RX279" s="201"/>
      <c r="RY279" s="201"/>
      <c r="RZ279" s="201"/>
      <c r="SA279" s="201"/>
      <c r="SB279" s="201"/>
      <c r="SC279" s="201"/>
      <c r="SD279" s="201"/>
      <c r="SE279" s="201"/>
      <c r="SF279" s="201"/>
      <c r="SG279" s="201"/>
      <c r="SH279" s="201"/>
      <c r="SI279" s="201"/>
      <c r="SJ279" s="201"/>
      <c r="SK279" s="201"/>
      <c r="SL279" s="201"/>
      <c r="SM279" s="201"/>
      <c r="SN279" s="201"/>
      <c r="SO279" s="201"/>
      <c r="SP279" s="201"/>
      <c r="SQ279" s="201"/>
      <c r="SR279" s="201"/>
      <c r="SS279" s="201"/>
      <c r="ST279" s="201"/>
      <c r="SU279" s="201"/>
      <c r="SV279" s="201"/>
      <c r="SW279" s="201"/>
      <c r="SX279" s="201"/>
      <c r="SY279" s="201"/>
      <c r="SZ279" s="201"/>
      <c r="TA279" s="201"/>
      <c r="TB279" s="201"/>
      <c r="TC279" s="201"/>
      <c r="TD279" s="201"/>
      <c r="TE279" s="201"/>
      <c r="TF279" s="201"/>
      <c r="TG279" s="201"/>
      <c r="TH279" s="201"/>
      <c r="TI279" s="201"/>
      <c r="TJ279" s="201"/>
      <c r="TK279" s="201"/>
      <c r="TL279" s="201"/>
      <c r="TM279" s="201"/>
      <c r="TN279" s="201"/>
      <c r="TO279" s="201"/>
      <c r="TP279" s="201"/>
      <c r="TQ279" s="201"/>
      <c r="TR279" s="201"/>
      <c r="TS279" s="201"/>
      <c r="TT279" s="201"/>
      <c r="TU279" s="201"/>
      <c r="TV279" s="201"/>
      <c r="TW279" s="201"/>
      <c r="TX279" s="201"/>
      <c r="TY279" s="201"/>
      <c r="TZ279" s="201"/>
      <c r="UA279" s="201"/>
      <c r="UB279" s="201"/>
      <c r="UC279" s="201"/>
      <c r="UD279" s="201"/>
      <c r="UE279" s="201"/>
      <c r="UF279" s="201"/>
      <c r="UG279" s="201"/>
      <c r="UH279" s="201"/>
      <c r="UI279" s="201"/>
      <c r="UJ279" s="201"/>
      <c r="UK279" s="201"/>
      <c r="UL279" s="201"/>
      <c r="UM279" s="201"/>
      <c r="UN279" s="201"/>
      <c r="UO279" s="201"/>
      <c r="UP279" s="201"/>
      <c r="UQ279" s="201"/>
      <c r="UR279" s="201"/>
      <c r="US279" s="201"/>
      <c r="UT279" s="201"/>
      <c r="UU279" s="201"/>
    </row>
    <row r="280" spans="433:567" x14ac:dyDescent="0.25">
      <c r="PQ280" s="201"/>
      <c r="PR280" s="201"/>
      <c r="PS280" s="201"/>
      <c r="PT280" s="201"/>
      <c r="PU280" s="201"/>
      <c r="PV280" s="201"/>
      <c r="PW280" s="201"/>
      <c r="PX280" s="201"/>
      <c r="PY280" s="201"/>
      <c r="PZ280" s="201"/>
      <c r="QA280" s="201"/>
      <c r="QB280" s="201"/>
      <c r="QC280" s="201"/>
      <c r="QD280" s="201"/>
      <c r="QE280" s="201"/>
      <c r="QF280" s="201"/>
      <c r="QG280" s="201"/>
      <c r="QH280" s="201"/>
      <c r="QI280" s="201"/>
      <c r="QJ280" s="201"/>
      <c r="QK280" s="201"/>
      <c r="QL280" s="201"/>
      <c r="QM280" s="201"/>
      <c r="QN280" s="201"/>
      <c r="QO280" s="201"/>
      <c r="QP280" s="201"/>
      <c r="QQ280" s="201"/>
      <c r="QR280" s="201"/>
      <c r="QS280" s="201"/>
      <c r="QT280" s="201"/>
      <c r="QU280" s="201"/>
      <c r="QV280" s="201"/>
      <c r="QW280" s="201"/>
      <c r="QX280" s="201"/>
      <c r="QY280" s="201"/>
      <c r="QZ280" s="201"/>
      <c r="RA280" s="201"/>
      <c r="RB280" s="201"/>
      <c r="RC280" s="201"/>
      <c r="RD280" s="201"/>
      <c r="RE280" s="201"/>
      <c r="RF280" s="201"/>
      <c r="RG280" s="201"/>
      <c r="RH280" s="201"/>
      <c r="RI280" s="201"/>
      <c r="RJ280" s="201"/>
      <c r="RK280" s="201"/>
      <c r="RL280" s="201"/>
      <c r="RM280" s="201"/>
      <c r="RN280" s="201"/>
      <c r="RO280" s="201"/>
      <c r="RP280" s="201"/>
      <c r="RQ280" s="201"/>
      <c r="RR280" s="201"/>
      <c r="RS280" s="201"/>
      <c r="RT280" s="201"/>
      <c r="RU280" s="201"/>
      <c r="RV280" s="201"/>
      <c r="RW280" s="201"/>
      <c r="RX280" s="201"/>
      <c r="RY280" s="201"/>
      <c r="RZ280" s="201"/>
      <c r="SA280" s="201"/>
      <c r="SB280" s="201"/>
      <c r="SC280" s="201"/>
      <c r="SD280" s="201"/>
      <c r="SE280" s="201"/>
      <c r="SF280" s="201"/>
      <c r="SG280" s="201"/>
      <c r="SH280" s="201"/>
      <c r="SI280" s="201"/>
      <c r="SJ280" s="201"/>
      <c r="SK280" s="201"/>
      <c r="SL280" s="201"/>
      <c r="SM280" s="201"/>
      <c r="SN280" s="201"/>
      <c r="SO280" s="201"/>
      <c r="SP280" s="201"/>
      <c r="SQ280" s="201"/>
      <c r="SR280" s="201"/>
      <c r="SS280" s="201"/>
      <c r="ST280" s="201"/>
      <c r="SU280" s="201"/>
      <c r="SV280" s="201"/>
      <c r="SW280" s="201"/>
      <c r="SX280" s="201"/>
      <c r="SY280" s="201"/>
      <c r="SZ280" s="201"/>
      <c r="TA280" s="201"/>
      <c r="TB280" s="201"/>
      <c r="TC280" s="201"/>
      <c r="TD280" s="201"/>
      <c r="TE280" s="201"/>
      <c r="TF280" s="201"/>
      <c r="TG280" s="201"/>
      <c r="TH280" s="201"/>
      <c r="TI280" s="201"/>
      <c r="TJ280" s="201"/>
      <c r="TK280" s="201"/>
      <c r="TL280" s="201"/>
      <c r="TM280" s="201"/>
      <c r="TN280" s="201"/>
      <c r="TO280" s="201"/>
      <c r="TP280" s="201"/>
      <c r="TQ280" s="201"/>
      <c r="TR280" s="201"/>
      <c r="TS280" s="201"/>
      <c r="TT280" s="201"/>
      <c r="TU280" s="201"/>
      <c r="TV280" s="201"/>
      <c r="TW280" s="201"/>
      <c r="TX280" s="201"/>
      <c r="TY280" s="201"/>
      <c r="TZ280" s="201"/>
      <c r="UA280" s="201"/>
      <c r="UB280" s="201"/>
      <c r="UC280" s="201"/>
      <c r="UD280" s="201"/>
      <c r="UE280" s="201"/>
      <c r="UF280" s="201"/>
      <c r="UG280" s="201"/>
      <c r="UH280" s="201"/>
      <c r="UI280" s="201"/>
      <c r="UJ280" s="201"/>
      <c r="UK280" s="201"/>
      <c r="UL280" s="201"/>
      <c r="UM280" s="201"/>
      <c r="UN280" s="201"/>
      <c r="UO280" s="201"/>
      <c r="UP280" s="201"/>
      <c r="UQ280" s="201"/>
      <c r="UR280" s="201"/>
      <c r="US280" s="201"/>
      <c r="UT280" s="201"/>
      <c r="UU280" s="201"/>
    </row>
    <row r="281" spans="433:567" x14ac:dyDescent="0.25"/>
    <row r="282" spans="433:567" x14ac:dyDescent="0.25"/>
    <row r="283" spans="433:567" x14ac:dyDescent="0.25"/>
    <row r="284" spans="433:567" x14ac:dyDescent="0.25"/>
    <row r="285" spans="433:567" x14ac:dyDescent="0.25"/>
    <row r="286" spans="433:567" x14ac:dyDescent="0.25"/>
    <row r="287" spans="433:567" x14ac:dyDescent="0.25"/>
    <row r="288" spans="433:567" x14ac:dyDescent="0.25"/>
    <row r="289" x14ac:dyDescent="0.25"/>
    <row r="290" x14ac:dyDescent="0.25"/>
    <row r="291" x14ac:dyDescent="0.25"/>
    <row r="292" x14ac:dyDescent="0.25"/>
    <row r="293" x14ac:dyDescent="0.25"/>
    <row r="294" x14ac:dyDescent="0.25"/>
    <row r="295" x14ac:dyDescent="0.25"/>
  </sheetData>
  <mergeCells count="13">
    <mergeCell ref="T74:X74"/>
    <mergeCell ref="F135:G135"/>
    <mergeCell ref="H135:I135"/>
    <mergeCell ref="B2:D2"/>
    <mergeCell ref="I2:K2"/>
    <mergeCell ref="E2:F2"/>
    <mergeCell ref="G2:H2"/>
    <mergeCell ref="F112:G112"/>
    <mergeCell ref="H112:I112"/>
    <mergeCell ref="E4:F4"/>
    <mergeCell ref="G4:H4"/>
    <mergeCell ref="C4:D4"/>
    <mergeCell ref="I4:J4"/>
  </mergeCells>
  <conditionalFormatting sqref="R23">
    <cfRule type="expression" dxfId="40" priority="60">
      <formula>R23="Err"</formula>
    </cfRule>
  </conditionalFormatting>
  <conditionalFormatting sqref="FB4">
    <cfRule type="expression" dxfId="39" priority="59">
      <formula>FB4="Err"</formula>
    </cfRule>
  </conditionalFormatting>
  <conditionalFormatting sqref="R61">
    <cfRule type="expression" dxfId="38" priority="55">
      <formula>R61="Err"</formula>
    </cfRule>
  </conditionalFormatting>
  <conditionalFormatting sqref="FB23">
    <cfRule type="expression" dxfId="37" priority="53">
      <formula>FB23="Err"</formula>
    </cfRule>
  </conditionalFormatting>
  <conditionalFormatting sqref="R111">
    <cfRule type="expression" dxfId="36" priority="44">
      <formula>R111="Err"</formula>
    </cfRule>
  </conditionalFormatting>
  <conditionalFormatting sqref="T109:EU109">
    <cfRule type="expression" dxfId="35" priority="43">
      <formula>$K$108="Yes"</formula>
    </cfRule>
  </conditionalFormatting>
  <conditionalFormatting sqref="G132:G133 I132:I133">
    <cfRule type="expression" dxfId="34" priority="42">
      <formula>$E$132="Detailed"</formula>
    </cfRule>
  </conditionalFormatting>
  <conditionalFormatting sqref="S112:EU112">
    <cfRule type="expression" dxfId="33" priority="41">
      <formula>$K$108="Yes"</formula>
    </cfRule>
  </conditionalFormatting>
  <conditionalFormatting sqref="R112:EU112">
    <cfRule type="expression" dxfId="32" priority="40">
      <formula>$E$132="Standard"</formula>
    </cfRule>
  </conditionalFormatting>
  <conditionalFormatting sqref="KL4">
    <cfRule type="expression" dxfId="31" priority="39">
      <formula>KL4="Err"</formula>
    </cfRule>
  </conditionalFormatting>
  <conditionalFormatting sqref="KL23">
    <cfRule type="expression" dxfId="30" priority="38">
      <formula>KL23="Err"</formula>
    </cfRule>
  </conditionalFormatting>
  <conditionalFormatting sqref="S24:EU27 S38:EU43 S31:EU34">
    <cfRule type="expression" dxfId="29" priority="61">
      <formula>$G24="Detail"</formula>
    </cfRule>
  </conditionalFormatting>
  <conditionalFormatting sqref="R215">
    <cfRule type="expression" dxfId="28" priority="34">
      <formula>R215="Err"</formula>
    </cfRule>
  </conditionalFormatting>
  <conditionalFormatting sqref="L214:Q215">
    <cfRule type="expression" dxfId="27" priority="33">
      <formula>L214="Err"</formula>
    </cfRule>
  </conditionalFormatting>
  <conditionalFormatting sqref="R205">
    <cfRule type="expression" dxfId="26" priority="31">
      <formula>R205="Err"</formula>
    </cfRule>
  </conditionalFormatting>
  <conditionalFormatting sqref="R216">
    <cfRule type="expression" dxfId="25" priority="30">
      <formula>R216="Err"</formula>
    </cfRule>
  </conditionalFormatting>
  <conditionalFormatting sqref="E84">
    <cfRule type="expression" dxfId="24" priority="29">
      <formula>Toggle_Refi_Sell=0</formula>
    </cfRule>
  </conditionalFormatting>
  <conditionalFormatting sqref="F84">
    <cfRule type="expression" dxfId="23" priority="28">
      <formula>Toggle_Refi_Sell=1</formula>
    </cfRule>
  </conditionalFormatting>
  <conditionalFormatting sqref="F242">
    <cfRule type="expression" dxfId="22" priority="26">
      <formula>$J$242&gt;=$J$237</formula>
    </cfRule>
  </conditionalFormatting>
  <conditionalFormatting sqref="H237:I238">
    <cfRule type="expression" dxfId="21" priority="25">
      <formula>$G$238&lt;=0</formula>
    </cfRule>
  </conditionalFormatting>
  <conditionalFormatting sqref="G133">
    <cfRule type="expression" dxfId="20" priority="24">
      <formula>$E$132="Detailed"</formula>
    </cfRule>
  </conditionalFormatting>
  <conditionalFormatting sqref="D135">
    <cfRule type="expression" dxfId="19" priority="22">
      <formula>OpEx_Underwriting_Type=0</formula>
    </cfRule>
  </conditionalFormatting>
  <conditionalFormatting sqref="E135">
    <cfRule type="expression" dxfId="18" priority="21">
      <formula>OpEx_Underwriting_Type=1</formula>
    </cfRule>
  </conditionalFormatting>
  <conditionalFormatting sqref="G136:G142 I136:I142 G144:G145 I144:I145">
    <cfRule type="expression" dxfId="17" priority="20">
      <formula>OpEx_Underwriting_Type=0</formula>
    </cfRule>
  </conditionalFormatting>
  <conditionalFormatting sqref="E61:E64">
    <cfRule type="expression" dxfId="16" priority="19">
      <formula>$E$64=$K$64</formula>
    </cfRule>
  </conditionalFormatting>
  <conditionalFormatting sqref="E236:I239">
    <cfRule type="expression" dxfId="15" priority="18">
      <formula>$I$235="No"</formula>
    </cfRule>
  </conditionalFormatting>
  <conditionalFormatting sqref="R76:EU77 R88:EU89">
    <cfRule type="expression" dxfId="14" priority="62">
      <formula>$J76&lt;&gt;"Variable Rate"</formula>
    </cfRule>
  </conditionalFormatting>
  <conditionalFormatting sqref="I76:I77 I88:I89">
    <cfRule type="expression" dxfId="13" priority="63">
      <formula>$J76="Variable Rate"</formula>
    </cfRule>
  </conditionalFormatting>
  <conditionalFormatting sqref="K75">
    <cfRule type="expression" dxfId="12" priority="16">
      <formula>AND($J$76="Fixed Rate",$J$77="Fixed Rate")</formula>
    </cfRule>
  </conditionalFormatting>
  <conditionalFormatting sqref="K87">
    <cfRule type="expression" dxfId="11" priority="13">
      <formula>AND($J$88="Fixed Rate",$J$89="Fixed Rate")</formula>
    </cfRule>
    <cfRule type="expression" priority="15">
      <formula>AND($J$76="Fixed Rate",$J$77="Fixed Rate")</formula>
    </cfRule>
  </conditionalFormatting>
  <conditionalFormatting sqref="R75:EU75 R74:T74 Y74:EU74">
    <cfRule type="expression" dxfId="10" priority="14">
      <formula>AND($J$76="Fixed Rate",$J$77="Fixed Rate")</formula>
    </cfRule>
  </conditionalFormatting>
  <conditionalFormatting sqref="K88">
    <cfRule type="expression" dxfId="9" priority="12">
      <formula>$J88="Fixed Rate"</formula>
    </cfRule>
  </conditionalFormatting>
  <conditionalFormatting sqref="K89">
    <cfRule type="expression" dxfId="8" priority="11">
      <formula>$J89="Fixed Rate"</formula>
    </cfRule>
  </conditionalFormatting>
  <conditionalFormatting sqref="K76">
    <cfRule type="expression" dxfId="7" priority="10">
      <formula>$J76="Fixed Rate"</formula>
    </cfRule>
  </conditionalFormatting>
  <conditionalFormatting sqref="K77">
    <cfRule type="expression" dxfId="6" priority="9">
      <formula>$J77="Fixed Rate"</formula>
    </cfRule>
  </conditionalFormatting>
  <conditionalFormatting sqref="R87:EU87">
    <cfRule type="expression" dxfId="5" priority="8">
      <formula>AND($J$88="Fixed Rate",$J$89="Fixed Rate")</formula>
    </cfRule>
  </conditionalFormatting>
  <conditionalFormatting sqref="S47:EU48">
    <cfRule type="expression" dxfId="4" priority="64">
      <formula>$D47="Detail"</formula>
    </cfRule>
  </conditionalFormatting>
  <conditionalFormatting sqref="S113:EU113">
    <cfRule type="expression" dxfId="3" priority="3">
      <formula>$K$108="Yes"</formula>
    </cfRule>
  </conditionalFormatting>
  <conditionalFormatting sqref="S113:EU113">
    <cfRule type="expression" dxfId="2" priority="2">
      <formula>$E$132="Standard"</formula>
    </cfRule>
  </conditionalFormatting>
  <conditionalFormatting sqref="R113">
    <cfRule type="expression" dxfId="1" priority="1">
      <formula>$E$132="Standard"</formula>
    </cfRule>
  </conditionalFormatting>
  <dataValidations count="26">
    <dataValidation type="list" allowBlank="1" showInputMessage="1" showErrorMessage="1" sqref="G24:G27 D48" xr:uid="{E67CEFBC-E413-4889-8620-E21BC09C65FE}">
      <formula1>"Straight-Line, S-Curve, Detail"</formula1>
    </dataValidation>
    <dataValidation type="list" allowBlank="1" showInputMessage="1" showErrorMessage="1" sqref="K85:K86 J88:J89 K82:K83 J76:J78 K79" xr:uid="{875AEFA5-DC38-4C0E-93A8-303196CAD277}">
      <formula1>"Fixed Rate, Variable Rate"</formula1>
    </dataValidation>
    <dataValidation type="whole" allowBlank="1" showInputMessage="1" showErrorMessage="1" errorTitle="Invalid Entry" error="Enter a number between 1 and 4." sqref="D62:D63 D67:D68" xr:uid="{A82FD062-9111-4751-A41D-0A8918AB44EB}">
      <formula1>1</formula1>
      <formula2>4</formula2>
    </dataValidation>
    <dataValidation type="list" allowBlank="1" showInputMessage="1" showErrorMessage="1" sqref="K108 F242 I235" xr:uid="{8FCA08BE-791E-441C-9C9E-A2474CB53948}">
      <formula1>"Yes, No"</formula1>
    </dataValidation>
    <dataValidation type="list" allowBlank="1" showInputMessage="1" showErrorMessage="1" sqref="E132" xr:uid="{30F1AF67-C664-4C7C-85CD-3820A75C4206}">
      <formula1>"Standard, Detailed"</formula1>
    </dataValidation>
    <dataValidation type="list" allowBlank="1" showInputMessage="1" showErrorMessage="1" sqref="I232" xr:uid="{6FEB7A7C-F0BB-49BA-A1EF-CDC4453BB70A}">
      <formula1>"Untrended, Trended"</formula1>
    </dataValidation>
    <dataValidation type="whole" allowBlank="1" showInputMessage="1" showErrorMessage="1" sqref="K15:K16" xr:uid="{293CBCA7-B125-4870-BD65-6FED6B59FEC1}">
      <formula1>0</formula1>
      <formula2>99999</formula2>
    </dataValidation>
    <dataValidation type="whole" allowBlank="1" showInputMessage="1" showErrorMessage="1" sqref="F14" xr:uid="{5388B47C-2DCB-42A7-9097-B287F346F47F}">
      <formula1>1</formula1>
      <formula2>9999999</formula2>
    </dataValidation>
    <dataValidation type="whole" allowBlank="1" showInputMessage="1" showErrorMessage="1" sqref="J93:J94 E31:E34 E24:E27 E38:E43 E47:E48" xr:uid="{F72EFEB8-EA7E-46AC-9C36-72DB94D35650}">
      <formula1>0</formula1>
      <formula2>Analysis_Period</formula2>
    </dataValidation>
    <dataValidation type="whole" allowBlank="1" showInputMessage="1" showErrorMessage="1" sqref="F31:F34 F24:F27 F38:F43 F47:F48 G48" xr:uid="{7D651856-9752-47CC-9DCC-F001B93EDA8F}">
      <formula1>$E24</formula1>
      <formula2>Analysis_Period</formula2>
    </dataValidation>
    <dataValidation type="decimal" allowBlank="1" showInputMessage="1" showErrorMessage="1" sqref="H238" xr:uid="{334C7CE2-CB49-43BA-8AD3-5B507789430D}">
      <formula1>0</formula1>
      <formula2>K238/12</formula2>
    </dataValidation>
    <dataValidation type="list" allowBlank="1" showInputMessage="1" showErrorMessage="1" sqref="I238" xr:uid="{E2B695A6-FCBA-41F3-9F06-81B8B5B92D23}">
      <formula1>"No, Yes"</formula1>
    </dataValidation>
    <dataValidation type="list" allowBlank="1" showInputMessage="1" showErrorMessage="1" sqref="G237" xr:uid="{D35C3B61-EEC6-40D7-A4AD-F31077653CB6}">
      <formula1>"% of Total Cost, % of LP Equity, % of EGR"</formula1>
    </dataValidation>
    <dataValidation type="decimal" allowBlank="1" showInputMessage="1" showErrorMessage="1" sqref="G238 F237:F238" xr:uid="{6E489EE9-2DA6-45F7-A181-7B2C9FC566B6}">
      <formula1>0</formula1>
      <formula2>100000</formula2>
    </dataValidation>
    <dataValidation type="list" allowBlank="1" showInputMessage="1" showErrorMessage="1" sqref="G31:G34 G38:G43" xr:uid="{77614C73-AC48-4420-84A1-54793FE1B927}">
      <formula1>"Schedule, Straight-Line, S-Curve, Detail"</formula1>
    </dataValidation>
    <dataValidation type="whole" allowBlank="1" showInputMessage="1" showErrorMessage="1" sqref="K105" xr:uid="{2F93B97A-E849-4936-B40A-ACC9885941F4}">
      <formula1>K104</formula1>
      <formula2>132</formula2>
    </dataValidation>
    <dataValidation type="whole" allowBlank="1" showInputMessage="1" showErrorMessage="1" sqref="K104" xr:uid="{79B824BA-3DE5-4C60-AADA-46065C9D9CB0}">
      <formula1>0</formula1>
      <formula2>132</formula2>
    </dataValidation>
    <dataValidation type="whole" allowBlank="1" showInputMessage="1" showErrorMessage="1" sqref="J19:K19" xr:uid="{71DBD00B-F523-48CC-8B5F-720C24ACDB41}">
      <formula1>12</formula1>
      <formula2>120</formula2>
    </dataValidation>
    <dataValidation type="list" allowBlank="1" showInputMessage="1" showErrorMessage="1" sqref="R87" xr:uid="{42D64E04-DD3F-4249-87B5-F90A887C760D}">
      <formula1>"1 mo. LIBOR, 3 Mo. USD LIBOR, SOFR, Other"</formula1>
    </dataValidation>
    <dataValidation type="whole" allowBlank="1" showInputMessage="1" showErrorMessage="1" sqref="G76:G77 G88:G89" xr:uid="{64973057-71F1-4557-BF07-67D1B4775BC5}">
      <formula1>0</formula1>
      <formula2>$F76</formula2>
    </dataValidation>
    <dataValidation type="whole" allowBlank="1" showInputMessage="1" showErrorMessage="1" sqref="H76:H77 H88:H89" xr:uid="{22C6C0B0-4537-42A8-B277-827469DAC921}">
      <formula1>$F76</formula1>
      <formula2>1200</formula2>
    </dataValidation>
    <dataValidation type="list" allowBlank="1" showInputMessage="1" showErrorMessage="1" sqref="D47" xr:uid="{31F7C1BB-3CC8-4631-854B-0E6ABD5AAF14}">
      <formula1>"Straight-Line, Detail"</formula1>
    </dataValidation>
    <dataValidation type="list" allowBlank="1" showInputMessage="1" showErrorMessage="1" sqref="F7" xr:uid="{B4581E66-ABDA-4074-93AC-7578235D0331}">
      <formula1>"SF, M2"</formula1>
    </dataValidation>
    <dataValidation type="list" allowBlank="1" showInputMessage="1" showErrorMessage="1" sqref="G7" xr:uid="{C9BCC36E-381C-43D8-9447-93678FC602EC}">
      <formula1>$C$266:$C$269</formula1>
    </dataValidation>
    <dataValidation type="list" allowBlank="1" showInputMessage="1" showErrorMessage="1" sqref="R75" xr:uid="{DC5B3712-38F3-4C1F-ADCC-AA27704E06FE}">
      <formula1>"1 mo. LIBOR, 3 Mo. USD LIBOR, 30-Day Term SOFR, Other"</formula1>
    </dataValidation>
    <dataValidation type="whole" allowBlank="1" showInputMessage="1" showErrorMessage="1" errorTitle="Invalid Entry" error="Must not be longer than the Analysis Period (see cell K19)" sqref="G47" xr:uid="{740527D6-B964-4B9B-8718-3FB627D60453}">
      <formula1>$E47</formula1>
      <formula2>Analysis_Period</formula2>
    </dataValidation>
  </dataValidations>
  <hyperlinks>
    <hyperlink ref="T74" r:id="rId1" xr:uid="{BCA74498-61FC-453B-A8F2-6E943B3BB073}"/>
    <hyperlink ref="F64" location="Underwriting!N229:N232" display="Click for details" xr:uid="{1C63B98C-CB20-4FF6-B619-026C2C425085}"/>
  </hyperlinks>
  <pageMargins left="0.7" right="0.7" top="0.75" bottom="0.75" header="0.3" footer="0.3"/>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EE6F5-2DF5-4D39-A197-8981F0DD2C2C}">
  <sheetPr codeName="Sheet5">
    <tabColor theme="5" tint="0.79998168889431442"/>
  </sheetPr>
  <dimension ref="A1:W136"/>
  <sheetViews>
    <sheetView showGridLines="0" workbookViewId="0">
      <pane ySplit="6" topLeftCell="A7" activePane="bottomLeft" state="frozen"/>
      <selection pane="bottomLeft" activeCell="A7" sqref="A7"/>
    </sheetView>
  </sheetViews>
  <sheetFormatPr defaultColWidth="9" defaultRowHeight="13.8" zeroHeight="1" x14ac:dyDescent="0.25"/>
  <cols>
    <col min="1" max="1" width="0.8984375" style="175" customWidth="1"/>
    <col min="2" max="2" width="17.8984375" style="3" customWidth="1"/>
    <col min="3" max="3" width="5.09765625" style="3" bestFit="1" customWidth="1"/>
    <col min="4" max="4" width="6.3984375" style="3" bestFit="1" customWidth="1"/>
    <col min="5" max="5" width="8.69921875" style="3" bestFit="1" customWidth="1"/>
    <col min="6" max="6" width="8.09765625" style="3" bestFit="1" customWidth="1"/>
    <col min="7" max="7" width="10.69921875" style="3" customWidth="1"/>
    <col min="8" max="8" width="0.8984375" customWidth="1"/>
    <col min="9" max="9" width="17.8984375" customWidth="1"/>
    <col min="10" max="10" width="5.09765625" bestFit="1" customWidth="1"/>
    <col min="11" max="11" width="6.3984375" bestFit="1" customWidth="1"/>
    <col min="12" max="12" width="8.69921875" bestFit="1" customWidth="1"/>
    <col min="13" max="13" width="8.09765625" bestFit="1" customWidth="1"/>
    <col min="14" max="14" width="10.69921875" customWidth="1"/>
    <col min="15" max="15" width="1.8984375" customWidth="1"/>
    <col min="16" max="16" width="20.5" bestFit="1" customWidth="1"/>
  </cols>
  <sheetData>
    <row r="1" spans="1:23" s="2" customFormat="1" ht="4.95" customHeight="1" x14ac:dyDescent="0.25">
      <c r="A1" s="175"/>
      <c r="B1"/>
      <c r="C1"/>
      <c r="D1"/>
      <c r="E1"/>
      <c r="F1"/>
      <c r="G1"/>
    </row>
    <row r="2" spans="1:23" s="2" customFormat="1" ht="15.6" x14ac:dyDescent="0.3">
      <c r="A2" s="175"/>
      <c r="B2" s="507" t="str">
        <f>UPPER(Underwriting!F8)</f>
        <v>[INVESTMENT NAME]</v>
      </c>
      <c r="C2" s="179"/>
      <c r="D2" s="508"/>
      <c r="E2" s="509"/>
      <c r="F2" s="509"/>
      <c r="G2" s="509"/>
      <c r="H2" s="513"/>
      <c r="I2" s="510"/>
      <c r="J2" s="510"/>
      <c r="K2" s="510"/>
      <c r="L2" s="511"/>
      <c r="M2" s="511"/>
      <c r="N2" s="512" t="s">
        <v>530</v>
      </c>
    </row>
    <row r="3" spans="1:23" s="2" customFormat="1" x14ac:dyDescent="0.25">
      <c r="A3" s="175"/>
      <c r="B3"/>
      <c r="C3"/>
      <c r="D3"/>
      <c r="L3"/>
      <c r="M3"/>
      <c r="N3"/>
    </row>
    <row r="4" spans="1:23" s="2" customFormat="1" ht="4.95" customHeight="1" x14ac:dyDescent="0.25">
      <c r="A4" s="175"/>
      <c r="B4"/>
      <c r="C4"/>
      <c r="D4"/>
      <c r="L4"/>
      <c r="M4"/>
      <c r="N4"/>
    </row>
    <row r="5" spans="1:23" s="498" customFormat="1" ht="10.5" customHeight="1" x14ac:dyDescent="0.25">
      <c r="A5" s="504"/>
      <c r="B5" s="503" t="s">
        <v>560</v>
      </c>
      <c r="C5" s="502">
        <f>Underwriting!I197/Underwriting!I185</f>
        <v>0.34173119417575026</v>
      </c>
      <c r="D5" s="501"/>
      <c r="E5" s="500"/>
      <c r="F5" s="501" t="s">
        <v>558</v>
      </c>
      <c r="G5" s="500">
        <f>Underwriting!I210</f>
        <v>60182173.989986017</v>
      </c>
      <c r="H5" s="499"/>
      <c r="I5" s="503" t="s">
        <v>561</v>
      </c>
      <c r="J5" s="502">
        <f ca="1">Underwriting!J197/Underwriting!J185</f>
        <v>0.30111409697126196</v>
      </c>
      <c r="K5" s="516"/>
      <c r="L5" s="516"/>
      <c r="M5" s="501" t="s">
        <v>559</v>
      </c>
      <c r="N5" s="500">
        <f ca="1">+Underwriting!J210</f>
        <v>80026858.002745703</v>
      </c>
    </row>
    <row r="6" spans="1:23" s="2" customFormat="1" ht="4.95" customHeight="1" x14ac:dyDescent="0.25">
      <c r="A6" s="175"/>
      <c r="B6"/>
      <c r="C6"/>
      <c r="D6"/>
      <c r="E6"/>
      <c r="F6"/>
      <c r="G6"/>
    </row>
    <row r="7" spans="1:23" ht="5.0999999999999996" customHeight="1" x14ac:dyDescent="0.25">
      <c r="B7" s="497"/>
      <c r="C7" s="497"/>
      <c r="D7" s="497"/>
      <c r="E7" s="497"/>
      <c r="F7" s="497"/>
      <c r="G7" s="497"/>
      <c r="H7" s="497"/>
      <c r="I7" s="497"/>
      <c r="J7" s="497"/>
      <c r="K7" s="497"/>
      <c r="L7" s="497"/>
      <c r="M7" s="497"/>
      <c r="N7" s="497"/>
      <c r="P7" s="497"/>
      <c r="Q7" s="497"/>
      <c r="R7" s="497"/>
      <c r="S7" s="497"/>
      <c r="T7" s="497"/>
      <c r="U7" s="497"/>
      <c r="V7" s="497"/>
      <c r="W7" s="497"/>
    </row>
    <row r="8" spans="1:23" x14ac:dyDescent="0.25">
      <c r="B8" s="179" t="s">
        <v>529</v>
      </c>
      <c r="C8" s="496"/>
      <c r="D8" s="496"/>
      <c r="E8" s="496"/>
      <c r="F8" s="496"/>
      <c r="G8" s="496"/>
      <c r="H8" s="496"/>
      <c r="I8" s="496"/>
      <c r="J8" s="496"/>
      <c r="K8" s="496"/>
      <c r="L8" s="496"/>
      <c r="M8" s="496"/>
      <c r="N8" s="496"/>
      <c r="P8" s="179" t="s">
        <v>567</v>
      </c>
      <c r="Q8" s="496"/>
      <c r="R8" s="496"/>
      <c r="S8" s="496"/>
      <c r="T8" s="496"/>
      <c r="U8" s="496"/>
      <c r="V8" s="496"/>
      <c r="W8" s="496"/>
    </row>
    <row r="9" spans="1:23" x14ac:dyDescent="0.25">
      <c r="B9" s="168" t="s">
        <v>531</v>
      </c>
      <c r="C9" s="125"/>
      <c r="D9" s="125"/>
      <c r="E9" s="125"/>
      <c r="F9" s="510">
        <f>Units</f>
        <v>300</v>
      </c>
      <c r="G9" s="515">
        <f>Units_SF</f>
        <v>252000</v>
      </c>
      <c r="H9" s="125"/>
      <c r="I9" s="168" t="s">
        <v>532</v>
      </c>
      <c r="J9" s="125"/>
      <c r="K9" s="125"/>
      <c r="L9" s="125"/>
      <c r="M9" s="510">
        <f>Units</f>
        <v>300</v>
      </c>
      <c r="N9" s="515">
        <f>Units_SF</f>
        <v>252000</v>
      </c>
      <c r="P9" s="168"/>
      <c r="Q9" s="518">
        <f>R9-1</f>
        <v>2023</v>
      </c>
      <c r="R9" s="518">
        <f>+S9-1</f>
        <v>2024</v>
      </c>
      <c r="S9" s="518">
        <f>U9-1</f>
        <v>2025</v>
      </c>
      <c r="T9" s="518">
        <f>U9-1</f>
        <v>2025</v>
      </c>
      <c r="U9" s="518">
        <f>YEAR(Underwriting!F18)</f>
        <v>2026</v>
      </c>
      <c r="V9" s="521" t="str">
        <f>Underwriting!J112</f>
        <v>In-Place</v>
      </c>
      <c r="W9" s="522" t="str">
        <f>+Underwriting!K112</f>
        <v>Stabilized</v>
      </c>
    </row>
    <row r="10" spans="1:23" x14ac:dyDescent="0.25">
      <c r="B10" s="28" t="s">
        <v>535</v>
      </c>
      <c r="C10" s="484"/>
      <c r="D10" s="484"/>
      <c r="E10" s="484" t="s">
        <v>456</v>
      </c>
      <c r="F10" s="484" t="str">
        <f>"/"&amp;Unit_Type</f>
        <v>/Unit</v>
      </c>
      <c r="G10" s="483" t="str">
        <f>"/"&amp;Unit_Measure</f>
        <v>/SF</v>
      </c>
      <c r="I10" s="505" t="str">
        <f>+B10</f>
        <v>REPAIRS AND MAINTENANCE</v>
      </c>
      <c r="J10" s="484"/>
      <c r="K10" s="484"/>
      <c r="L10" s="484" t="s">
        <v>456</v>
      </c>
      <c r="M10" s="484" t="str">
        <f>F10</f>
        <v>/Unit</v>
      </c>
      <c r="N10" s="483" t="str">
        <f>G10</f>
        <v>/SF</v>
      </c>
      <c r="P10" s="519" t="str">
        <f>UPPER(Underwriting!B120)</f>
        <v>GROSS RENT</v>
      </c>
      <c r="Q10" s="165">
        <v>5500000</v>
      </c>
      <c r="R10" s="165">
        <v>5500000</v>
      </c>
      <c r="S10" s="165">
        <v>5500000</v>
      </c>
      <c r="T10" s="165">
        <v>5500000</v>
      </c>
      <c r="U10" s="165">
        <v>5500000</v>
      </c>
      <c r="V10" s="479">
        <f>+Underwriting!J120</f>
        <v>5731200</v>
      </c>
      <c r="W10" s="479">
        <f>Underwriting!K120</f>
        <v>6590880</v>
      </c>
    </row>
    <row r="11" spans="1:23" x14ac:dyDescent="0.25">
      <c r="B11" s="18" t="s">
        <v>528</v>
      </c>
      <c r="C11" s="484"/>
      <c r="D11" s="484"/>
      <c r="E11" s="495"/>
      <c r="F11" s="484"/>
      <c r="G11" s="483"/>
      <c r="I11" s="38" t="str">
        <f t="shared" ref="I11:I31" si="0">+B11</f>
        <v>R&amp;M General</v>
      </c>
      <c r="J11" s="484"/>
      <c r="K11" s="484"/>
      <c r="L11" s="495"/>
      <c r="M11" s="484"/>
      <c r="N11" s="483"/>
      <c r="P11" s="520" t="str">
        <f>UPPER(Underwriting!B122)</f>
        <v>- CONCESSIONS (FREE RENT)</v>
      </c>
      <c r="Q11" s="165">
        <v>-25000</v>
      </c>
      <c r="R11" s="165">
        <v>-25000</v>
      </c>
      <c r="S11" s="165">
        <v>-25000</v>
      </c>
      <c r="T11" s="165">
        <v>-25000</v>
      </c>
      <c r="U11" s="165">
        <v>-25000</v>
      </c>
      <c r="V11" s="479">
        <f>+Underwriting!J122</f>
        <v>-425132.88461538462</v>
      </c>
      <c r="W11" s="479">
        <f>Underwriting!K122</f>
        <v>0</v>
      </c>
    </row>
    <row r="12" spans="1:23" ht="15" x14ac:dyDescent="0.35">
      <c r="B12" s="31" t="s">
        <v>527</v>
      </c>
      <c r="C12" s="165"/>
      <c r="D12" s="165"/>
      <c r="E12" s="165">
        <v>5000</v>
      </c>
      <c r="F12" s="478">
        <f>E12/Units</f>
        <v>16.666666666666668</v>
      </c>
      <c r="G12" s="478">
        <f>E12/Units_SF_M2</f>
        <v>1.984126984126984E-2</v>
      </c>
      <c r="I12" s="44" t="str">
        <f t="shared" si="0"/>
        <v>General maintenance</v>
      </c>
      <c r="J12" s="165"/>
      <c r="K12" s="165"/>
      <c r="L12" s="165">
        <v>25000</v>
      </c>
      <c r="M12" s="478">
        <f>L12/Units</f>
        <v>83.333333333333329</v>
      </c>
      <c r="N12" s="478">
        <f>L12/Units_SF_M2</f>
        <v>9.9206349206349201E-2</v>
      </c>
      <c r="P12" s="520" t="str">
        <f>UPPER(Underwriting!B123)</f>
        <v>- NON-REVENUE (MODEL) UNIT</v>
      </c>
      <c r="Q12" s="167">
        <v>-18000</v>
      </c>
      <c r="R12" s="167">
        <v>-18000</v>
      </c>
      <c r="S12" s="167">
        <v>-18000</v>
      </c>
      <c r="T12" s="167">
        <v>-18000</v>
      </c>
      <c r="U12" s="167">
        <v>-18000</v>
      </c>
      <c r="V12" s="482">
        <f>+Underwriting!J123</f>
        <v>-38446.800000000003</v>
      </c>
      <c r="W12" s="482">
        <f>Underwriting!K123</f>
        <v>-43939.199999999997</v>
      </c>
    </row>
    <row r="13" spans="1:23" x14ac:dyDescent="0.25">
      <c r="B13" s="31" t="s">
        <v>526</v>
      </c>
      <c r="C13" s="165"/>
      <c r="D13" s="165"/>
      <c r="E13" s="165">
        <v>5000</v>
      </c>
      <c r="F13" s="478">
        <f>E13/Units</f>
        <v>16.666666666666668</v>
      </c>
      <c r="G13" s="478">
        <f>E13/Units_SF_M2</f>
        <v>1.984126984126984E-2</v>
      </c>
      <c r="I13" s="44" t="str">
        <f t="shared" si="0"/>
        <v>Maintenance supplies</v>
      </c>
      <c r="J13" s="165"/>
      <c r="K13" s="165"/>
      <c r="L13" s="165">
        <v>25000</v>
      </c>
      <c r="M13" s="478">
        <f>L13/Units</f>
        <v>83.333333333333329</v>
      </c>
      <c r="N13" s="478">
        <f>L13/Units_SF_M2</f>
        <v>9.9206349206349201E-2</v>
      </c>
      <c r="P13" s="519" t="str">
        <f>UPPER(Underwriting!B124)</f>
        <v>TOTAL EFFECTIVE RENTAL INCOME</v>
      </c>
      <c r="Q13" s="164">
        <f>SUM(Q10:Q12)</f>
        <v>5457000</v>
      </c>
      <c r="R13" s="164">
        <f t="shared" ref="R13:W13" si="1">SUM(R10:R12)</f>
        <v>5457000</v>
      </c>
      <c r="S13" s="164">
        <f t="shared" si="1"/>
        <v>5457000</v>
      </c>
      <c r="T13" s="164">
        <f t="shared" si="1"/>
        <v>5457000</v>
      </c>
      <c r="U13" s="164">
        <f t="shared" si="1"/>
        <v>5457000</v>
      </c>
      <c r="V13" s="479">
        <f t="shared" si="1"/>
        <v>5267620.3153846152</v>
      </c>
      <c r="W13" s="479">
        <f t="shared" si="1"/>
        <v>6546940.7999999998</v>
      </c>
    </row>
    <row r="14" spans="1:23" ht="15" x14ac:dyDescent="0.35">
      <c r="B14" s="31" t="s">
        <v>525</v>
      </c>
      <c r="C14" s="165"/>
      <c r="D14" s="165"/>
      <c r="E14" s="165">
        <v>5000</v>
      </c>
      <c r="F14" s="478">
        <f>E14/Units</f>
        <v>16.666666666666668</v>
      </c>
      <c r="G14" s="478">
        <f>E14/Units_SF_M2</f>
        <v>1.984126984126984E-2</v>
      </c>
      <c r="I14" s="44" t="str">
        <f t="shared" si="0"/>
        <v>Elevators</v>
      </c>
      <c r="J14" s="165"/>
      <c r="K14" s="165"/>
      <c r="L14" s="165">
        <v>25000</v>
      </c>
      <c r="M14" s="478">
        <f>L14/Units</f>
        <v>83.333333333333329</v>
      </c>
      <c r="N14" s="478">
        <f>L14/Units_SF_M2</f>
        <v>9.9206349206349201E-2</v>
      </c>
      <c r="P14" s="520" t="str">
        <f>UPPER(Underwriting!B130)</f>
        <v>TOTAL OTHER INCOME</v>
      </c>
      <c r="Q14" s="167">
        <f t="shared" ref="Q14:U14" si="2">Q13*0.03</f>
        <v>163710</v>
      </c>
      <c r="R14" s="167">
        <f t="shared" si="2"/>
        <v>163710</v>
      </c>
      <c r="S14" s="167">
        <f t="shared" si="2"/>
        <v>163710</v>
      </c>
      <c r="T14" s="167">
        <f t="shared" si="2"/>
        <v>163710</v>
      </c>
      <c r="U14" s="167">
        <f t="shared" si="2"/>
        <v>163710</v>
      </c>
      <c r="V14" s="482">
        <f>+Underwriting!J130</f>
        <v>198000</v>
      </c>
      <c r="W14" s="482">
        <f>+Underwriting!K130</f>
        <v>306000</v>
      </c>
    </row>
    <row r="15" spans="1:23" x14ac:dyDescent="0.25">
      <c r="B15" s="31" t="s">
        <v>524</v>
      </c>
      <c r="C15" s="165"/>
      <c r="D15" s="165"/>
      <c r="E15" s="165">
        <v>5000</v>
      </c>
      <c r="F15" s="478">
        <f>E15/Units</f>
        <v>16.666666666666668</v>
      </c>
      <c r="G15" s="478">
        <f>E15/Units_SF_M2</f>
        <v>1.984126984126984E-2</v>
      </c>
      <c r="I15" s="44" t="str">
        <f t="shared" si="0"/>
        <v>Furniture</v>
      </c>
      <c r="J15" s="165"/>
      <c r="K15" s="165"/>
      <c r="L15" s="165">
        <v>25000</v>
      </c>
      <c r="M15" s="478">
        <f>L15/Units</f>
        <v>83.333333333333329</v>
      </c>
      <c r="N15" s="478">
        <f>L15/Units_SF_M2</f>
        <v>9.9206349206349201E-2</v>
      </c>
      <c r="P15" s="519" t="str">
        <f>UPPER(Underwriting!B131)</f>
        <v>TOTAL POTENTIAL INCOME (TPI)</v>
      </c>
      <c r="Q15" s="164">
        <f>SUM(Q13:Q14)</f>
        <v>5620710</v>
      </c>
      <c r="R15" s="164">
        <f t="shared" ref="R15:W15" si="3">SUM(R13:R14)</f>
        <v>5620710</v>
      </c>
      <c r="S15" s="164">
        <f t="shared" si="3"/>
        <v>5620710</v>
      </c>
      <c r="T15" s="164">
        <f t="shared" si="3"/>
        <v>5620710</v>
      </c>
      <c r="U15" s="164">
        <f t="shared" si="3"/>
        <v>5620710</v>
      </c>
      <c r="V15" s="479">
        <f t="shared" si="3"/>
        <v>5465620.3153846152</v>
      </c>
      <c r="W15" s="479">
        <f t="shared" si="3"/>
        <v>6852940.7999999998</v>
      </c>
    </row>
    <row r="16" spans="1:23" ht="15" x14ac:dyDescent="0.35">
      <c r="B16" s="31" t="s">
        <v>457</v>
      </c>
      <c r="C16" s="165"/>
      <c r="D16" s="165"/>
      <c r="E16" s="167">
        <v>5000</v>
      </c>
      <c r="F16" s="481">
        <f>E16/Units</f>
        <v>16.666666666666668</v>
      </c>
      <c r="G16" s="481">
        <f>E16/Units_SF_M2</f>
        <v>1.984126984126984E-2</v>
      </c>
      <c r="I16" s="44" t="str">
        <f t="shared" si="0"/>
        <v>Other</v>
      </c>
      <c r="J16" s="165"/>
      <c r="K16" s="165"/>
      <c r="L16" s="167">
        <v>5000</v>
      </c>
      <c r="M16" s="481">
        <f>L16/Units</f>
        <v>16.666666666666668</v>
      </c>
      <c r="N16" s="481">
        <f>L16/Units_SF_M2</f>
        <v>1.984126984126984E-2</v>
      </c>
      <c r="P16" s="520" t="str">
        <f>UPPER(Underwriting!B132)</f>
        <v>- GENERAL VACANCY</v>
      </c>
      <c r="Q16" s="165">
        <f t="shared" ref="Q16:U16" si="4">Q15*-0.05</f>
        <v>-281035.5</v>
      </c>
      <c r="R16" s="165">
        <f t="shared" si="4"/>
        <v>-281035.5</v>
      </c>
      <c r="S16" s="165">
        <f t="shared" si="4"/>
        <v>-281035.5</v>
      </c>
      <c r="T16" s="165">
        <f t="shared" si="4"/>
        <v>-281035.5</v>
      </c>
      <c r="U16" s="165">
        <f t="shared" si="4"/>
        <v>-281035.5</v>
      </c>
      <c r="V16" s="479">
        <f>+Underwriting!J132</f>
        <v>-382593.42207692307</v>
      </c>
      <c r="W16" s="479">
        <f>+Underwriting!K132</f>
        <v>-342647.04000000004</v>
      </c>
    </row>
    <row r="17" spans="2:23" ht="15" x14ac:dyDescent="0.35">
      <c r="B17" s="38" t="s">
        <v>536</v>
      </c>
      <c r="C17" s="164"/>
      <c r="D17" s="165"/>
      <c r="E17" s="479">
        <f>SUM(E12:E16)</f>
        <v>25000</v>
      </c>
      <c r="F17" s="478">
        <v>350</v>
      </c>
      <c r="G17" s="478">
        <v>0.41666666666666663</v>
      </c>
      <c r="I17" s="38" t="str">
        <f t="shared" si="0"/>
        <v>Sub-Total R&amp;M General</v>
      </c>
      <c r="J17" s="164"/>
      <c r="K17" s="165"/>
      <c r="L17" s="479">
        <f>SUM(L12:L16)</f>
        <v>105000</v>
      </c>
      <c r="M17" s="478">
        <f>SUM(M12:M16)</f>
        <v>350</v>
      </c>
      <c r="N17" s="478">
        <f>SUM(N12:N16)</f>
        <v>0.41666666666666663</v>
      </c>
      <c r="P17" s="520" t="str">
        <f>UPPER(Underwriting!B133)</f>
        <v>- CREDIT LOSS (I.E. BAD DEBT)</v>
      </c>
      <c r="Q17" s="167">
        <f t="shared" ref="Q17:U17" si="5">Q15*-0.01</f>
        <v>-56207.1</v>
      </c>
      <c r="R17" s="167">
        <f t="shared" si="5"/>
        <v>-56207.1</v>
      </c>
      <c r="S17" s="167">
        <f t="shared" si="5"/>
        <v>-56207.1</v>
      </c>
      <c r="T17" s="167">
        <f t="shared" si="5"/>
        <v>-56207.1</v>
      </c>
      <c r="U17" s="167">
        <f t="shared" si="5"/>
        <v>-56207.1</v>
      </c>
      <c r="V17" s="482">
        <f>+Underwriting!J133</f>
        <v>-54656.203153846152</v>
      </c>
      <c r="W17" s="482">
        <f>+Underwriting!K133</f>
        <v>-68529.407999999996</v>
      </c>
    </row>
    <row r="18" spans="2:23" x14ac:dyDescent="0.25">
      <c r="B18" s="18" t="s">
        <v>523</v>
      </c>
      <c r="C18" s="484"/>
      <c r="D18" s="484"/>
      <c r="E18" s="495"/>
      <c r="F18" s="484"/>
      <c r="G18" s="483"/>
      <c r="I18" s="38" t="str">
        <f t="shared" si="0"/>
        <v>R &amp; M-Apartments</v>
      </c>
      <c r="J18" s="484"/>
      <c r="K18" s="484"/>
      <c r="L18" s="495"/>
      <c r="M18" s="484"/>
      <c r="N18" s="483"/>
      <c r="P18" s="519" t="str">
        <f>UPPER(Underwriting!B134)</f>
        <v>EFFECTIVE GROSS REVENUE (EGR)</v>
      </c>
      <c r="Q18" s="164">
        <f>SUM(Q15:Q17)</f>
        <v>5283467.4000000004</v>
      </c>
      <c r="R18" s="164">
        <f t="shared" ref="R18:W18" si="6">SUM(R15:R17)</f>
        <v>5283467.4000000004</v>
      </c>
      <c r="S18" s="164">
        <f t="shared" si="6"/>
        <v>5283467.4000000004</v>
      </c>
      <c r="T18" s="164">
        <f t="shared" si="6"/>
        <v>5283467.4000000004</v>
      </c>
      <c r="U18" s="164">
        <f t="shared" si="6"/>
        <v>5283467.4000000004</v>
      </c>
      <c r="V18" s="479">
        <f t="shared" si="6"/>
        <v>5028370.6901538465</v>
      </c>
      <c r="W18" s="479">
        <f t="shared" si="6"/>
        <v>6441764.352</v>
      </c>
    </row>
    <row r="19" spans="2:23" x14ac:dyDescent="0.25">
      <c r="B19" s="31" t="s">
        <v>522</v>
      </c>
      <c r="C19" s="165"/>
      <c r="D19" s="165"/>
      <c r="E19" s="165">
        <v>5000</v>
      </c>
      <c r="F19" s="478">
        <f>E19/Units</f>
        <v>16.666666666666668</v>
      </c>
      <c r="G19" s="478">
        <f>E19/Units_SF_M2</f>
        <v>1.984126984126984E-2</v>
      </c>
      <c r="I19" s="44" t="str">
        <f t="shared" si="0"/>
        <v>General cleaning</v>
      </c>
      <c r="J19" s="165"/>
      <c r="K19" s="165"/>
      <c r="L19" s="165">
        <v>25000</v>
      </c>
      <c r="M19" s="478">
        <f>L19/Units</f>
        <v>83.333333333333329</v>
      </c>
      <c r="N19" s="478">
        <f>L19/Units_SF_M2</f>
        <v>9.9206349206349201E-2</v>
      </c>
      <c r="P19" s="519"/>
      <c r="Q19" s="164"/>
      <c r="R19" s="164"/>
      <c r="S19" s="164"/>
      <c r="T19" s="164"/>
      <c r="U19" s="164"/>
      <c r="V19" s="479"/>
      <c r="W19" s="479"/>
    </row>
    <row r="20" spans="2:23" x14ac:dyDescent="0.25">
      <c r="B20" s="31" t="s">
        <v>521</v>
      </c>
      <c r="C20" s="165"/>
      <c r="D20" s="165"/>
      <c r="E20" s="165">
        <v>5000</v>
      </c>
      <c r="F20" s="478">
        <f>E20/Units</f>
        <v>16.666666666666668</v>
      </c>
      <c r="G20" s="478">
        <f>E20/Units_SF_M2</f>
        <v>1.984126984126984E-2</v>
      </c>
      <c r="I20" s="44" t="str">
        <f t="shared" si="0"/>
        <v>Cleaning supplies</v>
      </c>
      <c r="J20" s="165"/>
      <c r="K20" s="165"/>
      <c r="L20" s="165">
        <v>25000</v>
      </c>
      <c r="M20" s="478">
        <f>L20/Units</f>
        <v>83.333333333333329</v>
      </c>
      <c r="N20" s="478">
        <f>L20/Units_SF_M2</f>
        <v>9.9206349206349201E-2</v>
      </c>
      <c r="P20" s="520" t="str">
        <f>UPPER(Underwriting!B136)</f>
        <v>REPAIRS AND MAINTENANCE</v>
      </c>
      <c r="Q20" s="165">
        <f>350*Units</f>
        <v>105000</v>
      </c>
      <c r="R20" s="165">
        <f>350*Units</f>
        <v>105000</v>
      </c>
      <c r="S20" s="165">
        <f>350*Units</f>
        <v>105000</v>
      </c>
      <c r="T20" s="165">
        <f>350*Units</f>
        <v>105000</v>
      </c>
      <c r="U20" s="165">
        <f>350*Units</f>
        <v>105000</v>
      </c>
      <c r="V20" s="479">
        <f>Underwriting!J136</f>
        <v>105000</v>
      </c>
      <c r="W20" s="479">
        <f>Underwriting!K136</f>
        <v>105000</v>
      </c>
    </row>
    <row r="21" spans="2:23" x14ac:dyDescent="0.25">
      <c r="B21" s="31" t="s">
        <v>520</v>
      </c>
      <c r="C21" s="165"/>
      <c r="D21" s="165"/>
      <c r="E21" s="165">
        <v>5000</v>
      </c>
      <c r="F21" s="478">
        <f>E21/Units</f>
        <v>16.666666666666668</v>
      </c>
      <c r="G21" s="478">
        <f>E21/Units_SF_M2</f>
        <v>1.984126984126984E-2</v>
      </c>
      <c r="I21" s="44" t="str">
        <f t="shared" si="0"/>
        <v>General repair</v>
      </c>
      <c r="J21" s="165"/>
      <c r="K21" s="165"/>
      <c r="L21" s="165">
        <v>25000</v>
      </c>
      <c r="M21" s="478">
        <f>L21/Units</f>
        <v>83.333333333333329</v>
      </c>
      <c r="N21" s="478">
        <f>L21/Units_SF_M2</f>
        <v>9.9206349206349201E-2</v>
      </c>
      <c r="P21" s="520" t="str">
        <f>UPPER(Underwriting!B137)</f>
        <v>PAYROLL</v>
      </c>
      <c r="Q21" s="165">
        <f>1200*Units</f>
        <v>360000</v>
      </c>
      <c r="R21" s="165">
        <f>1200*Units</f>
        <v>360000</v>
      </c>
      <c r="S21" s="165">
        <f>1200*Units</f>
        <v>360000</v>
      </c>
      <c r="T21" s="165">
        <f>1200*Units</f>
        <v>360000</v>
      </c>
      <c r="U21" s="165">
        <f>1200*Units</f>
        <v>360000</v>
      </c>
      <c r="V21" s="479">
        <f>Underwriting!J137</f>
        <v>330000</v>
      </c>
      <c r="W21" s="479">
        <f>Underwriting!K137</f>
        <v>330000</v>
      </c>
    </row>
    <row r="22" spans="2:23" x14ac:dyDescent="0.25">
      <c r="B22" s="31" t="s">
        <v>519</v>
      </c>
      <c r="C22" s="165"/>
      <c r="D22" s="165"/>
      <c r="E22" s="165">
        <v>5000</v>
      </c>
      <c r="F22" s="478">
        <f>E22/Units</f>
        <v>16.666666666666668</v>
      </c>
      <c r="G22" s="478">
        <f>E22/Units_SF_M2</f>
        <v>1.984126984126984E-2</v>
      </c>
      <c r="I22" s="44" t="str">
        <f t="shared" si="0"/>
        <v>Painting</v>
      </c>
      <c r="J22" s="165"/>
      <c r="K22" s="165"/>
      <c r="L22" s="165">
        <v>25000</v>
      </c>
      <c r="M22" s="478">
        <f>L22/Units</f>
        <v>83.333333333333329</v>
      </c>
      <c r="N22" s="478">
        <f>L22/Units_SF_M2</f>
        <v>9.9206349206349201E-2</v>
      </c>
      <c r="P22" s="520" t="str">
        <f>UPPER(Underwriting!B138)</f>
        <v>GENERAL &amp; ADMINISTRATIVE</v>
      </c>
      <c r="Q22" s="165">
        <f>300*Units</f>
        <v>90000</v>
      </c>
      <c r="R22" s="165">
        <f>300*Units</f>
        <v>90000</v>
      </c>
      <c r="S22" s="165">
        <f>300*Units</f>
        <v>90000</v>
      </c>
      <c r="T22" s="165">
        <f>300*Units</f>
        <v>90000</v>
      </c>
      <c r="U22" s="165">
        <f>300*Units</f>
        <v>90000</v>
      </c>
      <c r="V22" s="479">
        <f>Underwriting!J138</f>
        <v>90000</v>
      </c>
      <c r="W22" s="479">
        <f>Underwriting!K138</f>
        <v>90000</v>
      </c>
    </row>
    <row r="23" spans="2:23" ht="15" x14ac:dyDescent="0.35">
      <c r="B23" s="31" t="s">
        <v>457</v>
      </c>
      <c r="C23" s="165"/>
      <c r="D23" s="165"/>
      <c r="E23" s="167">
        <v>5000</v>
      </c>
      <c r="F23" s="481">
        <f>E23/Units</f>
        <v>16.666666666666668</v>
      </c>
      <c r="G23" s="481">
        <f>E23/Units_SF_M2</f>
        <v>1.984126984126984E-2</v>
      </c>
      <c r="I23" s="44" t="str">
        <f t="shared" si="0"/>
        <v>Other</v>
      </c>
      <c r="J23" s="165"/>
      <c r="K23" s="165"/>
      <c r="L23" s="167">
        <v>5000</v>
      </c>
      <c r="M23" s="481">
        <f>L23/Units</f>
        <v>16.666666666666668</v>
      </c>
      <c r="N23" s="481">
        <f>L23/Units_SF_M2</f>
        <v>1.984126984126984E-2</v>
      </c>
      <c r="P23" s="520" t="str">
        <f>UPPER(Underwriting!B139)</f>
        <v>MARKETING</v>
      </c>
      <c r="Q23" s="165">
        <f>250*Units</f>
        <v>75000</v>
      </c>
      <c r="R23" s="165">
        <f>250*Units</f>
        <v>75000</v>
      </c>
      <c r="S23" s="165">
        <f>250*Units</f>
        <v>75000</v>
      </c>
      <c r="T23" s="165">
        <f>250*Units</f>
        <v>75000</v>
      </c>
      <c r="U23" s="165">
        <f>250*Units</f>
        <v>75000</v>
      </c>
      <c r="V23" s="479">
        <f>Underwriting!J139</f>
        <v>75000</v>
      </c>
      <c r="W23" s="479">
        <f>Underwriting!K139</f>
        <v>75000</v>
      </c>
    </row>
    <row r="24" spans="2:23" x14ac:dyDescent="0.25">
      <c r="B24" s="38" t="s">
        <v>537</v>
      </c>
      <c r="C24" s="164"/>
      <c r="D24" s="165"/>
      <c r="E24" s="479">
        <f>SUM(E19:E23)</f>
        <v>25000</v>
      </c>
      <c r="F24" s="478">
        <f>SUM(F19:F23)</f>
        <v>83.333333333333343</v>
      </c>
      <c r="G24" s="478">
        <f>SUM(G19:G23)</f>
        <v>9.9206349206349201E-2</v>
      </c>
      <c r="I24" s="38" t="str">
        <f t="shared" si="0"/>
        <v>Sub-Total R &amp; M-Apartments</v>
      </c>
      <c r="J24" s="164"/>
      <c r="K24" s="165"/>
      <c r="L24" s="479">
        <f>SUM(L19:L23)</f>
        <v>105000</v>
      </c>
      <c r="M24" s="478">
        <f>SUM(M19:M23)</f>
        <v>350</v>
      </c>
      <c r="N24" s="478">
        <f>SUM(N19:N23)</f>
        <v>0.41666666666666663</v>
      </c>
      <c r="P24" s="520" t="str">
        <f>UPPER(Underwriting!B140)</f>
        <v>UTILITIES</v>
      </c>
      <c r="Q24" s="165">
        <f>700*Units</f>
        <v>210000</v>
      </c>
      <c r="R24" s="165">
        <f>700*Units</f>
        <v>210000</v>
      </c>
      <c r="S24" s="165">
        <f>700*Units</f>
        <v>210000</v>
      </c>
      <c r="T24" s="165">
        <f>700*Units</f>
        <v>210000</v>
      </c>
      <c r="U24" s="165">
        <f>700*Units</f>
        <v>210000</v>
      </c>
      <c r="V24" s="479">
        <f>Underwriting!J140</f>
        <v>210000</v>
      </c>
      <c r="W24" s="479">
        <f>Underwriting!K140</f>
        <v>210000</v>
      </c>
    </row>
    <row r="25" spans="2:23" x14ac:dyDescent="0.25">
      <c r="B25" s="18" t="s">
        <v>518</v>
      </c>
      <c r="C25" s="484"/>
      <c r="D25" s="484"/>
      <c r="E25" s="495"/>
      <c r="F25" s="484"/>
      <c r="G25" s="483"/>
      <c r="I25" s="38" t="str">
        <f t="shared" si="0"/>
        <v>Landscaping</v>
      </c>
      <c r="J25" s="484"/>
      <c r="K25" s="484"/>
      <c r="L25" s="495"/>
      <c r="M25" s="484"/>
      <c r="N25" s="483"/>
      <c r="P25" s="520" t="str">
        <f>UPPER(Underwriting!B141)</f>
        <v>CONTRACT SERVICES</v>
      </c>
      <c r="Q25" s="165">
        <f>250*Units</f>
        <v>75000</v>
      </c>
      <c r="R25" s="165">
        <f>250*Units</f>
        <v>75000</v>
      </c>
      <c r="S25" s="165">
        <f>250*Units</f>
        <v>75000</v>
      </c>
      <c r="T25" s="165">
        <f>250*Units</f>
        <v>75000</v>
      </c>
      <c r="U25" s="165">
        <f>250*Units</f>
        <v>75000</v>
      </c>
      <c r="V25" s="479">
        <f>Underwriting!J141</f>
        <v>75000</v>
      </c>
      <c r="W25" s="479">
        <f>Underwriting!K141</f>
        <v>75000</v>
      </c>
    </row>
    <row r="26" spans="2:23" x14ac:dyDescent="0.25">
      <c r="B26" s="31" t="s">
        <v>517</v>
      </c>
      <c r="C26" s="165"/>
      <c r="D26" s="165"/>
      <c r="E26" s="165">
        <v>5000</v>
      </c>
      <c r="F26" s="478">
        <f>E26/Units</f>
        <v>16.666666666666668</v>
      </c>
      <c r="G26" s="478">
        <f>E26/Units_SF_M2</f>
        <v>1.984126984126984E-2</v>
      </c>
      <c r="I26" s="44" t="str">
        <f t="shared" si="0"/>
        <v>Landscaping maintenance</v>
      </c>
      <c r="J26" s="165"/>
      <c r="K26" s="165"/>
      <c r="L26" s="165">
        <v>25000</v>
      </c>
      <c r="M26" s="478">
        <f>L26/Units</f>
        <v>83.333333333333329</v>
      </c>
      <c r="N26" s="478">
        <f>L26/Units_SF_M2</f>
        <v>9.9206349206349201E-2</v>
      </c>
      <c r="P26" s="520" t="str">
        <f>UPPER(Underwriting!B142)</f>
        <v>MAKE READY COST</v>
      </c>
      <c r="Q26" s="165">
        <f>200*Units</f>
        <v>60000</v>
      </c>
      <c r="R26" s="165">
        <f>200*Units</f>
        <v>60000</v>
      </c>
      <c r="S26" s="165">
        <f>200*Units</f>
        <v>60000</v>
      </c>
      <c r="T26" s="165">
        <f>200*Units</f>
        <v>60000</v>
      </c>
      <c r="U26" s="165">
        <f>200*Units</f>
        <v>60000</v>
      </c>
      <c r="V26" s="479">
        <f>Underwriting!J142</f>
        <v>60000</v>
      </c>
      <c r="W26" s="479">
        <f>Underwriting!K142</f>
        <v>60000</v>
      </c>
    </row>
    <row r="27" spans="2:23" x14ac:dyDescent="0.25">
      <c r="B27" s="31" t="s">
        <v>516</v>
      </c>
      <c r="C27" s="165"/>
      <c r="D27" s="165"/>
      <c r="E27" s="165">
        <v>5000</v>
      </c>
      <c r="F27" s="478">
        <f>E27/Units</f>
        <v>16.666666666666668</v>
      </c>
      <c r="G27" s="478">
        <f>E27/Units_SF_M2</f>
        <v>1.984126984126984E-2</v>
      </c>
      <c r="I27" s="44" t="str">
        <f t="shared" si="0"/>
        <v>Landscaping materials</v>
      </c>
      <c r="J27" s="165"/>
      <c r="K27" s="165"/>
      <c r="L27" s="165">
        <v>25000</v>
      </c>
      <c r="M27" s="478">
        <f>L27/Units</f>
        <v>83.333333333333329</v>
      </c>
      <c r="N27" s="478">
        <f>L27/Units_SF_M2</f>
        <v>9.9206349206349201E-2</v>
      </c>
      <c r="P27" s="520" t="str">
        <f>UPPER(Underwriting!B143)</f>
        <v>MANAGEMENT FEE</v>
      </c>
      <c r="Q27" s="165">
        <f t="shared" ref="Q27:U27" si="7">Q18*0.03</f>
        <v>158504.022</v>
      </c>
      <c r="R27" s="165">
        <f t="shared" si="7"/>
        <v>158504.022</v>
      </c>
      <c r="S27" s="165">
        <f t="shared" si="7"/>
        <v>158504.022</v>
      </c>
      <c r="T27" s="165">
        <f t="shared" si="7"/>
        <v>158504.022</v>
      </c>
      <c r="U27" s="165">
        <f t="shared" si="7"/>
        <v>158504.022</v>
      </c>
      <c r="V27" s="479">
        <f>Underwriting!J143</f>
        <v>150851.1207046154</v>
      </c>
      <c r="W27" s="479">
        <f>Underwriting!K143</f>
        <v>193252.93055999998</v>
      </c>
    </row>
    <row r="28" spans="2:23" x14ac:dyDescent="0.25">
      <c r="B28" s="31" t="s">
        <v>515</v>
      </c>
      <c r="C28" s="165"/>
      <c r="D28" s="165"/>
      <c r="E28" s="165">
        <v>5000</v>
      </c>
      <c r="F28" s="478">
        <f>E28/Units</f>
        <v>16.666666666666668</v>
      </c>
      <c r="G28" s="478">
        <f>E28/Units_SF_M2</f>
        <v>1.984126984126984E-2</v>
      </c>
      <c r="I28" s="44" t="str">
        <f t="shared" si="0"/>
        <v>Pool maintenance</v>
      </c>
      <c r="J28" s="165"/>
      <c r="K28" s="165"/>
      <c r="L28" s="165">
        <v>25000</v>
      </c>
      <c r="M28" s="478">
        <f>L28/Units</f>
        <v>83.333333333333329</v>
      </c>
      <c r="N28" s="478">
        <f>L28/Units_SF_M2</f>
        <v>9.9206349206349201E-2</v>
      </c>
      <c r="P28" s="520" t="str">
        <f>UPPER(Underwriting!B144)</f>
        <v>INSURANCE</v>
      </c>
      <c r="Q28" s="165">
        <f>225*Units</f>
        <v>67500</v>
      </c>
      <c r="R28" s="165">
        <f>225*Units</f>
        <v>67500</v>
      </c>
      <c r="S28" s="165">
        <f>225*Units</f>
        <v>67500</v>
      </c>
      <c r="T28" s="165">
        <f>225*Units</f>
        <v>67500</v>
      </c>
      <c r="U28" s="165">
        <f>225*Units</f>
        <v>67500</v>
      </c>
      <c r="V28" s="479">
        <f>Underwriting!J144</f>
        <v>82500</v>
      </c>
      <c r="W28" s="479">
        <f>Underwriting!K144</f>
        <v>82500</v>
      </c>
    </row>
    <row r="29" spans="2:23" ht="15" x14ac:dyDescent="0.35">
      <c r="B29" s="31" t="s">
        <v>514</v>
      </c>
      <c r="C29" s="165"/>
      <c r="D29" s="165"/>
      <c r="E29" s="165">
        <v>5000</v>
      </c>
      <c r="F29" s="478">
        <f>E29/Units</f>
        <v>16.666666666666668</v>
      </c>
      <c r="G29" s="478">
        <f>E29/Units_SF_M2</f>
        <v>1.984126984126984E-2</v>
      </c>
      <c r="I29" s="44" t="str">
        <f t="shared" si="0"/>
        <v>Exterminating</v>
      </c>
      <c r="J29" s="165"/>
      <c r="K29" s="165"/>
      <c r="L29" s="165">
        <v>25000</v>
      </c>
      <c r="M29" s="478">
        <f>L29/Units</f>
        <v>83.333333333333329</v>
      </c>
      <c r="N29" s="478">
        <f>L29/Units_SF_M2</f>
        <v>9.9206349206349201E-2</v>
      </c>
      <c r="P29" s="520" t="str">
        <f>UPPER(Underwriting!B145)</f>
        <v>PROPERTY TAXES</v>
      </c>
      <c r="Q29" s="167">
        <f>1200*Units</f>
        <v>360000</v>
      </c>
      <c r="R29" s="167">
        <f>1200*Units</f>
        <v>360000</v>
      </c>
      <c r="S29" s="167">
        <f>1200*Units</f>
        <v>360000</v>
      </c>
      <c r="T29" s="167">
        <f>1200*Units</f>
        <v>360000</v>
      </c>
      <c r="U29" s="167">
        <f>1200*Units</f>
        <v>360000</v>
      </c>
      <c r="V29" s="482">
        <f>Underwriting!J145</f>
        <v>540000</v>
      </c>
      <c r="W29" s="482">
        <f>Underwriting!K145</f>
        <v>720000</v>
      </c>
    </row>
    <row r="30" spans="2:23" ht="15" x14ac:dyDescent="0.35">
      <c r="B30" s="31" t="s">
        <v>457</v>
      </c>
      <c r="C30" s="165"/>
      <c r="D30" s="165"/>
      <c r="E30" s="167">
        <v>5000</v>
      </c>
      <c r="F30" s="481">
        <f>E30/Units</f>
        <v>16.666666666666668</v>
      </c>
      <c r="G30" s="481">
        <f>E30/Units_SF_M2</f>
        <v>1.984126984126984E-2</v>
      </c>
      <c r="I30" s="44" t="str">
        <f t="shared" si="0"/>
        <v>Other</v>
      </c>
      <c r="J30" s="165"/>
      <c r="K30" s="165"/>
      <c r="L30" s="167">
        <v>5000</v>
      </c>
      <c r="M30" s="481">
        <f>L30/Units</f>
        <v>16.666666666666668</v>
      </c>
      <c r="N30" s="481">
        <f>L30/Units_SF_M2</f>
        <v>1.984126984126984E-2</v>
      </c>
      <c r="P30" s="162" t="str">
        <f>UPPER(Underwriting!B146)</f>
        <v>TOTAL OPERATING EXPENSES</v>
      </c>
      <c r="Q30" s="164">
        <f>SUM(Q20:Q29)</f>
        <v>1561004.0219999999</v>
      </c>
      <c r="R30" s="164">
        <f t="shared" ref="R30:W30" si="8">SUM(R20:R29)</f>
        <v>1561004.0219999999</v>
      </c>
      <c r="S30" s="164">
        <f t="shared" si="8"/>
        <v>1561004.0219999999</v>
      </c>
      <c r="T30" s="164">
        <f t="shared" si="8"/>
        <v>1561004.0219999999</v>
      </c>
      <c r="U30" s="164">
        <f t="shared" si="8"/>
        <v>1561004.0219999999</v>
      </c>
      <c r="V30" s="479">
        <f t="shared" si="8"/>
        <v>1718351.1207046155</v>
      </c>
      <c r="W30" s="479">
        <f t="shared" si="8"/>
        <v>1940752.93056</v>
      </c>
    </row>
    <row r="31" spans="2:23" x14ac:dyDescent="0.25">
      <c r="B31" s="38" t="s">
        <v>538</v>
      </c>
      <c r="C31" s="164"/>
      <c r="D31" s="165"/>
      <c r="E31" s="479">
        <f>SUM(E26:E30)</f>
        <v>25000</v>
      </c>
      <c r="F31" s="478">
        <f>SUM(F26:F30)</f>
        <v>83.333333333333343</v>
      </c>
      <c r="G31" s="478">
        <f>SUM(G26:G30)</f>
        <v>9.9206349206349201E-2</v>
      </c>
      <c r="I31" s="38" t="str">
        <f t="shared" si="0"/>
        <v>Sub-Total Landscaping</v>
      </c>
      <c r="J31" s="164"/>
      <c r="K31" s="165"/>
      <c r="L31" s="479">
        <f>SUM(L26:L30)</f>
        <v>105000</v>
      </c>
      <c r="M31" s="478">
        <f>SUM(M26:M30)</f>
        <v>350</v>
      </c>
      <c r="N31" s="478">
        <f>SUM(N26:N30)</f>
        <v>0.41666666666666663</v>
      </c>
      <c r="P31" s="519"/>
      <c r="Q31" s="164"/>
      <c r="R31" s="164"/>
      <c r="S31" s="164"/>
      <c r="T31" s="164"/>
      <c r="U31" s="164"/>
      <c r="V31" s="479"/>
      <c r="W31" s="479"/>
    </row>
    <row r="32" spans="2:23" ht="5.0999999999999996" customHeight="1" x14ac:dyDescent="0.35">
      <c r="B32" s="31"/>
      <c r="C32" s="167"/>
      <c r="D32" s="167"/>
      <c r="E32" s="167"/>
      <c r="F32" s="481"/>
      <c r="G32" s="481"/>
      <c r="I32" s="44"/>
      <c r="J32" s="167"/>
      <c r="K32" s="167"/>
      <c r="L32" s="167"/>
      <c r="M32" s="481"/>
      <c r="N32" s="481"/>
      <c r="P32" s="519"/>
      <c r="Q32" s="164"/>
      <c r="R32" s="164"/>
      <c r="S32" s="164"/>
      <c r="T32" s="164"/>
      <c r="U32" s="164"/>
      <c r="V32" s="479"/>
      <c r="W32" s="479"/>
    </row>
    <row r="33" spans="2:23" x14ac:dyDescent="0.25">
      <c r="B33" s="480" t="s">
        <v>539</v>
      </c>
      <c r="C33" s="164"/>
      <c r="D33" s="165"/>
      <c r="E33" s="479">
        <f>E31+E24+E17</f>
        <v>75000</v>
      </c>
      <c r="F33" s="478">
        <f>F31+F24+F17</f>
        <v>516.66666666666674</v>
      </c>
      <c r="G33" s="478">
        <f>G31+G24+G17</f>
        <v>0.615079365079365</v>
      </c>
      <c r="I33" s="480" t="str">
        <f>+B33</f>
        <v>Total Repairs And Maintenance Cost</v>
      </c>
      <c r="J33" s="164"/>
      <c r="K33" s="165"/>
      <c r="L33" s="479">
        <f>L31+L24+L17</f>
        <v>315000</v>
      </c>
      <c r="M33" s="478">
        <f>M31+M24+M17</f>
        <v>1050</v>
      </c>
      <c r="N33" s="478">
        <f>N31+N24+N17</f>
        <v>1.25</v>
      </c>
      <c r="P33" s="519" t="str">
        <f>UPPER(Underwriting!B148)</f>
        <v>NET OPERATING INCOME</v>
      </c>
      <c r="Q33" s="479">
        <f t="shared" ref="Q33:W33" si="9">+Q18-Q30</f>
        <v>3722463.3780000005</v>
      </c>
      <c r="R33" s="479">
        <f t="shared" si="9"/>
        <v>3722463.3780000005</v>
      </c>
      <c r="S33" s="479">
        <f t="shared" si="9"/>
        <v>3722463.3780000005</v>
      </c>
      <c r="T33" s="479">
        <f t="shared" si="9"/>
        <v>3722463.3780000005</v>
      </c>
      <c r="U33" s="479">
        <f t="shared" si="9"/>
        <v>3722463.3780000005</v>
      </c>
      <c r="V33" s="479">
        <f t="shared" si="9"/>
        <v>3310019.569449231</v>
      </c>
      <c r="W33" s="479">
        <f t="shared" si="9"/>
        <v>4501011.4214399997</v>
      </c>
    </row>
    <row r="34" spans="2:23" ht="15" x14ac:dyDescent="0.35">
      <c r="B34" s="31"/>
      <c r="C34" s="167"/>
      <c r="D34" s="167"/>
      <c r="E34" s="167"/>
      <c r="F34" s="481"/>
      <c r="G34" s="481"/>
      <c r="I34" s="44"/>
      <c r="J34" s="167"/>
      <c r="K34" s="167"/>
      <c r="L34" s="167"/>
      <c r="M34" s="481"/>
      <c r="N34" s="481"/>
    </row>
    <row r="35" spans="2:23" x14ac:dyDescent="0.25">
      <c r="B35" s="28" t="s">
        <v>540</v>
      </c>
      <c r="C35" s="484" t="s">
        <v>513</v>
      </c>
      <c r="D35" s="484" t="s">
        <v>512</v>
      </c>
      <c r="E35" s="484" t="s">
        <v>456</v>
      </c>
      <c r="F35" s="484" t="str">
        <f>F10</f>
        <v>/Unit</v>
      </c>
      <c r="G35" s="483" t="str">
        <f>G10</f>
        <v>/SF</v>
      </c>
      <c r="I35" s="505" t="str">
        <f t="shared" ref="I35:I50" si="10">+B35</f>
        <v>PAYROLL</v>
      </c>
      <c r="J35" s="484" t="s">
        <v>513</v>
      </c>
      <c r="K35" s="484" t="s">
        <v>512</v>
      </c>
      <c r="L35" s="484" t="s">
        <v>456</v>
      </c>
      <c r="M35" s="484" t="str">
        <f>M10</f>
        <v>/Unit</v>
      </c>
      <c r="N35" s="483" t="str">
        <f>N10</f>
        <v>/SF</v>
      </c>
    </row>
    <row r="36" spans="2:23" x14ac:dyDescent="0.25">
      <c r="B36" s="31" t="s">
        <v>511</v>
      </c>
      <c r="C36" s="165">
        <v>1</v>
      </c>
      <c r="D36" s="165">
        <v>70000</v>
      </c>
      <c r="E36" s="164">
        <f t="shared" ref="E36:E46" si="11">D36*C36</f>
        <v>70000</v>
      </c>
      <c r="F36" s="478">
        <f t="shared" ref="F36:F46" si="12">E36/Units</f>
        <v>233.33333333333334</v>
      </c>
      <c r="G36" s="478">
        <f t="shared" ref="G36:G46" si="13">E36/Units_SF_M2</f>
        <v>0.27777777777777779</v>
      </c>
      <c r="I36" s="44" t="str">
        <f t="shared" si="10"/>
        <v>Business manager</v>
      </c>
      <c r="J36" s="165">
        <v>1</v>
      </c>
      <c r="K36" s="165">
        <v>70000</v>
      </c>
      <c r="L36" s="164">
        <f t="shared" ref="L36:L46" si="14">K36*J36</f>
        <v>70000</v>
      </c>
      <c r="M36" s="478">
        <f t="shared" ref="M36:M46" si="15">L36/Units</f>
        <v>233.33333333333334</v>
      </c>
      <c r="N36" s="478">
        <f t="shared" ref="N36:N46" si="16">L36/Units_SF_M2</f>
        <v>0.27777777777777779</v>
      </c>
    </row>
    <row r="37" spans="2:23" x14ac:dyDescent="0.25">
      <c r="B37" s="31" t="s">
        <v>510</v>
      </c>
      <c r="C37" s="165">
        <v>1</v>
      </c>
      <c r="D37" s="165">
        <v>50000</v>
      </c>
      <c r="E37" s="164">
        <f t="shared" si="11"/>
        <v>50000</v>
      </c>
      <c r="F37" s="478">
        <f t="shared" si="12"/>
        <v>166.66666666666666</v>
      </c>
      <c r="G37" s="478">
        <f t="shared" si="13"/>
        <v>0.1984126984126984</v>
      </c>
      <c r="I37" s="44" t="str">
        <f t="shared" si="10"/>
        <v>Assistant manager</v>
      </c>
      <c r="J37" s="165">
        <v>1</v>
      </c>
      <c r="K37" s="165">
        <v>50000</v>
      </c>
      <c r="L37" s="164">
        <f t="shared" si="14"/>
        <v>50000</v>
      </c>
      <c r="M37" s="478">
        <f t="shared" si="15"/>
        <v>166.66666666666666</v>
      </c>
      <c r="N37" s="478">
        <f t="shared" si="16"/>
        <v>0.1984126984126984</v>
      </c>
    </row>
    <row r="38" spans="2:23" x14ac:dyDescent="0.25">
      <c r="B38" s="31" t="s">
        <v>509</v>
      </c>
      <c r="C38" s="165">
        <v>0</v>
      </c>
      <c r="D38" s="165">
        <v>0</v>
      </c>
      <c r="E38" s="164">
        <f t="shared" si="11"/>
        <v>0</v>
      </c>
      <c r="F38" s="478">
        <f t="shared" si="12"/>
        <v>0</v>
      </c>
      <c r="G38" s="478">
        <f t="shared" si="13"/>
        <v>0</v>
      </c>
      <c r="I38" s="44" t="str">
        <f t="shared" si="10"/>
        <v>Leasing director</v>
      </c>
      <c r="J38" s="165">
        <v>0</v>
      </c>
      <c r="K38" s="165">
        <v>0</v>
      </c>
      <c r="L38" s="164">
        <f t="shared" si="14"/>
        <v>0</v>
      </c>
      <c r="M38" s="478">
        <f t="shared" si="15"/>
        <v>0</v>
      </c>
      <c r="N38" s="478">
        <f t="shared" si="16"/>
        <v>0</v>
      </c>
    </row>
    <row r="39" spans="2:23" x14ac:dyDescent="0.25">
      <c r="B39" s="31" t="s">
        <v>508</v>
      </c>
      <c r="C39" s="165">
        <v>2</v>
      </c>
      <c r="D39" s="165">
        <v>37500</v>
      </c>
      <c r="E39" s="164">
        <f t="shared" si="11"/>
        <v>75000</v>
      </c>
      <c r="F39" s="478">
        <f t="shared" si="12"/>
        <v>250</v>
      </c>
      <c r="G39" s="478">
        <f t="shared" si="13"/>
        <v>0.29761904761904762</v>
      </c>
      <c r="I39" s="44" t="str">
        <f t="shared" si="10"/>
        <v>Leasing agent</v>
      </c>
      <c r="J39" s="165">
        <v>2</v>
      </c>
      <c r="K39" s="165">
        <v>37500</v>
      </c>
      <c r="L39" s="164">
        <f t="shared" si="14"/>
        <v>75000</v>
      </c>
      <c r="M39" s="478">
        <f t="shared" si="15"/>
        <v>250</v>
      </c>
      <c r="N39" s="478">
        <f t="shared" si="16"/>
        <v>0.29761904761904762</v>
      </c>
    </row>
    <row r="40" spans="2:23" x14ac:dyDescent="0.25">
      <c r="B40" s="31" t="s">
        <v>507</v>
      </c>
      <c r="C40" s="165">
        <v>0</v>
      </c>
      <c r="D40" s="165">
        <v>0</v>
      </c>
      <c r="E40" s="164">
        <f t="shared" si="11"/>
        <v>0</v>
      </c>
      <c r="F40" s="478">
        <f t="shared" si="12"/>
        <v>0</v>
      </c>
      <c r="G40" s="478">
        <f t="shared" si="13"/>
        <v>0</v>
      </c>
      <c r="I40" s="44" t="str">
        <f t="shared" si="10"/>
        <v>Concierge</v>
      </c>
      <c r="J40" s="165">
        <v>0</v>
      </c>
      <c r="K40" s="165">
        <v>0</v>
      </c>
      <c r="L40" s="164">
        <f t="shared" si="14"/>
        <v>0</v>
      </c>
      <c r="M40" s="478">
        <f t="shared" si="15"/>
        <v>0</v>
      </c>
      <c r="N40" s="478">
        <f t="shared" si="16"/>
        <v>0</v>
      </c>
    </row>
    <row r="41" spans="2:23" x14ac:dyDescent="0.25">
      <c r="B41" s="31" t="s">
        <v>506</v>
      </c>
      <c r="C41" s="165">
        <v>1</v>
      </c>
      <c r="D41" s="165">
        <v>40000</v>
      </c>
      <c r="E41" s="164">
        <f t="shared" si="11"/>
        <v>40000</v>
      </c>
      <c r="F41" s="478">
        <f t="shared" si="12"/>
        <v>133.33333333333334</v>
      </c>
      <c r="G41" s="478">
        <f t="shared" si="13"/>
        <v>0.15873015873015872</v>
      </c>
      <c r="I41" s="44" t="str">
        <f t="shared" si="10"/>
        <v>Maintenance supervisor</v>
      </c>
      <c r="J41" s="165">
        <v>1</v>
      </c>
      <c r="K41" s="165">
        <v>40000</v>
      </c>
      <c r="L41" s="164">
        <f t="shared" si="14"/>
        <v>40000</v>
      </c>
      <c r="M41" s="478">
        <f t="shared" si="15"/>
        <v>133.33333333333334</v>
      </c>
      <c r="N41" s="478">
        <f t="shared" si="16"/>
        <v>0.15873015873015872</v>
      </c>
    </row>
    <row r="42" spans="2:23" x14ac:dyDescent="0.25">
      <c r="B42" s="31" t="s">
        <v>505</v>
      </c>
      <c r="C42" s="165">
        <v>1</v>
      </c>
      <c r="D42" s="165">
        <v>32000</v>
      </c>
      <c r="E42" s="164">
        <f t="shared" si="11"/>
        <v>32000</v>
      </c>
      <c r="F42" s="478">
        <f t="shared" si="12"/>
        <v>106.66666666666667</v>
      </c>
      <c r="G42" s="478">
        <f t="shared" si="13"/>
        <v>0.12698412698412698</v>
      </c>
      <c r="I42" s="44" t="str">
        <f t="shared" si="10"/>
        <v>Asst. maint. Technician</v>
      </c>
      <c r="J42" s="165">
        <v>1</v>
      </c>
      <c r="K42" s="165">
        <v>32000</v>
      </c>
      <c r="L42" s="164">
        <f t="shared" si="14"/>
        <v>32000</v>
      </c>
      <c r="M42" s="478">
        <f t="shared" si="15"/>
        <v>106.66666666666667</v>
      </c>
      <c r="N42" s="478">
        <f t="shared" si="16"/>
        <v>0.12698412698412698</v>
      </c>
    </row>
    <row r="43" spans="2:23" x14ac:dyDescent="0.25">
      <c r="B43" s="31" t="s">
        <v>504</v>
      </c>
      <c r="C43" s="165">
        <v>0</v>
      </c>
      <c r="D43" s="165">
        <v>0</v>
      </c>
      <c r="E43" s="164">
        <f t="shared" si="11"/>
        <v>0</v>
      </c>
      <c r="F43" s="478">
        <f t="shared" si="12"/>
        <v>0</v>
      </c>
      <c r="G43" s="478">
        <f t="shared" si="13"/>
        <v>0</v>
      </c>
      <c r="I43" s="44" t="str">
        <f t="shared" si="10"/>
        <v>Painter</v>
      </c>
      <c r="J43" s="165">
        <v>0</v>
      </c>
      <c r="K43" s="165">
        <v>0</v>
      </c>
      <c r="L43" s="164">
        <f t="shared" si="14"/>
        <v>0</v>
      </c>
      <c r="M43" s="478">
        <f t="shared" si="15"/>
        <v>0</v>
      </c>
      <c r="N43" s="478">
        <f t="shared" si="16"/>
        <v>0</v>
      </c>
    </row>
    <row r="44" spans="2:23" x14ac:dyDescent="0.25">
      <c r="B44" s="31" t="s">
        <v>503</v>
      </c>
      <c r="C44" s="165">
        <v>1</v>
      </c>
      <c r="D44" s="165">
        <v>30000</v>
      </c>
      <c r="E44" s="164">
        <f t="shared" si="11"/>
        <v>30000</v>
      </c>
      <c r="F44" s="478">
        <f t="shared" si="12"/>
        <v>100</v>
      </c>
      <c r="G44" s="478">
        <f t="shared" si="13"/>
        <v>0.11904761904761904</v>
      </c>
      <c r="I44" s="44" t="str">
        <f t="shared" si="10"/>
        <v>Porter</v>
      </c>
      <c r="J44" s="165">
        <v>1</v>
      </c>
      <c r="K44" s="165">
        <v>30000</v>
      </c>
      <c r="L44" s="164">
        <f t="shared" si="14"/>
        <v>30000</v>
      </c>
      <c r="M44" s="478">
        <f t="shared" si="15"/>
        <v>100</v>
      </c>
      <c r="N44" s="478">
        <f t="shared" si="16"/>
        <v>0.11904761904761904</v>
      </c>
    </row>
    <row r="45" spans="2:23" x14ac:dyDescent="0.25">
      <c r="B45" s="31" t="s">
        <v>502</v>
      </c>
      <c r="C45" s="165">
        <v>0</v>
      </c>
      <c r="D45" s="165">
        <v>0</v>
      </c>
      <c r="E45" s="164">
        <f t="shared" si="11"/>
        <v>0</v>
      </c>
      <c r="F45" s="478">
        <f t="shared" si="12"/>
        <v>0</v>
      </c>
      <c r="G45" s="478">
        <f t="shared" si="13"/>
        <v>0</v>
      </c>
      <c r="I45" s="44" t="str">
        <f t="shared" si="10"/>
        <v>Housekeeper</v>
      </c>
      <c r="J45" s="165">
        <v>0</v>
      </c>
      <c r="K45" s="165">
        <v>0</v>
      </c>
      <c r="L45" s="164">
        <f t="shared" si="14"/>
        <v>0</v>
      </c>
      <c r="M45" s="478">
        <f t="shared" si="15"/>
        <v>0</v>
      </c>
      <c r="N45" s="478">
        <f t="shared" si="16"/>
        <v>0</v>
      </c>
    </row>
    <row r="46" spans="2:23" ht="15" x14ac:dyDescent="0.35">
      <c r="B46" s="31" t="s">
        <v>457</v>
      </c>
      <c r="C46" s="167">
        <v>0</v>
      </c>
      <c r="D46" s="167">
        <v>0</v>
      </c>
      <c r="E46" s="166">
        <f t="shared" si="11"/>
        <v>0</v>
      </c>
      <c r="F46" s="481">
        <f t="shared" si="12"/>
        <v>0</v>
      </c>
      <c r="G46" s="481">
        <f t="shared" si="13"/>
        <v>0</v>
      </c>
      <c r="I46" s="44" t="str">
        <f t="shared" si="10"/>
        <v>Other</v>
      </c>
      <c r="J46" s="167">
        <v>0</v>
      </c>
      <c r="K46" s="167">
        <v>0</v>
      </c>
      <c r="L46" s="166">
        <f t="shared" si="14"/>
        <v>0</v>
      </c>
      <c r="M46" s="481">
        <f t="shared" si="15"/>
        <v>0</v>
      </c>
      <c r="N46" s="481">
        <f t="shared" si="16"/>
        <v>0</v>
      </c>
    </row>
    <row r="47" spans="2:23" x14ac:dyDescent="0.25">
      <c r="B47" s="38" t="s">
        <v>501</v>
      </c>
      <c r="C47" s="164">
        <f>SUM(C36:C46)</f>
        <v>7</v>
      </c>
      <c r="D47" s="165">
        <f>SUM(D36:D46)</f>
        <v>259500</v>
      </c>
      <c r="E47" s="479">
        <f>SUM(E36:E46)</f>
        <v>297000</v>
      </c>
      <c r="F47" s="478">
        <f>SUM(F36:F46)</f>
        <v>990</v>
      </c>
      <c r="G47" s="478">
        <f>SUM(G36:G46)</f>
        <v>1.1785714285714284</v>
      </c>
      <c r="I47" s="38" t="str">
        <f t="shared" si="10"/>
        <v>Sub-total</v>
      </c>
      <c r="J47" s="164">
        <f>SUM(J36:J46)</f>
        <v>7</v>
      </c>
      <c r="K47" s="165">
        <f>SUM(K36:K46)</f>
        <v>259500</v>
      </c>
      <c r="L47" s="479">
        <f>SUM(L36:L46)</f>
        <v>297000</v>
      </c>
      <c r="M47" s="478">
        <f>SUM(M36:M46)</f>
        <v>990</v>
      </c>
      <c r="N47" s="478">
        <f>SUM(N36:N46)</f>
        <v>1.1785714285714284</v>
      </c>
    </row>
    <row r="48" spans="2:23" x14ac:dyDescent="0.25">
      <c r="B48" s="44" t="s">
        <v>500</v>
      </c>
      <c r="C48" s="493">
        <v>0.3</v>
      </c>
      <c r="D48" s="165"/>
      <c r="E48" s="479">
        <f>C48*E47</f>
        <v>89100</v>
      </c>
      <c r="F48" s="478">
        <f>E48/Units</f>
        <v>297</v>
      </c>
      <c r="G48" s="478">
        <f>E48/Units_SF_M2</f>
        <v>0.35357142857142859</v>
      </c>
      <c r="I48" s="44" t="str">
        <f t="shared" si="10"/>
        <v>Benefits, taxes, etc.</v>
      </c>
      <c r="J48" s="493">
        <v>0.3</v>
      </c>
      <c r="K48" s="165"/>
      <c r="L48" s="479">
        <f>J48*L47</f>
        <v>89100</v>
      </c>
      <c r="M48" s="478">
        <f>L48/Units</f>
        <v>297</v>
      </c>
      <c r="N48" s="478">
        <f>L48/Units_SF_M2</f>
        <v>0.35357142857142859</v>
      </c>
    </row>
    <row r="49" spans="2:14" ht="15" x14ac:dyDescent="0.35">
      <c r="B49" s="44" t="s">
        <v>499</v>
      </c>
      <c r="C49" s="493">
        <v>0.3</v>
      </c>
      <c r="D49" s="165">
        <v>100</v>
      </c>
      <c r="E49" s="482">
        <f>D49*C49*Units</f>
        <v>9000</v>
      </c>
      <c r="F49" s="481">
        <f>E49/Units</f>
        <v>30</v>
      </c>
      <c r="G49" s="481">
        <f>E49/Units_SF_M2</f>
        <v>3.5714285714285712E-2</v>
      </c>
      <c r="I49" s="44" t="str">
        <f t="shared" si="10"/>
        <v>Bonuses</v>
      </c>
      <c r="J49" s="493">
        <v>0.3</v>
      </c>
      <c r="K49" s="165">
        <v>100</v>
      </c>
      <c r="L49" s="482">
        <f>K49*J49*Units</f>
        <v>9000</v>
      </c>
      <c r="M49" s="481">
        <f>L49/Units</f>
        <v>30</v>
      </c>
      <c r="N49" s="481">
        <f>L49/Units_SF_M2</f>
        <v>3.5714285714285712E-2</v>
      </c>
    </row>
    <row r="50" spans="2:14" x14ac:dyDescent="0.25">
      <c r="B50" s="480" t="s">
        <v>541</v>
      </c>
      <c r="C50" s="161"/>
      <c r="D50" s="488"/>
      <c r="E50" s="479">
        <f>SUM(E47:E49)</f>
        <v>395100</v>
      </c>
      <c r="F50" s="478">
        <f>SUM(F47:F49)</f>
        <v>1317</v>
      </c>
      <c r="G50" s="478">
        <f>SUM(G47:G49)</f>
        <v>1.5678571428571428</v>
      </c>
      <c r="I50" s="480" t="str">
        <f t="shared" si="10"/>
        <v>Total Payroll Cost</v>
      </c>
      <c r="J50" s="161"/>
      <c r="K50" s="488"/>
      <c r="L50" s="479">
        <f>SUM(L47:L49)</f>
        <v>395100</v>
      </c>
      <c r="M50" s="478">
        <f>SUM(M47:M49)</f>
        <v>1317</v>
      </c>
      <c r="N50" s="478">
        <f>SUM(N47:N49)</f>
        <v>1.5678571428571428</v>
      </c>
    </row>
    <row r="51" spans="2:14" x14ac:dyDescent="0.25">
      <c r="B51" s="31"/>
      <c r="C51" s="161"/>
      <c r="D51" s="488"/>
      <c r="E51" s="487"/>
      <c r="F51" s="164"/>
      <c r="G51" s="165"/>
      <c r="I51" s="44"/>
      <c r="J51" s="161"/>
      <c r="K51" s="488"/>
      <c r="L51" s="487"/>
      <c r="M51" s="164"/>
      <c r="N51" s="165"/>
    </row>
    <row r="52" spans="2:14" x14ac:dyDescent="0.25">
      <c r="B52" s="28" t="s">
        <v>542</v>
      </c>
      <c r="C52" s="484"/>
      <c r="D52" s="484"/>
      <c r="E52" s="484" t="s">
        <v>456</v>
      </c>
      <c r="F52" s="484" t="str">
        <f>F35</f>
        <v>/Unit</v>
      </c>
      <c r="G52" s="483" t="str">
        <f>G35</f>
        <v>/SF</v>
      </c>
      <c r="I52" s="505" t="str">
        <f t="shared" ref="I52:I64" si="17">+B52</f>
        <v>GENERAL &amp; ADMINISTRATIVE</v>
      </c>
      <c r="J52" s="484"/>
      <c r="K52" s="484"/>
      <c r="L52" s="484" t="s">
        <v>456</v>
      </c>
      <c r="M52" s="484" t="str">
        <f>M35</f>
        <v>/Unit</v>
      </c>
      <c r="N52" s="483" t="str">
        <f>N35</f>
        <v>/SF</v>
      </c>
    </row>
    <row r="53" spans="2:14" x14ac:dyDescent="0.25">
      <c r="B53" s="31" t="s">
        <v>498</v>
      </c>
      <c r="C53" s="165"/>
      <c r="D53" s="165"/>
      <c r="E53" s="165">
        <v>10000</v>
      </c>
      <c r="F53" s="478">
        <f t="shared" ref="F53:F63" si="18">E53/Units</f>
        <v>33.333333333333336</v>
      </c>
      <c r="G53" s="478">
        <f t="shared" ref="G53:G63" si="19">E53/Units_SF_M2</f>
        <v>3.968253968253968E-2</v>
      </c>
      <c r="I53" s="44" t="str">
        <f t="shared" si="17"/>
        <v>Office supplies</v>
      </c>
      <c r="J53" s="165"/>
      <c r="K53" s="165"/>
      <c r="L53" s="165">
        <v>10000</v>
      </c>
      <c r="M53" s="478">
        <f t="shared" ref="M53:M63" si="20">L53/Units</f>
        <v>33.333333333333336</v>
      </c>
      <c r="N53" s="478">
        <f t="shared" ref="N53:N63" si="21">L53/Units_SF_M2</f>
        <v>3.968253968253968E-2</v>
      </c>
    </row>
    <row r="54" spans="2:14" x14ac:dyDescent="0.25">
      <c r="B54" s="31" t="s">
        <v>497</v>
      </c>
      <c r="C54" s="165"/>
      <c r="D54" s="165"/>
      <c r="E54" s="165">
        <v>25000</v>
      </c>
      <c r="F54" s="478">
        <f t="shared" si="18"/>
        <v>83.333333333333329</v>
      </c>
      <c r="G54" s="478">
        <f t="shared" si="19"/>
        <v>9.9206349206349201E-2</v>
      </c>
      <c r="I54" s="44" t="str">
        <f t="shared" si="17"/>
        <v>Telephone</v>
      </c>
      <c r="J54" s="165"/>
      <c r="K54" s="165"/>
      <c r="L54" s="165">
        <v>25000</v>
      </c>
      <c r="M54" s="478">
        <f t="shared" si="20"/>
        <v>83.333333333333329</v>
      </c>
      <c r="N54" s="478">
        <f t="shared" si="21"/>
        <v>9.9206349206349201E-2</v>
      </c>
    </row>
    <row r="55" spans="2:14" x14ac:dyDescent="0.25">
      <c r="B55" s="31" t="s">
        <v>496</v>
      </c>
      <c r="C55" s="165"/>
      <c r="D55" s="165"/>
      <c r="E55" s="165">
        <v>25000</v>
      </c>
      <c r="F55" s="478">
        <f t="shared" si="18"/>
        <v>83.333333333333329</v>
      </c>
      <c r="G55" s="478">
        <f t="shared" si="19"/>
        <v>9.9206349206349201E-2</v>
      </c>
      <c r="I55" s="44" t="str">
        <f t="shared" si="17"/>
        <v>Computers</v>
      </c>
      <c r="J55" s="165"/>
      <c r="K55" s="165"/>
      <c r="L55" s="165">
        <v>25000</v>
      </c>
      <c r="M55" s="478">
        <f t="shared" si="20"/>
        <v>83.333333333333329</v>
      </c>
      <c r="N55" s="478">
        <f t="shared" si="21"/>
        <v>9.9206349206349201E-2</v>
      </c>
    </row>
    <row r="56" spans="2:14" x14ac:dyDescent="0.25">
      <c r="B56" s="31" t="s">
        <v>495</v>
      </c>
      <c r="C56" s="165"/>
      <c r="D56" s="165"/>
      <c r="E56" s="165">
        <v>25000</v>
      </c>
      <c r="F56" s="478">
        <f t="shared" si="18"/>
        <v>83.333333333333329</v>
      </c>
      <c r="G56" s="478">
        <f t="shared" si="19"/>
        <v>9.9206349206349201E-2</v>
      </c>
      <c r="I56" s="44" t="str">
        <f t="shared" si="17"/>
        <v>Office equipment</v>
      </c>
      <c r="J56" s="165"/>
      <c r="K56" s="165"/>
      <c r="L56" s="165">
        <v>25000</v>
      </c>
      <c r="M56" s="478">
        <f t="shared" si="20"/>
        <v>83.333333333333329</v>
      </c>
      <c r="N56" s="478">
        <f t="shared" si="21"/>
        <v>9.9206349206349201E-2</v>
      </c>
    </row>
    <row r="57" spans="2:14" x14ac:dyDescent="0.25">
      <c r="B57" s="31" t="s">
        <v>494</v>
      </c>
      <c r="C57" s="165"/>
      <c r="D57" s="165"/>
      <c r="E57" s="165">
        <v>25000</v>
      </c>
      <c r="F57" s="478">
        <f t="shared" si="18"/>
        <v>83.333333333333329</v>
      </c>
      <c r="G57" s="478">
        <f t="shared" si="19"/>
        <v>9.9206349206349201E-2</v>
      </c>
      <c r="I57" s="44" t="str">
        <f t="shared" si="17"/>
        <v>Permits &amp; inspection</v>
      </c>
      <c r="J57" s="165"/>
      <c r="K57" s="165"/>
      <c r="L57" s="165">
        <v>25000</v>
      </c>
      <c r="M57" s="478">
        <f t="shared" si="20"/>
        <v>83.333333333333329</v>
      </c>
      <c r="N57" s="478">
        <f t="shared" si="21"/>
        <v>9.9206349206349201E-2</v>
      </c>
    </row>
    <row r="58" spans="2:14" x14ac:dyDescent="0.25">
      <c r="B58" s="31" t="s">
        <v>493</v>
      </c>
      <c r="C58" s="165"/>
      <c r="D58" s="165"/>
      <c r="E58" s="165">
        <v>25000</v>
      </c>
      <c r="F58" s="478">
        <f t="shared" si="18"/>
        <v>83.333333333333329</v>
      </c>
      <c r="G58" s="478">
        <f t="shared" si="19"/>
        <v>9.9206349206349201E-2</v>
      </c>
      <c r="I58" s="44" t="str">
        <f t="shared" si="17"/>
        <v>Uniforms</v>
      </c>
      <c r="J58" s="165"/>
      <c r="K58" s="165"/>
      <c r="L58" s="165">
        <v>25000</v>
      </c>
      <c r="M58" s="478">
        <f t="shared" si="20"/>
        <v>83.333333333333329</v>
      </c>
      <c r="N58" s="478">
        <f t="shared" si="21"/>
        <v>9.9206349206349201E-2</v>
      </c>
    </row>
    <row r="59" spans="2:14" x14ac:dyDescent="0.25">
      <c r="B59" s="31" t="s">
        <v>492</v>
      </c>
      <c r="C59" s="165"/>
      <c r="D59" s="165"/>
      <c r="E59" s="165">
        <v>25000</v>
      </c>
      <c r="F59" s="478">
        <f t="shared" si="18"/>
        <v>83.333333333333329</v>
      </c>
      <c r="G59" s="478">
        <f t="shared" si="19"/>
        <v>9.9206349206349201E-2</v>
      </c>
      <c r="I59" s="44" t="str">
        <f t="shared" si="17"/>
        <v>Travel</v>
      </c>
      <c r="J59" s="165"/>
      <c r="K59" s="165"/>
      <c r="L59" s="165">
        <v>25000</v>
      </c>
      <c r="M59" s="478">
        <f t="shared" si="20"/>
        <v>83.333333333333329</v>
      </c>
      <c r="N59" s="478">
        <f t="shared" si="21"/>
        <v>9.9206349206349201E-2</v>
      </c>
    </row>
    <row r="60" spans="2:14" x14ac:dyDescent="0.25">
      <c r="B60" s="31" t="s">
        <v>491</v>
      </c>
      <c r="C60" s="165"/>
      <c r="D60" s="165"/>
      <c r="E60" s="165">
        <v>25000</v>
      </c>
      <c r="F60" s="478">
        <f t="shared" si="18"/>
        <v>83.333333333333329</v>
      </c>
      <c r="G60" s="478">
        <f t="shared" si="19"/>
        <v>9.9206349206349201E-2</v>
      </c>
      <c r="I60" s="44" t="str">
        <f t="shared" si="17"/>
        <v>Professional fees</v>
      </c>
      <c r="J60" s="165"/>
      <c r="K60" s="165"/>
      <c r="L60" s="165">
        <v>25000</v>
      </c>
      <c r="M60" s="478">
        <f t="shared" si="20"/>
        <v>83.333333333333329</v>
      </c>
      <c r="N60" s="478">
        <f t="shared" si="21"/>
        <v>9.9206349206349201E-2</v>
      </c>
    </row>
    <row r="61" spans="2:14" x14ac:dyDescent="0.25">
      <c r="B61" s="31" t="s">
        <v>490</v>
      </c>
      <c r="C61" s="165"/>
      <c r="D61" s="165"/>
      <c r="E61" s="165">
        <v>25000</v>
      </c>
      <c r="F61" s="478">
        <f t="shared" si="18"/>
        <v>83.333333333333329</v>
      </c>
      <c r="G61" s="478">
        <f t="shared" si="19"/>
        <v>9.9206349206349201E-2</v>
      </c>
      <c r="I61" s="44" t="str">
        <f t="shared" si="17"/>
        <v>Employee training</v>
      </c>
      <c r="J61" s="165"/>
      <c r="K61" s="165"/>
      <c r="L61" s="165">
        <v>25000</v>
      </c>
      <c r="M61" s="478">
        <f t="shared" si="20"/>
        <v>83.333333333333329</v>
      </c>
      <c r="N61" s="478">
        <f t="shared" si="21"/>
        <v>9.9206349206349201E-2</v>
      </c>
    </row>
    <row r="62" spans="2:14" x14ac:dyDescent="0.25">
      <c r="B62" s="31" t="s">
        <v>489</v>
      </c>
      <c r="C62" s="165"/>
      <c r="D62" s="165"/>
      <c r="E62" s="165">
        <v>25000</v>
      </c>
      <c r="F62" s="478">
        <f t="shared" si="18"/>
        <v>83.333333333333329</v>
      </c>
      <c r="G62" s="478">
        <f t="shared" si="19"/>
        <v>9.9206349206349201E-2</v>
      </c>
      <c r="I62" s="44" t="str">
        <f t="shared" si="17"/>
        <v>HOA Dues</v>
      </c>
      <c r="J62" s="165"/>
      <c r="K62" s="165"/>
      <c r="L62" s="165">
        <v>25000</v>
      </c>
      <c r="M62" s="478">
        <f t="shared" si="20"/>
        <v>83.333333333333329</v>
      </c>
      <c r="N62" s="478">
        <f t="shared" si="21"/>
        <v>9.9206349206349201E-2</v>
      </c>
    </row>
    <row r="63" spans="2:14" ht="15" x14ac:dyDescent="0.35">
      <c r="B63" s="31" t="s">
        <v>457</v>
      </c>
      <c r="C63" s="165"/>
      <c r="D63" s="165"/>
      <c r="E63" s="167">
        <v>5000</v>
      </c>
      <c r="F63" s="481">
        <f t="shared" si="18"/>
        <v>16.666666666666668</v>
      </c>
      <c r="G63" s="481">
        <f t="shared" si="19"/>
        <v>1.984126984126984E-2</v>
      </c>
      <c r="I63" s="44" t="str">
        <f t="shared" si="17"/>
        <v>Other</v>
      </c>
      <c r="J63" s="165"/>
      <c r="K63" s="165"/>
      <c r="L63" s="167">
        <v>5000</v>
      </c>
      <c r="M63" s="481">
        <f t="shared" si="20"/>
        <v>16.666666666666668</v>
      </c>
      <c r="N63" s="481">
        <f t="shared" si="21"/>
        <v>1.984126984126984E-2</v>
      </c>
    </row>
    <row r="64" spans="2:14" x14ac:dyDescent="0.25">
      <c r="B64" s="480" t="s">
        <v>543</v>
      </c>
      <c r="C64" s="164"/>
      <c r="D64" s="165"/>
      <c r="E64" s="479">
        <f>SUM(E53:E63)</f>
        <v>240000</v>
      </c>
      <c r="F64" s="478">
        <f>SUM(F53:F63)</f>
        <v>800</v>
      </c>
      <c r="G64" s="478">
        <f>SUM(G53:G63)</f>
        <v>0.95238095238095233</v>
      </c>
      <c r="I64" s="480" t="str">
        <f t="shared" si="17"/>
        <v>Total General &amp; Administrative Cost</v>
      </c>
      <c r="J64" s="164"/>
      <c r="K64" s="165"/>
      <c r="L64" s="479">
        <f>SUM(L53:L63)</f>
        <v>240000</v>
      </c>
      <c r="M64" s="478">
        <f>SUM(M53:M63)</f>
        <v>800</v>
      </c>
      <c r="N64" s="478">
        <f>SUM(N53:N63)</f>
        <v>0.95238095238095233</v>
      </c>
    </row>
    <row r="65" spans="2:14" x14ac:dyDescent="0.25">
      <c r="B65" s="31"/>
      <c r="C65" s="161"/>
      <c r="D65" s="488"/>
      <c r="E65" s="487"/>
      <c r="F65" s="164"/>
      <c r="G65" s="165"/>
      <c r="I65" s="44"/>
      <c r="J65" s="161"/>
      <c r="K65" s="488"/>
      <c r="L65" s="487"/>
      <c r="M65" s="164"/>
      <c r="N65" s="165"/>
    </row>
    <row r="66" spans="2:14" x14ac:dyDescent="0.25">
      <c r="B66" s="28" t="s">
        <v>544</v>
      </c>
      <c r="C66" s="484"/>
      <c r="D66" s="484"/>
      <c r="E66" s="484" t="s">
        <v>456</v>
      </c>
      <c r="F66" s="484" t="str">
        <f>F52</f>
        <v>/Unit</v>
      </c>
      <c r="G66" s="483" t="str">
        <f t="shared" ref="G66" si="22">G52</f>
        <v>/SF</v>
      </c>
      <c r="I66" s="505" t="str">
        <f t="shared" ref="I66:I73" si="23">+B66</f>
        <v>MARKETING</v>
      </c>
      <c r="J66" s="484"/>
      <c r="K66" s="484"/>
      <c r="L66" s="484" t="s">
        <v>456</v>
      </c>
      <c r="M66" s="484" t="str">
        <f t="shared" ref="M66:N66" si="24">M52</f>
        <v>/Unit</v>
      </c>
      <c r="N66" s="483" t="str">
        <f t="shared" si="24"/>
        <v>/SF</v>
      </c>
    </row>
    <row r="67" spans="2:14" x14ac:dyDescent="0.25">
      <c r="B67" s="31" t="s">
        <v>488</v>
      </c>
      <c r="C67" s="165"/>
      <c r="D67" s="165"/>
      <c r="E67" s="165">
        <v>25000</v>
      </c>
      <c r="F67" s="478">
        <f t="shared" ref="F67:F72" si="25">E67/Units</f>
        <v>83.333333333333329</v>
      </c>
      <c r="G67" s="478">
        <f t="shared" ref="G67:G72" si="26">E67/Units_SF_M2</f>
        <v>9.9206349206349201E-2</v>
      </c>
      <c r="I67" s="44" t="str">
        <f t="shared" si="23"/>
        <v xml:space="preserve">Promotion / Common area programming </v>
      </c>
      <c r="J67" s="165"/>
      <c r="K67" s="165"/>
      <c r="L67" s="165">
        <v>25000</v>
      </c>
      <c r="M67" s="478">
        <f t="shared" ref="M67:M72" si="27">L67/Units</f>
        <v>83.333333333333329</v>
      </c>
      <c r="N67" s="478">
        <f t="shared" ref="N67:N72" si="28">L67/Units_SF_M2</f>
        <v>9.9206349206349201E-2</v>
      </c>
    </row>
    <row r="68" spans="2:14" x14ac:dyDescent="0.25">
      <c r="B68" s="31" t="s">
        <v>487</v>
      </c>
      <c r="C68" s="165"/>
      <c r="D68" s="165"/>
      <c r="E68" s="165">
        <v>25000</v>
      </c>
      <c r="F68" s="478">
        <f t="shared" si="25"/>
        <v>83.333333333333329</v>
      </c>
      <c r="G68" s="478">
        <f t="shared" si="26"/>
        <v>9.9206349206349201E-2</v>
      </c>
      <c r="I68" s="44" t="str">
        <f t="shared" si="23"/>
        <v>Web site, etc.</v>
      </c>
      <c r="J68" s="165"/>
      <c r="K68" s="165"/>
      <c r="L68" s="165">
        <v>25000</v>
      </c>
      <c r="M68" s="478">
        <f t="shared" si="27"/>
        <v>83.333333333333329</v>
      </c>
      <c r="N68" s="478">
        <f t="shared" si="28"/>
        <v>9.9206349206349201E-2</v>
      </c>
    </row>
    <row r="69" spans="2:14" x14ac:dyDescent="0.25">
      <c r="B69" s="31" t="s">
        <v>486</v>
      </c>
      <c r="C69" s="165"/>
      <c r="D69" s="165"/>
      <c r="E69" s="165">
        <v>25000</v>
      </c>
      <c r="F69" s="478">
        <f t="shared" si="25"/>
        <v>83.333333333333329</v>
      </c>
      <c r="G69" s="478">
        <f t="shared" si="26"/>
        <v>9.9206349206349201E-2</v>
      </c>
      <c r="I69" s="44" t="str">
        <f t="shared" si="23"/>
        <v>Apartment locator fees</v>
      </c>
      <c r="J69" s="165"/>
      <c r="K69" s="165"/>
      <c r="L69" s="165">
        <v>25000</v>
      </c>
      <c r="M69" s="478">
        <f t="shared" si="27"/>
        <v>83.333333333333329</v>
      </c>
      <c r="N69" s="478">
        <f t="shared" si="28"/>
        <v>9.9206349206349201E-2</v>
      </c>
    </row>
    <row r="70" spans="2:14" x14ac:dyDescent="0.25">
      <c r="B70" s="31" t="s">
        <v>485</v>
      </c>
      <c r="C70" s="165"/>
      <c r="D70" s="165"/>
      <c r="E70" s="165">
        <v>25000</v>
      </c>
      <c r="F70" s="478">
        <f t="shared" si="25"/>
        <v>83.333333333333329</v>
      </c>
      <c r="G70" s="478">
        <f t="shared" si="26"/>
        <v>9.9206349206349201E-2</v>
      </c>
      <c r="I70" s="44" t="str">
        <f t="shared" si="23"/>
        <v>Brochures</v>
      </c>
      <c r="J70" s="165"/>
      <c r="K70" s="165"/>
      <c r="L70" s="165">
        <v>25000</v>
      </c>
      <c r="M70" s="478">
        <f t="shared" si="27"/>
        <v>83.333333333333329</v>
      </c>
      <c r="N70" s="478">
        <f t="shared" si="28"/>
        <v>9.9206349206349201E-2</v>
      </c>
    </row>
    <row r="71" spans="2:14" x14ac:dyDescent="0.25">
      <c r="B71" s="31" t="s">
        <v>484</v>
      </c>
      <c r="C71" s="165"/>
      <c r="D71" s="165"/>
      <c r="E71" s="165">
        <v>25000</v>
      </c>
      <c r="F71" s="478">
        <f t="shared" si="25"/>
        <v>83.333333333333329</v>
      </c>
      <c r="G71" s="478">
        <f t="shared" si="26"/>
        <v>9.9206349206349201E-2</v>
      </c>
      <c r="I71" s="44" t="str">
        <f t="shared" si="23"/>
        <v>Media</v>
      </c>
      <c r="J71" s="165"/>
      <c r="K71" s="165"/>
      <c r="L71" s="165">
        <v>25000</v>
      </c>
      <c r="M71" s="478">
        <f t="shared" si="27"/>
        <v>83.333333333333329</v>
      </c>
      <c r="N71" s="478">
        <f t="shared" si="28"/>
        <v>9.9206349206349201E-2</v>
      </c>
    </row>
    <row r="72" spans="2:14" ht="15" x14ac:dyDescent="0.35">
      <c r="B72" s="31" t="s">
        <v>457</v>
      </c>
      <c r="C72" s="165"/>
      <c r="D72" s="165"/>
      <c r="E72" s="167">
        <v>5000</v>
      </c>
      <c r="F72" s="481">
        <f t="shared" si="25"/>
        <v>16.666666666666668</v>
      </c>
      <c r="G72" s="481">
        <f t="shared" si="26"/>
        <v>1.984126984126984E-2</v>
      </c>
      <c r="I72" s="44" t="str">
        <f t="shared" si="23"/>
        <v>Other</v>
      </c>
      <c r="J72" s="165"/>
      <c r="K72" s="165"/>
      <c r="L72" s="167">
        <v>5000</v>
      </c>
      <c r="M72" s="481">
        <f t="shared" si="27"/>
        <v>16.666666666666668</v>
      </c>
      <c r="N72" s="481">
        <f t="shared" si="28"/>
        <v>1.984126984126984E-2</v>
      </c>
    </row>
    <row r="73" spans="2:14" x14ac:dyDescent="0.25">
      <c r="B73" s="480" t="s">
        <v>545</v>
      </c>
      <c r="C73" s="164"/>
      <c r="D73" s="165"/>
      <c r="E73" s="479">
        <f>SUM(E67:E72)</f>
        <v>130000</v>
      </c>
      <c r="F73" s="478">
        <f>SUM(F67:F72)</f>
        <v>433.33333333333331</v>
      </c>
      <c r="G73" s="478">
        <f>SUM(G67:G72)</f>
        <v>0.51587301587301582</v>
      </c>
      <c r="I73" s="480" t="str">
        <f t="shared" si="23"/>
        <v>Total Marketing Cost</v>
      </c>
      <c r="J73" s="164"/>
      <c r="K73" s="165"/>
      <c r="L73" s="479">
        <f>SUM(L67:L72)</f>
        <v>130000</v>
      </c>
      <c r="M73" s="478">
        <f>SUM(M67:M72)</f>
        <v>433.33333333333331</v>
      </c>
      <c r="N73" s="478">
        <f>SUM(N67:N72)</f>
        <v>0.51587301587301582</v>
      </c>
    </row>
    <row r="74" spans="2:14" x14ac:dyDescent="0.25">
      <c r="B74" s="31"/>
      <c r="C74" s="161"/>
      <c r="D74" s="488"/>
      <c r="E74" s="487"/>
      <c r="F74" s="164"/>
      <c r="G74" s="165"/>
      <c r="I74" s="44"/>
      <c r="J74" s="161"/>
      <c r="K74" s="488"/>
      <c r="L74" s="487"/>
      <c r="M74" s="164"/>
      <c r="N74" s="165"/>
    </row>
    <row r="75" spans="2:14" x14ac:dyDescent="0.25">
      <c r="B75" s="28" t="s">
        <v>546</v>
      </c>
      <c r="C75" s="484"/>
      <c r="D75" s="484"/>
      <c r="E75" s="484" t="s">
        <v>456</v>
      </c>
      <c r="F75" s="484" t="str">
        <f>F66</f>
        <v>/Unit</v>
      </c>
      <c r="G75" s="483" t="str">
        <f>G66</f>
        <v>/SF</v>
      </c>
      <c r="I75" s="505" t="str">
        <f t="shared" ref="I75:I88" si="29">+B75</f>
        <v>UTILITIES</v>
      </c>
      <c r="J75" s="484"/>
      <c r="K75" s="484"/>
      <c r="L75" s="484" t="s">
        <v>456</v>
      </c>
      <c r="M75" s="484" t="str">
        <f>M66</f>
        <v>/Unit</v>
      </c>
      <c r="N75" s="483" t="str">
        <f>N66</f>
        <v>/SF</v>
      </c>
    </row>
    <row r="76" spans="2:14" x14ac:dyDescent="0.25">
      <c r="B76" s="31" t="s">
        <v>483</v>
      </c>
      <c r="C76" s="165"/>
      <c r="D76" s="165"/>
      <c r="E76" s="165">
        <v>25000</v>
      </c>
      <c r="F76" s="478">
        <f t="shared" ref="F76:F87" si="30">E76/Units</f>
        <v>83.333333333333329</v>
      </c>
      <c r="G76" s="478">
        <f t="shared" ref="G76:G87" si="31">E76/Units_SF_M2</f>
        <v>9.9206349206349201E-2</v>
      </c>
      <c r="I76" s="44" t="str">
        <f t="shared" si="29"/>
        <v>Electricity-common areas</v>
      </c>
      <c r="J76" s="165"/>
      <c r="K76" s="165"/>
      <c r="L76" s="165">
        <v>25000</v>
      </c>
      <c r="M76" s="478">
        <f t="shared" ref="M76:M87" si="32">L76/Units</f>
        <v>83.333333333333329</v>
      </c>
      <c r="N76" s="478">
        <f t="shared" ref="N76:N87" si="33">L76/Units_SF_M2</f>
        <v>9.9206349206349201E-2</v>
      </c>
    </row>
    <row r="77" spans="2:14" x14ac:dyDescent="0.25">
      <c r="B77" s="31" t="s">
        <v>482</v>
      </c>
      <c r="C77" s="165"/>
      <c r="D77" s="165"/>
      <c r="E77" s="165">
        <v>25000</v>
      </c>
      <c r="F77" s="478">
        <f t="shared" si="30"/>
        <v>83.333333333333329</v>
      </c>
      <c r="G77" s="478">
        <f t="shared" si="31"/>
        <v>9.9206349206349201E-2</v>
      </c>
      <c r="I77" s="44" t="str">
        <f t="shared" si="29"/>
        <v>Electricity-vacant apartments</v>
      </c>
      <c r="J77" s="165"/>
      <c r="K77" s="165"/>
      <c r="L77" s="165">
        <v>25000</v>
      </c>
      <c r="M77" s="478">
        <f t="shared" si="32"/>
        <v>83.333333333333329</v>
      </c>
      <c r="N77" s="478">
        <f t="shared" si="33"/>
        <v>9.9206349206349201E-2</v>
      </c>
    </row>
    <row r="78" spans="2:14" x14ac:dyDescent="0.25">
      <c r="B78" s="31" t="s">
        <v>481</v>
      </c>
      <c r="C78" s="165"/>
      <c r="D78" s="165"/>
      <c r="E78" s="165">
        <v>25000</v>
      </c>
      <c r="F78" s="478">
        <f t="shared" si="30"/>
        <v>83.333333333333329</v>
      </c>
      <c r="G78" s="478">
        <f t="shared" si="31"/>
        <v>9.9206349206349201E-2</v>
      </c>
      <c r="I78" s="44" t="str">
        <f t="shared" si="29"/>
        <v>Electricity-models</v>
      </c>
      <c r="J78" s="165"/>
      <c r="K78" s="165"/>
      <c r="L78" s="165">
        <v>25000</v>
      </c>
      <c r="M78" s="478">
        <f t="shared" si="32"/>
        <v>83.333333333333329</v>
      </c>
      <c r="N78" s="478">
        <f t="shared" si="33"/>
        <v>9.9206349206349201E-2</v>
      </c>
    </row>
    <row r="79" spans="2:14" x14ac:dyDescent="0.25">
      <c r="B79" s="31" t="s">
        <v>480</v>
      </c>
      <c r="C79" s="165"/>
      <c r="D79" s="165"/>
      <c r="E79" s="165">
        <v>25000</v>
      </c>
      <c r="F79" s="478">
        <f t="shared" si="30"/>
        <v>83.333333333333329</v>
      </c>
      <c r="G79" s="478">
        <f t="shared" si="31"/>
        <v>9.9206349206349201E-2</v>
      </c>
      <c r="I79" s="44" t="str">
        <f t="shared" si="29"/>
        <v>Electricity-recovery</v>
      </c>
      <c r="J79" s="165"/>
      <c r="K79" s="165"/>
      <c r="L79" s="165">
        <v>25000</v>
      </c>
      <c r="M79" s="478">
        <f t="shared" si="32"/>
        <v>83.333333333333329</v>
      </c>
      <c r="N79" s="478">
        <f t="shared" si="33"/>
        <v>9.9206349206349201E-2</v>
      </c>
    </row>
    <row r="80" spans="2:14" x14ac:dyDescent="0.25">
      <c r="B80" s="31" t="s">
        <v>479</v>
      </c>
      <c r="C80" s="165"/>
      <c r="D80" s="165"/>
      <c r="E80" s="165">
        <v>25000</v>
      </c>
      <c r="F80" s="478">
        <f t="shared" si="30"/>
        <v>83.333333333333329</v>
      </c>
      <c r="G80" s="478">
        <f t="shared" si="31"/>
        <v>9.9206349206349201E-2</v>
      </c>
      <c r="I80" s="44" t="str">
        <f t="shared" si="29"/>
        <v>Water and sewer-house</v>
      </c>
      <c r="J80" s="165"/>
      <c r="K80" s="165"/>
      <c r="L80" s="165">
        <v>25000</v>
      </c>
      <c r="M80" s="478">
        <f t="shared" si="32"/>
        <v>83.333333333333329</v>
      </c>
      <c r="N80" s="478">
        <f t="shared" si="33"/>
        <v>9.9206349206349201E-2</v>
      </c>
    </row>
    <row r="81" spans="2:14" x14ac:dyDescent="0.25">
      <c r="B81" s="31" t="s">
        <v>478</v>
      </c>
      <c r="C81" s="165"/>
      <c r="D81" s="165"/>
      <c r="E81" s="165">
        <v>25000</v>
      </c>
      <c r="F81" s="478">
        <f t="shared" si="30"/>
        <v>83.333333333333329</v>
      </c>
      <c r="G81" s="478">
        <f t="shared" si="31"/>
        <v>9.9206349206349201E-2</v>
      </c>
      <c r="I81" s="44" t="str">
        <f t="shared" si="29"/>
        <v>Water and sewer-apartments</v>
      </c>
      <c r="J81" s="165"/>
      <c r="K81" s="165"/>
      <c r="L81" s="165">
        <v>25000</v>
      </c>
      <c r="M81" s="478">
        <f t="shared" si="32"/>
        <v>83.333333333333329</v>
      </c>
      <c r="N81" s="478">
        <f t="shared" si="33"/>
        <v>9.9206349206349201E-2</v>
      </c>
    </row>
    <row r="82" spans="2:14" x14ac:dyDescent="0.25">
      <c r="B82" s="31" t="s">
        <v>477</v>
      </c>
      <c r="C82" s="165"/>
      <c r="D82" s="165"/>
      <c r="E82" s="165">
        <v>25000</v>
      </c>
      <c r="F82" s="478">
        <f t="shared" si="30"/>
        <v>83.333333333333329</v>
      </c>
      <c r="G82" s="478">
        <f t="shared" si="31"/>
        <v>9.9206349206349201E-2</v>
      </c>
      <c r="I82" s="44" t="str">
        <f t="shared" si="29"/>
        <v>Water and sewer-recovery</v>
      </c>
      <c r="J82" s="165"/>
      <c r="K82" s="165"/>
      <c r="L82" s="165">
        <v>25000</v>
      </c>
      <c r="M82" s="478">
        <f t="shared" si="32"/>
        <v>83.333333333333329</v>
      </c>
      <c r="N82" s="478">
        <f t="shared" si="33"/>
        <v>9.9206349206349201E-2</v>
      </c>
    </row>
    <row r="83" spans="2:14" x14ac:dyDescent="0.25">
      <c r="B83" s="31" t="s">
        <v>476</v>
      </c>
      <c r="C83" s="165"/>
      <c r="D83" s="165"/>
      <c r="E83" s="165">
        <v>25000</v>
      </c>
      <c r="F83" s="478">
        <f t="shared" si="30"/>
        <v>83.333333333333329</v>
      </c>
      <c r="G83" s="478">
        <f t="shared" si="31"/>
        <v>9.9206349206349201E-2</v>
      </c>
      <c r="I83" s="44" t="str">
        <f t="shared" si="29"/>
        <v>Natural gas</v>
      </c>
      <c r="J83" s="165"/>
      <c r="K83" s="165"/>
      <c r="L83" s="165">
        <v>25000</v>
      </c>
      <c r="M83" s="478">
        <f t="shared" si="32"/>
        <v>83.333333333333329</v>
      </c>
      <c r="N83" s="478">
        <f t="shared" si="33"/>
        <v>9.9206349206349201E-2</v>
      </c>
    </row>
    <row r="84" spans="2:14" x14ac:dyDescent="0.25">
      <c r="B84" s="31" t="s">
        <v>475</v>
      </c>
      <c r="C84" s="165"/>
      <c r="D84" s="165"/>
      <c r="E84" s="165">
        <v>25000</v>
      </c>
      <c r="F84" s="478">
        <f t="shared" si="30"/>
        <v>83.333333333333329</v>
      </c>
      <c r="G84" s="478">
        <f t="shared" si="31"/>
        <v>9.9206349206349201E-2</v>
      </c>
      <c r="I84" s="44" t="str">
        <f t="shared" si="29"/>
        <v>Natural gas recovery</v>
      </c>
      <c r="J84" s="165"/>
      <c r="K84" s="165"/>
      <c r="L84" s="165">
        <v>25000</v>
      </c>
      <c r="M84" s="478">
        <f t="shared" si="32"/>
        <v>83.333333333333329</v>
      </c>
      <c r="N84" s="478">
        <f t="shared" si="33"/>
        <v>9.9206349206349201E-2</v>
      </c>
    </row>
    <row r="85" spans="2:14" x14ac:dyDescent="0.25">
      <c r="B85" s="31" t="s">
        <v>474</v>
      </c>
      <c r="C85" s="165"/>
      <c r="D85" s="165"/>
      <c r="E85" s="165">
        <v>25000</v>
      </c>
      <c r="F85" s="478">
        <f t="shared" si="30"/>
        <v>83.333333333333329</v>
      </c>
      <c r="G85" s="478">
        <f t="shared" si="31"/>
        <v>9.9206349206349201E-2</v>
      </c>
      <c r="I85" s="44" t="str">
        <f t="shared" si="29"/>
        <v>Trash removal</v>
      </c>
      <c r="J85" s="165"/>
      <c r="K85" s="165"/>
      <c r="L85" s="165">
        <v>25000</v>
      </c>
      <c r="M85" s="478">
        <f t="shared" si="32"/>
        <v>83.333333333333329</v>
      </c>
      <c r="N85" s="478">
        <f t="shared" si="33"/>
        <v>9.9206349206349201E-2</v>
      </c>
    </row>
    <row r="86" spans="2:14" x14ac:dyDescent="0.25">
      <c r="B86" s="31" t="s">
        <v>473</v>
      </c>
      <c r="C86" s="165"/>
      <c r="D86" s="165"/>
      <c r="E86" s="165">
        <v>25000</v>
      </c>
      <c r="F86" s="478">
        <f t="shared" si="30"/>
        <v>83.333333333333329</v>
      </c>
      <c r="G86" s="478">
        <f t="shared" si="31"/>
        <v>9.9206349206349201E-2</v>
      </c>
      <c r="I86" s="44" t="str">
        <f t="shared" si="29"/>
        <v>Trash removal recovery</v>
      </c>
      <c r="J86" s="165"/>
      <c r="K86" s="165"/>
      <c r="L86" s="165">
        <v>25000</v>
      </c>
      <c r="M86" s="478">
        <f t="shared" si="32"/>
        <v>83.333333333333329</v>
      </c>
      <c r="N86" s="478">
        <f t="shared" si="33"/>
        <v>9.9206349206349201E-2</v>
      </c>
    </row>
    <row r="87" spans="2:14" ht="15" x14ac:dyDescent="0.35">
      <c r="B87" s="31" t="s">
        <v>457</v>
      </c>
      <c r="C87" s="165"/>
      <c r="D87" s="165"/>
      <c r="E87" s="167">
        <v>5000</v>
      </c>
      <c r="F87" s="481">
        <f t="shared" si="30"/>
        <v>16.666666666666668</v>
      </c>
      <c r="G87" s="481">
        <f t="shared" si="31"/>
        <v>1.984126984126984E-2</v>
      </c>
      <c r="I87" s="44" t="str">
        <f t="shared" si="29"/>
        <v>Other</v>
      </c>
      <c r="J87" s="165"/>
      <c r="K87" s="165"/>
      <c r="L87" s="167">
        <v>5000</v>
      </c>
      <c r="M87" s="481">
        <f t="shared" si="32"/>
        <v>16.666666666666668</v>
      </c>
      <c r="N87" s="481">
        <f t="shared" si="33"/>
        <v>1.984126984126984E-2</v>
      </c>
    </row>
    <row r="88" spans="2:14" x14ac:dyDescent="0.25">
      <c r="B88" s="480" t="s">
        <v>547</v>
      </c>
      <c r="C88" s="164"/>
      <c r="D88" s="165"/>
      <c r="E88" s="479">
        <f>SUM(E76:E87)</f>
        <v>280000</v>
      </c>
      <c r="F88" s="478">
        <f>SUM(F76:F87)</f>
        <v>933.33333333333337</v>
      </c>
      <c r="G88" s="478">
        <f>SUM(G76:G87)</f>
        <v>1.1111111111111109</v>
      </c>
      <c r="I88" s="480" t="str">
        <f t="shared" si="29"/>
        <v>Total Utilities Cost</v>
      </c>
      <c r="J88" s="164"/>
      <c r="K88" s="165"/>
      <c r="L88" s="479">
        <f>SUM(L76:L87)</f>
        <v>280000</v>
      </c>
      <c r="M88" s="478">
        <f>SUM(M76:M87)</f>
        <v>933.33333333333337</v>
      </c>
      <c r="N88" s="478">
        <f>SUM(N76:N87)</f>
        <v>1.1111111111111109</v>
      </c>
    </row>
    <row r="89" spans="2:14" x14ac:dyDescent="0.25">
      <c r="B89" s="31"/>
      <c r="C89" s="161"/>
      <c r="D89" s="488"/>
      <c r="E89" s="487"/>
      <c r="F89" s="164"/>
      <c r="G89" s="165"/>
      <c r="I89" s="44"/>
      <c r="J89" s="161"/>
      <c r="K89" s="488"/>
      <c r="L89" s="487"/>
      <c r="M89" s="164"/>
      <c r="N89" s="165"/>
    </row>
    <row r="90" spans="2:14" x14ac:dyDescent="0.25">
      <c r="B90" s="28" t="s">
        <v>548</v>
      </c>
      <c r="C90" s="484"/>
      <c r="D90" s="484"/>
      <c r="E90" s="484" t="s">
        <v>456</v>
      </c>
      <c r="F90" s="484" t="str">
        <f>F75</f>
        <v>/Unit</v>
      </c>
      <c r="G90" s="483" t="str">
        <f>G75</f>
        <v>/SF</v>
      </c>
      <c r="I90" s="505" t="str">
        <f t="shared" ref="I90:I96" si="34">+B90</f>
        <v>CONTRACT SERVICES</v>
      </c>
      <c r="J90" s="484"/>
      <c r="K90" s="484"/>
      <c r="L90" s="484" t="s">
        <v>456</v>
      </c>
      <c r="M90" s="484" t="str">
        <f>M75</f>
        <v>/Unit</v>
      </c>
      <c r="N90" s="483" t="str">
        <f>N75</f>
        <v>/SF</v>
      </c>
    </row>
    <row r="91" spans="2:14" x14ac:dyDescent="0.25">
      <c r="B91" s="31" t="s">
        <v>472</v>
      </c>
      <c r="C91" s="165"/>
      <c r="D91" s="165"/>
      <c r="E91" s="165">
        <v>25000</v>
      </c>
      <c r="F91" s="478">
        <f>E91/Units</f>
        <v>83.333333333333329</v>
      </c>
      <c r="G91" s="478">
        <f>E91/Units_SF_M2</f>
        <v>9.9206349206349201E-2</v>
      </c>
      <c r="I91" s="44" t="str">
        <f t="shared" si="34"/>
        <v>Alarm Monitoring</v>
      </c>
      <c r="J91" s="165"/>
      <c r="K91" s="165"/>
      <c r="L91" s="165">
        <v>25000</v>
      </c>
      <c r="M91" s="478">
        <f>L91/Units</f>
        <v>83.333333333333329</v>
      </c>
      <c r="N91" s="478">
        <f>L91/Units_SF_M2</f>
        <v>9.9206349206349201E-2</v>
      </c>
    </row>
    <row r="92" spans="2:14" x14ac:dyDescent="0.25">
      <c r="B92" s="31" t="s">
        <v>471</v>
      </c>
      <c r="C92" s="165"/>
      <c r="D92" s="165"/>
      <c r="E92" s="165">
        <v>25000</v>
      </c>
      <c r="F92" s="478">
        <f>E92/Units</f>
        <v>83.333333333333329</v>
      </c>
      <c r="G92" s="478">
        <f>E92/Units_SF_M2</f>
        <v>9.9206349206349201E-2</v>
      </c>
      <c r="I92" s="44" t="str">
        <f t="shared" si="34"/>
        <v>Elevator Service</v>
      </c>
      <c r="J92" s="165"/>
      <c r="K92" s="165"/>
      <c r="L92" s="165">
        <v>25000</v>
      </c>
      <c r="M92" s="478">
        <f>L92/Units</f>
        <v>83.333333333333329</v>
      </c>
      <c r="N92" s="478">
        <f>L92/Units_SF_M2</f>
        <v>9.9206349206349201E-2</v>
      </c>
    </row>
    <row r="93" spans="2:14" x14ac:dyDescent="0.25">
      <c r="B93" s="31" t="s">
        <v>470</v>
      </c>
      <c r="C93" s="165"/>
      <c r="D93" s="165"/>
      <c r="E93" s="165">
        <v>25000</v>
      </c>
      <c r="F93" s="478">
        <f>E93/Units</f>
        <v>83.333333333333329</v>
      </c>
      <c r="G93" s="478">
        <f>E93/Units_SF_M2</f>
        <v>9.9206349206349201E-2</v>
      </c>
      <c r="I93" s="44" t="str">
        <f t="shared" si="34"/>
        <v>HOA Management</v>
      </c>
      <c r="J93" s="165"/>
      <c r="K93" s="165"/>
      <c r="L93" s="165">
        <v>25000</v>
      </c>
      <c r="M93" s="478">
        <f>L93/Units</f>
        <v>83.333333333333329</v>
      </c>
      <c r="N93" s="478">
        <f>L93/Units_SF_M2</f>
        <v>9.9206349206349201E-2</v>
      </c>
    </row>
    <row r="94" spans="2:14" x14ac:dyDescent="0.25">
      <c r="B94" s="31" t="s">
        <v>469</v>
      </c>
      <c r="C94" s="165"/>
      <c r="D94" s="165"/>
      <c r="E94" s="165">
        <v>25000</v>
      </c>
      <c r="F94" s="478">
        <f>E94/Units</f>
        <v>83.333333333333329</v>
      </c>
      <c r="G94" s="478">
        <f>E94/Units_SF_M2</f>
        <v>9.9206349206349201E-2</v>
      </c>
      <c r="I94" s="44" t="str">
        <f t="shared" si="34"/>
        <v>Snow Removal Service</v>
      </c>
      <c r="J94" s="165"/>
      <c r="K94" s="165"/>
      <c r="L94" s="165">
        <v>25000</v>
      </c>
      <c r="M94" s="478">
        <f>L94/Units</f>
        <v>83.333333333333329</v>
      </c>
      <c r="N94" s="478">
        <f>L94/Units_SF_M2</f>
        <v>9.9206349206349201E-2</v>
      </c>
    </row>
    <row r="95" spans="2:14" ht="15" x14ac:dyDescent="0.35">
      <c r="B95" s="31" t="s">
        <v>457</v>
      </c>
      <c r="C95" s="165"/>
      <c r="D95" s="165"/>
      <c r="E95" s="167">
        <v>5000</v>
      </c>
      <c r="F95" s="481">
        <f>E95/Units</f>
        <v>16.666666666666668</v>
      </c>
      <c r="G95" s="481">
        <f>E95/Units_SF_M2</f>
        <v>1.984126984126984E-2</v>
      </c>
      <c r="I95" s="44" t="str">
        <f t="shared" si="34"/>
        <v>Other</v>
      </c>
      <c r="J95" s="165"/>
      <c r="K95" s="165"/>
      <c r="L95" s="167">
        <v>5000</v>
      </c>
      <c r="M95" s="481">
        <f>L95/Units</f>
        <v>16.666666666666668</v>
      </c>
      <c r="N95" s="481">
        <f>L95/Units_SF_M2</f>
        <v>1.984126984126984E-2</v>
      </c>
    </row>
    <row r="96" spans="2:14" x14ac:dyDescent="0.25">
      <c r="B96" s="480" t="s">
        <v>549</v>
      </c>
      <c r="C96" s="164"/>
      <c r="D96" s="165"/>
      <c r="E96" s="479">
        <f>SUM(E91:E95)</f>
        <v>105000</v>
      </c>
      <c r="F96" s="478">
        <f>SUM(F91:F95)</f>
        <v>350</v>
      </c>
      <c r="G96" s="478">
        <f>SUM(G91:G95)</f>
        <v>0.41666666666666663</v>
      </c>
      <c r="I96" s="480" t="str">
        <f t="shared" si="34"/>
        <v>Total Contract Services Cost</v>
      </c>
      <c r="J96" s="164"/>
      <c r="K96" s="165"/>
      <c r="L96" s="479">
        <f>SUM(L91:L95)</f>
        <v>105000</v>
      </c>
      <c r="M96" s="478">
        <f>SUM(M91:M95)</f>
        <v>350</v>
      </c>
      <c r="N96" s="478">
        <f>SUM(N91:N95)</f>
        <v>0.41666666666666663</v>
      </c>
    </row>
    <row r="97" spans="1:14" x14ac:dyDescent="0.25">
      <c r="B97" s="31"/>
      <c r="C97" s="161"/>
      <c r="D97" s="488"/>
      <c r="E97" s="487"/>
      <c r="F97" s="164"/>
      <c r="G97" s="165"/>
      <c r="I97" s="44"/>
      <c r="J97" s="161"/>
      <c r="K97" s="488"/>
      <c r="L97" s="487"/>
      <c r="M97" s="164"/>
      <c r="N97" s="165"/>
    </row>
    <row r="98" spans="1:14" x14ac:dyDescent="0.25">
      <c r="B98" s="28" t="s">
        <v>550</v>
      </c>
      <c r="C98" s="484"/>
      <c r="D98" s="484"/>
      <c r="E98" s="484" t="s">
        <v>456</v>
      </c>
      <c r="F98" s="484" t="str">
        <f>F90</f>
        <v>/Unit</v>
      </c>
      <c r="G98" s="483" t="str">
        <f>G90</f>
        <v>/SF</v>
      </c>
      <c r="I98" s="505" t="str">
        <f t="shared" ref="I98:I101" si="35">+B98</f>
        <v>MAKE READY COST</v>
      </c>
      <c r="J98" s="484"/>
      <c r="K98" s="484"/>
      <c r="L98" s="484" t="s">
        <v>456</v>
      </c>
      <c r="M98" s="484" t="str">
        <f>M90</f>
        <v>/Unit</v>
      </c>
      <c r="N98" s="483" t="str">
        <f>N90</f>
        <v>/SF</v>
      </c>
    </row>
    <row r="99" spans="1:14" x14ac:dyDescent="0.25">
      <c r="B99" s="44" t="s">
        <v>468</v>
      </c>
      <c r="C99" s="165"/>
      <c r="D99" s="165"/>
      <c r="E99" s="165"/>
      <c r="F99" s="494">
        <v>200</v>
      </c>
      <c r="G99" s="478"/>
      <c r="I99" s="44" t="str">
        <f t="shared" si="35"/>
        <v>Make Ready per Unit</v>
      </c>
      <c r="J99" s="165"/>
      <c r="K99" s="165"/>
      <c r="L99" s="165"/>
      <c r="M99" s="494">
        <v>200</v>
      </c>
      <c r="N99" s="478"/>
    </row>
    <row r="100" spans="1:14" x14ac:dyDescent="0.25">
      <c r="B100" s="44" t="s">
        <v>467</v>
      </c>
      <c r="C100" s="165"/>
      <c r="D100" s="165"/>
      <c r="E100" s="165"/>
      <c r="F100" s="493">
        <v>0.75</v>
      </c>
      <c r="G100" s="478"/>
      <c r="I100" s="44" t="str">
        <f t="shared" si="35"/>
        <v>Turnover Assumption</v>
      </c>
      <c r="J100" s="165"/>
      <c r="K100" s="165"/>
      <c r="L100" s="165"/>
      <c r="M100" s="493">
        <v>0.75</v>
      </c>
      <c r="N100" s="478"/>
    </row>
    <row r="101" spans="1:14" x14ac:dyDescent="0.25">
      <c r="B101" s="480" t="s">
        <v>551</v>
      </c>
      <c r="C101" s="164"/>
      <c r="D101" s="165"/>
      <c r="E101" s="479">
        <f>F101*Units</f>
        <v>45000</v>
      </c>
      <c r="F101" s="478">
        <f>F99*F100</f>
        <v>150</v>
      </c>
      <c r="G101" s="478">
        <f>E101/Units_SF_M2</f>
        <v>0.17857142857142858</v>
      </c>
      <c r="I101" s="480" t="str">
        <f t="shared" si="35"/>
        <v>Total Make Ready Cost Cost</v>
      </c>
      <c r="J101" s="164"/>
      <c r="K101" s="165"/>
      <c r="L101" s="479">
        <f>M101*Units</f>
        <v>45000</v>
      </c>
      <c r="M101" s="478">
        <f>M99*M100</f>
        <v>150</v>
      </c>
      <c r="N101" s="478">
        <f>L101/Units_SF_M2</f>
        <v>0.17857142857142858</v>
      </c>
    </row>
    <row r="102" spans="1:14" ht="5.0999999999999996" customHeight="1" x14ac:dyDescent="0.25">
      <c r="B102" s="31"/>
      <c r="C102" s="161"/>
      <c r="D102" s="488"/>
      <c r="E102" s="487"/>
      <c r="F102" s="164"/>
      <c r="G102" s="165"/>
      <c r="I102" s="44"/>
      <c r="J102" s="161"/>
      <c r="K102" s="488"/>
      <c r="L102" s="487"/>
      <c r="M102" s="164"/>
      <c r="N102" s="165"/>
    </row>
    <row r="103" spans="1:14" s="464" customFormat="1" ht="13.2" x14ac:dyDescent="0.25">
      <c r="A103" s="492"/>
      <c r="B103" s="477" t="s">
        <v>466</v>
      </c>
      <c r="C103" s="71"/>
      <c r="D103" s="491"/>
      <c r="E103" s="490">
        <f>+F103*Units</f>
        <v>1350100.0000000002</v>
      </c>
      <c r="F103" s="73">
        <f>+OpEx_7_Det+OpEx_6_Det+OpEx_5_Det+OpEx_4_Det+OpEx_3_Det+OpEx_2_Det+OpEx_1_Det</f>
        <v>4500.3333333333339</v>
      </c>
      <c r="G103" s="73">
        <f>E103/Units_SF_M2</f>
        <v>5.3575396825396835</v>
      </c>
      <c r="I103" s="477" t="str">
        <f>+B103</f>
        <v>Total Controllable Expenses</v>
      </c>
      <c r="J103" s="71"/>
      <c r="K103" s="491"/>
      <c r="L103" s="490">
        <f>+M103*Units</f>
        <v>1510100</v>
      </c>
      <c r="M103" s="73">
        <f>+OpEx_70_Det+OpEx_60_Det+OpEx_50_Det+OpEx_40_Det+OpEx_30_Det+OpEx_20_Det+OpEx_10_Det</f>
        <v>5033.666666666667</v>
      </c>
      <c r="N103" s="73">
        <f>L103/Units_SF_M2</f>
        <v>5.992460317460317</v>
      </c>
    </row>
    <row r="104" spans="1:14" ht="5.0999999999999996" customHeight="1" x14ac:dyDescent="0.25">
      <c r="B104" s="31"/>
      <c r="C104" s="161"/>
      <c r="D104" s="488"/>
      <c r="E104" s="487"/>
      <c r="F104" s="164"/>
      <c r="G104" s="165"/>
      <c r="I104" s="44"/>
      <c r="J104" s="161"/>
      <c r="K104" s="488"/>
      <c r="L104" s="487"/>
      <c r="M104" s="164"/>
      <c r="N104" s="165"/>
    </row>
    <row r="105" spans="1:14" x14ac:dyDescent="0.25">
      <c r="B105" s="168" t="s">
        <v>533</v>
      </c>
      <c r="C105" s="125"/>
      <c r="D105" s="125"/>
      <c r="E105" s="125"/>
      <c r="F105" s="125"/>
      <c r="G105" s="125"/>
      <c r="I105" s="506" t="s">
        <v>534</v>
      </c>
      <c r="J105" s="125"/>
      <c r="K105" s="125"/>
      <c r="L105" s="125"/>
      <c r="M105" s="125"/>
      <c r="N105" s="125"/>
    </row>
    <row r="106" spans="1:14" x14ac:dyDescent="0.25">
      <c r="B106" s="28" t="s">
        <v>552</v>
      </c>
      <c r="C106" s="484"/>
      <c r="D106" s="484"/>
      <c r="E106" s="484" t="s">
        <v>456</v>
      </c>
      <c r="F106" s="484" t="str">
        <f>F98</f>
        <v>/Unit</v>
      </c>
      <c r="G106" s="483" t="str">
        <f>G98</f>
        <v>/SF</v>
      </c>
      <c r="I106" s="505" t="str">
        <f t="shared" ref="I106:I108" si="36">+B106</f>
        <v>MANAGEMENT FEE</v>
      </c>
      <c r="J106" s="484"/>
      <c r="K106" s="484"/>
      <c r="L106" s="484" t="s">
        <v>456</v>
      </c>
      <c r="M106" s="484" t="str">
        <f>M98</f>
        <v>/Unit</v>
      </c>
      <c r="N106" s="483" t="str">
        <f>N98</f>
        <v>/SF</v>
      </c>
    </row>
    <row r="107" spans="1:14" x14ac:dyDescent="0.25">
      <c r="B107" s="44" t="s">
        <v>465</v>
      </c>
      <c r="C107" s="165"/>
      <c r="D107" s="479"/>
      <c r="E107" s="479" t="s">
        <v>464</v>
      </c>
      <c r="F107" s="489">
        <f>Underwriting!G143</f>
        <v>0.03</v>
      </c>
      <c r="G107" s="478"/>
      <c r="I107" s="44" t="str">
        <f t="shared" si="36"/>
        <v>Management Fee Percentage</v>
      </c>
      <c r="J107" s="165"/>
      <c r="K107" s="479"/>
      <c r="L107" s="479" t="s">
        <v>464</v>
      </c>
      <c r="M107" s="489">
        <f>Underwriting!I143</f>
        <v>0.03</v>
      </c>
      <c r="N107" s="478"/>
    </row>
    <row r="108" spans="1:14" x14ac:dyDescent="0.25">
      <c r="B108" s="480" t="s">
        <v>553</v>
      </c>
      <c r="C108" s="164"/>
      <c r="D108" s="165"/>
      <c r="E108" s="514">
        <f>+F107*Underwriting!J134</f>
        <v>150851.1207046154</v>
      </c>
      <c r="F108" s="478">
        <f>E108/Units</f>
        <v>502.83706901538466</v>
      </c>
      <c r="G108" s="478">
        <f>E108/Units_SF_M2</f>
        <v>0.59861555835164837</v>
      </c>
      <c r="I108" s="480" t="str">
        <f t="shared" si="36"/>
        <v>Total Management Fee Cost</v>
      </c>
      <c r="J108" s="164"/>
      <c r="K108" s="165"/>
      <c r="L108" s="514">
        <f>+M107*Underwriting!K134</f>
        <v>193252.93055999998</v>
      </c>
      <c r="M108" s="478">
        <f>L108/Units</f>
        <v>644.1764351999999</v>
      </c>
      <c r="N108" s="478">
        <f>L108/Units_SF_M2</f>
        <v>0.76687670857142853</v>
      </c>
    </row>
    <row r="109" spans="1:14" x14ac:dyDescent="0.25">
      <c r="B109" s="31"/>
      <c r="C109" s="161"/>
      <c r="D109" s="488"/>
      <c r="E109" s="487"/>
      <c r="F109" s="164"/>
      <c r="G109" s="165"/>
      <c r="I109" s="44"/>
      <c r="J109" s="161"/>
      <c r="K109" s="488"/>
      <c r="L109" s="487"/>
      <c r="M109" s="164"/>
      <c r="N109" s="165"/>
    </row>
    <row r="110" spans="1:14" x14ac:dyDescent="0.25">
      <c r="B110" s="28" t="s">
        <v>554</v>
      </c>
      <c r="C110" s="484"/>
      <c r="D110" s="484"/>
      <c r="E110" s="484" t="s">
        <v>456</v>
      </c>
      <c r="F110" s="484" t="str">
        <f>F106</f>
        <v>/Unit</v>
      </c>
      <c r="G110" s="483" t="str">
        <f>G106</f>
        <v>/SF</v>
      </c>
      <c r="I110" s="505" t="str">
        <f t="shared" ref="I110:I116" si="37">+B110</f>
        <v>INSURANCE</v>
      </c>
      <c r="J110" s="484"/>
      <c r="K110" s="484"/>
      <c r="L110" s="484" t="s">
        <v>456</v>
      </c>
      <c r="M110" s="484" t="str">
        <f>M106</f>
        <v>/Unit</v>
      </c>
      <c r="N110" s="483" t="str">
        <f>N106</f>
        <v>/SF</v>
      </c>
    </row>
    <row r="111" spans="1:14" x14ac:dyDescent="0.25">
      <c r="B111" s="31" t="s">
        <v>463</v>
      </c>
      <c r="C111" s="165"/>
      <c r="D111" s="165"/>
      <c r="E111" s="165">
        <v>25000</v>
      </c>
      <c r="F111" s="478">
        <f>E111/Units</f>
        <v>83.333333333333329</v>
      </c>
      <c r="G111" s="478">
        <f>E111/Units_SF_M2</f>
        <v>9.9206349206349201E-2</v>
      </c>
      <c r="I111" s="44" t="str">
        <f t="shared" si="37"/>
        <v>Liability</v>
      </c>
      <c r="J111" s="165"/>
      <c r="K111" s="165"/>
      <c r="L111" s="165">
        <v>25000</v>
      </c>
      <c r="M111" s="478">
        <f>L111/Units</f>
        <v>83.333333333333329</v>
      </c>
      <c r="N111" s="478">
        <f>L111/Units_SF_M2</f>
        <v>9.9206349206349201E-2</v>
      </c>
    </row>
    <row r="112" spans="1:14" x14ac:dyDescent="0.25">
      <c r="B112" s="31" t="s">
        <v>462</v>
      </c>
      <c r="C112" s="165"/>
      <c r="D112" s="165"/>
      <c r="E112" s="165">
        <v>25000</v>
      </c>
      <c r="F112" s="478">
        <f>E112/Units</f>
        <v>83.333333333333329</v>
      </c>
      <c r="G112" s="478">
        <f>E112/Units_SF_M2</f>
        <v>9.9206349206349201E-2</v>
      </c>
      <c r="I112" s="44" t="str">
        <f t="shared" si="37"/>
        <v>Personal property</v>
      </c>
      <c r="J112" s="165"/>
      <c r="K112" s="165"/>
      <c r="L112" s="165">
        <v>25000</v>
      </c>
      <c r="M112" s="478">
        <f>L112/Units</f>
        <v>83.333333333333329</v>
      </c>
      <c r="N112" s="478">
        <f>L112/Units_SF_M2</f>
        <v>9.9206349206349201E-2</v>
      </c>
    </row>
    <row r="113" spans="2:14" x14ac:dyDescent="0.25">
      <c r="B113" s="31" t="s">
        <v>461</v>
      </c>
      <c r="C113" s="165"/>
      <c r="D113" s="165"/>
      <c r="E113" s="165">
        <v>25000</v>
      </c>
      <c r="F113" s="478">
        <f>E113/Units</f>
        <v>83.333333333333329</v>
      </c>
      <c r="G113" s="478">
        <f>E113/Units_SF_M2</f>
        <v>9.9206349206349201E-2</v>
      </c>
      <c r="I113" s="44" t="str">
        <f t="shared" si="37"/>
        <v>Prop &amp; casualty</v>
      </c>
      <c r="J113" s="165"/>
      <c r="K113" s="165"/>
      <c r="L113" s="165">
        <v>25000</v>
      </c>
      <c r="M113" s="478">
        <f>L113/Units</f>
        <v>83.333333333333329</v>
      </c>
      <c r="N113" s="478">
        <f>L113/Units_SF_M2</f>
        <v>9.9206349206349201E-2</v>
      </c>
    </row>
    <row r="114" spans="2:14" x14ac:dyDescent="0.25">
      <c r="B114" s="31" t="s">
        <v>457</v>
      </c>
      <c r="C114" s="165"/>
      <c r="D114" s="165"/>
      <c r="E114" s="165">
        <v>25000</v>
      </c>
      <c r="F114" s="478">
        <f>E114/Units</f>
        <v>83.333333333333329</v>
      </c>
      <c r="G114" s="478">
        <f>E114/Units_SF_M2</f>
        <v>9.9206349206349201E-2</v>
      </c>
      <c r="I114" s="44" t="str">
        <f t="shared" si="37"/>
        <v>Other</v>
      </c>
      <c r="J114" s="165"/>
      <c r="K114" s="165"/>
      <c r="L114" s="165">
        <v>25000</v>
      </c>
      <c r="M114" s="478">
        <f>L114/Units</f>
        <v>83.333333333333329</v>
      </c>
      <c r="N114" s="478">
        <f>L114/Units_SF_M2</f>
        <v>9.9206349206349201E-2</v>
      </c>
    </row>
    <row r="115" spans="2:14" ht="15" x14ac:dyDescent="0.35">
      <c r="B115" s="31" t="s">
        <v>457</v>
      </c>
      <c r="C115" s="165"/>
      <c r="D115" s="165"/>
      <c r="E115" s="167">
        <v>5000</v>
      </c>
      <c r="F115" s="481">
        <f>E115/Units</f>
        <v>16.666666666666668</v>
      </c>
      <c r="G115" s="481">
        <f>E115/Units_SF_M2</f>
        <v>1.984126984126984E-2</v>
      </c>
      <c r="I115" s="44" t="str">
        <f t="shared" si="37"/>
        <v>Other</v>
      </c>
      <c r="J115" s="165"/>
      <c r="K115" s="165"/>
      <c r="L115" s="167">
        <v>5000</v>
      </c>
      <c r="M115" s="481">
        <f>L115/Units</f>
        <v>16.666666666666668</v>
      </c>
      <c r="N115" s="481">
        <f>L115/Units_SF_M2</f>
        <v>1.984126984126984E-2</v>
      </c>
    </row>
    <row r="116" spans="2:14" x14ac:dyDescent="0.25">
      <c r="B116" s="480" t="s">
        <v>555</v>
      </c>
      <c r="C116" s="164"/>
      <c r="D116" s="165"/>
      <c r="E116" s="479">
        <f>SUM(E111:E115)</f>
        <v>105000</v>
      </c>
      <c r="F116" s="478">
        <f>SUM(F111:F115)</f>
        <v>350</v>
      </c>
      <c r="G116" s="478">
        <f>SUM(G111:G115)</f>
        <v>0.41666666666666663</v>
      </c>
      <c r="I116" s="480" t="str">
        <f t="shared" si="37"/>
        <v>Total Insurance Cost</v>
      </c>
      <c r="J116" s="164"/>
      <c r="K116" s="165"/>
      <c r="L116" s="479">
        <f>SUM(L111:L115)</f>
        <v>105000</v>
      </c>
      <c r="M116" s="478">
        <f>SUM(M111:M115)</f>
        <v>350</v>
      </c>
      <c r="N116" s="478">
        <f>SUM(N111:N115)</f>
        <v>0.41666666666666663</v>
      </c>
    </row>
    <row r="117" spans="2:14" x14ac:dyDescent="0.25">
      <c r="B117" s="31"/>
      <c r="C117" s="161"/>
      <c r="D117" s="488"/>
      <c r="E117" s="487"/>
      <c r="F117" s="164"/>
      <c r="G117" s="165"/>
      <c r="I117" s="44"/>
      <c r="J117" s="161"/>
      <c r="K117" s="488"/>
      <c r="L117" s="487"/>
      <c r="M117" s="164"/>
      <c r="N117" s="165"/>
    </row>
    <row r="118" spans="2:14" x14ac:dyDescent="0.25">
      <c r="B118" s="28" t="s">
        <v>556</v>
      </c>
      <c r="C118" s="484"/>
      <c r="D118" s="484"/>
      <c r="E118" s="484" t="s">
        <v>85</v>
      </c>
      <c r="F118" s="484" t="s">
        <v>460</v>
      </c>
      <c r="G118" s="483" t="s">
        <v>459</v>
      </c>
      <c r="I118" s="505" t="str">
        <f t="shared" ref="I118:I123" si="38">+B118</f>
        <v>PROPERTY TAXES</v>
      </c>
      <c r="J118" s="484"/>
      <c r="K118" s="484"/>
      <c r="L118" s="484" t="s">
        <v>85</v>
      </c>
      <c r="M118" s="484" t="s">
        <v>460</v>
      </c>
      <c r="N118" s="483" t="s">
        <v>459</v>
      </c>
    </row>
    <row r="119" spans="2:14" x14ac:dyDescent="0.25">
      <c r="B119" s="31" t="s">
        <v>9</v>
      </c>
      <c r="C119" s="484"/>
      <c r="D119" s="484"/>
      <c r="E119" s="486">
        <v>0.46190999999999999</v>
      </c>
      <c r="F119" s="165">
        <v>50000000</v>
      </c>
      <c r="G119" s="485">
        <v>0.8</v>
      </c>
      <c r="I119" s="44" t="str">
        <f t="shared" si="38"/>
        <v>City</v>
      </c>
      <c r="J119" s="484"/>
      <c r="K119" s="484"/>
      <c r="L119" s="486">
        <v>0.46190999999999999</v>
      </c>
      <c r="M119" s="165">
        <v>70000000</v>
      </c>
      <c r="N119" s="485">
        <v>0.8</v>
      </c>
    </row>
    <row r="120" spans="2:14" x14ac:dyDescent="0.25">
      <c r="B120" s="31" t="s">
        <v>458</v>
      </c>
      <c r="C120" s="484"/>
      <c r="D120" s="484"/>
      <c r="E120" s="486">
        <v>1.46</v>
      </c>
      <c r="F120" s="165">
        <v>50000000</v>
      </c>
      <c r="G120" s="485">
        <v>0.8</v>
      </c>
      <c r="I120" s="44" t="str">
        <f t="shared" si="38"/>
        <v>School District</v>
      </c>
      <c r="J120" s="484"/>
      <c r="K120" s="484"/>
      <c r="L120" s="486">
        <v>1.46</v>
      </c>
      <c r="M120" s="165">
        <v>70000000</v>
      </c>
      <c r="N120" s="485">
        <v>0.8</v>
      </c>
    </row>
    <row r="121" spans="2:14" x14ac:dyDescent="0.25">
      <c r="B121" s="31" t="s">
        <v>3</v>
      </c>
      <c r="C121" s="484"/>
      <c r="D121" s="484"/>
      <c r="E121" s="486">
        <v>0.23749999999999999</v>
      </c>
      <c r="F121" s="165">
        <v>50000000</v>
      </c>
      <c r="G121" s="485">
        <v>0.8</v>
      </c>
      <c r="I121" s="44" t="str">
        <f t="shared" si="38"/>
        <v>County</v>
      </c>
      <c r="J121" s="484"/>
      <c r="K121" s="484"/>
      <c r="L121" s="486">
        <v>0.23749999999999999</v>
      </c>
      <c r="M121" s="165">
        <v>70000000</v>
      </c>
      <c r="N121" s="485">
        <v>0.8</v>
      </c>
    </row>
    <row r="122" spans="2:14" x14ac:dyDescent="0.25">
      <c r="B122" s="31" t="s">
        <v>7</v>
      </c>
      <c r="C122" s="484"/>
      <c r="D122" s="484"/>
      <c r="E122" s="486">
        <v>8.6343000000000003E-2</v>
      </c>
      <c r="F122" s="165">
        <v>50000000</v>
      </c>
      <c r="G122" s="485">
        <v>0.8</v>
      </c>
      <c r="I122" s="44" t="str">
        <f t="shared" si="38"/>
        <v>State</v>
      </c>
      <c r="J122" s="484"/>
      <c r="K122" s="484"/>
      <c r="L122" s="486">
        <v>8.6343000000000003E-2</v>
      </c>
      <c r="M122" s="165">
        <v>70000000</v>
      </c>
      <c r="N122" s="485">
        <v>0.8</v>
      </c>
    </row>
    <row r="123" spans="2:14" x14ac:dyDescent="0.25">
      <c r="B123" s="31" t="s">
        <v>457</v>
      </c>
      <c r="C123" s="484"/>
      <c r="D123" s="484"/>
      <c r="E123" s="486">
        <v>0.5151</v>
      </c>
      <c r="F123" s="165">
        <v>50000000</v>
      </c>
      <c r="G123" s="485">
        <v>0.8</v>
      </c>
      <c r="I123" s="44" t="str">
        <f t="shared" si="38"/>
        <v>Other</v>
      </c>
      <c r="J123" s="484"/>
      <c r="K123" s="484"/>
      <c r="L123" s="486">
        <v>0.5151</v>
      </c>
      <c r="M123" s="165">
        <v>70000000</v>
      </c>
      <c r="N123" s="485">
        <v>0.8</v>
      </c>
    </row>
    <row r="124" spans="2:14" ht="5.0999999999999996" customHeight="1" x14ac:dyDescent="0.25">
      <c r="B124" s="41"/>
      <c r="C124" s="484"/>
      <c r="D124" s="484"/>
      <c r="E124" s="486"/>
      <c r="F124" s="165"/>
      <c r="G124" s="485"/>
      <c r="I124" s="38"/>
      <c r="J124" s="484"/>
      <c r="K124" s="484"/>
      <c r="L124" s="486"/>
      <c r="M124" s="165"/>
      <c r="N124" s="485"/>
    </row>
    <row r="125" spans="2:14" x14ac:dyDescent="0.25">
      <c r="B125" s="38" t="s">
        <v>120</v>
      </c>
      <c r="C125" s="484"/>
      <c r="D125" s="484"/>
      <c r="E125" s="484" t="s">
        <v>456</v>
      </c>
      <c r="F125" s="484" t="str">
        <f>F110</f>
        <v>/Unit</v>
      </c>
      <c r="G125" s="483" t="str">
        <f>G110</f>
        <v>/SF</v>
      </c>
      <c r="I125" s="38" t="str">
        <f t="shared" ref="I125:I131" si="39">+B125</f>
        <v>Property Taxes</v>
      </c>
      <c r="J125" s="484"/>
      <c r="K125" s="484"/>
      <c r="L125" s="484" t="s">
        <v>456</v>
      </c>
      <c r="M125" s="484" t="str">
        <f>M110</f>
        <v>/Unit</v>
      </c>
      <c r="N125" s="483" t="str">
        <f>N110</f>
        <v>/SF</v>
      </c>
    </row>
    <row r="126" spans="2:14" x14ac:dyDescent="0.25">
      <c r="B126" s="44" t="s">
        <v>9</v>
      </c>
      <c r="C126" s="165"/>
      <c r="D126" s="165"/>
      <c r="E126" s="479">
        <f>(E119/100)*(F119*G119)</f>
        <v>184764</v>
      </c>
      <c r="F126" s="478">
        <f>E126/Units</f>
        <v>615.88</v>
      </c>
      <c r="G126" s="478">
        <f>E126/Units_SF_M2</f>
        <v>0.73319047619047617</v>
      </c>
      <c r="I126" s="44" t="str">
        <f t="shared" si="39"/>
        <v>City</v>
      </c>
      <c r="J126" s="165"/>
      <c r="K126" s="165"/>
      <c r="L126" s="479">
        <f>(L119/100)*(M119*N119)</f>
        <v>258669.6</v>
      </c>
      <c r="M126" s="478">
        <f>L126/Units</f>
        <v>862.23199999999997</v>
      </c>
      <c r="N126" s="478">
        <f>L126/Units_SF_M2</f>
        <v>1.0264666666666666</v>
      </c>
    </row>
    <row r="127" spans="2:14" x14ac:dyDescent="0.25">
      <c r="B127" s="44" t="s">
        <v>458</v>
      </c>
      <c r="C127" s="165"/>
      <c r="D127" s="165"/>
      <c r="E127" s="479">
        <f>(E120/100)*(F120*G120)</f>
        <v>584000</v>
      </c>
      <c r="F127" s="478">
        <f>E127/Units</f>
        <v>1946.6666666666667</v>
      </c>
      <c r="G127" s="478">
        <f>E127/Units_SF_M2</f>
        <v>2.3174603174603177</v>
      </c>
      <c r="I127" s="44" t="str">
        <f t="shared" si="39"/>
        <v>School District</v>
      </c>
      <c r="J127" s="165"/>
      <c r="K127" s="165"/>
      <c r="L127" s="479">
        <f>(L120/100)*(M120*N120)</f>
        <v>817600</v>
      </c>
      <c r="M127" s="478">
        <f>L127/Units</f>
        <v>2725.3333333333335</v>
      </c>
      <c r="N127" s="478">
        <f>L127/Units_SF_M2</f>
        <v>3.2444444444444445</v>
      </c>
    </row>
    <row r="128" spans="2:14" x14ac:dyDescent="0.25">
      <c r="B128" s="44" t="s">
        <v>3</v>
      </c>
      <c r="C128" s="165"/>
      <c r="D128" s="165"/>
      <c r="E128" s="479">
        <f>(E121/100)*(F121*G121)</f>
        <v>95000</v>
      </c>
      <c r="F128" s="478">
        <f>E128/Units</f>
        <v>316.66666666666669</v>
      </c>
      <c r="G128" s="478">
        <f>E128/Units_SF_M2</f>
        <v>0.37698412698412698</v>
      </c>
      <c r="I128" s="44" t="str">
        <f t="shared" si="39"/>
        <v>County</v>
      </c>
      <c r="J128" s="165"/>
      <c r="K128" s="165"/>
      <c r="L128" s="479">
        <f>(L121/100)*(M121*N121)</f>
        <v>133000</v>
      </c>
      <c r="M128" s="478">
        <f>L128/Units</f>
        <v>443.33333333333331</v>
      </c>
      <c r="N128" s="478">
        <f>L128/Units_SF_M2</f>
        <v>0.52777777777777779</v>
      </c>
    </row>
    <row r="129" spans="1:14" x14ac:dyDescent="0.25">
      <c r="B129" s="44" t="s">
        <v>7</v>
      </c>
      <c r="C129" s="165"/>
      <c r="D129" s="165"/>
      <c r="E129" s="479">
        <f>(E122/100)*(F122*G122)</f>
        <v>34537.199999999997</v>
      </c>
      <c r="F129" s="478">
        <f>E129/Units</f>
        <v>115.124</v>
      </c>
      <c r="G129" s="478">
        <f>E129/Units_SF_M2</f>
        <v>0.13705238095238095</v>
      </c>
      <c r="I129" s="44" t="str">
        <f t="shared" si="39"/>
        <v>State</v>
      </c>
      <c r="J129" s="165"/>
      <c r="K129" s="165"/>
      <c r="L129" s="479">
        <f>(L122/100)*(M122*N122)</f>
        <v>48352.08</v>
      </c>
      <c r="M129" s="478">
        <f>L129/Units</f>
        <v>161.17359999999999</v>
      </c>
      <c r="N129" s="478">
        <f>L129/Units_SF_M2</f>
        <v>0.19187333333333334</v>
      </c>
    </row>
    <row r="130" spans="1:14" ht="15" x14ac:dyDescent="0.35">
      <c r="B130" s="44" t="s">
        <v>457</v>
      </c>
      <c r="C130" s="165"/>
      <c r="D130" s="165"/>
      <c r="E130" s="482">
        <f>(E123/100)*(F123*G123)</f>
        <v>206040</v>
      </c>
      <c r="F130" s="481">
        <f>E130/Units</f>
        <v>686.8</v>
      </c>
      <c r="G130" s="481">
        <f>E130/Units_SF_M2</f>
        <v>0.81761904761904758</v>
      </c>
      <c r="I130" s="44" t="str">
        <f t="shared" si="39"/>
        <v>Other</v>
      </c>
      <c r="J130" s="165"/>
      <c r="K130" s="165"/>
      <c r="L130" s="482">
        <f>(L123/100)*(M123*N123)</f>
        <v>288456</v>
      </c>
      <c r="M130" s="481">
        <f>L130/Units</f>
        <v>961.52</v>
      </c>
      <c r="N130" s="481">
        <f>L130/Units_SF_M2</f>
        <v>1.1446666666666667</v>
      </c>
    </row>
    <row r="131" spans="1:14" x14ac:dyDescent="0.25">
      <c r="B131" s="480" t="s">
        <v>557</v>
      </c>
      <c r="C131" s="164"/>
      <c r="D131" s="165"/>
      <c r="E131" s="479">
        <f>SUM(E126:E130)</f>
        <v>1104341.2</v>
      </c>
      <c r="F131" s="478">
        <f>SUM(F126:F130)</f>
        <v>3681.1373333333331</v>
      </c>
      <c r="G131" s="478">
        <f>SUM(G126:G130)</f>
        <v>4.3823063492063499</v>
      </c>
      <c r="I131" s="480" t="str">
        <f t="shared" si="39"/>
        <v>Total Property Taxes Cost</v>
      </c>
      <c r="J131" s="164"/>
      <c r="K131" s="165"/>
      <c r="L131" s="479">
        <f>SUM(L126:L130)</f>
        <v>1546077.6800000002</v>
      </c>
      <c r="M131" s="478">
        <f>SUM(M126:M130)</f>
        <v>5153.5922666666665</v>
      </c>
      <c r="N131" s="478">
        <f>SUM(N126:N130)</f>
        <v>6.1352288888888893</v>
      </c>
    </row>
    <row r="132" spans="1:14" ht="5.0999999999999996" customHeight="1" x14ac:dyDescent="0.25">
      <c r="B132" s="480"/>
      <c r="C132" s="164"/>
      <c r="D132" s="165"/>
      <c r="E132" s="479"/>
      <c r="F132" s="478"/>
      <c r="G132" s="478"/>
      <c r="I132" s="480"/>
      <c r="J132" s="164"/>
      <c r="K132" s="165"/>
      <c r="L132" s="479"/>
      <c r="M132" s="478"/>
      <c r="N132" s="478"/>
    </row>
    <row r="133" spans="1:14" s="9" customFormat="1" x14ac:dyDescent="0.25">
      <c r="A133" s="182"/>
      <c r="B133" s="477" t="s">
        <v>455</v>
      </c>
      <c r="C133" s="476"/>
      <c r="D133" s="475"/>
      <c r="E133" s="474">
        <f>+F133*Units</f>
        <v>1360192.3207046152</v>
      </c>
      <c r="F133" s="473">
        <f>+OpEx_Tax_Det+OpEx_Ins_Det+F108</f>
        <v>4533.9744023487174</v>
      </c>
      <c r="G133" s="473">
        <f>E133/Units_SF_M2</f>
        <v>5.3975885742246632</v>
      </c>
      <c r="I133" s="477" t="str">
        <f>+B133</f>
        <v>Total Fixed Expenses</v>
      </c>
      <c r="J133" s="476"/>
      <c r="K133" s="475"/>
      <c r="L133" s="474">
        <f>+M133*Units</f>
        <v>1844330.6105599999</v>
      </c>
      <c r="M133" s="473">
        <f>OpEx_Tax0_Det+OpEx_Ins0_Det+M108</f>
        <v>6147.7687018666666</v>
      </c>
      <c r="N133" s="473">
        <f>L133/Units_SF_M2</f>
        <v>7.3187722641269843</v>
      </c>
    </row>
    <row r="134" spans="1:14" ht="5.0999999999999996" customHeight="1" x14ac:dyDescent="0.25">
      <c r="B134" s="480"/>
      <c r="C134" s="164"/>
      <c r="D134" s="165"/>
      <c r="E134" s="479"/>
      <c r="F134" s="478"/>
      <c r="G134" s="478"/>
      <c r="I134" s="480"/>
      <c r="J134" s="164"/>
      <c r="K134" s="165"/>
      <c r="L134" s="479"/>
      <c r="M134" s="478"/>
      <c r="N134" s="478"/>
    </row>
    <row r="135" spans="1:14" s="9" customFormat="1" x14ac:dyDescent="0.25">
      <c r="A135" s="182"/>
      <c r="B135" s="477" t="s">
        <v>454</v>
      </c>
      <c r="C135" s="476"/>
      <c r="D135" s="475"/>
      <c r="E135" s="474">
        <f>+E133+E103</f>
        <v>2710292.3207046157</v>
      </c>
      <c r="F135" s="473">
        <f>+F133+F103</f>
        <v>9034.3077356820504</v>
      </c>
      <c r="G135" s="473">
        <f>E135/Units_SF_M2</f>
        <v>10.755128256764348</v>
      </c>
      <c r="I135" s="477" t="str">
        <f>+B135</f>
        <v>Total Operating Expense</v>
      </c>
      <c r="J135" s="476"/>
      <c r="K135" s="475"/>
      <c r="L135" s="474">
        <f>+L133+L103</f>
        <v>3354430.6105599999</v>
      </c>
      <c r="M135" s="473">
        <f>+M133+M103</f>
        <v>11181.435368533334</v>
      </c>
      <c r="N135" s="473">
        <f>L135/Units_SF_M2</f>
        <v>13.311232581587301</v>
      </c>
    </row>
    <row r="136" spans="1:14" ht="5.0999999999999996" customHeight="1" x14ac:dyDescent="0.25">
      <c r="B136" s="472"/>
      <c r="C136" s="471"/>
      <c r="D136" s="470"/>
      <c r="E136" s="469"/>
      <c r="F136" s="468"/>
      <c r="G136" s="468"/>
    </row>
  </sheetData>
  <conditionalFormatting sqref="D2 L2">
    <cfRule type="expression" dxfId="0" priority="1">
      <formula>$D$2="CLICK TO RECALCULATE"</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76</vt:i4>
      </vt:variant>
    </vt:vector>
  </HeadingPairs>
  <TitlesOfParts>
    <vt:vector size="81" baseType="lpstr">
      <vt:lpstr>Version</vt:lpstr>
      <vt:lpstr>Summary</vt:lpstr>
      <vt:lpstr>Annual Cash Flow</vt:lpstr>
      <vt:lpstr>Underwriting</vt:lpstr>
      <vt:lpstr>Detail Expenses</vt:lpstr>
      <vt:lpstr>Analysis_Period</vt:lpstr>
      <vt:lpstr>GP_CatchUp?</vt:lpstr>
      <vt:lpstr>GP_Only?</vt:lpstr>
      <vt:lpstr>Items_Acquisition_Costs</vt:lpstr>
      <vt:lpstr>Items_Hard_Costs</vt:lpstr>
      <vt:lpstr>Items_Other_Income</vt:lpstr>
      <vt:lpstr>Items_Soft_Costs</vt:lpstr>
      <vt:lpstr>Items_Unit_Type</vt:lpstr>
      <vt:lpstr>Nav_Controllable_Expenses</vt:lpstr>
      <vt:lpstr>Nav_Description</vt:lpstr>
      <vt:lpstr>Nav_Fixed_Expenses</vt:lpstr>
      <vt:lpstr>Nav_Investment_CF</vt:lpstr>
      <vt:lpstr>Nav_Operating_CF</vt:lpstr>
      <vt:lpstr>Nav_Returns</vt:lpstr>
      <vt:lpstr>Nav_Reversion_CF</vt:lpstr>
      <vt:lpstr>Nav_Subsequent_Financing</vt:lpstr>
      <vt:lpstr>Nav_Waterfall</vt:lpstr>
      <vt:lpstr>OpEx_1</vt:lpstr>
      <vt:lpstr>OpEx_1_Det</vt:lpstr>
      <vt:lpstr>OpEx_10</vt:lpstr>
      <vt:lpstr>OpEx_10_Det</vt:lpstr>
      <vt:lpstr>OpEx_2</vt:lpstr>
      <vt:lpstr>OpEx_2_Det</vt:lpstr>
      <vt:lpstr>OpEx_20</vt:lpstr>
      <vt:lpstr>OpEx_20_Det</vt:lpstr>
      <vt:lpstr>OpEx_3</vt:lpstr>
      <vt:lpstr>OpEx_3_Det</vt:lpstr>
      <vt:lpstr>OpEx_30</vt:lpstr>
      <vt:lpstr>OpEx_30_Det</vt:lpstr>
      <vt:lpstr>OpEx_4</vt:lpstr>
      <vt:lpstr>OpEx_4_Det</vt:lpstr>
      <vt:lpstr>OpEx_40</vt:lpstr>
      <vt:lpstr>OpEx_40_Det</vt:lpstr>
      <vt:lpstr>OpEx_5</vt:lpstr>
      <vt:lpstr>OpEx_5_Det</vt:lpstr>
      <vt:lpstr>OpEx_50</vt:lpstr>
      <vt:lpstr>OpEx_50_Det</vt:lpstr>
      <vt:lpstr>OpEx_6</vt:lpstr>
      <vt:lpstr>OpEx_6_Det</vt:lpstr>
      <vt:lpstr>OpEx_60</vt:lpstr>
      <vt:lpstr>OpEx_60_Det</vt:lpstr>
      <vt:lpstr>OpEx_7</vt:lpstr>
      <vt:lpstr>OpEx_7_Det</vt:lpstr>
      <vt:lpstr>OpEx_70</vt:lpstr>
      <vt:lpstr>OpEx_70_Det</vt:lpstr>
      <vt:lpstr>OpEx_Ins</vt:lpstr>
      <vt:lpstr>OpEx_Ins_Det</vt:lpstr>
      <vt:lpstr>OpEx_Ins0</vt:lpstr>
      <vt:lpstr>OpEx_Ins0_Det</vt:lpstr>
      <vt:lpstr>OpEx_Tax</vt:lpstr>
      <vt:lpstr>OpEx_Tax_Det</vt:lpstr>
      <vt:lpstr>OpEx_Tax0</vt:lpstr>
      <vt:lpstr>OpEx_Tax0_Det</vt:lpstr>
      <vt:lpstr>OpEx_Underwriting_Type</vt:lpstr>
      <vt:lpstr>Per_Unit_Measure</vt:lpstr>
      <vt:lpstr>Per_Unit_Type</vt:lpstr>
      <vt:lpstr>'Annual Cash Flow'!Print_Area</vt:lpstr>
      <vt:lpstr>Summary!Print_Area</vt:lpstr>
      <vt:lpstr>Project_Cost_Total</vt:lpstr>
      <vt:lpstr>REFI?</vt:lpstr>
      <vt:lpstr>Rel_Acquisition_Costs</vt:lpstr>
      <vt:lpstr>Rel_Hard_Costs</vt:lpstr>
      <vt:lpstr>Rel_Other_Income</vt:lpstr>
      <vt:lpstr>Rel_Other_Income2</vt:lpstr>
      <vt:lpstr>Rel_Soft_Costs</vt:lpstr>
      <vt:lpstr>Rel_Unit_Type</vt:lpstr>
      <vt:lpstr>Stabilization_Month</vt:lpstr>
      <vt:lpstr>Toggle_Annual_Report</vt:lpstr>
      <vt:lpstr>Toggle_Refi_Sell</vt:lpstr>
      <vt:lpstr>Unit_Measure</vt:lpstr>
      <vt:lpstr>Unit_Measure_Land</vt:lpstr>
      <vt:lpstr>Unit_Type</vt:lpstr>
      <vt:lpstr>Unit_Type_Plural</vt:lpstr>
      <vt:lpstr>Units</vt:lpstr>
      <vt:lpstr>Units_SF</vt:lpstr>
      <vt:lpstr>Units_SF_M2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Spencer Burton</dc:creator>
  <cp:lastModifiedBy>Rebeca Lopez</cp:lastModifiedBy>
  <cp:lastPrinted>2019-07-06T04:04:29Z</cp:lastPrinted>
  <dcterms:created xsi:type="dcterms:W3CDTF">2019-03-23T19:04:15Z</dcterms:created>
  <dcterms:modified xsi:type="dcterms:W3CDTF">2025-06-25T15:12:13Z</dcterms:modified>
</cp:coreProperties>
</file>